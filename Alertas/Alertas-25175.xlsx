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<sst xmlns="http://schemas.openxmlformats.org/spreadsheetml/2006/main" count="135" uniqueCount="135">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</sst>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236" totalsRowCount="0" totalsRowShown="0">
  <autoFilter ref="A7:X236"/>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251" totalsRowCount="0" totalsRowShown="0">
  <autoFilter ref="A7:W251"/>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PLAN DE DESARROLLO CHÍA - CUNDINAMARCA</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Chía,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CHÍA ACTIVA</t>
        </is>
      </c>
      <c r="Q7" s="6">
        <v>17797.613808</v>
      </c>
      <c r="R7" s="6">
        <v>28778.65290283</v>
      </c>
      <c r="S7" s="6">
        <v>21160.821433</v>
      </c>
      <c r="T7" s="6">
        <v>22695.707607</v>
      </c>
      <c r="U7" s="7">
        <f t="shared" ref="U7" si="0">SUM(Q7:T7)</f>
        <v>0</v>
      </c>
      <c r="V7" s="8">
        <f t="shared" ref="V7:V70" si="1">IF(P7="","",INDEX(Q7:U7,MATCH($D$16,$C$23:$G$23,0)))</f>
        <v>0</v>
      </c>
      <c r="W7" s="42" t="str">
        <f>IFERROR(IF(P7="","",CONCATENATE(TEXT(V7,$U$2)," (",TEXT(V7*100/$I$23,$U$3),"%)")),"")</f>
      </c>
    </row>
    <row r="8" spans="2:28" x14ac:dyDescent="0.25">
      <c r="P8" s="6" t="inlineStr">
        <is>
          <t>ECOGESTIÓN</t>
        </is>
      </c>
      <c r="Q8" s="6">
        <v>8261.088907</v>
      </c>
      <c r="R8" s="6">
        <v>8937.88250453</v>
      </c>
      <c r="S8" s="6">
        <v>4161.299021</v>
      </c>
      <c r="T8" s="6">
        <v>4546.525361</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FORMACIÓN EN ACCIÓN PARA EL FUTURO</t>
        </is>
      </c>
      <c r="Q9" s="6">
        <v>146426.689169</v>
      </c>
      <c r="R9" s="6">
        <v>187485.84111838</v>
      </c>
      <c r="S9" s="6">
        <v>188975.457674</v>
      </c>
      <c r="T9" s="6">
        <v>199943.234128</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FORTALECIMIENTO INSTITUCIONAL</t>
        </is>
      </c>
      <c r="Q10" s="6">
        <v>8477.06526</v>
      </c>
      <c r="R10" s="6">
        <v>6173.23558</v>
      </c>
      <c r="S10" s="6">
        <v>5220.23558</v>
      </c>
      <c r="T10" s="6">
        <v>4879.46358</v>
      </c>
      <c r="U10" s="7">
        <f t="shared" si="4"/>
        <v>0</v>
      </c>
      <c r="V10" s="8" t="str">
        <f t="shared" si="1"/>
      </c>
      <c r="W10" s="42" t="str">
        <f t="shared" si="3"/>
      </c>
    </row>
    <row r="11" spans="2:28" x14ac:dyDescent="0.25">
      <c r="P11" s="6" t="inlineStr">
        <is>
          <t>GOBERNABILIDAD CON ACCIÓN Y CONFIANZA</t>
        </is>
      </c>
      <c r="Q11" s="6">
        <v>20541.293895</v>
      </c>
      <c r="R11" s="6">
        <v>34519.531785</v>
      </c>
      <c r="S11" s="6">
        <v>41330.744712</v>
      </c>
      <c r="T11" s="6">
        <v>24103.434216</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t="inlineStr">
        <is>
          <t>RUTA EN ACCIÓN AL PROGRESO</t>
        </is>
      </c>
      <c r="Q12" s="6">
        <v>88357.49248</v>
      </c>
      <c r="R12" s="6">
        <v>60666.81145904</v>
      </c>
      <c r="S12" s="6">
        <v>118315.9159</v>
      </c>
      <c r="T12" s="6">
        <v>151524.977355</v>
      </c>
      <c r="U12" s="7">
        <f t="shared" si="4"/>
        <v>0</v>
      </c>
      <c r="V12" s="8" t="str">
        <f t="shared" si="1"/>
      </c>
      <c r="W12" s="42" t="str">
        <f t="shared" si="3"/>
      </c>
    </row>
    <row r="13" spans="2:28" x14ac:dyDescent="0.25">
      <c r="P13" s="6" t="inlineStr">
        <is>
          <t>VIDA PLENA</t>
        </is>
      </c>
      <c r="Q13" s="6">
        <v>51036.487892</v>
      </c>
      <c r="R13" s="6">
        <v>78029.48193039</v>
      </c>
      <c r="S13" s="6">
        <v>59008.667078</v>
      </c>
      <c r="T13" s="6">
        <v>62400.76077</v>
      </c>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619</v>
      </c>
      <c r="D24" s="14">
        <v>1527.750974</v>
      </c>
      <c r="E24" s="14">
        <v>1024.2222</v>
      </c>
      <c r="F24" s="14">
        <v>1156.263566</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7937.088907</v>
      </c>
      <c r="D25" s="14">
        <v>8481.78020453</v>
      </c>
      <c r="E25" s="14">
        <v>4011.299021</v>
      </c>
      <c r="F25" s="14">
        <v>4376.525361</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1263.087201</v>
      </c>
      <c r="D26" s="14">
        <v>4963.921232</v>
      </c>
      <c r="E26" s="14">
        <v>1140</v>
      </c>
      <c r="F26" s="14">
        <v>1470</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2335</v>
      </c>
      <c r="D27" s="9">
        <v>5606.506932</v>
      </c>
      <c r="E27" s="9">
        <v>3785</v>
      </c>
      <c r="F27" s="9">
        <v>3835</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8882.691632</v>
      </c>
      <c r="D28" s="9">
        <v>13629.65790683</v>
      </c>
      <c r="E28" s="9">
        <v>7228.0245</v>
      </c>
      <c r="F28" s="9">
        <v>7539.589112</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10764.922176</v>
      </c>
      <c r="D30" s="9">
        <v>15232.857739</v>
      </c>
      <c r="E30" s="9">
        <v>13932.796933</v>
      </c>
      <c r="F30" s="9">
        <v>15156.118495</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144584.689169</v>
      </c>
      <c r="D31" s="9">
        <v>180463.05917938</v>
      </c>
      <c r="E31" s="9">
        <v>186175.457674</v>
      </c>
      <c r="F31" s="9">
        <v>196963.234128</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47462.695096</v>
      </c>
      <c r="D32" s="9">
        <v>48336.43952478</v>
      </c>
      <c r="E32" s="9">
        <v>46596.514753</v>
      </c>
      <c r="F32" s="9">
        <v>29072.256057</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11341.556741</v>
      </c>
      <c r="D33" s="9">
        <v>22450.13345436</v>
      </c>
      <c r="E33" s="9">
        <v>16365.303008</v>
      </c>
      <c r="F33" s="9">
        <v>18317.88284</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7177.123333</v>
      </c>
      <c r="D34" s="9">
        <v>659.26108429</v>
      </c>
      <c r="E34" s="9">
        <v>832.909197</v>
      </c>
      <c r="F34" s="9">
        <v>539.223835</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1866.548627</v>
      </c>
      <c r="D35" s="9">
        <v>1866.548627</v>
      </c>
      <c r="E35" s="9">
        <v>1866.548627</v>
      </c>
      <c r="F35" s="9">
        <v>1866.548628</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14672.4</v>
      </c>
      <c r="D36" s="9">
        <v>15726.744</v>
      </c>
      <c r="E36" s="9">
        <v>16670.34864</v>
      </c>
      <c r="F36" s="9">
        <v>17670.569558</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38521.931151</v>
      </c>
      <c r="D38" s="9">
        <v>54593.69177606</v>
      </c>
      <c r="E38" s="9">
        <v>41590.924922</v>
      </c>
      <c r="F38" s="9">
        <v>42989.322299</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578.912799</v>
      </c>
      <c r="D39" s="9">
        <v>2058.860707</v>
      </c>
      <c r="E39" s="9">
        <v>1660</v>
      </c>
      <c r="F39" s="9">
        <v>1510</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624</v>
      </c>
      <c r="D40" s="9">
        <v>909.541978</v>
      </c>
      <c r="E40" s="9">
        <v>1073.9</v>
      </c>
      <c r="F40" s="9">
        <v>800.1</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9508.98559</v>
      </c>
      <c r="D41" s="9">
        <v>11414.57533416</v>
      </c>
      <c r="E41" s="9">
        <v>47699.316089</v>
      </c>
      <c r="F41" s="9">
        <v>41119.701856</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32757.098989</v>
      </c>
      <c r="D42" s="9">
        <v>16670.10662678</v>
      </c>
      <c r="E42" s="9">
        <v>46520.575834</v>
      </c>
      <c r="F42" s="9">
        <v>85711.767282</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160671.747627</v>
      </c>
      <c r="D43" s="9">
        <v>219989.4128727</v>
      </c>
      <c r="E43" s="9">
        <v>185151.355519</v>
      </c>
      <c r="F43" s="9">
        <v>200382.934841</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78492.867329</v>
      </c>
      <c r="D44" s="9">
        <v>95591.562713</v>
      </c>
      <c r="E44" s="9">
        <v>100439.591844</v>
      </c>
      <c r="F44" s="9">
        <v>115295.159709</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12889.99365</v>
      </c>
      <c r="D45" s="9">
        <v>19859.07776103</v>
      </c>
      <c r="E45" s="9">
        <v>13834.572385</v>
      </c>
      <c r="F45" s="9">
        <v>14277.278701</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724.922176</v>
      </c>
      <c r="D46" s="9">
        <v>469.015152</v>
      </c>
      <c r="E46" s="9">
        <v>784.003333</v>
      </c>
      <c r="F46" s="9">
        <v>823.2035</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543.691632</v>
      </c>
      <c r="D47" s="9">
        <v>676.952537</v>
      </c>
      <c r="E47" s="9">
        <v>588.0025</v>
      </c>
      <c r="F47" s="9">
        <v>543.691632</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9716.760663</v>
      </c>
      <c r="D48" s="9">
        <v>8610.72570844</v>
      </c>
      <c r="E48" s="9">
        <v>7479.920457</v>
      </c>
      <c r="F48" s="9">
        <v>7853.342481</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204.025939</v>
      </c>
      <c r="D50" s="9">
        <v>210.146717</v>
      </c>
      <c r="E50" s="9">
        <v>220.654053</v>
      </c>
      <c r="F50" s="9">
        <v>231.686756</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16667.094264</v>
      </c>
      <c r="D52" s="9">
        <v>2892.912009</v>
      </c>
      <c r="E52" s="9">
        <v>3343.929964</v>
      </c>
      <c r="F52" s="9">
        <v>3510.64813</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33291.111129</v>
      </c>
      <c r="D53" s="9">
        <v>26794.296296</v>
      </c>
      <c r="E53" s="9">
        <v>100000</v>
      </c>
      <c r="F53" s="9">
        <v>100000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0</v>
      </c>
      <c r="D54" s="9">
        <v>11040.684563</v>
      </c>
      <c r="E54" s="9">
        <v>23985.085734</v>
      </c>
      <c r="F54" s="9">
        <v>24762.991837</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22338.161275</v>
      </c>
      <c r="D55" s="9">
        <v>18016.396206</v>
      </c>
      <c r="E55" s="9">
        <v>0</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5357.355727</v>
      </c>
      <c r="D56" s="9">
        <v>440.254745</v>
      </c>
      <c r="E56" s="9">
        <v>2346.025609</v>
      </c>
      <c r="F56" s="9">
        <v>2413.16543</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9399.103066</v>
      </c>
      <c r="D57" s="9">
        <v>21162.34675869</v>
      </c>
      <c r="E57" s="9">
        <v>14858.676704</v>
      </c>
      <c r="F57" s="9">
        <v>16814.382515</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254</v>
      </c>
      <c r="D58" s="9">
        <v>594.082173</v>
      </c>
      <c r="E58" s="9">
        <v>256.2222</v>
      </c>
      <c r="F58" s="9">
        <v>349.863566</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39375.931151</v>
      </c>
      <c r="D59" s="9">
        <v>58418.22199271</v>
      </c>
      <c r="E59" s="9">
        <v>43296.369359</v>
      </c>
      <c r="F59" s="9">
        <v>44816.330289</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157303.256652</v>
      </c>
      <c r="D60" s="9">
        <v>199104.45655536</v>
      </c>
      <c r="E60" s="9">
        <v>201968.91056</v>
      </c>
      <c r="F60" s="9">
        <v>213411.877083</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280</v>
      </c>
      <c r="D61" s="9">
        <v>90.18</v>
      </c>
      <c r="E61" s="9">
        <v>254</v>
      </c>
      <c r="F61" s="9">
        <v>258.064</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31053.521961</v>
      </c>
      <c r="D62" s="9">
        <v>11087.23532047</v>
      </c>
      <c r="E62" s="9">
        <v>8292.621178</v>
      </c>
      <c r="F62" s="9">
        <v>9080.112552</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14572.4</v>
      </c>
      <c r="D63" s="9">
        <v>15726.744</v>
      </c>
      <c r="E63" s="9">
        <v>16670.34864</v>
      </c>
      <c r="F63" s="9">
        <v>17670.569558</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3270.65</v>
      </c>
      <c r="D64" s="9">
        <v>6226.017405</v>
      </c>
      <c r="E64" s="9">
        <v>4843.9</v>
      </c>
      <c r="F64" s="9">
        <v>4674.9</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8887</v>
      </c>
      <c r="D65" s="9">
        <v>14398.03593481</v>
      </c>
      <c r="E65" s="9">
        <v>44929.316089</v>
      </c>
      <c r="F65" s="9">
        <v>35972.201856</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1049.048627</v>
      </c>
      <c r="D66" s="9">
        <v>490.748627</v>
      </c>
      <c r="E66" s="9">
        <v>1412.648627</v>
      </c>
      <c r="F66" s="9">
        <v>1426.466228</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16776.309828</v>
      </c>
      <c r="D67" s="9">
        <v>20665.39276325</v>
      </c>
      <c r="E67" s="9">
        <v>49886.790553</v>
      </c>
      <c r="F67" s="9">
        <v>90769.575798</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80</v>
      </c>
      <c r="D68" s="9">
        <v>295.974817</v>
      </c>
      <c r="E68" s="9">
        <v>113</v>
      </c>
      <c r="F68" s="9">
        <v>100</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682.235095</v>
      </c>
      <c r="D69" s="9">
        <v>820.919757</v>
      </c>
      <c r="E69" s="9">
        <v>1011.75485</v>
      </c>
      <c r="F69" s="9">
        <v>960.826814</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416.80059</v>
      </c>
      <c r="D71" s="9">
        <v>3087.330061</v>
      </c>
      <c r="E71" s="9">
        <v>896.06647</v>
      </c>
      <c r="F71" s="9">
        <v>742.06647</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48216.535848</v>
      </c>
      <c r="D72" s="9">
        <v>50449.83777792</v>
      </c>
      <c r="E72" s="9">
        <v>48198.443673</v>
      </c>
      <c r="F72" s="9">
        <v>31972.286354</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9280.938593</v>
      </c>
      <c r="D73" s="9">
        <v>1973.91333696</v>
      </c>
      <c r="E73" s="9">
        <v>1284.072495</v>
      </c>
      <c r="F73" s="9">
        <v>1074.579934</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8</v>
      </c>
      <c r="C95" s="22" t="s">
        <v>76</v>
      </c>
      <c r="L95" s="10"/>
      <c r="M95" s="10"/>
    </row>
    <row r="96" spans="2:20" ht="15.6" customHeight="1" x14ac:dyDescent="0.25">
      <c r="B96" s="23">
        <v>36</v>
      </c>
      <c r="C96" s="22" t="s">
        <v>77</v>
      </c>
    </row>
    <row r="97" spans="2:18" ht="15.6" customHeight="1" x14ac:dyDescent="0.25">
      <c r="B97" s="24">
        <v>14</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6</v>
      </c>
      <c r="C99" s="22" t="s">
        <v>78</v>
      </c>
      <c r="D99" s="10"/>
      <c r="E99" s="10"/>
      <c r="F99" s="10"/>
      <c r="G99" s="10"/>
      <c r="H99" s="10"/>
      <c r="I99" s="2"/>
      <c r="J99" s="10"/>
      <c r="K99" s="10"/>
      <c r="L99" s="10"/>
      <c r="M99" s="10"/>
    </row>
    <row r="100" spans="2:18" ht="15.6" customHeight="1" x14ac:dyDescent="0.25">
      <c r="B100" s="27">
        <v>180</v>
      </c>
      <c r="C100" s="22" t="s">
        <v>92</v>
      </c>
      <c r="D100" s="56"/>
      <c r="E100" s="56"/>
      <c r="F100" s="56"/>
      <c r="G100" s="56"/>
      <c r="H100" s="56"/>
      <c r="I100" s="56"/>
      <c r="J100" s="56"/>
      <c r="K100" s="56"/>
      <c r="L100" s="56"/>
      <c r="M100" s="56"/>
    </row>
    <row r="101" spans="2:18" ht="15.6" customHeight="1" x14ac:dyDescent="0.25">
      <c r="B101" s="17">
        <v>134</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51</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178</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116</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56</v>
      </c>
    </row>
    <row r="136" spans="1:17" x14ac:dyDescent="0.25">
      <c r="B136" s="45">
        <f>Q137+Q139+Q140+Q141</f>
        <v>0</v>
      </c>
      <c r="G136" s="45">
        <f>Q135+Q138+Q139+Q141</f>
        <v>0</v>
      </c>
      <c r="I136" s="70"/>
      <c r="J136" s="70"/>
      <c r="K136" s="70"/>
      <c r="L136" s="70"/>
      <c r="M136" s="85"/>
      <c r="P136" s="1" t="s">
        <v>98</v>
      </c>
      <c r="Q136">
        <v>30</v>
      </c>
    </row>
    <row r="137" spans="1:17" x14ac:dyDescent="0.25">
      <c r="I137" s="28"/>
      <c r="J137" s="28"/>
      <c r="K137" s="28"/>
      <c r="L137" s="28"/>
      <c r="M137" s="28"/>
      <c r="P137" s="1" t="s">
        <v>99</v>
      </c>
      <c r="Q137">
        <v>36</v>
      </c>
    </row>
    <row r="138" spans="1:17" x14ac:dyDescent="0.25">
      <c r="I138" s="70" t="s">
        <v>95</v>
      </c>
      <c r="J138" s="70"/>
      <c r="K138" s="70"/>
      <c r="L138" s="70"/>
      <c r="M138" s="84">
        <f>Q141</f>
        <v>0</v>
      </c>
      <c r="P138" s="1" t="s">
        <v>100</v>
      </c>
      <c r="Q138">
        <v>60</v>
      </c>
    </row>
    <row r="139" spans="1:17" x14ac:dyDescent="0.25">
      <c r="I139" s="70"/>
      <c r="J139" s="70"/>
      <c r="K139" s="70"/>
      <c r="L139" s="70"/>
      <c r="M139" s="85"/>
      <c r="P139" s="1" t="s">
        <v>101</v>
      </c>
      <c r="Q139">
        <v>19</v>
      </c>
    </row>
    <row r="140" spans="1:17" x14ac:dyDescent="0.25">
      <c r="I140" s="28"/>
      <c r="J140" s="28"/>
      <c r="K140" s="28"/>
      <c r="L140" s="28"/>
      <c r="M140" s="28"/>
      <c r="P140" s="1" t="s">
        <v>102</v>
      </c>
      <c r="Q140">
        <v>15</v>
      </c>
    </row>
    <row r="141" spans="1:17" x14ac:dyDescent="0.25">
      <c r="I141" s="70" t="s">
        <v>96</v>
      </c>
      <c r="J141" s="70"/>
      <c r="K141" s="70"/>
      <c r="L141" s="70"/>
      <c r="M141" s="86" t="str">
        <f>IFERROR(M138/M135,"-")</f>
        <v>-</v>
      </c>
      <c r="P141" s="1" t="s">
        <v>103</v>
      </c>
      <c r="Q141">
        <v>159</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237"/>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IP-268</t>
        </is>
      </c>
      <c r="B8" t="inlineStr">
        <is>
          <t>41</t>
        </is>
      </c>
      <c r="C8" t="inlineStr">
        <is>
          <t xml:space="preserve">Inclusión social y reconciliación </t>
        </is>
      </c>
      <c r="D8" t="inlineStr">
        <is>
          <t>4102</t>
        </is>
      </c>
      <c r="E8" t="inlineStr">
        <is>
          <t>Desarrollo integral de la primera infancia a la juventud, y fortalecimiento de las capacidades de las familias de niñas, niños y adolescentes</t>
        </is>
      </c>
      <c r="F8" t="inlineStr">
        <is>
          <t>4102001</t>
        </is>
      </c>
      <c r="G8" t="inlineStr">
        <is>
          <t>Servicio de atención integral a la primera infancia</t>
        </is>
      </c>
      <c r="H8"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8" t="inlineStr">
        <is>
          <t>2024251750060</t>
        </is>
      </c>
      <c r="J8" s="99">
        <v>4430141675</v>
      </c>
      <c r="K8" s="99">
        <v>1193453675</v>
      </c>
      <c r="L8" s="99">
        <v>1926288000</v>
      </c>
      <c r="M8" s="99">
        <v>650000000</v>
      </c>
      <c r="N8" s="99">
        <v>660400000</v>
      </c>
      <c r="O8" s="99">
        <v>1127752539</v>
      </c>
      <c r="P8" s="99">
        <v>916887000</v>
      </c>
      <c r="Q8" s="99">
        <v>916887000</v>
      </c>
      <c r="R8" s="100">
        <v>0.76826358593265</v>
      </c>
      <c r="S8" t="inlineStr">
        <is>
          <t>Lo obligado está por debajo de lo programado en la vigencia</t>
        </is>
      </c>
      <c r="T8" s="101">
        <v>1925000000</v>
      </c>
      <c r="U8" s="101">
        <v>1191666665</v>
      </c>
      <c r="V8" s="101">
        <v>1191666665</v>
      </c>
      <c r="W8" s="102">
        <v>0.618633695999767</v>
      </c>
      <c r="X8" t="inlineStr">
        <is>
          <t>Lo obligado está por debajo de lo programado en la vigencia</t>
        </is>
      </c>
    </row>
    <row r="9">
      <c r="A9" t="inlineStr">
        <is>
          <t>IP-269, IP-285</t>
        </is>
      </c>
      <c r="B9" t="inlineStr">
        <is>
          <t>41</t>
        </is>
      </c>
      <c r="C9" t="inlineStr">
        <is>
          <t xml:space="preserve">Inclusión social y reconciliación </t>
        </is>
      </c>
      <c r="D9" t="inlineStr">
        <is>
          <t>4104</t>
        </is>
      </c>
      <c r="E9" t="inlineStr">
        <is>
          <t>Atención integral de población en situación permanente de desprotección social y/o familiar</t>
        </is>
      </c>
      <c r="F9" t="inlineStr">
        <is>
          <t>4104008</t>
        </is>
      </c>
      <c r="G9" t="inlineStr">
        <is>
          <t>Servicio de atención y protección integral al adulto mayor</t>
        </is>
      </c>
      <c r="H9" t="inlineStr">
        <is>
          <t>Servicios integrales que incluyen aspectos relacionados con protección a la salud y bienestar social, educación, cultura, recreación, entorno físico y social favorable, productividad para los adultos mayores.</t>
        </is>
      </c>
      <c r="I9" t="inlineStr">
        <is>
          <t>2024251750061</t>
        </is>
      </c>
      <c r="J9" s="99">
        <v>37309295002.03</v>
      </c>
      <c r="K9" s="99">
        <v>6105598465</v>
      </c>
      <c r="L9" s="99">
        <v>12821632017.03</v>
      </c>
      <c r="M9" s="99">
        <v>8556096000</v>
      </c>
      <c r="N9" s="99">
        <v>9825968520</v>
      </c>
      <c r="O9" s="99">
        <v>4594891618</v>
      </c>
      <c r="P9" s="99">
        <v>3877690659</v>
      </c>
      <c r="Q9" s="99">
        <v>3877690659</v>
      </c>
      <c r="R9" s="100">
        <v>0.635104106702831</v>
      </c>
      <c r="S9" t="inlineStr">
        <is>
          <t>Lo obligado está por debajo de lo programado en la vigencia</t>
        </is>
      </c>
      <c r="T9" s="101">
        <v>11054776601</v>
      </c>
      <c r="U9" s="101">
        <v>6041608387</v>
      </c>
      <c r="V9" s="101">
        <v>6002299832</v>
      </c>
      <c r="W9" s="102">
        <v>0.471204319307822</v>
      </c>
      <c r="X9" t="inlineStr">
        <is>
          <t>Lo obligado está por debajo de lo programado en la vigencia</t>
        </is>
      </c>
    </row>
    <row r="10">
      <c r="A10" t="inlineStr">
        <is>
          <t>IP-270</t>
        </is>
      </c>
      <c r="B10" t="inlineStr">
        <is>
          <t>19</t>
        </is>
      </c>
      <c r="C10" t="inlineStr">
        <is>
          <t>Salud y protección social</t>
        </is>
      </c>
      <c r="D10" t="inlineStr">
        <is>
          <t>1905</t>
        </is>
      </c>
      <c r="E10" t="inlineStr">
        <is>
          <t>Salud pública</t>
        </is>
      </c>
      <c r="F10" t="inlineStr">
        <is>
          <t>1905027</t>
        </is>
      </c>
      <c r="G10" t="inlineStr">
        <is>
          <t>Servicio de gestión del riesgo para enfermedades inmunoprevenibles</t>
        </is>
      </c>
      <c r="H10" t="inlineStr">
        <is>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is>
      </c>
      <c r="I10" t="inlineStr">
        <is>
          <t>2024251750007</t>
        </is>
      </c>
      <c r="J10" s="99">
        <v>233860000</v>
      </c>
      <c r="K10" s="99">
        <v>55000000</v>
      </c>
      <c r="L10" s="99">
        <v>55860000</v>
      </c>
      <c r="M10" s="99">
        <v>59000000</v>
      </c>
      <c r="N10" s="99">
        <v>64000000</v>
      </c>
      <c r="O10" s="99">
        <v>20900000</v>
      </c>
      <c r="P10" s="99">
        <v>20900000</v>
      </c>
      <c r="Q10" s="99">
        <v>20900000</v>
      </c>
      <c r="R10" s="100">
        <v>0.38</v>
      </c>
      <c r="S10" t="inlineStr">
        <is>
          <t>Lo obligado está por debajo de lo programado en la vigencia</t>
        </is>
      </c>
      <c r="T10" s="101">
        <v>55860000</v>
      </c>
      <c r="U10" s="101">
        <v>35910000</v>
      </c>
      <c r="V10" s="101">
        <v>35910000</v>
      </c>
      <c r="W10" s="102">
        <v>0.642857142857143</v>
      </c>
      <c r="X10" t="inlineStr">
        <is>
          <t>Lo obligado está por debajo de lo programado en la vigencia</t>
        </is>
      </c>
    </row>
    <row r="11">
      <c r="A11" t="inlineStr">
        <is>
          <t>IP-271</t>
        </is>
      </c>
      <c r="B11" t="inlineStr">
        <is>
          <t>19</t>
        </is>
      </c>
      <c r="C11" t="inlineStr">
        <is>
          <t>Salud y protección social</t>
        </is>
      </c>
      <c r="D11" t="inlineStr">
        <is>
          <t>1905</t>
        </is>
      </c>
      <c r="E11" t="inlineStr">
        <is>
          <t>Salud pública</t>
        </is>
      </c>
      <c r="F11" t="inlineStr">
        <is>
          <t>1905022</t>
        </is>
      </c>
      <c r="G11" t="inlineStr">
        <is>
          <t>Servicio de gestión del riesgo en temas de trastornos mentales</t>
        </is>
      </c>
      <c r="H11" t="inlineStr">
        <is>
          <t>Incluye acciones de prevención de los trastornos mentales asociados a factores sociales, psicológicos y biológicos, en los diferentes entornos en los que se desarrollan los individuos.</t>
        </is>
      </c>
      <c r="I11" t="inlineStr">
        <is>
          <t>2024251750007</t>
        </is>
      </c>
      <c r="J11" s="99">
        <v>606698134</v>
      </c>
      <c r="K11" s="99">
        <v>87000000</v>
      </c>
      <c r="L11" s="99">
        <v>335698134</v>
      </c>
      <c r="M11" s="99">
        <v>91000000</v>
      </c>
      <c r="N11" s="99">
        <v>93000000</v>
      </c>
      <c r="O11" s="99">
        <v>53012500</v>
      </c>
      <c r="P11" s="99">
        <v>53012500</v>
      </c>
      <c r="Q11" s="99">
        <v>53012500</v>
      </c>
      <c r="R11" s="100">
        <v>0.60933908045977</v>
      </c>
      <c r="S11" t="inlineStr">
        <is>
          <t>Lo obligado está por debajo de lo programado en la vigencia</t>
        </is>
      </c>
      <c r="T11" s="101">
        <v>307866000</v>
      </c>
      <c r="U11" s="101">
        <v>223860000</v>
      </c>
      <c r="V11" s="101">
        <v>217875000</v>
      </c>
      <c r="W11" s="102">
        <v>0.666849104380187</v>
      </c>
      <c r="X11" t="inlineStr">
        <is>
          <t>Lo obligado está por debajo de lo programado en la vigencia</t>
        </is>
      </c>
    </row>
    <row r="12">
      <c r="A12" t="inlineStr">
        <is>
          <t>IP-272</t>
        </is>
      </c>
      <c r="B12" t="inlineStr">
        <is>
          <t>19</t>
        </is>
      </c>
      <c r="C12" t="inlineStr">
        <is>
          <t>Salud y protección social</t>
        </is>
      </c>
      <c r="D12" t="inlineStr">
        <is>
          <t>1905</t>
        </is>
      </c>
      <c r="E12" t="inlineStr">
        <is>
          <t>Salud pública</t>
        </is>
      </c>
      <c r="F12" t="inlineStr">
        <is>
          <t>1905028</t>
        </is>
      </c>
      <c r="G12" t="inlineStr">
        <is>
          <t>Servicio de gestión del riesgo para temas de consumo, aprovechamiento biológico, calidad e inocuidad de los alimentos</t>
        </is>
      </c>
      <c r="H12" t="inlineStr">
        <is>
          <t>Comprende acciones para disminuir la probabilidad de ocurrencia de eventos no deseados, evitables y negativos para la salud del individuo relacionado con la alimentación, como la obesidad, la desnutrición, la intoxicación, entre otros.</t>
        </is>
      </c>
      <c r="I12" t="inlineStr">
        <is>
          <t>2024251750007</t>
        </is>
      </c>
      <c r="J12" s="99">
        <v>267832500</v>
      </c>
      <c r="K12" s="99">
        <v>47000000</v>
      </c>
      <c r="L12" s="99">
        <v>116832500</v>
      </c>
      <c r="M12" s="99">
        <v>51000000</v>
      </c>
      <c r="N12" s="99">
        <v>53000000</v>
      </c>
      <c r="O12" s="99">
        <v>16720000</v>
      </c>
      <c r="P12" s="99">
        <v>16720000</v>
      </c>
      <c r="Q12" s="99">
        <v>16720000</v>
      </c>
      <c r="R12" s="100">
        <v>0.355744680851064</v>
      </c>
      <c r="S12" t="inlineStr">
        <is>
          <t>Lo obligado está por debajo de lo programado en la vigencia</t>
        </is>
      </c>
      <c r="T12" s="101">
        <v>101870000</v>
      </c>
      <c r="U12" s="101">
        <v>29925000</v>
      </c>
      <c r="V12" s="101">
        <v>29925000</v>
      </c>
      <c r="W12" s="102">
        <v>0.256135921083603</v>
      </c>
      <c r="X12" t="inlineStr">
        <is>
          <t>Lo obligado está por debajo de lo programado en la vigencia</t>
        </is>
      </c>
    </row>
    <row r="13">
      <c r="A13" t="inlineStr">
        <is>
          <t>IP-273</t>
        </is>
      </c>
      <c r="B13" t="inlineStr">
        <is>
          <t>19</t>
        </is>
      </c>
      <c r="C13" t="inlineStr">
        <is>
          <t>Salud y protección social</t>
        </is>
      </c>
      <c r="D13" t="inlineStr">
        <is>
          <t>1905</t>
        </is>
      </c>
      <c r="E13" t="inlineStr">
        <is>
          <t>Salud pública</t>
        </is>
      </c>
      <c r="F13" t="inlineStr">
        <is>
          <t>1905014</t>
        </is>
      </c>
      <c r="G13" t="inlineStr">
        <is>
          <t>Documentos de lineamientos técnicos</t>
        </is>
      </c>
      <c r="H13" t="inlineStr">
        <is>
          <t xml:space="preserve">Documentos cuyo objetivo es describir y explicar instrumentos, estándares, requisitos y condiciones necesarias para llevar a cabo un proceso o actividad. </t>
        </is>
      </c>
      <c r="I13" t="inlineStr">
        <is>
          <t>2024251750007</t>
        </is>
      </c>
      <c r="J13" s="99">
        <v>1413835667</v>
      </c>
      <c r="K13" s="99">
        <v>311000000</v>
      </c>
      <c r="L13" s="99">
        <v>465835667</v>
      </c>
      <c r="M13" s="99">
        <v>317000000</v>
      </c>
      <c r="N13" s="99">
        <v>320000000</v>
      </c>
      <c r="O13" s="99">
        <v>115649400</v>
      </c>
      <c r="P13" s="99">
        <v>115649400</v>
      </c>
      <c r="Q13" s="99">
        <v>115649400</v>
      </c>
      <c r="R13" s="100">
        <v>0.371863022508039</v>
      </c>
      <c r="S13" t="inlineStr">
        <is>
          <t>Lo obligado está por debajo de lo programado en la vigencia</t>
        </is>
      </c>
      <c r="T13" s="101">
        <v>454934167</v>
      </c>
      <c r="U13" s="101">
        <v>277580000</v>
      </c>
      <c r="V13" s="101">
        <v>271595000</v>
      </c>
      <c r="W13" s="102">
        <v>0.59587536907087</v>
      </c>
      <c r="X13" t="inlineStr">
        <is>
          <t>Lo obligado está por debajo de lo programado en la vigencia</t>
        </is>
      </c>
    </row>
    <row r="14">
      <c r="A14" t="inlineStr">
        <is>
          <t>IP-274</t>
        </is>
      </c>
      <c r="B14" t="inlineStr">
        <is>
          <t>19</t>
        </is>
      </c>
      <c r="C14" t="inlineStr">
        <is>
          <t>Salud y protección social</t>
        </is>
      </c>
      <c r="D14" t="inlineStr">
        <is>
          <t>1905</t>
        </is>
      </c>
      <c r="E14" t="inlineStr">
        <is>
          <t>Salud pública</t>
        </is>
      </c>
      <c r="F14" t="inlineStr">
        <is>
          <t>1905050</t>
        </is>
      </c>
      <c r="G14" t="inlineStr">
        <is>
          <t>Servicio de asistencia técnica</t>
        </is>
      </c>
      <c r="H14"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14" t="inlineStr">
        <is>
          <t>2024251750007</t>
        </is>
      </c>
      <c r="J14" s="99">
        <v>532722300</v>
      </c>
      <c r="K14" s="99">
        <v>86000000</v>
      </c>
      <c r="L14" s="99">
        <v>264722300</v>
      </c>
      <c r="M14" s="99">
        <v>90000000</v>
      </c>
      <c r="N14" s="99">
        <v>92000000</v>
      </c>
      <c r="O14" s="99">
        <v>79065333</v>
      </c>
      <c r="P14" s="99">
        <v>79065333</v>
      </c>
      <c r="Q14" s="99">
        <v>79065333</v>
      </c>
      <c r="R14" s="100">
        <v>0.919364337209302</v>
      </c>
      <c r="S14" t="inlineStr">
        <is>
          <t>Lo obligado está por debajo de lo programado en la vigencia</t>
        </is>
      </c>
      <c r="T14" s="101">
        <v>262527800</v>
      </c>
      <c r="U14" s="101">
        <v>166889000</v>
      </c>
      <c r="V14" s="101">
        <v>166889000</v>
      </c>
      <c r="W14" s="102">
        <v>0.630430454857789</v>
      </c>
      <c r="X14" t="inlineStr">
        <is>
          <t>Lo obligado está por debajo de lo programado en la vigencia</t>
        </is>
      </c>
    </row>
    <row r="15">
      <c r="A15" t="inlineStr">
        <is>
          <t>IP-275, IP-299, IP-300</t>
        </is>
      </c>
      <c r="B15" t="inlineStr">
        <is>
          <t>19</t>
        </is>
      </c>
      <c r="C15" t="inlineStr">
        <is>
          <t>Salud y protección social</t>
        </is>
      </c>
      <c r="D15" t="inlineStr">
        <is>
          <t>1905</t>
        </is>
      </c>
      <c r="E15" t="inlineStr">
        <is>
          <t>Salud pública</t>
        </is>
      </c>
      <c r="F15" t="inlineStr">
        <is>
          <t>1905054</t>
        </is>
      </c>
      <c r="G15" t="inlineStr">
        <is>
          <t>Servicio de promoción de la salud</t>
        </is>
      </c>
      <c r="H15"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15" t="inlineStr">
        <is>
          <t>2024251750007</t>
        </is>
      </c>
      <c r="J15" s="99">
        <v>6418974753.89</v>
      </c>
      <c r="K15" s="99">
        <v>1307594792</v>
      </c>
      <c r="L15" s="99">
        <v>2253190377.89</v>
      </c>
      <c r="M15" s="99">
        <v>1408594792</v>
      </c>
      <c r="N15" s="99">
        <v>1449594792</v>
      </c>
      <c r="O15" s="99">
        <v>288046893</v>
      </c>
      <c r="P15" s="99">
        <v>288046893</v>
      </c>
      <c r="Q15" s="99">
        <v>288046893</v>
      </c>
      <c r="R15" s="100">
        <v>0.220287580496879</v>
      </c>
      <c r="S15" t="inlineStr">
        <is>
          <t>Lo obligado está por debajo de lo programado en la vigencia</t>
        </is>
      </c>
      <c r="T15" s="101">
        <v>2253190377</v>
      </c>
      <c r="U15" s="101">
        <v>1362305812</v>
      </c>
      <c r="V15" s="101">
        <v>1362305812</v>
      </c>
      <c r="W15" s="102">
        <v>0.60461194285577</v>
      </c>
      <c r="X15" t="inlineStr">
        <is>
          <t>Lo obligado está por debajo de lo programado en la vigencia</t>
        </is>
      </c>
    </row>
    <row r="16">
      <c r="A16" t="inlineStr">
        <is>
          <t>IP-276</t>
        </is>
      </c>
      <c r="B16" t="inlineStr">
        <is>
          <t>19</t>
        </is>
      </c>
      <c r="C16" t="inlineStr">
        <is>
          <t>Salud y protección social</t>
        </is>
      </c>
      <c r="D16" t="inlineStr">
        <is>
          <t>1905</t>
        </is>
      </c>
      <c r="E16" t="inlineStr">
        <is>
          <t>Salud pública</t>
        </is>
      </c>
      <c r="F16" t="inlineStr">
        <is>
          <t>1905040</t>
        </is>
      </c>
      <c r="G16" t="inlineStr">
        <is>
          <t>Servicio de certificación de discapacidad para las personas con discapacidad</t>
        </is>
      </c>
      <c r="H16" t="inlineStr">
        <is>
          <t>Corresponde a las acciones para la valoración clínica multidisciplinaria simultánea para identificar la condición de discapacidad, registro de localización y caracterización de las personas con discapacidad y generación del certificado de discapacidad.</t>
        </is>
      </c>
      <c r="I16" t="inlineStr">
        <is>
          <t>2024251750006</t>
        </is>
      </c>
      <c r="J16" s="99">
        <v>541700000</v>
      </c>
      <c r="K16" s="99">
        <v>150000000</v>
      </c>
      <c r="L16" s="99">
        <v>91700000</v>
      </c>
      <c r="M16" s="99">
        <v>150000000</v>
      </c>
      <c r="N16" s="99">
        <v>150000000</v>
      </c>
      <c r="O16" s="99">
        <v>17698095</v>
      </c>
      <c r="P16" s="99">
        <v>17698095</v>
      </c>
      <c r="Q16" s="99">
        <v>0</v>
      </c>
      <c r="R16" s="100">
        <v>0.1179873</v>
      </c>
      <c r="S16" t="inlineStr">
        <is>
          <t>Lo obligado está por debajo de lo programado en la vigencia</t>
        </is>
      </c>
      <c r="T16" s="101">
        <v>90000000</v>
      </c>
      <c r="U16" s="101">
        <v>56825769</v>
      </c>
      <c r="V16" s="101">
        <v>56825769</v>
      </c>
      <c r="W16" s="102">
        <v>0.61969213740458</v>
      </c>
      <c r="X16" t="inlineStr">
        <is>
          <t>Lo obligado está por debajo de lo programado en la vigencia</t>
        </is>
      </c>
    </row>
    <row r="17">
      <c r="A17" t="inlineStr">
        <is>
          <t>IP-277, IP-301</t>
        </is>
      </c>
      <c r="B17" t="inlineStr">
        <is>
          <t>19</t>
        </is>
      </c>
      <c r="C17" t="inlineStr">
        <is>
          <t>Salud y protección social</t>
        </is>
      </c>
      <c r="D17" t="inlineStr">
        <is>
          <t>1905</t>
        </is>
      </c>
      <c r="E17" t="inlineStr">
        <is>
          <t>Salud pública</t>
        </is>
      </c>
      <c r="F17" t="inlineStr">
        <is>
          <t>1905021</t>
        </is>
      </c>
      <c r="G17" t="inlineStr">
        <is>
          <t>Servicio de gestión del riesgo en temas de salud sexual y reproductiva</t>
        </is>
      </c>
      <c r="H17" t="inlineStr">
        <is>
          <t>Corresponde a las acciones relacionadas con la prevención y mitigación de riesgos que afectan la salud sexual y reproductiva de las personas en el curso de su vida desde un enfoque de derechos.</t>
        </is>
      </c>
      <c r="I17" t="inlineStr">
        <is>
          <t>2024251750007</t>
        </is>
      </c>
      <c r="J17" s="99">
        <v>638171500</v>
      </c>
      <c r="K17" s="99">
        <v>156000000</v>
      </c>
      <c r="L17" s="99">
        <v>126612500</v>
      </c>
      <c r="M17" s="99">
        <v>170790000</v>
      </c>
      <c r="N17" s="99">
        <v>184769000</v>
      </c>
      <c r="O17" s="99">
        <v>65830000</v>
      </c>
      <c r="P17" s="99">
        <v>65830000</v>
      </c>
      <c r="Q17" s="99">
        <v>65830000</v>
      </c>
      <c r="R17" s="100">
        <v>0.42198717948718</v>
      </c>
      <c r="S17" t="inlineStr">
        <is>
          <t>Lo obligado está por debajo de lo programado en la vigencia</t>
        </is>
      </c>
      <c r="T17" s="101">
        <v>120795500</v>
      </c>
      <c r="U17" s="101">
        <v>84105000</v>
      </c>
      <c r="V17" s="101">
        <v>84105000</v>
      </c>
      <c r="W17" s="102">
        <v>0.664270905321355</v>
      </c>
      <c r="X17" t="inlineStr">
        <is>
          <t>Lo obligado está por debajo de lo programado en la vigencia</t>
        </is>
      </c>
    </row>
    <row r="18">
      <c r="A18" t="inlineStr">
        <is>
          <t>IP-278</t>
        </is>
      </c>
      <c r="B18" t="inlineStr">
        <is>
          <t>41</t>
        </is>
      </c>
      <c r="C18" t="inlineStr">
        <is>
          <t xml:space="preserve">Inclusión social y reconciliación </t>
        </is>
      </c>
      <c r="D18" t="inlineStr">
        <is>
          <t>4102</t>
        </is>
      </c>
      <c r="E18" t="inlineStr">
        <is>
          <t>Desarrollo integral de la primera infancia a la juventud, y fortalecimiento de las capacidades de las familias de niñas, niños y adolescentes</t>
        </is>
      </c>
      <c r="F18" t="inlineStr">
        <is>
          <t>4102045</t>
        </is>
      </c>
      <c r="G18" t="inlineStr">
        <is>
          <t>Servicios de educación informal a niños, niñas, adolescentes  y jóvenes para el reconocimiento de sus derechos</t>
        </is>
      </c>
      <c r="H18" t="inlineStr">
        <is>
          <t>Servicios mediante los cuales se socializan a los niños, niñas, adolescentes y jóvenes;  al igual que a sus padres, madres, cuidadores y docentes, los temas relacionados con el reconocimiento de los derechos de la niñez, la adolescencia y la juventud.</t>
        </is>
      </c>
      <c r="I18" t="inlineStr">
        <is>
          <t>2024251750060</t>
        </is>
      </c>
      <c r="J18" s="99">
        <v>374168040</v>
      </c>
      <c r="K18" s="99">
        <v>120000000</v>
      </c>
      <c r="L18" s="99">
        <v>69825000</v>
      </c>
      <c r="M18" s="99">
        <v>91440000</v>
      </c>
      <c r="N18" s="99">
        <v>92903040</v>
      </c>
      <c r="O18" s="99">
        <v>19950000</v>
      </c>
      <c r="P18" s="99">
        <v>19950000</v>
      </c>
      <c r="Q18" s="99">
        <v>19950000</v>
      </c>
      <c r="R18" s="100">
        <v>0.16625</v>
      </c>
      <c r="S18" t="inlineStr">
        <is>
          <t>Lo obligado está por debajo de lo programado en la vigencia</t>
        </is>
      </c>
      <c r="T18" s="101">
        <v>55860000</v>
      </c>
      <c r="U18" s="101">
        <v>41895000</v>
      </c>
      <c r="V18" s="101">
        <v>41895000</v>
      </c>
      <c r="W18" s="102">
        <v>0.6</v>
      </c>
      <c r="X18" t="inlineStr">
        <is>
          <t>Lo obligado está por debajo de lo programado en la vigencia</t>
        </is>
      </c>
    </row>
    <row r="19">
      <c r="A19" t="inlineStr">
        <is>
          <t>IP-279</t>
        </is>
      </c>
      <c r="B19" t="inlineStr">
        <is>
          <t>41</t>
        </is>
      </c>
      <c r="C19" t="inlineStr">
        <is>
          <t xml:space="preserve">Inclusión social y reconciliación </t>
        </is>
      </c>
      <c r="D19" t="inlineStr">
        <is>
          <t>4102</t>
        </is>
      </c>
      <c r="E19" t="inlineStr">
        <is>
          <t>Desarrollo integral de la primera infancia a la juventud, y fortalecimiento de las capacidades de las familias de niñas, niños y adolescentes</t>
        </is>
      </c>
      <c r="F19" t="inlineStr">
        <is>
          <t>4102051</t>
        </is>
      </c>
      <c r="G19" t="inlineStr">
        <is>
          <t>Documentos de planeación</t>
        </is>
      </c>
      <c r="H19"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9" t="inlineStr">
        <is>
          <t>2024251750060</t>
        </is>
      </c>
      <c r="J19" s="99">
        <v>951820932</v>
      </c>
      <c r="K19" s="99">
        <v>204000000</v>
      </c>
      <c r="L19" s="99">
        <v>116840000</v>
      </c>
      <c r="M19" s="99">
        <v>210580224</v>
      </c>
      <c r="N19" s="99">
        <v>420400708</v>
      </c>
      <c r="O19" s="99">
        <v>18690000</v>
      </c>
      <c r="P19" s="99">
        <v>18690000</v>
      </c>
      <c r="Q19" s="99">
        <v>18690000</v>
      </c>
      <c r="R19" s="100">
        <v>0.0916176470588235</v>
      </c>
      <c r="S19" t="inlineStr">
        <is>
          <t>Lo obligado está por debajo de lo programado en la vigencia</t>
        </is>
      </c>
      <c r="T19" s="101">
        <v>54423300</v>
      </c>
      <c r="U19" s="101">
        <v>54422800</v>
      </c>
      <c r="V19" s="101">
        <v>54422800</v>
      </c>
      <c r="W19" s="102">
        <v>0.465789113317357</v>
      </c>
      <c r="X19" t="inlineStr">
        <is>
          <t>Lo obligado está por debajo de lo programado en la vigencia</t>
        </is>
      </c>
    </row>
    <row r="20">
      <c r="A20" t="inlineStr">
        <is>
          <t>IP-280</t>
        </is>
      </c>
      <c r="B20" t="inlineStr">
        <is>
          <t>41</t>
        </is>
      </c>
      <c r="C20" t="inlineStr">
        <is>
          <t xml:space="preserve">Inclusión social y reconciliación </t>
        </is>
      </c>
      <c r="D20" t="inlineStr">
        <is>
          <t>4102</t>
        </is>
      </c>
      <c r="E20" t="inlineStr">
        <is>
          <t>Desarrollo integral de la primera infancia a la juventud, y fortalecimiento de las capacidades de las familias de niñas, niños y adolescentes</t>
        </is>
      </c>
      <c r="F20" t="inlineStr">
        <is>
          <t>4102049</t>
        </is>
      </c>
      <c r="G20" t="inlineStr">
        <is>
          <t>Edificaciones de atención a la adolescencia y juventud adecuadas</t>
        </is>
      </c>
      <c r="H20" t="inlineStr">
        <is>
          <t>Adecuación  de infraestructuras dirigidas  específicamente  a prestar servicio de atención a adolescencia y juventud.</t>
        </is>
      </c>
      <c r="I20" t="inlineStr">
        <is>
          <t>2024251750060</t>
        </is>
      </c>
      <c r="J20" s="99">
        <v>0</v>
      </c>
      <c r="K20" s="99">
        <v>0</v>
      </c>
      <c r="L20" s="99">
        <v>0</v>
      </c>
      <c r="M20" s="99">
        <v>0</v>
      </c>
      <c r="N20" s="99">
        <v>0</v>
      </c>
      <c r="O20" s="99" t="inlineStr">
        <is>
          <t xml:space="preserve"> </t>
        </is>
      </c>
      <c r="P20" s="99" t="inlineStr">
        <is>
          <t xml:space="preserve"> </t>
        </is>
      </c>
      <c r="Q20" s="99" t="inlineStr">
        <is>
          <t xml:space="preserve"> </t>
        </is>
      </c>
      <c r="R20" s="100" t="inlineStr">
        <is>
          <t xml:space="preserve"> </t>
        </is>
      </c>
      <c r="S20" t="inlineStr">
        <is>
          <t>No se encontró ejecución en CUIPO</t>
        </is>
      </c>
      <c r="T20" s="101" t="inlineStr">
        <is>
          <t xml:space="preserve"> </t>
        </is>
      </c>
      <c r="U20" s="101" t="inlineStr">
        <is>
          <t xml:space="preserve"> </t>
        </is>
      </c>
      <c r="V20" s="101" t="inlineStr">
        <is>
          <t xml:space="preserve"> </t>
        </is>
      </c>
      <c r="W20" s="102" t="inlineStr">
        <is>
          <t xml:space="preserve"> </t>
        </is>
      </c>
      <c r="X20" t="inlineStr">
        <is>
          <t>No se encontró ejecución en CUIPO</t>
        </is>
      </c>
    </row>
    <row r="21">
      <c r="A21" t="inlineStr">
        <is>
          <t>IP-281</t>
        </is>
      </c>
      <c r="B21" t="inlineStr">
        <is>
          <t>41</t>
        </is>
      </c>
      <c r="C21" t="inlineStr">
        <is>
          <t xml:space="preserve">Inclusión social y reconciliación </t>
        </is>
      </c>
      <c r="D21" t="inlineStr">
        <is>
          <t>4102</t>
        </is>
      </c>
      <c r="E21" t="inlineStr">
        <is>
          <t>Desarrollo integral de la primera infancia a la juventud, y fortalecimiento de las capacidades de las familias de niñas, niños y adolescentes</t>
        </is>
      </c>
      <c r="F21" t="inlineStr">
        <is>
          <t>4102005</t>
        </is>
      </c>
      <c r="G21" t="inlineStr">
        <is>
          <t>Edificaciones de atención a la primera infancia adecuadas</t>
        </is>
      </c>
      <c r="H21" t="inlineStr">
        <is>
          <t xml:space="preserve">Adecuación de infraestructuras dirigidas  específicamente  a prestar Servicio de atención integral a la primera infancia.  </t>
        </is>
      </c>
      <c r="I21" t="inlineStr">
        <is>
          <t>2024251750060</t>
        </is>
      </c>
      <c r="J21" s="99">
        <v>203200000</v>
      </c>
      <c r="K21" s="99">
        <v>0</v>
      </c>
      <c r="L21" s="99">
        <v>0</v>
      </c>
      <c r="M21" s="99">
        <v>203200000</v>
      </c>
      <c r="N21" s="99">
        <v>0</v>
      </c>
      <c r="O21" s="99" t="inlineStr">
        <is>
          <t xml:space="preserve"> </t>
        </is>
      </c>
      <c r="P21" s="99" t="inlineStr">
        <is>
          <t xml:space="preserve"> </t>
        </is>
      </c>
      <c r="Q21" s="99" t="inlineStr">
        <is>
          <t xml:space="preserve"> </t>
        </is>
      </c>
      <c r="R21" s="100" t="inlineStr">
        <is>
          <t xml:space="preserve"> </t>
        </is>
      </c>
      <c r="S21" t="inlineStr">
        <is>
          <t>No se encontró ejecución en CUIPO</t>
        </is>
      </c>
      <c r="T21" s="101" t="inlineStr">
        <is>
          <t xml:space="preserve"> </t>
        </is>
      </c>
      <c r="U21" s="101" t="inlineStr">
        <is>
          <t xml:space="preserve"> </t>
        </is>
      </c>
      <c r="V21" s="101" t="inlineStr">
        <is>
          <t xml:space="preserve"> </t>
        </is>
      </c>
      <c r="W21" s="102" t="inlineStr">
        <is>
          <t xml:space="preserve"> </t>
        </is>
      </c>
      <c r="X21" t="inlineStr">
        <is>
          <t>No se encontró ejecución en CUIPO</t>
        </is>
      </c>
    </row>
    <row r="22">
      <c r="A22" t="inlineStr">
        <is>
          <t>IP-282, IP-288</t>
        </is>
      </c>
      <c r="B22" t="inlineStr">
        <is>
          <t>41</t>
        </is>
      </c>
      <c r="C22" t="inlineStr">
        <is>
          <t xml:space="preserve">Inclusión social y reconciliación </t>
        </is>
      </c>
      <c r="D22" t="inlineStr">
        <is>
          <t>4103</t>
        </is>
      </c>
      <c r="E22" t="inlineStr">
        <is>
          <t>Inclusión social y productiva para la población en situación de vulnerabilidad</t>
        </is>
      </c>
      <c r="F22" t="inlineStr">
        <is>
          <t>4103061</t>
        </is>
      </c>
      <c r="G22" t="inlineStr">
        <is>
          <t>Servicio de apoyo financiero para la entrega de transferencias monetarias no condicionadas</t>
        </is>
      </c>
      <c r="H22" t="inlineStr">
        <is>
          <t>Corresponde al apoyo financiero otorgado a la población en situación de vulnerabilidad o pobreza, con el fin de ser un complemento a los ingresos de dicha población.</t>
        </is>
      </c>
      <c r="I22" t="inlineStr">
        <is>
          <t>2024251750059</t>
        </is>
      </c>
      <c r="J22" s="99">
        <v>6250000000</v>
      </c>
      <c r="K22" s="99">
        <v>0</v>
      </c>
      <c r="L22" s="99">
        <v>800000000</v>
      </c>
      <c r="M22" s="99">
        <v>2400000000</v>
      </c>
      <c r="N22" s="99">
        <v>3050000000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IP-283</t>
        </is>
      </c>
      <c r="B23" t="inlineStr">
        <is>
          <t>41</t>
        </is>
      </c>
      <c r="C23" t="inlineStr">
        <is>
          <t xml:space="preserve">Inclusión social y reconciliación </t>
        </is>
      </c>
      <c r="D23" t="inlineStr">
        <is>
          <t>4103</t>
        </is>
      </c>
      <c r="E23" t="inlineStr">
        <is>
          <t>Inclusión social y productiva para la población en situación de vulnerabilidad</t>
        </is>
      </c>
      <c r="F23" t="inlineStr">
        <is>
          <t>4103069</t>
        </is>
      </c>
      <c r="G23" t="inlineStr">
        <is>
          <t>Servicio de información implementado</t>
        </is>
      </c>
      <c r="H23" t="inlineStr">
        <is>
          <t>Corresponde al proceso que asegura la disposición de la información de manera accesible, confiable y oportuna.</t>
        </is>
      </c>
      <c r="I23" t="inlineStr">
        <is>
          <t>2024251750059</t>
        </is>
      </c>
      <c r="J23" s="99">
        <v>888885553.67</v>
      </c>
      <c r="K23" s="99">
        <v>430000000</v>
      </c>
      <c r="L23" s="99">
        <v>84300496.67</v>
      </c>
      <c r="M23" s="99">
        <v>185806080</v>
      </c>
      <c r="N23" s="99">
        <v>188778977</v>
      </c>
      <c r="O23" s="99">
        <v>5500000</v>
      </c>
      <c r="P23" s="99">
        <v>5500000</v>
      </c>
      <c r="Q23" s="99">
        <v>5500000</v>
      </c>
      <c r="R23" s="100">
        <v>0.0127906976744186</v>
      </c>
      <c r="S23" t="inlineStr">
        <is>
          <t>Lo obligado está por debajo de lo programado en la vigencia</t>
        </is>
      </c>
      <c r="T23" s="101">
        <v>65700000</v>
      </c>
      <c r="U23" s="101">
        <v>52500000</v>
      </c>
      <c r="V23" s="101">
        <v>52500000</v>
      </c>
      <c r="W23" s="102">
        <v>0.622772131527467</v>
      </c>
      <c r="X23" t="inlineStr">
        <is>
          <t>Lo obligado está por debajo de lo programado en la vigencia</t>
        </is>
      </c>
    </row>
    <row r="24">
      <c r="A24" t="inlineStr">
        <is>
          <t>IP-286</t>
        </is>
      </c>
      <c r="B24" t="inlineStr">
        <is>
          <t>41</t>
        </is>
      </c>
      <c r="C24" t="inlineStr">
        <is>
          <t xml:space="preserve">Inclusión social y reconciliación </t>
        </is>
      </c>
      <c r="D24" t="inlineStr">
        <is>
          <t>4104</t>
        </is>
      </c>
      <c r="E24" t="inlineStr">
        <is>
          <t>Atención integral de población en situación permanente de desprotección social y/o familiar</t>
        </is>
      </c>
      <c r="F24" t="inlineStr">
        <is>
          <t>4104024</t>
        </is>
      </c>
      <c r="G24" t="inlineStr">
        <is>
          <t>Centros de protección social de día para el adulto mayor ampliados</t>
        </is>
      </c>
      <c r="H24" t="inlineStr">
        <is>
          <t>Corresponde a la ampliación de infraestructura destinada a brindar servicios diurnos para el cuidado, bienestar integral y asistencia social de los adultos mayores en condicionesde descuido, abandono o víctimas de violencia intrafamiliar.</t>
        </is>
      </c>
      <c r="I24" t="inlineStr">
        <is>
          <t>2024251750061</t>
        </is>
      </c>
      <c r="J24" s="99">
        <v>304825600</v>
      </c>
      <c r="K24" s="99">
        <v>0</v>
      </c>
      <c r="L24" s="99">
        <v>0</v>
      </c>
      <c r="M24" s="99">
        <v>201600000</v>
      </c>
      <c r="N24" s="99">
        <v>103225600</v>
      </c>
      <c r="O24" s="99" t="inlineStr">
        <is>
          <t xml:space="preserve"> </t>
        </is>
      </c>
      <c r="P24" s="99" t="inlineStr">
        <is>
          <t xml:space="preserve"> </t>
        </is>
      </c>
      <c r="Q24" s="99" t="inlineStr">
        <is>
          <t xml:space="preserve"> </t>
        </is>
      </c>
      <c r="R24" s="100" t="inlineStr">
        <is>
          <t xml:space="preserve"> </t>
        </is>
      </c>
      <c r="S24" t="inlineStr">
        <is>
          <t>No se encontró ejecución en CUIPO</t>
        </is>
      </c>
      <c r="T24" s="101" t="inlineStr">
        <is>
          <t xml:space="preserve"> </t>
        </is>
      </c>
      <c r="U24" s="101" t="inlineStr">
        <is>
          <t xml:space="preserve"> </t>
        </is>
      </c>
      <c r="V24" s="101" t="inlineStr">
        <is>
          <t xml:space="preserve"> </t>
        </is>
      </c>
      <c r="W24" s="102" t="inlineStr">
        <is>
          <t xml:space="preserve"> </t>
        </is>
      </c>
      <c r="X24" t="inlineStr">
        <is>
          <t>No se encontró ejecución en CUIPO</t>
        </is>
      </c>
    </row>
    <row r="25">
      <c r="A25" t="inlineStr">
        <is>
          <t>IP-287</t>
        </is>
      </c>
      <c r="B25" t="inlineStr">
        <is>
          <t>41</t>
        </is>
      </c>
      <c r="C25" t="inlineStr">
        <is>
          <t xml:space="preserve">Inclusión social y reconciliación </t>
        </is>
      </c>
      <c r="D25" t="inlineStr">
        <is>
          <t>4104</t>
        </is>
      </c>
      <c r="E25" t="inlineStr">
        <is>
          <t>Atención integral de población en situación permanente de desprotección social y/o familiar</t>
        </is>
      </c>
      <c r="F25" t="inlineStr">
        <is>
          <t>4104020</t>
        </is>
      </c>
      <c r="G25" t="inlineStr">
        <is>
          <t>Servicio de atención integral a población en condición de discapacidad</t>
        </is>
      </c>
      <c r="H25" t="inlineStr">
        <is>
          <t>Servicios integrales que incluyen aspectos relacionados con atención en salud, cuidado, alimentación, hospedaje, formación para el trabajo, inclusión productiva, recreación, entre otros, para población en condición de discapacidad.</t>
        </is>
      </c>
      <c r="I25" t="inlineStr">
        <is>
          <t>2024251750061</t>
        </is>
      </c>
      <c r="J25" s="99">
        <v>14130175229.66</v>
      </c>
      <c r="K25" s="99">
        <v>2118504601</v>
      </c>
      <c r="L25" s="99">
        <v>6466107148.66</v>
      </c>
      <c r="M25" s="99">
        <v>2726529504</v>
      </c>
      <c r="N25" s="99">
        <v>2819033976</v>
      </c>
      <c r="O25" s="99">
        <v>1873230876</v>
      </c>
      <c r="P25" s="99">
        <v>1838590876</v>
      </c>
      <c r="Q25" s="99">
        <v>1838590876</v>
      </c>
      <c r="R25" s="100">
        <v>0.86787202403626</v>
      </c>
      <c r="S25" t="inlineStr">
        <is>
          <t>Lo obligado está por debajo de lo programado en la vigencia</t>
        </is>
      </c>
      <c r="T25" s="101">
        <v>5840858649</v>
      </c>
      <c r="U25" s="101">
        <v>4132184882</v>
      </c>
      <c r="V25" s="101">
        <v>4098126326</v>
      </c>
      <c r="W25" s="102">
        <v>0.639052955201389</v>
      </c>
      <c r="X25" t="inlineStr">
        <is>
          <t>Lo obligado está por debajo de lo programado en la vigencia</t>
        </is>
      </c>
    </row>
    <row r="26">
      <c r="A26" t="inlineStr">
        <is>
          <t>IP-289</t>
        </is>
      </c>
      <c r="B26" t="inlineStr">
        <is>
          <t>45</t>
        </is>
      </c>
      <c r="C26" t="inlineStr">
        <is>
          <t>Gobierno Territorial</t>
        </is>
      </c>
      <c r="D26" t="inlineStr">
        <is>
          <t>4599</t>
        </is>
      </c>
      <c r="E26" t="inlineStr">
        <is>
          <t>Fortalecimiento a la gestión y dirección de la administración pública territorial</t>
        </is>
      </c>
      <c r="F26" t="inlineStr">
        <is>
          <t>4599034</t>
        </is>
      </c>
      <c r="G26" t="inlineStr">
        <is>
          <t>Sedes dotadas</t>
        </is>
      </c>
      <c r="H26" t="inlineStr">
        <is>
          <t>Incluye el proceso de identificación de necesidades de dotación administrativa, así como la adquisición e instalación de mobiliario y demás elementos no consumibles requeridos para apoyar la prestación de los servicios de la entidad.</t>
        </is>
      </c>
      <c r="I26" t="inlineStr">
        <is>
          <t>2024251750062</t>
        </is>
      </c>
      <c r="J26" s="99">
        <v>363860480</v>
      </c>
      <c r="K26" s="99">
        <v>200000000</v>
      </c>
      <c r="L26" s="99">
        <v>0</v>
      </c>
      <c r="M26" s="99">
        <v>81280000</v>
      </c>
      <c r="N26" s="99">
        <v>82580480</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t="inlineStr">
        <is>
          <t xml:space="preserve"> </t>
        </is>
      </c>
      <c r="U26" s="101" t="inlineStr">
        <is>
          <t xml:space="preserve"> </t>
        </is>
      </c>
      <c r="V26" s="101" t="inlineStr">
        <is>
          <t xml:space="preserve"> </t>
        </is>
      </c>
      <c r="W26" s="102" t="inlineStr">
        <is>
          <t xml:space="preserve"> </t>
        </is>
      </c>
      <c r="X26" t="inlineStr">
        <is>
          <t>No se encontró ejecución en CUIPO</t>
        </is>
      </c>
    </row>
    <row r="27">
      <c r="A27" t="inlineStr">
        <is>
          <t>IP-290</t>
        </is>
      </c>
      <c r="B27" t="inlineStr">
        <is>
          <t>41</t>
        </is>
      </c>
      <c r="C27" t="inlineStr">
        <is>
          <t xml:space="preserve">Inclusión social y reconciliación </t>
        </is>
      </c>
      <c r="D27" t="inlineStr">
        <is>
          <t>4103</t>
        </is>
      </c>
      <c r="E27" t="inlineStr">
        <is>
          <t>Inclusión social y productiva para la población en situación de vulnerabilidad</t>
        </is>
      </c>
      <c r="F27" t="inlineStr">
        <is>
          <t>4103050</t>
        </is>
      </c>
      <c r="G27" t="inlineStr">
        <is>
          <t>Servicio de acompañamiento familiar y comunitario para la superación de la pobreza</t>
        </is>
      </c>
      <c r="H27"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27" t="inlineStr">
        <is>
          <t>2024251750059</t>
        </is>
      </c>
      <c r="J27" s="99">
        <v>1111346411</v>
      </c>
      <c r="K27" s="99">
        <v>600000000</v>
      </c>
      <c r="L27" s="99">
        <v>95140792</v>
      </c>
      <c r="M27" s="99">
        <v>206451200</v>
      </c>
      <c r="N27" s="99">
        <v>209754419</v>
      </c>
      <c r="O27" s="99">
        <v>24906666</v>
      </c>
      <c r="P27" s="99">
        <v>24906666</v>
      </c>
      <c r="Q27" s="99">
        <v>24266666</v>
      </c>
      <c r="R27" s="100">
        <v>0.04151111</v>
      </c>
      <c r="S27" t="inlineStr">
        <is>
          <t>Lo obligado está por debajo de lo programado en la vigencia</t>
        </is>
      </c>
      <c r="T27" s="101">
        <v>82320000</v>
      </c>
      <c r="U27" s="101">
        <v>61530000</v>
      </c>
      <c r="V27" s="101">
        <v>61530000</v>
      </c>
      <c r="W27" s="102">
        <v>0.646725749350499</v>
      </c>
      <c r="X27" t="inlineStr">
        <is>
          <t>Lo obligado está por debajo de lo programado en la vigencia</t>
        </is>
      </c>
    </row>
    <row r="28">
      <c r="A28" t="inlineStr">
        <is>
          <t>IP-291</t>
        </is>
      </c>
      <c r="B28" t="inlineStr">
        <is>
          <t>41</t>
        </is>
      </c>
      <c r="C28" t="inlineStr">
        <is>
          <t xml:space="preserve">Inclusión social y reconciliación </t>
        </is>
      </c>
      <c r="D28" t="inlineStr">
        <is>
          <t>4104</t>
        </is>
      </c>
      <c r="E28" t="inlineStr">
        <is>
          <t>Atención integral de población en situación permanente de desprotección social y/o familiar</t>
        </is>
      </c>
      <c r="F28" t="inlineStr">
        <is>
          <t>4104041</t>
        </is>
      </c>
      <c r="G28" t="inlineStr">
        <is>
          <t xml:space="preserve">Centros de atención integral para personas con discapacidad construidos </t>
        </is>
      </c>
      <c r="H28" t="inlineStr">
        <is>
          <t>Corresponde a la construcción de infraestructura destinada al ofrecimiento de servicios de atención integral para población en condición de discapacidad.</t>
        </is>
      </c>
      <c r="I28" t="inlineStr">
        <is>
          <t>2022251750004</t>
        </is>
      </c>
      <c r="J28" s="99">
        <v>2241017600</v>
      </c>
      <c r="K28" s="99">
        <v>500000000</v>
      </c>
      <c r="L28" s="99">
        <v>0</v>
      </c>
      <c r="M28" s="99">
        <v>863600000</v>
      </c>
      <c r="N28" s="99">
        <v>877417600</v>
      </c>
      <c r="O28" s="99">
        <v>474000000</v>
      </c>
      <c r="P28" s="99">
        <v>0</v>
      </c>
      <c r="Q28" s="99">
        <v>0</v>
      </c>
      <c r="R28" s="100">
        <v>0</v>
      </c>
      <c r="S28" t="inlineStr">
        <is>
          <t>No se ejecutó en la vigencia</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IP-292</t>
        </is>
      </c>
      <c r="B29" t="inlineStr">
        <is>
          <t>45</t>
        </is>
      </c>
      <c r="C29" t="inlineStr">
        <is>
          <t>Gobierno Territorial</t>
        </is>
      </c>
      <c r="D29" t="inlineStr">
        <is>
          <t>4502</t>
        </is>
      </c>
      <c r="E29" t="inlineStr">
        <is>
          <t>Fortalecimiento del buen gobierno para el respeto y garantía de los derechos humanos.</t>
        </is>
      </c>
      <c r="F29" t="inlineStr">
        <is>
          <t>4502001</t>
        </is>
      </c>
      <c r="G29" t="inlineStr">
        <is>
          <t>Servicio de promoción a la participación ciudadana</t>
        </is>
      </c>
      <c r="H29" t="inlineStr">
        <is>
          <t>Corresponde al diseño e implementación de acciones y estrategias que promuevan el ejercicio de la participación ciudadana para el respeto y garantía de los derechos humanos</t>
        </is>
      </c>
      <c r="I29" t="inlineStr">
        <is>
          <t>2024251750066</t>
        </is>
      </c>
      <c r="J29" s="99">
        <v>1382912792</v>
      </c>
      <c r="K29" s="99">
        <v>288000000</v>
      </c>
      <c r="L29" s="99">
        <v>495576700</v>
      </c>
      <c r="M29" s="99">
        <v>297289728</v>
      </c>
      <c r="N29" s="99">
        <v>302046364</v>
      </c>
      <c r="O29" s="99">
        <v>376950333</v>
      </c>
      <c r="P29" s="99">
        <v>364050831</v>
      </c>
      <c r="Q29" s="99">
        <v>364050831</v>
      </c>
      <c r="R29" s="100">
        <v>1.26406538541667</v>
      </c>
      <c r="S29" t="inlineStr">
        <is>
          <t>Hubo ejecución por encima de lo programado en SisPT</t>
        </is>
      </c>
      <c r="T29" s="101">
        <v>137347628</v>
      </c>
      <c r="U29" s="101">
        <v>74077500</v>
      </c>
      <c r="V29" s="101">
        <v>70927500</v>
      </c>
      <c r="W29" s="102">
        <v>0.149477366470215</v>
      </c>
      <c r="X29" t="inlineStr">
        <is>
          <t>Lo obligado está por debajo de lo programado en la vigencia</t>
        </is>
      </c>
    </row>
    <row r="30">
      <c r="A30" t="inlineStr">
        <is>
          <t>IP-293</t>
        </is>
      </c>
      <c r="B30" t="inlineStr">
        <is>
          <t>45</t>
        </is>
      </c>
      <c r="C30" t="inlineStr">
        <is>
          <t>Gobierno Territorial</t>
        </is>
      </c>
      <c r="D30" t="inlineStr">
        <is>
          <t>4502</t>
        </is>
      </c>
      <c r="E30" t="inlineStr">
        <is>
          <t>Fortalecimiento del buen gobierno para el respeto y garantía de los derechos humanos.</t>
        </is>
      </c>
      <c r="F30" t="inlineStr">
        <is>
          <t>4502038</t>
        </is>
      </c>
      <c r="G30" t="inlineStr">
        <is>
          <t>Servicio de promoción de la garantía de derechos</t>
        </is>
      </c>
      <c r="H30" t="inlineStr">
        <is>
          <t>Incluye el desarrollo de acciones orientadas a divulgar y promover los mecanismos de atención, protección y ejercicio de los derechos de las mujeres, población LGTBI y personas y comunidades en riesgo así como la prevención de su vulneración.</t>
        </is>
      </c>
      <c r="I30" t="inlineStr">
        <is>
          <t>2024251750063</t>
        </is>
      </c>
      <c r="J30" s="99">
        <v>882244000</v>
      </c>
      <c r="K30" s="99">
        <v>280000000</v>
      </c>
      <c r="L30" s="99">
        <v>90180000</v>
      </c>
      <c r="M30" s="99">
        <v>254000000</v>
      </c>
      <c r="N30" s="99">
        <v>258064000</v>
      </c>
      <c r="O30" s="99">
        <v>9166666</v>
      </c>
      <c r="P30" s="99">
        <v>9166666</v>
      </c>
      <c r="Q30" s="99">
        <v>9166666</v>
      </c>
      <c r="R30" s="100">
        <v>0.0327380928571429</v>
      </c>
      <c r="S30" t="inlineStr">
        <is>
          <t>Lo obligado está por debajo de lo programado en la vigencia</t>
        </is>
      </c>
      <c r="T30" s="101">
        <v>71130000</v>
      </c>
      <c r="U30" s="101">
        <v>60690000</v>
      </c>
      <c r="V30" s="101">
        <v>57090000</v>
      </c>
      <c r="W30" s="102">
        <v>0.672987358616101</v>
      </c>
      <c r="X30" t="inlineStr">
        <is>
          <t>Lo obligado está por debajo de lo programado en la vigencia</t>
        </is>
      </c>
    </row>
    <row r="31">
      <c r="A31" t="inlineStr">
        <is>
          <t>IP-294</t>
        </is>
      </c>
      <c r="B31" t="inlineStr">
        <is>
          <t>45</t>
        </is>
      </c>
      <c r="C31" t="inlineStr">
        <is>
          <t>Gobierno Territorial</t>
        </is>
      </c>
      <c r="D31" t="inlineStr">
        <is>
          <t>4599</t>
        </is>
      </c>
      <c r="E31" t="inlineStr">
        <is>
          <t>Fortalecimiento a la gestión y dirección de la administración pública territorial</t>
        </is>
      </c>
      <c r="F31" t="inlineStr">
        <is>
          <t>4599032</t>
        </is>
      </c>
      <c r="G31" t="inlineStr">
        <is>
          <t>Documentos de política</t>
        </is>
      </c>
      <c r="H31"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31" t="inlineStr">
        <is>
          <t>2024251750062</t>
        </is>
      </c>
      <c r="J31" s="99">
        <v>357833728</v>
      </c>
      <c r="K31" s="99">
        <v>0</v>
      </c>
      <c r="L31" s="99">
        <v>280000000</v>
      </c>
      <c r="M31" s="99">
        <v>38608000</v>
      </c>
      <c r="N31" s="99">
        <v>39225728</v>
      </c>
      <c r="O31" s="99" t="inlineStr">
        <is>
          <t xml:space="preserve"> </t>
        </is>
      </c>
      <c r="P31" s="99" t="inlineStr">
        <is>
          <t xml:space="preserve"> </t>
        </is>
      </c>
      <c r="Q31" s="99" t="inlineStr">
        <is>
          <t xml:space="preserve"> </t>
        </is>
      </c>
      <c r="R31" s="100" t="inlineStr">
        <is>
          <t xml:space="preserve"> </t>
        </is>
      </c>
      <c r="S31" t="inlineStr">
        <is>
          <t>No se encontró ejecución en CUIPO</t>
        </is>
      </c>
      <c r="T31" s="101" t="inlineStr">
        <is>
          <t xml:space="preserve"> </t>
        </is>
      </c>
      <c r="U31" s="101" t="inlineStr">
        <is>
          <t xml:space="preserve"> </t>
        </is>
      </c>
      <c r="V31" s="101" t="inlineStr">
        <is>
          <t xml:space="preserve"> </t>
        </is>
      </c>
      <c r="W31" s="102" t="inlineStr">
        <is>
          <t xml:space="preserve"> </t>
        </is>
      </c>
      <c r="X31" t="inlineStr">
        <is>
          <t>No se encontró ejecución en CUIPO</t>
        </is>
      </c>
    </row>
    <row r="32">
      <c r="A32" t="inlineStr">
        <is>
          <t>IP-295</t>
        </is>
      </c>
      <c r="B32" t="inlineStr">
        <is>
          <t>45</t>
        </is>
      </c>
      <c r="C32" t="inlineStr">
        <is>
          <t>Gobierno Territorial</t>
        </is>
      </c>
      <c r="D32" t="inlineStr">
        <is>
          <t>4599</t>
        </is>
      </c>
      <c r="E32" t="inlineStr">
        <is>
          <t>Fortalecimiento a la gestión y dirección de la administración pública territorial</t>
        </is>
      </c>
      <c r="F32" t="inlineStr">
        <is>
          <t>4599016</t>
        </is>
      </c>
      <c r="G32" t="inlineStr">
        <is>
          <t>Sedes mantenidas</t>
        </is>
      </c>
      <c r="H32"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32" t="inlineStr">
        <is>
          <t>2024251750062</t>
        </is>
      </c>
      <c r="J32" s="99">
        <v>600800479</v>
      </c>
      <c r="K32" s="99">
        <v>195000000</v>
      </c>
      <c r="L32" s="99">
        <v>0</v>
      </c>
      <c r="M32" s="99">
        <v>201289920</v>
      </c>
      <c r="N32" s="99">
        <v>204510559</v>
      </c>
      <c r="O32" s="99" t="inlineStr">
        <is>
          <t xml:space="preserve"> </t>
        </is>
      </c>
      <c r="P32" s="99" t="inlineStr">
        <is>
          <t xml:space="preserve"> </t>
        </is>
      </c>
      <c r="Q32" s="99" t="inlineStr">
        <is>
          <t xml:space="preserve"> </t>
        </is>
      </c>
      <c r="R32" s="100" t="inlineStr">
        <is>
          <t xml:space="preserve"> </t>
        </is>
      </c>
      <c r="S32" t="inlineStr">
        <is>
          <t>No se encontró ejecución en CUIPO</t>
        </is>
      </c>
      <c r="T32" s="101" t="inlineStr">
        <is>
          <t xml:space="preserve"> </t>
        </is>
      </c>
      <c r="U32" s="101" t="inlineStr">
        <is>
          <t xml:space="preserve"> </t>
        </is>
      </c>
      <c r="V32" s="101" t="inlineStr">
        <is>
          <t xml:space="preserve"> </t>
        </is>
      </c>
      <c r="W32" s="102" t="inlineStr">
        <is>
          <t xml:space="preserve"> </t>
        </is>
      </c>
      <c r="X32" t="inlineStr">
        <is>
          <t>No se encontró ejecución en CUIPO</t>
        </is>
      </c>
    </row>
    <row r="33">
      <c r="A33" t="inlineStr">
        <is>
          <t>IP-296</t>
        </is>
      </c>
      <c r="B33" t="inlineStr">
        <is>
          <t>19</t>
        </is>
      </c>
      <c r="C33" t="inlineStr">
        <is>
          <t>Salud y protección social</t>
        </is>
      </c>
      <c r="D33" t="inlineStr">
        <is>
          <t>1903</t>
        </is>
      </c>
      <c r="E33" t="inlineStr">
        <is>
          <t>Inspección, vigilancia y control</t>
        </is>
      </c>
      <c r="F33" t="inlineStr">
        <is>
          <t>1903040</t>
        </is>
      </c>
      <c r="G33" t="inlineStr">
        <is>
          <t>Servicio de vigilancia de calidad del agua para consumo humano, recolección, transporte y disposición final de residuos sólidos; manejo y disposición final de radiaciones ionizantes, excretas, residuos líquidos y aguas servidas y calidad del aire.</t>
        </is>
      </c>
      <c r="H33" t="inlineStr">
        <is>
          <t>El servicio de vigilancia de calidad  permite a las entidades contar con vigilancia de calidad del agua para consumo humano, incluye también la vigilancia de calidad de los temas de recolección, transporte y disposición final de residuos sólidos; manejo y disposición final de radiaciones ionizantes, excretas, residuos líquidos y aguas servidas y calidad del aire.</t>
        </is>
      </c>
      <c r="I33" t="inlineStr">
        <is>
          <t>2024251750005</t>
        </is>
      </c>
      <c r="J33" s="99">
        <v>369230684</v>
      </c>
      <c r="K33" s="99">
        <v>80000000</v>
      </c>
      <c r="L33" s="99">
        <v>76583111</v>
      </c>
      <c r="M33" s="99">
        <v>104527063</v>
      </c>
      <c r="N33" s="99">
        <v>108120510</v>
      </c>
      <c r="O33" s="99">
        <v>46769144</v>
      </c>
      <c r="P33" s="99">
        <v>46769144</v>
      </c>
      <c r="Q33" s="99">
        <v>46769144</v>
      </c>
      <c r="R33" s="100">
        <v>0.5846143</v>
      </c>
      <c r="S33" t="inlineStr">
        <is>
          <t>Lo obligado está por debajo de lo programado en la vigencia</t>
        </is>
      </c>
      <c r="T33" s="101">
        <v>43363245</v>
      </c>
      <c r="U33" s="101">
        <v>26780000</v>
      </c>
      <c r="V33" s="101">
        <v>26780000</v>
      </c>
      <c r="W33" s="102">
        <v>0.349685454799558</v>
      </c>
      <c r="X33" t="inlineStr">
        <is>
          <t>Lo obligado está por debajo de lo programado en la vigencia</t>
        </is>
      </c>
    </row>
    <row r="34">
      <c r="A34" t="inlineStr">
        <is>
          <t>IP-297</t>
        </is>
      </c>
      <c r="B34" t="inlineStr">
        <is>
          <t>19</t>
        </is>
      </c>
      <c r="C34" t="inlineStr">
        <is>
          <t>Salud y protección social</t>
        </is>
      </c>
      <c r="D34" t="inlineStr">
        <is>
          <t>1903</t>
        </is>
      </c>
      <c r="E34" t="inlineStr">
        <is>
          <t>Inspección, vigilancia y control</t>
        </is>
      </c>
      <c r="F34" t="inlineStr">
        <is>
          <t>1903042</t>
        </is>
      </c>
      <c r="G34" t="inlineStr">
        <is>
          <t>Servicio de vigilancia y control sanitario de los factores de riesgo para la salud, en los establecimientos y espacios que pueden generar riesgos para la población.</t>
        </is>
      </c>
      <c r="H34" t="inlineStr">
        <is>
          <t>Este servicio permite realizar vigilancia y control sanitario a establecimientos abiertos al público en relación con factores de riesgo relacionados con salud ambiental, alimentos, bebidas alcohólicas, almacenamiento y comercialización de medicamentos.</t>
        </is>
      </c>
      <c r="I34" t="inlineStr">
        <is>
          <t>2024251750005</t>
        </is>
      </c>
      <c r="J34" s="99">
        <v>2187123200</v>
      </c>
      <c r="K34" s="99">
        <v>308688000</v>
      </c>
      <c r="L34" s="99">
        <v>731866002</v>
      </c>
      <c r="M34" s="99">
        <v>559525950</v>
      </c>
      <c r="N34" s="99">
        <v>587043248</v>
      </c>
      <c r="O34" s="99">
        <v>237580012</v>
      </c>
      <c r="P34" s="99">
        <v>237580012</v>
      </c>
      <c r="Q34" s="99">
        <v>237296679</v>
      </c>
      <c r="R34" s="100">
        <v>0.769644469496709</v>
      </c>
      <c r="S34" t="inlineStr">
        <is>
          <t>Lo obligado está por debajo de lo programado en la vigencia</t>
        </is>
      </c>
      <c r="T34" s="101">
        <v>655378934</v>
      </c>
      <c r="U34" s="101">
        <v>463412000</v>
      </c>
      <c r="V34" s="101">
        <v>458056000</v>
      </c>
      <c r="W34" s="102">
        <v>0.633192413274582</v>
      </c>
      <c r="X34" t="inlineStr">
        <is>
          <t>Lo obligado está por debajo de lo programado en la vigencia</t>
        </is>
      </c>
    </row>
    <row r="35">
      <c r="A35" t="inlineStr">
        <is>
          <t>IP-298</t>
        </is>
      </c>
      <c r="B35" t="inlineStr">
        <is>
          <t>19</t>
        </is>
      </c>
      <c r="C35" t="inlineStr">
        <is>
          <t>Salud y protección social</t>
        </is>
      </c>
      <c r="D35" t="inlineStr">
        <is>
          <t>1905</t>
        </is>
      </c>
      <c r="E35" t="inlineStr">
        <is>
          <t>Salud pública</t>
        </is>
      </c>
      <c r="F35" t="inlineStr">
        <is>
          <t>1905043</t>
        </is>
      </c>
      <c r="G35" t="inlineStr">
        <is>
          <t>Servicio de gestión del riesgo para abordar situaciones situaciones endemo-epidémicas</t>
        </is>
      </c>
      <c r="H35" t="inlineStr">
        <is>
          <t xml:space="preserve">Corresponde a la gestión integral de riesgos que propician la aparición de eventos que se caracterizan por presentar endemias focalizadas, escenarios variables de transmisión y patrones con comportamientos seculares, temporales, estacionales y cíclicos en poblaciones de riesgo. Incluye la reducción de la carga de las Enfermedades Transmitidas por Vectores - ETV (Malaria, Dengue, Leishmaniasis, Enfermedad de Chagas), enfermedades transmitidas por animales vertebrados (Encefalitis, Rabia, Leptospirosis, Brucelosis, Toxoplasmosis y otras). </t>
        </is>
      </c>
      <c r="I35" t="inlineStr">
        <is>
          <t>2024251750004</t>
        </is>
      </c>
      <c r="J35" s="99">
        <v>1701413512</v>
      </c>
      <c r="K35" s="99">
        <v>359808000</v>
      </c>
      <c r="L35" s="99">
        <v>503242890</v>
      </c>
      <c r="M35" s="99">
        <v>410872296</v>
      </c>
      <c r="N35" s="99">
        <v>427490326</v>
      </c>
      <c r="O35" s="99">
        <v>229339612</v>
      </c>
      <c r="P35" s="99">
        <v>229339612</v>
      </c>
      <c r="Q35" s="99">
        <v>229339612</v>
      </c>
      <c r="R35" s="100">
        <v>0.637394421469228</v>
      </c>
      <c r="S35" t="inlineStr">
        <is>
          <t>Lo obligado está por debajo de lo programado en la vigencia</t>
        </is>
      </c>
      <c r="T35" s="101">
        <v>469748135</v>
      </c>
      <c r="U35" s="101">
        <v>229475413</v>
      </c>
      <c r="V35" s="101">
        <v>210552465</v>
      </c>
      <c r="W35" s="102">
        <v>0.455993353428202</v>
      </c>
      <c r="X35" t="inlineStr">
        <is>
          <t>Lo obligado está por debajo de lo programado en la vigencia</t>
        </is>
      </c>
    </row>
    <row r="36">
      <c r="A36" t="inlineStr">
        <is>
          <t>IP-302</t>
        </is>
      </c>
      <c r="B36" t="inlineStr">
        <is>
          <t>19</t>
        </is>
      </c>
      <c r="C36" t="inlineStr">
        <is>
          <t>Salud y protección social</t>
        </is>
      </c>
      <c r="D36" t="inlineStr">
        <is>
          <t>1905</t>
        </is>
      </c>
      <c r="E36" t="inlineStr">
        <is>
          <t>Salud pública</t>
        </is>
      </c>
      <c r="F36" t="inlineStr">
        <is>
          <t>1905020</t>
        </is>
      </c>
      <c r="G36" t="inlineStr">
        <is>
          <t>Servicio de gestión del riesgo en temas de consumo de sustancias psicoactivas</t>
        </is>
      </c>
      <c r="H36" t="inlineStr">
        <is>
          <t xml:space="preserve">Acciones mediante las cuales se previene el consumo de sustancias psicoactivas en la población. </t>
        </is>
      </c>
      <c r="I36" t="inlineStr">
        <is>
          <t>2024251750007</t>
        </is>
      </c>
      <c r="J36" s="99">
        <v>134337000</v>
      </c>
      <c r="K36" s="99">
        <v>0</v>
      </c>
      <c r="L36" s="99">
        <v>108927000</v>
      </c>
      <c r="M36" s="99">
        <v>12100000</v>
      </c>
      <c r="N36" s="99">
        <v>13310000</v>
      </c>
      <c r="O36" s="99" t="inlineStr">
        <is>
          <t xml:space="preserve"> </t>
        </is>
      </c>
      <c r="P36" s="99" t="inlineStr">
        <is>
          <t xml:space="preserve"> </t>
        </is>
      </c>
      <c r="Q36" s="99" t="inlineStr">
        <is>
          <t xml:space="preserve"> </t>
        </is>
      </c>
      <c r="R36" s="100" t="inlineStr">
        <is>
          <t xml:space="preserve"> </t>
        </is>
      </c>
      <c r="S36" t="inlineStr">
        <is>
          <t>No se encontró ejecución en CUIPO</t>
        </is>
      </c>
      <c r="T36" s="101">
        <v>100947000</v>
      </c>
      <c r="U36" s="101">
        <v>77805000</v>
      </c>
      <c r="V36" s="101">
        <v>77805000</v>
      </c>
      <c r="W36" s="102">
        <v>0.714285714285714</v>
      </c>
      <c r="X36" t="inlineStr">
        <is>
          <t>Lo obligado está por debajo de lo programado en la vigencia</t>
        </is>
      </c>
    </row>
    <row r="37">
      <c r="A37" t="inlineStr">
        <is>
          <t>IP-303</t>
        </is>
      </c>
      <c r="B37" t="inlineStr">
        <is>
          <t>19</t>
        </is>
      </c>
      <c r="C37" t="inlineStr">
        <is>
          <t>Salud y protección social</t>
        </is>
      </c>
      <c r="D37" t="inlineStr">
        <is>
          <t>1905</t>
        </is>
      </c>
      <c r="E37" t="inlineStr">
        <is>
          <t>Salud pública</t>
        </is>
      </c>
      <c r="F37" t="inlineStr">
        <is>
          <t>1905029</t>
        </is>
      </c>
      <c r="G37" t="inlineStr">
        <is>
          <t>Servicio de suministro de insumos para el manejo de eventos de interés en salud pública</t>
        </is>
      </c>
      <c r="H37" t="inlineStr">
        <is>
          <t>Acciones para garantizar la adquisición, distribución y suministro oportuno de los insumos de interés en salud pública, dentro de los cuales se incluyen los biológicos, insumos críticos para el control de vectores, insumos para laboratorios de salud pública, los medicamentos para el manejo de los esquemas básicos de las enfermedades transmisibles y de control especial.</t>
        </is>
      </c>
      <c r="I37" t="inlineStr">
        <is>
          <t>2024251750006</t>
        </is>
      </c>
      <c r="J37" s="99">
        <v>1665214848.17</v>
      </c>
      <c r="K37" s="99">
        <v>100000000</v>
      </c>
      <c r="L37" s="99">
        <v>1339202348.17</v>
      </c>
      <c r="M37" s="99">
        <v>110250000</v>
      </c>
      <c r="N37" s="99">
        <v>115762500</v>
      </c>
      <c r="O37" s="99">
        <v>0</v>
      </c>
      <c r="P37" s="99">
        <v>0</v>
      </c>
      <c r="Q37" s="99">
        <v>0</v>
      </c>
      <c r="R37" s="100">
        <v>0</v>
      </c>
      <c r="S37" t="inlineStr">
        <is>
          <t>No se ejecutó en la vigencia</t>
        </is>
      </c>
      <c r="T37" s="101">
        <v>110000000</v>
      </c>
      <c r="U37" s="101">
        <v>0</v>
      </c>
      <c r="V37" s="101">
        <v>0</v>
      </c>
      <c r="W37" s="102">
        <v>0</v>
      </c>
      <c r="X37" t="inlineStr">
        <is>
          <t>No se ejecutó en la vigencia</t>
        </is>
      </c>
    </row>
    <row r="38">
      <c r="A38" t="inlineStr">
        <is>
          <t>IP-305</t>
        </is>
      </c>
      <c r="B38" t="inlineStr">
        <is>
          <t>19</t>
        </is>
      </c>
      <c r="C38" t="inlineStr">
        <is>
          <t>Salud y protección social</t>
        </is>
      </c>
      <c r="D38" t="inlineStr">
        <is>
          <t>1906</t>
        </is>
      </c>
      <c r="E38" t="inlineStr">
        <is>
          <t>Aseguramiento y prestación integral de servicios de salud</t>
        </is>
      </c>
      <c r="F38" t="inlineStr">
        <is>
          <t>1906044</t>
        </is>
      </c>
      <c r="G38" t="inlineStr">
        <is>
          <t>Servicio de afiliaciones al régimen subsidiado del Sistema General de Seguridad Social</t>
        </is>
      </c>
      <c r="H38"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38" t="inlineStr">
        <is>
          <t>2024251750001</t>
        </is>
      </c>
      <c r="J38" s="99">
        <v>159818395114</v>
      </c>
      <c r="K38" s="99">
        <v>35158840359</v>
      </c>
      <c r="L38" s="99">
        <v>47729846013</v>
      </c>
      <c r="M38" s="99">
        <v>37831307571</v>
      </c>
      <c r="N38" s="99">
        <v>39098401171</v>
      </c>
      <c r="O38" s="99">
        <v>15596904090</v>
      </c>
      <c r="P38" s="99">
        <v>15596904090</v>
      </c>
      <c r="Q38" s="99">
        <v>15596904090</v>
      </c>
      <c r="R38" s="100">
        <v>0.44361258593125</v>
      </c>
      <c r="S38" t="inlineStr">
        <is>
          <t>Lo obligado está por debajo de lo programado en la vigencia</t>
        </is>
      </c>
      <c r="T38" s="101">
        <v>31782818161</v>
      </c>
      <c r="U38" s="101">
        <v>31782818161</v>
      </c>
      <c r="V38" s="101">
        <v>31782818161</v>
      </c>
      <c r="W38" s="102">
        <v>0.665889811426239</v>
      </c>
      <c r="X38" t="inlineStr">
        <is>
          <t>Lo obligado está por debajo de lo programado en la vigencia</t>
        </is>
      </c>
    </row>
    <row r="39">
      <c r="A39" t="inlineStr">
        <is>
          <t>IP-306</t>
        </is>
      </c>
      <c r="B39" t="inlineStr">
        <is>
          <t>19</t>
        </is>
      </c>
      <c r="C39" t="inlineStr">
        <is>
          <t>Salud y protección social</t>
        </is>
      </c>
      <c r="D39" t="inlineStr">
        <is>
          <t>1906</t>
        </is>
      </c>
      <c r="E39" t="inlineStr">
        <is>
          <t>Aseguramiento y prestación integral de servicios de salud</t>
        </is>
      </c>
      <c r="F39" t="inlineStr">
        <is>
          <t>1906032</t>
        </is>
      </c>
      <c r="G39" t="inlineStr">
        <is>
          <t>Servicio de promoción de afiliaciones al régimen contributivo del Sistema General de Seguridad Social de las personas con capacidad de pago</t>
        </is>
      </c>
      <c r="H39" t="inlineStr">
        <is>
          <t xml:space="preserve">Este servicio permite a las entidades promocionar a las personas con capacidad de pago la afiliación al régimen Contributivo del Sistema General de Seguridad Social. </t>
        </is>
      </c>
      <c r="I39" t="inlineStr">
        <is>
          <t>2024251750001</t>
        </is>
      </c>
      <c r="J39" s="99">
        <v>195865676</v>
      </c>
      <c r="K39" s="99">
        <v>28500000</v>
      </c>
      <c r="L39" s="99">
        <v>43108933</v>
      </c>
      <c r="M39" s="99">
        <v>61059825</v>
      </c>
      <c r="N39" s="99">
        <v>63196918</v>
      </c>
      <c r="O39" s="99">
        <v>7030000</v>
      </c>
      <c r="P39" s="99">
        <v>7030000</v>
      </c>
      <c r="Q39" s="99">
        <v>7030000</v>
      </c>
      <c r="R39" s="100">
        <v>0.246666666666667</v>
      </c>
      <c r="S39" t="inlineStr">
        <is>
          <t>Lo obligado está por debajo de lo programado en la vigencia</t>
        </is>
      </c>
      <c r="T39" s="101">
        <v>37794133</v>
      </c>
      <c r="U39" s="101">
        <v>26574000</v>
      </c>
      <c r="V39" s="101">
        <v>26574000</v>
      </c>
      <c r="W39" s="102">
        <v>0.6164383609309</v>
      </c>
      <c r="X39" t="inlineStr">
        <is>
          <t>Lo obligado está por debajo de lo programado en la vigencia</t>
        </is>
      </c>
    </row>
    <row r="40">
      <c r="A40" t="inlineStr">
        <is>
          <t>IP-307</t>
        </is>
      </c>
      <c r="B40" t="inlineStr">
        <is>
          <t>19</t>
        </is>
      </c>
      <c r="C40" t="inlineStr">
        <is>
          <t>Salud y protección social</t>
        </is>
      </c>
      <c r="D40" t="inlineStr">
        <is>
          <t>1906</t>
        </is>
      </c>
      <c r="E40" t="inlineStr">
        <is>
          <t>Aseguramiento y prestación integral de servicios de salud</t>
        </is>
      </c>
      <c r="F40" t="inlineStr">
        <is>
          <t>1906041</t>
        </is>
      </c>
      <c r="G40" t="inlineStr">
        <is>
          <t>Servicio de asistencia técnica</t>
        </is>
      </c>
      <c r="H40"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40" t="inlineStr">
        <is>
          <t>2024251750001</t>
        </is>
      </c>
      <c r="J40" s="99">
        <v>714697259</v>
      </c>
      <c r="K40" s="99">
        <v>76500000</v>
      </c>
      <c r="L40" s="99">
        <v>304666000</v>
      </c>
      <c r="M40" s="99">
        <v>163897425</v>
      </c>
      <c r="N40" s="99">
        <v>169633834</v>
      </c>
      <c r="O40" s="99">
        <v>23274000</v>
      </c>
      <c r="P40" s="99">
        <v>23274000</v>
      </c>
      <c r="Q40" s="99">
        <v>23274000</v>
      </c>
      <c r="R40" s="100">
        <v>0.304235294117647</v>
      </c>
      <c r="S40" t="inlineStr">
        <is>
          <t>Lo obligado está por debajo de lo programado en la vigencia</t>
        </is>
      </c>
      <c r="T40" s="101">
        <v>304666000</v>
      </c>
      <c r="U40" s="101">
        <v>175372000</v>
      </c>
      <c r="V40" s="101">
        <v>163197000</v>
      </c>
      <c r="W40" s="102">
        <v>0.575620515580997</v>
      </c>
      <c r="X40" t="inlineStr">
        <is>
          <t>Lo obligado está por debajo de lo programado en la vigencia</t>
        </is>
      </c>
    </row>
    <row r="41">
      <c r="A41" t="inlineStr">
        <is>
          <t>IP-308</t>
        </is>
      </c>
      <c r="B41" t="inlineStr">
        <is>
          <t>19</t>
        </is>
      </c>
      <c r="C41" t="inlineStr">
        <is>
          <t>Salud y protección social</t>
        </is>
      </c>
      <c r="D41" t="inlineStr">
        <is>
          <t>1906</t>
        </is>
      </c>
      <c r="E41" t="inlineStr">
        <is>
          <t>Aseguramiento y prestación integral de servicios de salud</t>
        </is>
      </c>
      <c r="F41" t="inlineStr">
        <is>
          <t>1906028</t>
        </is>
      </c>
      <c r="G41" t="inlineStr">
        <is>
          <t>Servicio para la habilitación y la rehabilitación funcional</t>
        </is>
      </c>
      <c r="H41" t="inlineStr">
        <is>
          <t>Acciones orientadas a garantizar el acceso a los servicios y tecnologías de apoyo y dispositivos para la habilitación y rehabilitación funcional de poblaciones vulnerables y en condiciones especiales (salud mental, con discapacidad y desplazados) que no se encuentran cubiertas por el Plan Básico en Salud (Art. 62 de la Resolución 5521 de 2013).</t>
        </is>
      </c>
      <c r="I41" t="inlineStr">
        <is>
          <t>2024251750002</t>
        </is>
      </c>
      <c r="J41" s="99">
        <v>255798000</v>
      </c>
      <c r="K41" s="99">
        <v>210000000</v>
      </c>
      <c r="L41" s="99">
        <v>45798000</v>
      </c>
      <c r="M41" s="99">
        <v>0</v>
      </c>
      <c r="N41" s="99">
        <v>0</v>
      </c>
      <c r="O41" s="99">
        <v>52586766</v>
      </c>
      <c r="P41" s="99">
        <v>52586766</v>
      </c>
      <c r="Q41" s="99">
        <v>0</v>
      </c>
      <c r="R41" s="100">
        <v>0.250413171428571</v>
      </c>
      <c r="S41" t="inlineStr">
        <is>
          <t>Lo obligado está por debajo de lo programado en la vigencia</t>
        </is>
      </c>
      <c r="T41" s="101" t="inlineStr">
        <is>
          <t xml:space="preserve"> </t>
        </is>
      </c>
      <c r="U41" s="101" t="inlineStr">
        <is>
          <t xml:space="preserve"> </t>
        </is>
      </c>
      <c r="V41" s="101" t="inlineStr">
        <is>
          <t xml:space="preserve"> </t>
        </is>
      </c>
      <c r="W41" s="102" t="inlineStr">
        <is>
          <t xml:space="preserve"> </t>
        </is>
      </c>
      <c r="X41" t="inlineStr">
        <is>
          <t>No se encontró ejecución en CUIPO</t>
        </is>
      </c>
    </row>
    <row r="42">
      <c r="A42" t="inlineStr">
        <is>
          <t>IP-310, IP-311</t>
        </is>
      </c>
      <c r="B42" t="inlineStr">
        <is>
          <t>45</t>
        </is>
      </c>
      <c r="C42" t="inlineStr">
        <is>
          <t>Gobierno Territorial</t>
        </is>
      </c>
      <c r="D42" t="inlineStr">
        <is>
          <t>4501</t>
        </is>
      </c>
      <c r="E42" t="inlineStr">
        <is>
          <t>Fortalecimiento de la convivencia y la seguridad ciudadana</t>
        </is>
      </c>
      <c r="F42" t="inlineStr">
        <is>
          <t>4501061</t>
        </is>
      </c>
      <c r="G42" t="inlineStr">
        <is>
          <t>Servicio de atención integral a la fauna</t>
        </is>
      </c>
      <c r="H42" t="inlineStr">
        <is>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is>
      </c>
      <c r="I42" t="inlineStr">
        <is>
          <t>2024251750003</t>
        </is>
      </c>
      <c r="J42" s="99">
        <v>996999999.97</v>
      </c>
      <c r="K42" s="99">
        <v>280000000</v>
      </c>
      <c r="L42" s="99">
        <v>189899999.97</v>
      </c>
      <c r="M42" s="99">
        <v>249971500</v>
      </c>
      <c r="N42" s="99">
        <v>277128500</v>
      </c>
      <c r="O42" s="99">
        <v>149840110</v>
      </c>
      <c r="P42" s="99">
        <v>149840110</v>
      </c>
      <c r="Q42" s="99">
        <v>149840110</v>
      </c>
      <c r="R42" s="100">
        <v>0.53514325</v>
      </c>
      <c r="S42" t="inlineStr">
        <is>
          <t>Lo obligado está por debajo de lo programado en la vigencia</t>
        </is>
      </c>
      <c r="T42" s="101">
        <v>30000000</v>
      </c>
      <c r="U42" s="101">
        <v>0</v>
      </c>
      <c r="V42" s="101">
        <v>0</v>
      </c>
      <c r="W42" s="102">
        <v>0</v>
      </c>
      <c r="X42" t="inlineStr">
        <is>
          <t>No se ejecutó en la vigencia</t>
        </is>
      </c>
    </row>
    <row r="43">
      <c r="A43" t="inlineStr">
        <is>
          <t>IP-312</t>
        </is>
      </c>
      <c r="B43" t="inlineStr">
        <is>
          <t>32</t>
        </is>
      </c>
      <c r="C43" t="inlineStr">
        <is>
          <t>Ambiente y desarrollo sostenible</t>
        </is>
      </c>
      <c r="D43" t="inlineStr">
        <is>
          <t>3202</t>
        </is>
      </c>
      <c r="E43" t="inlineStr">
        <is>
          <t>Conservación de la biodiversidad y sus servicios ecosistémicos</t>
        </is>
      </c>
      <c r="F43" t="inlineStr">
        <is>
          <t>3202006</t>
        </is>
      </c>
      <c r="G43" t="inlineStr">
        <is>
          <t>Servicio de reforestación de ecosistemas</t>
        </is>
      </c>
      <c r="H43" t="inlineStr">
        <is>
          <t>Acciones orientadas a la siembra, mantenimiento y monitoreo de especies vegetales que cumplen una función especifica en el área, sin buscar el restablecimiento del ecosistema inicial. </t>
        </is>
      </c>
      <c r="I43" t="inlineStr">
        <is>
          <t>2024251750017</t>
        </is>
      </c>
      <c r="J43" s="99">
        <v>775484120</v>
      </c>
      <c r="K43" s="99">
        <v>129800590</v>
      </c>
      <c r="L43" s="99">
        <v>345683530</v>
      </c>
      <c r="M43" s="99">
        <v>150000000</v>
      </c>
      <c r="N43" s="99">
        <v>150000000</v>
      </c>
      <c r="O43" s="99">
        <v>242303190</v>
      </c>
      <c r="P43" s="99">
        <v>242303190</v>
      </c>
      <c r="Q43" s="99">
        <v>242303190</v>
      </c>
      <c r="R43" s="100">
        <v>1.86673411885108</v>
      </c>
      <c r="S43" t="inlineStr">
        <is>
          <t>Hubo ejecución por encima de lo programado en SisPT</t>
        </is>
      </c>
      <c r="T43" s="101">
        <v>222366064</v>
      </c>
      <c r="U43" s="101">
        <v>36750000</v>
      </c>
      <c r="V43" s="101">
        <v>36750000</v>
      </c>
      <c r="W43" s="102">
        <v>0.106311110627689</v>
      </c>
      <c r="X43" t="inlineStr">
        <is>
          <t>Lo obligado está por debajo de lo programado en la vigencia</t>
        </is>
      </c>
    </row>
    <row r="44">
      <c r="A44" t="inlineStr">
        <is>
          <t>IP-313</t>
        </is>
      </c>
      <c r="B44" t="inlineStr">
        <is>
          <t>32</t>
        </is>
      </c>
      <c r="C44" t="inlineStr">
        <is>
          <t>Ambiente y desarrollo sostenible</t>
        </is>
      </c>
      <c r="D44" t="inlineStr">
        <is>
          <t>3202</t>
        </is>
      </c>
      <c r="E44" t="inlineStr">
        <is>
          <t>Conservación de la biodiversidad y sus servicios ecosistémicos</t>
        </is>
      </c>
      <c r="F44" t="inlineStr">
        <is>
          <t>3202005</t>
        </is>
      </c>
      <c r="G44" t="inlineStr">
        <is>
          <t>Servicio de restauración de ecosistemas</t>
        </is>
      </c>
      <c r="H44" t="inlineStr">
        <is>
          <t>Incluye el restablecimiento del ecosistema degradado a una condición similar al ecosistema pre disturbio respecto a su composición, estructura, y funcionamiento. </t>
        </is>
      </c>
      <c r="I44" t="inlineStr">
        <is>
          <t>2024251750017</t>
        </is>
      </c>
      <c r="J44" s="99">
        <v>497000000</v>
      </c>
      <c r="K44" s="99">
        <v>87000000</v>
      </c>
      <c r="L44" s="99">
        <v>240000000</v>
      </c>
      <c r="M44" s="99">
        <v>80000000</v>
      </c>
      <c r="N44" s="99">
        <v>90000000</v>
      </c>
      <c r="O44" s="99">
        <v>51000000</v>
      </c>
      <c r="P44" s="99">
        <v>51000000</v>
      </c>
      <c r="Q44" s="99">
        <v>51000000</v>
      </c>
      <c r="R44" s="100">
        <v>0.586206896551724</v>
      </c>
      <c r="S44" t="inlineStr">
        <is>
          <t>Lo obligado está por debajo de lo programado en la vigencia</t>
        </is>
      </c>
      <c r="T44" s="101">
        <v>110000000</v>
      </c>
      <c r="U44" s="101">
        <v>0</v>
      </c>
      <c r="V44" s="101">
        <v>0</v>
      </c>
      <c r="W44" s="102">
        <v>0</v>
      </c>
      <c r="X44" t="inlineStr">
        <is>
          <t>No se ejecutó en la vigencia</t>
        </is>
      </c>
    </row>
    <row r="45">
      <c r="A45" t="inlineStr">
        <is>
          <t>IP-314, IP-315</t>
        </is>
      </c>
      <c r="B45" t="inlineStr">
        <is>
          <t>32</t>
        </is>
      </c>
      <c r="C45" t="inlineStr">
        <is>
          <t>Ambiente y desarrollo sostenible</t>
        </is>
      </c>
      <c r="D45" t="inlineStr">
        <is>
          <t>3202</t>
        </is>
      </c>
      <c r="E45" t="inlineStr">
        <is>
          <t>Conservación de la biodiversidad y sus servicios ecosistémicos</t>
        </is>
      </c>
      <c r="F45" t="inlineStr">
        <is>
          <t>3202001</t>
        </is>
      </c>
      <c r="G45" t="inlineStr">
        <is>
          <t>Documentos de lineamientos técnicos para la conservación de la biodiversidad y sus servicios eco sistémicos</t>
        </is>
      </c>
      <c r="H45" t="inlineStr">
        <is>
          <t>Documentos cuyo objetivo es brindar directrices para la conservación de una o varias especies (terrestres, dulceacuícolas o marinas) y de ecosistemas de importancia estratégica para el país.</t>
        </is>
      </c>
      <c r="I45" t="inlineStr">
        <is>
          <t>2024251750017</t>
        </is>
      </c>
      <c r="J45" s="99">
        <v>316686500</v>
      </c>
      <c r="K45" s="99">
        <v>50000000</v>
      </c>
      <c r="L45" s="99">
        <v>206686500</v>
      </c>
      <c r="M45" s="99">
        <v>60000000</v>
      </c>
      <c r="N45" s="99">
        <v>0</v>
      </c>
      <c r="O45" s="99">
        <v>30000000</v>
      </c>
      <c r="P45" s="99">
        <v>30000000</v>
      </c>
      <c r="Q45" s="99">
        <v>30000000</v>
      </c>
      <c r="R45" s="100">
        <v>0.6</v>
      </c>
      <c r="S45" t="inlineStr">
        <is>
          <t>Lo obligado está por debajo de lo programado en la vigencia</t>
        </is>
      </c>
      <c r="T45" s="101">
        <v>181436500</v>
      </c>
      <c r="U45" s="101">
        <v>42000000</v>
      </c>
      <c r="V45" s="101">
        <v>42000000</v>
      </c>
      <c r="W45" s="102">
        <v>0.203206305201356</v>
      </c>
      <c r="X45" t="inlineStr">
        <is>
          <t>Lo obligado está por debajo de lo programado en la vigencia</t>
        </is>
      </c>
    </row>
    <row r="46">
      <c r="A46" t="inlineStr">
        <is>
          <t>IP-316</t>
        </is>
      </c>
      <c r="B46" t="inlineStr">
        <is>
          <t>32</t>
        </is>
      </c>
      <c r="C46" t="inlineStr">
        <is>
          <t>Ambiente y desarrollo sostenible</t>
        </is>
      </c>
      <c r="D46" t="inlineStr">
        <is>
          <t>3202</t>
        </is>
      </c>
      <c r="E46" t="inlineStr">
        <is>
          <t>Conservación de la biodiversidad y sus servicios ecosistémicos</t>
        </is>
      </c>
      <c r="F46" t="inlineStr">
        <is>
          <t>3202043</t>
        </is>
      </c>
      <c r="G46" t="inlineStr">
        <is>
          <t>Servicio apoyo financiero para la implementación de esquemas de pago por Servicio ambientales</t>
        </is>
      </c>
      <c r="H46" t="inlineStr">
        <is>
          <t>Incluye el diseño y entrega de instrumentos económicos para dar incentivos a los usuarios del suelo, de manera que continúen ofreciendo un servicio ambiental (ecológico) que beneficia a la sociedad como un todo.</t>
        </is>
      </c>
      <c r="I46" t="inlineStr">
        <is>
          <t>2024251750017</t>
        </is>
      </c>
      <c r="J46" s="99">
        <v>300000000</v>
      </c>
      <c r="K46" s="99">
        <v>0</v>
      </c>
      <c r="L46" s="99">
        <v>0</v>
      </c>
      <c r="M46" s="99">
        <v>150000000</v>
      </c>
      <c r="N46" s="99">
        <v>150000000</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t="inlineStr">
        <is>
          <t xml:space="preserve"> </t>
        </is>
      </c>
      <c r="U46" s="101" t="inlineStr">
        <is>
          <t xml:space="preserve"> </t>
        </is>
      </c>
      <c r="V46" s="101" t="inlineStr">
        <is>
          <t xml:space="preserve"> </t>
        </is>
      </c>
      <c r="W46" s="102" t="inlineStr">
        <is>
          <t xml:space="preserve"> </t>
        </is>
      </c>
      <c r="X46" t="inlineStr">
        <is>
          <t>No se encontró ejecución en CUIPO</t>
        </is>
      </c>
    </row>
    <row r="47">
      <c r="A47" t="inlineStr">
        <is>
          <t>IP-317</t>
        </is>
      </c>
      <c r="B47" t="inlineStr">
        <is>
          <t>32</t>
        </is>
      </c>
      <c r="C47" t="inlineStr">
        <is>
          <t>Ambiente y desarrollo sostenible</t>
        </is>
      </c>
      <c r="D47" t="inlineStr">
        <is>
          <t>3202</t>
        </is>
      </c>
      <c r="E47" t="inlineStr">
        <is>
          <t>Conservación de la biodiversidad y sus servicios ecosistémicos</t>
        </is>
      </c>
      <c r="F47" t="inlineStr">
        <is>
          <t>3202049</t>
        </is>
      </c>
      <c r="G47" t="inlineStr">
        <is>
          <t>Servicio de recuperación de ecosistemas</t>
        </is>
      </c>
      <c r="H47" t="inlineStr">
        <is>
          <t>Incluye al recuperación de áreas disturbadas en ecosistemas boscosos y no boscosos a través del análisis de tensionantes en el territorio, el análisis de suelos para conocer su estado, la plantación de árboles y arbustos de especies nativas relacionadas con el ecosistema de referencia, el aislamiento de áreas más afectadas por el tensionante identificado, la suscripción de acuerdo voluntarios con la comunidad para el mantenimiento de las acciones implementadas y el seguimiento y monitoreo a las intervenciones adelantadas.</t>
        </is>
      </c>
      <c r="I47" t="inlineStr">
        <is>
          <t>2024251750041</t>
        </is>
      </c>
      <c r="J47" s="99">
        <v>2951054900</v>
      </c>
      <c r="K47" s="99">
        <v>150000000</v>
      </c>
      <c r="L47" s="99">
        <v>2231054900</v>
      </c>
      <c r="M47" s="99">
        <v>315000000</v>
      </c>
      <c r="N47" s="99">
        <v>255000000</v>
      </c>
      <c r="O47" s="99">
        <v>21500020</v>
      </c>
      <c r="P47" s="99">
        <v>21500020</v>
      </c>
      <c r="Q47" s="99">
        <v>8600000</v>
      </c>
      <c r="R47" s="100">
        <v>0.143333466666667</v>
      </c>
      <c r="S47" t="inlineStr">
        <is>
          <t>Lo obligado está por debajo de lo programado en la vigencia</t>
        </is>
      </c>
      <c r="T47" s="101">
        <v>151572820</v>
      </c>
      <c r="U47" s="101">
        <v>151572820</v>
      </c>
      <c r="V47" s="101">
        <v>151572820</v>
      </c>
      <c r="W47" s="102">
        <v>0.0679377365388902</v>
      </c>
      <c r="X47" t="inlineStr">
        <is>
          <t>Lo obligado está por debajo de lo programado en la vigencia</t>
        </is>
      </c>
    </row>
    <row r="48">
      <c r="A48" t="inlineStr">
        <is>
          <t>IP-318, IP-320</t>
        </is>
      </c>
      <c r="B48" t="inlineStr">
        <is>
          <t>32</t>
        </is>
      </c>
      <c r="C48" t="inlineStr">
        <is>
          <t>Ambiente y desarrollo sostenible</t>
        </is>
      </c>
      <c r="D48" t="inlineStr">
        <is>
          <t>3203</t>
        </is>
      </c>
      <c r="E48" t="inlineStr">
        <is>
          <t>Gestión integral del recurso hídrico</t>
        </is>
      </c>
      <c r="F48" t="inlineStr">
        <is>
          <t>3203050</t>
        </is>
      </c>
      <c r="G48" t="inlineStr">
        <is>
          <t>Servicio de protección del recurso hídrico</t>
        </is>
      </c>
      <c r="H48" t="inlineStr">
        <is>
          <t>Incluye acciones orientadas a la administración y manejo de áreas de reserva hídrica o zonas de reserva natural para la protección de las fuentes hídricas.</t>
        </is>
      </c>
      <c r="I48" t="inlineStr">
        <is>
          <t>2024251750016</t>
        </is>
      </c>
      <c r="J48" s="99">
        <v>833882940</v>
      </c>
      <c r="K48" s="99">
        <v>167000000</v>
      </c>
      <c r="L48" s="99">
        <v>212882940</v>
      </c>
      <c r="M48" s="99">
        <v>187000000</v>
      </c>
      <c r="N48" s="99">
        <v>267000000</v>
      </c>
      <c r="O48" s="99">
        <v>92500000</v>
      </c>
      <c r="P48" s="99">
        <v>87831980</v>
      </c>
      <c r="Q48" s="99">
        <v>87500000</v>
      </c>
      <c r="R48" s="100">
        <v>0.52594</v>
      </c>
      <c r="S48" t="inlineStr">
        <is>
          <t>Lo obligado está por debajo de lo programado en la vigencia</t>
        </is>
      </c>
      <c r="T48" s="101">
        <v>128566470</v>
      </c>
      <c r="U48" s="101">
        <v>63000000</v>
      </c>
      <c r="V48" s="101">
        <v>63000000</v>
      </c>
      <c r="W48" s="102">
        <v>0.295937288351993</v>
      </c>
      <c r="X48" t="inlineStr">
        <is>
          <t>Lo obligado está por debajo de lo programado en la vigencia</t>
        </is>
      </c>
    </row>
    <row r="49">
      <c r="A49" t="inlineStr">
        <is>
          <t>IP-319</t>
        </is>
      </c>
      <c r="B49" t="inlineStr">
        <is>
          <t>32</t>
        </is>
      </c>
      <c r="C49" t="inlineStr">
        <is>
          <t>Ambiente y desarrollo sostenible</t>
        </is>
      </c>
      <c r="D49" t="inlineStr">
        <is>
          <t>3203</t>
        </is>
      </c>
      <c r="E49" t="inlineStr">
        <is>
          <t>Gestión integral del recurso hídrico</t>
        </is>
      </c>
      <c r="F49" t="inlineStr">
        <is>
          <t>3203050</t>
        </is>
      </c>
      <c r="G49" t="inlineStr">
        <is>
          <t>Servicio de protección del recurso hídrico</t>
        </is>
      </c>
      <c r="H49" t="inlineStr">
        <is>
          <t>Incluye acciones orientadas a la administración y manejo de áreas de reserva hídrica o zonas de reserva natural para la protección de las fuentes hídricas.</t>
        </is>
      </c>
      <c r="I49" t="inlineStr">
        <is>
          <t>2024251750038</t>
        </is>
      </c>
      <c r="J49" s="99">
        <v>16608572145.53</v>
      </c>
      <c r="K49" s="99">
        <v>7149115131</v>
      </c>
      <c r="L49" s="99">
        <v>4567592386.53</v>
      </c>
      <c r="M49" s="99">
        <v>2225232551</v>
      </c>
      <c r="N49" s="99">
        <v>2666632077</v>
      </c>
      <c r="O49" s="99">
        <v>3489780335</v>
      </c>
      <c r="P49" s="99">
        <v>3489780335</v>
      </c>
      <c r="Q49" s="99">
        <v>3489780335</v>
      </c>
      <c r="R49" s="100">
        <v>0.488141577111776</v>
      </c>
      <c r="S49" t="inlineStr">
        <is>
          <t>Lo obligado está por debajo de lo programado en la vigencia</t>
        </is>
      </c>
      <c r="T49" s="101" t="inlineStr">
        <is>
          <t xml:space="preserve"> </t>
        </is>
      </c>
      <c r="U49" s="101" t="inlineStr">
        <is>
          <t xml:space="preserve"> </t>
        </is>
      </c>
      <c r="V49" s="101" t="inlineStr">
        <is>
          <t xml:space="preserve"> </t>
        </is>
      </c>
      <c r="W49" s="102" t="inlineStr">
        <is>
          <t xml:space="preserve"> </t>
        </is>
      </c>
      <c r="X49" t="inlineStr">
        <is>
          <t>No se encontró ejecución en CUIPO</t>
        </is>
      </c>
    </row>
    <row r="50">
      <c r="A50" t="inlineStr">
        <is>
          <t>IP-321</t>
        </is>
      </c>
      <c r="B50" t="inlineStr">
        <is>
          <t>32</t>
        </is>
      </c>
      <c r="C50" t="inlineStr">
        <is>
          <t>Ambiente y desarrollo sostenible</t>
        </is>
      </c>
      <c r="D50" t="inlineStr">
        <is>
          <t>3206</t>
        </is>
      </c>
      <c r="E50" t="inlineStr">
        <is>
          <t>Gestión del cambio climático para un desarrollo bajo en carbono y resiliente al clima</t>
        </is>
      </c>
      <c r="F50" t="inlineStr">
        <is>
          <t>3206002</t>
        </is>
      </c>
      <c r="G50" t="inlineStr">
        <is>
          <t>Documentos de lineamientos técnicos para la gestión del cambio climático y un desarrollo bajo en carbono y resiliente al clima</t>
        </is>
      </c>
      <c r="H50" t="inlineStr">
        <is>
          <t>Documentos cuyo objetivo es describir y explicar instrumentos, estándares, requisitos y condiciones necesarias para llevar a cabo un proceso o actividad</t>
        </is>
      </c>
      <c r="I50" t="inlineStr">
        <is>
          <t>2024251750014</t>
        </is>
      </c>
      <c r="J50" s="99">
        <v>100000000</v>
      </c>
      <c r="K50" s="99">
        <v>0</v>
      </c>
      <c r="L50" s="99">
        <v>0</v>
      </c>
      <c r="M50" s="99">
        <v>100000000</v>
      </c>
      <c r="N50" s="99">
        <v>0</v>
      </c>
      <c r="O50" s="99" t="inlineStr">
        <is>
          <t xml:space="preserve"> </t>
        </is>
      </c>
      <c r="P50" s="99" t="inlineStr">
        <is>
          <t xml:space="preserve"> </t>
        </is>
      </c>
      <c r="Q50" s="99" t="inlineStr">
        <is>
          <t xml:space="preserve"> </t>
        </is>
      </c>
      <c r="R50" s="100" t="inlineStr">
        <is>
          <t xml:space="preserve"> </t>
        </is>
      </c>
      <c r="S50" t="inlineStr">
        <is>
          <t>No se encontró ejecución en CUIPO</t>
        </is>
      </c>
      <c r="T50" s="101" t="inlineStr">
        <is>
          <t xml:space="preserve"> </t>
        </is>
      </c>
      <c r="U50" s="101" t="inlineStr">
        <is>
          <t xml:space="preserve"> </t>
        </is>
      </c>
      <c r="V50" s="101" t="inlineStr">
        <is>
          <t xml:space="preserve"> </t>
        </is>
      </c>
      <c r="W50" s="102" t="inlineStr">
        <is>
          <t xml:space="preserve"> </t>
        </is>
      </c>
      <c r="X50" t="inlineStr">
        <is>
          <t>No se encontró ejecución en CUIPO</t>
        </is>
      </c>
    </row>
    <row r="51">
      <c r="A51" t="inlineStr">
        <is>
          <t>IP-322</t>
        </is>
      </c>
      <c r="B51" t="inlineStr">
        <is>
          <t>32</t>
        </is>
      </c>
      <c r="C51" t="inlineStr">
        <is>
          <t>Ambiente y desarrollo sostenible</t>
        </is>
      </c>
      <c r="D51" t="inlineStr">
        <is>
          <t>3206</t>
        </is>
      </c>
      <c r="E51" t="inlineStr">
        <is>
          <t>Gestión del cambio climático para un desarrollo bajo en carbono y resiliente al clima</t>
        </is>
      </c>
      <c r="F51" t="inlineStr">
        <is>
          <t>3206014</t>
        </is>
      </c>
      <c r="G51" t="inlineStr">
        <is>
          <t>Servicio de producción de plántulas en viveros</t>
        </is>
      </c>
      <c r="H51" t="inlineStr">
        <is>
          <t>Acciones orientadas a producir plántulas en viveros que serán utilizadas en la recuperación de ecosistemas degradados</t>
        </is>
      </c>
      <c r="I51" t="inlineStr">
        <is>
          <t>2024251750014</t>
        </is>
      </c>
      <c r="J51" s="99">
        <v>302038071</v>
      </c>
      <c r="K51" s="99">
        <v>0</v>
      </c>
      <c r="L51" s="99">
        <v>63905131</v>
      </c>
      <c r="M51" s="99">
        <v>141066470</v>
      </c>
      <c r="N51" s="99">
        <v>97066470</v>
      </c>
      <c r="O51" s="99" t="inlineStr">
        <is>
          <t xml:space="preserve"> </t>
        </is>
      </c>
      <c r="P51" s="99" t="inlineStr">
        <is>
          <t xml:space="preserve"> </t>
        </is>
      </c>
      <c r="Q51" s="99" t="inlineStr">
        <is>
          <t xml:space="preserve"> </t>
        </is>
      </c>
      <c r="R51" s="100" t="inlineStr">
        <is>
          <t xml:space="preserve"> </t>
        </is>
      </c>
      <c r="S51" t="inlineStr">
        <is>
          <t>No se encontró ejecución en CUIPO</t>
        </is>
      </c>
      <c r="T51" s="101" t="inlineStr">
        <is>
          <t xml:space="preserve"> </t>
        </is>
      </c>
      <c r="U51" s="101" t="inlineStr">
        <is>
          <t xml:space="preserve"> </t>
        </is>
      </c>
      <c r="V51" s="101" t="inlineStr">
        <is>
          <t xml:space="preserve"> </t>
        </is>
      </c>
      <c r="W51" s="102" t="inlineStr">
        <is>
          <t xml:space="preserve"> </t>
        </is>
      </c>
      <c r="X51" t="inlineStr">
        <is>
          <t>No se encontró ejecución en CUIPO</t>
        </is>
      </c>
    </row>
    <row r="52">
      <c r="A52" t="inlineStr">
        <is>
          <t>IP-323, IP-324</t>
        </is>
      </c>
      <c r="B52" t="inlineStr">
        <is>
          <t>32</t>
        </is>
      </c>
      <c r="C52" t="inlineStr">
        <is>
          <t>Ambiente y desarrollo sostenible</t>
        </is>
      </c>
      <c r="D52" t="inlineStr">
        <is>
          <t>3206</t>
        </is>
      </c>
      <c r="E52" t="inlineStr">
        <is>
          <t>Gestión del cambio climático para un desarrollo bajo en carbono y resiliente al clima</t>
        </is>
      </c>
      <c r="F52" t="inlineStr">
        <is>
          <t>3206003</t>
        </is>
      </c>
      <c r="G52" t="inlineStr">
        <is>
          <t>Servicio de apoyo técnico para la implementación de acciones de mitigación y adaptación al cambio climático</t>
        </is>
      </c>
      <c r="H52"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52" t="inlineStr">
        <is>
          <t>2024251750014</t>
        </is>
      </c>
      <c r="J52" s="99">
        <v>1069250000</v>
      </c>
      <c r="K52" s="99">
        <v>38173186</v>
      </c>
      <c r="L52" s="99">
        <v>260250000</v>
      </c>
      <c r="M52" s="99">
        <v>360000000</v>
      </c>
      <c r="N52" s="99">
        <v>410826814</v>
      </c>
      <c r="O52" s="99">
        <v>40000000</v>
      </c>
      <c r="P52" s="99">
        <v>40000000</v>
      </c>
      <c r="Q52" s="99">
        <v>40000000</v>
      </c>
      <c r="R52" s="100">
        <v>1.0478559478897</v>
      </c>
      <c r="S52" t="inlineStr">
        <is>
          <t>Hubo ejecución por encima de lo programado en SisPT</t>
        </is>
      </c>
      <c r="T52" s="101">
        <v>105000000</v>
      </c>
      <c r="U52" s="101">
        <v>78750000</v>
      </c>
      <c r="V52" s="101">
        <v>73500000</v>
      </c>
      <c r="W52" s="102">
        <v>0.302593659942363</v>
      </c>
      <c r="X52" t="inlineStr">
        <is>
          <t>Lo obligado está por debajo de lo programado en la vigencia</t>
        </is>
      </c>
    </row>
    <row r="53">
      <c r="A53" t="inlineStr">
        <is>
          <t>IP-325, IP-326</t>
        </is>
      </c>
      <c r="B53" t="inlineStr">
        <is>
          <t>32</t>
        </is>
      </c>
      <c r="C53" t="inlineStr">
        <is>
          <t>Ambiente y desarrollo sostenible</t>
        </is>
      </c>
      <c r="D53" t="inlineStr">
        <is>
          <t>3208</t>
        </is>
      </c>
      <c r="E53" t="inlineStr">
        <is>
          <t xml:space="preserve">Educación Ambiental </t>
        </is>
      </c>
      <c r="F53" t="inlineStr">
        <is>
          <t>3208006</t>
        </is>
      </c>
      <c r="G53" t="inlineStr">
        <is>
          <t>Servicio de asistencia técnica para la implementación de lasestrategias educativo ambientales y de participación</t>
        </is>
      </c>
      <c r="H53" t="inlineStr">
        <is>
          <t>Acciones encaminadas a implementar estrategias educativo ambientales y de participación en las entidades territoriales, por medio de los proyectos ambientales implementados </t>
        </is>
      </c>
      <c r="I53" t="inlineStr">
        <is>
          <t>2024251750015</t>
        </is>
      </c>
      <c r="J53" s="99">
        <v>463750000</v>
      </c>
      <c r="K53" s="99">
        <v>86000000</v>
      </c>
      <c r="L53" s="99">
        <v>57750000</v>
      </c>
      <c r="M53" s="99">
        <v>130000000</v>
      </c>
      <c r="N53" s="99">
        <v>190000000</v>
      </c>
      <c r="O53" s="99">
        <v>17333333</v>
      </c>
      <c r="P53" s="99">
        <v>17333333</v>
      </c>
      <c r="Q53" s="99">
        <v>17333333</v>
      </c>
      <c r="R53" s="100">
        <v>0.20155038372093</v>
      </c>
      <c r="S53" t="inlineStr">
        <is>
          <t>Lo obligado está por debajo de lo programado en la vigencia</t>
        </is>
      </c>
      <c r="T53" s="101">
        <v>52500000</v>
      </c>
      <c r="U53" s="101">
        <v>42000000</v>
      </c>
      <c r="V53" s="101">
        <v>42000000</v>
      </c>
      <c r="W53" s="102">
        <v>0.727272727272727</v>
      </c>
      <c r="X53" t="inlineStr">
        <is>
          <t>Lo obligado está por debajo de lo programado en la vigencia</t>
        </is>
      </c>
    </row>
    <row r="54">
      <c r="A54" t="inlineStr">
        <is>
          <t>IP-327</t>
        </is>
      </c>
      <c r="B54" t="inlineStr">
        <is>
          <t>32</t>
        </is>
      </c>
      <c r="C54" t="inlineStr">
        <is>
          <t>Ambiente y desarrollo sostenible</t>
        </is>
      </c>
      <c r="D54" t="inlineStr">
        <is>
          <t>3208</t>
        </is>
      </c>
      <c r="E54" t="inlineStr">
        <is>
          <t xml:space="preserve">Educación Ambiental </t>
        </is>
      </c>
      <c r="F54" t="inlineStr">
        <is>
          <t>3208010</t>
        </is>
      </c>
      <c r="G54" t="inlineStr">
        <is>
          <t>Servicio de educación informal ambiental</t>
        </is>
      </c>
      <c r="H54" t="inlineStr">
        <is>
          <t>Acciones orientadas hacia el conocimiento de la biodiversidad y los ecosistemas para sensibilizar a la población despertar la conciencia ambiental.</t>
        </is>
      </c>
      <c r="I54" t="inlineStr">
        <is>
          <t>2024251750015</t>
        </is>
      </c>
      <c r="J54" s="99">
        <v>588974817</v>
      </c>
      <c r="K54" s="99">
        <v>80000000</v>
      </c>
      <c r="L54" s="99">
        <v>295974817</v>
      </c>
      <c r="M54" s="99">
        <v>113000000</v>
      </c>
      <c r="N54" s="99">
        <v>100000000</v>
      </c>
      <c r="O54" s="99">
        <v>151590838</v>
      </c>
      <c r="P54" s="99">
        <v>151590838</v>
      </c>
      <c r="Q54" s="99">
        <v>151590838</v>
      </c>
      <c r="R54" s="100">
        <v>1.894885475</v>
      </c>
      <c r="S54" t="inlineStr">
        <is>
          <t>Hubo ejecución por encima de lo programado en SisPT</t>
        </is>
      </c>
      <c r="T54" s="101">
        <v>157500000</v>
      </c>
      <c r="U54" s="101">
        <v>120750000</v>
      </c>
      <c r="V54" s="101">
        <v>120750000</v>
      </c>
      <c r="W54" s="102">
        <v>0.407973898671251</v>
      </c>
      <c r="X54" t="inlineStr">
        <is>
          <t>Lo obligado está por debajo de lo programado en la vigencia</t>
        </is>
      </c>
    </row>
    <row r="55">
      <c r="A55" t="inlineStr">
        <is>
          <t>IP-328</t>
        </is>
      </c>
      <c r="B55" t="inlineStr">
        <is>
          <t>40</t>
        </is>
      </c>
      <c r="C55" t="inlineStr">
        <is>
          <t>Vivienda, ciudad y territorio</t>
        </is>
      </c>
      <c r="D55" t="inlineStr">
        <is>
          <t>4003</t>
        </is>
      </c>
      <c r="E55" t="inlineStr">
        <is>
          <t>Acceso de la población a los servicios de agua potable y saneamiento básico</t>
        </is>
      </c>
      <c r="F55" t="inlineStr">
        <is>
          <t>4003006</t>
        </is>
      </c>
      <c r="G55" t="inlineStr">
        <is>
          <t>Documentos de planeación</t>
        </is>
      </c>
      <c r="H55" t="inlineStr">
        <is>
          <t>Documentos cuyo objetivo es plasmar una visión de futuro a nivel país, entidad territorial, comunidad, sector, región, entidad o cualquier nivel de desagregación que se requiera. Incluye objetivos, estrategias, metas e indicadores</t>
        </is>
      </c>
      <c r="I55" t="inlineStr">
        <is>
          <t>2024251750018</t>
        </is>
      </c>
      <c r="J55" s="99">
        <v>214000000</v>
      </c>
      <c r="K55" s="99">
        <v>214000000</v>
      </c>
      <c r="L55" s="99">
        <v>0</v>
      </c>
      <c r="M55" s="99">
        <v>0</v>
      </c>
      <c r="N55" s="99">
        <v>0</v>
      </c>
      <c r="O55" s="99">
        <v>248948000</v>
      </c>
      <c r="P55" s="99">
        <v>0</v>
      </c>
      <c r="Q55" s="99">
        <v>0</v>
      </c>
      <c r="R55" s="100">
        <v>0</v>
      </c>
      <c r="S55" t="inlineStr">
        <is>
          <t>No se ejecutó en la vigencia</t>
        </is>
      </c>
      <c r="T55" s="101" t="inlineStr">
        <is>
          <t xml:space="preserve"> </t>
        </is>
      </c>
      <c r="U55" s="101" t="inlineStr">
        <is>
          <t xml:space="preserve"> </t>
        </is>
      </c>
      <c r="V55" s="101" t="inlineStr">
        <is>
          <t xml:space="preserve"> </t>
        </is>
      </c>
      <c r="W55" s="102" t="inlineStr">
        <is>
          <t xml:space="preserve"> </t>
        </is>
      </c>
      <c r="X55" t="inlineStr">
        <is>
          <t>No se encontró ejecución en CUIPO</t>
        </is>
      </c>
    </row>
    <row r="56">
      <c r="A56" t="inlineStr">
        <is>
          <t>IP-329, IP-330</t>
        </is>
      </c>
      <c r="B56" t="inlineStr">
        <is>
          <t>40</t>
        </is>
      </c>
      <c r="C56" t="inlineStr">
        <is>
          <t>Vivienda, ciudad y territorio</t>
        </is>
      </c>
      <c r="D56" t="inlineStr">
        <is>
          <t>4003</t>
        </is>
      </c>
      <c r="E56" t="inlineStr">
        <is>
          <t>Acceso de la población a los servicios de agua potable y saneamiento básico</t>
        </is>
      </c>
      <c r="F56" t="inlineStr">
        <is>
          <t>4003022</t>
        </is>
      </c>
      <c r="G56" t="inlineStr">
        <is>
          <t>Servicios de implementación del Plan de Gestión Integral de Residuos Solidos PGIRS</t>
        </is>
      </c>
      <c r="H56" t="inlineStr">
        <is>
          <t>Contempla acciones realizadas para implementar el Plan de Gestión Integral de Residuos Solidos </t>
        </is>
      </c>
      <c r="I56" t="inlineStr">
        <is>
          <t>2024251750018</t>
        </is>
      </c>
      <c r="J56" s="99">
        <v>886102300</v>
      </c>
      <c r="K56" s="99">
        <v>110000000</v>
      </c>
      <c r="L56" s="99">
        <v>456102300</v>
      </c>
      <c r="M56" s="99">
        <v>150000000</v>
      </c>
      <c r="N56" s="99">
        <v>170000000</v>
      </c>
      <c r="O56" s="99">
        <v>38753333</v>
      </c>
      <c r="P56" s="99">
        <v>38753333</v>
      </c>
      <c r="Q56" s="99">
        <v>38753333</v>
      </c>
      <c r="R56" s="100">
        <v>0.352303027272727</v>
      </c>
      <c r="S56" t="inlineStr">
        <is>
          <t>Lo obligado está por debajo de lo programado en la vigencia</t>
        </is>
      </c>
      <c r="T56" s="101">
        <v>315852300</v>
      </c>
      <c r="U56" s="101">
        <v>276242300</v>
      </c>
      <c r="V56" s="101">
        <v>271242300</v>
      </c>
      <c r="W56" s="102">
        <v>0.605658642808861</v>
      </c>
      <c r="X56" t="inlineStr">
        <is>
          <t>Lo obligado está por debajo de lo programado en la vigencia</t>
        </is>
      </c>
    </row>
    <row r="57">
      <c r="A57" t="inlineStr">
        <is>
          <t>IP-331</t>
        </is>
      </c>
      <c r="B57" t="inlineStr">
        <is>
          <t>17</t>
        </is>
      </c>
      <c r="C57" t="inlineStr">
        <is>
          <t xml:space="preserve">Agricultura y desarrollo rural
</t>
        </is>
      </c>
      <c r="D57" t="inlineStr">
        <is>
          <t>1702</t>
        </is>
      </c>
      <c r="E57" t="inlineStr">
        <is>
          <t>Inclusión productiva de pequeños productores rurales</t>
        </is>
      </c>
      <c r="F57" t="inlineStr">
        <is>
          <t>1702007</t>
        </is>
      </c>
      <c r="G57" t="inlineStr">
        <is>
          <t>Servicio de apoyo financiero para proyectos productivos</t>
        </is>
      </c>
      <c r="H57" t="inlineStr">
        <is>
          <t>Subsidio o cofinanciación para el establecimiento o fortalecimiento de proyectos productivos agropecuarios.</t>
        </is>
      </c>
      <c r="I57" t="inlineStr">
        <is>
          <t>2024251750070</t>
        </is>
      </c>
      <c r="J57" s="99">
        <v>1040506950</v>
      </c>
      <c r="K57" s="99">
        <v>165000000</v>
      </c>
      <c r="L57" s="99">
        <v>506506950</v>
      </c>
      <c r="M57" s="99">
        <v>180000000</v>
      </c>
      <c r="N57" s="99">
        <v>189000000</v>
      </c>
      <c r="O57" s="99">
        <v>228477776</v>
      </c>
      <c r="P57" s="99">
        <v>62283000</v>
      </c>
      <c r="Q57" s="99">
        <v>62283000</v>
      </c>
      <c r="R57" s="100">
        <v>0.377472727272727</v>
      </c>
      <c r="S57" t="inlineStr">
        <is>
          <t>Lo obligado está por debajo de lo programado en la vigencia</t>
        </is>
      </c>
      <c r="T57" s="101">
        <v>345115400</v>
      </c>
      <c r="U57" s="101">
        <v>205098900</v>
      </c>
      <c r="V57" s="101">
        <v>205098900</v>
      </c>
      <c r="W57" s="102">
        <v>0.404928106119768</v>
      </c>
      <c r="X57" t="inlineStr">
        <is>
          <t>Lo obligado está por debajo de lo programado en la vigencia</t>
        </is>
      </c>
    </row>
    <row r="58">
      <c r="A58" t="inlineStr">
        <is>
          <t>IP-332</t>
        </is>
      </c>
      <c r="B58" t="inlineStr">
        <is>
          <t>17</t>
        </is>
      </c>
      <c r="C58" t="inlineStr">
        <is>
          <t xml:space="preserve">Agricultura y desarrollo rural
</t>
        </is>
      </c>
      <c r="D58" t="inlineStr">
        <is>
          <t>1702</t>
        </is>
      </c>
      <c r="E58" t="inlineStr">
        <is>
          <t>Inclusión productiva de pequeños productores rurales</t>
        </is>
      </c>
      <c r="F58" t="inlineStr">
        <is>
          <t>1702010</t>
        </is>
      </c>
      <c r="G58" t="inlineStr">
        <is>
          <t>Servicio de asistencia técnica agropecuaria dirigida a pequeños productores</t>
        </is>
      </c>
      <c r="H58" t="inlineStr">
        <is>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t>
        </is>
      </c>
      <c r="I58" t="inlineStr">
        <is>
          <t>2024251750070</t>
        </is>
      </c>
      <c r="J58" s="99">
        <v>1832561851</v>
      </c>
      <c r="K58" s="99">
        <v>200000000</v>
      </c>
      <c r="L58" s="99">
        <v>427161851</v>
      </c>
      <c r="M58" s="99">
        <v>588000000</v>
      </c>
      <c r="N58" s="99">
        <v>617400000</v>
      </c>
      <c r="O58" s="99">
        <v>220766656</v>
      </c>
      <c r="P58" s="99">
        <v>116433863</v>
      </c>
      <c r="Q58" s="99">
        <v>115710800</v>
      </c>
      <c r="R58" s="100">
        <v>0.582169315</v>
      </c>
      <c r="S58" t="inlineStr">
        <is>
          <t>Lo obligado está por debajo de lo programado en la vigencia</t>
        </is>
      </c>
      <c r="T58" s="101">
        <v>316798933</v>
      </c>
      <c r="U58" s="101">
        <v>223287883</v>
      </c>
      <c r="V58" s="101">
        <v>193954953</v>
      </c>
      <c r="W58" s="102">
        <v>0.522724308074974</v>
      </c>
      <c r="X58" t="inlineStr">
        <is>
          <t>Lo obligado está por debajo de lo programado en la vigencia</t>
        </is>
      </c>
    </row>
    <row r="59">
      <c r="A59" t="inlineStr">
        <is>
          <t>IP-333</t>
        </is>
      </c>
      <c r="B59" t="inlineStr">
        <is>
          <t>17</t>
        </is>
      </c>
      <c r="C59" t="inlineStr">
        <is>
          <t xml:space="preserve">Agricultura y desarrollo rural
</t>
        </is>
      </c>
      <c r="D59" t="inlineStr">
        <is>
          <t>1702</t>
        </is>
      </c>
      <c r="E59" t="inlineStr">
        <is>
          <t>Inclusión productiva de pequeños productores rurales</t>
        </is>
      </c>
      <c r="F59" t="inlineStr">
        <is>
          <t>1702017</t>
        </is>
      </c>
      <c r="G59" t="inlineStr">
        <is>
          <t>Servicio de apoyo para el fomento organizativo de la Agricultura Campesina, Familiar y Comunitaria</t>
        </is>
      </c>
      <c r="H59" t="inlineStr">
        <is>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is>
      </c>
      <c r="I59" t="inlineStr">
        <is>
          <t>2024251750070</t>
        </is>
      </c>
      <c r="J59" s="99">
        <v>450997199</v>
      </c>
      <c r="K59" s="99">
        <v>64000000</v>
      </c>
      <c r="L59" s="99">
        <v>150997199</v>
      </c>
      <c r="M59" s="99">
        <v>100000000</v>
      </c>
      <c r="N59" s="99">
        <v>136000000</v>
      </c>
      <c r="O59" s="99">
        <v>67524413</v>
      </c>
      <c r="P59" s="99">
        <v>9533333</v>
      </c>
      <c r="Q59" s="99">
        <v>9533333</v>
      </c>
      <c r="R59" s="100">
        <v>0.148958328125</v>
      </c>
      <c r="S59" t="inlineStr">
        <is>
          <t>Lo obligado está por debajo de lo programado en la vigencia</t>
        </is>
      </c>
      <c r="T59" s="101">
        <v>90997199</v>
      </c>
      <c r="U59" s="101">
        <v>53406533</v>
      </c>
      <c r="V59" s="101">
        <v>53402533</v>
      </c>
      <c r="W59" s="102">
        <v>0.353692209879999</v>
      </c>
      <c r="X59" t="inlineStr">
        <is>
          <t>Lo obligado está por debajo de lo programado en la vigencia</t>
        </is>
      </c>
    </row>
    <row r="60">
      <c r="A60" t="inlineStr">
        <is>
          <t>IP-334</t>
        </is>
      </c>
      <c r="B60" t="inlineStr">
        <is>
          <t>17</t>
        </is>
      </c>
      <c r="C60" t="inlineStr">
        <is>
          <t xml:space="preserve">Agricultura y desarrollo rural
</t>
        </is>
      </c>
      <c r="D60" t="inlineStr">
        <is>
          <t>1709</t>
        </is>
      </c>
      <c r="E60" t="inlineStr">
        <is>
          <t>Infraestructura productiva y comercialización</t>
        </is>
      </c>
      <c r="F60" t="inlineStr">
        <is>
          <t>1709106</t>
        </is>
      </c>
      <c r="G60" t="inlineStr">
        <is>
          <t>Servicio de apoyo a la comercialización de las cadenas agrícolas, forestales, pecuarias, pesqueras y acuícolas</t>
        </is>
      </c>
      <c r="H60" t="inlineStr">
        <is>
          <t>En beneficio del mejoramiento del ingreso al productor, el servicio de apoyo a la comercialización de las cadenas agrícolas, forestales, pecuarias, pesqueras y acuícolas, promueve estrategias para: i.Afrontar las variaciones atípicas en la demanda, oferta y en el precio de los productos, ii. la generación de valor agregado y iii. Permite el acceso de productos a canales de comercialización formales con estándares de calidad; mediante el fortalecimiento en los procesos de poscosecha, de transformación y en el acompañamiento técnico para la apertura a nuevos mercados.</t>
        </is>
      </c>
      <c r="I60" t="inlineStr">
        <is>
          <t>2024251750026</t>
        </is>
      </c>
      <c r="J60" s="99">
        <v>1003170740</v>
      </c>
      <c r="K60" s="99">
        <v>190000000</v>
      </c>
      <c r="L60" s="99">
        <v>443084974</v>
      </c>
      <c r="M60" s="99">
        <v>156222200</v>
      </c>
      <c r="N60" s="99">
        <v>213863566</v>
      </c>
      <c r="O60" s="99">
        <v>187601868</v>
      </c>
      <c r="P60" s="99">
        <v>105527999</v>
      </c>
      <c r="Q60" s="99">
        <v>105527999</v>
      </c>
      <c r="R60" s="100">
        <v>0.555410521052632</v>
      </c>
      <c r="S60" t="inlineStr">
        <is>
          <t>Lo obligado está por debajo de lo programado en la vigencia</t>
        </is>
      </c>
      <c r="T60" s="101">
        <v>415410283</v>
      </c>
      <c r="U60" s="101">
        <v>261954400</v>
      </c>
      <c r="V60" s="101">
        <v>261954400</v>
      </c>
      <c r="W60" s="102">
        <v>0.591205785281268</v>
      </c>
      <c r="X60" t="inlineStr">
        <is>
          <t>Lo obligado está por debajo de lo programado en la vigencia</t>
        </is>
      </c>
    </row>
    <row r="61">
      <c r="A61" t="inlineStr">
        <is>
          <t>IP-335</t>
        </is>
      </c>
      <c r="B61" t="inlineStr">
        <is>
          <t>36</t>
        </is>
      </c>
      <c r="C61" t="inlineStr">
        <is>
          <t>Trabajo</t>
        </is>
      </c>
      <c r="D61" t="inlineStr">
        <is>
          <t>3602</t>
        </is>
      </c>
      <c r="E61" t="inlineStr">
        <is>
          <t>Generación y formalización del empleo</t>
        </is>
      </c>
      <c r="F61" t="inlineStr">
        <is>
          <t>3602032</t>
        </is>
      </c>
      <c r="G61" t="inlineStr">
        <is>
          <t>Servicio de asesoría técnica para el emprendimiento</t>
        </is>
      </c>
      <c r="H61" t="inlineStr">
        <is>
          <t>Comprende la asesoría a emprendedores con iniciativas productivas para la identificación de oportunidades de negocio, ideación y validación en el mercado de las mismas a fin de lograr consolidar unidades productivas con acceso a mercados y activos productivos.</t>
        </is>
      </c>
      <c r="I61" t="inlineStr">
        <is>
          <t>2024251750031</t>
        </is>
      </c>
      <c r="J61" s="99">
        <v>2153474873</v>
      </c>
      <c r="K61" s="99">
        <v>414000000</v>
      </c>
      <c r="L61" s="99">
        <v>439474873</v>
      </c>
      <c r="M61" s="99">
        <v>800000000</v>
      </c>
      <c r="N61" s="99">
        <v>500000000</v>
      </c>
      <c r="O61" s="99">
        <v>183470614</v>
      </c>
      <c r="P61" s="99">
        <v>79417359</v>
      </c>
      <c r="Q61" s="99">
        <v>79417359</v>
      </c>
      <c r="R61" s="100">
        <v>0.191829369565217</v>
      </c>
      <c r="S61" t="inlineStr">
        <is>
          <t>Lo obligado está por debajo de lo programado en la vigencia</t>
        </is>
      </c>
      <c r="T61" s="101">
        <v>338397899</v>
      </c>
      <c r="U61" s="101">
        <v>235397150</v>
      </c>
      <c r="V61" s="101">
        <v>235397150</v>
      </c>
      <c r="W61" s="102">
        <v>0.535632784630215</v>
      </c>
      <c r="X61" t="inlineStr">
        <is>
          <t>Lo obligado está por debajo de lo programado en la vigencia</t>
        </is>
      </c>
    </row>
    <row r="62">
      <c r="A62" t="inlineStr">
        <is>
          <t>IP-336</t>
        </is>
      </c>
      <c r="B62" t="inlineStr">
        <is>
          <t>36</t>
        </is>
      </c>
      <c r="C62" t="inlineStr">
        <is>
          <t>Trabajo</t>
        </is>
      </c>
      <c r="D62" t="inlineStr">
        <is>
          <t>3602</t>
        </is>
      </c>
      <c r="E62" t="inlineStr">
        <is>
          <t>Generación y formalización del empleo</t>
        </is>
      </c>
      <c r="F62" t="inlineStr">
        <is>
          <t>3602037</t>
        </is>
      </c>
      <c r="G62" t="inlineStr">
        <is>
          <t>Servicio de registro de inserción laboral</t>
        </is>
      </c>
      <c r="H62" t="inlineStr">
        <is>
          <t>Se refiere servicio de cuantificación de plazas laborales formales ocupadas y registradas a través de la Agencia Pública de Empleo en un periodo de tiempo.</t>
        </is>
      </c>
      <c r="I62" t="inlineStr">
        <is>
          <t>2024251750031</t>
        </is>
      </c>
      <c r="J62" s="99">
        <v>714394555</v>
      </c>
      <c r="K62" s="99">
        <v>100000000</v>
      </c>
      <c r="L62" s="99">
        <v>294394555</v>
      </c>
      <c r="M62" s="99">
        <v>150000000</v>
      </c>
      <c r="N62" s="99">
        <v>170000000</v>
      </c>
      <c r="O62" s="99">
        <v>109945061</v>
      </c>
      <c r="P62" s="99">
        <v>109945061</v>
      </c>
      <c r="Q62" s="99">
        <v>109945061</v>
      </c>
      <c r="R62" s="100">
        <v>1.09945061</v>
      </c>
      <c r="S62" t="inlineStr">
        <is>
          <t>Hubo ejecución por encima de lo programado en SisPT</t>
        </is>
      </c>
      <c r="T62" s="101">
        <v>290820005</v>
      </c>
      <c r="U62" s="101">
        <v>185302495</v>
      </c>
      <c r="V62" s="101">
        <v>178477495</v>
      </c>
      <c r="W62" s="102">
        <v>0.629435877304184</v>
      </c>
      <c r="X62" t="inlineStr">
        <is>
          <t>Lo obligado está por debajo de lo programado en la vigencia</t>
        </is>
      </c>
    </row>
    <row r="63">
      <c r="A63" t="inlineStr">
        <is>
          <t>IP-337</t>
        </is>
      </c>
      <c r="B63" t="inlineStr">
        <is>
          <t>36</t>
        </is>
      </c>
      <c r="C63" t="inlineStr">
        <is>
          <t>Trabajo</t>
        </is>
      </c>
      <c r="D63" t="inlineStr">
        <is>
          <t>3602</t>
        </is>
      </c>
      <c r="E63" t="inlineStr">
        <is>
          <t>Generación y formalización del empleo</t>
        </is>
      </c>
      <c r="F63" t="inlineStr">
        <is>
          <t>3602003</t>
        </is>
      </c>
      <c r="G63" t="inlineStr">
        <is>
          <t>Servicio de gestión para el emprendimiento solidario</t>
        </is>
      </c>
      <c r="H63" t="inlineStr">
        <is>
          <t xml:space="preserve">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 </t>
        </is>
      </c>
      <c r="I63" t="inlineStr">
        <is>
          <t>2024251750031</t>
        </is>
      </c>
      <c r="J63" s="99">
        <v>539672550</v>
      </c>
      <c r="K63" s="99">
        <v>110000000</v>
      </c>
      <c r="L63" s="99">
        <v>175672550</v>
      </c>
      <c r="M63" s="99">
        <v>123900000</v>
      </c>
      <c r="N63" s="99">
        <v>130100000</v>
      </c>
      <c r="O63" s="99">
        <v>75617333</v>
      </c>
      <c r="P63" s="99">
        <v>75617333</v>
      </c>
      <c r="Q63" s="99">
        <v>75617333</v>
      </c>
      <c r="R63" s="100">
        <v>0.6874303</v>
      </c>
      <c r="S63" t="inlineStr">
        <is>
          <t>Lo obligado está por debajo de lo programado en la vigencia</t>
        </is>
      </c>
      <c r="T63" s="101">
        <v>117672550</v>
      </c>
      <c r="U63" s="101">
        <v>58159950</v>
      </c>
      <c r="V63" s="101">
        <v>58159950</v>
      </c>
      <c r="W63" s="102">
        <v>0.331070221272475</v>
      </c>
      <c r="X63" t="inlineStr">
        <is>
          <t>Lo obligado está por debajo de lo programado en la vigencia</t>
        </is>
      </c>
    </row>
    <row r="64">
      <c r="A64" t="inlineStr">
        <is>
          <t>IP-338</t>
        </is>
      </c>
      <c r="B64" t="inlineStr">
        <is>
          <t>35</t>
        </is>
      </c>
      <c r="C64" t="inlineStr">
        <is>
          <t>Comercio, industria y turismo</t>
        </is>
      </c>
      <c r="D64" t="inlineStr">
        <is>
          <t>3502</t>
        </is>
      </c>
      <c r="E64" t="inlineStr">
        <is>
          <t>Productividad y competitividad de las empresas colombianas</t>
        </is>
      </c>
      <c r="F64" t="inlineStr">
        <is>
          <t>3502012</t>
        </is>
      </c>
      <c r="G64" t="inlineStr">
        <is>
          <t>Servicio de apoyo para la modernización y fomento de la innovación empresarial</t>
        </is>
      </c>
      <c r="H64"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64" t="inlineStr">
        <is>
          <t>2024251750035</t>
        </is>
      </c>
      <c r="J64" s="99">
        <v>837125173</v>
      </c>
      <c r="K64" s="99">
        <v>85000000</v>
      </c>
      <c r="L64" s="99">
        <v>582125173</v>
      </c>
      <c r="M64" s="99">
        <v>85000000</v>
      </c>
      <c r="N64" s="99">
        <v>85000000</v>
      </c>
      <c r="O64" s="99">
        <v>551486080</v>
      </c>
      <c r="P64" s="99">
        <v>480943079</v>
      </c>
      <c r="Q64" s="99">
        <v>480943079</v>
      </c>
      <c r="R64" s="100">
        <v>5.65815387058824</v>
      </c>
      <c r="S64" t="inlineStr">
        <is>
          <t>Hubo ejecución por encima de lo programado en SisPT</t>
        </is>
      </c>
      <c r="T64" s="101">
        <v>60091500</v>
      </c>
      <c r="U64" s="101">
        <v>42147000</v>
      </c>
      <c r="V64" s="101">
        <v>42147000</v>
      </c>
      <c r="W64" s="102">
        <v>0.0724019540037998</v>
      </c>
      <c r="X64" t="inlineStr">
        <is>
          <t>Lo obligado está por debajo de lo programado en la vigencia</t>
        </is>
      </c>
    </row>
    <row r="65">
      <c r="A65" t="inlineStr">
        <is>
          <t>IP-339</t>
        </is>
      </c>
      <c r="B65" t="inlineStr">
        <is>
          <t>45</t>
        </is>
      </c>
      <c r="C65" t="inlineStr">
        <is>
          <t>Gobierno Territorial</t>
        </is>
      </c>
      <c r="D65" t="inlineStr">
        <is>
          <t>4599</t>
        </is>
      </c>
      <c r="E65" t="inlineStr">
        <is>
          <t>Fortalecimiento a la gestión y dirección de la administración pública territorial</t>
        </is>
      </c>
      <c r="F65" t="inlineStr">
        <is>
          <t>4599032</t>
        </is>
      </c>
      <c r="G65" t="inlineStr">
        <is>
          <t>Documentos de política</t>
        </is>
      </c>
      <c r="H65"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65" t="inlineStr">
        <is>
          <t>2024251750036</t>
        </is>
      </c>
      <c r="J65" s="99">
        <v>66054587</v>
      </c>
      <c r="K65" s="99">
        <v>0</v>
      </c>
      <c r="L65" s="99">
        <v>56054587</v>
      </c>
      <c r="M65" s="99">
        <v>10000000</v>
      </c>
      <c r="N65" s="99">
        <v>0</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IP-340</t>
        </is>
      </c>
      <c r="B66" t="inlineStr">
        <is>
          <t>35</t>
        </is>
      </c>
      <c r="C66" t="inlineStr">
        <is>
          <t>Comercio, industria y turismo</t>
        </is>
      </c>
      <c r="D66" t="inlineStr">
        <is>
          <t>3502</t>
        </is>
      </c>
      <c r="E66" t="inlineStr">
        <is>
          <t>Productividad y competitividad de las empresas colombianas</t>
        </is>
      </c>
      <c r="F66" t="inlineStr">
        <is>
          <t>3502047</t>
        </is>
      </c>
      <c r="G66" t="inlineStr">
        <is>
          <t>Documentos de planeación</t>
        </is>
      </c>
      <c r="H66" t="inlineStr">
        <is>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is>
      </c>
      <c r="I66" t="inlineStr">
        <is>
          <t>2024251750012</t>
        </is>
      </c>
      <c r="J66" s="99">
        <v>209969000</v>
      </c>
      <c r="K66" s="99">
        <v>57000000</v>
      </c>
      <c r="L66" s="99">
        <v>52969000</v>
      </c>
      <c r="M66" s="99">
        <v>50000000</v>
      </c>
      <c r="N66" s="99">
        <v>50000000</v>
      </c>
      <c r="O66" s="99">
        <v>16100000</v>
      </c>
      <c r="P66" s="99">
        <v>16100000</v>
      </c>
      <c r="Q66" s="99">
        <v>16100000</v>
      </c>
      <c r="R66" s="100">
        <v>0.282456140350877</v>
      </c>
      <c r="S66" t="inlineStr">
        <is>
          <t>Lo obligado está por debajo de lo programado en la vigencia</t>
        </is>
      </c>
      <c r="T66" s="101">
        <v>52969000</v>
      </c>
      <c r="U66" s="101">
        <v>38640000</v>
      </c>
      <c r="V66" s="101">
        <v>38640000</v>
      </c>
      <c r="W66" s="102">
        <v>0.729483282674772</v>
      </c>
      <c r="X66" t="inlineStr">
        <is>
          <t>Lo obligado está por debajo de lo programado en la vigencia</t>
        </is>
      </c>
    </row>
    <row r="67">
      <c r="A67" t="inlineStr">
        <is>
          <t>IP-341</t>
        </is>
      </c>
      <c r="B67" t="inlineStr">
        <is>
          <t>35</t>
        </is>
      </c>
      <c r="C67" t="inlineStr">
        <is>
          <t>Comercio, industria y turismo</t>
        </is>
      </c>
      <c r="D67" t="inlineStr">
        <is>
          <t>3502</t>
        </is>
      </c>
      <c r="E67" t="inlineStr">
        <is>
          <t>Productividad y competitividad de las empresas colombianas</t>
        </is>
      </c>
      <c r="F67" t="inlineStr">
        <is>
          <t>3502093</t>
        </is>
      </c>
      <c r="G67" t="inlineStr">
        <is>
          <t>Servicios de información turística a nivel nacional</t>
        </is>
      </c>
      <c r="H67" t="inlineStr">
        <is>
          <t>Comprende las actividades necesarias para la generación de información y herramientas tecnológicas en el uso de datos referentes al sector turismo.</t>
        </is>
      </c>
      <c r="I67" t="inlineStr">
        <is>
          <t>2024251750012</t>
        </is>
      </c>
      <c r="J67" s="99">
        <v>240042457</v>
      </c>
      <c r="K67" s="99">
        <v>30550000</v>
      </c>
      <c r="L67" s="99">
        <v>119492457</v>
      </c>
      <c r="M67" s="99">
        <v>45000000</v>
      </c>
      <c r="N67" s="99">
        <v>45000000</v>
      </c>
      <c r="O67" s="99">
        <v>30326800</v>
      </c>
      <c r="P67" s="99">
        <v>30326800</v>
      </c>
      <c r="Q67" s="99">
        <v>30326800</v>
      </c>
      <c r="R67" s="100">
        <v>0.992693944353519</v>
      </c>
      <c r="S67" t="inlineStr">
        <is>
          <t>Lo obligado está por debajo de lo programado en la vigencia</t>
        </is>
      </c>
      <c r="T67" s="101">
        <v>104438600</v>
      </c>
      <c r="U67" s="101">
        <v>76540800</v>
      </c>
      <c r="V67" s="101">
        <v>71710800</v>
      </c>
      <c r="W67" s="102">
        <v>0.640549218935217</v>
      </c>
      <c r="X67" t="inlineStr">
        <is>
          <t>Lo obligado está por debajo de lo programado en la vigencia</t>
        </is>
      </c>
    </row>
    <row r="68">
      <c r="A68" t="inlineStr">
        <is>
          <t>IP-342</t>
        </is>
      </c>
      <c r="B68" t="inlineStr">
        <is>
          <t>35</t>
        </is>
      </c>
      <c r="C68" t="inlineStr">
        <is>
          <t>Comercio, industria y turismo</t>
        </is>
      </c>
      <c r="D68" t="inlineStr">
        <is>
          <t>3502</t>
        </is>
      </c>
      <c r="E68" t="inlineStr">
        <is>
          <t>Productividad y competitividad de las empresas colombianas</t>
        </is>
      </c>
      <c r="F68" t="inlineStr">
        <is>
          <t>3502045</t>
        </is>
      </c>
      <c r="G68" t="inlineStr">
        <is>
          <t>Servicio de educación informal en asuntos turísticos</t>
        </is>
      </c>
      <c r="H68" t="inlineStr">
        <is>
          <t>Consiste en la capacitación y entrenamiento a personas interesadas en trabajar en el sector turismo. Incluye fortalecimiento de atención al cliente, de conocimientos históricos, entre otros.</t>
        </is>
      </c>
      <c r="I68" t="inlineStr">
        <is>
          <t>2024251750012</t>
        </is>
      </c>
      <c r="J68" s="99">
        <v>376000000</v>
      </c>
      <c r="K68" s="99">
        <v>50000000</v>
      </c>
      <c r="L68" s="99">
        <v>181000000</v>
      </c>
      <c r="M68" s="99">
        <v>70000000</v>
      </c>
      <c r="N68" s="99">
        <v>75000000</v>
      </c>
      <c r="O68" s="99">
        <v>40427000</v>
      </c>
      <c r="P68" s="99">
        <v>40427000</v>
      </c>
      <c r="Q68" s="99">
        <v>40427000</v>
      </c>
      <c r="R68" s="100">
        <v>0.80854</v>
      </c>
      <c r="S68" t="inlineStr">
        <is>
          <t>Lo obligado está por debajo de lo programado en la vigencia</t>
        </is>
      </c>
      <c r="T68" s="101">
        <v>26000000</v>
      </c>
      <c r="U68" s="101">
        <v>26000000</v>
      </c>
      <c r="V68" s="101">
        <v>26000000</v>
      </c>
      <c r="W68" s="102">
        <v>0.143646408839779</v>
      </c>
      <c r="X68" t="inlineStr">
        <is>
          <t>Lo obligado está por debajo de lo programado en la vigencia</t>
        </is>
      </c>
    </row>
    <row r="69">
      <c r="A69" t="inlineStr">
        <is>
          <t>IP-343</t>
        </is>
      </c>
      <c r="B69" t="inlineStr">
        <is>
          <t>35</t>
        </is>
      </c>
      <c r="C69" t="inlineStr">
        <is>
          <t>Comercio, industria y turismo</t>
        </is>
      </c>
      <c r="D69" t="inlineStr">
        <is>
          <t>3502</t>
        </is>
      </c>
      <c r="E69" t="inlineStr">
        <is>
          <t>Productividad y competitividad de las empresas colombianas</t>
        </is>
      </c>
      <c r="F69" t="inlineStr">
        <is>
          <t>3502046</t>
        </is>
      </c>
      <c r="G69" t="inlineStr">
        <is>
          <t>Servicio de promoción turística</t>
        </is>
      </c>
      <c r="H69" t="inlineStr">
        <is>
          <t>Corresponde a campañas de divulgación y promoción de los atractivos turísticos de la zonas, así como las actividades para el posicionamiento de las regiones, departamentos y municipios como destinos turísticos.</t>
        </is>
      </c>
      <c r="I69" t="inlineStr">
        <is>
          <t>2024251750012</t>
        </is>
      </c>
      <c r="J69" s="99">
        <v>12439158052</v>
      </c>
      <c r="K69" s="99">
        <v>1948450000</v>
      </c>
      <c r="L69" s="99">
        <v>4013508052</v>
      </c>
      <c r="M69" s="99">
        <v>3184300000</v>
      </c>
      <c r="N69" s="99">
        <v>3292900000</v>
      </c>
      <c r="O69" s="99">
        <v>7001614255</v>
      </c>
      <c r="P69" s="99">
        <v>6987983683</v>
      </c>
      <c r="Q69" s="99">
        <v>6928848683</v>
      </c>
      <c r="R69" s="100">
        <v>3.58643212964151</v>
      </c>
      <c r="S69" t="inlineStr">
        <is>
          <t>Hubo ejecución por encima de lo programado en SisPT</t>
        </is>
      </c>
      <c r="T69" s="101">
        <v>522223487</v>
      </c>
      <c r="U69" s="101">
        <v>394465487</v>
      </c>
      <c r="V69" s="101">
        <v>389635487</v>
      </c>
      <c r="W69" s="102">
        <v>0.0982844638379213</v>
      </c>
      <c r="X69" t="inlineStr">
        <is>
          <t>Lo obligado está por debajo de lo programado en la vigencia</t>
        </is>
      </c>
    </row>
    <row r="70">
      <c r="A70" t="inlineStr">
        <is>
          <t>IP-344</t>
        </is>
      </c>
      <c r="B70" t="inlineStr">
        <is>
          <t>35</t>
        </is>
      </c>
      <c r="C70" t="inlineStr">
        <is>
          <t>Comercio, industria y turismo</t>
        </is>
      </c>
      <c r="D70" t="inlineStr">
        <is>
          <t>3502</t>
        </is>
      </c>
      <c r="E70" t="inlineStr">
        <is>
          <t>Productividad y competitividad de las empresas colombianas</t>
        </is>
      </c>
      <c r="F70" t="inlineStr">
        <is>
          <t>3502039</t>
        </is>
      </c>
      <c r="G70" t="inlineStr">
        <is>
          <t>Servicio de asistencia técnica a los entes territoriales para el desarrollo turístico</t>
        </is>
      </c>
      <c r="H70" t="inlineStr">
        <is>
          <t>Asistencia y acompañamiento a los Entes Territoriales para la promoción y competitividad turística de sus regiones.</t>
        </is>
      </c>
      <c r="I70" t="inlineStr">
        <is>
          <t>2024251750012</t>
        </is>
      </c>
      <c r="J70" s="99">
        <v>239003000</v>
      </c>
      <c r="K70" s="99">
        <v>57000000</v>
      </c>
      <c r="L70" s="99">
        <v>52003000</v>
      </c>
      <c r="M70" s="99">
        <v>65000000</v>
      </c>
      <c r="N70" s="99">
        <v>65000000</v>
      </c>
      <c r="O70" s="99">
        <v>15960000</v>
      </c>
      <c r="P70" s="99">
        <v>15960000</v>
      </c>
      <c r="Q70" s="99">
        <v>15960000</v>
      </c>
      <c r="R70" s="100">
        <v>0.28</v>
      </c>
      <c r="S70" t="inlineStr">
        <is>
          <t>Lo obligado está por debajo de lo programado en la vigencia</t>
        </is>
      </c>
      <c r="T70" s="101">
        <v>52003000</v>
      </c>
      <c r="U70" s="101">
        <v>33810000</v>
      </c>
      <c r="V70" s="101">
        <v>33810000</v>
      </c>
      <c r="W70" s="102">
        <v>0.65015479876161</v>
      </c>
      <c r="X70" t="inlineStr">
        <is>
          <t>Lo obligado está por debajo de lo programado en la vigencia</t>
        </is>
      </c>
    </row>
    <row r="71">
      <c r="A71" t="inlineStr">
        <is>
          <t>IP-345</t>
        </is>
      </c>
      <c r="B71" t="inlineStr">
        <is>
          <t>35</t>
        </is>
      </c>
      <c r="C71" t="inlineStr">
        <is>
          <t>Comercio, industria y turismo</t>
        </is>
      </c>
      <c r="D71" t="inlineStr">
        <is>
          <t>3502</t>
        </is>
      </c>
      <c r="E71" t="inlineStr">
        <is>
          <t>Productividad y competitividad de las empresas colombianas</t>
        </is>
      </c>
      <c r="F71" t="inlineStr">
        <is>
          <t>3502112</t>
        </is>
      </c>
      <c r="G71" t="inlineStr">
        <is>
          <t>Documentos de investigación</t>
        </is>
      </c>
      <c r="H71" t="inlineStr">
        <is>
          <t>Acciones orientadas a la recolección, análisis y procesamiento de la información.</t>
        </is>
      </c>
      <c r="I71" t="inlineStr">
        <is>
          <t>2024251750012</t>
        </is>
      </c>
      <c r="J71" s="99">
        <v>372109250</v>
      </c>
      <c r="K71" s="99">
        <v>50000000</v>
      </c>
      <c r="L71" s="99">
        <v>224509250</v>
      </c>
      <c r="M71" s="99">
        <v>45600000</v>
      </c>
      <c r="N71" s="99">
        <v>52000000</v>
      </c>
      <c r="O71" s="99">
        <v>13300000</v>
      </c>
      <c r="P71" s="99">
        <v>13300000</v>
      </c>
      <c r="Q71" s="99">
        <v>13300000</v>
      </c>
      <c r="R71" s="100">
        <v>0.266</v>
      </c>
      <c r="S71" t="inlineStr">
        <is>
          <t>Lo obligado está por debajo de lo programado en la vigencia</t>
        </is>
      </c>
      <c r="T71" s="101">
        <v>65436000</v>
      </c>
      <c r="U71" s="101">
        <v>47880000</v>
      </c>
      <c r="V71" s="101">
        <v>47880000</v>
      </c>
      <c r="W71" s="102">
        <v>0.213265154999182</v>
      </c>
      <c r="X71" t="inlineStr">
        <is>
          <t>Lo obligado está por debajo de lo programado en la vigencia</t>
        </is>
      </c>
    </row>
    <row r="72">
      <c r="A72" t="inlineStr">
        <is>
          <t>IP-346</t>
        </is>
      </c>
      <c r="B72" t="inlineStr">
        <is>
          <t>35</t>
        </is>
      </c>
      <c r="C72" t="inlineStr">
        <is>
          <t>Comercio, industria y turismo</t>
        </is>
      </c>
      <c r="D72" t="inlineStr">
        <is>
          <t>3502</t>
        </is>
      </c>
      <c r="E72" t="inlineStr">
        <is>
          <t>Productividad y competitividad de las empresas colombianas</t>
        </is>
      </c>
      <c r="F72" t="inlineStr">
        <is>
          <t>3502086</t>
        </is>
      </c>
      <c r="G72" t="inlineStr">
        <is>
          <t>Mirador turístico mantenido</t>
        </is>
      </c>
      <c r="H72" t="inlineStr">
        <is>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is>
      </c>
      <c r="I72" t="inlineStr">
        <is>
          <t>2024251750011</t>
        </is>
      </c>
      <c r="J72" s="99">
        <v>40000000</v>
      </c>
      <c r="K72" s="99">
        <v>0</v>
      </c>
      <c r="L72" s="99">
        <v>0</v>
      </c>
      <c r="M72" s="99">
        <v>40000000</v>
      </c>
      <c r="N72" s="99">
        <v>0</v>
      </c>
      <c r="O72" s="99" t="inlineStr">
        <is>
          <t xml:space="preserve"> </t>
        </is>
      </c>
      <c r="P72" s="99" t="inlineStr">
        <is>
          <t xml:space="preserve"> </t>
        </is>
      </c>
      <c r="Q72" s="99" t="inlineStr">
        <is>
          <t xml:space="preserve"> </t>
        </is>
      </c>
      <c r="R72" s="100" t="inlineStr">
        <is>
          <t xml:space="preserve"> </t>
        </is>
      </c>
      <c r="S72" t="inlineStr">
        <is>
          <t>No se encontró ejecución en CUIPO</t>
        </is>
      </c>
      <c r="T72" s="101" t="inlineStr">
        <is>
          <t xml:space="preserve"> </t>
        </is>
      </c>
      <c r="U72" s="101" t="inlineStr">
        <is>
          <t xml:space="preserve"> </t>
        </is>
      </c>
      <c r="V72" s="101" t="inlineStr">
        <is>
          <t xml:space="preserve"> </t>
        </is>
      </c>
      <c r="W72" s="102" t="inlineStr">
        <is>
          <t xml:space="preserve"> </t>
        </is>
      </c>
      <c r="X72" t="inlineStr">
        <is>
          <t>No se encontró ejecución en CUIPO</t>
        </is>
      </c>
    </row>
    <row r="73">
      <c r="A73" t="inlineStr">
        <is>
          <t>IP-347</t>
        </is>
      </c>
      <c r="B73" t="inlineStr">
        <is>
          <t>35</t>
        </is>
      </c>
      <c r="C73" t="inlineStr">
        <is>
          <t>Comercio, industria y turismo</t>
        </is>
      </c>
      <c r="D73" t="inlineStr">
        <is>
          <t>3502</t>
        </is>
      </c>
      <c r="E73" t="inlineStr">
        <is>
          <t>Productividad y competitividad de las empresas colombianas</t>
        </is>
      </c>
      <c r="F73" t="inlineStr">
        <is>
          <t>3502055</t>
        </is>
      </c>
      <c r="G73" t="inlineStr">
        <is>
          <t>Centro turístico mantenido</t>
        </is>
      </c>
      <c r="H73" t="inlineStr">
        <is>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is>
      </c>
      <c r="I73" t="inlineStr">
        <is>
          <t>2024251750011</t>
        </is>
      </c>
      <c r="J73" s="99">
        <v>552900000</v>
      </c>
      <c r="K73" s="99">
        <v>57000000</v>
      </c>
      <c r="L73" s="99">
        <v>380900000</v>
      </c>
      <c r="M73" s="99">
        <v>45000000</v>
      </c>
      <c r="N73" s="99">
        <v>70000000</v>
      </c>
      <c r="O73" s="99">
        <v>51002091</v>
      </c>
      <c r="P73" s="99">
        <v>51002091</v>
      </c>
      <c r="Q73" s="99">
        <v>51002091</v>
      </c>
      <c r="R73" s="100">
        <v>0.894773526315789</v>
      </c>
      <c r="S73" t="inlineStr">
        <is>
          <t>Lo obligado está por debajo de lo programado en la vigencia</t>
        </is>
      </c>
      <c r="T73" s="101" t="inlineStr">
        <is>
          <t xml:space="preserve"> </t>
        </is>
      </c>
      <c r="U73" s="101" t="inlineStr">
        <is>
          <t xml:space="preserve"> </t>
        </is>
      </c>
      <c r="V73" s="101" t="inlineStr">
        <is>
          <t xml:space="preserve"> </t>
        </is>
      </c>
      <c r="W73" s="102" t="inlineStr">
        <is>
          <t xml:space="preserve"> </t>
        </is>
      </c>
      <c r="X73" t="inlineStr">
        <is>
          <t>No se encontró ejecución en CUIPO</t>
        </is>
      </c>
    </row>
    <row r="74">
      <c r="A74" t="inlineStr">
        <is>
          <t>IP-348</t>
        </is>
      </c>
      <c r="B74" t="inlineStr">
        <is>
          <t>35</t>
        </is>
      </c>
      <c r="C74" t="inlineStr">
        <is>
          <t>Comercio, industria y turismo</t>
        </is>
      </c>
      <c r="D74" t="inlineStr">
        <is>
          <t>3502</t>
        </is>
      </c>
      <c r="E74" t="inlineStr">
        <is>
          <t>Productividad y competitividad de las empresas colombianas</t>
        </is>
      </c>
      <c r="F74" t="inlineStr">
        <is>
          <t>3502059</t>
        </is>
      </c>
      <c r="G74" t="inlineStr">
        <is>
          <t>Señalización turística construida</t>
        </is>
      </c>
      <c r="H74" t="inlineStr">
        <is>
          <t>Corresponde a la señalización de espacios turísticos que lo requieran.</t>
        </is>
      </c>
      <c r="I74" t="inlineStr">
        <is>
          <t>2024251750011</t>
        </is>
      </c>
      <c r="J74" s="99">
        <v>55000000</v>
      </c>
      <c r="K74" s="99">
        <v>0</v>
      </c>
      <c r="L74" s="99">
        <v>0</v>
      </c>
      <c r="M74" s="99">
        <v>55000000</v>
      </c>
      <c r="N74" s="99">
        <v>0</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t="inlineStr">
        <is>
          <t xml:space="preserve"> </t>
        </is>
      </c>
      <c r="U74" s="101" t="inlineStr">
        <is>
          <t xml:space="preserve"> </t>
        </is>
      </c>
      <c r="V74" s="101" t="inlineStr">
        <is>
          <t xml:space="preserve"> </t>
        </is>
      </c>
      <c r="W74" s="102" t="inlineStr">
        <is>
          <t xml:space="preserve"> </t>
        </is>
      </c>
      <c r="X74" t="inlineStr">
        <is>
          <t>No se encontró ejecución en CUIPO</t>
        </is>
      </c>
    </row>
    <row r="75">
      <c r="A75" t="inlineStr">
        <is>
          <t>IP-349</t>
        </is>
      </c>
      <c r="B75" t="inlineStr">
        <is>
          <t>35</t>
        </is>
      </c>
      <c r="C75" t="inlineStr">
        <is>
          <t>Comercio, industria y turismo</t>
        </is>
      </c>
      <c r="D75" t="inlineStr">
        <is>
          <t>3502</t>
        </is>
      </c>
      <c r="E75" t="inlineStr">
        <is>
          <t>Productividad y competitividad de las empresas colombianas</t>
        </is>
      </c>
      <c r="F75" t="inlineStr">
        <is>
          <t>3502110</t>
        </is>
      </c>
      <c r="G75" t="inlineStr">
        <is>
          <t>Estudios de preinversión</t>
        </is>
      </c>
      <c r="H75" t="inlineStr">
        <is>
          <t>Corresponde a todos los productos relacionados a la etapa de preinversión en infraestructura , como son estudios de factibilidad, diseños arquitectónicos, planos, estudio de suelos y otros estudios y/o instrumentos similares.</t>
        </is>
      </c>
      <c r="I75" t="inlineStr">
        <is>
          <t>2024251750076</t>
        </is>
      </c>
      <c r="J75" s="99">
        <v>0</v>
      </c>
      <c r="K75" s="99">
        <v>0</v>
      </c>
      <c r="L75" s="99">
        <v>0</v>
      </c>
      <c r="M75" s="99">
        <v>0</v>
      </c>
      <c r="N75" s="99">
        <v>0</v>
      </c>
      <c r="O75" s="99" t="inlineStr">
        <is>
          <t xml:space="preserve"> </t>
        </is>
      </c>
      <c r="P75" s="99" t="inlineStr">
        <is>
          <t xml:space="preserve"> </t>
        </is>
      </c>
      <c r="Q75" s="99" t="inlineStr">
        <is>
          <t xml:space="preserve"> </t>
        </is>
      </c>
      <c r="R75" s="100" t="inlineStr">
        <is>
          <t xml:space="preserve"> </t>
        </is>
      </c>
      <c r="S75" t="inlineStr">
        <is>
          <t>No se encontró ejecución en CUIPO</t>
        </is>
      </c>
      <c r="T75" s="101" t="inlineStr">
        <is>
          <t xml:space="preserve"> </t>
        </is>
      </c>
      <c r="U75" s="101" t="inlineStr">
        <is>
          <t xml:space="preserve"> </t>
        </is>
      </c>
      <c r="V75" s="101" t="inlineStr">
        <is>
          <t xml:space="preserve"> </t>
        </is>
      </c>
      <c r="W75" s="102" t="inlineStr">
        <is>
          <t xml:space="preserve"> </t>
        </is>
      </c>
      <c r="X75" t="inlineStr">
        <is>
          <t>No se encontró ejecución en CUIPO</t>
        </is>
      </c>
    </row>
    <row r="76">
      <c r="A76" t="inlineStr">
        <is>
          <t>IP-350</t>
        </is>
      </c>
      <c r="B76" t="inlineStr">
        <is>
          <t>35</t>
        </is>
      </c>
      <c r="C76" t="inlineStr">
        <is>
          <t>Comercio, industria y turismo</t>
        </is>
      </c>
      <c r="D76" t="inlineStr">
        <is>
          <t>3502</t>
        </is>
      </c>
      <c r="E76" t="inlineStr">
        <is>
          <t>Productividad y competitividad de las empresas colombianas</t>
        </is>
      </c>
      <c r="F76" t="inlineStr">
        <is>
          <t>3502056</t>
        </is>
      </c>
      <c r="G76" t="inlineStr">
        <is>
          <t>Sendero turístico construido</t>
        </is>
      </c>
      <c r="H76" t="inlineStr">
        <is>
          <t>Corresponde a la construcción de un camino o ruta con el fin de apreciar el entorno turístico.</t>
        </is>
      </c>
      <c r="I76" t="inlineStr">
        <is>
          <t/>
        </is>
      </c>
      <c r="J76" s="99">
        <v>200200000</v>
      </c>
      <c r="K76" s="99">
        <v>0</v>
      </c>
      <c r="L76" s="99">
        <v>0</v>
      </c>
      <c r="M76" s="99">
        <v>100100000</v>
      </c>
      <c r="N76" s="99">
        <v>100100000</v>
      </c>
      <c r="O76" s="99" t="inlineStr">
        <is>
          <t xml:space="preserve"> </t>
        </is>
      </c>
      <c r="P76" s="99" t="inlineStr">
        <is>
          <t xml:space="preserve"> </t>
        </is>
      </c>
      <c r="Q76" s="99" t="inlineStr">
        <is>
          <t xml:space="preserve"> </t>
        </is>
      </c>
      <c r="R76" s="100" t="inlineStr">
        <is>
          <t xml:space="preserve"> </t>
        </is>
      </c>
      <c r="S76" t="inlineStr">
        <is>
          <t>Por falta de código BPIN, no se encontró ejecución en CUIPO</t>
        </is>
      </c>
      <c r="T76" s="101" t="inlineStr">
        <is>
          <t xml:space="preserve"> </t>
        </is>
      </c>
      <c r="U76" s="101" t="inlineStr">
        <is>
          <t xml:space="preserve"> </t>
        </is>
      </c>
      <c r="V76" s="101" t="inlineStr">
        <is>
          <t xml:space="preserve"> </t>
        </is>
      </c>
      <c r="W76" s="102" t="inlineStr">
        <is>
          <t xml:space="preserve"> </t>
        </is>
      </c>
      <c r="X76" t="inlineStr">
        <is>
          <t>Por falta de código BPIN, no se encontró ejecución en CUIPO</t>
        </is>
      </c>
    </row>
    <row r="77">
      <c r="A77" t="inlineStr">
        <is>
          <t>IP-351</t>
        </is>
      </c>
      <c r="B77" t="inlineStr">
        <is>
          <t>24</t>
        </is>
      </c>
      <c r="C77" t="inlineStr">
        <is>
          <t>Transporte</t>
        </is>
      </c>
      <c r="D77" t="inlineStr">
        <is>
          <t>2408</t>
        </is>
      </c>
      <c r="E77" t="inlineStr">
        <is>
          <t>Prestación de servicios de transporte público de pasajeros</t>
        </is>
      </c>
      <c r="F77" t="inlineStr">
        <is>
          <t>2408003</t>
        </is>
      </c>
      <c r="G77" t="inlineStr">
        <is>
          <t>Estaciones construidas</t>
        </is>
      </c>
      <c r="H77" t="inlineStr">
        <is>
          <t/>
        </is>
      </c>
      <c r="I77" t="inlineStr">
        <is>
          <t>2024251750071</t>
        </is>
      </c>
      <c r="J77" s="99">
        <v>1860260879</v>
      </c>
      <c r="K77" s="99">
        <v>358985590</v>
      </c>
      <c r="L77" s="99">
        <v>165473789</v>
      </c>
      <c r="M77" s="99">
        <v>500000000</v>
      </c>
      <c r="N77" s="99">
        <v>835801500</v>
      </c>
      <c r="O77" s="99">
        <v>0</v>
      </c>
      <c r="P77" s="99">
        <v>0</v>
      </c>
      <c r="Q77" s="99">
        <v>0</v>
      </c>
      <c r="R77" s="100">
        <v>0</v>
      </c>
      <c r="S77" t="inlineStr">
        <is>
          <t>No se ejecutó en la vigencia</t>
        </is>
      </c>
      <c r="T77" s="101">
        <v>165473789</v>
      </c>
      <c r="U77" s="101">
        <v>0</v>
      </c>
      <c r="V77" s="101">
        <v>0</v>
      </c>
      <c r="W77" s="102">
        <v>0</v>
      </c>
      <c r="X77" t="inlineStr">
        <is>
          <t>No se ejecutó en la vigencia</t>
        </is>
      </c>
    </row>
    <row r="78">
      <c r="A78" t="inlineStr">
        <is>
          <t>IP-352</t>
        </is>
      </c>
      <c r="B78" t="inlineStr">
        <is>
          <t>24</t>
        </is>
      </c>
      <c r="C78" t="inlineStr">
        <is>
          <t>Transporte</t>
        </is>
      </c>
      <c r="D78" t="inlineStr">
        <is>
          <t>2409</t>
        </is>
      </c>
      <c r="E78" t="inlineStr">
        <is>
          <t>Seguridad de transporte</t>
        </is>
      </c>
      <c r="F78" t="inlineStr">
        <is>
          <t>2409014</t>
        </is>
      </c>
      <c r="G78" t="inlineStr">
        <is>
          <t>Documentos de planeación</t>
        </is>
      </c>
      <c r="H7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78" t="inlineStr">
        <is>
          <t>2024251750027</t>
        </is>
      </c>
      <c r="J78" s="99">
        <v>73350000</v>
      </c>
      <c r="K78" s="99">
        <v>0</v>
      </c>
      <c r="L78" s="99">
        <v>73350000</v>
      </c>
      <c r="M78" s="99">
        <v>0</v>
      </c>
      <c r="N78" s="99">
        <v>0</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v>73350000</v>
      </c>
      <c r="U78" s="101">
        <v>44010000</v>
      </c>
      <c r="V78" s="101">
        <v>44010000</v>
      </c>
      <c r="W78" s="102">
        <v>0.6</v>
      </c>
      <c r="X78" t="inlineStr">
        <is>
          <t>Lo obligado está por debajo de lo programado en la vigencia</t>
        </is>
      </c>
    </row>
    <row r="79">
      <c r="A79" t="inlineStr">
        <is>
          <t>IP-353, IP-354, IP-360</t>
        </is>
      </c>
      <c r="B79" t="inlineStr">
        <is>
          <t>24</t>
        </is>
      </c>
      <c r="C79" t="inlineStr">
        <is>
          <t>Transporte</t>
        </is>
      </c>
      <c r="D79" t="inlineStr">
        <is>
          <t>2409</t>
        </is>
      </c>
      <c r="E79" t="inlineStr">
        <is>
          <t>Seguridad de transporte</t>
        </is>
      </c>
      <c r="F79" t="inlineStr">
        <is>
          <t>2409016</t>
        </is>
      </c>
      <c r="G79" t="inlineStr">
        <is>
          <t>Estudios de preinversión</t>
        </is>
      </c>
      <c r="H79" t="inlineStr">
        <is>
          <t>Incluye la realización de estudios de pre factibilidad, factibilidad o definitivos para la ejecución de proyectos</t>
        </is>
      </c>
      <c r="I79" t="inlineStr">
        <is>
          <t>2024251750027</t>
        </is>
      </c>
      <c r="J79" s="99">
        <v>175000000</v>
      </c>
      <c r="K79" s="99">
        <v>0</v>
      </c>
      <c r="L79" s="99">
        <v>175000000</v>
      </c>
      <c r="M79" s="99">
        <v>0</v>
      </c>
      <c r="N79" s="99">
        <v>0</v>
      </c>
      <c r="O79" s="99" t="inlineStr">
        <is>
          <t xml:space="preserve"> </t>
        </is>
      </c>
      <c r="P79" s="99" t="inlineStr">
        <is>
          <t xml:space="preserve"> </t>
        </is>
      </c>
      <c r="Q79" s="99" t="inlineStr">
        <is>
          <t xml:space="preserve"> </t>
        </is>
      </c>
      <c r="R79" s="100" t="inlineStr">
        <is>
          <t xml:space="preserve"> </t>
        </is>
      </c>
      <c r="S79" t="inlineStr">
        <is>
          <t>No se encontró ejecución en CUIPO</t>
        </is>
      </c>
      <c r="T79" s="101" t="inlineStr">
        <is>
          <t xml:space="preserve"> </t>
        </is>
      </c>
      <c r="U79" s="101" t="inlineStr">
        <is>
          <t xml:space="preserve"> </t>
        </is>
      </c>
      <c r="V79" s="101" t="inlineStr">
        <is>
          <t xml:space="preserve"> </t>
        </is>
      </c>
      <c r="W79" s="102" t="inlineStr">
        <is>
          <t xml:space="preserve"> </t>
        </is>
      </c>
      <c r="X79" t="inlineStr">
        <is>
          <t>No se encontró ejecución en CUIPO</t>
        </is>
      </c>
    </row>
    <row r="80">
      <c r="A80" t="inlineStr">
        <is>
          <t>IP-355, IP-358</t>
        </is>
      </c>
      <c r="B80" t="inlineStr">
        <is>
          <t>24</t>
        </is>
      </c>
      <c r="C80" t="inlineStr">
        <is>
          <t>Transporte</t>
        </is>
      </c>
      <c r="D80" t="inlineStr">
        <is>
          <t>2409</t>
        </is>
      </c>
      <c r="E80" t="inlineStr">
        <is>
          <t>Seguridad de transporte</t>
        </is>
      </c>
      <c r="F80" t="inlineStr">
        <is>
          <t>2409009</t>
        </is>
      </c>
      <c r="G80" t="inlineStr">
        <is>
          <t>Servicio de promoción y difusión para la seguridad de transporte</t>
        </is>
      </c>
      <c r="H80" t="inlineStr">
        <is>
          <t>Incluye el diseño e implementación de todo tipo de campañas y estrategias formativas e informativas visuales, auditivas y audiovisuales dirigidas a los actores viales.</t>
        </is>
      </c>
      <c r="I80" t="inlineStr">
        <is>
          <t>2024251750027</t>
        </is>
      </c>
      <c r="J80" s="99">
        <v>7764781738.35</v>
      </c>
      <c r="K80" s="99">
        <v>1425000000</v>
      </c>
      <c r="L80" s="99">
        <v>2791303738.35</v>
      </c>
      <c r="M80" s="99">
        <v>1715316500</v>
      </c>
      <c r="N80" s="99">
        <v>1833161500</v>
      </c>
      <c r="O80" s="99">
        <v>792249605</v>
      </c>
      <c r="P80" s="99">
        <v>707249605</v>
      </c>
      <c r="Q80" s="99">
        <v>707249605</v>
      </c>
      <c r="R80" s="100">
        <v>0.496315512280702</v>
      </c>
      <c r="S80" t="inlineStr">
        <is>
          <t>Lo obligado está por debajo de lo programado en la vigencia</t>
        </is>
      </c>
      <c r="T80" s="101">
        <v>1180833120</v>
      </c>
      <c r="U80" s="101">
        <v>751833150</v>
      </c>
      <c r="V80" s="101">
        <v>747095550</v>
      </c>
      <c r="W80" s="102">
        <v>0.269348383578071</v>
      </c>
      <c r="X80" t="inlineStr">
        <is>
          <t>Lo obligado está por debajo de lo programado en la vigencia</t>
        </is>
      </c>
    </row>
    <row r="81">
      <c r="A81" t="inlineStr">
        <is>
          <t>IP-356</t>
        </is>
      </c>
      <c r="B81" t="inlineStr">
        <is>
          <t>24</t>
        </is>
      </c>
      <c r="C81" t="inlineStr">
        <is>
          <t>Transporte</t>
        </is>
      </c>
      <c r="D81" t="inlineStr">
        <is>
          <t>2409</t>
        </is>
      </c>
      <c r="E81" t="inlineStr">
        <is>
          <t>Seguridad de transporte</t>
        </is>
      </c>
      <c r="F81" t="inlineStr">
        <is>
          <t>2409039</t>
        </is>
      </c>
      <c r="G81" t="inlineStr">
        <is>
          <t>Vías con dispositivos de control y señalización</t>
        </is>
      </c>
      <c r="H81" t="inlineStr">
        <is>
          <t>Incluye la señalización sonora, táctil, visual o mixta, así como la implementación de dispositivos de control para la seguridad vial.</t>
        </is>
      </c>
      <c r="I81" t="inlineStr">
        <is>
          <t>2024251750027</t>
        </is>
      </c>
      <c r="J81" s="99">
        <v>2849348000</v>
      </c>
      <c r="K81" s="99">
        <v>610000000</v>
      </c>
      <c r="L81" s="99">
        <v>701057500</v>
      </c>
      <c r="M81" s="99">
        <v>724753500</v>
      </c>
      <c r="N81" s="99">
        <v>813537000</v>
      </c>
      <c r="O81" s="99">
        <v>514062172</v>
      </c>
      <c r="P81" s="99">
        <v>0</v>
      </c>
      <c r="Q81" s="99">
        <v>0</v>
      </c>
      <c r="R81" s="100">
        <v>0</v>
      </c>
      <c r="S81" t="inlineStr">
        <is>
          <t>No se ejecutó en la vigencia</t>
        </is>
      </c>
      <c r="T81" s="101">
        <v>498552630</v>
      </c>
      <c r="U81" s="101">
        <v>302051908</v>
      </c>
      <c r="V81" s="101">
        <v>302051908</v>
      </c>
      <c r="W81" s="102">
        <v>0.430851831697115</v>
      </c>
      <c r="X81" t="inlineStr">
        <is>
          <t>Lo obligado está por debajo de lo programado en la vigencia</t>
        </is>
      </c>
    </row>
    <row r="82">
      <c r="A82" t="inlineStr">
        <is>
          <t>IP-357</t>
        </is>
      </c>
      <c r="B82" t="inlineStr">
        <is>
          <t>24</t>
        </is>
      </c>
      <c r="C82" t="inlineStr">
        <is>
          <t>Transporte</t>
        </is>
      </c>
      <c r="D82" t="inlineStr">
        <is>
          <t>2409</t>
        </is>
      </c>
      <c r="E82" t="inlineStr">
        <is>
          <t>Seguridad de transporte</t>
        </is>
      </c>
      <c r="F82" t="inlineStr">
        <is>
          <t>2409064</t>
        </is>
      </c>
      <c r="G82" t="inlineStr">
        <is>
          <t>Documentos de estudios técnicos</t>
        </is>
      </c>
      <c r="H82" t="inlineStr">
        <is>
          <t>Documentos cuyo objetivo es la elaboración de informes de base que analizan situaciones, estudios de caso y de una temática específica.</t>
        </is>
      </c>
      <c r="I82" t="inlineStr">
        <is>
          <t>2024251750027</t>
        </is>
      </c>
      <c r="J82" s="99">
        <v>650000000</v>
      </c>
      <c r="K82" s="99">
        <v>0</v>
      </c>
      <c r="L82" s="99">
        <v>550000000</v>
      </c>
      <c r="M82" s="99">
        <v>100000000</v>
      </c>
      <c r="N82" s="99">
        <v>0</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t="inlineStr">
        <is>
          <t xml:space="preserve"> </t>
        </is>
      </c>
      <c r="U82" s="101" t="inlineStr">
        <is>
          <t xml:space="preserve"> </t>
        </is>
      </c>
      <c r="V82" s="101" t="inlineStr">
        <is>
          <t xml:space="preserve"> </t>
        </is>
      </c>
      <c r="W82" s="102" t="inlineStr">
        <is>
          <t xml:space="preserve"> </t>
        </is>
      </c>
      <c r="X82" t="inlineStr">
        <is>
          <t>No se encontró ejecución en CUIPO</t>
        </is>
      </c>
    </row>
    <row r="83">
      <c r="A83" t="inlineStr">
        <is>
          <t>IP-359</t>
        </is>
      </c>
      <c r="B83" t="inlineStr">
        <is>
          <t>24</t>
        </is>
      </c>
      <c r="C83" t="inlineStr">
        <is>
          <t>Transporte</t>
        </is>
      </c>
      <c r="D83" t="inlineStr">
        <is>
          <t>2409</t>
        </is>
      </c>
      <c r="E83" t="inlineStr">
        <is>
          <t>Seguridad de transporte</t>
        </is>
      </c>
      <c r="F83" t="inlineStr">
        <is>
          <t>2409004</t>
        </is>
      </c>
      <c r="G83" t="inlineStr">
        <is>
          <t>Seguimiento y control a la operación de los sistemas de transporte</t>
        </is>
      </c>
      <c r="H83" t="inlineStr">
        <is>
          <t>Incluye eliminación o control de riesgos en la actividad de desplazamiento.</t>
        </is>
      </c>
      <c r="I83" t="inlineStr">
        <is>
          <t>2024251750027</t>
        </is>
      </c>
      <c r="J83" s="99">
        <v>2268226484</v>
      </c>
      <c r="K83" s="99">
        <v>665000000</v>
      </c>
      <c r="L83" s="99">
        <v>645796484</v>
      </c>
      <c r="M83" s="99">
        <v>539930000</v>
      </c>
      <c r="N83" s="99">
        <v>417500000</v>
      </c>
      <c r="O83" s="99">
        <v>188983969</v>
      </c>
      <c r="P83" s="99">
        <v>188983969</v>
      </c>
      <c r="Q83" s="99">
        <v>188983969</v>
      </c>
      <c r="R83" s="100">
        <v>0.284186419548872</v>
      </c>
      <c r="S83" t="inlineStr">
        <is>
          <t>Lo obligado está por debajo de lo programado en la vigencia</t>
        </is>
      </c>
      <c r="T83" s="101">
        <v>565127959</v>
      </c>
      <c r="U83" s="101">
        <v>366417205</v>
      </c>
      <c r="V83" s="101">
        <v>351747205</v>
      </c>
      <c r="W83" s="102">
        <v>0.567388045736093</v>
      </c>
      <c r="X83" t="inlineStr">
        <is>
          <t>Lo obligado está por debajo de lo programado en la vigencia</t>
        </is>
      </c>
    </row>
    <row r="84">
      <c r="A84" t="inlineStr">
        <is>
          <t>IP-361, IP-362, IP-368, IP-380</t>
        </is>
      </c>
      <c r="B84" t="inlineStr">
        <is>
          <t>24</t>
        </is>
      </c>
      <c r="C84" t="inlineStr">
        <is>
          <t>Transporte</t>
        </is>
      </c>
      <c r="D84" t="inlineStr">
        <is>
          <t>2402</t>
        </is>
      </c>
      <c r="E84" t="inlineStr">
        <is>
          <t>Infraestructura red vial regional</t>
        </is>
      </c>
      <c r="F84" t="inlineStr">
        <is>
          <t>2402118</t>
        </is>
      </c>
      <c r="G84" t="inlineStr">
        <is>
          <t>Estudios de preinversión para la red vial regional</t>
        </is>
      </c>
      <c r="H84" t="inlineStr">
        <is>
          <t>Incluye la realización de los estudios requeridos en las fases de pre factibilidad, factibilidad o definitivos.</t>
        </is>
      </c>
      <c r="I84" t="inlineStr">
        <is>
          <t>2024251750047</t>
        </is>
      </c>
      <c r="J84" s="99">
        <v>3139155201</v>
      </c>
      <c r="K84" s="99">
        <v>2100000000</v>
      </c>
      <c r="L84" s="99">
        <v>1039155201</v>
      </c>
      <c r="M84" s="99">
        <v>0</v>
      </c>
      <c r="N84" s="99">
        <v>0</v>
      </c>
      <c r="O84" s="99">
        <v>43841315</v>
      </c>
      <c r="P84" s="99">
        <v>43841315</v>
      </c>
      <c r="Q84" s="99">
        <v>43841315</v>
      </c>
      <c r="R84" s="100">
        <v>0.0208768166666667</v>
      </c>
      <c r="S84" t="inlineStr">
        <is>
          <t>Lo obligado está por debajo de lo programado en la vigencia</t>
        </is>
      </c>
      <c r="T84" s="101">
        <v>939155201</v>
      </c>
      <c r="U84" s="101">
        <v>0</v>
      </c>
      <c r="V84" s="101">
        <v>0</v>
      </c>
      <c r="W84" s="102">
        <v>0</v>
      </c>
      <c r="X84" t="inlineStr">
        <is>
          <t>No se ejecutó en la vigencia</t>
        </is>
      </c>
    </row>
    <row r="85">
      <c r="A85" t="inlineStr">
        <is>
          <t>IP-363</t>
        </is>
      </c>
      <c r="B85" t="inlineStr">
        <is>
          <t>24</t>
        </is>
      </c>
      <c r="C85" t="inlineStr">
        <is>
          <t>Transporte</t>
        </is>
      </c>
      <c r="D85" t="inlineStr">
        <is>
          <t>2402</t>
        </is>
      </c>
      <c r="E85" t="inlineStr">
        <is>
          <t>Infraestructura red vial regional</t>
        </is>
      </c>
      <c r="F85" t="inlineStr">
        <is>
          <t>2402113</t>
        </is>
      </c>
      <c r="G85" t="inlineStr">
        <is>
          <t>Vía urbana construida</t>
        </is>
      </c>
      <c r="H85" t="inlineStr">
        <is>
          <t>Incluye la construcción de vías nuevas en zonas  urbanas sin comunicación vial</t>
        </is>
      </c>
      <c r="I85" t="inlineStr">
        <is>
          <t>2024251750047</t>
        </is>
      </c>
      <c r="J85" s="99">
        <v>8291794697</v>
      </c>
      <c r="K85" s="99">
        <v>0</v>
      </c>
      <c r="L85" s="99">
        <v>0</v>
      </c>
      <c r="M85" s="99">
        <v>3200000000</v>
      </c>
      <c r="N85" s="99">
        <v>5091794697</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t="inlineStr">
        <is>
          <t xml:space="preserve"> </t>
        </is>
      </c>
      <c r="U85" s="101" t="inlineStr">
        <is>
          <t xml:space="preserve"> </t>
        </is>
      </c>
      <c r="V85" s="101" t="inlineStr">
        <is>
          <t xml:space="preserve"> </t>
        </is>
      </c>
      <c r="W85" s="102" t="inlineStr">
        <is>
          <t xml:space="preserve"> </t>
        </is>
      </c>
      <c r="X85" t="inlineStr">
        <is>
          <t>No se encontró ejecución en CUIPO</t>
        </is>
      </c>
    </row>
    <row r="86">
      <c r="A86" t="inlineStr">
        <is>
          <t>IP-364</t>
        </is>
      </c>
      <c r="B86" t="inlineStr">
        <is>
          <t>24</t>
        </is>
      </c>
      <c r="C86" t="inlineStr">
        <is>
          <t>Transporte</t>
        </is>
      </c>
      <c r="D86" t="inlineStr">
        <is>
          <t>2402</t>
        </is>
      </c>
      <c r="E86" t="inlineStr">
        <is>
          <t>Infraestructura red vial regional</t>
        </is>
      </c>
      <c r="F86" t="inlineStr">
        <is>
          <t>2402039</t>
        </is>
      </c>
      <c r="G86" t="inlineStr">
        <is>
          <t>Vía terciaria construida</t>
        </is>
      </c>
      <c r="H86" t="inlineStr">
        <is>
          <t>Incluye la construcción de vías nuevas en zonas sin comunicación vial</t>
        </is>
      </c>
      <c r="I86" t="inlineStr">
        <is>
          <t>2024251750047</t>
        </is>
      </c>
      <c r="J86" s="99">
        <v>3500000000</v>
      </c>
      <c r="K86" s="99">
        <v>0</v>
      </c>
      <c r="L86" s="99">
        <v>0</v>
      </c>
      <c r="M86" s="99">
        <v>0</v>
      </c>
      <c r="N86" s="99">
        <v>3500000000</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t="inlineStr">
        <is>
          <t xml:space="preserve"> </t>
        </is>
      </c>
      <c r="U86" s="101" t="inlineStr">
        <is>
          <t xml:space="preserve"> </t>
        </is>
      </c>
      <c r="V86" s="101" t="inlineStr">
        <is>
          <t xml:space="preserve"> </t>
        </is>
      </c>
      <c r="W86" s="102" t="inlineStr">
        <is>
          <t xml:space="preserve"> </t>
        </is>
      </c>
      <c r="X86" t="inlineStr">
        <is>
          <t>No se encontró ejecución en CUIPO</t>
        </is>
      </c>
    </row>
    <row r="87">
      <c r="A87" t="inlineStr">
        <is>
          <t>IP-365</t>
        </is>
      </c>
      <c r="B87" t="inlineStr">
        <is>
          <t>24</t>
        </is>
      </c>
      <c r="C87" t="inlineStr">
        <is>
          <t>Transporte</t>
        </is>
      </c>
      <c r="D87" t="inlineStr">
        <is>
          <t>2402</t>
        </is>
      </c>
      <c r="E87" t="inlineStr">
        <is>
          <t>Infraestructura red vial regional</t>
        </is>
      </c>
      <c r="F87" t="inlineStr">
        <is>
          <t>2402115</t>
        </is>
      </c>
      <c r="G87" t="inlineStr">
        <is>
          <t>Vía urbana con mantenimiento periódico o rutinario</t>
        </is>
      </c>
      <c r="H87" t="inlineStr">
        <is>
          <t>Incluye las acciones de conservación periódica o rutinaria de las vías urbanas con el fin de mantener las condiciones óptimas para el tránsito y  el uso adecuado de la infraestructura de transporte.</t>
        </is>
      </c>
      <c r="I87" t="inlineStr">
        <is>
          <t>2024251750047</t>
        </is>
      </c>
      <c r="J87" s="99">
        <v>11055978632.15</v>
      </c>
      <c r="K87" s="99">
        <v>1250000000</v>
      </c>
      <c r="L87" s="99">
        <v>1496255384.15</v>
      </c>
      <c r="M87" s="99">
        <v>1194316089</v>
      </c>
      <c r="N87" s="99">
        <v>7115407159</v>
      </c>
      <c r="O87" s="99">
        <v>770702374</v>
      </c>
      <c r="P87" s="99">
        <v>261036942</v>
      </c>
      <c r="Q87" s="99">
        <v>68116374</v>
      </c>
      <c r="R87" s="100">
        <v>0.2088295536</v>
      </c>
      <c r="S87" t="inlineStr">
        <is>
          <t>Lo obligado está por debajo de lo programado en la vigencia</t>
        </is>
      </c>
      <c r="T87" s="101">
        <v>1070004036</v>
      </c>
      <c r="U87" s="101">
        <v>797210509</v>
      </c>
      <c r="V87" s="101">
        <v>797210509</v>
      </c>
      <c r="W87" s="102">
        <v>0.532803769627124</v>
      </c>
      <c r="X87" t="inlineStr">
        <is>
          <t>Lo obligado está por debajo de lo programado en la vigencia</t>
        </is>
      </c>
    </row>
    <row r="88">
      <c r="A88" t="inlineStr">
        <is>
          <t>IP-366</t>
        </is>
      </c>
      <c r="B88" t="inlineStr">
        <is>
          <t>24</t>
        </is>
      </c>
      <c r="C88" t="inlineStr">
        <is>
          <t>Transporte</t>
        </is>
      </c>
      <c r="D88" t="inlineStr">
        <is>
          <t>2402</t>
        </is>
      </c>
      <c r="E88" t="inlineStr">
        <is>
          <t>Infraestructura red vial regional</t>
        </is>
      </c>
      <c r="F88" t="inlineStr">
        <is>
          <t>2402112</t>
        </is>
      </c>
      <c r="G88" t="inlineStr">
        <is>
          <t>Vía terciaria con mantenimiento periódico o rutinario</t>
        </is>
      </c>
      <c r="H88" t="inlineStr">
        <is>
          <t>Incluye las acciones de conservación periódica o rutinaria de las vías de la red vial terciaria con el fin de mantener las condiciones óptimas para el tránsito y  el uso adecuado de la infraestructura de transporte.</t>
        </is>
      </c>
      <c r="I88" t="inlineStr">
        <is>
          <t>2024251750047</t>
        </is>
      </c>
      <c r="J88" s="99">
        <v>14720608237.66</v>
      </c>
      <c r="K88" s="99">
        <v>2500000000</v>
      </c>
      <c r="L88" s="99">
        <v>2470608237.66</v>
      </c>
      <c r="M88" s="99">
        <v>750000000</v>
      </c>
      <c r="N88" s="99">
        <v>9000000000</v>
      </c>
      <c r="O88" s="99">
        <v>1151466144</v>
      </c>
      <c r="P88" s="99">
        <v>99702796</v>
      </c>
      <c r="Q88" s="99">
        <v>99702796</v>
      </c>
      <c r="R88" s="100">
        <v>0.0398811184</v>
      </c>
      <c r="S88" t="inlineStr">
        <is>
          <t>Lo obligado está por debajo de lo programado en la vigencia</t>
        </is>
      </c>
      <c r="T88" s="101">
        <v>1262235199</v>
      </c>
      <c r="U88" s="101">
        <v>1027038073</v>
      </c>
      <c r="V88" s="101">
        <v>1027038073</v>
      </c>
      <c r="W88" s="102">
        <v>0.415702521081507</v>
      </c>
      <c r="X88" t="inlineStr">
        <is>
          <t>Lo obligado está por debajo de lo programado en la vigencia</t>
        </is>
      </c>
    </row>
    <row r="89">
      <c r="A89" t="inlineStr">
        <is>
          <t>IP-367</t>
        </is>
      </c>
      <c r="B89" t="inlineStr">
        <is>
          <t>24</t>
        </is>
      </c>
      <c r="C89" t="inlineStr">
        <is>
          <t>Transporte</t>
        </is>
      </c>
      <c r="D89" t="inlineStr">
        <is>
          <t>2402</t>
        </is>
      </c>
      <c r="E89" t="inlineStr">
        <is>
          <t>Infraestructura red vial regional</t>
        </is>
      </c>
      <c r="F89" t="inlineStr">
        <is>
          <t>2402133</t>
        </is>
      </c>
      <c r="G89" t="inlineStr">
        <is>
          <t>Puente peatonal de la red urbana con mantenimiento</t>
        </is>
      </c>
      <c r="H89" t="inlineStr">
        <is>
          <t>Incluye las acciones de conservación periódica o rutinaria de puentes peatonales de la red vial secundaria, terciaria o urbana con el fin de mantener las condiciones óptimas para el tránsito y  el uso adecuado de la infraestructura de transporte.</t>
        </is>
      </c>
      <c r="I89" t="inlineStr">
        <is>
          <t>2024251750080</t>
        </is>
      </c>
      <c r="J89" s="99">
        <v>0</v>
      </c>
      <c r="K89" s="99">
        <v>0</v>
      </c>
      <c r="L89" s="99">
        <v>0</v>
      </c>
      <c r="M89" s="99">
        <v>0</v>
      </c>
      <c r="N89" s="99">
        <v>0</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v>1487768987</v>
      </c>
      <c r="U89" s="101">
        <v>0</v>
      </c>
      <c r="V89" s="101">
        <v>0</v>
      </c>
      <c r="W89" s="102" t="inlineStr">
        <is>
          <t xml:space="preserve"> </t>
        </is>
      </c>
      <c r="X89" t="inlineStr">
        <is>
          <t>No se programó ni ejecutó en la vigencia</t>
        </is>
      </c>
    </row>
    <row r="90">
      <c r="A90" t="inlineStr">
        <is>
          <t>IP-369</t>
        </is>
      </c>
      <c r="B90" t="inlineStr">
        <is>
          <t>24</t>
        </is>
      </c>
      <c r="C90" t="inlineStr">
        <is>
          <t>Transporte</t>
        </is>
      </c>
      <c r="D90" t="inlineStr">
        <is>
          <t>2402</t>
        </is>
      </c>
      <c r="E90" t="inlineStr">
        <is>
          <t>Infraestructura red vial regional</t>
        </is>
      </c>
      <c r="F90" t="inlineStr">
        <is>
          <t>2402053</t>
        </is>
      </c>
      <c r="G90" t="inlineStr">
        <is>
          <t>Ciclo infraestructura construida en red vial terciaria</t>
        </is>
      </c>
      <c r="H90" t="inlineStr">
        <is>
          <t>Incluye la construcción de vías o secciones de la calzada destinada al tránsito de bicicletas en forma exclusiva.</t>
        </is>
      </c>
      <c r="I90" t="inlineStr">
        <is>
          <t>2024251750047</t>
        </is>
      </c>
      <c r="J90" s="99">
        <v>1350000000</v>
      </c>
      <c r="K90" s="99">
        <v>0</v>
      </c>
      <c r="L90" s="99">
        <v>0</v>
      </c>
      <c r="M90" s="99">
        <v>500000000</v>
      </c>
      <c r="N90" s="99">
        <v>850000000</v>
      </c>
      <c r="O90" s="99" t="inlineStr">
        <is>
          <t xml:space="preserve"> </t>
        </is>
      </c>
      <c r="P90" s="99" t="inlineStr">
        <is>
          <t xml:space="preserve"> </t>
        </is>
      </c>
      <c r="Q90" s="99" t="inlineStr">
        <is>
          <t xml:space="preserve"> </t>
        </is>
      </c>
      <c r="R90" s="100" t="inlineStr">
        <is>
          <t xml:space="preserve"> </t>
        </is>
      </c>
      <c r="S90" t="inlineStr">
        <is>
          <t>No se encontró ejecución en CUIPO</t>
        </is>
      </c>
      <c r="T90" s="101" t="inlineStr">
        <is>
          <t xml:space="preserve"> </t>
        </is>
      </c>
      <c r="U90" s="101" t="inlineStr">
        <is>
          <t xml:space="preserve"> </t>
        </is>
      </c>
      <c r="V90" s="101" t="inlineStr">
        <is>
          <t xml:space="preserve"> </t>
        </is>
      </c>
      <c r="W90" s="102" t="inlineStr">
        <is>
          <t xml:space="preserve"> </t>
        </is>
      </c>
      <c r="X90" t="inlineStr">
        <is>
          <t>No se encontró ejecución en CUIPO</t>
        </is>
      </c>
    </row>
    <row r="91">
      <c r="A91" t="inlineStr">
        <is>
          <t>IP-370</t>
        </is>
      </c>
      <c r="B91" t="inlineStr">
        <is>
          <t>24</t>
        </is>
      </c>
      <c r="C91" t="inlineStr">
        <is>
          <t>Transporte</t>
        </is>
      </c>
      <c r="D91" t="inlineStr">
        <is>
          <t>2402</t>
        </is>
      </c>
      <c r="E91" t="inlineStr">
        <is>
          <t>Infraestructura red vial regional</t>
        </is>
      </c>
      <c r="F91" t="inlineStr">
        <is>
          <t>2402094</t>
        </is>
      </c>
      <c r="G91" t="inlineStr">
        <is>
          <t>Ciclo infraestructura urbana con mantenimiento</t>
        </is>
      </c>
      <c r="H91" t="inlineStr">
        <is>
          <t>Incluye el mantenimiento de las vías o secciones de la calzada destinadas al tránsito de bicicletas en forma exclusiva</t>
        </is>
      </c>
      <c r="I91" t="inlineStr">
        <is>
          <t>2024251750047</t>
        </is>
      </c>
      <c r="J91" s="99">
        <v>1100000000</v>
      </c>
      <c r="K91" s="99">
        <v>0</v>
      </c>
      <c r="L91" s="99">
        <v>0</v>
      </c>
      <c r="M91" s="99">
        <v>350000000</v>
      </c>
      <c r="N91" s="99">
        <v>750000000</v>
      </c>
      <c r="O91" s="99" t="inlineStr">
        <is>
          <t xml:space="preserve"> </t>
        </is>
      </c>
      <c r="P91" s="99" t="inlineStr">
        <is>
          <t xml:space="preserve"> </t>
        </is>
      </c>
      <c r="Q91" s="99" t="inlineStr">
        <is>
          <t xml:space="preserve"> </t>
        </is>
      </c>
      <c r="R91" s="100" t="inlineStr">
        <is>
          <t xml:space="preserve"> </t>
        </is>
      </c>
      <c r="S91" t="inlineStr">
        <is>
          <t>No se encontró ejecución en CUIPO</t>
        </is>
      </c>
      <c r="T91" s="101" t="inlineStr">
        <is>
          <t xml:space="preserve"> </t>
        </is>
      </c>
      <c r="U91" s="101" t="inlineStr">
        <is>
          <t xml:space="preserve"> </t>
        </is>
      </c>
      <c r="V91" s="101" t="inlineStr">
        <is>
          <t xml:space="preserve"> </t>
        </is>
      </c>
      <c r="W91" s="102" t="inlineStr">
        <is>
          <t xml:space="preserve"> </t>
        </is>
      </c>
      <c r="X91" t="inlineStr">
        <is>
          <t>No se encontró ejecución en CUIPO</t>
        </is>
      </c>
    </row>
    <row r="92">
      <c r="A92" t="inlineStr">
        <is>
          <t>IP-372, IP-373</t>
        </is>
      </c>
      <c r="B92" t="inlineStr">
        <is>
          <t>24</t>
        </is>
      </c>
      <c r="C92" t="inlineStr">
        <is>
          <t>Transporte</t>
        </is>
      </c>
      <c r="D92" t="inlineStr">
        <is>
          <t>2402</t>
        </is>
      </c>
      <c r="E92" t="inlineStr">
        <is>
          <t>Infraestructura red vial regional</t>
        </is>
      </c>
      <c r="F92" t="inlineStr">
        <is>
          <t>2402121</t>
        </is>
      </c>
      <c r="G92" t="inlineStr">
        <is>
          <t>Andén construido</t>
        </is>
      </c>
      <c r="H92" t="inlineStr">
        <is>
          <t>Incluye la construcción de franja longitudinal de la vía urbana, destinada exclusivamente a la circulación de peatones, ubicada a los costados de ésta.</t>
        </is>
      </c>
      <c r="I92" t="inlineStr">
        <is>
          <t>2024251750078</t>
        </is>
      </c>
      <c r="J92" s="99">
        <v>4487500000</v>
      </c>
      <c r="K92" s="99">
        <v>0</v>
      </c>
      <c r="L92" s="99">
        <v>0</v>
      </c>
      <c r="M92" s="99">
        <v>1550000000</v>
      </c>
      <c r="N92" s="99">
        <v>2937500000</v>
      </c>
      <c r="O92" s="99" t="inlineStr">
        <is>
          <t xml:space="preserve"> </t>
        </is>
      </c>
      <c r="P92" s="99" t="inlineStr">
        <is>
          <t xml:space="preserve"> </t>
        </is>
      </c>
      <c r="Q92" s="99" t="inlineStr">
        <is>
          <t xml:space="preserve"> </t>
        </is>
      </c>
      <c r="R92" s="100" t="inlineStr">
        <is>
          <t xml:space="preserve"> </t>
        </is>
      </c>
      <c r="S92" t="inlineStr">
        <is>
          <t>No se encontró ejecución en CUIPO</t>
        </is>
      </c>
      <c r="T92" s="101" t="inlineStr">
        <is>
          <t xml:space="preserve"> </t>
        </is>
      </c>
      <c r="U92" s="101" t="inlineStr">
        <is>
          <t xml:space="preserve"> </t>
        </is>
      </c>
      <c r="V92" s="101" t="inlineStr">
        <is>
          <t xml:space="preserve"> </t>
        </is>
      </c>
      <c r="W92" s="102" t="inlineStr">
        <is>
          <t xml:space="preserve"> </t>
        </is>
      </c>
      <c r="X92" t="inlineStr">
        <is>
          <t>No se encontró ejecución en CUIPO</t>
        </is>
      </c>
    </row>
    <row r="93">
      <c r="A93" t="inlineStr">
        <is>
          <t>IP-374</t>
        </is>
      </c>
      <c r="B93" t="inlineStr">
        <is>
          <t>24</t>
        </is>
      </c>
      <c r="C93" t="inlineStr">
        <is>
          <t>Transporte</t>
        </is>
      </c>
      <c r="D93" t="inlineStr">
        <is>
          <t>2402</t>
        </is>
      </c>
      <c r="E93" t="inlineStr">
        <is>
          <t>Infraestructura red vial regional</t>
        </is>
      </c>
      <c r="F93" t="inlineStr">
        <is>
          <t>2402129</t>
        </is>
      </c>
      <c r="G93" t="inlineStr">
        <is>
          <t>Andén de la red urbana mantenido</t>
        </is>
      </c>
      <c r="H93" t="inlineStr">
        <is>
          <t>Incluye las acciones de conservación periódica o rutinaria andenes para mantener las condiciones óptimas para el tránsito y  el uso adecuado de la infraestructura de transporte.</t>
        </is>
      </c>
      <c r="I93" t="inlineStr">
        <is>
          <t>2024251750078</t>
        </is>
      </c>
      <c r="J93" s="99">
        <v>1590575000</v>
      </c>
      <c r="K93" s="99">
        <v>0</v>
      </c>
      <c r="L93" s="99">
        <v>440575000</v>
      </c>
      <c r="M93" s="99">
        <v>575000000</v>
      </c>
      <c r="N93" s="99">
        <v>575000000</v>
      </c>
      <c r="O93" s="99" t="inlineStr">
        <is>
          <t xml:space="preserve"> </t>
        </is>
      </c>
      <c r="P93" s="99" t="inlineStr">
        <is>
          <t xml:space="preserve"> </t>
        </is>
      </c>
      <c r="Q93" s="99" t="inlineStr">
        <is>
          <t xml:space="preserve"> </t>
        </is>
      </c>
      <c r="R93" s="100" t="inlineStr">
        <is>
          <t xml:space="preserve"> </t>
        </is>
      </c>
      <c r="S93" t="inlineStr">
        <is>
          <t>No se encontró ejecución en CUIPO</t>
        </is>
      </c>
      <c r="T93" s="101" t="inlineStr">
        <is>
          <t xml:space="preserve"> </t>
        </is>
      </c>
      <c r="U93" s="101" t="inlineStr">
        <is>
          <t xml:space="preserve"> </t>
        </is>
      </c>
      <c r="V93" s="101" t="inlineStr">
        <is>
          <t xml:space="preserve"> </t>
        </is>
      </c>
      <c r="W93" s="102" t="inlineStr">
        <is>
          <t xml:space="preserve"> </t>
        </is>
      </c>
      <c r="X93" t="inlineStr">
        <is>
          <t>No se encontró ejecución en CUIPO</t>
        </is>
      </c>
    </row>
    <row r="94">
      <c r="A94" t="inlineStr">
        <is>
          <t>IP-375</t>
        </is>
      </c>
      <c r="B94" t="inlineStr">
        <is>
          <t>24</t>
        </is>
      </c>
      <c r="C94" t="inlineStr">
        <is>
          <t>Transporte</t>
        </is>
      </c>
      <c r="D94" t="inlineStr">
        <is>
          <t>2402</t>
        </is>
      </c>
      <c r="E94" t="inlineStr">
        <is>
          <t>Infraestructura red vial regional</t>
        </is>
      </c>
      <c r="F94" t="inlineStr">
        <is>
          <t>2402142</t>
        </is>
      </c>
      <c r="G94" t="inlineStr">
        <is>
          <t xml:space="preserve">Andén de la red rural mantenido </t>
        </is>
      </c>
      <c r="H94" t="inlineStr">
        <is>
          <t>Incluye las acciones de conservación periódica o rutinaria de andenes para mantener las condiciones óptimas para el tránsito y  el uso adecuado de la infraestructura de transporte.</t>
        </is>
      </c>
      <c r="I94" t="inlineStr">
        <is>
          <t>2024251750078</t>
        </is>
      </c>
      <c r="J94" s="99">
        <v>200000000</v>
      </c>
      <c r="K94" s="99">
        <v>0</v>
      </c>
      <c r="L94" s="99">
        <v>200000000</v>
      </c>
      <c r="M94" s="99">
        <v>0</v>
      </c>
      <c r="N94" s="99">
        <v>0</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t="inlineStr">
        <is>
          <t xml:space="preserve"> </t>
        </is>
      </c>
      <c r="U94" s="101" t="inlineStr">
        <is>
          <t xml:space="preserve"> </t>
        </is>
      </c>
      <c r="V94" s="101" t="inlineStr">
        <is>
          <t xml:space="preserve"> </t>
        </is>
      </c>
      <c r="W94" s="102" t="inlineStr">
        <is>
          <t xml:space="preserve"> </t>
        </is>
      </c>
      <c r="X94" t="inlineStr">
        <is>
          <t>No se encontró ejecución en CUIPO</t>
        </is>
      </c>
    </row>
    <row r="95">
      <c r="A95" t="inlineStr">
        <is>
          <t>IP-376</t>
        </is>
      </c>
      <c r="B95" t="inlineStr">
        <is>
          <t>24</t>
        </is>
      </c>
      <c r="C95" t="inlineStr">
        <is>
          <t>Transporte</t>
        </is>
      </c>
      <c r="D95" t="inlineStr">
        <is>
          <t>2402</t>
        </is>
      </c>
      <c r="E95" t="inlineStr">
        <is>
          <t>Infraestructura red vial regional</t>
        </is>
      </c>
      <c r="F95" t="inlineStr">
        <is>
          <t>2402141</t>
        </is>
      </c>
      <c r="G95" t="inlineStr">
        <is>
          <t>Banco de maquinaria con mantenimiento mayor, repotenciado o renovado</t>
        </is>
      </c>
      <c r="H95" t="inlineStr">
        <is>
          <t>Corresponde a las acciones de mantenimiento mayor, repotenciación o modernización de maquinaria, encaminadas a recuperar las condiciones técnicas iniciales de los equipos y máquinas del banco de maquinaria amarilla</t>
        </is>
      </c>
      <c r="I95" t="inlineStr">
        <is>
          <t>2024251750047</t>
        </is>
      </c>
      <c r="J95" s="99">
        <v>3116000000</v>
      </c>
      <c r="K95" s="99">
        <v>500000000</v>
      </c>
      <c r="L95" s="99">
        <v>616000000</v>
      </c>
      <c r="M95" s="99">
        <v>1000000000</v>
      </c>
      <c r="N95" s="99">
        <v>1000000000</v>
      </c>
      <c r="O95" s="99">
        <v>284639891</v>
      </c>
      <c r="P95" s="99">
        <v>0</v>
      </c>
      <c r="Q95" s="99">
        <v>0</v>
      </c>
      <c r="R95" s="100">
        <v>0</v>
      </c>
      <c r="S95" t="inlineStr">
        <is>
          <t>No se ejecutó en la vigencia</t>
        </is>
      </c>
      <c r="T95" s="101">
        <v>150000000</v>
      </c>
      <c r="U95" s="101">
        <v>87236235</v>
      </c>
      <c r="V95" s="101">
        <v>87236235</v>
      </c>
      <c r="W95" s="102">
        <v>0.14161726461039</v>
      </c>
      <c r="X95" t="inlineStr">
        <is>
          <t>Lo obligado está por debajo de lo programado en la vigencia</t>
        </is>
      </c>
    </row>
    <row r="96">
      <c r="A96" t="inlineStr">
        <is>
          <t>IP-377, IP-378</t>
        </is>
      </c>
      <c r="B96" t="inlineStr">
        <is>
          <t>24</t>
        </is>
      </c>
      <c r="C96" t="inlineStr">
        <is>
          <t>Transporte</t>
        </is>
      </c>
      <c r="D96" t="inlineStr">
        <is>
          <t>2402</t>
        </is>
      </c>
      <c r="E96" t="inlineStr">
        <is>
          <t>Infraestructura red vial regional</t>
        </is>
      </c>
      <c r="F96" t="inlineStr">
        <is>
          <t>2402125</t>
        </is>
      </c>
      <c r="G96" t="inlineStr">
        <is>
          <t>Banco de maquinaria dotado</t>
        </is>
      </c>
      <c r="H96" t="inlineStr">
        <is>
          <t>Incluye la disposición de maquinaria y equipos requeridos para las intervenciones viales en miras a construir, mejorar, rehabilitar o mantener.</t>
        </is>
      </c>
      <c r="I96" t="inlineStr">
        <is>
          <t/>
        </is>
      </c>
      <c r="J96" s="99">
        <v>1350000000</v>
      </c>
      <c r="K96" s="99">
        <v>0</v>
      </c>
      <c r="L96" s="99">
        <v>50000000</v>
      </c>
      <c r="M96" s="99">
        <v>0</v>
      </c>
      <c r="N96" s="99">
        <v>1300000000</v>
      </c>
      <c r="O96" s="99" t="inlineStr">
        <is>
          <t xml:space="preserve"> </t>
        </is>
      </c>
      <c r="P96" s="99" t="inlineStr">
        <is>
          <t xml:space="preserve"> </t>
        </is>
      </c>
      <c r="Q96" s="99" t="inlineStr">
        <is>
          <t xml:space="preserve"> </t>
        </is>
      </c>
      <c r="R96" s="100" t="inlineStr">
        <is>
          <t xml:space="preserve"> </t>
        </is>
      </c>
      <c r="S96" t="inlineStr">
        <is>
          <t>Por falta de código BPIN, no se encontró ejecución en CUIPO</t>
        </is>
      </c>
      <c r="T96" s="101" t="inlineStr">
        <is>
          <t xml:space="preserve"> </t>
        </is>
      </c>
      <c r="U96" s="101" t="inlineStr">
        <is>
          <t xml:space="preserve"> </t>
        </is>
      </c>
      <c r="V96" s="101" t="inlineStr">
        <is>
          <t xml:space="preserve"> </t>
        </is>
      </c>
      <c r="W96" s="102" t="inlineStr">
        <is>
          <t xml:space="preserve"> </t>
        </is>
      </c>
      <c r="X96" t="inlineStr">
        <is>
          <t>Por falta de código BPIN, no se encontró ejecución en CUIPO</t>
        </is>
      </c>
    </row>
    <row r="97">
      <c r="A97" t="inlineStr">
        <is>
          <t>IP-379</t>
        </is>
      </c>
      <c r="B97" t="inlineStr">
        <is>
          <t>24</t>
        </is>
      </c>
      <c r="C97" t="inlineStr">
        <is>
          <t>Transporte</t>
        </is>
      </c>
      <c r="D97" t="inlineStr">
        <is>
          <t>2402</t>
        </is>
      </c>
      <c r="E97" t="inlineStr">
        <is>
          <t>Infraestructura red vial regional</t>
        </is>
      </c>
      <c r="F97" t="inlineStr">
        <is>
          <t>2402114</t>
        </is>
      </c>
      <c r="G97" t="inlineStr">
        <is>
          <t>Vía urbana mejorada</t>
        </is>
      </c>
      <c r="H97" t="inlineStr">
        <is>
          <t>Incluye la construcción de obras de infraestructura vial en vías urbanas que mejoren la prestación del servicio, así como los cambios en una infraestructura de transporte con el propósito de mejorar sus especificaciones técnicas iniciales.</t>
        </is>
      </c>
      <c r="I97" t="inlineStr">
        <is>
          <t>2024251750047</t>
        </is>
      </c>
      <c r="J97" s="99">
        <v>40000000000</v>
      </c>
      <c r="K97" s="99">
        <v>0</v>
      </c>
      <c r="L97" s="99">
        <v>0</v>
      </c>
      <c r="M97" s="99">
        <v>35000000000</v>
      </c>
      <c r="N97" s="99">
        <v>5000000000</v>
      </c>
      <c r="O97" s="99" t="inlineStr">
        <is>
          <t xml:space="preserve"> </t>
        </is>
      </c>
      <c r="P97" s="99" t="inlineStr">
        <is>
          <t xml:space="preserve"> </t>
        </is>
      </c>
      <c r="Q97" s="99" t="inlineStr">
        <is>
          <t xml:space="preserve"> </t>
        </is>
      </c>
      <c r="R97" s="100" t="inlineStr">
        <is>
          <t xml:space="preserve"> </t>
        </is>
      </c>
      <c r="S97" t="inlineStr">
        <is>
          <t>No se encontró ejecución en CUIPO</t>
        </is>
      </c>
      <c r="T97" s="101" t="inlineStr">
        <is>
          <t xml:space="preserve"> </t>
        </is>
      </c>
      <c r="U97" s="101" t="inlineStr">
        <is>
          <t xml:space="preserve"> </t>
        </is>
      </c>
      <c r="V97" s="101" t="inlineStr">
        <is>
          <t xml:space="preserve"> </t>
        </is>
      </c>
      <c r="W97" s="102" t="inlineStr">
        <is>
          <t xml:space="preserve"> </t>
        </is>
      </c>
      <c r="X97" t="inlineStr">
        <is>
          <t>No se encontró ejecución en CUIPO</t>
        </is>
      </c>
    </row>
    <row r="98">
      <c r="A98" t="inlineStr">
        <is>
          <t>IP-381</t>
        </is>
      </c>
      <c r="B98" t="inlineStr">
        <is>
          <t>40</t>
        </is>
      </c>
      <c r="C98" t="inlineStr">
        <is>
          <t>Vivienda, ciudad y territorio</t>
        </is>
      </c>
      <c r="D98" t="inlineStr">
        <is>
          <t>4002</t>
        </is>
      </c>
      <c r="E98" t="inlineStr">
        <is>
          <t>Ordenamiento territorial y desarrollo urbano</t>
        </is>
      </c>
      <c r="F98" t="inlineStr">
        <is>
          <t>4002034</t>
        </is>
      </c>
      <c r="G98" t="inlineStr">
        <is>
          <t>Estudios de pre inversión e inversión</t>
        </is>
      </c>
      <c r="H98" t="inlineStr">
        <is>
          <t>Incluye la realización de estudios de pre factibilidad, factibilidad o definitivos para la ejecución de proyectos</t>
        </is>
      </c>
      <c r="I98" t="inlineStr">
        <is>
          <t>2024251750045</t>
        </is>
      </c>
      <c r="J98" s="99">
        <v>0</v>
      </c>
      <c r="K98" s="99">
        <v>0</v>
      </c>
      <c r="L98" s="99">
        <v>0</v>
      </c>
      <c r="M98" s="99">
        <v>0</v>
      </c>
      <c r="N98" s="99">
        <v>0</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IP-382</t>
        </is>
      </c>
      <c r="B99" t="inlineStr">
        <is>
          <t>40</t>
        </is>
      </c>
      <c r="C99" t="inlineStr">
        <is>
          <t>Vivienda, ciudad y territorio</t>
        </is>
      </c>
      <c r="D99" t="inlineStr">
        <is>
          <t>4002</t>
        </is>
      </c>
      <c r="E99" t="inlineStr">
        <is>
          <t>Ordenamiento territorial y desarrollo urbano</t>
        </is>
      </c>
      <c r="F99" t="inlineStr">
        <is>
          <t>4002019</t>
        </is>
      </c>
      <c r="G99" t="inlineStr">
        <is>
          <t>Espacio publico construido</t>
        </is>
      </c>
      <c r="H99" t="inlineStr">
        <is>
          <t>Construcción de obras de infraestructura que intervienen los elementos constitutivos y complementarios del espacio público contenidos en el Decreto 1504 de 1998</t>
        </is>
      </c>
      <c r="I99" t="inlineStr">
        <is>
          <t>2020251750009</t>
        </is>
      </c>
      <c r="J99" s="99">
        <v>1573334397</v>
      </c>
      <c r="K99" s="99">
        <v>1450000000</v>
      </c>
      <c r="L99" s="99">
        <v>123334397</v>
      </c>
      <c r="M99" s="99">
        <v>0</v>
      </c>
      <c r="N99" s="99">
        <v>0</v>
      </c>
      <c r="O99" s="99">
        <v>109450993</v>
      </c>
      <c r="P99" s="99">
        <v>0</v>
      </c>
      <c r="Q99" s="99">
        <v>0</v>
      </c>
      <c r="R99" s="100">
        <v>0</v>
      </c>
      <c r="S99" t="inlineStr">
        <is>
          <t>No se ejecutó en la vigencia</t>
        </is>
      </c>
      <c r="T99" s="101">
        <v>123132367</v>
      </c>
      <c r="U99" s="101">
        <v>0</v>
      </c>
      <c r="V99" s="101">
        <v>0</v>
      </c>
      <c r="W99" s="102">
        <v>0</v>
      </c>
      <c r="X99" t="inlineStr">
        <is>
          <t>No se ejecutó en la vigencia</t>
        </is>
      </c>
    </row>
    <row r="100">
      <c r="A100" t="inlineStr">
        <is>
          <t>IP-383</t>
        </is>
      </c>
      <c r="B100" t="inlineStr">
        <is>
          <t>40</t>
        </is>
      </c>
      <c r="C100" t="inlineStr">
        <is>
          <t>Vivienda, ciudad y territorio</t>
        </is>
      </c>
      <c r="D100" t="inlineStr">
        <is>
          <t>4002</t>
        </is>
      </c>
      <c r="E100" t="inlineStr">
        <is>
          <t>Ordenamiento territorial y desarrollo urbano</t>
        </is>
      </c>
      <c r="F100" t="inlineStr">
        <is>
          <t>4002019</t>
        </is>
      </c>
      <c r="G100" t="inlineStr">
        <is>
          <t>Espacio publico construido</t>
        </is>
      </c>
      <c r="H100" t="inlineStr">
        <is>
          <t>Construcción de obras de infraestructura que intervienen los elementos constitutivos y complementarios del espacio público contenidos en el Decreto 1504 de 1998</t>
        </is>
      </c>
      <c r="I100" t="inlineStr">
        <is>
          <t/>
        </is>
      </c>
      <c r="J100" s="99">
        <v>10000000</v>
      </c>
      <c r="K100" s="99">
        <v>0</v>
      </c>
      <c r="L100" s="99">
        <v>0</v>
      </c>
      <c r="M100" s="99">
        <v>0</v>
      </c>
      <c r="N100" s="99">
        <v>10000000</v>
      </c>
      <c r="O100" s="99" t="inlineStr">
        <is>
          <t xml:space="preserve"> </t>
        </is>
      </c>
      <c r="P100" s="99" t="inlineStr">
        <is>
          <t xml:space="preserve"> </t>
        </is>
      </c>
      <c r="Q100" s="99" t="inlineStr">
        <is>
          <t xml:space="preserve"> </t>
        </is>
      </c>
      <c r="R100" s="100" t="inlineStr">
        <is>
          <t xml:space="preserve"> </t>
        </is>
      </c>
      <c r="S100" t="inlineStr">
        <is>
          <t>Por falta de código BPIN, no se encontró ejecución en CUIPO</t>
        </is>
      </c>
      <c r="T100" s="101" t="inlineStr">
        <is>
          <t xml:space="preserve"> </t>
        </is>
      </c>
      <c r="U100" s="101" t="inlineStr">
        <is>
          <t xml:space="preserve"> </t>
        </is>
      </c>
      <c r="V100" s="101" t="inlineStr">
        <is>
          <t xml:space="preserve"> </t>
        </is>
      </c>
      <c r="W100" s="102" t="inlineStr">
        <is>
          <t xml:space="preserve"> </t>
        </is>
      </c>
      <c r="X100" t="inlineStr">
        <is>
          <t>Por falta de código BPIN, no se encontró ejecución en CUIPO</t>
        </is>
      </c>
    </row>
    <row r="101">
      <c r="A101" t="inlineStr">
        <is>
          <t>IP-384</t>
        </is>
      </c>
      <c r="B101" t="inlineStr">
        <is>
          <t>43</t>
        </is>
      </c>
      <c r="C101" t="inlineStr">
        <is>
          <t>Deporte y Recreación</t>
        </is>
      </c>
      <c r="D101" t="inlineStr">
        <is>
          <t>4301</t>
        </is>
      </c>
      <c r="E101" t="inlineStr">
        <is>
          <t>Fomento a la recreación, la actividad física y el deporte para desarrollar entornos de convivencia y paz</t>
        </is>
      </c>
      <c r="F101" t="inlineStr">
        <is>
          <t>4301030</t>
        </is>
      </c>
      <c r="G101" t="inlineStr">
        <is>
          <t>Parque recreo-deportivo construido y dotado</t>
        </is>
      </c>
      <c r="H101" t="inlineStr">
        <is>
          <t>Construcción y dotación de un parque recreo-deportivo que contiene zona de juegos infantiles, área de gimnasio, pista de trote, bebederos y demás equipamientos destinados a la recreación y el deporte al aire libre.</t>
        </is>
      </c>
      <c r="I101" t="inlineStr">
        <is>
          <t>2022251750006</t>
        </is>
      </c>
      <c r="J101" s="99">
        <v>500000000</v>
      </c>
      <c r="K101" s="99">
        <v>500000000</v>
      </c>
      <c r="L101" s="99">
        <v>0</v>
      </c>
      <c r="M101" s="99">
        <v>0</v>
      </c>
      <c r="N101" s="99">
        <v>0</v>
      </c>
      <c r="O101" s="99">
        <v>188874080</v>
      </c>
      <c r="P101" s="99">
        <v>0</v>
      </c>
      <c r="Q101" s="99">
        <v>0</v>
      </c>
      <c r="R101" s="100">
        <v>0</v>
      </c>
      <c r="S101" t="inlineStr">
        <is>
          <t>No se ejecutó en la vigencia</t>
        </is>
      </c>
      <c r="T101" s="101">
        <v>2084982160</v>
      </c>
      <c r="U101" s="101">
        <v>0</v>
      </c>
      <c r="V101" s="101">
        <v>0</v>
      </c>
      <c r="W101" s="102" t="inlineStr">
        <is>
          <t xml:space="preserve"> </t>
        </is>
      </c>
      <c r="X101" t="inlineStr">
        <is>
          <t>No se programó ni ejecutó en la vigencia</t>
        </is>
      </c>
    </row>
    <row r="102">
      <c r="A102" t="inlineStr">
        <is>
          <t>IP-385</t>
        </is>
      </c>
      <c r="B102" t="inlineStr">
        <is>
          <t>40</t>
        </is>
      </c>
      <c r="C102" t="inlineStr">
        <is>
          <t>Vivienda, ciudad y territorio</t>
        </is>
      </c>
      <c r="D102" t="inlineStr">
        <is>
          <t>4002</t>
        </is>
      </c>
      <c r="E102" t="inlineStr">
        <is>
          <t>Ordenamiento territorial y desarrollo urbano</t>
        </is>
      </c>
      <c r="F102" t="inlineStr">
        <is>
          <t>4002019</t>
        </is>
      </c>
      <c r="G102" t="inlineStr">
        <is>
          <t>Espacio publico construido</t>
        </is>
      </c>
      <c r="H102" t="inlineStr">
        <is>
          <t>Construcción de obras de infraestructura que intervienen los elementos constitutivos y complementarios del espacio público contenidos en el Decreto 1504 de 1998</t>
        </is>
      </c>
      <c r="I102" t="inlineStr">
        <is>
          <t>2022251750007</t>
        </is>
      </c>
      <c r="J102" s="99">
        <v>150000000</v>
      </c>
      <c r="K102" s="99">
        <v>150000000</v>
      </c>
      <c r="L102" s="99">
        <v>0</v>
      </c>
      <c r="M102" s="99">
        <v>0</v>
      </c>
      <c r="N102" s="99">
        <v>0</v>
      </c>
      <c r="O102" s="99" t="inlineStr">
        <is>
          <t xml:space="preserve"> </t>
        </is>
      </c>
      <c r="P102" s="99" t="inlineStr">
        <is>
          <t xml:space="preserve"> </t>
        </is>
      </c>
      <c r="Q102" s="99" t="inlineStr">
        <is>
          <t xml:space="preserve"> </t>
        </is>
      </c>
      <c r="R102" s="100" t="inlineStr">
        <is>
          <t xml:space="preserve"> </t>
        </is>
      </c>
      <c r="S102" t="inlineStr">
        <is>
          <t>No se encontró ejecución en CUIPO</t>
        </is>
      </c>
      <c r="T102" s="101" t="inlineStr">
        <is>
          <t xml:space="preserve"> </t>
        </is>
      </c>
      <c r="U102" s="101" t="inlineStr">
        <is>
          <t xml:space="preserve"> </t>
        </is>
      </c>
      <c r="V102" s="101" t="inlineStr">
        <is>
          <t xml:space="preserve"> </t>
        </is>
      </c>
      <c r="W102" s="102" t="inlineStr">
        <is>
          <t xml:space="preserve"> </t>
        </is>
      </c>
      <c r="X102" t="inlineStr">
        <is>
          <t>No se encontró ejecución en CUIPO</t>
        </is>
      </c>
    </row>
    <row r="103">
      <c r="A103" t="inlineStr">
        <is>
          <t>IP-386</t>
        </is>
      </c>
      <c r="B103" t="inlineStr">
        <is>
          <t>40</t>
        </is>
      </c>
      <c r="C103" t="inlineStr">
        <is>
          <t>Vivienda, ciudad y territorio</t>
        </is>
      </c>
      <c r="D103" t="inlineStr">
        <is>
          <t>4002</t>
        </is>
      </c>
      <c r="E103" t="inlineStr">
        <is>
          <t>Ordenamiento territorial y desarrollo urbano</t>
        </is>
      </c>
      <c r="F103" t="inlineStr">
        <is>
          <t>4002034</t>
        </is>
      </c>
      <c r="G103" t="inlineStr">
        <is>
          <t>Estudios de pre inversión e inversión</t>
        </is>
      </c>
      <c r="H103" t="inlineStr">
        <is>
          <t>Incluye la realización de estudios de pre factibilidad, factibilidad o definitivos para la ejecución de proyectos</t>
        </is>
      </c>
      <c r="I103" t="inlineStr">
        <is>
          <t>2024251750046</t>
        </is>
      </c>
      <c r="J103" s="99">
        <v>400000000</v>
      </c>
      <c r="K103" s="99">
        <v>400000000</v>
      </c>
      <c r="L103" s="99">
        <v>0</v>
      </c>
      <c r="M103" s="99">
        <v>0</v>
      </c>
      <c r="N103" s="99">
        <v>0</v>
      </c>
      <c r="O103" s="99" t="inlineStr">
        <is>
          <t xml:space="preserve"> </t>
        </is>
      </c>
      <c r="P103" s="99" t="inlineStr">
        <is>
          <t xml:space="preserve"> </t>
        </is>
      </c>
      <c r="Q103" s="99" t="inlineStr">
        <is>
          <t xml:space="preserve"> </t>
        </is>
      </c>
      <c r="R103" s="100" t="inlineStr">
        <is>
          <t xml:space="preserve"> </t>
        </is>
      </c>
      <c r="S103" t="inlineStr">
        <is>
          <t>No se encontró ejecución en CUIPO</t>
        </is>
      </c>
      <c r="T103" s="101" t="inlineStr">
        <is>
          <t xml:space="preserve"> </t>
        </is>
      </c>
      <c r="U103" s="101" t="inlineStr">
        <is>
          <t xml:space="preserve"> </t>
        </is>
      </c>
      <c r="V103" s="101" t="inlineStr">
        <is>
          <t xml:space="preserve"> </t>
        </is>
      </c>
      <c r="W103" s="102" t="inlineStr">
        <is>
          <t xml:space="preserve"> </t>
        </is>
      </c>
      <c r="X103" t="inlineStr">
        <is>
          <t>No se encontró ejecución en CUIPO</t>
        </is>
      </c>
    </row>
    <row r="104">
      <c r="A104" t="inlineStr">
        <is>
          <t>IP-387</t>
        </is>
      </c>
      <c r="B104" t="inlineStr">
        <is>
          <t>40</t>
        </is>
      </c>
      <c r="C104" t="inlineStr">
        <is>
          <t>Vivienda, ciudad y territorio</t>
        </is>
      </c>
      <c r="D104" t="inlineStr">
        <is>
          <t>4002</t>
        </is>
      </c>
      <c r="E104" t="inlineStr">
        <is>
          <t>Ordenamiento territorial y desarrollo urbano</t>
        </is>
      </c>
      <c r="F104" t="inlineStr">
        <is>
          <t>4002034</t>
        </is>
      </c>
      <c r="G104" t="inlineStr">
        <is>
          <t>Estudios de pre inversión e inversión</t>
        </is>
      </c>
      <c r="H104" t="inlineStr">
        <is>
          <t>Incluye la realización de estudios de pre factibilidad, factibilidad o definitivos para la ejecución de proyectos</t>
        </is>
      </c>
      <c r="I104" t="inlineStr">
        <is>
          <t/>
        </is>
      </c>
      <c r="J104" s="99">
        <v>1290000000</v>
      </c>
      <c r="K104" s="99">
        <v>0</v>
      </c>
      <c r="L104" s="99">
        <v>0</v>
      </c>
      <c r="M104" s="99">
        <v>0</v>
      </c>
      <c r="N104" s="99">
        <v>1290000000</v>
      </c>
      <c r="O104" s="99" t="inlineStr">
        <is>
          <t xml:space="preserve"> </t>
        </is>
      </c>
      <c r="P104" s="99" t="inlineStr">
        <is>
          <t xml:space="preserve"> </t>
        </is>
      </c>
      <c r="Q104" s="99" t="inlineStr">
        <is>
          <t xml:space="preserve"> </t>
        </is>
      </c>
      <c r="R104" s="100" t="inlineStr">
        <is>
          <t xml:space="preserve"> </t>
        </is>
      </c>
      <c r="S104" t="inlineStr">
        <is>
          <t>Por falta de código BPIN, no se encontró ejecución en CUIPO</t>
        </is>
      </c>
      <c r="T104" s="101" t="inlineStr">
        <is>
          <t xml:space="preserve"> </t>
        </is>
      </c>
      <c r="U104" s="101" t="inlineStr">
        <is>
          <t xml:space="preserve"> </t>
        </is>
      </c>
      <c r="V104" s="101" t="inlineStr">
        <is>
          <t xml:space="preserve"> </t>
        </is>
      </c>
      <c r="W104" s="102" t="inlineStr">
        <is>
          <t xml:space="preserve"> </t>
        </is>
      </c>
      <c r="X104" t="inlineStr">
        <is>
          <t>Por falta de código BPIN, no se encontró ejecución en CUIPO</t>
        </is>
      </c>
    </row>
    <row r="105">
      <c r="A105" t="inlineStr">
        <is>
          <t>IP-388</t>
        </is>
      </c>
      <c r="B105" t="inlineStr">
        <is>
          <t>40</t>
        </is>
      </c>
      <c r="C105" t="inlineStr">
        <is>
          <t>Vivienda, ciudad y territorio</t>
        </is>
      </c>
      <c r="D105" t="inlineStr">
        <is>
          <t>4003</t>
        </is>
      </c>
      <c r="E105" t="inlineStr">
        <is>
          <t>Acceso de la población a los servicios de agua potable y saneamiento básico</t>
        </is>
      </c>
      <c r="F105" t="inlineStr">
        <is>
          <t>4003025</t>
        </is>
      </c>
      <c r="G105" t="inlineStr">
        <is>
          <t>Servicios de apoyo financiero para la ejecución de proyectos de acueductos y alcantarillado</t>
        </is>
      </c>
      <c r="H105" t="inlineStr">
        <is>
          <t/>
        </is>
      </c>
      <c r="I105" t="inlineStr">
        <is>
          <t>2024251750044</t>
        </is>
      </c>
      <c r="J105" s="99">
        <v>36524708540.94</v>
      </c>
      <c r="K105" s="99">
        <v>22201281011</v>
      </c>
      <c r="L105" s="99">
        <v>5177945650.94</v>
      </c>
      <c r="M105" s="99">
        <v>4458227491</v>
      </c>
      <c r="N105" s="99">
        <v>4687254388</v>
      </c>
      <c r="O105" s="99">
        <v>16780173422</v>
      </c>
      <c r="P105" s="99">
        <v>16780173422</v>
      </c>
      <c r="Q105" s="99">
        <v>16780173422</v>
      </c>
      <c r="R105" s="100">
        <v>0.755820054423255</v>
      </c>
      <c r="S105" t="inlineStr">
        <is>
          <t>Lo obligado está por debajo de lo programado en la vigencia</t>
        </is>
      </c>
      <c r="T105" s="101">
        <v>2616447037</v>
      </c>
      <c r="U105" s="101">
        <v>2616447037</v>
      </c>
      <c r="V105" s="101">
        <v>2616447037</v>
      </c>
      <c r="W105" s="102">
        <v>0.505306006161925</v>
      </c>
      <c r="X105" t="inlineStr">
        <is>
          <t>Lo obligado está por debajo de lo programado en la vigencia</t>
        </is>
      </c>
    </row>
    <row r="106">
      <c r="A106" t="inlineStr">
        <is>
          <t>IP-389</t>
        </is>
      </c>
      <c r="B106" t="inlineStr">
        <is>
          <t>40</t>
        </is>
      </c>
      <c r="C106" t="inlineStr">
        <is>
          <t>Vivienda, ciudad y territorio</t>
        </is>
      </c>
      <c r="D106" t="inlineStr">
        <is>
          <t>4001</t>
        </is>
      </c>
      <c r="E106" t="inlineStr">
        <is>
          <t>Acceso a soluciones de vivienda</t>
        </is>
      </c>
      <c r="F106" t="inlineStr">
        <is>
          <t>4001044</t>
        </is>
      </c>
      <c r="G106" t="inlineStr">
        <is>
          <t>Vivienda de Interés Social mejoradas</t>
        </is>
      </c>
      <c r="H106" t="inlineStr">
        <is>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is>
      </c>
      <c r="I106" t="inlineStr">
        <is>
          <t>2024251750040</t>
        </is>
      </c>
      <c r="J106" s="99">
        <v>4200397750</v>
      </c>
      <c r="K106" s="99">
        <v>900000000</v>
      </c>
      <c r="L106" s="99">
        <v>700397750</v>
      </c>
      <c r="M106" s="99">
        <v>1000000000</v>
      </c>
      <c r="N106" s="99">
        <v>1600000000</v>
      </c>
      <c r="O106" s="99">
        <v>506610300</v>
      </c>
      <c r="P106" s="99">
        <v>506610300</v>
      </c>
      <c r="Q106" s="99">
        <v>39000000</v>
      </c>
      <c r="R106" s="100">
        <v>0.562900333333333</v>
      </c>
      <c r="S106" t="inlineStr">
        <is>
          <t>Lo obligado está por debajo de lo programado en la vigencia</t>
        </is>
      </c>
      <c r="T106" s="101">
        <v>126786870</v>
      </c>
      <c r="U106" s="101">
        <v>126786870</v>
      </c>
      <c r="V106" s="101">
        <v>126786870</v>
      </c>
      <c r="W106" s="102">
        <v>0.181021241144764</v>
      </c>
      <c r="X106" t="inlineStr">
        <is>
          <t>Lo obligado está por debajo de lo programado en la vigencia</t>
        </is>
      </c>
    </row>
    <row r="107">
      <c r="A107" t="inlineStr">
        <is>
          <t>IP-390</t>
        </is>
      </c>
      <c r="B107" t="inlineStr">
        <is>
          <t>40</t>
        </is>
      </c>
      <c r="C107" t="inlineStr">
        <is>
          <t>Vivienda, ciudad y territorio</t>
        </is>
      </c>
      <c r="D107" t="inlineStr">
        <is>
          <t>4001</t>
        </is>
      </c>
      <c r="E107" t="inlineStr">
        <is>
          <t>Acceso a soluciones de vivienda</t>
        </is>
      </c>
      <c r="F107" t="inlineStr">
        <is>
          <t>4001034</t>
        </is>
      </c>
      <c r="G107" t="inlineStr">
        <is>
          <t>Servicio de apoyo financiero para construcción de vivienda en sitio propio</t>
        </is>
      </c>
      <c r="H107" t="inlineStr">
        <is>
          <t>Corresponde al apoyo financiero a través de la asignación de un subsidio familiar de vivienda de interés  social o interés prioritario para construcción  en sitio propio.</t>
        </is>
      </c>
      <c r="I107" t="inlineStr">
        <is>
          <t>2024251750040</t>
        </is>
      </c>
      <c r="J107" s="99">
        <v>2563803465</v>
      </c>
      <c r="K107" s="99">
        <v>344000000</v>
      </c>
      <c r="L107" s="99">
        <v>880803465</v>
      </c>
      <c r="M107" s="99">
        <v>774000000</v>
      </c>
      <c r="N107" s="99">
        <v>565000000</v>
      </c>
      <c r="O107" s="99">
        <v>157957667</v>
      </c>
      <c r="P107" s="99">
        <v>157957667</v>
      </c>
      <c r="Q107" s="99">
        <v>39000000</v>
      </c>
      <c r="R107" s="100">
        <v>0.459179264534884</v>
      </c>
      <c r="S107" t="inlineStr">
        <is>
          <t>Lo obligado está por debajo de lo programado en la vigencia</t>
        </is>
      </c>
      <c r="T107" s="101">
        <v>135400983</v>
      </c>
      <c r="U107" s="101">
        <v>135400983</v>
      </c>
      <c r="V107" s="101">
        <v>135400983</v>
      </c>
      <c r="W107" s="102">
        <v>0.153724398665938</v>
      </c>
      <c r="X107" t="inlineStr">
        <is>
          <t>Lo obligado está por debajo de lo programado en la vigencia</t>
        </is>
      </c>
    </row>
    <row r="108">
      <c r="A108" t="inlineStr">
        <is>
          <t>IP-391, IP-392</t>
        </is>
      </c>
      <c r="B108" t="inlineStr">
        <is>
          <t>40</t>
        </is>
      </c>
      <c r="C108" t="inlineStr">
        <is>
          <t>Vivienda, ciudad y territorio</t>
        </is>
      </c>
      <c r="D108" t="inlineStr">
        <is>
          <t>4001</t>
        </is>
      </c>
      <c r="E108" t="inlineStr">
        <is>
          <t>Acceso a soluciones de vivienda</t>
        </is>
      </c>
      <c r="F108" t="inlineStr">
        <is>
          <t>4001030</t>
        </is>
      </c>
      <c r="G108" t="inlineStr">
        <is>
          <t>Estudios de pre inversión e inversión</t>
        </is>
      </c>
      <c r="H108" t="inlineStr">
        <is>
          <t>Incluye la realización de estudios de pre factibilidad, factibilidad o definitivos para la ejecución de proyectos</t>
        </is>
      </c>
      <c r="I108" t="inlineStr">
        <is>
          <t>2024251750040</t>
        </is>
      </c>
      <c r="J108" s="99">
        <v>3043818658.67</v>
      </c>
      <c r="K108" s="99">
        <v>852667921</v>
      </c>
      <c r="L108" s="99">
        <v>1011607091.67</v>
      </c>
      <c r="M108" s="99">
        <v>736228397</v>
      </c>
      <c r="N108" s="99">
        <v>443315249</v>
      </c>
      <c r="O108" s="99">
        <v>88590900</v>
      </c>
      <c r="P108" s="99">
        <v>88590900</v>
      </c>
      <c r="Q108" s="99">
        <v>78000000</v>
      </c>
      <c r="R108" s="100">
        <v>0.103898478901495</v>
      </c>
      <c r="S108" t="inlineStr">
        <is>
          <t>Lo obligado está por debajo de lo programado en la vigencia</t>
        </is>
      </c>
      <c r="T108" s="101">
        <v>220384495</v>
      </c>
      <c r="U108" s="101">
        <v>220384495</v>
      </c>
      <c r="V108" s="101">
        <v>220384495</v>
      </c>
      <c r="W108" s="102">
        <v>0.217855822497429</v>
      </c>
      <c r="X108" t="inlineStr">
        <is>
          <t>Lo obligado está por debajo de lo programado en la vigencia</t>
        </is>
      </c>
    </row>
    <row r="109">
      <c r="A109" t="inlineStr">
        <is>
          <t>IP-393</t>
        </is>
      </c>
      <c r="B109" t="inlineStr">
        <is>
          <t>40</t>
        </is>
      </c>
      <c r="C109" t="inlineStr">
        <is>
          <t>Vivienda, ciudad y territorio</t>
        </is>
      </c>
      <c r="D109" t="inlineStr">
        <is>
          <t>4002</t>
        </is>
      </c>
      <c r="E109" t="inlineStr">
        <is>
          <t>Ordenamiento territorial y desarrollo urbano</t>
        </is>
      </c>
      <c r="F109" t="inlineStr">
        <is>
          <t>4002016</t>
        </is>
      </c>
      <c r="G109" t="inlineStr">
        <is>
          <t>Documentos de planeación</t>
        </is>
      </c>
      <c r="H109" t="inlineStr">
        <is>
          <t>Documentos cuyo objetivo es plasmar una visión de futuro a nivel país, entidad territorial, comunidad, sector, región, entidad o cualquier nivel de desagregación que se requiera. Incluye objetivos, estrategias, metas e indicadores</t>
        </is>
      </c>
      <c r="I109" t="inlineStr">
        <is>
          <t>2024251750037</t>
        </is>
      </c>
      <c r="J109" s="99">
        <v>225000000</v>
      </c>
      <c r="K109" s="99">
        <v>50000000</v>
      </c>
      <c r="L109" s="99">
        <v>0</v>
      </c>
      <c r="M109" s="99">
        <v>50000000</v>
      </c>
      <c r="N109" s="99">
        <v>125000000</v>
      </c>
      <c r="O109" s="99">
        <v>0</v>
      </c>
      <c r="P109" s="99">
        <v>0</v>
      </c>
      <c r="Q109" s="99">
        <v>0</v>
      </c>
      <c r="R109" s="100">
        <v>0</v>
      </c>
      <c r="S109" t="inlineStr">
        <is>
          <t>No se ejecutó en la vigencia</t>
        </is>
      </c>
      <c r="T109" s="101" t="inlineStr">
        <is>
          <t xml:space="preserve"> </t>
        </is>
      </c>
      <c r="U109" s="101" t="inlineStr">
        <is>
          <t xml:space="preserve"> </t>
        </is>
      </c>
      <c r="V109" s="101" t="inlineStr">
        <is>
          <t xml:space="preserve"> </t>
        </is>
      </c>
      <c r="W109" s="102" t="inlineStr">
        <is>
          <t xml:space="preserve"> </t>
        </is>
      </c>
      <c r="X109" t="inlineStr">
        <is>
          <t>No se encontró ejecución en CUIPO</t>
        </is>
      </c>
    </row>
    <row r="110">
      <c r="A110" t="inlineStr">
        <is>
          <t>IP-394</t>
        </is>
      </c>
      <c r="B110" t="inlineStr">
        <is>
          <t>45</t>
        </is>
      </c>
      <c r="C110" t="inlineStr">
        <is>
          <t>Gobierno Territorial</t>
        </is>
      </c>
      <c r="D110" t="inlineStr">
        <is>
          <t>4599</t>
        </is>
      </c>
      <c r="E110" t="inlineStr">
        <is>
          <t>Fortalecimiento a la gestión y dirección de la administración pública territorial</t>
        </is>
      </c>
      <c r="F110" t="inlineStr">
        <is>
          <t>4599016</t>
        </is>
      </c>
      <c r="G110" t="inlineStr">
        <is>
          <t>Sedes mantenidas</t>
        </is>
      </c>
      <c r="H110"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110" t="inlineStr">
        <is>
          <t>2024251750039</t>
        </is>
      </c>
      <c r="J110" s="99">
        <v>7232146197.81</v>
      </c>
      <c r="K110" s="99">
        <v>200063568</v>
      </c>
      <c r="L110" s="99">
        <v>6858887431.81</v>
      </c>
      <c r="M110" s="99">
        <v>80243940</v>
      </c>
      <c r="N110" s="99">
        <v>92951258</v>
      </c>
      <c r="O110" s="99">
        <v>2478328837</v>
      </c>
      <c r="P110" s="99">
        <v>2478328837</v>
      </c>
      <c r="Q110" s="99">
        <v>264360711</v>
      </c>
      <c r="R110" s="100">
        <v>12.3877068762465</v>
      </c>
      <c r="S110" t="inlineStr">
        <is>
          <t>Hubo ejecución por encima de lo programado en SisPT</t>
        </is>
      </c>
      <c r="T110" s="101">
        <v>3470020474</v>
      </c>
      <c r="U110" s="101">
        <v>3470020474</v>
      </c>
      <c r="V110" s="101">
        <v>3470020474</v>
      </c>
      <c r="W110" s="102">
        <v>0.505915938772637</v>
      </c>
      <c r="X110" t="inlineStr">
        <is>
          <t>Lo obligado está por debajo de lo programado en la vigencia</t>
        </is>
      </c>
    </row>
    <row r="111">
      <c r="A111" t="inlineStr">
        <is>
          <t>IP-395, IP-547</t>
        </is>
      </c>
      <c r="B111" t="inlineStr">
        <is>
          <t>40</t>
        </is>
      </c>
      <c r="C111" t="inlineStr">
        <is>
          <t>Vivienda, ciudad y territorio</t>
        </is>
      </c>
      <c r="D111" t="inlineStr">
        <is>
          <t>4002</t>
        </is>
      </c>
      <c r="E111" t="inlineStr">
        <is>
          <t>Ordenamiento territorial y desarrollo urbano</t>
        </is>
      </c>
      <c r="F111" t="inlineStr">
        <is>
          <t>4002016</t>
        </is>
      </c>
      <c r="G111" t="inlineStr">
        <is>
          <t>Documentos de planeación</t>
        </is>
      </c>
      <c r="H111" t="inlineStr">
        <is>
          <t>Documentos cuyo objetivo es plasmar una visión de futuro a nivel país, entidad territorial, comunidad, sector, región, entidad o cualquier nivel de desagregación que se requiera. Incluye objetivos, estrategias, metas e indicadores</t>
        </is>
      </c>
      <c r="I111" t="inlineStr">
        <is>
          <t>2024251750032</t>
        </is>
      </c>
      <c r="J111" s="99">
        <v>91863185</v>
      </c>
      <c r="K111" s="99">
        <v>0</v>
      </c>
      <c r="L111" s="99">
        <v>0</v>
      </c>
      <c r="M111" s="99">
        <v>77870040</v>
      </c>
      <c r="N111" s="99">
        <v>13993145</v>
      </c>
      <c r="O111" s="99">
        <v>81319333</v>
      </c>
      <c r="P111" s="99">
        <v>81319333</v>
      </c>
      <c r="Q111" s="99">
        <v>81319333</v>
      </c>
      <c r="R111" s="100" t="inlineStr">
        <is>
          <t xml:space="preserve"> </t>
        </is>
      </c>
      <c r="S111" t="inlineStr">
        <is>
          <t>Se ejecutó un producto no programado en la vigencia</t>
        </is>
      </c>
      <c r="T111" s="101">
        <v>307734625</v>
      </c>
      <c r="U111" s="101">
        <v>222578625</v>
      </c>
      <c r="V111" s="101">
        <v>222578625</v>
      </c>
      <c r="W111" s="102" t="inlineStr">
        <is>
          <t xml:space="preserve"> </t>
        </is>
      </c>
      <c r="X111" t="inlineStr">
        <is>
          <t>Se ejecutó un producto no programado en la vigencia</t>
        </is>
      </c>
    </row>
    <row r="112">
      <c r="A112" t="inlineStr">
        <is>
          <t>IP-397, IP-398</t>
        </is>
      </c>
      <c r="B112" t="inlineStr">
        <is>
          <t>40</t>
        </is>
      </c>
      <c r="C112" t="inlineStr">
        <is>
          <t>Vivienda, ciudad y territorio</t>
        </is>
      </c>
      <c r="D112" t="inlineStr">
        <is>
          <t>4002</t>
        </is>
      </c>
      <c r="E112" t="inlineStr">
        <is>
          <t>Ordenamiento territorial y desarrollo urbano</t>
        </is>
      </c>
      <c r="F112" t="inlineStr">
        <is>
          <t>4002016</t>
        </is>
      </c>
      <c r="G112" t="inlineStr">
        <is>
          <t>Documentos de planeación</t>
        </is>
      </c>
      <c r="H112" t="inlineStr">
        <is>
          <t>Documentos cuyo objetivo es plasmar una visión de futuro a nivel país, entidad territorial, comunidad, sector, región, entidad o cualquier nivel de desagregación que se requiera. Incluye objetivos, estrategias, metas e indicadores</t>
        </is>
      </c>
      <c r="I112" t="inlineStr">
        <is>
          <t>2024251750065</t>
        </is>
      </c>
      <c r="J112" s="99">
        <v>1574900561</v>
      </c>
      <c r="K112" s="99">
        <v>338400000</v>
      </c>
      <c r="L112" s="99">
        <v>420238000</v>
      </c>
      <c r="M112" s="99">
        <v>437062561</v>
      </c>
      <c r="N112" s="99">
        <v>379200000</v>
      </c>
      <c r="O112" s="99">
        <v>105510934</v>
      </c>
      <c r="P112" s="99">
        <v>105510934</v>
      </c>
      <c r="Q112" s="99">
        <v>105510934</v>
      </c>
      <c r="R112" s="100">
        <v>0.311793540189125</v>
      </c>
      <c r="S112" t="inlineStr">
        <is>
          <t>Lo obligado está por debajo de lo programado en la vigencia</t>
        </is>
      </c>
      <c r="T112" s="101">
        <v>352776000</v>
      </c>
      <c r="U112" s="101">
        <v>289912000</v>
      </c>
      <c r="V112" s="101">
        <v>289912000</v>
      </c>
      <c r="W112" s="102">
        <v>0.68987573708232</v>
      </c>
      <c r="X112" t="inlineStr">
        <is>
          <t>Lo obligado está por debajo de lo programado en la vigencia</t>
        </is>
      </c>
    </row>
    <row r="113">
      <c r="A113" t="inlineStr">
        <is>
          <t>IP-399</t>
        </is>
      </c>
      <c r="B113" t="inlineStr">
        <is>
          <t>33</t>
        </is>
      </c>
      <c r="C113" t="inlineStr">
        <is>
          <t>Cultura</t>
        </is>
      </c>
      <c r="D113" t="inlineStr">
        <is>
          <t>3301</t>
        </is>
      </c>
      <c r="E113" t="inlineStr">
        <is>
          <t>Promoción y acceso efectivo a procesos culturales y artísticos</t>
        </is>
      </c>
      <c r="F113" t="inlineStr">
        <is>
          <t>3301088</t>
        </is>
      </c>
      <c r="G113" t="inlineStr">
        <is>
          <t>Centros culturales construidos</t>
        </is>
      </c>
      <c r="H113" t="inlineStr">
        <is>
          <t>Son todas aquellas infraestructuras culturales que se construyan en un predio o terreno donde no existen elementos o construcciones previstas. </t>
        </is>
      </c>
      <c r="I113" t="inlineStr">
        <is>
          <t>2021251750009</t>
        </is>
      </c>
      <c r="J113" s="99">
        <v>1433862743</v>
      </c>
      <c r="K113" s="99">
        <v>1350000000</v>
      </c>
      <c r="L113" s="99">
        <v>83862743</v>
      </c>
      <c r="M113" s="99">
        <v>0</v>
      </c>
      <c r="N113" s="99">
        <v>0</v>
      </c>
      <c r="O113" s="99">
        <v>609937576</v>
      </c>
      <c r="P113" s="99">
        <v>0</v>
      </c>
      <c r="Q113" s="99">
        <v>0</v>
      </c>
      <c r="R113" s="100">
        <v>0</v>
      </c>
      <c r="S113" t="inlineStr">
        <is>
          <t>No se ejecutó en la vigencia</t>
        </is>
      </c>
      <c r="T113" s="101" t="inlineStr">
        <is>
          <t xml:space="preserve"> </t>
        </is>
      </c>
      <c r="U113" s="101" t="inlineStr">
        <is>
          <t xml:space="preserve"> </t>
        </is>
      </c>
      <c r="V113" s="101" t="inlineStr">
        <is>
          <t xml:space="preserve"> </t>
        </is>
      </c>
      <c r="W113" s="102" t="inlineStr">
        <is>
          <t xml:space="preserve"> </t>
        </is>
      </c>
      <c r="X113" t="inlineStr">
        <is>
          <t>No se encontró ejecución en CUIPO</t>
        </is>
      </c>
    </row>
    <row r="114">
      <c r="A114" t="inlineStr">
        <is>
          <t>IP-400, IP-401, IP-524</t>
        </is>
      </c>
      <c r="B114" t="inlineStr">
        <is>
          <t>40</t>
        </is>
      </c>
      <c r="C114" t="inlineStr">
        <is>
          <t>Vivienda, ciudad y territorio</t>
        </is>
      </c>
      <c r="D114" t="inlineStr">
        <is>
          <t>4002</t>
        </is>
      </c>
      <c r="E114" t="inlineStr">
        <is>
          <t>Ordenamiento territorial y desarrollo urbano</t>
        </is>
      </c>
      <c r="F114" t="inlineStr">
        <is>
          <t>4002020</t>
        </is>
      </c>
      <c r="G114" t="inlineStr">
        <is>
          <t>Espacio publico adecuado</t>
        </is>
      </c>
      <c r="H114" t="inlineStr">
        <is>
          <t>Mejoramiento, ampliación y/o mantenimiento de los elementos constitutivos y complementarios del espacio público contenidos en el Decreto 1504 de 1998</t>
        </is>
      </c>
      <c r="I114" t="inlineStr">
        <is>
          <t>2024251750037</t>
        </is>
      </c>
      <c r="J114" s="99">
        <v>123948523173.17</v>
      </c>
      <c r="K114" s="99">
        <v>4504624238</v>
      </c>
      <c r="L114" s="99">
        <v>6847446740.17</v>
      </c>
      <c r="M114" s="99">
        <v>37519553272</v>
      </c>
      <c r="N114" s="99">
        <v>75076898923</v>
      </c>
      <c r="O114" s="99">
        <v>1633525996</v>
      </c>
      <c r="P114" s="99">
        <v>1633525996</v>
      </c>
      <c r="Q114" s="99">
        <v>1585692663</v>
      </c>
      <c r="R114" s="100">
        <v>0.36263313202019</v>
      </c>
      <c r="S114" t="inlineStr">
        <is>
          <t>Lo obligado está por debajo de lo programado en la vigencia</t>
        </is>
      </c>
      <c r="T114" s="101">
        <v>15925000</v>
      </c>
      <c r="U114" s="101">
        <v>15925000</v>
      </c>
      <c r="V114" s="101">
        <v>15925000</v>
      </c>
      <c r="W114" s="102">
        <v>0.00232568439073462</v>
      </c>
      <c r="X114" t="inlineStr">
        <is>
          <t>Lo obligado está por debajo de lo programado en la vigencia</t>
        </is>
      </c>
    </row>
    <row r="115">
      <c r="A115" t="inlineStr">
        <is>
          <t>IP-402</t>
        </is>
      </c>
      <c r="B115" t="inlineStr">
        <is>
          <t>04</t>
        </is>
      </c>
      <c r="C115" t="inlineStr">
        <is>
          <t>Información Estadística</t>
        </is>
      </c>
      <c r="D115" t="inlineStr">
        <is>
          <t>0401</t>
        </is>
      </c>
      <c r="E115" t="inlineStr">
        <is>
          <t>Levantamiento y actualización de información estadística de calidad</t>
        </is>
      </c>
      <c r="F115" t="inlineStr">
        <is>
          <t>0401103</t>
        </is>
      </c>
      <c r="G115" t="inlineStr">
        <is>
          <t>Documentos metodológicos</t>
        </is>
      </c>
      <c r="H115" t="inlineStr">
        <is>
          <t xml:space="preserve">Documentos cuyo objetivo es describir y explicar métodos, herramientas analíticas o procesos que determinan un camino o forma de realizar un análisis en particular. </t>
        </is>
      </c>
      <c r="I115" t="inlineStr">
        <is>
          <t>2024251750068</t>
        </is>
      </c>
      <c r="J115" s="99">
        <v>307033333</v>
      </c>
      <c r="K115" s="99">
        <v>307033333</v>
      </c>
      <c r="L115" s="99">
        <v>0</v>
      </c>
      <c r="M115" s="99">
        <v>0</v>
      </c>
      <c r="N115" s="99">
        <v>0</v>
      </c>
      <c r="O115" s="99">
        <v>93484766</v>
      </c>
      <c r="P115" s="99">
        <v>88248766</v>
      </c>
      <c r="Q115" s="99">
        <v>88248766</v>
      </c>
      <c r="R115" s="100">
        <v>0.28742405633202</v>
      </c>
      <c r="S115" t="inlineStr">
        <is>
          <t>Lo obligado está por debajo de lo programado en la vigencia</t>
        </is>
      </c>
      <c r="T115" s="101" t="inlineStr">
        <is>
          <t xml:space="preserve"> </t>
        </is>
      </c>
      <c r="U115" s="101" t="inlineStr">
        <is>
          <t xml:space="preserve"> </t>
        </is>
      </c>
      <c r="V115" s="101" t="inlineStr">
        <is>
          <t xml:space="preserve"> </t>
        </is>
      </c>
      <c r="W115" s="102" t="inlineStr">
        <is>
          <t xml:space="preserve"> </t>
        </is>
      </c>
      <c r="X115" t="inlineStr">
        <is>
          <t>No se encontró ejecución en CUIPO</t>
        </is>
      </c>
    </row>
    <row r="116">
      <c r="A116" t="inlineStr">
        <is>
          <t>IP-403</t>
        </is>
      </c>
      <c r="B116" t="inlineStr">
        <is>
          <t>04</t>
        </is>
      </c>
      <c r="C116" t="inlineStr">
        <is>
          <t>Información Estadística</t>
        </is>
      </c>
      <c r="D116" t="inlineStr">
        <is>
          <t>0401</t>
        </is>
      </c>
      <c r="E116" t="inlineStr">
        <is>
          <t>Levantamiento y actualización de información estadística de calidad</t>
        </is>
      </c>
      <c r="F116" t="inlineStr">
        <is>
          <t>0401102</t>
        </is>
      </c>
      <c r="G116" t="inlineStr">
        <is>
          <t>Servicio de información implementado</t>
        </is>
      </c>
      <c r="H116" t="inlineStr">
        <is>
          <t>Corresponde al proceso que asegura la disposición de la información de manera accesible, confiable y oportuna.</t>
        </is>
      </c>
      <c r="I116" t="inlineStr">
        <is>
          <t>2024251750068</t>
        </is>
      </c>
      <c r="J116" s="99">
        <v>941354820</v>
      </c>
      <c r="K116" s="99">
        <v>0</v>
      </c>
      <c r="L116" s="99">
        <v>152790000</v>
      </c>
      <c r="M116" s="99">
        <v>546778362</v>
      </c>
      <c r="N116" s="99">
        <v>241786458</v>
      </c>
      <c r="O116" s="99" t="inlineStr">
        <is>
          <t xml:space="preserve"> </t>
        </is>
      </c>
      <c r="P116" s="99" t="inlineStr">
        <is>
          <t xml:space="preserve"> </t>
        </is>
      </c>
      <c r="Q116" s="99" t="inlineStr">
        <is>
          <t xml:space="preserve"> </t>
        </is>
      </c>
      <c r="R116" s="100" t="inlineStr">
        <is>
          <t xml:space="preserve"> </t>
        </is>
      </c>
      <c r="S116" t="inlineStr">
        <is>
          <t>No se encontró ejecución en CUIPO</t>
        </is>
      </c>
      <c r="T116" s="101">
        <v>152790000</v>
      </c>
      <c r="U116" s="101">
        <v>111120000</v>
      </c>
      <c r="V116" s="101">
        <v>111120000</v>
      </c>
      <c r="W116" s="102">
        <v>0.727272727272727</v>
      </c>
      <c r="X116" t="inlineStr">
        <is>
          <t>Lo obligado está por debajo de lo programado en la vigencia</t>
        </is>
      </c>
    </row>
    <row r="117">
      <c r="A117" t="inlineStr">
        <is>
          <t>IP-404</t>
        </is>
      </c>
      <c r="B117" t="inlineStr">
        <is>
          <t>04</t>
        </is>
      </c>
      <c r="C117" t="inlineStr">
        <is>
          <t>Información Estadística</t>
        </is>
      </c>
      <c r="D117" t="inlineStr">
        <is>
          <t>0401</t>
        </is>
      </c>
      <c r="E117" t="inlineStr">
        <is>
          <t>Levantamiento y actualización de información estadística de calidad</t>
        </is>
      </c>
      <c r="F117" t="inlineStr">
        <is>
          <t>0401105</t>
        </is>
      </c>
      <c r="G117" t="inlineStr">
        <is>
          <t>Servicio de estratificación socioeconómica</t>
        </is>
      </c>
      <c r="H117" t="inlineStr">
        <is>
          <t>Acciones orientadas a establecer la clasificación de los inmuebles residenciales de un municipio, que se hace en atención al Régimen de los Servicios Públicos Domiciliarios en Colombia.</t>
        </is>
      </c>
      <c r="I117" t="inlineStr">
        <is>
          <t>2024251750068</t>
        </is>
      </c>
      <c r="J117" s="99">
        <v>1047518148.29</v>
      </c>
      <c r="K117" s="99">
        <v>209090000</v>
      </c>
      <c r="L117" s="99">
        <v>374859936.29</v>
      </c>
      <c r="M117" s="99">
        <v>226130835</v>
      </c>
      <c r="N117" s="99">
        <v>237437377</v>
      </c>
      <c r="O117" s="99">
        <v>26380772</v>
      </c>
      <c r="P117" s="99">
        <v>26380772</v>
      </c>
      <c r="Q117" s="99">
        <v>26380772</v>
      </c>
      <c r="R117" s="100">
        <v>0.126169458128079</v>
      </c>
      <c r="S117" t="inlineStr">
        <is>
          <t>Lo obligado está por debajo de lo programado en la vigencia</t>
        </is>
      </c>
      <c r="T117" s="101">
        <v>130955500</v>
      </c>
      <c r="U117" s="101">
        <v>71294000</v>
      </c>
      <c r="V117" s="101">
        <v>71294000</v>
      </c>
      <c r="W117" s="102">
        <v>0.190188369302942</v>
      </c>
      <c r="X117" t="inlineStr">
        <is>
          <t>Lo obligado está por debajo de lo programado en la vigencia</t>
        </is>
      </c>
    </row>
    <row r="118">
      <c r="A118" t="inlineStr">
        <is>
          <t>IP-405</t>
        </is>
      </c>
      <c r="B118" t="inlineStr">
        <is>
          <t>04</t>
        </is>
      </c>
      <c r="C118" t="inlineStr">
        <is>
          <t>Información Estadística</t>
        </is>
      </c>
      <c r="D118" t="inlineStr">
        <is>
          <t>0406</t>
        </is>
      </c>
      <c r="E118" t="inlineStr">
        <is>
          <t>Generación de la información geográfica del territorio nacional</t>
        </is>
      </c>
      <c r="F118" t="inlineStr">
        <is>
          <t>0406010</t>
        </is>
      </c>
      <c r="G118" t="inlineStr">
        <is>
          <t>Información cartográfica actualizada</t>
        </is>
      </c>
      <c r="H118" t="inlineStr">
        <is>
          <t xml:space="preserve">Representación de los elementos existentes en el territorio a través de ortoimágenes, modelos digitales de terreno (DTM) y/o base de datos vectoriales, donde se muestran los rasgos naturales y topográficos de la superficie terrestre por medio de símbolos, puntos, líneas y polígonos que cumplen con especificaciones técnicas mínimas que permiten su uso para diferentes propósitos, especialmente para la toma de decisiones. Esta representación contempla la realizada por el IGAC así como la de un tercero, previamente oficializada. </t>
        </is>
      </c>
      <c r="I118" t="inlineStr">
        <is>
          <t>2020251750080</t>
        </is>
      </c>
      <c r="J118" s="99">
        <v>6750040000</v>
      </c>
      <c r="K118" s="99">
        <v>6661000000</v>
      </c>
      <c r="L118" s="99">
        <v>89040000</v>
      </c>
      <c r="M118" s="99">
        <v>0</v>
      </c>
      <c r="N118" s="99">
        <v>0</v>
      </c>
      <c r="O118" s="99">
        <v>9502586960</v>
      </c>
      <c r="P118" s="99">
        <v>2850776088</v>
      </c>
      <c r="Q118" s="99">
        <v>2850776088</v>
      </c>
      <c r="R118" s="100">
        <v>0.427980196366912</v>
      </c>
      <c r="S118" t="inlineStr">
        <is>
          <t>Lo obligado está por debajo de lo programado en la vigencia</t>
        </is>
      </c>
      <c r="T118" s="101">
        <v>89040000</v>
      </c>
      <c r="U118" s="101">
        <v>58800000</v>
      </c>
      <c r="V118" s="101">
        <v>58800000</v>
      </c>
      <c r="W118" s="102">
        <v>0.660377358490566</v>
      </c>
      <c r="X118" t="inlineStr">
        <is>
          <t>Lo obligado está por debajo de lo programado en la vigencia</t>
        </is>
      </c>
    </row>
    <row r="119">
      <c r="A119" t="inlineStr">
        <is>
          <t>IP-406</t>
        </is>
      </c>
      <c r="B119" t="inlineStr">
        <is>
          <t>04</t>
        </is>
      </c>
      <c r="C119" t="inlineStr">
        <is>
          <t>Información Estadística</t>
        </is>
      </c>
      <c r="D119" t="inlineStr">
        <is>
          <t>0406</t>
        </is>
      </c>
      <c r="E119" t="inlineStr">
        <is>
          <t>Generación de la información geográfica del territorio nacional</t>
        </is>
      </c>
      <c r="F119" t="inlineStr">
        <is>
          <t>0406001</t>
        </is>
      </c>
      <c r="G119" t="inlineStr">
        <is>
          <t>Servicio de información geográfica, geodésica y cartográfica actualizado</t>
        </is>
      </c>
      <c r="H119" t="inlineStr">
        <is>
          <t>Corresponde al proceso que mejora la disposición de los servicios web de mapas de información Geográfica, cartográfica y geodésica para garantizar el uso y acceso de los datos.</t>
        </is>
      </c>
      <c r="I119" t="inlineStr">
        <is>
          <t>2024251750072</t>
        </is>
      </c>
      <c r="J119" s="99">
        <v>162571148</v>
      </c>
      <c r="K119" s="99">
        <v>0</v>
      </c>
      <c r="L119" s="99">
        <v>42571148</v>
      </c>
      <c r="M119" s="99">
        <v>60000000</v>
      </c>
      <c r="N119" s="99">
        <v>60000000</v>
      </c>
      <c r="O119" s="99" t="inlineStr">
        <is>
          <t xml:space="preserve"> </t>
        </is>
      </c>
      <c r="P119" s="99" t="inlineStr">
        <is>
          <t xml:space="preserve"> </t>
        </is>
      </c>
      <c r="Q119" s="99" t="inlineStr">
        <is>
          <t xml:space="preserve"> </t>
        </is>
      </c>
      <c r="R119" s="100" t="inlineStr">
        <is>
          <t xml:space="preserve"> </t>
        </is>
      </c>
      <c r="S119" t="inlineStr">
        <is>
          <t>No se encontró ejecución en CUIPO</t>
        </is>
      </c>
      <c r="T119" s="101" t="inlineStr">
        <is>
          <t xml:space="preserve"> </t>
        </is>
      </c>
      <c r="U119" s="101" t="inlineStr">
        <is>
          <t xml:space="preserve"> </t>
        </is>
      </c>
      <c r="V119" s="101" t="inlineStr">
        <is>
          <t xml:space="preserve"> </t>
        </is>
      </c>
      <c r="W119" s="102" t="inlineStr">
        <is>
          <t xml:space="preserve"> </t>
        </is>
      </c>
      <c r="X119" t="inlineStr">
        <is>
          <t>No se encontró ejecución en CUIPO</t>
        </is>
      </c>
    </row>
    <row r="120">
      <c r="A120" t="inlineStr">
        <is>
          <t>IP-407</t>
        </is>
      </c>
      <c r="B120" t="inlineStr">
        <is>
          <t>45</t>
        </is>
      </c>
      <c r="C120" t="inlineStr">
        <is>
          <t>Gobierno Territorial</t>
        </is>
      </c>
      <c r="D120" t="inlineStr">
        <is>
          <t>4599</t>
        </is>
      </c>
      <c r="E120" t="inlineStr">
        <is>
          <t>Fortalecimiento a la gestión y dirección de la administración pública territorial</t>
        </is>
      </c>
      <c r="F120" t="inlineStr">
        <is>
          <t>4599032</t>
        </is>
      </c>
      <c r="G120" t="inlineStr">
        <is>
          <t>Documentos de política</t>
        </is>
      </c>
      <c r="H120"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120" t="inlineStr">
        <is>
          <t>2024251750033</t>
        </is>
      </c>
      <c r="J120" s="99">
        <v>95433467</v>
      </c>
      <c r="K120" s="99">
        <v>29421000</v>
      </c>
      <c r="L120" s="99">
        <v>66012467</v>
      </c>
      <c r="M120" s="99">
        <v>0</v>
      </c>
      <c r="N120" s="99">
        <v>0</v>
      </c>
      <c r="O120" s="99">
        <v>7822533</v>
      </c>
      <c r="P120" s="99">
        <v>7822533</v>
      </c>
      <c r="Q120" s="99">
        <v>7822533</v>
      </c>
      <c r="R120" s="100">
        <v>0.265882634852656</v>
      </c>
      <c r="S120" t="inlineStr">
        <is>
          <t>Lo obligado está por debajo de lo programado en la vigencia</t>
        </is>
      </c>
      <c r="T120" s="101">
        <v>37904000</v>
      </c>
      <c r="U120" s="101">
        <v>33166000</v>
      </c>
      <c r="V120" s="101">
        <v>33166000</v>
      </c>
      <c r="W120" s="102">
        <v>0.502420247375393</v>
      </c>
      <c r="X120" t="inlineStr">
        <is>
          <t>Lo obligado está por debajo de lo programado en la vigencia</t>
        </is>
      </c>
    </row>
    <row r="121">
      <c r="A121" t="inlineStr">
        <is>
          <t>IP-408</t>
        </is>
      </c>
      <c r="B121" t="inlineStr">
        <is>
          <t>45</t>
        </is>
      </c>
      <c r="C121" t="inlineStr">
        <is>
          <t>Gobierno Territorial</t>
        </is>
      </c>
      <c r="D121" t="inlineStr">
        <is>
          <t>4599</t>
        </is>
      </c>
      <c r="E121" t="inlineStr">
        <is>
          <t>Fortalecimiento a la gestión y dirección de la administración pública territorial</t>
        </is>
      </c>
      <c r="F121" t="inlineStr">
        <is>
          <t>4599026</t>
        </is>
      </c>
      <c r="G121" t="inlineStr">
        <is>
          <t>Documentos de investigación</t>
        </is>
      </c>
      <c r="H121" t="inlineStr">
        <is>
          <t>Consiste en la formulación de documentos generados a partir de la recolección, análisis y procesamiento de la información.</t>
        </is>
      </c>
      <c r="I121" t="inlineStr">
        <is>
          <t>2024251750064</t>
        </is>
      </c>
      <c r="J121" s="99">
        <v>75000000</v>
      </c>
      <c r="K121" s="99">
        <v>25000000</v>
      </c>
      <c r="L121" s="99">
        <v>0</v>
      </c>
      <c r="M121" s="99">
        <v>25000000</v>
      </c>
      <c r="N121" s="99">
        <v>25000000</v>
      </c>
      <c r="O121" s="99" t="inlineStr">
        <is>
          <t xml:space="preserve"> </t>
        </is>
      </c>
      <c r="P121" s="99" t="inlineStr">
        <is>
          <t xml:space="preserve"> </t>
        </is>
      </c>
      <c r="Q121" s="99" t="inlineStr">
        <is>
          <t xml:space="preserve"> </t>
        </is>
      </c>
      <c r="R121" s="100" t="inlineStr">
        <is>
          <t xml:space="preserve"> </t>
        </is>
      </c>
      <c r="S121" t="inlineStr">
        <is>
          <t>No se encontró ejecución en CUIPO</t>
        </is>
      </c>
      <c r="T121" s="101" t="inlineStr">
        <is>
          <t xml:space="preserve"> </t>
        </is>
      </c>
      <c r="U121" s="101" t="inlineStr">
        <is>
          <t xml:space="preserve"> </t>
        </is>
      </c>
      <c r="V121" s="101" t="inlineStr">
        <is>
          <t xml:space="preserve"> </t>
        </is>
      </c>
      <c r="W121" s="102" t="inlineStr">
        <is>
          <t xml:space="preserve"> </t>
        </is>
      </c>
      <c r="X121" t="inlineStr">
        <is>
          <t>No se encontró ejecución en CUIPO</t>
        </is>
      </c>
    </row>
    <row r="122">
      <c r="A122" t="inlineStr">
        <is>
          <t>IP-409</t>
        </is>
      </c>
      <c r="B122" t="inlineStr">
        <is>
          <t>45</t>
        </is>
      </c>
      <c r="C122" t="inlineStr">
        <is>
          <t>Gobierno Territorial</t>
        </is>
      </c>
      <c r="D122" t="inlineStr">
        <is>
          <t>4599</t>
        </is>
      </c>
      <c r="E122" t="inlineStr">
        <is>
          <t>Fortalecimiento a la gestión y dirección de la administración pública territorial</t>
        </is>
      </c>
      <c r="F122" t="inlineStr">
        <is>
          <t>4599029</t>
        </is>
      </c>
      <c r="G122" t="inlineStr">
        <is>
          <t>Servicio de integración de la oferta pública</t>
        </is>
      </c>
      <c r="H122" t="inlineStr">
        <is>
          <t>Corresponde al diseño e implementación de espacios que articulen la oferta institucional para que los ciudadanos conozcan sus derechos y deberes y los mecanismos de acceso a la oferta publica.</t>
        </is>
      </c>
      <c r="I122" t="inlineStr">
        <is>
          <t>2024251750022</t>
        </is>
      </c>
      <c r="J122" s="99">
        <v>912707999</v>
      </c>
      <c r="K122" s="99">
        <v>84600000</v>
      </c>
      <c r="L122" s="99">
        <v>602507999</v>
      </c>
      <c r="M122" s="99">
        <v>112800000</v>
      </c>
      <c r="N122" s="99">
        <v>112800000</v>
      </c>
      <c r="O122" s="99">
        <v>25486788</v>
      </c>
      <c r="P122" s="99">
        <v>25486788</v>
      </c>
      <c r="Q122" s="99">
        <v>25486788</v>
      </c>
      <c r="R122" s="100">
        <v>0.301262269503546</v>
      </c>
      <c r="S122" t="inlineStr">
        <is>
          <t>Lo obligado está por debajo de lo programado en la vigencia</t>
        </is>
      </c>
      <c r="T122" s="101">
        <v>136534200</v>
      </c>
      <c r="U122" s="101">
        <v>89628000</v>
      </c>
      <c r="V122" s="101">
        <v>84063000</v>
      </c>
      <c r="W122" s="102">
        <v>0.148758191009511</v>
      </c>
      <c r="X122" t="inlineStr">
        <is>
          <t>Lo obligado está por debajo de lo programado en la vigencia</t>
        </is>
      </c>
    </row>
    <row r="123">
      <c r="A123" t="inlineStr">
        <is>
          <t>IP-410</t>
        </is>
      </c>
      <c r="B123" t="inlineStr">
        <is>
          <t>45</t>
        </is>
      </c>
      <c r="C123" t="inlineStr">
        <is>
          <t>Gobierno Territorial</t>
        </is>
      </c>
      <c r="D123" t="inlineStr">
        <is>
          <t>4599</t>
        </is>
      </c>
      <c r="E123" t="inlineStr">
        <is>
          <t>Fortalecimiento a la gestión y dirección de la administración pública territorial</t>
        </is>
      </c>
      <c r="F123" t="inlineStr">
        <is>
          <t>4599033</t>
        </is>
      </c>
      <c r="G123" t="inlineStr">
        <is>
          <t>Servicio de información para el registro administrativo de SISBEN</t>
        </is>
      </c>
      <c r="H123" t="inlineStr">
        <is>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is>
      </c>
      <c r="I123" t="inlineStr">
        <is>
          <t>2024251750069</t>
        </is>
      </c>
      <c r="J123" s="99">
        <v>316146667</v>
      </c>
      <c r="K123" s="99">
        <v>62100000</v>
      </c>
      <c r="L123" s="99">
        <v>88446667</v>
      </c>
      <c r="M123" s="99">
        <v>82800000</v>
      </c>
      <c r="N123" s="99">
        <v>82800000</v>
      </c>
      <c r="O123" s="99">
        <v>28140933</v>
      </c>
      <c r="P123" s="99">
        <v>28140933</v>
      </c>
      <c r="Q123" s="99">
        <v>28140933</v>
      </c>
      <c r="R123" s="100">
        <v>0.453155120772947</v>
      </c>
      <c r="S123" t="inlineStr">
        <is>
          <t>Lo obligado está por debajo de lo programado en la vigencia</t>
        </is>
      </c>
      <c r="T123" s="101">
        <v>88446667</v>
      </c>
      <c r="U123" s="101">
        <v>64016000</v>
      </c>
      <c r="V123" s="101">
        <v>64016000</v>
      </c>
      <c r="W123" s="102">
        <v>0.72378080679965</v>
      </c>
      <c r="X123" t="inlineStr">
        <is>
          <t>Lo obligado está por debajo de lo programado en la vigencia</t>
        </is>
      </c>
    </row>
    <row r="124">
      <c r="A124" t="inlineStr">
        <is>
          <t>IP-411</t>
        </is>
      </c>
      <c r="B124" t="inlineStr">
        <is>
          <t>45</t>
        </is>
      </c>
      <c r="C124" t="inlineStr">
        <is>
          <t>Gobierno Territorial</t>
        </is>
      </c>
      <c r="D124" t="inlineStr">
        <is>
          <t>4599</t>
        </is>
      </c>
      <c r="E124" t="inlineStr">
        <is>
          <t>Fortalecimiento a la gestión y dirección de la administración pública territorial</t>
        </is>
      </c>
      <c r="F124" t="inlineStr">
        <is>
          <t>4599001</t>
        </is>
      </c>
      <c r="G124" t="inlineStr">
        <is>
          <t>Documentos de evaluación</t>
        </is>
      </c>
      <c r="H124" t="inlineStr">
        <is>
          <t>Documentos técnicos en donde se realiza el seguimiento y el análisis de resultados e impactos de una política pública a través de indicadores, índices y tasas y otras herramientas técnicas para la toma de decisiones.</t>
        </is>
      </c>
      <c r="I124" t="inlineStr">
        <is>
          <t>2024251750034</t>
        </is>
      </c>
      <c r="J124" s="99">
        <v>551153300</v>
      </c>
      <c r="K124" s="99">
        <v>145100000</v>
      </c>
      <c r="L124" s="99">
        <v>107653300</v>
      </c>
      <c r="M124" s="99">
        <v>149200000</v>
      </c>
      <c r="N124" s="99">
        <v>149200000</v>
      </c>
      <c r="O124" s="99">
        <v>75883451</v>
      </c>
      <c r="P124" s="99">
        <v>75883451</v>
      </c>
      <c r="Q124" s="99">
        <v>72821191</v>
      </c>
      <c r="R124" s="100">
        <v>0.522973473466575</v>
      </c>
      <c r="S124" t="inlineStr">
        <is>
          <t>Lo obligado está por debajo de lo programado en la vigencia</t>
        </is>
      </c>
      <c r="T124" s="101">
        <v>96755900</v>
      </c>
      <c r="U124" s="101">
        <v>37904000</v>
      </c>
      <c r="V124" s="101">
        <v>37904000</v>
      </c>
      <c r="W124" s="102">
        <v>0.352093247489859</v>
      </c>
      <c r="X124" t="inlineStr">
        <is>
          <t>Lo obligado está por debajo de lo programado en la vigencia</t>
        </is>
      </c>
    </row>
    <row r="125">
      <c r="A125" t="inlineStr">
        <is>
          <t>IP-414, IP-550</t>
        </is>
      </c>
      <c r="B125" t="inlineStr">
        <is>
          <t>45</t>
        </is>
      </c>
      <c r="C125" t="inlineStr">
        <is>
          <t>Gobierno Territorial</t>
        </is>
      </c>
      <c r="D125" t="inlineStr">
        <is>
          <t>4599</t>
        </is>
      </c>
      <c r="E125" t="inlineStr">
        <is>
          <t>Fortalecimiento a la gestión y dirección de la administración pública territorial</t>
        </is>
      </c>
      <c r="F125" t="inlineStr">
        <is>
          <t>4599019</t>
        </is>
      </c>
      <c r="G125" t="inlineStr">
        <is>
          <t>Documentos de planeación</t>
        </is>
      </c>
      <c r="H125"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25" t="inlineStr">
        <is>
          <t>2024251750034</t>
        </is>
      </c>
      <c r="J125" s="99">
        <v>1852066700</v>
      </c>
      <c r="K125" s="99">
        <v>571600000</v>
      </c>
      <c r="L125" s="99">
        <v>561266700</v>
      </c>
      <c r="M125" s="99">
        <v>359600000</v>
      </c>
      <c r="N125" s="99">
        <v>359600000</v>
      </c>
      <c r="O125" s="99">
        <v>180831743</v>
      </c>
      <c r="P125" s="99">
        <v>180831743</v>
      </c>
      <c r="Q125" s="99">
        <v>180831743</v>
      </c>
      <c r="R125" s="100">
        <v>0.316360642057383</v>
      </c>
      <c r="S125" t="inlineStr">
        <is>
          <t>Lo obligado está por debajo de lo programado en la vigencia</t>
        </is>
      </c>
      <c r="T125" s="101">
        <v>438397000</v>
      </c>
      <c r="U125" s="101">
        <v>337464000</v>
      </c>
      <c r="V125" s="101">
        <v>328581000</v>
      </c>
      <c r="W125" s="102">
        <v>0.601254270028847</v>
      </c>
      <c r="X125" t="inlineStr">
        <is>
          <t>Lo obligado está por debajo de lo programado en la vigencia</t>
        </is>
      </c>
    </row>
    <row r="126">
      <c r="A126" t="inlineStr">
        <is>
          <t>IP-415, IP-416, IP-555</t>
        </is>
      </c>
      <c r="B126" t="inlineStr">
        <is>
          <t>40</t>
        </is>
      </c>
      <c r="C126" t="inlineStr">
        <is>
          <t>Vivienda, ciudad y territorio</t>
        </is>
      </c>
      <c r="D126" t="inlineStr">
        <is>
          <t>4003</t>
        </is>
      </c>
      <c r="E126" t="inlineStr">
        <is>
          <t>Acceso de la población a los servicios de agua potable y saneamiento básico</t>
        </is>
      </c>
      <c r="F126" t="inlineStr">
        <is>
          <t>4003047</t>
        </is>
      </c>
      <c r="G126" t="inlineStr">
        <is>
          <t>Servicio de apoyo financiero para subsidios al consumo en los servicios públicos domiciliarios</t>
        </is>
      </c>
      <c r="H126" t="inlineStr">
        <is>
          <t>Los subsidios al consumo están destinados a satisfacer necesidades básicas de los usuarios de los estratos 1, 2 y 3 en el servicio público domiciliario de acueducto, alcantarillado y aseo.</t>
        </is>
      </c>
      <c r="I126" t="inlineStr">
        <is>
          <t>2024251750023</t>
        </is>
      </c>
      <c r="J126" s="99">
        <v>4511461401</v>
      </c>
      <c r="K126" s="99">
        <v>1152125819</v>
      </c>
      <c r="L126" s="99">
        <v>935231232</v>
      </c>
      <c r="M126" s="99">
        <v>1197124073</v>
      </c>
      <c r="N126" s="99">
        <v>1226980277</v>
      </c>
      <c r="O126" s="99">
        <v>0</v>
      </c>
      <c r="P126" s="99">
        <v>0</v>
      </c>
      <c r="Q126" s="99">
        <v>0</v>
      </c>
      <c r="R126" s="100">
        <v>0</v>
      </c>
      <c r="S126" t="inlineStr">
        <is>
          <t>No se ejecutó en la vigencia</t>
        </is>
      </c>
      <c r="T126" s="101" t="inlineStr">
        <is>
          <t xml:space="preserve"> </t>
        </is>
      </c>
      <c r="U126" s="101" t="inlineStr">
        <is>
          <t xml:space="preserve"> </t>
        </is>
      </c>
      <c r="V126" s="101" t="inlineStr">
        <is>
          <t xml:space="preserve"> </t>
        </is>
      </c>
      <c r="W126" s="102" t="inlineStr">
        <is>
          <t xml:space="preserve"> </t>
        </is>
      </c>
      <c r="X126" t="inlineStr">
        <is>
          <t>No se encontró ejecución en CUIPO</t>
        </is>
      </c>
    </row>
    <row r="127">
      <c r="A127" t="inlineStr">
        <is>
          <t>IP-417, IP-529, IP-552</t>
        </is>
      </c>
      <c r="B127" t="inlineStr">
        <is>
          <t>40</t>
        </is>
      </c>
      <c r="C127" t="inlineStr">
        <is>
          <t>Vivienda, ciudad y territorio</t>
        </is>
      </c>
      <c r="D127" t="inlineStr">
        <is>
          <t>4003</t>
        </is>
      </c>
      <c r="E127" t="inlineStr">
        <is>
          <t>Acceso de la población a los servicios de agua potable y saneamiento básico</t>
        </is>
      </c>
      <c r="F127" t="inlineStr">
        <is>
          <t>4003047</t>
        </is>
      </c>
      <c r="G127" t="inlineStr">
        <is>
          <t>Servicio de apoyo financiero para subsidios al consumo en los servicios públicos domiciliarios</t>
        </is>
      </c>
      <c r="H127" t="inlineStr">
        <is>
          <t>Los subsidios al consumo están destinados a satisfacer necesidades básicas de los usuarios de los estratos 1, 2 y 3 en el servicio público domiciliario de acueducto, alcantarillado y aseo.</t>
        </is>
      </c>
      <c r="I127" t="inlineStr">
        <is>
          <t>202500000023314</t>
        </is>
      </c>
      <c r="J127" s="99">
        <v>451635300</v>
      </c>
      <c r="K127" s="99">
        <v>90000000</v>
      </c>
      <c r="L127" s="99">
        <v>117000000</v>
      </c>
      <c r="M127" s="99">
        <v>120510000</v>
      </c>
      <c r="N127" s="99">
        <v>124125300</v>
      </c>
      <c r="O127" s="99" t="inlineStr">
        <is>
          <t xml:space="preserve"> </t>
        </is>
      </c>
      <c r="P127" s="99" t="inlineStr">
        <is>
          <t xml:space="preserve"> </t>
        </is>
      </c>
      <c r="Q127" s="99" t="inlineStr">
        <is>
          <t xml:space="preserve"> </t>
        </is>
      </c>
      <c r="R127" s="100" t="inlineStr">
        <is>
          <t xml:space="preserve"> </t>
        </is>
      </c>
      <c r="S127" t="inlineStr">
        <is>
          <t>No se encontró ejecución en CUIPO</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IP-418</t>
        </is>
      </c>
      <c r="B128" t="inlineStr">
        <is>
          <t>21</t>
        </is>
      </c>
      <c r="C128" t="inlineStr">
        <is>
          <t>Minas y Energía</t>
        </is>
      </c>
      <c r="D128" t="inlineStr">
        <is>
          <t>2102</t>
        </is>
      </c>
      <c r="E128" t="inlineStr">
        <is>
          <t>Consolidación productiva del sector de energía eléctrica</t>
        </is>
      </c>
      <c r="F128" t="inlineStr">
        <is>
          <t>2102013</t>
        </is>
      </c>
      <c r="G128" t="inlineStr">
        <is>
          <t>Redes de alumbrado público mejoradas</t>
        </is>
      </c>
      <c r="H128" t="inlineStr">
        <is>
          <t>Mejoramiento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128" t="inlineStr">
        <is>
          <t>2021251750004</t>
        </is>
      </c>
      <c r="J128" s="99">
        <v>64640062198</v>
      </c>
      <c r="K128" s="99">
        <v>14572400000</v>
      </c>
      <c r="L128" s="99">
        <v>15726744000</v>
      </c>
      <c r="M128" s="99">
        <v>16670348640</v>
      </c>
      <c r="N128" s="99">
        <v>17670569558</v>
      </c>
      <c r="O128" s="99">
        <v>11236398305</v>
      </c>
      <c r="P128" s="99">
        <v>11236398305</v>
      </c>
      <c r="Q128" s="99">
        <v>11236398305</v>
      </c>
      <c r="R128" s="100">
        <v>0.771073968941286</v>
      </c>
      <c r="S128" t="inlineStr">
        <is>
          <t>Lo obligado está por debajo de lo programado en la vigencia</t>
        </is>
      </c>
      <c r="T128" s="101">
        <v>10065582032</v>
      </c>
      <c r="U128" s="101">
        <v>10058582032</v>
      </c>
      <c r="V128" s="101">
        <v>10058582032</v>
      </c>
      <c r="W128" s="102">
        <v>0.639584521246102</v>
      </c>
      <c r="X128" t="inlineStr">
        <is>
          <t>Lo obligado está por debajo de lo programado en la vigencia</t>
        </is>
      </c>
    </row>
    <row r="129">
      <c r="A129" t="inlineStr">
        <is>
          <t>IP-419</t>
        </is>
      </c>
      <c r="B129" t="inlineStr">
        <is>
          <t>45</t>
        </is>
      </c>
      <c r="C129" t="inlineStr">
        <is>
          <t>Gobierno Territorial</t>
        </is>
      </c>
      <c r="D129" t="inlineStr">
        <is>
          <t>4599</t>
        </is>
      </c>
      <c r="E129" t="inlineStr">
        <is>
          <t>Fortalecimiento a la gestión y dirección de la administración pública territorial</t>
        </is>
      </c>
      <c r="F129" t="inlineStr">
        <is>
          <t>4599028</t>
        </is>
      </c>
      <c r="G129" t="inlineStr">
        <is>
          <t>Servicio de información actualizado</t>
        </is>
      </c>
      <c r="H129" t="inlineStr">
        <is>
          <t>Corresponde al proceso que mejora en la disposición de la información para asegurar que sea accesible, confiable y oportuna.</t>
        </is>
      </c>
      <c r="I129" t="inlineStr">
        <is>
          <t>2024251750022</t>
        </is>
      </c>
      <c r="J129" s="99">
        <v>161771500</v>
      </c>
      <c r="K129" s="99">
        <v>20000000</v>
      </c>
      <c r="L129" s="99">
        <v>61771500</v>
      </c>
      <c r="M129" s="99">
        <v>40000000</v>
      </c>
      <c r="N129" s="99">
        <v>40000000</v>
      </c>
      <c r="O129" s="99">
        <v>18726666</v>
      </c>
      <c r="P129" s="99">
        <v>18726666</v>
      </c>
      <c r="Q129" s="99">
        <v>18726666</v>
      </c>
      <c r="R129" s="100">
        <v>0.9363333</v>
      </c>
      <c r="S129" t="inlineStr">
        <is>
          <t>Lo obligado está por debajo de lo programado en la vigencia</t>
        </is>
      </c>
      <c r="T129" s="101">
        <v>50085000</v>
      </c>
      <c r="U129" s="101">
        <v>38955000</v>
      </c>
      <c r="V129" s="101">
        <v>38955000</v>
      </c>
      <c r="W129" s="102">
        <v>0.630630630630631</v>
      </c>
      <c r="X129" t="inlineStr">
        <is>
          <t>Lo obligado está por debajo de lo programado en la vigencia</t>
        </is>
      </c>
    </row>
    <row r="130">
      <c r="A130" t="inlineStr">
        <is>
          <t>IP-420</t>
        </is>
      </c>
      <c r="B130" t="inlineStr">
        <is>
          <t>21</t>
        </is>
      </c>
      <c r="C130" t="inlineStr">
        <is>
          <t>Minas y Energía</t>
        </is>
      </c>
      <c r="D130" t="inlineStr">
        <is>
          <t>2105</t>
        </is>
      </c>
      <c r="E130" t="inlineStr">
        <is>
          <t>Desarrollo ambiental sostenible del sector minero energético</t>
        </is>
      </c>
      <c r="F130" t="inlineStr">
        <is>
          <t>2105017</t>
        </is>
      </c>
      <c r="G130" t="inlineStr">
        <is>
          <t>Estudios de pre inversión</t>
        </is>
      </c>
      <c r="H130" t="inlineStr">
        <is>
          <t>Conjunto de análisis y estudios necesarios para evaluar, desde el punto de vista técnico y económico, la viabilidad de emprender un proyecto de infraestructura para fuentes no convencionales y renovables de energía</t>
        </is>
      </c>
      <c r="I130" t="inlineStr">
        <is>
          <t>2024251750025</t>
        </is>
      </c>
      <c r="J130" s="99">
        <v>100000000</v>
      </c>
      <c r="K130" s="99">
        <v>100000000</v>
      </c>
      <c r="L130" s="99">
        <v>0</v>
      </c>
      <c r="M130" s="99">
        <v>0</v>
      </c>
      <c r="N130" s="99">
        <v>0</v>
      </c>
      <c r="O130" s="99" t="inlineStr">
        <is>
          <t xml:space="preserve"> </t>
        </is>
      </c>
      <c r="P130" s="99" t="inlineStr">
        <is>
          <t xml:space="preserve"> </t>
        </is>
      </c>
      <c r="Q130" s="99" t="inlineStr">
        <is>
          <t xml:space="preserve"> </t>
        </is>
      </c>
      <c r="R130" s="100" t="inlineStr">
        <is>
          <t xml:space="preserve"> </t>
        </is>
      </c>
      <c r="S130" t="inlineStr">
        <is>
          <t>No se encontró ejecución en CUIPO</t>
        </is>
      </c>
      <c r="T130" s="101" t="inlineStr">
        <is>
          <t xml:space="preserve"> </t>
        </is>
      </c>
      <c r="U130" s="101" t="inlineStr">
        <is>
          <t xml:space="preserve"> </t>
        </is>
      </c>
      <c r="V130" s="101" t="inlineStr">
        <is>
          <t xml:space="preserve"> </t>
        </is>
      </c>
      <c r="W130" s="102" t="inlineStr">
        <is>
          <t xml:space="preserve"> </t>
        </is>
      </c>
      <c r="X130" t="inlineStr">
        <is>
          <t>No se encontró ejecución en CUIPO</t>
        </is>
      </c>
    </row>
    <row r="131">
      <c r="A131" t="inlineStr">
        <is>
          <t>IP-421</t>
        </is>
      </c>
      <c r="B131" t="inlineStr">
        <is>
          <t>22</t>
        </is>
      </c>
      <c r="C131" t="inlineStr">
        <is>
          <t>Educación</t>
        </is>
      </c>
      <c r="D131" t="inlineStr">
        <is>
          <t>2201</t>
        </is>
      </c>
      <c r="E131" t="inlineStr">
        <is>
          <t>Calidad, cobertura y fortalecimiento de la educación inicial, prescolar, básica y media</t>
        </is>
      </c>
      <c r="F131" t="inlineStr">
        <is>
          <t>2201029</t>
        </is>
      </c>
      <c r="G131" t="inlineStr">
        <is>
          <t>Servicio de apoyo a la permanencia con transporte escolar</t>
        </is>
      </c>
      <c r="H131" t="inlineStr">
        <is>
          <t>Incluye la implementación de estrategias de transporte escolar para fortalecer las acciones de retención estudiantil</t>
        </is>
      </c>
      <c r="I131" t="inlineStr">
        <is>
          <t>2024251750013</t>
        </is>
      </c>
      <c r="J131" s="99">
        <v>4746963898</v>
      </c>
      <c r="K131" s="99">
        <v>1190000000</v>
      </c>
      <c r="L131" s="99">
        <v>392363578</v>
      </c>
      <c r="M131" s="99">
        <v>1492736000</v>
      </c>
      <c r="N131" s="99">
        <v>1671864320</v>
      </c>
      <c r="O131" s="99" t="inlineStr">
        <is>
          <t xml:space="preserve"> </t>
        </is>
      </c>
      <c r="P131" s="99" t="inlineStr">
        <is>
          <t xml:space="preserve"> </t>
        </is>
      </c>
      <c r="Q131" s="99" t="inlineStr">
        <is>
          <t xml:space="preserve"> </t>
        </is>
      </c>
      <c r="R131" s="100" t="inlineStr">
        <is>
          <t xml:space="preserve"> </t>
        </is>
      </c>
      <c r="S131" t="inlineStr">
        <is>
          <t>No se encontró ejecución en CUIPO</t>
        </is>
      </c>
      <c r="T131" s="101">
        <v>159185250</v>
      </c>
      <c r="U131" s="101">
        <v>159185250</v>
      </c>
      <c r="V131" s="101">
        <v>159185250</v>
      </c>
      <c r="W131" s="102">
        <v>0.405708528838016</v>
      </c>
      <c r="X131" t="inlineStr">
        <is>
          <t>Lo obligado está por debajo de lo programado en la vigencia</t>
        </is>
      </c>
    </row>
    <row r="132">
      <c r="A132" t="inlineStr">
        <is>
          <t>IP-422</t>
        </is>
      </c>
      <c r="B132" t="inlineStr">
        <is>
          <t>22</t>
        </is>
      </c>
      <c r="C132" t="inlineStr">
        <is>
          <t>Educación</t>
        </is>
      </c>
      <c r="D132" t="inlineStr">
        <is>
          <t>2201</t>
        </is>
      </c>
      <c r="E132" t="inlineStr">
        <is>
          <t>Calidad, cobertura y fortalecimiento de la educación inicial, prescolar, básica y media</t>
        </is>
      </c>
      <c r="F132" t="inlineStr">
        <is>
          <t>2201028</t>
        </is>
      </c>
      <c r="G132" t="inlineStr">
        <is>
          <t>Servicio de apoyo a la permanencia con alimentación escolar</t>
        </is>
      </c>
      <c r="H132" t="inlineStr">
        <is>
          <t>Incluye la implementación de estrategias de alimentación escolar para fortalecer las acciones de retención estudiantil.</t>
        </is>
      </c>
      <c r="I132" t="inlineStr">
        <is>
          <t>2024251750013</t>
        </is>
      </c>
      <c r="J132" s="99">
        <v>115076763543</v>
      </c>
      <c r="K132" s="99">
        <v>22532067213</v>
      </c>
      <c r="L132" s="99">
        <v>27002176353</v>
      </c>
      <c r="M132" s="99">
        <v>31376848888</v>
      </c>
      <c r="N132" s="99">
        <v>34165671089</v>
      </c>
      <c r="O132" s="99">
        <v>5347352617</v>
      </c>
      <c r="P132" s="99">
        <v>5347352617</v>
      </c>
      <c r="Q132" s="99">
        <v>5303238956</v>
      </c>
      <c r="R132" s="100">
        <v>0.237321882916931</v>
      </c>
      <c r="S132" t="inlineStr">
        <is>
          <t>Lo obligado está por debajo de lo programado en la vigencia</t>
        </is>
      </c>
      <c r="T132" s="101">
        <v>51979999920</v>
      </c>
      <c r="U132" s="101">
        <v>36918662704</v>
      </c>
      <c r="V132" s="101">
        <v>36918662704</v>
      </c>
      <c r="W132" s="102">
        <v>1.36724767001599</v>
      </c>
      <c r="X132" t="inlineStr">
        <is>
          <t>Hubo ejecución por encima de lo programado en SisPT</t>
        </is>
      </c>
    </row>
    <row r="133">
      <c r="A133" t="inlineStr">
        <is>
          <t>IP-423</t>
        </is>
      </c>
      <c r="B133" t="inlineStr">
        <is>
          <t>22</t>
        </is>
      </c>
      <c r="C133" t="inlineStr">
        <is>
          <t>Educación</t>
        </is>
      </c>
      <c r="D133" t="inlineStr">
        <is>
          <t>2201</t>
        </is>
      </c>
      <c r="E133" t="inlineStr">
        <is>
          <t>Calidad, cobertura y fortalecimiento de la educación inicial, prescolar, básica y media</t>
        </is>
      </c>
      <c r="F133" t="inlineStr">
        <is>
          <t>2201069</t>
        </is>
      </c>
      <c r="G133" t="inlineStr">
        <is>
          <t>Infraestructura educativa dotada</t>
        </is>
      </c>
      <c r="H133"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33" t="inlineStr">
        <is>
          <t>2024251750013</t>
        </is>
      </c>
      <c r="J133" s="99">
        <v>6491067999.64</v>
      </c>
      <c r="K133" s="99">
        <v>106510000</v>
      </c>
      <c r="L133" s="99">
        <v>5868087043.64</v>
      </c>
      <c r="M133" s="99">
        <v>245938550</v>
      </c>
      <c r="N133" s="99">
        <v>270532406</v>
      </c>
      <c r="O133" s="99">
        <v>962165000</v>
      </c>
      <c r="P133" s="99">
        <v>962165000</v>
      </c>
      <c r="Q133" s="99">
        <v>962165000</v>
      </c>
      <c r="R133" s="100">
        <v>9.03356492348136</v>
      </c>
      <c r="S133" t="inlineStr">
        <is>
          <t>Hubo ejecución por encima de lo programado en SisPT</t>
        </is>
      </c>
      <c r="T133" s="101">
        <v>4149997596</v>
      </c>
      <c r="U133" s="101">
        <v>30000000</v>
      </c>
      <c r="V133" s="101">
        <v>30000000</v>
      </c>
      <c r="W133" s="102">
        <v>0.00511239860228639</v>
      </c>
      <c r="X133" t="inlineStr">
        <is>
          <t>Lo obligado está por debajo de lo programado en la vigencia</t>
        </is>
      </c>
    </row>
    <row r="134">
      <c r="A134" t="inlineStr">
        <is>
          <t>IP-424</t>
        </is>
      </c>
      <c r="B134" t="inlineStr">
        <is>
          <t>22</t>
        </is>
      </c>
      <c r="C134" t="inlineStr">
        <is>
          <t>Educación</t>
        </is>
      </c>
      <c r="D134" t="inlineStr">
        <is>
          <t>2201</t>
        </is>
      </c>
      <c r="E134" t="inlineStr">
        <is>
          <t>Calidad, cobertura y fortalecimiento de la educación inicial, prescolar, básica y media</t>
        </is>
      </c>
      <c r="F134" t="inlineStr">
        <is>
          <t>2201034</t>
        </is>
      </c>
      <c r="G134" t="inlineStr">
        <is>
          <t>Servicio educativos de promoción del bilingüismo</t>
        </is>
      </c>
      <c r="H134" t="inlineStr">
        <is>
          <t xml:space="preserve">Procesos de formación para el desarrollo de competencias en un segundo idioma </t>
        </is>
      </c>
      <c r="I134" t="inlineStr">
        <is>
          <t>2024251750013</t>
        </is>
      </c>
      <c r="J134" s="99">
        <v>2206484911</v>
      </c>
      <c r="K134" s="99">
        <v>641000000</v>
      </c>
      <c r="L134" s="99">
        <v>565484911</v>
      </c>
      <c r="M134" s="99">
        <v>500000000</v>
      </c>
      <c r="N134" s="99">
        <v>500000000</v>
      </c>
      <c r="O134" s="99">
        <v>23466667</v>
      </c>
      <c r="P134" s="99">
        <v>23466667</v>
      </c>
      <c r="Q134" s="99">
        <v>23466667</v>
      </c>
      <c r="R134" s="100">
        <v>0.0366094648985959</v>
      </c>
      <c r="S134" t="inlineStr">
        <is>
          <t>Lo obligado está por debajo de lo programado en la vigencia</t>
        </is>
      </c>
      <c r="T134" s="101">
        <v>514992151</v>
      </c>
      <c r="U134" s="101">
        <v>216379728</v>
      </c>
      <c r="V134" s="101">
        <v>216379728</v>
      </c>
      <c r="W134" s="102">
        <v>0.382644565382577</v>
      </c>
      <c r="X134" t="inlineStr">
        <is>
          <t>Lo obligado está por debajo de lo programado en la vigencia</t>
        </is>
      </c>
    </row>
    <row r="135">
      <c r="A135" t="inlineStr">
        <is>
          <t>IP-425</t>
        </is>
      </c>
      <c r="B135" t="inlineStr">
        <is>
          <t>22</t>
        </is>
      </c>
      <c r="C135" t="inlineStr">
        <is>
          <t>Educación</t>
        </is>
      </c>
      <c r="D135" t="inlineStr">
        <is>
          <t>2201</t>
        </is>
      </c>
      <c r="E135" t="inlineStr">
        <is>
          <t>Calidad, cobertura y fortalecimiento de la educación inicial, prescolar, básica y media</t>
        </is>
      </c>
      <c r="F135" t="inlineStr">
        <is>
          <t>2201050</t>
        </is>
      </c>
      <c r="G135" t="inlineStr">
        <is>
          <t>Servicio de accesibilidad a contenidos web para fines pedagógicos</t>
        </is>
      </c>
      <c r="H135" t="inlineStr">
        <is>
          <t>Corresponde a la instalación del servicio de internet en los establecimientos educativos para fines pedagógicos</t>
        </is>
      </c>
      <c r="I135" t="inlineStr">
        <is>
          <t>2024251750013</t>
        </is>
      </c>
      <c r="J135" s="99">
        <v>1640000000</v>
      </c>
      <c r="K135" s="99">
        <v>260000000</v>
      </c>
      <c r="L135" s="99">
        <v>360000000</v>
      </c>
      <c r="M135" s="99">
        <v>460000000</v>
      </c>
      <c r="N135" s="99">
        <v>560000000</v>
      </c>
      <c r="O135" s="99">
        <v>0</v>
      </c>
      <c r="P135" s="99">
        <v>0</v>
      </c>
      <c r="Q135" s="99">
        <v>0</v>
      </c>
      <c r="R135" s="100">
        <v>0</v>
      </c>
      <c r="S135" t="inlineStr">
        <is>
          <t>No se ejecutó en la vigencia</t>
        </is>
      </c>
      <c r="T135" s="101" t="inlineStr">
        <is>
          <t xml:space="preserve"> </t>
        </is>
      </c>
      <c r="U135" s="101" t="inlineStr">
        <is>
          <t xml:space="preserve"> </t>
        </is>
      </c>
      <c r="V135" s="101" t="inlineStr">
        <is>
          <t xml:space="preserve"> </t>
        </is>
      </c>
      <c r="W135" s="102" t="inlineStr">
        <is>
          <t xml:space="preserve"> </t>
        </is>
      </c>
      <c r="X135" t="inlineStr">
        <is>
          <t>No se encontró ejecución en CUIPO</t>
        </is>
      </c>
    </row>
    <row r="136">
      <c r="A136" t="inlineStr">
        <is>
          <t>IP-426</t>
        </is>
      </c>
      <c r="B136" t="inlineStr">
        <is>
          <t>22</t>
        </is>
      </c>
      <c r="C136" t="inlineStr">
        <is>
          <t>Educación</t>
        </is>
      </c>
      <c r="D136" t="inlineStr">
        <is>
          <t>2201</t>
        </is>
      </c>
      <c r="E136" t="inlineStr">
        <is>
          <t>Calidad, cobertura y fortalecimiento de la educación inicial, prescolar, básica y media</t>
        </is>
      </c>
      <c r="F136" t="inlineStr">
        <is>
          <t>2201037</t>
        </is>
      </c>
      <c r="G136" t="inlineStr">
        <is>
          <t>Servicio de atención integral para la primera infancia</t>
        </is>
      </c>
      <c r="H136" t="inlineStr">
        <is>
          <t>Incluye las acciones dirigidas a desarrollar los Planes de Atención Integral a la Primera Infancia</t>
        </is>
      </c>
      <c r="I136" t="inlineStr">
        <is>
          <t>2024251750013</t>
        </is>
      </c>
      <c r="J136" s="99">
        <v>1904713359</v>
      </c>
      <c r="K136" s="99">
        <v>240000000</v>
      </c>
      <c r="L136" s="99">
        <v>847750000</v>
      </c>
      <c r="M136" s="99">
        <v>387186426</v>
      </c>
      <c r="N136" s="99">
        <v>429776933</v>
      </c>
      <c r="O136" s="99">
        <v>47250000</v>
      </c>
      <c r="P136" s="99">
        <v>47250000</v>
      </c>
      <c r="Q136" s="99">
        <v>47250000</v>
      </c>
      <c r="R136" s="100">
        <v>0.196875</v>
      </c>
      <c r="S136" t="inlineStr">
        <is>
          <t>Lo obligado está por debajo de lo programado en la vigencia</t>
        </is>
      </c>
      <c r="T136" s="101">
        <v>847750000</v>
      </c>
      <c r="U136" s="101">
        <v>238350000</v>
      </c>
      <c r="V136" s="101">
        <v>238350000</v>
      </c>
      <c r="W136" s="102">
        <v>0.281156001179593</v>
      </c>
      <c r="X136" t="inlineStr">
        <is>
          <t>Lo obligado está por debajo de lo programado en la vigencia</t>
        </is>
      </c>
    </row>
    <row r="137">
      <c r="A137" t="inlineStr">
        <is>
          <t>IP-427</t>
        </is>
      </c>
      <c r="B137" t="inlineStr">
        <is>
          <t>22</t>
        </is>
      </c>
      <c r="C137" t="inlineStr">
        <is>
          <t>Educación</t>
        </is>
      </c>
      <c r="D137" t="inlineStr">
        <is>
          <t>2201</t>
        </is>
      </c>
      <c r="E137" t="inlineStr">
        <is>
          <t>Calidad, cobertura y fortalecimiento de la educación inicial, prescolar, básica y media</t>
        </is>
      </c>
      <c r="F137" t="inlineStr">
        <is>
          <t>2201072</t>
        </is>
      </c>
      <c r="G137" t="inlineStr">
        <is>
          <t>Servicio de evaluación de las estrategias educativas implementadas en la educación inicial, preescolar, básica y media</t>
        </is>
      </c>
      <c r="H137" t="inlineStr">
        <is>
          <t>Incluye el diseño, validación e implementación de mecanismos y demás procesos que permitan evaluar el impacto de la implementación de programas, proyectos y estrategias educativas para la educación inicial, preescolar, básica y media.</t>
        </is>
      </c>
      <c r="I137" t="inlineStr">
        <is>
          <t>2024251750013</t>
        </is>
      </c>
      <c r="J137" s="99">
        <v>179833160.44</v>
      </c>
      <c r="K137" s="99">
        <v>72000000</v>
      </c>
      <c r="L137" s="99">
        <v>57833160.44</v>
      </c>
      <c r="M137" s="99">
        <v>25000000</v>
      </c>
      <c r="N137" s="99">
        <v>25000000</v>
      </c>
      <c r="O137" s="99">
        <v>14666666</v>
      </c>
      <c r="P137" s="99">
        <v>14666666</v>
      </c>
      <c r="Q137" s="99">
        <v>14666666</v>
      </c>
      <c r="R137" s="100">
        <v>0.203703694444444</v>
      </c>
      <c r="S137" t="inlineStr">
        <is>
          <t>Lo obligado está por debajo de lo programado en la vigencia</t>
        </is>
      </c>
      <c r="T137" s="101" t="inlineStr">
        <is>
          <t xml:space="preserve"> </t>
        </is>
      </c>
      <c r="U137" s="101" t="inlineStr">
        <is>
          <t xml:space="preserve"> </t>
        </is>
      </c>
      <c r="V137" s="101" t="inlineStr">
        <is>
          <t xml:space="preserve"> </t>
        </is>
      </c>
      <c r="W137" s="102" t="inlineStr">
        <is>
          <t xml:space="preserve"> </t>
        </is>
      </c>
      <c r="X137" t="inlineStr">
        <is>
          <t>No se encontró ejecución en CUIPO</t>
        </is>
      </c>
    </row>
    <row r="138">
      <c r="A138" t="inlineStr">
        <is>
          <t>IP-428, IP-429, IP-430, IP-431, IP-433</t>
        </is>
      </c>
      <c r="B138" t="inlineStr">
        <is>
          <t>22</t>
        </is>
      </c>
      <c r="C138" t="inlineStr">
        <is>
          <t>Educación</t>
        </is>
      </c>
      <c r="D138" t="inlineStr">
        <is>
          <t>2201</t>
        </is>
      </c>
      <c r="E138" t="inlineStr">
        <is>
          <t>Calidad, cobertura y fortalecimiento de la educación inicial, prescolar, básica y media</t>
        </is>
      </c>
      <c r="F138" t="inlineStr">
        <is>
          <t>2201017</t>
        </is>
      </c>
      <c r="G138" t="inlineStr">
        <is>
          <t>Servicio de fomento para el acceso a la educación inicial, preescolar, básica y media.</t>
        </is>
      </c>
      <c r="H138" t="inlineStr">
        <is>
          <t xml:space="preserve">Incluye el desarrollo de estrategias para  ampliar la cobertura de la educación  inicial, preescolar, básica y media. </t>
        </is>
      </c>
      <c r="I138" t="inlineStr">
        <is>
          <t>2024251750013</t>
        </is>
      </c>
      <c r="J138" s="99">
        <v>8425100869.67</v>
      </c>
      <c r="K138" s="99">
        <v>1636213882</v>
      </c>
      <c r="L138" s="99">
        <v>1673822039.67</v>
      </c>
      <c r="M138" s="99">
        <v>2408395710</v>
      </c>
      <c r="N138" s="99">
        <v>2706669238</v>
      </c>
      <c r="O138" s="99">
        <v>536214060</v>
      </c>
      <c r="P138" s="99">
        <v>529464060</v>
      </c>
      <c r="Q138" s="99">
        <v>524964060</v>
      </c>
      <c r="R138" s="100">
        <v>0.323590983932258</v>
      </c>
      <c r="S138" t="inlineStr">
        <is>
          <t>Lo obligado está por debajo de lo programado en la vigencia</t>
        </is>
      </c>
      <c r="T138" s="101">
        <v>1021591500</v>
      </c>
      <c r="U138" s="101">
        <v>754472000</v>
      </c>
      <c r="V138" s="101">
        <v>740297000</v>
      </c>
      <c r="W138" s="102">
        <v>0.450748037795432</v>
      </c>
      <c r="X138" t="inlineStr">
        <is>
          <t>Lo obligado está por debajo de lo programado en la vigencia</t>
        </is>
      </c>
    </row>
    <row r="139">
      <c r="A139" t="inlineStr">
        <is>
          <t>IP-432</t>
        </is>
      </c>
      <c r="B139" t="inlineStr">
        <is>
          <t>22</t>
        </is>
      </c>
      <c r="C139" t="inlineStr">
        <is>
          <t>Educación</t>
        </is>
      </c>
      <c r="D139" t="inlineStr">
        <is>
          <t>2201</t>
        </is>
      </c>
      <c r="E139" t="inlineStr">
        <is>
          <t>Calidad, cobertura y fortalecimiento de la educación inicial, prescolar, básica y media</t>
        </is>
      </c>
      <c r="F139" t="inlineStr">
        <is>
          <t>2201047</t>
        </is>
      </c>
      <c r="G139" t="inlineStr">
        <is>
          <t>Servicios de apoyo a la implementación de modelos de innovación educativa</t>
        </is>
      </c>
      <c r="H139" t="inlineStr">
        <is>
          <t>Corresponde a la implementación de ideas, procesos y estrategias de innovación educativa en la educación inicial preescolar básica y media</t>
        </is>
      </c>
      <c r="I139" t="inlineStr">
        <is>
          <t>2024251750013</t>
        </is>
      </c>
      <c r="J139" s="99">
        <v>1656235612</v>
      </c>
      <c r="K139" s="99">
        <v>400000000</v>
      </c>
      <c r="L139" s="99">
        <v>197300000</v>
      </c>
      <c r="M139" s="99">
        <v>499969600</v>
      </c>
      <c r="N139" s="99">
        <v>558966012</v>
      </c>
      <c r="O139" s="99">
        <v>296605979</v>
      </c>
      <c r="P139" s="99">
        <v>296605979</v>
      </c>
      <c r="Q139" s="99">
        <v>296605979</v>
      </c>
      <c r="R139" s="100">
        <v>0.7415149475</v>
      </c>
      <c r="S139" t="inlineStr">
        <is>
          <t>Lo obligado está por debajo de lo programado en la vigencia</t>
        </is>
      </c>
      <c r="T139" s="101" t="inlineStr">
        <is>
          <t xml:space="preserve"> </t>
        </is>
      </c>
      <c r="U139" s="101" t="inlineStr">
        <is>
          <t xml:space="preserve"> </t>
        </is>
      </c>
      <c r="V139" s="101" t="inlineStr">
        <is>
          <t xml:space="preserve"> </t>
        </is>
      </c>
      <c r="W139" s="102" t="inlineStr">
        <is>
          <t xml:space="preserve"> </t>
        </is>
      </c>
      <c r="X139" t="inlineStr">
        <is>
          <t>No se encontró ejecución en CUIPO</t>
        </is>
      </c>
    </row>
    <row r="140">
      <c r="A140" t="inlineStr">
        <is>
          <t>IP-434</t>
        </is>
      </c>
      <c r="B140" t="inlineStr">
        <is>
          <t>22</t>
        </is>
      </c>
      <c r="C140" t="inlineStr">
        <is>
          <t>Educación</t>
        </is>
      </c>
      <c r="D140" t="inlineStr">
        <is>
          <t>2201</t>
        </is>
      </c>
      <c r="E140" t="inlineStr">
        <is>
          <t>Calidad, cobertura y fortalecimiento de la educación inicial, prescolar, básica y media</t>
        </is>
      </c>
      <c r="F140" t="inlineStr">
        <is>
          <t>2201085</t>
        </is>
      </c>
      <c r="G140" t="inlineStr">
        <is>
          <t>Servicio de orientación socio ocupacional</t>
        </is>
      </c>
      <c r="H140" t="inlineStr">
        <is>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is>
      </c>
      <c r="I140" t="inlineStr">
        <is>
          <t>2024251750013</t>
        </is>
      </c>
      <c r="J140" s="99">
        <v>3274505590</v>
      </c>
      <c r="K140" s="99">
        <v>700000000</v>
      </c>
      <c r="L140" s="99">
        <v>754693890</v>
      </c>
      <c r="M140" s="99">
        <v>862470000</v>
      </c>
      <c r="N140" s="99">
        <v>957341700</v>
      </c>
      <c r="O140" s="99">
        <v>397869614</v>
      </c>
      <c r="P140" s="99">
        <v>397869614</v>
      </c>
      <c r="Q140" s="99">
        <v>397869614</v>
      </c>
      <c r="R140" s="100">
        <v>0.568385162857143</v>
      </c>
      <c r="S140" t="inlineStr">
        <is>
          <t>Lo obligado está por debajo de lo programado en la vigencia</t>
        </is>
      </c>
      <c r="T140" s="101">
        <v>594693890</v>
      </c>
      <c r="U140" s="101">
        <v>239499680</v>
      </c>
      <c r="V140" s="101">
        <v>239499680</v>
      </c>
      <c r="W140" s="102">
        <v>0.317346785462911</v>
      </c>
      <c r="X140" t="inlineStr">
        <is>
          <t>Lo obligado está por debajo de lo programado en la vigencia</t>
        </is>
      </c>
    </row>
    <row r="141">
      <c r="A141" t="inlineStr">
        <is>
          <t>IP-435</t>
        </is>
      </c>
      <c r="B141" t="inlineStr">
        <is>
          <t>22</t>
        </is>
      </c>
      <c r="C141" t="inlineStr">
        <is>
          <t>Educación</t>
        </is>
      </c>
      <c r="D141" t="inlineStr">
        <is>
          <t>2201</t>
        </is>
      </c>
      <c r="E141" t="inlineStr">
        <is>
          <t>Calidad, cobertura y fortalecimiento de la educación inicial, prescolar, básica y media</t>
        </is>
      </c>
      <c r="F141" t="inlineStr">
        <is>
          <t>2201004</t>
        </is>
      </c>
      <c r="G141" t="inlineStr">
        <is>
          <t>Documentos normativos</t>
        </is>
      </c>
      <c r="H141" t="inlineStr">
        <is>
          <t>Incluye los documentos para la reglamentación de la política educativa y demás lineamientos técnicos del programa.</t>
        </is>
      </c>
      <c r="I141" t="inlineStr">
        <is>
          <t>2024251750013</t>
        </is>
      </c>
      <c r="J141" s="99">
        <v>628928500</v>
      </c>
      <c r="K141" s="99">
        <v>80000000</v>
      </c>
      <c r="L141" s="99">
        <v>98928500</v>
      </c>
      <c r="M141" s="99">
        <v>200000000</v>
      </c>
      <c r="N141" s="99">
        <v>250000000</v>
      </c>
      <c r="O141" s="99" t="inlineStr">
        <is>
          <t xml:space="preserve"> </t>
        </is>
      </c>
      <c r="P141" s="99" t="inlineStr">
        <is>
          <t xml:space="preserve"> </t>
        </is>
      </c>
      <c r="Q141" s="99" t="inlineStr">
        <is>
          <t xml:space="preserve"> </t>
        </is>
      </c>
      <c r="R141" s="100" t="inlineStr">
        <is>
          <t xml:space="preserve"> </t>
        </is>
      </c>
      <c r="S141" t="inlineStr">
        <is>
          <t>No se encontró ejecución en CUIPO</t>
        </is>
      </c>
      <c r="T141" s="101">
        <v>86500000</v>
      </c>
      <c r="U141" s="101">
        <v>44000000</v>
      </c>
      <c r="V141" s="101">
        <v>44000000</v>
      </c>
      <c r="W141" s="102">
        <v>0.444765664090732</v>
      </c>
      <c r="X141" t="inlineStr">
        <is>
          <t>Lo obligado está por debajo de lo programado en la vigencia</t>
        </is>
      </c>
    </row>
    <row r="142">
      <c r="A142" t="inlineStr">
        <is>
          <t>IP-436</t>
        </is>
      </c>
      <c r="B142" t="inlineStr">
        <is>
          <t>22</t>
        </is>
      </c>
      <c r="C142" t="inlineStr">
        <is>
          <t>Educación</t>
        </is>
      </c>
      <c r="D142" t="inlineStr">
        <is>
          <t>2201</t>
        </is>
      </c>
      <c r="E142" t="inlineStr">
        <is>
          <t>Calidad, cobertura y fortalecimiento de la educación inicial, prescolar, básica y media</t>
        </is>
      </c>
      <c r="F142" t="inlineStr">
        <is>
          <t>2201074</t>
        </is>
      </c>
      <c r="G142" t="inlineStr">
        <is>
          <t>Servicio de fortalecimiento a las capacidades de los docentes de educación Inicial, preescolar, básica y media</t>
        </is>
      </c>
      <c r="H142" t="inlineStr">
        <is>
          <t>Incluye el apoyo prestado a docentes, directivos docentes y agentes educativos para la realización de estudios en los diferentes niveles educativos con el fin de que estos fortalezcan sus capacidades.</t>
        </is>
      </c>
      <c r="I142" t="inlineStr">
        <is>
          <t>2024251750013</t>
        </is>
      </c>
      <c r="J142" s="99">
        <v>1361622588</v>
      </c>
      <c r="K142" s="99">
        <v>380000000</v>
      </c>
      <c r="L142" s="99">
        <v>399293500</v>
      </c>
      <c r="M142" s="99">
        <v>298968214</v>
      </c>
      <c r="N142" s="99">
        <v>283360874</v>
      </c>
      <c r="O142" s="99">
        <v>114960248</v>
      </c>
      <c r="P142" s="99">
        <v>105651278</v>
      </c>
      <c r="Q142" s="99">
        <v>105651278</v>
      </c>
      <c r="R142" s="100">
        <v>0.278029678947368</v>
      </c>
      <c r="S142" t="inlineStr">
        <is>
          <t>Lo obligado está por debajo de lo programado en la vigencia</t>
        </is>
      </c>
      <c r="T142" s="101">
        <v>50820000</v>
      </c>
      <c r="U142" s="101">
        <v>32340000</v>
      </c>
      <c r="V142" s="101">
        <v>32340000</v>
      </c>
      <c r="W142" s="102">
        <v>0.080993053981595</v>
      </c>
      <c r="X142" t="inlineStr">
        <is>
          <t>Lo obligado está por debajo de lo programado en la vigencia</t>
        </is>
      </c>
    </row>
    <row r="143">
      <c r="A143" t="inlineStr">
        <is>
          <t>IP-437</t>
        </is>
      </c>
      <c r="B143" t="inlineStr">
        <is>
          <t>22</t>
        </is>
      </c>
      <c r="C143" t="inlineStr">
        <is>
          <t>Educación</t>
        </is>
      </c>
      <c r="D143" t="inlineStr">
        <is>
          <t>2201</t>
        </is>
      </c>
      <c r="E143" t="inlineStr">
        <is>
          <t>Calidad, cobertura y fortalecimiento de la educación inicial, prescolar, básica y media</t>
        </is>
      </c>
      <c r="F143" t="inlineStr">
        <is>
          <t>2201071</t>
        </is>
      </c>
      <c r="G143" t="inlineStr">
        <is>
          <t>Servicio educativo</t>
        </is>
      </c>
      <c r="H143"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143" t="inlineStr">
        <is>
          <t>2024251750013</t>
        </is>
      </c>
      <c r="J143" s="99">
        <v>60928334383</v>
      </c>
      <c r="K143" s="99">
        <v>16693048305</v>
      </c>
      <c r="L143" s="99">
        <v>0</v>
      </c>
      <c r="M143" s="99">
        <v>20703544900</v>
      </c>
      <c r="N143" s="99">
        <v>23531741178</v>
      </c>
      <c r="O143" s="99">
        <v>6107140066</v>
      </c>
      <c r="P143" s="99">
        <v>5099367154</v>
      </c>
      <c r="Q143" s="99">
        <v>4822937464</v>
      </c>
      <c r="R143" s="100">
        <v>0.305478487860878</v>
      </c>
      <c r="S143" t="inlineStr">
        <is>
          <t>Lo obligado está por debajo de lo programado en la vigencia</t>
        </is>
      </c>
      <c r="T143" s="101">
        <v>18329082107</v>
      </c>
      <c r="U143" s="101">
        <v>14689472869</v>
      </c>
      <c r="V143" s="101">
        <v>14377996490</v>
      </c>
      <c r="W143" s="102" t="inlineStr">
        <is>
          <t xml:space="preserve"> </t>
        </is>
      </c>
      <c r="X143" t="inlineStr">
        <is>
          <t>Se ejecutó un producto no programado en la vigencia</t>
        </is>
      </c>
    </row>
    <row r="144">
      <c r="A144" t="inlineStr">
        <is>
          <t>IP-438</t>
        </is>
      </c>
      <c r="B144" t="inlineStr">
        <is>
          <t>22</t>
        </is>
      </c>
      <c r="C144" t="inlineStr">
        <is>
          <t>Educación</t>
        </is>
      </c>
      <c r="D144" t="inlineStr">
        <is>
          <t>2201</t>
        </is>
      </c>
      <c r="E144" t="inlineStr">
        <is>
          <t>Calidad, cobertura y fortalecimiento de la educación inicial, prescolar, básica y media</t>
        </is>
      </c>
      <c r="F144" t="inlineStr">
        <is>
          <t>2201038</t>
        </is>
      </c>
      <c r="G144" t="inlineStr">
        <is>
          <t>Servicio de docencia escolar</t>
        </is>
      </c>
      <c r="H144" t="inlineStr">
        <is>
          <t>Incluye los pagos de la nómina personal docente y directivos docentes incluidos los gastos inherentes a la nómina como los aportes patronales y parafiscales.</t>
        </is>
      </c>
      <c r="I144" t="inlineStr">
        <is>
          <t>2024251750013</t>
        </is>
      </c>
      <c r="J144" s="99">
        <v>365356914995.73</v>
      </c>
      <c r="K144" s="99">
        <v>71165100669</v>
      </c>
      <c r="L144" s="99">
        <v>105609805258.73</v>
      </c>
      <c r="M144" s="99">
        <v>88262480889</v>
      </c>
      <c r="N144" s="99">
        <v>100319528179</v>
      </c>
      <c r="O144" s="99">
        <v>35265696871</v>
      </c>
      <c r="P144" s="99">
        <v>35265696871</v>
      </c>
      <c r="Q144" s="99">
        <v>34859265097</v>
      </c>
      <c r="R144" s="100">
        <v>0.495547628535316</v>
      </c>
      <c r="S144" t="inlineStr">
        <is>
          <t>Lo obligado está por debajo de lo programado en la vigencia</t>
        </is>
      </c>
      <c r="T144" s="101">
        <v>52234767386</v>
      </c>
      <c r="U144" s="101">
        <v>52234767386</v>
      </c>
      <c r="V144" s="101">
        <v>51887537415</v>
      </c>
      <c r="W144" s="102">
        <v>0.49460149328021</v>
      </c>
      <c r="X144" t="inlineStr">
        <is>
          <t>Lo obligado está por debajo de lo programado en la vigencia</t>
        </is>
      </c>
    </row>
    <row r="145">
      <c r="A145" t="inlineStr">
        <is>
          <t>IP-439</t>
        </is>
      </c>
      <c r="B145" t="inlineStr">
        <is>
          <t>22</t>
        </is>
      </c>
      <c r="C145" t="inlineStr">
        <is>
          <t>Educación</t>
        </is>
      </c>
      <c r="D145" t="inlineStr">
        <is>
          <t>2201</t>
        </is>
      </c>
      <c r="E145" t="inlineStr">
        <is>
          <t>Calidad, cobertura y fortalecimiento de la educación inicial, prescolar, básica y media</t>
        </is>
      </c>
      <c r="F145" t="inlineStr">
        <is>
          <t>2201062</t>
        </is>
      </c>
      <c r="G145" t="inlineStr">
        <is>
          <t>Infraestructura educativa mantenida</t>
        </is>
      </c>
      <c r="H145" t="inlineStr">
        <is>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is>
      </c>
      <c r="I145" t="inlineStr">
        <is>
          <t>2024251750008</t>
        </is>
      </c>
      <c r="J145" s="99">
        <v>27525073227</v>
      </c>
      <c r="K145" s="99">
        <v>968499169</v>
      </c>
      <c r="L145" s="99">
        <v>7405586936</v>
      </c>
      <c r="M145" s="99">
        <v>16204119297</v>
      </c>
      <c r="N145" s="99">
        <v>2946867825</v>
      </c>
      <c r="O145" s="99">
        <v>508133608</v>
      </c>
      <c r="P145" s="99">
        <v>0</v>
      </c>
      <c r="Q145" s="99">
        <v>0</v>
      </c>
      <c r="R145" s="100">
        <v>0</v>
      </c>
      <c r="S145" t="inlineStr">
        <is>
          <t>No se ejecutó en la vigencia</t>
        </is>
      </c>
      <c r="T145" s="101">
        <v>543987501</v>
      </c>
      <c r="U145" s="101">
        <v>295170676</v>
      </c>
      <c r="V145" s="101">
        <v>273823546</v>
      </c>
      <c r="W145" s="102">
        <v>0.039857836867071</v>
      </c>
      <c r="X145" t="inlineStr">
        <is>
          <t>Lo obligado está por debajo de lo programado en la vigencia</t>
        </is>
      </c>
    </row>
    <row r="146">
      <c r="A146" t="inlineStr">
        <is>
          <t>IP-440</t>
        </is>
      </c>
      <c r="B146" t="inlineStr">
        <is>
          <t>22</t>
        </is>
      </c>
      <c r="C146" t="inlineStr">
        <is>
          <t>Educación</t>
        </is>
      </c>
      <c r="D146" t="inlineStr">
        <is>
          <t>2201</t>
        </is>
      </c>
      <c r="E146" t="inlineStr">
        <is>
          <t>Calidad, cobertura y fortalecimiento de la educación inicial, prescolar, básica y media</t>
        </is>
      </c>
      <c r="F146" t="inlineStr">
        <is>
          <t>2201039</t>
        </is>
      </c>
      <c r="G146" t="inlineStr">
        <is>
          <t>Estudios y diseños de infraestructura educativa</t>
        </is>
      </c>
      <c r="H146" t="inlineStr">
        <is>
          <t>Corresponde a todos los productos relacionados a la etapa de preinversión en infraestructura, como son estudios de factibilidad, diseños arquitectónicos, planos, estudio de suelos y otros estudios y/o instrumentos similares.</t>
        </is>
      </c>
      <c r="I146" t="inlineStr">
        <is>
          <t>2024251750077</t>
        </is>
      </c>
      <c r="J146" s="99">
        <v>1000000000</v>
      </c>
      <c r="K146" s="99">
        <v>1000000000</v>
      </c>
      <c r="L146" s="99">
        <v>0</v>
      </c>
      <c r="M146" s="99">
        <v>0</v>
      </c>
      <c r="N146" s="99">
        <v>0</v>
      </c>
      <c r="O146" s="99" t="inlineStr">
        <is>
          <t xml:space="preserve"> </t>
        </is>
      </c>
      <c r="P146" s="99" t="inlineStr">
        <is>
          <t xml:space="preserve"> </t>
        </is>
      </c>
      <c r="Q146" s="99" t="inlineStr">
        <is>
          <t xml:space="preserve"> </t>
        </is>
      </c>
      <c r="R146" s="100" t="inlineStr">
        <is>
          <t xml:space="preserve"> </t>
        </is>
      </c>
      <c r="S146" t="inlineStr">
        <is>
          <t>No se encontró ejecución en CUIPO</t>
        </is>
      </c>
      <c r="T146" s="101" t="inlineStr">
        <is>
          <t xml:space="preserve"> </t>
        </is>
      </c>
      <c r="U146" s="101" t="inlineStr">
        <is>
          <t xml:space="preserve"> </t>
        </is>
      </c>
      <c r="V146" s="101" t="inlineStr">
        <is>
          <t xml:space="preserve"> </t>
        </is>
      </c>
      <c r="W146" s="102" t="inlineStr">
        <is>
          <t xml:space="preserve"> </t>
        </is>
      </c>
      <c r="X146" t="inlineStr">
        <is>
          <t>No se encontró ejecución en CUIPO</t>
        </is>
      </c>
    </row>
    <row r="147">
      <c r="A147" t="inlineStr">
        <is>
          <t>IP-441</t>
        </is>
      </c>
      <c r="B147" t="inlineStr">
        <is>
          <t>22</t>
        </is>
      </c>
      <c r="C147" t="inlineStr">
        <is>
          <t>Educación</t>
        </is>
      </c>
      <c r="D147" t="inlineStr">
        <is>
          <t>2201</t>
        </is>
      </c>
      <c r="E147" t="inlineStr">
        <is>
          <t>Calidad, cobertura y fortalecimiento de la educación inicial, prescolar, básica y media</t>
        </is>
      </c>
      <c r="F147" t="inlineStr">
        <is>
          <t>2201051</t>
        </is>
      </c>
      <c r="G147" t="inlineStr">
        <is>
          <t>Infraestructura educativa construida</t>
        </is>
      </c>
      <c r="H147"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47" t="inlineStr">
        <is>
          <t/>
        </is>
      </c>
      <c r="J147" s="99">
        <v>35000000000</v>
      </c>
      <c r="K147" s="99">
        <v>0</v>
      </c>
      <c r="L147" s="99">
        <v>0</v>
      </c>
      <c r="M147" s="99">
        <v>15000000000</v>
      </c>
      <c r="N147" s="99">
        <v>20000000000</v>
      </c>
      <c r="O147" s="99" t="inlineStr">
        <is>
          <t xml:space="preserve"> </t>
        </is>
      </c>
      <c r="P147" s="99" t="inlineStr">
        <is>
          <t xml:space="preserve"> </t>
        </is>
      </c>
      <c r="Q147" s="99" t="inlineStr">
        <is>
          <t xml:space="preserve"> </t>
        </is>
      </c>
      <c r="R147" s="100" t="inlineStr">
        <is>
          <t xml:space="preserve"> </t>
        </is>
      </c>
      <c r="S147" t="inlineStr">
        <is>
          <t>Por falta de código BPIN, no se encontró ejecución en CUIPO</t>
        </is>
      </c>
      <c r="T147" s="101" t="inlineStr">
        <is>
          <t xml:space="preserve"> </t>
        </is>
      </c>
      <c r="U147" s="101" t="inlineStr">
        <is>
          <t xml:space="preserve"> </t>
        </is>
      </c>
      <c r="V147" s="101" t="inlineStr">
        <is>
          <t xml:space="preserve"> </t>
        </is>
      </c>
      <c r="W147" s="102" t="inlineStr">
        <is>
          <t xml:space="preserve"> </t>
        </is>
      </c>
      <c r="X147" t="inlineStr">
        <is>
          <t>Por falta de código BPIN, no se encontró ejecución en CUIPO</t>
        </is>
      </c>
    </row>
    <row r="148">
      <c r="A148" t="inlineStr">
        <is>
          <t>IP-442</t>
        </is>
      </c>
      <c r="B148" t="inlineStr">
        <is>
          <t>22</t>
        </is>
      </c>
      <c r="C148" t="inlineStr">
        <is>
          <t>Educación</t>
        </is>
      </c>
      <c r="D148" t="inlineStr">
        <is>
          <t>2201</t>
        </is>
      </c>
      <c r="E148" t="inlineStr">
        <is>
          <t>Calidad, cobertura y fortalecimiento de la educación inicial, prescolar, básica y media</t>
        </is>
      </c>
      <c r="F148" t="inlineStr">
        <is>
          <t>2201051</t>
        </is>
      </c>
      <c r="G148" t="inlineStr">
        <is>
          <t>Infraestructura educativa construida</t>
        </is>
      </c>
      <c r="H148"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48" t="inlineStr">
        <is>
          <t>2018251750012</t>
        </is>
      </c>
      <c r="J148" s="99">
        <v>8246814879</v>
      </c>
      <c r="K148" s="99">
        <v>3996814879</v>
      </c>
      <c r="L148" s="99">
        <v>4250000000</v>
      </c>
      <c r="M148" s="99">
        <v>0</v>
      </c>
      <c r="N148" s="99">
        <v>0</v>
      </c>
      <c r="O148" s="99">
        <v>4996814832</v>
      </c>
      <c r="P148" s="99">
        <v>4177075999</v>
      </c>
      <c r="Q148" s="99">
        <v>4177075999</v>
      </c>
      <c r="R148" s="100">
        <v>1.04510119318939</v>
      </c>
      <c r="S148" t="inlineStr">
        <is>
          <t>Hubo ejecución por encima de lo programado en SisPT</t>
        </is>
      </c>
      <c r="T148" s="101">
        <v>8004901680</v>
      </c>
      <c r="U148" s="101">
        <v>6535635462</v>
      </c>
      <c r="V148" s="101">
        <v>6535635462</v>
      </c>
      <c r="W148" s="102">
        <v>1.53779657929412</v>
      </c>
      <c r="X148" t="inlineStr">
        <is>
          <t>Hubo ejecución por encima de lo programado en SisPT</t>
        </is>
      </c>
    </row>
    <row r="149">
      <c r="A149" t="inlineStr">
        <is>
          <t>IP-443</t>
        </is>
      </c>
      <c r="B149" t="inlineStr">
        <is>
          <t>22</t>
        </is>
      </c>
      <c r="C149" t="inlineStr">
        <is>
          <t>Educación</t>
        </is>
      </c>
      <c r="D149" t="inlineStr">
        <is>
          <t>2201</t>
        </is>
      </c>
      <c r="E149" t="inlineStr">
        <is>
          <t>Calidad, cobertura y fortalecimiento de la educación inicial, prescolar, básica y media</t>
        </is>
      </c>
      <c r="F149" t="inlineStr">
        <is>
          <t>2201051</t>
        </is>
      </c>
      <c r="G149" t="inlineStr">
        <is>
          <t>Infraestructura educativa construida</t>
        </is>
      </c>
      <c r="H149"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49" t="inlineStr">
        <is>
          <t>2019251750005</t>
        </is>
      </c>
      <c r="J149" s="99">
        <v>31197459278</v>
      </c>
      <c r="K149" s="99">
        <v>12780193737</v>
      </c>
      <c r="L149" s="99">
        <v>18417265541</v>
      </c>
      <c r="M149" s="99">
        <v>0</v>
      </c>
      <c r="N149" s="99">
        <v>0</v>
      </c>
      <c r="O149" s="99">
        <v>0</v>
      </c>
      <c r="P149" s="99">
        <v>0</v>
      </c>
      <c r="Q149" s="99">
        <v>0</v>
      </c>
      <c r="R149" s="100">
        <v>0</v>
      </c>
      <c r="S149" t="inlineStr">
        <is>
          <t>No se ejecutó en la vigencia</t>
        </is>
      </c>
      <c r="T149" s="101">
        <v>4900308692</v>
      </c>
      <c r="U149" s="101">
        <v>0</v>
      </c>
      <c r="V149" s="101">
        <v>0</v>
      </c>
      <c r="W149" s="102">
        <v>0</v>
      </c>
      <c r="X149" t="inlineStr">
        <is>
          <t>No se ejecutó en la vigencia</t>
        </is>
      </c>
    </row>
    <row r="150">
      <c r="A150" t="inlineStr">
        <is>
          <t>IP-444</t>
        </is>
      </c>
      <c r="B150" t="inlineStr">
        <is>
          <t>22</t>
        </is>
      </c>
      <c r="C150" t="inlineStr">
        <is>
          <t>Educación</t>
        </is>
      </c>
      <c r="D150" t="inlineStr">
        <is>
          <t>2202</t>
        </is>
      </c>
      <c r="E150" t="inlineStr">
        <is>
          <t>Calidad y fomento de la educación superior</t>
        </is>
      </c>
      <c r="F150" t="inlineStr">
        <is>
          <t>2202079</t>
        </is>
      </c>
      <c r="G150" t="inlineStr">
        <is>
          <t xml:space="preserve">Servicio de apoyo para la permanencia a la educación superior </t>
        </is>
      </c>
      <c r="H150" t="inlineStr">
        <is>
          <t xml:space="preserve">Incluye la implementación de estrategias para fortalecer las acciones de retención estudiantil de la población matriculada en la educación superior </t>
        </is>
      </c>
      <c r="I150" t="inlineStr">
        <is>
          <t>2024251750009</t>
        </is>
      </c>
      <c r="J150" s="99">
        <v>31239623356.9</v>
      </c>
      <c r="K150" s="99">
        <v>9743241315</v>
      </c>
      <c r="L150" s="99">
        <v>6562668467.9</v>
      </c>
      <c r="M150" s="99">
        <v>7197799200</v>
      </c>
      <c r="N150" s="99">
        <v>7735914374</v>
      </c>
      <c r="O150" s="99">
        <v>2983535716</v>
      </c>
      <c r="P150" s="99">
        <v>2983535716</v>
      </c>
      <c r="Q150" s="99">
        <v>2983535716</v>
      </c>
      <c r="R150" s="100">
        <v>0.306215931592165</v>
      </c>
      <c r="S150" t="inlineStr">
        <is>
          <t>Lo obligado está por debajo de lo programado en la vigencia</t>
        </is>
      </c>
      <c r="T150" s="101">
        <v>4530786295</v>
      </c>
      <c r="U150" s="101">
        <v>3922737767</v>
      </c>
      <c r="V150" s="101">
        <v>3922737767</v>
      </c>
      <c r="W150" s="102">
        <v>0.597735172237833</v>
      </c>
      <c r="X150" t="inlineStr">
        <is>
          <t>Lo obligado está por debajo de lo programado en la vigencia</t>
        </is>
      </c>
    </row>
    <row r="151">
      <c r="A151" t="inlineStr">
        <is>
          <t>IP-445</t>
        </is>
      </c>
      <c r="B151" t="inlineStr">
        <is>
          <t>22</t>
        </is>
      </c>
      <c r="C151" t="inlineStr">
        <is>
          <t>Educación</t>
        </is>
      </c>
      <c r="D151" t="inlineStr">
        <is>
          <t>2202</t>
        </is>
      </c>
      <c r="E151" t="inlineStr">
        <is>
          <t>Calidad y fomento de la educación superior</t>
        </is>
      </c>
      <c r="F151" t="inlineStr">
        <is>
          <t>2202062</t>
        </is>
      </c>
      <c r="G151" t="inlineStr">
        <is>
          <t xml:space="preserve">Servicio de fomento para el acceso a la educación superior </t>
        </is>
      </c>
      <c r="H151" t="inlineStr">
        <is>
          <t xml:space="preserve">Incluye el desarrollo de estrategias diferentes a las de apoyo financiero para el acceso a educación superior
</t>
        </is>
      </c>
      <c r="I151" t="inlineStr">
        <is>
          <t>2024251750009</t>
        </is>
      </c>
      <c r="J151" s="99">
        <v>100000000</v>
      </c>
      <c r="K151" s="99">
        <v>0</v>
      </c>
      <c r="L151" s="99">
        <v>0</v>
      </c>
      <c r="M151" s="99">
        <v>50000000</v>
      </c>
      <c r="N151" s="99">
        <v>50000000</v>
      </c>
      <c r="O151" s="99" t="inlineStr">
        <is>
          <t xml:space="preserve"> </t>
        </is>
      </c>
      <c r="P151" s="99" t="inlineStr">
        <is>
          <t xml:space="preserve"> </t>
        </is>
      </c>
      <c r="Q151" s="99" t="inlineStr">
        <is>
          <t xml:space="preserve"> </t>
        </is>
      </c>
      <c r="R151" s="100" t="inlineStr">
        <is>
          <t xml:space="preserve"> </t>
        </is>
      </c>
      <c r="S151" t="inlineStr">
        <is>
          <t>No se encontró ejecución en CUIPO</t>
        </is>
      </c>
      <c r="T151" s="101" t="inlineStr">
        <is>
          <t xml:space="preserve"> </t>
        </is>
      </c>
      <c r="U151" s="101" t="inlineStr">
        <is>
          <t xml:space="preserve"> </t>
        </is>
      </c>
      <c r="V151" s="101" t="inlineStr">
        <is>
          <t xml:space="preserve"> </t>
        </is>
      </c>
      <c r="W151" s="102" t="inlineStr">
        <is>
          <t xml:space="preserve"> </t>
        </is>
      </c>
      <c r="X151" t="inlineStr">
        <is>
          <t>No se encontró ejecución en CUIPO</t>
        </is>
      </c>
    </row>
    <row r="152">
      <c r="A152" t="inlineStr">
        <is>
          <t>IP-446</t>
        </is>
      </c>
      <c r="B152" t="inlineStr">
        <is>
          <t>23</t>
        </is>
      </c>
      <c r="C152" t="inlineStr">
        <is>
          <t>Tecnologías de la información y las comunicaciones</t>
        </is>
      </c>
      <c r="D152" t="inlineStr">
        <is>
          <t>2301</t>
        </is>
      </c>
      <c r="E152" t="inlineStr">
        <is>
          <t>Facilitar el acceso y uso de las Tecnologías de la Información y las Comunicaciones (TIC) en todo el territorio nacional</t>
        </is>
      </c>
      <c r="F152" t="inlineStr">
        <is>
          <t>2301024</t>
        </is>
      </c>
      <c r="G152" t="inlineStr">
        <is>
          <t>Servicio de acceso y uso de Tecnologías de la Información y las Comunicaciones</t>
        </is>
      </c>
      <c r="H152" t="inlineStr">
        <is>
          <t>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t>
        </is>
      </c>
      <c r="I152" t="inlineStr">
        <is>
          <t>2024251750010</t>
        </is>
      </c>
      <c r="J152" s="99">
        <v>2756224582</v>
      </c>
      <c r="K152" s="99">
        <v>363783799</v>
      </c>
      <c r="L152" s="99">
        <v>849571207</v>
      </c>
      <c r="M152" s="99">
        <v>745347622</v>
      </c>
      <c r="N152" s="99">
        <v>797521954</v>
      </c>
      <c r="O152" s="99">
        <v>305800864</v>
      </c>
      <c r="P152" s="99">
        <v>305800864</v>
      </c>
      <c r="Q152" s="99">
        <v>231925079</v>
      </c>
      <c r="R152" s="100">
        <v>0.840611552357778</v>
      </c>
      <c r="S152" t="inlineStr">
        <is>
          <t>Lo obligado está por debajo de lo programado en la vigencia</t>
        </is>
      </c>
      <c r="T152" s="101">
        <v>727983800</v>
      </c>
      <c r="U152" s="101">
        <v>491611950</v>
      </c>
      <c r="V152" s="101">
        <v>491611950</v>
      </c>
      <c r="W152" s="102">
        <v>0.578658911636114</v>
      </c>
      <c r="X152" t="inlineStr">
        <is>
          <t>Lo obligado está por debajo de lo programado en la vigencia</t>
        </is>
      </c>
    </row>
    <row r="153">
      <c r="A153" t="inlineStr">
        <is>
          <t>IP-447</t>
        </is>
      </c>
      <c r="B153" t="inlineStr">
        <is>
          <t>23</t>
        </is>
      </c>
      <c r="C153" t="inlineStr">
        <is>
          <t>Tecnologías de la información y las comunicaciones</t>
        </is>
      </c>
      <c r="D153" t="inlineStr">
        <is>
          <t>2301</t>
        </is>
      </c>
      <c r="E153" t="inlineStr">
        <is>
          <t>Facilitar el acceso y uso de las Tecnologías de la Información y las Comunicaciones (TIC) en todo el territorio nacional</t>
        </is>
      </c>
      <c r="F153" t="inlineStr">
        <is>
          <t>2301005</t>
        </is>
      </c>
      <c r="G153" t="inlineStr">
        <is>
          <t>Documentos de seguimiento</t>
        </is>
      </c>
      <c r="H153" t="inlineStr">
        <is>
          <t xml:space="preserve">Documentos que reflejan el monitoreo y seguimiento realizado a planes, programas, proyectos, iniciativas, así como a la prestacion de los servicios de Tecnologías de la Información y las comunicaciones. </t>
        </is>
      </c>
      <c r="I153" t="inlineStr">
        <is>
          <t>2024251750010</t>
        </is>
      </c>
      <c r="J153" s="99">
        <v>510087671</v>
      </c>
      <c r="K153" s="99">
        <v>80000000</v>
      </c>
      <c r="L153" s="99">
        <v>77000000</v>
      </c>
      <c r="M153" s="99">
        <v>150000000</v>
      </c>
      <c r="N153" s="99">
        <v>203087671</v>
      </c>
      <c r="O153" s="99">
        <v>30916672</v>
      </c>
      <c r="P153" s="99">
        <v>30916672</v>
      </c>
      <c r="Q153" s="99">
        <v>30916672</v>
      </c>
      <c r="R153" s="100">
        <v>0.3864584</v>
      </c>
      <c r="S153" t="inlineStr">
        <is>
          <t>Lo obligado está por debajo de lo programado en la vigencia</t>
        </is>
      </c>
      <c r="T153" s="101">
        <v>77000000</v>
      </c>
      <c r="U153" s="101">
        <v>49000000</v>
      </c>
      <c r="V153" s="101">
        <v>49000000</v>
      </c>
      <c r="W153" s="102">
        <v>0.636363636363636</v>
      </c>
      <c r="X153" t="inlineStr">
        <is>
          <t>Lo obligado está por debajo de lo programado en la vigencia</t>
        </is>
      </c>
    </row>
    <row r="154">
      <c r="A154" t="inlineStr">
        <is>
          <t>IP-448</t>
        </is>
      </c>
      <c r="B154" t="inlineStr">
        <is>
          <t>23</t>
        </is>
      </c>
      <c r="C154" t="inlineStr">
        <is>
          <t>Tecnologías de la información y las comunicaciones</t>
        </is>
      </c>
      <c r="D154" t="inlineStr">
        <is>
          <t>2301</t>
        </is>
      </c>
      <c r="E154" t="inlineStr">
        <is>
          <t>Facilitar el acceso y uso de las Tecnologías de la Información y las Comunicaciones (TIC) en todo el territorio nacional</t>
        </is>
      </c>
      <c r="F154" t="inlineStr">
        <is>
          <t>2301079</t>
        </is>
      </c>
      <c r="G154" t="inlineStr">
        <is>
          <t xml:space="preserve"> Servicio de acceso zonas digitales</t>
        </is>
      </c>
      <c r="H154" t="inlineStr">
        <is>
          <t>Corresponde al montaje y puesta en servicio de la zona digital (wifi), medido a través de la cantidad de usuarios (dispositivos a la zona) y la asistencia personalizada y virtual a los mismos.</t>
        </is>
      </c>
      <c r="I154" t="inlineStr">
        <is>
          <t>2024251750010</t>
        </is>
      </c>
      <c r="J154" s="99">
        <v>259994878</v>
      </c>
      <c r="K154" s="99">
        <v>0</v>
      </c>
      <c r="L154" s="99">
        <v>0</v>
      </c>
      <c r="M154" s="99">
        <v>259994878</v>
      </c>
      <c r="N154" s="99">
        <v>0</v>
      </c>
      <c r="O154" s="99" t="inlineStr">
        <is>
          <t xml:space="preserve"> </t>
        </is>
      </c>
      <c r="P154" s="99" t="inlineStr">
        <is>
          <t xml:space="preserve"> </t>
        </is>
      </c>
      <c r="Q154" s="99" t="inlineStr">
        <is>
          <t xml:space="preserve"> </t>
        </is>
      </c>
      <c r="R154" s="100" t="inlineStr">
        <is>
          <t xml:space="preserve"> </t>
        </is>
      </c>
      <c r="S154" t="inlineStr">
        <is>
          <t>No se encontró ejecución en CUIPO</t>
        </is>
      </c>
      <c r="T154" s="101" t="inlineStr">
        <is>
          <t xml:space="preserve"> </t>
        </is>
      </c>
      <c r="U154" s="101" t="inlineStr">
        <is>
          <t xml:space="preserve"> </t>
        </is>
      </c>
      <c r="V154" s="101" t="inlineStr">
        <is>
          <t xml:space="preserve"> </t>
        </is>
      </c>
      <c r="W154" s="102" t="inlineStr">
        <is>
          <t xml:space="preserve"> </t>
        </is>
      </c>
      <c r="X154" t="inlineStr">
        <is>
          <t>No se encontró ejecución en CUIPO</t>
        </is>
      </c>
    </row>
    <row r="155">
      <c r="A155" t="inlineStr">
        <is>
          <t>IP-449</t>
        </is>
      </c>
      <c r="B155" t="inlineStr">
        <is>
          <t>23</t>
        </is>
      </c>
      <c r="C155" t="inlineStr">
        <is>
          <t>Tecnologías de la información y las comunicaciones</t>
        </is>
      </c>
      <c r="D155" t="inlineStr">
        <is>
          <t>2302</t>
        </is>
      </c>
      <c r="E155" t="inlineStr">
        <is>
          <t>Fomento del desarrollo de aplicaciones, software y contenidos para impulsar la apropiación de las Tecnologías de la Información y las Comunicaciones (TIC)</t>
        </is>
      </c>
      <c r="F155" t="inlineStr">
        <is>
          <t>2302003</t>
        </is>
      </c>
      <c r="G155" t="inlineStr">
        <is>
          <t>Desarrollos digitales</t>
        </is>
      </c>
      <c r="H155" t="inlineStr">
        <is>
          <t>Corresponde al proceso de desarrollo de las habilidades digitales de personas naturales o jurídicas.</t>
        </is>
      </c>
      <c r="I155" t="inlineStr">
        <is>
          <t>2024251750019</t>
        </is>
      </c>
      <c r="J155" s="99">
        <v>1343540000</v>
      </c>
      <c r="K155" s="99">
        <v>45129000</v>
      </c>
      <c r="L155" s="99">
        <v>598411000</v>
      </c>
      <c r="M155" s="99">
        <v>350000000</v>
      </c>
      <c r="N155" s="99">
        <v>350000000</v>
      </c>
      <c r="O155" s="99">
        <v>22164176</v>
      </c>
      <c r="P155" s="99">
        <v>22164176</v>
      </c>
      <c r="Q155" s="99">
        <v>22164176</v>
      </c>
      <c r="R155" s="100">
        <v>0.491129340335483</v>
      </c>
      <c r="S155" t="inlineStr">
        <is>
          <t>Lo obligado está por debajo de lo programado en la vigencia</t>
        </is>
      </c>
      <c r="T155" s="101">
        <v>292558314</v>
      </c>
      <c r="U155" s="101">
        <v>268635114</v>
      </c>
      <c r="V155" s="101">
        <v>268635114</v>
      </c>
      <c r="W155" s="102">
        <v>0.448914064079704</v>
      </c>
      <c r="X155" t="inlineStr">
        <is>
          <t>Lo obligado está por debajo de lo programado en la vigencia</t>
        </is>
      </c>
    </row>
    <row r="156">
      <c r="A156" t="inlineStr">
        <is>
          <t>IP-450</t>
        </is>
      </c>
      <c r="B156" t="inlineStr">
        <is>
          <t>23</t>
        </is>
      </c>
      <c r="C156" t="inlineStr">
        <is>
          <t>Tecnologías de la información y las comunicaciones</t>
        </is>
      </c>
      <c r="D156" t="inlineStr">
        <is>
          <t>2302</t>
        </is>
      </c>
      <c r="E156" t="inlineStr">
        <is>
          <t>Fomento del desarrollo de aplicaciones, software y contenidos para impulsar la apropiación de las Tecnologías de la Información y las Comunicaciones (TIC)</t>
        </is>
      </c>
      <c r="F156" t="inlineStr">
        <is>
          <t>2302059</t>
        </is>
      </c>
      <c r="G156" t="inlineStr">
        <is>
          <t>Servicio de educación informal en uso responsable y seguro de las Tecnologías de la Información y las Comunicaciones</t>
        </is>
      </c>
      <c r="H156" t="inlineStr">
        <is>
          <t>Indica la sensibilización de la comunidad y la creación de cursos que buscan tratar el tema de uso responsable de las TIC tanto virtual como presencialmente para todo público.</t>
        </is>
      </c>
      <c r="I156" t="inlineStr">
        <is>
          <t>2024251750019</t>
        </is>
      </c>
      <c r="J156" s="99">
        <v>613890000</v>
      </c>
      <c r="K156" s="99">
        <v>50000000</v>
      </c>
      <c r="L156" s="99">
        <v>443890000</v>
      </c>
      <c r="M156" s="99">
        <v>60000000</v>
      </c>
      <c r="N156" s="99">
        <v>60000000</v>
      </c>
      <c r="O156" s="99">
        <v>0</v>
      </c>
      <c r="P156" s="99">
        <v>0</v>
      </c>
      <c r="Q156" s="99">
        <v>0</v>
      </c>
      <c r="R156" s="100">
        <v>0</v>
      </c>
      <c r="S156" t="inlineStr">
        <is>
          <t>No se ejecutó en la vigencia</t>
        </is>
      </c>
      <c r="T156" s="101">
        <v>43890000</v>
      </c>
      <c r="U156" s="101">
        <v>31920000</v>
      </c>
      <c r="V156" s="101">
        <v>31920000</v>
      </c>
      <c r="W156" s="102">
        <v>0.0719097073599315</v>
      </c>
      <c r="X156" t="inlineStr">
        <is>
          <t>Lo obligado está por debajo de lo programado en la vigencia</t>
        </is>
      </c>
    </row>
    <row r="157">
      <c r="A157" t="inlineStr">
        <is>
          <t>IP-451</t>
        </is>
      </c>
      <c r="B157" t="inlineStr">
        <is>
          <t>23</t>
        </is>
      </c>
      <c r="C157" t="inlineStr">
        <is>
          <t>Tecnologías de la información y las comunicaciones</t>
        </is>
      </c>
      <c r="D157" t="inlineStr">
        <is>
          <t>2302</t>
        </is>
      </c>
      <c r="E157" t="inlineStr">
        <is>
          <t>Fomento del desarrollo de aplicaciones, software y contenidos para impulsar la apropiación de las Tecnologías de la Información y las Comunicaciones (TIC)</t>
        </is>
      </c>
      <c r="F157" t="inlineStr">
        <is>
          <t>2302007</t>
        </is>
      </c>
      <c r="G157" t="inlineStr">
        <is>
          <t>Documentos metodológicos</t>
        </is>
      </c>
      <c r="H157" t="inlineStr">
        <is>
          <t xml:space="preserve">Corresponde a las diferentes estrategias periódicas que se definen para la gestión y acompañamiento a las entidades del orden nacional y territorial en temáticas generales y especializadas respecto a la implementación del Gobierno digital. Comprende también los documentos en los que se establecen metodologías para realizar  talleres de formación para prosumidores. </t>
        </is>
      </c>
      <c r="I157" t="inlineStr">
        <is>
          <t>2024251750019</t>
        </is>
      </c>
      <c r="J157" s="99">
        <v>324036375</v>
      </c>
      <c r="K157" s="99">
        <v>40000000</v>
      </c>
      <c r="L157" s="99">
        <v>89988500</v>
      </c>
      <c r="M157" s="99">
        <v>94657500</v>
      </c>
      <c r="N157" s="99">
        <v>99390375</v>
      </c>
      <c r="O157" s="99">
        <v>34396658</v>
      </c>
      <c r="P157" s="99">
        <v>34396658</v>
      </c>
      <c r="Q157" s="99">
        <v>34396658</v>
      </c>
      <c r="R157" s="100">
        <v>0.85991645</v>
      </c>
      <c r="S157" t="inlineStr">
        <is>
          <t>Lo obligado está por debajo de lo programado en la vigencia</t>
        </is>
      </c>
      <c r="T157" s="101">
        <v>89988500</v>
      </c>
      <c r="U157" s="101">
        <v>58607500</v>
      </c>
      <c r="V157" s="101">
        <v>58607500</v>
      </c>
      <c r="W157" s="102">
        <v>0.651277663256972</v>
      </c>
      <c r="X157" t="inlineStr">
        <is>
          <t>Lo obligado está por debajo de lo programado en la vigencia</t>
        </is>
      </c>
    </row>
    <row r="158">
      <c r="A158" t="inlineStr">
        <is>
          <t>IP-452</t>
        </is>
      </c>
      <c r="B158" t="inlineStr">
        <is>
          <t>39</t>
        </is>
      </c>
      <c r="C158" t="inlineStr">
        <is>
          <t xml:space="preserve">Ciencia, tecnología e innovación
</t>
        </is>
      </c>
      <c r="D158" t="inlineStr">
        <is>
          <t>3905</t>
        </is>
      </c>
      <c r="E158" t="inlineStr">
        <is>
          <t>Fortalecimiento de la gobernanza e institucionalidad multinivel del sector de CTeI</t>
        </is>
      </c>
      <c r="F158" t="inlineStr">
        <is>
          <t>3905006</t>
        </is>
      </c>
      <c r="G158" t="inlineStr">
        <is>
          <t>Documentos de lineamientos técnicos</t>
        </is>
      </c>
      <c r="H158" t="inlineStr">
        <is>
          <t>Documentos cuyo objetivo es describir y explicar instrumentos, estándares, requisitos y condiciones necesarias para llevar a cabo un proceso o actividad</t>
        </is>
      </c>
      <c r="I158" t="inlineStr">
        <is>
          <t>2024251750020</t>
        </is>
      </c>
      <c r="J158" s="99">
        <v>263587201</v>
      </c>
      <c r="K158" s="99">
        <v>113087201</v>
      </c>
      <c r="L158" s="99">
        <v>10500000</v>
      </c>
      <c r="M158" s="99">
        <v>70000000</v>
      </c>
      <c r="N158" s="99">
        <v>70000000</v>
      </c>
      <c r="O158" s="99">
        <v>3520000</v>
      </c>
      <c r="P158" s="99">
        <v>0</v>
      </c>
      <c r="Q158" s="99">
        <v>0</v>
      </c>
      <c r="R158" s="100">
        <v>0</v>
      </c>
      <c r="S158" t="inlineStr">
        <is>
          <t>No se ejecutó en la vigencia</t>
        </is>
      </c>
      <c r="T158" s="101" t="inlineStr">
        <is>
          <t xml:space="preserve"> </t>
        </is>
      </c>
      <c r="U158" s="101" t="inlineStr">
        <is>
          <t xml:space="preserve"> </t>
        </is>
      </c>
      <c r="V158" s="101" t="inlineStr">
        <is>
          <t xml:space="preserve"> </t>
        </is>
      </c>
      <c r="W158" s="102" t="inlineStr">
        <is>
          <t xml:space="preserve"> </t>
        </is>
      </c>
      <c r="X158" t="inlineStr">
        <is>
          <t>No se encontró ejecución en CUIPO</t>
        </is>
      </c>
    </row>
    <row r="159">
      <c r="A159" t="inlineStr">
        <is>
          <t>IP-453</t>
        </is>
      </c>
      <c r="B159" t="inlineStr">
        <is>
          <t>39</t>
        </is>
      </c>
      <c r="C159" t="inlineStr">
        <is>
          <t xml:space="preserve">Ciencia, tecnología e innovación
</t>
        </is>
      </c>
      <c r="D159" t="inlineStr">
        <is>
          <t>3905</t>
        </is>
      </c>
      <c r="E159" t="inlineStr">
        <is>
          <t>Fortalecimiento de la gobernanza e institucionalidad multinivel del sector de CTeI</t>
        </is>
      </c>
      <c r="F159" t="inlineStr">
        <is>
          <t>3905005</t>
        </is>
      </c>
      <c r="G159" t="inlineStr">
        <is>
          <t>Servicio de asistencia técnica</t>
        </is>
      </c>
      <c r="H159" t="inlineStr">
        <is>
          <t>Corresponde al acompañamiento, asesoría y seguimiento técnico en temas de políticas, lineamientos, estrategias, gobernanza y transferencia de herramientas de gestión y conocimiento a entidades nacionales y territoriales, actores del SNCTI, o a grupos de valor, en procedimientos y trámites institucionales de competencia de la entidad.</t>
        </is>
      </c>
      <c r="I159" t="inlineStr">
        <is>
          <t>2024251750020</t>
        </is>
      </c>
      <c r="J159" s="99">
        <v>8018131232</v>
      </c>
      <c r="K159" s="99">
        <v>1150000000</v>
      </c>
      <c r="L159" s="99">
        <v>4848131232</v>
      </c>
      <c r="M159" s="99">
        <v>920000000</v>
      </c>
      <c r="N159" s="99">
        <v>1100000000</v>
      </c>
      <c r="O159" s="99">
        <v>99565985</v>
      </c>
      <c r="P159" s="99">
        <v>49565985</v>
      </c>
      <c r="Q159" s="99">
        <v>49565985</v>
      </c>
      <c r="R159" s="100">
        <v>0.0431008565217391</v>
      </c>
      <c r="S159" t="inlineStr">
        <is>
          <t>Lo obligado está por debajo de lo programado en la vigencia</t>
        </is>
      </c>
      <c r="T159" s="101">
        <v>3549112848</v>
      </c>
      <c r="U159" s="101">
        <v>3478927062</v>
      </c>
      <c r="V159" s="101">
        <v>3478927062</v>
      </c>
      <c r="W159" s="102">
        <v>0.71758104216268</v>
      </c>
      <c r="X159" t="inlineStr">
        <is>
          <t>Lo obligado está por debajo de lo programado en la vigencia</t>
        </is>
      </c>
    </row>
    <row r="160">
      <c r="A160" t="inlineStr">
        <is>
          <t>IP-454</t>
        </is>
      </c>
      <c r="B160" t="inlineStr">
        <is>
          <t>39</t>
        </is>
      </c>
      <c r="C160" t="inlineStr">
        <is>
          <t xml:space="preserve">Ciencia, tecnología e innovación
</t>
        </is>
      </c>
      <c r="D160" t="inlineStr">
        <is>
          <t>3905</t>
        </is>
      </c>
      <c r="E160" t="inlineStr">
        <is>
          <t>Fortalecimiento de la gobernanza e institucionalidad multinivel del sector de CTeI</t>
        </is>
      </c>
      <c r="F160" t="inlineStr">
        <is>
          <t>3905002</t>
        </is>
      </c>
      <c r="G160" t="inlineStr">
        <is>
          <t>Documentos de política</t>
        </is>
      </c>
      <c r="H160" t="inlineStr">
        <is>
          <t xml:space="preserve">Documentos cuyo objetivo es dar una orientación frente a las acciones que el Estado debe realizar en el marco de un tema específico con el fin de suplir necesidades de interés público, materializables en los diferentes instrumentos de planeación y presupuestación                 </t>
        </is>
      </c>
      <c r="I160" t="inlineStr">
        <is>
          <t>2024251750020</t>
        </is>
      </c>
      <c r="J160" s="99">
        <v>555290000</v>
      </c>
      <c r="K160" s="99">
        <v>0</v>
      </c>
      <c r="L160" s="99">
        <v>105290000</v>
      </c>
      <c r="M160" s="99">
        <v>150000000</v>
      </c>
      <c r="N160" s="99">
        <v>300000000</v>
      </c>
      <c r="O160" s="99" t="inlineStr">
        <is>
          <t xml:space="preserve"> </t>
        </is>
      </c>
      <c r="P160" s="99" t="inlineStr">
        <is>
          <t xml:space="preserve"> </t>
        </is>
      </c>
      <c r="Q160" s="99" t="inlineStr">
        <is>
          <t xml:space="preserve"> </t>
        </is>
      </c>
      <c r="R160" s="100" t="inlineStr">
        <is>
          <t xml:space="preserve"> </t>
        </is>
      </c>
      <c r="S160" t="inlineStr">
        <is>
          <t>No se encontró ejecución en CUIPO</t>
        </is>
      </c>
      <c r="T160" s="101" t="inlineStr">
        <is>
          <t xml:space="preserve"> </t>
        </is>
      </c>
      <c r="U160" s="101" t="inlineStr">
        <is>
          <t xml:space="preserve"> </t>
        </is>
      </c>
      <c r="V160" s="101" t="inlineStr">
        <is>
          <t xml:space="preserve"> </t>
        </is>
      </c>
      <c r="W160" s="102" t="inlineStr">
        <is>
          <t xml:space="preserve"> </t>
        </is>
      </c>
      <c r="X160" t="inlineStr">
        <is>
          <t>No se encontró ejecución en CUIPO</t>
        </is>
      </c>
    </row>
    <row r="161">
      <c r="A161" t="inlineStr">
        <is>
          <t>IP-455, IP-456</t>
        </is>
      </c>
      <c r="B161" t="inlineStr">
        <is>
          <t>33</t>
        </is>
      </c>
      <c r="C161" t="inlineStr">
        <is>
          <t>Cultura</t>
        </is>
      </c>
      <c r="D161" t="inlineStr">
        <is>
          <t>3301</t>
        </is>
      </c>
      <c r="E161" t="inlineStr">
        <is>
          <t>Promoción y acceso efectivo a procesos culturales y artísticos</t>
        </is>
      </c>
      <c r="F161" t="inlineStr">
        <is>
          <t>3301087</t>
        </is>
      </c>
      <c r="G161" t="inlineStr">
        <is>
          <t>Servicio de educación informal en áreas artísticas y culturales</t>
        </is>
      </c>
      <c r="H161" t="inlineStr">
        <is>
          <t>Oferta educativa entregada  a la ciudadanía con el fin de fortalecer sus capacidades en diferentes disciplinas artísticas como la música, la danza, la lectura, entre otros.</t>
        </is>
      </c>
      <c r="I161" t="inlineStr">
        <is>
          <t>2024251750043</t>
        </is>
      </c>
      <c r="J161" s="99">
        <v>16891693824.1</v>
      </c>
      <c r="K161" s="99">
        <v>3171191632</v>
      </c>
      <c r="L161" s="99">
        <v>6374213184.1</v>
      </c>
      <c r="M161" s="99">
        <v>3700000000</v>
      </c>
      <c r="N161" s="99">
        <v>3646289008</v>
      </c>
      <c r="O161" s="99">
        <v>1255233913</v>
      </c>
      <c r="P161" s="99">
        <v>1250433913</v>
      </c>
      <c r="Q161" s="99">
        <v>1176857773</v>
      </c>
      <c r="R161" s="100">
        <v>0.394310422738906</v>
      </c>
      <c r="S161" t="inlineStr">
        <is>
          <t>Lo obligado está por debajo de lo programado en la vigencia</t>
        </is>
      </c>
      <c r="T161" s="101">
        <v>4429674454</v>
      </c>
      <c r="U161" s="101">
        <v>2985860107</v>
      </c>
      <c r="V161" s="101">
        <v>2950191607</v>
      </c>
      <c r="W161" s="102">
        <v>0.468428027234484</v>
      </c>
      <c r="X161" t="inlineStr">
        <is>
          <t>Lo obligado está por debajo de lo programado en la vigencia</t>
        </is>
      </c>
    </row>
    <row r="162">
      <c r="A162" t="inlineStr">
        <is>
          <t>IP-457</t>
        </is>
      </c>
      <c r="B162" t="inlineStr">
        <is>
          <t>33</t>
        </is>
      </c>
      <c r="C162" t="inlineStr">
        <is>
          <t>Cultura</t>
        </is>
      </c>
      <c r="D162" t="inlineStr">
        <is>
          <t>3301</t>
        </is>
      </c>
      <c r="E162" t="inlineStr">
        <is>
          <t>Promoción y acceso efectivo a procesos culturales y artísticos</t>
        </is>
      </c>
      <c r="F162" t="inlineStr">
        <is>
          <t>3301090</t>
        </is>
      </c>
      <c r="G162" t="inlineStr">
        <is>
          <t>Centros culturales adecuados</t>
        </is>
      </c>
      <c r="H162" t="inlineStr">
        <is>
          <t>Cambio del uso de la infraestructura cultural o parte de ella, garantizando la permanencia del inmueble original.</t>
        </is>
      </c>
      <c r="I162" t="inlineStr">
        <is>
          <t>2024251750043</t>
        </is>
      </c>
      <c r="J162" s="99">
        <v>4455237269</v>
      </c>
      <c r="K162" s="99">
        <v>1520300000</v>
      </c>
      <c r="L162" s="99">
        <v>1245446454</v>
      </c>
      <c r="M162" s="99">
        <v>823211080</v>
      </c>
      <c r="N162" s="99">
        <v>866279735</v>
      </c>
      <c r="O162" s="99">
        <v>0</v>
      </c>
      <c r="P162" s="99">
        <v>0</v>
      </c>
      <c r="Q162" s="99">
        <v>0</v>
      </c>
      <c r="R162" s="100">
        <v>0</v>
      </c>
      <c r="S162" t="inlineStr">
        <is>
          <t>No se ejecutó en la vigencia</t>
        </is>
      </c>
      <c r="T162" s="101">
        <v>586000000</v>
      </c>
      <c r="U162" s="101">
        <v>0</v>
      </c>
      <c r="V162" s="101">
        <v>0</v>
      </c>
      <c r="W162" s="102">
        <v>0</v>
      </c>
      <c r="X162" t="inlineStr">
        <is>
          <t>No se ejecutó en la vigencia</t>
        </is>
      </c>
    </row>
    <row r="163">
      <c r="A163" t="inlineStr">
        <is>
          <t>IP-458</t>
        </is>
      </c>
      <c r="B163" t="inlineStr">
        <is>
          <t>33</t>
        </is>
      </c>
      <c r="C163" t="inlineStr">
        <is>
          <t>Cultura</t>
        </is>
      </c>
      <c r="D163" t="inlineStr">
        <is>
          <t>3301</t>
        </is>
      </c>
      <c r="E163" t="inlineStr">
        <is>
          <t>Promoción y acceso efectivo a procesos culturales y artísticos</t>
        </is>
      </c>
      <c r="F163" t="inlineStr">
        <is>
          <t>3301053</t>
        </is>
      </c>
      <c r="G163" t="inlineStr">
        <is>
          <t>Servicio de promoción de actividades culturales</t>
        </is>
      </c>
      <c r="H163"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163" t="inlineStr">
        <is>
          <t>2024251750043</t>
        </is>
      </c>
      <c r="J163" s="99">
        <v>3381794896.73</v>
      </c>
      <c r="K163" s="99">
        <v>380000000</v>
      </c>
      <c r="L163" s="99">
        <v>2311794896.73</v>
      </c>
      <c r="M163" s="99">
        <v>340000000</v>
      </c>
      <c r="N163" s="99">
        <v>350000000</v>
      </c>
      <c r="O163" s="99">
        <v>1436825987</v>
      </c>
      <c r="P163" s="99">
        <v>1273369334</v>
      </c>
      <c r="Q163" s="99">
        <v>1273369334</v>
      </c>
      <c r="R163" s="100">
        <v>3.35097193157895</v>
      </c>
      <c r="S163" t="inlineStr">
        <is>
          <t>Hubo ejecución por encima de lo programado en SisPT</t>
        </is>
      </c>
      <c r="T163" s="101">
        <v>481393888</v>
      </c>
      <c r="U163" s="101">
        <v>228118600</v>
      </c>
      <c r="V163" s="101">
        <v>228118600</v>
      </c>
      <c r="W163" s="102">
        <v>0.0986759683234315</v>
      </c>
      <c r="X163" t="inlineStr">
        <is>
          <t>Lo obligado está por debajo de lo programado en la vigencia</t>
        </is>
      </c>
    </row>
    <row r="164">
      <c r="A164" t="inlineStr">
        <is>
          <t>IP-459</t>
        </is>
      </c>
      <c r="B164" t="inlineStr">
        <is>
          <t>33</t>
        </is>
      </c>
      <c r="C164" t="inlineStr">
        <is>
          <t>Cultura</t>
        </is>
      </c>
      <c r="D164" t="inlineStr">
        <is>
          <t>3301</t>
        </is>
      </c>
      <c r="E164" t="inlineStr">
        <is>
          <t>Promoción y acceso efectivo a procesos culturales y artísticos</t>
        </is>
      </c>
      <c r="F164" t="inlineStr">
        <is>
          <t>3301073</t>
        </is>
      </c>
      <c r="G164" t="inlineStr">
        <is>
          <t>Servicio de circulación artística y cultural</t>
        </is>
      </c>
      <c r="H164" t="inlineStr">
        <is>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is>
      </c>
      <c r="I164" t="inlineStr">
        <is>
          <t>2024251750043</t>
        </is>
      </c>
      <c r="J164" s="99">
        <v>795727632</v>
      </c>
      <c r="K164" s="99">
        <v>170000000</v>
      </c>
      <c r="L164" s="99">
        <v>265727632</v>
      </c>
      <c r="M164" s="99">
        <v>180000000</v>
      </c>
      <c r="N164" s="99">
        <v>180000000</v>
      </c>
      <c r="O164" s="99">
        <v>432051539</v>
      </c>
      <c r="P164" s="99">
        <v>432051539</v>
      </c>
      <c r="Q164" s="99">
        <v>432051539</v>
      </c>
      <c r="R164" s="100">
        <v>2.54147964117647</v>
      </c>
      <c r="S164" t="inlineStr">
        <is>
          <t>Hubo ejecución por encima de lo programado en SisPT</t>
        </is>
      </c>
      <c r="T164" s="101">
        <v>265727632</v>
      </c>
      <c r="U164" s="101">
        <v>127630908</v>
      </c>
      <c r="V164" s="101">
        <v>127630908</v>
      </c>
      <c r="W164" s="102">
        <v>0.480307249341687</v>
      </c>
      <c r="X164" t="inlineStr">
        <is>
          <t>Lo obligado está por debajo de lo programado en la vigencia</t>
        </is>
      </c>
    </row>
    <row r="165">
      <c r="A165" t="inlineStr">
        <is>
          <t>IP-460</t>
        </is>
      </c>
      <c r="B165" t="inlineStr">
        <is>
          <t>33</t>
        </is>
      </c>
      <c r="C165" t="inlineStr">
        <is>
          <t>Cultura</t>
        </is>
      </c>
      <c r="D165" t="inlineStr">
        <is>
          <t>3301</t>
        </is>
      </c>
      <c r="E165" t="inlineStr">
        <is>
          <t>Promoción y acceso efectivo a procesos culturales y artísticos</t>
        </is>
      </c>
      <c r="F165" t="inlineStr">
        <is>
          <t>3301128</t>
        </is>
      </c>
      <c r="G165" t="inlineStr">
        <is>
          <t>Servicio de apoyo financiero para creadores y gestores culturales</t>
        </is>
      </c>
      <c r="H165" t="inlineStr">
        <is>
          <t>Corresponde al beneficio económico periódico entregado a los creadores y gestores culturales, para garantizar una renta vitalicia a estos agentes.</t>
        </is>
      </c>
      <c r="I165" t="inlineStr">
        <is>
          <t>2024251750043</t>
        </is>
      </c>
      <c r="J165" s="99">
        <v>1585048906</v>
      </c>
      <c r="K165" s="99">
        <v>300000000</v>
      </c>
      <c r="L165" s="99">
        <v>845959906</v>
      </c>
      <c r="M165" s="99">
        <v>216300000</v>
      </c>
      <c r="N165" s="99">
        <v>222789000</v>
      </c>
      <c r="O165" s="99">
        <v>301700323</v>
      </c>
      <c r="P165" s="99">
        <v>301700323</v>
      </c>
      <c r="Q165" s="99">
        <v>301700323</v>
      </c>
      <c r="R165" s="100">
        <v>1.00566774333333</v>
      </c>
      <c r="S165" t="inlineStr">
        <is>
          <t>Hubo ejecución por encima de lo programado en SisPT</t>
        </is>
      </c>
      <c r="T165" s="101" t="inlineStr">
        <is>
          <t xml:space="preserve"> </t>
        </is>
      </c>
      <c r="U165" s="101" t="inlineStr">
        <is>
          <t xml:space="preserve"> </t>
        </is>
      </c>
      <c r="V165" s="101" t="inlineStr">
        <is>
          <t xml:space="preserve"> </t>
        </is>
      </c>
      <c r="W165" s="102" t="inlineStr">
        <is>
          <t xml:space="preserve"> </t>
        </is>
      </c>
      <c r="X165" t="inlineStr">
        <is>
          <t>No se encontró ejecución en CUIPO</t>
        </is>
      </c>
    </row>
    <row r="166">
      <c r="A166" t="inlineStr">
        <is>
          <t>IP-461</t>
        </is>
      </c>
      <c r="B166" t="inlineStr">
        <is>
          <t>33</t>
        </is>
      </c>
      <c r="C166" t="inlineStr">
        <is>
          <t>Cultura</t>
        </is>
      </c>
      <c r="D166" t="inlineStr">
        <is>
          <t>3301</t>
        </is>
      </c>
      <c r="E166" t="inlineStr">
        <is>
          <t>Promoción y acceso efectivo a procesos culturales y artísticos</t>
        </is>
      </c>
      <c r="F166" t="inlineStr">
        <is>
          <t>3301051</t>
        </is>
      </c>
      <c r="G166" t="inlineStr">
        <is>
          <t>Servicio de educación informal al sector artístico y cultural</t>
        </is>
      </c>
      <c r="H166" t="inlineStr">
        <is>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is>
      </c>
      <c r="I166" t="inlineStr">
        <is>
          <t>2024251750043</t>
        </is>
      </c>
      <c r="J166" s="99">
        <v>195000000</v>
      </c>
      <c r="K166" s="99">
        <v>45000000</v>
      </c>
      <c r="L166" s="99">
        <v>50000000</v>
      </c>
      <c r="M166" s="99">
        <v>50000000</v>
      </c>
      <c r="N166" s="99">
        <v>50000000</v>
      </c>
      <c r="O166" s="99">
        <v>0</v>
      </c>
      <c r="P166" s="99">
        <v>0</v>
      </c>
      <c r="Q166" s="99">
        <v>0</v>
      </c>
      <c r="R166" s="100">
        <v>0</v>
      </c>
      <c r="S166" t="inlineStr">
        <is>
          <t>No se ejecutó en la vigencia</t>
        </is>
      </c>
      <c r="T166" s="101" t="inlineStr">
        <is>
          <t xml:space="preserve"> </t>
        </is>
      </c>
      <c r="U166" s="101" t="inlineStr">
        <is>
          <t xml:space="preserve"> </t>
        </is>
      </c>
      <c r="V166" s="101" t="inlineStr">
        <is>
          <t xml:space="preserve"> </t>
        </is>
      </c>
      <c r="W166" s="102" t="inlineStr">
        <is>
          <t xml:space="preserve"> </t>
        </is>
      </c>
      <c r="X166" t="inlineStr">
        <is>
          <t>No se encontró ejecución en CUIPO</t>
        </is>
      </c>
    </row>
    <row r="167">
      <c r="A167" t="inlineStr">
        <is>
          <t>IP-462</t>
        </is>
      </c>
      <c r="B167" t="inlineStr">
        <is>
          <t>33</t>
        </is>
      </c>
      <c r="C167" t="inlineStr">
        <is>
          <t>Cultura</t>
        </is>
      </c>
      <c r="D167" t="inlineStr">
        <is>
          <t>3301</t>
        </is>
      </c>
      <c r="E167" t="inlineStr">
        <is>
          <t>Promoción y acceso efectivo a procesos culturales y artísticos</t>
        </is>
      </c>
      <c r="F167" t="inlineStr">
        <is>
          <t>3301054</t>
        </is>
      </c>
      <c r="G167" t="inlineStr">
        <is>
          <t>Servicio de apoyo financiero al sector artístico y cultural</t>
        </is>
      </c>
      <c r="H167"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67" t="inlineStr">
        <is>
          <t>2024251750043</t>
        </is>
      </c>
      <c r="J167" s="99">
        <v>2492983680</v>
      </c>
      <c r="K167" s="99">
        <v>634200000</v>
      </c>
      <c r="L167" s="99">
        <v>938983680</v>
      </c>
      <c r="M167" s="99">
        <v>440000000</v>
      </c>
      <c r="N167" s="99">
        <v>479800000</v>
      </c>
      <c r="O167" s="99">
        <v>565000000</v>
      </c>
      <c r="P167" s="99">
        <v>565000000</v>
      </c>
      <c r="Q167" s="99">
        <v>457500000</v>
      </c>
      <c r="R167" s="100">
        <v>0.890886155786818</v>
      </c>
      <c r="S167" t="inlineStr">
        <is>
          <t>Lo obligado está por debajo de lo programado en la vigencia</t>
        </is>
      </c>
      <c r="T167" s="101">
        <v>37100000</v>
      </c>
      <c r="U167" s="101">
        <v>26500000</v>
      </c>
      <c r="V167" s="101">
        <v>26500000</v>
      </c>
      <c r="W167" s="102">
        <v>0.0282220027508891</v>
      </c>
      <c r="X167" t="inlineStr">
        <is>
          <t>Lo obligado está por debajo de lo programado en la vigencia</t>
        </is>
      </c>
    </row>
    <row r="168">
      <c r="A168" t="inlineStr">
        <is>
          <t>IP-463</t>
        </is>
      </c>
      <c r="B168" t="inlineStr">
        <is>
          <t>33</t>
        </is>
      </c>
      <c r="C168" t="inlineStr">
        <is>
          <t>Cultura</t>
        </is>
      </c>
      <c r="D168" t="inlineStr">
        <is>
          <t>3301</t>
        </is>
      </c>
      <c r="E168" t="inlineStr">
        <is>
          <t>Promoción y acceso efectivo a procesos culturales y artísticos</t>
        </is>
      </c>
      <c r="F168" t="inlineStr">
        <is>
          <t>3301003</t>
        </is>
      </c>
      <c r="G168" t="inlineStr">
        <is>
          <t>Bibliotecas adecuadas</t>
        </is>
      </c>
      <c r="H168" t="inlineStr">
        <is>
          <t>Cambio del uso de la infraestructura cultural o parte de ella, garantizando la permanencia del inmueble original.</t>
        </is>
      </c>
      <c r="I168" t="inlineStr">
        <is>
          <t>2024251750043</t>
        </is>
      </c>
      <c r="J168" s="99">
        <v>340000000</v>
      </c>
      <c r="K168" s="99">
        <v>0</v>
      </c>
      <c r="L168" s="99">
        <v>0</v>
      </c>
      <c r="M168" s="99">
        <v>71249553</v>
      </c>
      <c r="N168" s="99">
        <v>268750447</v>
      </c>
      <c r="O168" s="99" t="inlineStr">
        <is>
          <t xml:space="preserve"> </t>
        </is>
      </c>
      <c r="P168" s="99" t="inlineStr">
        <is>
          <t xml:space="preserve"> </t>
        </is>
      </c>
      <c r="Q168" s="99" t="inlineStr">
        <is>
          <t xml:space="preserve"> </t>
        </is>
      </c>
      <c r="R168" s="100" t="inlineStr">
        <is>
          <t xml:space="preserve"> </t>
        </is>
      </c>
      <c r="S168" t="inlineStr">
        <is>
          <t>No se encontró ejecución en CUIPO</t>
        </is>
      </c>
      <c r="T168" s="101" t="inlineStr">
        <is>
          <t xml:space="preserve"> </t>
        </is>
      </c>
      <c r="U168" s="101" t="inlineStr">
        <is>
          <t xml:space="preserve"> </t>
        </is>
      </c>
      <c r="V168" s="101" t="inlineStr">
        <is>
          <t xml:space="preserve"> </t>
        </is>
      </c>
      <c r="W168" s="102" t="inlineStr">
        <is>
          <t xml:space="preserve"> </t>
        </is>
      </c>
      <c r="X168" t="inlineStr">
        <is>
          <t>No se encontró ejecución en CUIPO</t>
        </is>
      </c>
    </row>
    <row r="169">
      <c r="A169" t="inlineStr">
        <is>
          <t>IP-464</t>
        </is>
      </c>
      <c r="B169" t="inlineStr">
        <is>
          <t>33</t>
        </is>
      </c>
      <c r="C169" t="inlineStr">
        <is>
          <t>Cultura</t>
        </is>
      </c>
      <c r="D169" t="inlineStr">
        <is>
          <t>3301</t>
        </is>
      </c>
      <c r="E169" t="inlineStr">
        <is>
          <t>Promoción y acceso efectivo a procesos culturales y artísticos</t>
        </is>
      </c>
      <c r="F169" t="inlineStr">
        <is>
          <t>3301085</t>
        </is>
      </c>
      <c r="G169" t="inlineStr">
        <is>
          <t>Servicios bibliotecarios</t>
        </is>
      </c>
      <c r="H169" t="inlineStr">
        <is>
          <t>Conjunto de actividades desarrolladas en una biblioteca, con el fin de facilitar y promover la disponibilidad y el acceso a la información y a la cultura con estándares de calidad, pertinencia y oportunidad.   </t>
        </is>
      </c>
      <c r="I169" t="inlineStr">
        <is>
          <t>2024251750043</t>
        </is>
      </c>
      <c r="J169" s="99">
        <v>3669105241</v>
      </c>
      <c r="K169" s="99">
        <v>896000000</v>
      </c>
      <c r="L169" s="99">
        <v>883105241</v>
      </c>
      <c r="M169" s="99">
        <v>930000000</v>
      </c>
      <c r="N169" s="99">
        <v>960000000</v>
      </c>
      <c r="O169" s="99">
        <v>605519317</v>
      </c>
      <c r="P169" s="99">
        <v>197157599</v>
      </c>
      <c r="Q169" s="99">
        <v>197157599</v>
      </c>
      <c r="R169" s="100">
        <v>0.220041963169643</v>
      </c>
      <c r="S169" t="inlineStr">
        <is>
          <t>Lo obligado está por debajo de lo programado en la vigencia</t>
        </is>
      </c>
      <c r="T169" s="101">
        <v>768264840</v>
      </c>
      <c r="U169" s="101">
        <v>519764700</v>
      </c>
      <c r="V169" s="101">
        <v>519764700</v>
      </c>
      <c r="W169" s="102">
        <v>0.588564845806413</v>
      </c>
      <c r="X169" t="inlineStr">
        <is>
          <t>Lo obligado está por debajo de lo programado en la vigencia</t>
        </is>
      </c>
    </row>
    <row r="170">
      <c r="A170" t="inlineStr">
        <is>
          <t>IP-465</t>
        </is>
      </c>
      <c r="B170" t="inlineStr">
        <is>
          <t>33</t>
        </is>
      </c>
      <c r="C170" t="inlineStr">
        <is>
          <t>Cultura</t>
        </is>
      </c>
      <c r="D170" t="inlineStr">
        <is>
          <t>3301</t>
        </is>
      </c>
      <c r="E170" t="inlineStr">
        <is>
          <t>Promoción y acceso efectivo a procesos culturales y artísticos</t>
        </is>
      </c>
      <c r="F170" t="inlineStr">
        <is>
          <t>3301065</t>
        </is>
      </c>
      <c r="G170" t="inlineStr">
        <is>
          <t>Servicio de asistencia técnica en asuntos de gestión de bibliotecas públicas y lectura.</t>
        </is>
      </c>
      <c r="H170" t="inlineStr">
        <is>
          <t>Asistencias técnicas a bibliotecarios, administraciones locales, entidades públicas y privadas entre otros, en el campo de las bibliotecas públicas y la lectura.</t>
        </is>
      </c>
      <c r="I170" t="inlineStr">
        <is>
          <t>2024251750043</t>
        </is>
      </c>
      <c r="J170" s="99">
        <v>969236200</v>
      </c>
      <c r="K170" s="99">
        <v>176000000</v>
      </c>
      <c r="L170" s="99">
        <v>373236200</v>
      </c>
      <c r="M170" s="99">
        <v>210000000</v>
      </c>
      <c r="N170" s="99">
        <v>210000000</v>
      </c>
      <c r="O170" s="99">
        <v>86877970</v>
      </c>
      <c r="P170" s="99">
        <v>86877970</v>
      </c>
      <c r="Q170" s="99">
        <v>86877970</v>
      </c>
      <c r="R170" s="100">
        <v>0.493624829545455</v>
      </c>
      <c r="S170" t="inlineStr">
        <is>
          <t>Lo obligado está por debajo de lo programado en la vigencia</t>
        </is>
      </c>
      <c r="T170" s="101">
        <v>312457380</v>
      </c>
      <c r="U170" s="101">
        <v>211335400</v>
      </c>
      <c r="V170" s="101">
        <v>211335400</v>
      </c>
      <c r="W170" s="102">
        <v>0.566224283710958</v>
      </c>
      <c r="X170" t="inlineStr">
        <is>
          <t>Lo obligado está por debajo de lo programado en la vigencia</t>
        </is>
      </c>
    </row>
    <row r="171">
      <c r="A171" t="inlineStr">
        <is>
          <t>IP-466</t>
        </is>
      </c>
      <c r="B171" t="inlineStr">
        <is>
          <t>33</t>
        </is>
      </c>
      <c r="C171" t="inlineStr">
        <is>
          <t>Cultura</t>
        </is>
      </c>
      <c r="D171" t="inlineStr">
        <is>
          <t>3301</t>
        </is>
      </c>
      <c r="E171" t="inlineStr">
        <is>
          <t>Promoción y acceso efectivo a procesos culturales y artísticos</t>
        </is>
      </c>
      <c r="F171" t="inlineStr">
        <is>
          <t>3301129</t>
        </is>
      </c>
      <c r="G171" t="inlineStr">
        <is>
          <t>Documentos de planeación</t>
        </is>
      </c>
      <c r="H171"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71" t="inlineStr">
        <is>
          <t>2024251750043</t>
        </is>
      </c>
      <c r="J171" s="99">
        <v>155000000</v>
      </c>
      <c r="K171" s="99">
        <v>100000000</v>
      </c>
      <c r="L171" s="99">
        <v>0</v>
      </c>
      <c r="M171" s="99">
        <v>30000000</v>
      </c>
      <c r="N171" s="99">
        <v>25000000</v>
      </c>
      <c r="O171" s="99">
        <v>19599992</v>
      </c>
      <c r="P171" s="99">
        <v>19599992</v>
      </c>
      <c r="Q171" s="99">
        <v>19599992</v>
      </c>
      <c r="R171" s="100">
        <v>0.19599992</v>
      </c>
      <c r="S171" t="inlineStr">
        <is>
          <t>Lo obligado está por debajo de lo programado en la vigencia</t>
        </is>
      </c>
      <c r="T171" s="101" t="inlineStr">
        <is>
          <t xml:space="preserve"> </t>
        </is>
      </c>
      <c r="U171" s="101" t="inlineStr">
        <is>
          <t xml:space="preserve"> </t>
        </is>
      </c>
      <c r="V171" s="101" t="inlineStr">
        <is>
          <t xml:space="preserve"> </t>
        </is>
      </c>
      <c r="W171" s="102" t="inlineStr">
        <is>
          <t xml:space="preserve"> </t>
        </is>
      </c>
      <c r="X171" t="inlineStr">
        <is>
          <t>No se encontró ejecución en CUIPO</t>
        </is>
      </c>
    </row>
    <row r="172">
      <c r="A172" t="inlineStr">
        <is>
          <t>IP-467</t>
        </is>
      </c>
      <c r="B172" t="inlineStr">
        <is>
          <t>33</t>
        </is>
      </c>
      <c r="C172" t="inlineStr">
        <is>
          <t>Cultura</t>
        </is>
      </c>
      <c r="D172" t="inlineStr">
        <is>
          <t>3301</t>
        </is>
      </c>
      <c r="E172" t="inlineStr">
        <is>
          <t>Promoción y acceso efectivo a procesos culturales y artísticos</t>
        </is>
      </c>
      <c r="F172" t="inlineStr">
        <is>
          <t>3301074</t>
        </is>
      </c>
      <c r="G172" t="inlineStr">
        <is>
          <t>Servicio de apoyo para la organización y la participación del sector artístico, cultural y la ciudadanía</t>
        </is>
      </c>
      <c r="H172" t="inlineStr">
        <is>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is>
      </c>
      <c r="I172" t="inlineStr">
        <is>
          <t>2024251750043</t>
        </is>
      </c>
      <c r="J172" s="99">
        <v>222221641</v>
      </c>
      <c r="K172" s="99">
        <v>40000000</v>
      </c>
      <c r="L172" s="99">
        <v>52430040</v>
      </c>
      <c r="M172" s="99">
        <v>57263867</v>
      </c>
      <c r="N172" s="99">
        <v>72527734</v>
      </c>
      <c r="O172" s="99">
        <v>4942133</v>
      </c>
      <c r="P172" s="99">
        <v>4942133</v>
      </c>
      <c r="Q172" s="99">
        <v>4942133</v>
      </c>
      <c r="R172" s="100">
        <v>0.123553325</v>
      </c>
      <c r="S172" t="inlineStr">
        <is>
          <t>Lo obligado está por debajo de lo programado en la vigencia</t>
        </is>
      </c>
      <c r="T172" s="101">
        <v>37772840</v>
      </c>
      <c r="U172" s="101">
        <v>25342800</v>
      </c>
      <c r="V172" s="101">
        <v>25342800</v>
      </c>
      <c r="W172" s="102">
        <v>0.483364117212194</v>
      </c>
      <c r="X172" t="inlineStr">
        <is>
          <t>Lo obligado está por debajo de lo programado en la vigencia</t>
        </is>
      </c>
    </row>
    <row r="173">
      <c r="A173" t="inlineStr">
        <is>
          <t>IP-468</t>
        </is>
      </c>
      <c r="B173" t="inlineStr">
        <is>
          <t>33</t>
        </is>
      </c>
      <c r="C173" t="inlineStr">
        <is>
          <t>Cultura</t>
        </is>
      </c>
      <c r="D173" t="inlineStr">
        <is>
          <t>3302</t>
        </is>
      </c>
      <c r="E173" t="inlineStr">
        <is>
          <t>Gestión, protección y salvaguardia del patrimonio cultural colombiano</t>
        </is>
      </c>
      <c r="F173" t="inlineStr">
        <is>
          <t>3302070</t>
        </is>
      </c>
      <c r="G173" t="inlineStr">
        <is>
          <t>Serviciode divulgación y publicación del Patrimonio cultural</t>
        </is>
      </c>
      <c r="H173" t="inlineStr">
        <is>
          <t xml:space="preserve">Hace referencia a las actividades de divulgación a través de la página web de los museos, boletines informativos, redes sociales, etc. de los principales eventos académicos y culturales, exposiciones y programas. También referencia a las cartillas, libros, producción audiovisual, entre otras publicaciones elaboradas en temas de salvaguardia, protección, recuperación, conservación, sostenimiento y divulgación del Patrimonio Cultural de la Nación. Así como eventos como conferencias, conmemoraciones, conversatorios, encuentros, simposios etc. de carácter académico que permiten el fortalecimiento de la gestión universitaria y la consolidación de la comunidad docente e investigativa del Instituto. </t>
        </is>
      </c>
      <c r="I173" t="inlineStr">
        <is>
          <t>2024251750042</t>
        </is>
      </c>
      <c r="J173" s="99">
        <v>470401518</v>
      </c>
      <c r="K173" s="99">
        <v>100000000</v>
      </c>
      <c r="L173" s="99">
        <v>122248330</v>
      </c>
      <c r="M173" s="99">
        <v>110000000</v>
      </c>
      <c r="N173" s="99">
        <v>138153188</v>
      </c>
      <c r="O173" s="99">
        <v>0</v>
      </c>
      <c r="P173" s="99">
        <v>0</v>
      </c>
      <c r="Q173" s="99">
        <v>0</v>
      </c>
      <c r="R173" s="100">
        <v>0</v>
      </c>
      <c r="S173" t="inlineStr">
        <is>
          <t>No se ejecutó en la vigencia</t>
        </is>
      </c>
      <c r="T173" s="101">
        <v>20160000</v>
      </c>
      <c r="U173" s="101">
        <v>16128000</v>
      </c>
      <c r="V173" s="101">
        <v>16128000</v>
      </c>
      <c r="W173" s="102">
        <v>0.131928182577218</v>
      </c>
      <c r="X173" t="inlineStr">
        <is>
          <t>Lo obligado está por debajo de lo programado en la vigencia</t>
        </is>
      </c>
    </row>
    <row r="174">
      <c r="A174" t="inlineStr">
        <is>
          <t>IP-469</t>
        </is>
      </c>
      <c r="B174" t="inlineStr">
        <is>
          <t>33</t>
        </is>
      </c>
      <c r="C174" t="inlineStr">
        <is>
          <t>Cultura</t>
        </is>
      </c>
      <c r="D174" t="inlineStr">
        <is>
          <t>3302</t>
        </is>
      </c>
      <c r="E174" t="inlineStr">
        <is>
          <t>Gestión, protección y salvaguardia del patrimonio cultural colombiano</t>
        </is>
      </c>
      <c r="F174" t="inlineStr">
        <is>
          <t>3302035</t>
        </is>
      </c>
      <c r="G174" t="inlineStr">
        <is>
          <t>Museosadecuados</t>
        </is>
      </c>
      <c r="H174" t="inlineStr">
        <is>
          <t>Corresponde a los museos del país que se les hagan procesos de adecuación en sus instalaciones .</t>
        </is>
      </c>
      <c r="I174" t="inlineStr">
        <is>
          <t>2024251750042</t>
        </is>
      </c>
      <c r="J174" s="99">
        <v>222649600</v>
      </c>
      <c r="K174" s="99">
        <v>0</v>
      </c>
      <c r="L174" s="99">
        <v>82649600</v>
      </c>
      <c r="M174" s="99">
        <v>70000000</v>
      </c>
      <c r="N174" s="99">
        <v>70000000</v>
      </c>
      <c r="O174" s="99" t="inlineStr">
        <is>
          <t xml:space="preserve"> </t>
        </is>
      </c>
      <c r="P174" s="99" t="inlineStr">
        <is>
          <t xml:space="preserve"> </t>
        </is>
      </c>
      <c r="Q174" s="99" t="inlineStr">
        <is>
          <t xml:space="preserve"> </t>
        </is>
      </c>
      <c r="R174" s="100" t="inlineStr">
        <is>
          <t xml:space="preserve"> </t>
        </is>
      </c>
      <c r="S174" t="inlineStr">
        <is>
          <t>No se encontró ejecución en CUIPO</t>
        </is>
      </c>
      <c r="T174" s="101">
        <v>78488000</v>
      </c>
      <c r="U174" s="101">
        <v>56420000</v>
      </c>
      <c r="V174" s="101">
        <v>56420000</v>
      </c>
      <c r="W174" s="102">
        <v>0.682640932321512</v>
      </c>
      <c r="X174" t="inlineStr">
        <is>
          <t>Lo obligado está por debajo de lo programado en la vigencia</t>
        </is>
      </c>
    </row>
    <row r="175">
      <c r="A175" t="inlineStr">
        <is>
          <t>IP-470, IP-471, IP-472, IP-473, IP-476</t>
        </is>
      </c>
      <c r="B175" t="inlineStr">
        <is>
          <t>43</t>
        </is>
      </c>
      <c r="C175" t="inlineStr">
        <is>
          <t>Deporte y Recreación</t>
        </is>
      </c>
      <c r="D175" t="inlineStr">
        <is>
          <t>4301</t>
        </is>
      </c>
      <c r="E175" t="inlineStr">
        <is>
          <t>Fomento a la recreación, la actividad física y el deporte para desarrollar entornos de convivencia y paz</t>
        </is>
      </c>
      <c r="F175" t="inlineStr">
        <is>
          <t>4301001</t>
        </is>
      </c>
      <c r="G175" t="inlineStr">
        <is>
          <t>Servicio de apoyo a la actividad física, la recreación y el deporte</t>
        </is>
      </c>
      <c r="H175" t="inlineStr">
        <is>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is>
      </c>
      <c r="I175" t="inlineStr">
        <is>
          <t>2024251750058</t>
        </is>
      </c>
      <c r="J175" s="99">
        <v>39096753120.32</v>
      </c>
      <c r="K175" s="99">
        <v>7644922176</v>
      </c>
      <c r="L175" s="99">
        <v>9594624111.32</v>
      </c>
      <c r="M175" s="99">
        <v>10554003333</v>
      </c>
      <c r="N175" s="99">
        <v>11303203500</v>
      </c>
      <c r="O175" s="99">
        <v>4316760555</v>
      </c>
      <c r="P175" s="99">
        <v>4316760555</v>
      </c>
      <c r="Q175" s="99">
        <v>4316760555</v>
      </c>
      <c r="R175" s="100">
        <v>0.564657226799741</v>
      </c>
      <c r="S175" t="inlineStr">
        <is>
          <t>Lo obligado está por debajo de lo programado en la vigencia</t>
        </is>
      </c>
      <c r="T175" s="101">
        <v>5153317600</v>
      </c>
      <c r="U175" s="101">
        <v>5153317600</v>
      </c>
      <c r="V175" s="101">
        <v>5153317600</v>
      </c>
      <c r="W175" s="102">
        <v>0.537104689064366</v>
      </c>
      <c r="X175" t="inlineStr">
        <is>
          <t>Lo obligado está por debajo de lo programado en la vigencia</t>
        </is>
      </c>
    </row>
    <row r="176">
      <c r="A176" t="inlineStr">
        <is>
          <t>IP-474</t>
        </is>
      </c>
      <c r="B176" t="inlineStr">
        <is>
          <t>43</t>
        </is>
      </c>
      <c r="C176" t="inlineStr">
        <is>
          <t>Deporte y Recreación</t>
        </is>
      </c>
      <c r="D176" t="inlineStr">
        <is>
          <t>4301</t>
        </is>
      </c>
      <c r="E176" t="inlineStr">
        <is>
          <t>Fomento a la recreación, la actividad física y el deporte para desarrollar entornos de convivencia y paz</t>
        </is>
      </c>
      <c r="F176" t="inlineStr">
        <is>
          <t>4301038</t>
        </is>
      </c>
      <c r="G176" t="inlineStr">
        <is>
          <t>Servicio de organización de eventos recreativos comunitarios</t>
        </is>
      </c>
      <c r="H176" t="inlineStr">
        <is>
          <t>Corresponde a la planeación, organización y realización de eventos recreativos y de esparcimiento del tiempo libre con la comunidad.</t>
        </is>
      </c>
      <c r="I176" t="inlineStr">
        <is>
          <t>2024251750058</t>
        </is>
      </c>
      <c r="J176" s="99">
        <v>8913433627.68</v>
      </c>
      <c r="K176" s="99">
        <v>1100000000</v>
      </c>
      <c r="L176" s="99">
        <v>4113433627.68</v>
      </c>
      <c r="M176" s="99">
        <v>1800000000</v>
      </c>
      <c r="N176" s="99">
        <v>1900000000</v>
      </c>
      <c r="O176" s="99">
        <v>3758780716</v>
      </c>
      <c r="P176" s="99">
        <v>3758780716</v>
      </c>
      <c r="Q176" s="99">
        <v>3758780716</v>
      </c>
      <c r="R176" s="100">
        <v>3.41707337818182</v>
      </c>
      <c r="S176" t="inlineStr">
        <is>
          <t>Hubo ejecución por encima de lo programado en SisPT</t>
        </is>
      </c>
      <c r="T176" s="101">
        <v>1490000000</v>
      </c>
      <c r="U176" s="101">
        <v>1490000000</v>
      </c>
      <c r="V176" s="101">
        <v>1490000000</v>
      </c>
      <c r="W176" s="102">
        <v>0.362227796742248</v>
      </c>
      <c r="X176" t="inlineStr">
        <is>
          <t>Lo obligado está por debajo de lo programado en la vigencia</t>
        </is>
      </c>
    </row>
    <row r="177">
      <c r="A177" t="inlineStr">
        <is>
          <t>IP-475</t>
        </is>
      </c>
      <c r="B177" t="inlineStr">
        <is>
          <t>43</t>
        </is>
      </c>
      <c r="C177" t="inlineStr">
        <is>
          <t>Deporte y Recreación</t>
        </is>
      </c>
      <c r="D177" t="inlineStr">
        <is>
          <t>4301</t>
        </is>
      </c>
      <c r="E177" t="inlineStr">
        <is>
          <t>Fomento a la recreación, la actividad física y el deporte para desarrollar entornos de convivencia y paz</t>
        </is>
      </c>
      <c r="F177" t="inlineStr">
        <is>
          <t>4301035</t>
        </is>
      </c>
      <c r="G177" t="inlineStr">
        <is>
          <t>Servicio de educación informal en recreación</t>
        </is>
      </c>
      <c r="H177" t="inlineStr">
        <is>
          <t>Corresponde a la formación a la ciudadanía  en recreación, actividad física, deportes social comunitario y/o aprovechamiento del tiempo libre con enfoque diferencial.</t>
        </is>
      </c>
      <c r="I177" t="inlineStr">
        <is>
          <t>2024251750058</t>
        </is>
      </c>
      <c r="J177" s="99">
        <v>220000000</v>
      </c>
      <c r="K177" s="99">
        <v>50000000</v>
      </c>
      <c r="L177" s="99">
        <v>50000000</v>
      </c>
      <c r="M177" s="99">
        <v>50000000</v>
      </c>
      <c r="N177" s="99">
        <v>70000000</v>
      </c>
      <c r="O177" s="99">
        <v>57175000</v>
      </c>
      <c r="P177" s="99">
        <v>57175000</v>
      </c>
      <c r="Q177" s="99">
        <v>57175000</v>
      </c>
      <c r="R177" s="100">
        <v>1.1435</v>
      </c>
      <c r="S177" t="inlineStr">
        <is>
          <t>Hubo ejecución por encima de lo programado en SisPT</t>
        </is>
      </c>
      <c r="T177" s="101" t="inlineStr">
        <is>
          <t xml:space="preserve"> </t>
        </is>
      </c>
      <c r="U177" s="101" t="inlineStr">
        <is>
          <t xml:space="preserve"> </t>
        </is>
      </c>
      <c r="V177" s="101" t="inlineStr">
        <is>
          <t xml:space="preserve"> </t>
        </is>
      </c>
      <c r="W177" s="102" t="inlineStr">
        <is>
          <t xml:space="preserve"> </t>
        </is>
      </c>
      <c r="X177" t="inlineStr">
        <is>
          <t>No se encontró ejecución en CUIPO</t>
        </is>
      </c>
    </row>
    <row r="178">
      <c r="A178" t="inlineStr">
        <is>
          <t>IP-477</t>
        </is>
      </c>
      <c r="B178" t="inlineStr">
        <is>
          <t>43</t>
        </is>
      </c>
      <c r="C178" t="inlineStr">
        <is>
          <t>Deporte y Recreación</t>
        </is>
      </c>
      <c r="D178" t="inlineStr">
        <is>
          <t>4301</t>
        </is>
      </c>
      <c r="E178" t="inlineStr">
        <is>
          <t>Fomento a la recreación, la actividad física y el deporte para desarrollar entornos de convivencia y paz</t>
        </is>
      </c>
      <c r="F178" t="inlineStr">
        <is>
          <t>4301004</t>
        </is>
      </c>
      <c r="G178" t="inlineStr">
        <is>
          <t>Servicio de mantenimiento a la infraestructura deportiva</t>
        </is>
      </c>
      <c r="H178"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178" t="inlineStr">
        <is>
          <t>2024251750057</t>
        </is>
      </c>
      <c r="J178" s="99">
        <v>6056508595</v>
      </c>
      <c r="K178" s="99">
        <v>1470000000</v>
      </c>
      <c r="L178" s="99">
        <v>1324800000</v>
      </c>
      <c r="M178" s="99">
        <v>1378793600</v>
      </c>
      <c r="N178" s="99">
        <v>1882914995</v>
      </c>
      <c r="O178" s="99">
        <v>643766667</v>
      </c>
      <c r="P178" s="99">
        <v>643766667</v>
      </c>
      <c r="Q178" s="99">
        <v>643766667</v>
      </c>
      <c r="R178" s="100">
        <v>0.437936508163265</v>
      </c>
      <c r="S178" t="inlineStr">
        <is>
          <t>Lo obligado está por debajo de lo programado en la vigencia</t>
        </is>
      </c>
      <c r="T178" s="101">
        <v>956651000</v>
      </c>
      <c r="U178" s="101">
        <v>956651000</v>
      </c>
      <c r="V178" s="101">
        <v>956651000</v>
      </c>
      <c r="W178" s="102">
        <v>0.722109752415459</v>
      </c>
      <c r="X178" t="inlineStr">
        <is>
          <t>Lo obligado está por debajo de lo programado en la vigencia</t>
        </is>
      </c>
    </row>
    <row r="179">
      <c r="A179" t="inlineStr">
        <is>
          <t>IP-478</t>
        </is>
      </c>
      <c r="B179" t="inlineStr">
        <is>
          <t>43</t>
        </is>
      </c>
      <c r="C179" t="inlineStr">
        <is>
          <t>Deporte y Recreación</t>
        </is>
      </c>
      <c r="D179" t="inlineStr">
        <is>
          <t>4301</t>
        </is>
      </c>
      <c r="E179" t="inlineStr">
        <is>
          <t>Fomento a la recreación, la actividad física y el deporte para desarrollar entornos de convivencia y paz</t>
        </is>
      </c>
      <c r="F179" t="inlineStr">
        <is>
          <t>4301031</t>
        </is>
      </c>
      <c r="G179" t="inlineStr">
        <is>
          <t>Estudios y diseños de infraestructura recreo-deportiva</t>
        </is>
      </c>
      <c r="H179" t="inlineStr">
        <is>
          <t>Corresponde a todos los productos relacionados a la etapa de preinversión en infraestructura recreo-deportiva, como son estudios de factibilidad, diseños arquitectónicos, planos, estudio de suelos y otros estudios y/o instrumentos similares.</t>
        </is>
      </c>
      <c r="I179" t="inlineStr">
        <is>
          <t>202500000037160</t>
        </is>
      </c>
      <c r="J179" s="99">
        <v>300000000</v>
      </c>
      <c r="K179" s="99">
        <v>0</v>
      </c>
      <c r="L179" s="99">
        <v>150000000</v>
      </c>
      <c r="M179" s="99">
        <v>150000000</v>
      </c>
      <c r="N179" s="99">
        <v>0</v>
      </c>
      <c r="O179" s="99" t="inlineStr">
        <is>
          <t xml:space="preserve"> </t>
        </is>
      </c>
      <c r="P179" s="99" t="inlineStr">
        <is>
          <t xml:space="preserve"> </t>
        </is>
      </c>
      <c r="Q179" s="99" t="inlineStr">
        <is>
          <t xml:space="preserve"> </t>
        </is>
      </c>
      <c r="R179" s="100" t="inlineStr">
        <is>
          <t xml:space="preserve"> </t>
        </is>
      </c>
      <c r="S179" t="inlineStr">
        <is>
          <t>No se encontró ejecución en CUIPO</t>
        </is>
      </c>
      <c r="T179" s="101" t="inlineStr">
        <is>
          <t xml:space="preserve"> </t>
        </is>
      </c>
      <c r="U179" s="101" t="inlineStr">
        <is>
          <t xml:space="preserve"> </t>
        </is>
      </c>
      <c r="V179" s="101" t="inlineStr">
        <is>
          <t xml:space="preserve"> </t>
        </is>
      </c>
      <c r="W179" s="102" t="inlineStr">
        <is>
          <t xml:space="preserve"> </t>
        </is>
      </c>
      <c r="X179" t="inlineStr">
        <is>
          <t>No se encontró ejecución en CUIPO</t>
        </is>
      </c>
    </row>
    <row r="180">
      <c r="A180" t="inlineStr">
        <is>
          <t>IP-480</t>
        </is>
      </c>
      <c r="B180" t="inlineStr">
        <is>
          <t>45</t>
        </is>
      </c>
      <c r="C180" t="inlineStr">
        <is>
          <t>Gobierno Territorial</t>
        </is>
      </c>
      <c r="D180" t="inlineStr">
        <is>
          <t>4502</t>
        </is>
      </c>
      <c r="E180" t="inlineStr">
        <is>
          <t>Fortalecimiento del buen gobierno para el respeto y garantía de los derechos humanos.</t>
        </is>
      </c>
      <c r="F180" t="inlineStr">
        <is>
          <t>4502022</t>
        </is>
      </c>
      <c r="G180" t="inlineStr">
        <is>
          <t>Servicio de asistencia técnica</t>
        </is>
      </c>
      <c r="H180"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80" t="inlineStr">
        <is>
          <t>2024251750054</t>
        </is>
      </c>
      <c r="J180" s="99">
        <v>1860000000</v>
      </c>
      <c r="K180" s="99">
        <v>306952672</v>
      </c>
      <c r="L180" s="99">
        <v>615499613</v>
      </c>
      <c r="M180" s="99">
        <v>425341258</v>
      </c>
      <c r="N180" s="99">
        <v>512206457</v>
      </c>
      <c r="O180" s="99">
        <v>119256664</v>
      </c>
      <c r="P180" s="99">
        <v>94506664</v>
      </c>
      <c r="Q180" s="99">
        <v>94506664</v>
      </c>
      <c r="R180" s="100">
        <v>0.307886761122575</v>
      </c>
      <c r="S180" t="inlineStr">
        <is>
          <t>Lo obligado está por debajo de lo programado en la vigencia</t>
        </is>
      </c>
      <c r="T180" s="101">
        <v>392542500</v>
      </c>
      <c r="U180" s="101">
        <v>290510000</v>
      </c>
      <c r="V180" s="101">
        <v>290510000</v>
      </c>
      <c r="W180" s="102">
        <v>0.471990548595195</v>
      </c>
      <c r="X180" t="inlineStr">
        <is>
          <t>Lo obligado está por debajo de lo programado en la vigencia</t>
        </is>
      </c>
    </row>
    <row r="181">
      <c r="A181" t="inlineStr">
        <is>
          <t>IP-481, IP-482</t>
        </is>
      </c>
      <c r="B181" t="inlineStr">
        <is>
          <t>45</t>
        </is>
      </c>
      <c r="C181" t="inlineStr">
        <is>
          <t>Gobierno Territorial</t>
        </is>
      </c>
      <c r="D181" t="inlineStr">
        <is>
          <t>4502</t>
        </is>
      </c>
      <c r="E181" t="inlineStr">
        <is>
          <t>Fortalecimiento del buen gobierno para el respeto y garantía de los derechos humanos.</t>
        </is>
      </c>
      <c r="F181" t="inlineStr">
        <is>
          <t>4502022</t>
        </is>
      </c>
      <c r="G181" t="inlineStr">
        <is>
          <t>Servicio de asistencia técnica</t>
        </is>
      </c>
      <c r="H181"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81" t="inlineStr">
        <is>
          <t>2024251750052</t>
        </is>
      </c>
      <c r="J181" s="99">
        <v>418170000</v>
      </c>
      <c r="K181" s="99">
        <v>104542500</v>
      </c>
      <c r="L181" s="99">
        <v>104542500</v>
      </c>
      <c r="M181" s="99">
        <v>104542500</v>
      </c>
      <c r="N181" s="99">
        <v>104542500</v>
      </c>
      <c r="O181" s="99">
        <v>59834432</v>
      </c>
      <c r="P181" s="99">
        <v>59834432</v>
      </c>
      <c r="Q181" s="99">
        <v>59834432</v>
      </c>
      <c r="R181" s="100">
        <v>0.572345524547433</v>
      </c>
      <c r="S181" t="inlineStr">
        <is>
          <t>Lo obligado está por debajo de lo programado en la vigencia</t>
        </is>
      </c>
      <c r="T181" s="101">
        <v>52249000</v>
      </c>
      <c r="U181" s="101">
        <v>29449000</v>
      </c>
      <c r="V181" s="101">
        <v>29449000</v>
      </c>
      <c r="W181" s="102">
        <v>0.281694047875266</v>
      </c>
      <c r="X181" t="inlineStr">
        <is>
          <t>Lo obligado está por debajo de lo programado en la vigencia</t>
        </is>
      </c>
    </row>
    <row r="182">
      <c r="A182" t="inlineStr">
        <is>
          <t>IP-483</t>
        </is>
      </c>
      <c r="B182" t="inlineStr">
        <is>
          <t>45</t>
        </is>
      </c>
      <c r="C182" t="inlineStr">
        <is>
          <t>Gobierno Territorial</t>
        </is>
      </c>
      <c r="D182" t="inlineStr">
        <is>
          <t>4502</t>
        </is>
      </c>
      <c r="E182" t="inlineStr">
        <is>
          <t>Fortalecimiento del buen gobierno para el respeto y garantía de los derechos humanos.</t>
        </is>
      </c>
      <c r="F182" t="inlineStr">
        <is>
          <t>4502022</t>
        </is>
      </c>
      <c r="G182" t="inlineStr">
        <is>
          <t>Servicio de asistencia técnica</t>
        </is>
      </c>
      <c r="H182"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82" t="inlineStr">
        <is>
          <t>2024251750055</t>
        </is>
      </c>
      <c r="J182" s="99">
        <v>1291261752</v>
      </c>
      <c r="K182" s="99">
        <v>72815438</v>
      </c>
      <c r="L182" s="99">
        <v>372815438</v>
      </c>
      <c r="M182" s="99">
        <v>422815438</v>
      </c>
      <c r="N182" s="99">
        <v>422815438</v>
      </c>
      <c r="O182" s="99">
        <v>48990000</v>
      </c>
      <c r="P182" s="99">
        <v>48990000</v>
      </c>
      <c r="Q182" s="99">
        <v>48990000</v>
      </c>
      <c r="R182" s="100">
        <v>0.672796886836003</v>
      </c>
      <c r="S182" t="inlineStr">
        <is>
          <t>Lo obligado está por debajo de lo programado en la vigencia</t>
        </is>
      </c>
      <c r="T182" s="101">
        <v>240600828</v>
      </c>
      <c r="U182" s="101">
        <v>120890828</v>
      </c>
      <c r="V182" s="101">
        <v>120890828</v>
      </c>
      <c r="W182" s="102">
        <v>0.324264544002065</v>
      </c>
      <c r="X182" t="inlineStr">
        <is>
          <t>Lo obligado está por debajo de lo programado en la vigencia</t>
        </is>
      </c>
    </row>
    <row r="183">
      <c r="A183" t="inlineStr">
        <is>
          <t>IP-484</t>
        </is>
      </c>
      <c r="B183" t="inlineStr">
        <is>
          <t>45</t>
        </is>
      </c>
      <c r="C183" t="inlineStr">
        <is>
          <t>Gobierno Territorial</t>
        </is>
      </c>
      <c r="D183" t="inlineStr">
        <is>
          <t>4503</t>
        </is>
      </c>
      <c r="E183" t="inlineStr">
        <is>
          <t>Gestión del riesgo de desastres y emergencias</t>
        </is>
      </c>
      <c r="F183" t="inlineStr">
        <is>
          <t>4503017</t>
        </is>
      </c>
      <c r="G183" t="inlineStr">
        <is>
          <t>Estudios de riesgo de desastres</t>
        </is>
      </c>
      <c r="H183" t="inlineStr">
        <is>
          <t xml:space="preserve">Estudios cuyo propósito es conocer las condiciones de riesgo de un territorio, analizar (valorar) la amenaza y la vulnerabilidad de los elementos expuestos, realizar análisis de riesgo a diferentes escalas con el propósito de definir tipos de intervención y alcance de la reducción del riesgo y el manejo post desastre. </t>
        </is>
      </c>
      <c r="I183" t="inlineStr">
        <is>
          <t>2024251750051</t>
        </is>
      </c>
      <c r="J183" s="99">
        <v>750000000</v>
      </c>
      <c r="K183" s="99">
        <v>0</v>
      </c>
      <c r="L183" s="99">
        <v>250000000</v>
      </c>
      <c r="M183" s="99">
        <v>250000000</v>
      </c>
      <c r="N183" s="99">
        <v>250000000</v>
      </c>
      <c r="O183" s="99" t="inlineStr">
        <is>
          <t xml:space="preserve"> </t>
        </is>
      </c>
      <c r="P183" s="99" t="inlineStr">
        <is>
          <t xml:space="preserve"> </t>
        </is>
      </c>
      <c r="Q183" s="99" t="inlineStr">
        <is>
          <t xml:space="preserve"> </t>
        </is>
      </c>
      <c r="R183" s="100" t="inlineStr">
        <is>
          <t xml:space="preserve"> </t>
        </is>
      </c>
      <c r="S183" t="inlineStr">
        <is>
          <t>No se encontró ejecución en CUIPO</t>
        </is>
      </c>
      <c r="T183" s="101" t="inlineStr">
        <is>
          <t xml:space="preserve"> </t>
        </is>
      </c>
      <c r="U183" s="101" t="inlineStr">
        <is>
          <t xml:space="preserve"> </t>
        </is>
      </c>
      <c r="V183" s="101" t="inlineStr">
        <is>
          <t xml:space="preserve"> </t>
        </is>
      </c>
      <c r="W183" s="102" t="inlineStr">
        <is>
          <t xml:space="preserve"> </t>
        </is>
      </c>
      <c r="X183" t="inlineStr">
        <is>
          <t>No se encontró ejecución en CUIPO</t>
        </is>
      </c>
    </row>
    <row r="184">
      <c r="A184" t="inlineStr">
        <is>
          <t>IP-485</t>
        </is>
      </c>
      <c r="B184" t="inlineStr">
        <is>
          <t>45</t>
        </is>
      </c>
      <c r="C184" t="inlineStr">
        <is>
          <t>Gobierno Territorial</t>
        </is>
      </c>
      <c r="D184" t="inlineStr">
        <is>
          <t>4503</t>
        </is>
      </c>
      <c r="E184" t="inlineStr">
        <is>
          <t>Gestión del riesgo de desastres y emergencias</t>
        </is>
      </c>
      <c r="F184" t="inlineStr">
        <is>
          <t>4503003</t>
        </is>
      </c>
      <c r="G184" t="inlineStr">
        <is>
          <t>Servicio de asistencia técnica</t>
        </is>
      </c>
      <c r="H184"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84" t="inlineStr">
        <is>
          <t>2024251750051</t>
        </is>
      </c>
      <c r="J184" s="99">
        <v>2024999998</v>
      </c>
      <c r="K184" s="99">
        <v>1302018096</v>
      </c>
      <c r="L184" s="99">
        <v>175524950</v>
      </c>
      <c r="M184" s="99">
        <v>234749729</v>
      </c>
      <c r="N184" s="99">
        <v>312707223</v>
      </c>
      <c r="O184" s="99">
        <v>377454777</v>
      </c>
      <c r="P184" s="99">
        <v>324362242</v>
      </c>
      <c r="Q184" s="99">
        <v>324362242</v>
      </c>
      <c r="R184" s="100">
        <v>0.249122683468449</v>
      </c>
      <c r="S184" t="inlineStr">
        <is>
          <t>Lo obligado está por debajo de lo programado en la vigencia</t>
        </is>
      </c>
      <c r="T184" s="101">
        <v>334366800</v>
      </c>
      <c r="U184" s="101">
        <v>238537500</v>
      </c>
      <c r="V184" s="101">
        <v>238537500</v>
      </c>
      <c r="W184" s="102">
        <v>1.35899483235859</v>
      </c>
      <c r="X184" t="inlineStr">
        <is>
          <t>Hubo ejecución por encima de lo programado en SisPT</t>
        </is>
      </c>
    </row>
    <row r="185">
      <c r="A185" t="inlineStr">
        <is>
          <t>IP-486</t>
        </is>
      </c>
      <c r="B185" t="inlineStr">
        <is>
          <t>45</t>
        </is>
      </c>
      <c r="C185" t="inlineStr">
        <is>
          <t>Gobierno Territorial</t>
        </is>
      </c>
      <c r="D185" t="inlineStr">
        <is>
          <t>4503</t>
        </is>
      </c>
      <c r="E185" t="inlineStr">
        <is>
          <t>Gestión del riesgo de desastres y emergencias</t>
        </is>
      </c>
      <c r="F185" t="inlineStr">
        <is>
          <t>4503019</t>
        </is>
      </c>
      <c r="G185" t="inlineStr">
        <is>
          <t>"Servicios de información implementados"</t>
        </is>
      </c>
      <c r="H185" t="inlineStr">
        <is>
          <t>Corresponde al proceso que asegura la disposición de la información de manera accesible, confiable y oportuna.</t>
        </is>
      </c>
      <c r="I185" t="inlineStr">
        <is>
          <t>2024251750051</t>
        </is>
      </c>
      <c r="J185" s="99">
        <v>150000000</v>
      </c>
      <c r="K185" s="99">
        <v>0</v>
      </c>
      <c r="L185" s="99">
        <v>50000000</v>
      </c>
      <c r="M185" s="99">
        <v>50000000</v>
      </c>
      <c r="N185" s="99">
        <v>50000000</v>
      </c>
      <c r="O185" s="99" t="inlineStr">
        <is>
          <t xml:space="preserve"> </t>
        </is>
      </c>
      <c r="P185" s="99" t="inlineStr">
        <is>
          <t xml:space="preserve"> </t>
        </is>
      </c>
      <c r="Q185" s="99" t="inlineStr">
        <is>
          <t xml:space="preserve"> </t>
        </is>
      </c>
      <c r="R185" s="100" t="inlineStr">
        <is>
          <t xml:space="preserve"> </t>
        </is>
      </c>
      <c r="S185" t="inlineStr">
        <is>
          <t>No se encontró ejecución en CUIPO</t>
        </is>
      </c>
      <c r="T185" s="101" t="inlineStr">
        <is>
          <t xml:space="preserve"> </t>
        </is>
      </c>
      <c r="U185" s="101" t="inlineStr">
        <is>
          <t xml:space="preserve"> </t>
        </is>
      </c>
      <c r="V185" s="101" t="inlineStr">
        <is>
          <t xml:space="preserve"> </t>
        </is>
      </c>
      <c r="W185" s="102" t="inlineStr">
        <is>
          <t xml:space="preserve"> </t>
        </is>
      </c>
      <c r="X185" t="inlineStr">
        <is>
          <t>No se encontró ejecución en CUIPO</t>
        </is>
      </c>
    </row>
    <row r="186">
      <c r="A186" t="inlineStr">
        <is>
          <t>IP-487</t>
        </is>
      </c>
      <c r="B186" t="inlineStr">
        <is>
          <t>45</t>
        </is>
      </c>
      <c r="C186" t="inlineStr">
        <is>
          <t>Gobierno Territorial</t>
        </is>
      </c>
      <c r="D186" t="inlineStr">
        <is>
          <t>4503</t>
        </is>
      </c>
      <c r="E186" t="inlineStr">
        <is>
          <t>Gestión del riesgo de desastres y emergencias</t>
        </is>
      </c>
      <c r="F186" t="inlineStr">
        <is>
          <t>4503018</t>
        </is>
      </c>
      <c r="G186" t="inlineStr">
        <is>
          <t>"Servicio de monitoreo y seguimiento para la gestión del riesgo"</t>
        </is>
      </c>
      <c r="H186" t="inlineStr">
        <is>
          <t>Acciones para generar datos e información sobre el comportamiento de los fenómenos amenazantes, la vulnerabilidad y la dinámica de las condiciones de riesgo en el territorio que orienten la toma de decisiones.</t>
        </is>
      </c>
      <c r="I186" t="inlineStr">
        <is>
          <t>2024251750051</t>
        </is>
      </c>
      <c r="J186" s="99">
        <v>300000000</v>
      </c>
      <c r="K186" s="99">
        <v>150000000</v>
      </c>
      <c r="L186" s="99">
        <v>50000000</v>
      </c>
      <c r="M186" s="99">
        <v>50000000</v>
      </c>
      <c r="N186" s="99">
        <v>50000000</v>
      </c>
      <c r="O186" s="99">
        <v>47754700</v>
      </c>
      <c r="P186" s="99">
        <v>47754700</v>
      </c>
      <c r="Q186" s="99">
        <v>0</v>
      </c>
      <c r="R186" s="100">
        <v>0.318364666666667</v>
      </c>
      <c r="S186" t="inlineStr">
        <is>
          <t>Lo obligado está por debajo de lo programado en la vigencia</t>
        </is>
      </c>
      <c r="T186" s="101" t="inlineStr">
        <is>
          <t xml:space="preserve"> </t>
        </is>
      </c>
      <c r="U186" s="101" t="inlineStr">
        <is>
          <t xml:space="preserve"> </t>
        </is>
      </c>
      <c r="V186" s="101" t="inlineStr">
        <is>
          <t xml:space="preserve"> </t>
        </is>
      </c>
      <c r="W186" s="102" t="inlineStr">
        <is>
          <t xml:space="preserve"> </t>
        </is>
      </c>
      <c r="X186" t="inlineStr">
        <is>
          <t>No se encontró ejecución en CUIPO</t>
        </is>
      </c>
    </row>
    <row r="187">
      <c r="A187" t="inlineStr">
        <is>
          <t>IP-488</t>
        </is>
      </c>
      <c r="B187" t="inlineStr">
        <is>
          <t>45</t>
        </is>
      </c>
      <c r="C187" t="inlineStr">
        <is>
          <t>Gobierno Territorial</t>
        </is>
      </c>
      <c r="D187" t="inlineStr">
        <is>
          <t>4503</t>
        </is>
      </c>
      <c r="E187" t="inlineStr">
        <is>
          <t>Gestión del riesgo de desastres y emergencias</t>
        </is>
      </c>
      <c r="F187" t="inlineStr">
        <is>
          <t>4503002</t>
        </is>
      </c>
      <c r="G187" t="inlineStr">
        <is>
          <t>Servicio de educación informal</t>
        </is>
      </c>
      <c r="H187"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87" t="inlineStr">
        <is>
          <t>2024251750051</t>
        </is>
      </c>
      <c r="J187" s="99">
        <v>469561909</v>
      </c>
      <c r="K187" s="99">
        <v>144061909</v>
      </c>
      <c r="L187" s="99">
        <v>108500000</v>
      </c>
      <c r="M187" s="99">
        <v>108500000</v>
      </c>
      <c r="N187" s="99">
        <v>108500000</v>
      </c>
      <c r="O187" s="99">
        <v>43145000</v>
      </c>
      <c r="P187" s="99">
        <v>43145000</v>
      </c>
      <c r="Q187" s="99">
        <v>43145000</v>
      </c>
      <c r="R187" s="100">
        <v>0.299489298035055</v>
      </c>
      <c r="S187" t="inlineStr">
        <is>
          <t>Lo obligado está por debajo de lo programado en la vigencia</t>
        </is>
      </c>
      <c r="T187" s="101" t="inlineStr">
        <is>
          <t xml:space="preserve"> </t>
        </is>
      </c>
      <c r="U187" s="101" t="inlineStr">
        <is>
          <t xml:space="preserve"> </t>
        </is>
      </c>
      <c r="V187" s="101" t="inlineStr">
        <is>
          <t xml:space="preserve"> </t>
        </is>
      </c>
      <c r="W187" s="102" t="inlineStr">
        <is>
          <t xml:space="preserve"> </t>
        </is>
      </c>
      <c r="X187" t="inlineStr">
        <is>
          <t>No se encontró ejecución en CUIPO</t>
        </is>
      </c>
    </row>
    <row r="188">
      <c r="A188" t="inlineStr">
        <is>
          <t>IP-489</t>
        </is>
      </c>
      <c r="B188" t="inlineStr">
        <is>
          <t>45</t>
        </is>
      </c>
      <c r="C188" t="inlineStr">
        <is>
          <t>Gobierno Territorial</t>
        </is>
      </c>
      <c r="D188" t="inlineStr">
        <is>
          <t>4503</t>
        </is>
      </c>
      <c r="E188" t="inlineStr">
        <is>
          <t>Gestión del riesgo de desastres y emergencias</t>
        </is>
      </c>
      <c r="F188" t="inlineStr">
        <is>
          <t>4503035</t>
        </is>
      </c>
      <c r="G188" t="inlineStr">
        <is>
          <t>Servicio prevención y control de incendios</t>
        </is>
      </c>
      <c r="H188" t="inlineStr">
        <is>
          <t xml:space="preserve">Incluye las acciones desarrolladas para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t>
        </is>
      </c>
      <c r="I188" t="inlineStr">
        <is>
          <t>2024251750051</t>
        </is>
      </c>
      <c r="J188" s="99">
        <v>19865446900</v>
      </c>
      <c r="K188" s="99">
        <v>6200000000</v>
      </c>
      <c r="L188" s="99">
        <v>4471056000</v>
      </c>
      <c r="M188" s="99">
        <v>4554590260</v>
      </c>
      <c r="N188" s="99">
        <v>4639800640</v>
      </c>
      <c r="O188" s="99">
        <v>420000000</v>
      </c>
      <c r="P188" s="99">
        <v>0</v>
      </c>
      <c r="Q188" s="99">
        <v>0</v>
      </c>
      <c r="R188" s="100">
        <v>0</v>
      </c>
      <c r="S188" t="inlineStr">
        <is>
          <t>No se ejecutó en la vigencia</t>
        </is>
      </c>
      <c r="T188" s="101">
        <v>8711056000</v>
      </c>
      <c r="U188" s="101">
        <v>4637378250</v>
      </c>
      <c r="V188" s="101">
        <v>4637378250</v>
      </c>
      <c r="W188" s="102">
        <v>1.03719976891365</v>
      </c>
      <c r="X188" t="inlineStr">
        <is>
          <t>Hubo ejecución por encima de lo programado en SisPT</t>
        </is>
      </c>
    </row>
    <row r="189">
      <c r="A189" t="inlineStr">
        <is>
          <t>IP-490</t>
        </is>
      </c>
      <c r="B189" t="inlineStr">
        <is>
          <t>45</t>
        </is>
      </c>
      <c r="C189" t="inlineStr">
        <is>
          <t>Gobierno Territorial</t>
        </is>
      </c>
      <c r="D189" t="inlineStr">
        <is>
          <t>4503</t>
        </is>
      </c>
      <c r="E189" t="inlineStr">
        <is>
          <t>Gestión del riesgo de desastres y emergencias</t>
        </is>
      </c>
      <c r="F189" t="inlineStr">
        <is>
          <t>4503021</t>
        </is>
      </c>
      <c r="G189" t="inlineStr">
        <is>
          <t>Servicio de fortalecimiento a Seccionales de Defensa Civil</t>
        </is>
      </c>
      <c r="H189" t="inlineStr">
        <is>
          <t>Incluye la dotación a las diferentes Seccionales de Defensa Civil con vehículos, equipos de protección personal y equipos, herramientas y accesorios para la atención de emergencias, así como el aseguramiento del personal misional.</t>
        </is>
      </c>
      <c r="I189" t="inlineStr">
        <is>
          <t>2024251750051</t>
        </is>
      </c>
      <c r="J189" s="99">
        <v>1836924607</v>
      </c>
      <c r="K189" s="99">
        <v>500000000</v>
      </c>
      <c r="L189" s="99">
        <v>452169757</v>
      </c>
      <c r="M189" s="99">
        <v>443254850</v>
      </c>
      <c r="N189" s="99">
        <v>441500000</v>
      </c>
      <c r="O189" s="99">
        <v>48000000</v>
      </c>
      <c r="P189" s="99">
        <v>48000000</v>
      </c>
      <c r="Q189" s="99">
        <v>48000000</v>
      </c>
      <c r="R189" s="100">
        <v>0.096</v>
      </c>
      <c r="S189" t="inlineStr">
        <is>
          <t>Lo obligado está por debajo de lo programado en la vigencia</t>
        </is>
      </c>
      <c r="T189" s="101">
        <v>206000000</v>
      </c>
      <c r="U189" s="101">
        <v>123653000</v>
      </c>
      <c r="V189" s="101">
        <v>123653000</v>
      </c>
      <c r="W189" s="102">
        <v>0.273465878877875</v>
      </c>
      <c r="X189" t="inlineStr">
        <is>
          <t>Lo obligado está por debajo de lo programado en la vigencia</t>
        </is>
      </c>
    </row>
    <row r="190">
      <c r="A190" t="inlineStr">
        <is>
          <t>IP-491</t>
        </is>
      </c>
      <c r="B190" t="inlineStr">
        <is>
          <t>45</t>
        </is>
      </c>
      <c r="C190" t="inlineStr">
        <is>
          <t>Gobierno Territorial</t>
        </is>
      </c>
      <c r="D190" t="inlineStr">
        <is>
          <t>4503</t>
        </is>
      </c>
      <c r="E190" t="inlineStr">
        <is>
          <t>Gestión del riesgo de desastres y emergencias</t>
        </is>
      </c>
      <c r="F190" t="inlineStr">
        <is>
          <t>4503023</t>
        </is>
      </c>
      <c r="G190" t="inlineStr">
        <is>
          <t>Documentos de planeación</t>
        </is>
      </c>
      <c r="H190" t="inlineStr">
        <is>
          <t>Documentos cuyo objetivo es plasmar una visión de futuro a nivel país, entidad territorial, comunidad, sector, región, entidad o cualquier nivel de desagregación que se requiera. Incluye objetivos, estrategias, metas e indicadores</t>
        </is>
      </c>
      <c r="I190" t="inlineStr">
        <is>
          <t>2024251750051</t>
        </is>
      </c>
      <c r="J190" s="99">
        <v>150000000</v>
      </c>
      <c r="K190" s="99">
        <v>0</v>
      </c>
      <c r="L190" s="99">
        <v>75000000</v>
      </c>
      <c r="M190" s="99">
        <v>75000000</v>
      </c>
      <c r="N190" s="99">
        <v>0</v>
      </c>
      <c r="O190" s="99" t="inlineStr">
        <is>
          <t xml:space="preserve"> </t>
        </is>
      </c>
      <c r="P190" s="99" t="inlineStr">
        <is>
          <t xml:space="preserve"> </t>
        </is>
      </c>
      <c r="Q190" s="99" t="inlineStr">
        <is>
          <t xml:space="preserve"> </t>
        </is>
      </c>
      <c r="R190" s="100" t="inlineStr">
        <is>
          <t xml:space="preserve"> </t>
        </is>
      </c>
      <c r="S190" t="inlineStr">
        <is>
          <t>No se encontró ejecución en CUIPO</t>
        </is>
      </c>
      <c r="T190" s="101" t="inlineStr">
        <is>
          <t xml:space="preserve"> </t>
        </is>
      </c>
      <c r="U190" s="101" t="inlineStr">
        <is>
          <t xml:space="preserve"> </t>
        </is>
      </c>
      <c r="V190" s="101" t="inlineStr">
        <is>
          <t xml:space="preserve"> </t>
        </is>
      </c>
      <c r="W190" s="102" t="inlineStr">
        <is>
          <t xml:space="preserve"> </t>
        </is>
      </c>
      <c r="X190" t="inlineStr">
        <is>
          <t>No se encontró ejecución en CUIPO</t>
        </is>
      </c>
    </row>
    <row r="191">
      <c r="A191" t="inlineStr">
        <is>
          <t>IP-492, IP-495, IP-498</t>
        </is>
      </c>
      <c r="B191" t="inlineStr">
        <is>
          <t>45</t>
        </is>
      </c>
      <c r="C191" t="inlineStr">
        <is>
          <t>Gobierno Territorial</t>
        </is>
      </c>
      <c r="D191" t="inlineStr">
        <is>
          <t>4501</t>
        </is>
      </c>
      <c r="E191" t="inlineStr">
        <is>
          <t>Fortalecimiento de la convivencia y la seguridad ciudadana</t>
        </is>
      </c>
      <c r="F191" t="inlineStr">
        <is>
          <t>4501029</t>
        </is>
      </c>
      <c r="G191" t="inlineStr">
        <is>
          <t>Servicio de apoyo financiero para proyectos de convivencia y seguridad ciudadana</t>
        </is>
      </c>
      <c r="H191" t="inlineStr">
        <is>
          <t>Incluye la financiación monetaria de iniciativas ciudadanas que promuevan la convivencia y  seguridad ciudadana.</t>
        </is>
      </c>
      <c r="I191" t="inlineStr">
        <is>
          <t>2024251750049</t>
        </is>
      </c>
      <c r="J191" s="99">
        <v>35047444932</v>
      </c>
      <c r="K191" s="99">
        <v>6486640763</v>
      </c>
      <c r="L191" s="99">
        <v>6337440872</v>
      </c>
      <c r="M191" s="99">
        <v>10612322448</v>
      </c>
      <c r="N191" s="99">
        <v>11611040849</v>
      </c>
      <c r="O191" s="99">
        <v>1588961566</v>
      </c>
      <c r="P191" s="99">
        <v>926361566</v>
      </c>
      <c r="Q191" s="99">
        <v>918512560</v>
      </c>
      <c r="R191" s="100">
        <v>0.142810678106917</v>
      </c>
      <c r="S191" t="inlineStr">
        <is>
          <t>Lo obligado está por debajo de lo programado en la vigencia</t>
        </is>
      </c>
      <c r="T191" s="101">
        <v>16809047509</v>
      </c>
      <c r="U191" s="101">
        <v>13695803392</v>
      </c>
      <c r="V191" s="101">
        <v>13695803392</v>
      </c>
      <c r="W191" s="102">
        <v>2.1610936762362</v>
      </c>
      <c r="X191" t="inlineStr">
        <is>
          <t>Hubo ejecución por encima de lo programado en SisPT</t>
        </is>
      </c>
    </row>
    <row r="192">
      <c r="A192" t="inlineStr">
        <is>
          <t>IP-493</t>
        </is>
      </c>
      <c r="B192" t="inlineStr">
        <is>
          <t>45</t>
        </is>
      </c>
      <c r="C192" t="inlineStr">
        <is>
          <t>Gobierno Territorial</t>
        </is>
      </c>
      <c r="D192" t="inlineStr">
        <is>
          <t>4501</t>
        </is>
      </c>
      <c r="E192" t="inlineStr">
        <is>
          <t>Fortalecimiento de la convivencia y la seguridad ciudadana</t>
        </is>
      </c>
      <c r="F192" t="inlineStr">
        <is>
          <t>4501028</t>
        </is>
      </c>
      <c r="G192" t="inlineStr">
        <is>
          <t>Servicio de vigilancia a través de cámaras de seguridad</t>
        </is>
      </c>
      <c r="H192" t="inlineStr">
        <is>
          <t>Incluye la disposición tecnológica de cámaras de seguridad para la implementación de estrategias de convivencia y seguridad ciudadana.</t>
        </is>
      </c>
      <c r="I192" t="inlineStr">
        <is>
          <t>2024251750049</t>
        </is>
      </c>
      <c r="J192" s="99">
        <v>1380000000</v>
      </c>
      <c r="K192" s="99">
        <v>300000000</v>
      </c>
      <c r="L192" s="99">
        <v>280000000</v>
      </c>
      <c r="M192" s="99">
        <v>400000000</v>
      </c>
      <c r="N192" s="99">
        <v>400000000</v>
      </c>
      <c r="O192" s="99">
        <v>13300000</v>
      </c>
      <c r="P192" s="99">
        <v>13300000</v>
      </c>
      <c r="Q192" s="99">
        <v>13300000</v>
      </c>
      <c r="R192" s="100">
        <v>0.0443333333333333</v>
      </c>
      <c r="S192" t="inlineStr">
        <is>
          <t>Lo obligado está por debajo de lo programado en la vigencia</t>
        </is>
      </c>
      <c r="T192" s="101">
        <v>60000000</v>
      </c>
      <c r="U192" s="101">
        <v>52000000</v>
      </c>
      <c r="V192" s="101">
        <v>52000000</v>
      </c>
      <c r="W192" s="102">
        <v>0.185714285714286</v>
      </c>
      <c r="X192" t="inlineStr">
        <is>
          <t>Lo obligado está por debajo de lo programado en la vigencia</t>
        </is>
      </c>
    </row>
    <row r="193">
      <c r="A193" t="inlineStr">
        <is>
          <t>IP-494</t>
        </is>
      </c>
      <c r="B193" t="inlineStr">
        <is>
          <t>45</t>
        </is>
      </c>
      <c r="C193" t="inlineStr">
        <is>
          <t>Gobierno Territorial</t>
        </is>
      </c>
      <c r="D193" t="inlineStr">
        <is>
          <t>4501</t>
        </is>
      </c>
      <c r="E193" t="inlineStr">
        <is>
          <t>Fortalecimiento de la convivencia y la seguridad ciudadana</t>
        </is>
      </c>
      <c r="F193" t="inlineStr">
        <is>
          <t>4501008</t>
        </is>
      </c>
      <c r="G193" t="inlineStr">
        <is>
          <t>Servicio de información actualizado</t>
        </is>
      </c>
      <c r="H193" t="inlineStr">
        <is>
          <t>Corresponde al proceso que mejora en la disposición de la información para asegurar que sea accesible, confiable y oportuna.</t>
        </is>
      </c>
      <c r="I193" t="inlineStr">
        <is>
          <t>2024251750049</t>
        </is>
      </c>
      <c r="J193" s="99">
        <v>280000000</v>
      </c>
      <c r="K193" s="99">
        <v>70000000</v>
      </c>
      <c r="L193" s="99">
        <v>70000000</v>
      </c>
      <c r="M193" s="99">
        <v>70000000</v>
      </c>
      <c r="N193" s="99">
        <v>70000000</v>
      </c>
      <c r="O193" s="99">
        <v>48350000</v>
      </c>
      <c r="P193" s="99">
        <v>23100000</v>
      </c>
      <c r="Q193" s="99">
        <v>23100000</v>
      </c>
      <c r="R193" s="100">
        <v>0.33</v>
      </c>
      <c r="S193" t="inlineStr">
        <is>
          <t>Lo obligado está por debajo de lo programado en la vigencia</t>
        </is>
      </c>
      <c r="T193" s="101">
        <v>82000000</v>
      </c>
      <c r="U193" s="101">
        <v>61000000</v>
      </c>
      <c r="V193" s="101">
        <v>61000000</v>
      </c>
      <c r="W193" s="102">
        <v>0.871428571428571</v>
      </c>
      <c r="X193" t="inlineStr">
        <is>
          <t>Lo obligado está por debajo de lo programado en la vigencia</t>
        </is>
      </c>
    </row>
    <row r="194">
      <c r="A194" t="inlineStr">
        <is>
          <t>IP-496</t>
        </is>
      </c>
      <c r="B194" t="inlineStr">
        <is>
          <t>45</t>
        </is>
      </c>
      <c r="C194" t="inlineStr">
        <is>
          <t>Gobierno Territorial</t>
        </is>
      </c>
      <c r="D194" t="inlineStr">
        <is>
          <t>4501</t>
        </is>
      </c>
      <c r="E194" t="inlineStr">
        <is>
          <t>Fortalecimiento de la convivencia y la seguridad ciudadana</t>
        </is>
      </c>
      <c r="F194" t="inlineStr">
        <is>
          <t>4501056</t>
        </is>
      </c>
      <c r="G194" t="inlineStr">
        <is>
          <t>Servicio de apoyo financiero para la justicia y seguridad</t>
        </is>
      </c>
      <c r="H194" t="inlineStr">
        <is>
          <t>Corresponde a los recursos destinados a compensar a personas que colaboren con la justicia y a contribuir a la seguridad de las mismas.</t>
        </is>
      </c>
      <c r="I194" t="inlineStr">
        <is>
          <t>2024251750049</t>
        </is>
      </c>
      <c r="J194" s="99">
        <v>1800000000</v>
      </c>
      <c r="K194" s="99">
        <v>650000000</v>
      </c>
      <c r="L194" s="99">
        <v>550000000</v>
      </c>
      <c r="M194" s="99">
        <v>300000000</v>
      </c>
      <c r="N194" s="99">
        <v>300000000</v>
      </c>
      <c r="O194" s="99">
        <v>0</v>
      </c>
      <c r="P194" s="99">
        <v>0</v>
      </c>
      <c r="Q194" s="99">
        <v>0</v>
      </c>
      <c r="R194" s="100">
        <v>0</v>
      </c>
      <c r="S194" t="inlineStr">
        <is>
          <t>No se ejecutó en la vigencia</t>
        </is>
      </c>
      <c r="T194" s="101" t="inlineStr">
        <is>
          <t xml:space="preserve"> </t>
        </is>
      </c>
      <c r="U194" s="101" t="inlineStr">
        <is>
          <t xml:space="preserve"> </t>
        </is>
      </c>
      <c r="V194" s="101" t="inlineStr">
        <is>
          <t xml:space="preserve"> </t>
        </is>
      </c>
      <c r="W194" s="102" t="inlineStr">
        <is>
          <t xml:space="preserve"> </t>
        </is>
      </c>
      <c r="X194" t="inlineStr">
        <is>
          <t>No se encontró ejecución en CUIPO</t>
        </is>
      </c>
    </row>
    <row r="195">
      <c r="A195" t="inlineStr">
        <is>
          <t>IP-497</t>
        </is>
      </c>
      <c r="B195" t="inlineStr">
        <is>
          <t>45</t>
        </is>
      </c>
      <c r="C195" t="inlineStr">
        <is>
          <t>Gobierno Territorial</t>
        </is>
      </c>
      <c r="D195" t="inlineStr">
        <is>
          <t>4501</t>
        </is>
      </c>
      <c r="E195" t="inlineStr">
        <is>
          <t>Fortalecimiento de la convivencia y la seguridad ciudadana</t>
        </is>
      </c>
      <c r="F195" t="inlineStr">
        <is>
          <t>4501046</t>
        </is>
      </c>
      <c r="G195" t="inlineStr">
        <is>
          <t>Documentos de lineamientos técnicos</t>
        </is>
      </c>
      <c r="H195" t="inlineStr">
        <is>
          <t>Documentos cuyo objetivo es describir y explicar instrumentos, estándares, requisitos y condiciones necesarias para llevar a cabo un proceso o actividad.</t>
        </is>
      </c>
      <c r="I195" t="inlineStr">
        <is>
          <t>2024251750049</t>
        </is>
      </c>
      <c r="J195" s="99">
        <v>1625000000</v>
      </c>
      <c r="K195" s="99">
        <v>812500000</v>
      </c>
      <c r="L195" s="99">
        <v>0</v>
      </c>
      <c r="M195" s="99">
        <v>0</v>
      </c>
      <c r="N195" s="99">
        <v>812500000</v>
      </c>
      <c r="O195" s="99">
        <v>832000</v>
      </c>
      <c r="P195" s="99">
        <v>832000</v>
      </c>
      <c r="Q195" s="99">
        <v>832000</v>
      </c>
      <c r="R195" s="100">
        <v>0.001024</v>
      </c>
      <c r="S195" t="inlineStr">
        <is>
          <t>Lo obligado está por debajo de lo programado en la vigencia</t>
        </is>
      </c>
      <c r="T195" s="101" t="inlineStr">
        <is>
          <t xml:space="preserve"> </t>
        </is>
      </c>
      <c r="U195" s="101" t="inlineStr">
        <is>
          <t xml:space="preserve"> </t>
        </is>
      </c>
      <c r="V195" s="101" t="inlineStr">
        <is>
          <t xml:space="preserve"> </t>
        </is>
      </c>
      <c r="W195" s="102" t="inlineStr">
        <is>
          <t xml:space="preserve"> </t>
        </is>
      </c>
      <c r="X195" t="inlineStr">
        <is>
          <t>No se encontró ejecución en CUIPO</t>
        </is>
      </c>
    </row>
    <row r="196">
      <c r="A196" t="inlineStr">
        <is>
          <t>IP-499</t>
        </is>
      </c>
      <c r="B196" t="inlineStr">
        <is>
          <t>12</t>
        </is>
      </c>
      <c r="C196" t="inlineStr">
        <is>
          <t>Justicia y del derecho</t>
        </is>
      </c>
      <c r="D196" t="inlineStr">
        <is>
          <t>1206</t>
        </is>
      </c>
      <c r="E196" t="inlineStr">
        <is>
          <t>Sistema penitenciario y carcelario en el marco de los derechos humanos</t>
        </is>
      </c>
      <c r="F196" t="inlineStr">
        <is>
          <t>1206007</t>
        </is>
      </c>
      <c r="G196" t="inlineStr">
        <is>
          <t>Servicio de bienestar a la población privada de libertad</t>
        </is>
      </c>
      <c r="H196" t="inlineStr">
        <is>
          <t>Hace referencia a los diferentes Servicio de bienestar que reciben las personas privadas de la libertad</t>
        </is>
      </c>
      <c r="I196" t="inlineStr">
        <is>
          <t>2024251750050</t>
        </is>
      </c>
      <c r="J196" s="99">
        <v>1596194509</v>
      </c>
      <c r="K196" s="99">
        <v>399048627</v>
      </c>
      <c r="L196" s="99">
        <v>399048627</v>
      </c>
      <c r="M196" s="99">
        <v>399048627</v>
      </c>
      <c r="N196" s="99">
        <v>399048628</v>
      </c>
      <c r="O196" s="99">
        <v>47413517</v>
      </c>
      <c r="P196" s="99">
        <v>47413517</v>
      </c>
      <c r="Q196" s="99">
        <v>47413517</v>
      </c>
      <c r="R196" s="100">
        <v>0.118816389261753</v>
      </c>
      <c r="S196" t="inlineStr">
        <is>
          <t>Lo obligado está por debajo de lo programado en la vigencia</t>
        </is>
      </c>
      <c r="T196" s="101">
        <v>247198306</v>
      </c>
      <c r="U196" s="101">
        <v>185806306</v>
      </c>
      <c r="V196" s="101">
        <v>185806306</v>
      </c>
      <c r="W196" s="102">
        <v>0.465623218395386</v>
      </c>
      <c r="X196" t="inlineStr">
        <is>
          <t>Lo obligado está por debajo de lo programado en la vigencia</t>
        </is>
      </c>
    </row>
    <row r="197">
      <c r="A197" t="inlineStr">
        <is>
          <t>IP-500</t>
        </is>
      </c>
      <c r="B197" t="inlineStr">
        <is>
          <t>12</t>
        </is>
      </c>
      <c r="C197" t="inlineStr">
        <is>
          <t>Justicia y del derecho</t>
        </is>
      </c>
      <c r="D197" t="inlineStr">
        <is>
          <t>1202</t>
        </is>
      </c>
      <c r="E197" t="inlineStr">
        <is>
          <t>Promoción al acceso a la justicia</t>
        </is>
      </c>
      <c r="F197" t="inlineStr">
        <is>
          <t>1202002</t>
        </is>
      </c>
      <c r="G197" t="inlineStr">
        <is>
          <t>Servicio de justicia a los ciudadanos</t>
        </is>
      </c>
      <c r="H197" t="inlineStr">
        <is>
          <t>Hace referencia a servicios de información y orientación sobre herramientas y mecanismos legales, formales y no formales, para el reconocimiento y protección de los derechos de los ciudadanos</t>
        </is>
      </c>
      <c r="I197" t="inlineStr">
        <is>
          <t>2024251750056</t>
        </is>
      </c>
      <c r="J197" s="99">
        <v>2100000000</v>
      </c>
      <c r="K197" s="99">
        <v>525000000</v>
      </c>
      <c r="L197" s="99">
        <v>525000000</v>
      </c>
      <c r="M197" s="99">
        <v>525000000</v>
      </c>
      <c r="N197" s="99">
        <v>525000000</v>
      </c>
      <c r="O197" s="99">
        <v>179859786</v>
      </c>
      <c r="P197" s="99">
        <v>115719999</v>
      </c>
      <c r="Q197" s="99">
        <v>112199999</v>
      </c>
      <c r="R197" s="100">
        <v>0.220419045714286</v>
      </c>
      <c r="S197" t="inlineStr">
        <is>
          <t>Lo obligado está por debajo de lo programado en la vigencia</t>
        </is>
      </c>
      <c r="T197" s="101">
        <v>458757828</v>
      </c>
      <c r="U197" s="101">
        <v>319583400</v>
      </c>
      <c r="V197" s="101">
        <v>319583400</v>
      </c>
      <c r="W197" s="102">
        <v>0.608730285714286</v>
      </c>
      <c r="X197" t="inlineStr">
        <is>
          <t>Lo obligado está por debajo de lo programado en la vigencia</t>
        </is>
      </c>
    </row>
    <row r="198">
      <c r="A198" t="inlineStr">
        <is>
          <t>IP-501</t>
        </is>
      </c>
      <c r="B198" t="inlineStr">
        <is>
          <t>12</t>
        </is>
      </c>
      <c r="C198" t="inlineStr">
        <is>
          <t>Justicia y del derecho</t>
        </is>
      </c>
      <c r="D198" t="inlineStr">
        <is>
          <t>1202</t>
        </is>
      </c>
      <c r="E198" t="inlineStr">
        <is>
          <t>Promoción al acceso a la justicia</t>
        </is>
      </c>
      <c r="F198" t="inlineStr">
        <is>
          <t>1202004</t>
        </is>
      </c>
      <c r="G198" t="inlineStr">
        <is>
          <t>Servicio de asistencia técnica para la articulación de los operadores de los Servicio de justicia</t>
        </is>
      </c>
      <c r="H198" t="inlineStr">
        <is>
          <t>Asesoría y acompañamiento a entidades territoriales para que haya una adecuada articulación entre los operadores de los Servicio de justicia</t>
        </is>
      </c>
      <c r="I198" t="inlineStr">
        <is>
          <t>2024251750056</t>
        </is>
      </c>
      <c r="J198" s="99">
        <v>2500000000</v>
      </c>
      <c r="K198" s="99">
        <v>625000000</v>
      </c>
      <c r="L198" s="99">
        <v>625000000</v>
      </c>
      <c r="M198" s="99">
        <v>625000000</v>
      </c>
      <c r="N198" s="99">
        <v>625000000</v>
      </c>
      <c r="O198" s="99">
        <v>93266862</v>
      </c>
      <c r="P198" s="99">
        <v>76586374</v>
      </c>
      <c r="Q198" s="99">
        <v>76586374</v>
      </c>
      <c r="R198" s="100">
        <v>0.1225381984</v>
      </c>
      <c r="S198" t="inlineStr">
        <is>
          <t>Lo obligado está por debajo de lo programado en la vigencia</t>
        </is>
      </c>
      <c r="T198" s="101">
        <v>400099700</v>
      </c>
      <c r="U198" s="101">
        <v>245480900</v>
      </c>
      <c r="V198" s="101">
        <v>245480900</v>
      </c>
      <c r="W198" s="102">
        <v>0.39276944</v>
      </c>
      <c r="X198" t="inlineStr">
        <is>
          <t>Lo obligado está por debajo de lo programado en la vigencia</t>
        </is>
      </c>
    </row>
    <row r="199">
      <c r="A199" t="inlineStr">
        <is>
          <t>IP-502</t>
        </is>
      </c>
      <c r="B199" t="inlineStr">
        <is>
          <t>12</t>
        </is>
      </c>
      <c r="C199" t="inlineStr">
        <is>
          <t>Justicia y del derecho</t>
        </is>
      </c>
      <c r="D199" t="inlineStr">
        <is>
          <t>1202</t>
        </is>
      </c>
      <c r="E199" t="inlineStr">
        <is>
          <t>Promoción al acceso a la justicia</t>
        </is>
      </c>
      <c r="F199" t="inlineStr">
        <is>
          <t>1202005</t>
        </is>
      </c>
      <c r="G199" t="inlineStr">
        <is>
          <t>Servicio de asistencia técnica para la descentralización de los Servicio de justicia en los territorios</t>
        </is>
      </c>
      <c r="H199" t="inlineStr">
        <is>
          <t>Asesoría y acompañamiento a entidades territoriales para fortalecer la descentralización de los Servicio de justicia</t>
        </is>
      </c>
      <c r="I199" t="inlineStr">
        <is>
          <t>2024251750056</t>
        </is>
      </c>
      <c r="J199" s="99">
        <v>500000000</v>
      </c>
      <c r="K199" s="99">
        <v>125000000</v>
      </c>
      <c r="L199" s="99">
        <v>125000000</v>
      </c>
      <c r="M199" s="99">
        <v>125000000</v>
      </c>
      <c r="N199" s="99">
        <v>125000000</v>
      </c>
      <c r="O199" s="99">
        <v>76128713</v>
      </c>
      <c r="P199" s="99">
        <v>3128713</v>
      </c>
      <c r="Q199" s="99">
        <v>3128713</v>
      </c>
      <c r="R199" s="100">
        <v>0.025029704</v>
      </c>
      <c r="S199" t="inlineStr">
        <is>
          <t>Lo obligado está por debajo de lo programado en la vigencia</t>
        </is>
      </c>
      <c r="T199" s="101" t="inlineStr">
        <is>
          <t xml:space="preserve"> </t>
        </is>
      </c>
      <c r="U199" s="101" t="inlineStr">
        <is>
          <t xml:space="preserve"> </t>
        </is>
      </c>
      <c r="V199" s="101" t="inlineStr">
        <is>
          <t xml:space="preserve"> </t>
        </is>
      </c>
      <c r="W199" s="102" t="inlineStr">
        <is>
          <t xml:space="preserve"> </t>
        </is>
      </c>
      <c r="X199" t="inlineStr">
        <is>
          <t>No se encontró ejecución en CUIPO</t>
        </is>
      </c>
    </row>
    <row r="200">
      <c r="A200" t="inlineStr">
        <is>
          <t>IP-503</t>
        </is>
      </c>
      <c r="B200" t="inlineStr">
        <is>
          <t>12</t>
        </is>
      </c>
      <c r="C200" t="inlineStr">
        <is>
          <t>Justicia y del derecho</t>
        </is>
      </c>
      <c r="D200" t="inlineStr">
        <is>
          <t>1202</t>
        </is>
      </c>
      <c r="E200" t="inlineStr">
        <is>
          <t>Promoción al acceso a la justicia</t>
        </is>
      </c>
      <c r="F200" t="inlineStr">
        <is>
          <t>1202019</t>
        </is>
      </c>
      <c r="G200" t="inlineStr">
        <is>
          <t>Servicio de promoción del acceso a la justicia</t>
        </is>
      </c>
      <c r="H200" t="inlineStr">
        <is>
          <t>Comprende el desarrollo de estrategias para la promoción del acceso a la justicia </t>
        </is>
      </c>
      <c r="I200" t="inlineStr">
        <is>
          <t>2024251750056</t>
        </is>
      </c>
      <c r="J200" s="99">
        <v>770000000</v>
      </c>
      <c r="K200" s="99">
        <v>192500000</v>
      </c>
      <c r="L200" s="99">
        <v>192500000</v>
      </c>
      <c r="M200" s="99">
        <v>192500000</v>
      </c>
      <c r="N200" s="99">
        <v>192500000</v>
      </c>
      <c r="O200" s="99">
        <v>48152850</v>
      </c>
      <c r="P200" s="99">
        <v>48152850</v>
      </c>
      <c r="Q200" s="99">
        <v>48152850</v>
      </c>
      <c r="R200" s="100">
        <v>0.250144675324675</v>
      </c>
      <c r="S200" t="inlineStr">
        <is>
          <t>Lo obligado está por debajo de lo programado en la vigencia</t>
        </is>
      </c>
      <c r="T200" s="101">
        <v>155774000</v>
      </c>
      <c r="U200" s="101">
        <v>106134000</v>
      </c>
      <c r="V200" s="101">
        <v>106134000</v>
      </c>
      <c r="W200" s="102">
        <v>0.551345454545455</v>
      </c>
      <c r="X200" t="inlineStr">
        <is>
          <t>Lo obligado está por debajo de lo programado en la vigencia</t>
        </is>
      </c>
    </row>
    <row r="201">
      <c r="A201" t="inlineStr">
        <is>
          <t>IP-504</t>
        </is>
      </c>
      <c r="B201" t="inlineStr">
        <is>
          <t>41</t>
        </is>
      </c>
      <c r="C201" t="inlineStr">
        <is>
          <t xml:space="preserve">Inclusión social y reconciliación </t>
        </is>
      </c>
      <c r="D201" t="inlineStr">
        <is>
          <t>4101</t>
        </is>
      </c>
      <c r="E201" t="inlineStr">
        <is>
          <t>Atención, asistencia y reparación integral a las víctimas</t>
        </is>
      </c>
      <c r="F201" t="inlineStr">
        <is>
          <t>4101025</t>
        </is>
      </c>
      <c r="G201" t="inlineStr">
        <is>
          <t>Servicio de ayuda y atención humanitaria</t>
        </is>
      </c>
      <c r="H201"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201" t="inlineStr">
        <is>
          <t>2024251750053</t>
        </is>
      </c>
      <c r="J201" s="99">
        <v>200000000</v>
      </c>
      <c r="K201" s="99">
        <v>50000000</v>
      </c>
      <c r="L201" s="99">
        <v>50000000</v>
      </c>
      <c r="M201" s="99">
        <v>50000000</v>
      </c>
      <c r="N201" s="99">
        <v>50000000</v>
      </c>
      <c r="O201" s="99">
        <v>44906496</v>
      </c>
      <c r="P201" s="99">
        <v>44906496</v>
      </c>
      <c r="Q201" s="99">
        <v>44906496</v>
      </c>
      <c r="R201" s="100">
        <v>0.89812992</v>
      </c>
      <c r="S201" t="inlineStr">
        <is>
          <t>Lo obligado está por debajo de lo programado en la vigencia</t>
        </is>
      </c>
      <c r="T201" s="101">
        <v>76787058</v>
      </c>
      <c r="U201" s="101">
        <v>49787048</v>
      </c>
      <c r="V201" s="101">
        <v>48571806</v>
      </c>
      <c r="W201" s="102">
        <v>0.99574096</v>
      </c>
      <c r="X201" t="inlineStr">
        <is>
          <t>Lo obligado está por debajo de lo programado en la vigencia</t>
        </is>
      </c>
    </row>
    <row r="202">
      <c r="A202" t="inlineStr">
        <is>
          <t>IP-505</t>
        </is>
      </c>
      <c r="B202" t="inlineStr">
        <is>
          <t>41</t>
        </is>
      </c>
      <c r="C202" t="inlineStr">
        <is>
          <t xml:space="preserve">Inclusión social y reconciliación </t>
        </is>
      </c>
      <c r="D202" t="inlineStr">
        <is>
          <t>4101</t>
        </is>
      </c>
      <c r="E202" t="inlineStr">
        <is>
          <t>Atención, asistencia y reparación integral a las víctimas</t>
        </is>
      </c>
      <c r="F202" t="inlineStr">
        <is>
          <t>4101038</t>
        </is>
      </c>
      <c r="G202" t="inlineStr">
        <is>
          <t>Servicio de asistencia técnica para la participación de las víctimas</t>
        </is>
      </c>
      <c r="H202" t="inlineStr">
        <is>
          <t>Orientados a generar mecanismos mediante los cuales las víctimas tengan participación conjunta y activa en la determinación de las medidas y programas que se desarrollan en su proceso de atención y reparación.</t>
        </is>
      </c>
      <c r="I202" t="inlineStr">
        <is>
          <t>2024251750053</t>
        </is>
      </c>
      <c r="J202" s="99">
        <v>80000000</v>
      </c>
      <c r="K202" s="99">
        <v>20000000</v>
      </c>
      <c r="L202" s="99">
        <v>20000000</v>
      </c>
      <c r="M202" s="99">
        <v>20000000</v>
      </c>
      <c r="N202" s="99">
        <v>20000000</v>
      </c>
      <c r="O202" s="99">
        <v>8804000</v>
      </c>
      <c r="P202" s="99">
        <v>8804000</v>
      </c>
      <c r="Q202" s="99">
        <v>8804000</v>
      </c>
      <c r="R202" s="100">
        <v>0.4402</v>
      </c>
      <c r="S202" t="inlineStr">
        <is>
          <t>Lo obligado está por debajo de lo programado en la vigencia</t>
        </is>
      </c>
      <c r="T202" s="101">
        <v>7949600</v>
      </c>
      <c r="U202" s="101">
        <v>7949600</v>
      </c>
      <c r="V202" s="101">
        <v>7949600</v>
      </c>
      <c r="W202" s="102">
        <v>0.39748</v>
      </c>
      <c r="X202" t="inlineStr">
        <is>
          <t>Lo obligado está por debajo de lo programado en la vigencia</t>
        </is>
      </c>
    </row>
    <row r="203">
      <c r="A203" t="inlineStr">
        <is>
          <t>IP-506, IP-507, IP-508, IP-509, IP-510</t>
        </is>
      </c>
      <c r="B203" t="inlineStr">
        <is>
          <t>45</t>
        </is>
      </c>
      <c r="C203" t="inlineStr">
        <is>
          <t>Gobierno Territorial</t>
        </is>
      </c>
      <c r="D203" t="inlineStr">
        <is>
          <t>4502</t>
        </is>
      </c>
      <c r="E203" t="inlineStr">
        <is>
          <t>Fortalecimiento del buen gobierno para el respeto y garantía de los derechos humanos.</t>
        </is>
      </c>
      <c r="F203" t="inlineStr">
        <is>
          <t>4502001</t>
        </is>
      </c>
      <c r="G203" t="inlineStr">
        <is>
          <t>Servicio de promoción a la participación ciudadana</t>
        </is>
      </c>
      <c r="H203" t="inlineStr">
        <is>
          <t>Corresponde al diseño e implementación de acciones y estrategias que promuevan el ejercicio de la participación ciudadana para el respeto y garantía de los derechos humanos</t>
        </is>
      </c>
      <c r="I203" t="inlineStr">
        <is>
          <t>2024251750021</t>
        </is>
      </c>
      <c r="J203" s="99">
        <v>40731298130</v>
      </c>
      <c r="K203" s="99">
        <v>1154342500</v>
      </c>
      <c r="L203" s="99">
        <v>17695553594</v>
      </c>
      <c r="M203" s="99">
        <v>20317983886</v>
      </c>
      <c r="N203" s="99">
        <v>1563418150</v>
      </c>
      <c r="O203" s="99">
        <v>696150955</v>
      </c>
      <c r="P203" s="99">
        <v>696150955</v>
      </c>
      <c r="Q203" s="99">
        <v>690550955</v>
      </c>
      <c r="R203" s="100">
        <v>0.603071406449992</v>
      </c>
      <c r="S203" t="inlineStr">
        <is>
          <t>Lo obligado está por debajo de lo programado en la vigencia</t>
        </is>
      </c>
      <c r="T203" s="101">
        <v>1324652095</v>
      </c>
      <c r="U203" s="101">
        <v>991766485</v>
      </c>
      <c r="V203" s="101">
        <v>976528885</v>
      </c>
      <c r="W203" s="102">
        <v>0.0560460841042168</v>
      </c>
      <c r="X203" t="inlineStr">
        <is>
          <t>Lo obligado está por debajo de lo programado en la vigencia</t>
        </is>
      </c>
    </row>
    <row r="204">
      <c r="A204" t="inlineStr">
        <is>
          <t>IP-511, IP-512</t>
        </is>
      </c>
      <c r="B204" t="inlineStr">
        <is>
          <t>45</t>
        </is>
      </c>
      <c r="C204" t="inlineStr">
        <is>
          <t>Gobierno Territorial</t>
        </is>
      </c>
      <c r="D204" t="inlineStr">
        <is>
          <t>4502</t>
        </is>
      </c>
      <c r="E204" t="inlineStr">
        <is>
          <t>Fortalecimiento del buen gobierno para el respeto y garantía de los derechos humanos.</t>
        </is>
      </c>
      <c r="F204" t="inlineStr">
        <is>
          <t>4502033</t>
        </is>
      </c>
      <c r="G204" t="inlineStr">
        <is>
          <t>Servicio de integración de la oferta pública</t>
        </is>
      </c>
      <c r="H204" t="inlineStr">
        <is>
          <t>Corresponde al diseño e implementación de espacios que articulen la oferta institucional para que los ciudadanos conozcan sus derechos y deberes y los mecanismos de acceso a la oferta publica.</t>
        </is>
      </c>
      <c r="I204" t="inlineStr">
        <is>
          <t>2024251750021</t>
        </is>
      </c>
      <c r="J204" s="99">
        <v>1600524826</v>
      </c>
      <c r="K204" s="99">
        <v>315121390</v>
      </c>
      <c r="L204" s="99">
        <v>384482934</v>
      </c>
      <c r="M204" s="99">
        <v>431062441</v>
      </c>
      <c r="N204" s="99">
        <v>469858061</v>
      </c>
      <c r="O204" s="99">
        <v>754460402</v>
      </c>
      <c r="P204" s="99">
        <v>754460402</v>
      </c>
      <c r="Q204" s="99">
        <v>754460402</v>
      </c>
      <c r="R204" s="100">
        <v>2.39418975017849</v>
      </c>
      <c r="S204" t="inlineStr">
        <is>
          <t>Hubo ejecución por encima de lo programado en SisPT</t>
        </is>
      </c>
      <c r="T204" s="101">
        <v>783008000</v>
      </c>
      <c r="U204" s="101">
        <v>594266750</v>
      </c>
      <c r="V204" s="101">
        <v>583131500</v>
      </c>
      <c r="W204" s="102">
        <v>1.54562581963651</v>
      </c>
      <c r="X204" t="inlineStr">
        <is>
          <t>Hubo ejecución por encima de lo programado en SisPT</t>
        </is>
      </c>
    </row>
    <row r="205">
      <c r="A205" t="inlineStr">
        <is>
          <t>IP-513</t>
        </is>
      </c>
      <c r="B205" t="inlineStr">
        <is>
          <t>45</t>
        </is>
      </c>
      <c r="C205" t="inlineStr">
        <is>
          <t>Gobierno Territorial</t>
        </is>
      </c>
      <c r="D205" t="inlineStr">
        <is>
          <t>4502</t>
        </is>
      </c>
      <c r="E205" t="inlineStr">
        <is>
          <t>Fortalecimiento del buen gobierno para el respeto y garantía de los derechos humanos.</t>
        </is>
      </c>
      <c r="F205" t="inlineStr">
        <is>
          <t>4502035</t>
        </is>
      </c>
      <c r="G205" t="inlineStr">
        <is>
          <t>Documentos de planeación</t>
        </is>
      </c>
      <c r="H205" t="inlineStr">
        <is>
          <t>Documentos cuyo objetivo es plasmar una visión de futuro a nivel país, entidad territorial, comunidad, sector, región, entidad o cualquier nivel de desagregación que se requiera. Incluye objetivos, estrategias, metas e indicadores.</t>
        </is>
      </c>
      <c r="I205" t="inlineStr">
        <is>
          <t>2024251750021</t>
        </is>
      </c>
      <c r="J205" s="99">
        <v>658177045</v>
      </c>
      <c r="K205" s="99">
        <v>35750000</v>
      </c>
      <c r="L205" s="99">
        <v>40397500</v>
      </c>
      <c r="M205" s="99">
        <v>544033275</v>
      </c>
      <c r="N205" s="99">
        <v>37996270</v>
      </c>
      <c r="O205" s="99">
        <v>11137479</v>
      </c>
      <c r="P205" s="99">
        <v>11137479</v>
      </c>
      <c r="Q205" s="99">
        <v>11137479</v>
      </c>
      <c r="R205" s="100">
        <v>0.311537874125874</v>
      </c>
      <c r="S205" t="inlineStr">
        <is>
          <t>Lo obligado está por debajo de lo programado en la vigencia</t>
        </is>
      </c>
      <c r="T205" s="101">
        <v>40000000</v>
      </c>
      <c r="U205" s="101">
        <v>35000000</v>
      </c>
      <c r="V205" s="101">
        <v>30000000</v>
      </c>
      <c r="W205" s="102">
        <v>0.86639024692122</v>
      </c>
      <c r="X205" t="inlineStr">
        <is>
          <t>Lo obligado está por debajo de lo programado en la vigencia</t>
        </is>
      </c>
    </row>
    <row r="206">
      <c r="A206" t="inlineStr">
        <is>
          <t>IP-514</t>
        </is>
      </c>
      <c r="B206" t="inlineStr">
        <is>
          <t>45</t>
        </is>
      </c>
      <c r="C206" t="inlineStr">
        <is>
          <t>Gobierno Territorial</t>
        </is>
      </c>
      <c r="D206" t="inlineStr">
        <is>
          <t>4502</t>
        </is>
      </c>
      <c r="E206" t="inlineStr">
        <is>
          <t>Fortalecimiento del buen gobierno para el respeto y garantía de los derechos humanos.</t>
        </is>
      </c>
      <c r="F206" t="inlineStr">
        <is>
          <t>4502007</t>
        </is>
      </c>
      <c r="G206" t="inlineStr">
        <is>
          <t>Salón comunal construido</t>
        </is>
      </c>
      <c r="H206" t="inlineStr">
        <is>
          <t xml:space="preserve">Incluye la construcción de Salones comunales en terrenos no construidos o cuya área esté libre por autorización de demolición total. </t>
        </is>
      </c>
      <c r="I206" t="inlineStr">
        <is>
          <t/>
        </is>
      </c>
      <c r="J206" s="99">
        <v>10000000</v>
      </c>
      <c r="K206" s="99">
        <v>0</v>
      </c>
      <c r="L206" s="99">
        <v>0</v>
      </c>
      <c r="M206" s="99">
        <v>0</v>
      </c>
      <c r="N206" s="99">
        <v>10000000</v>
      </c>
      <c r="O206" s="99" t="inlineStr">
        <is>
          <t xml:space="preserve"> </t>
        </is>
      </c>
      <c r="P206" s="99" t="inlineStr">
        <is>
          <t xml:space="preserve"> </t>
        </is>
      </c>
      <c r="Q206" s="99" t="inlineStr">
        <is>
          <t xml:space="preserve"> </t>
        </is>
      </c>
      <c r="R206" s="100" t="inlineStr">
        <is>
          <t xml:space="preserve"> </t>
        </is>
      </c>
      <c r="S206" t="inlineStr">
        <is>
          <t>Por falta de código BPIN, no se encontró ejecución en CUIPO</t>
        </is>
      </c>
      <c r="T206" s="101" t="inlineStr">
        <is>
          <t xml:space="preserve"> </t>
        </is>
      </c>
      <c r="U206" s="101" t="inlineStr">
        <is>
          <t xml:space="preserve"> </t>
        </is>
      </c>
      <c r="V206" s="101" t="inlineStr">
        <is>
          <t xml:space="preserve"> </t>
        </is>
      </c>
      <c r="W206" s="102" t="inlineStr">
        <is>
          <t xml:space="preserve"> </t>
        </is>
      </c>
      <c r="X206" t="inlineStr">
        <is>
          <t>Por falta de código BPIN, no se encontró ejecución en CUIPO</t>
        </is>
      </c>
    </row>
    <row r="207">
      <c r="A207" t="inlineStr">
        <is>
          <t>IP-515</t>
        </is>
      </c>
      <c r="B207" t="inlineStr">
        <is>
          <t>45</t>
        </is>
      </c>
      <c r="C207" t="inlineStr">
        <is>
          <t>Gobierno Territorial</t>
        </is>
      </c>
      <c r="D207" t="inlineStr">
        <is>
          <t>4599</t>
        </is>
      </c>
      <c r="E207" t="inlineStr">
        <is>
          <t>Fortalecimiento a la gestión y dirección de la administración pública territorial</t>
        </is>
      </c>
      <c r="F207" t="inlineStr">
        <is>
          <t>4599006</t>
        </is>
      </c>
      <c r="G207" t="inlineStr">
        <is>
          <t>Estudios de preinversión</t>
        </is>
      </c>
      <c r="H207" t="inlineStr">
        <is>
          <t>Incluye la realización de los estudios requeridos en las fases de pre factibilidad, factibilidad o definitivos.</t>
        </is>
      </c>
      <c r="I207" t="inlineStr">
        <is>
          <t>202400000004192</t>
        </is>
      </c>
      <c r="J207" s="99">
        <v>500000000</v>
      </c>
      <c r="K207" s="99">
        <v>0</v>
      </c>
      <c r="L207" s="99">
        <v>500000000</v>
      </c>
      <c r="M207" s="99">
        <v>0</v>
      </c>
      <c r="N207" s="99">
        <v>0</v>
      </c>
      <c r="O207" s="99" t="inlineStr">
        <is>
          <t xml:space="preserve"> </t>
        </is>
      </c>
      <c r="P207" s="99" t="inlineStr">
        <is>
          <t xml:space="preserve"> </t>
        </is>
      </c>
      <c r="Q207" s="99" t="inlineStr">
        <is>
          <t xml:space="preserve"> </t>
        </is>
      </c>
      <c r="R207" s="100" t="inlineStr">
        <is>
          <t xml:space="preserve"> </t>
        </is>
      </c>
      <c r="S207" t="inlineStr">
        <is>
          <t>No se encontró ejecución en CUIPO</t>
        </is>
      </c>
      <c r="T207" s="101" t="inlineStr">
        <is>
          <t xml:space="preserve"> </t>
        </is>
      </c>
      <c r="U207" s="101" t="inlineStr">
        <is>
          <t xml:space="preserve"> </t>
        </is>
      </c>
      <c r="V207" s="101" t="inlineStr">
        <is>
          <t xml:space="preserve"> </t>
        </is>
      </c>
      <c r="W207" s="102" t="inlineStr">
        <is>
          <t xml:space="preserve"> </t>
        </is>
      </c>
      <c r="X207" t="inlineStr">
        <is>
          <t>No se encontró ejecución en CUIPO</t>
        </is>
      </c>
    </row>
    <row r="208">
      <c r="A208" t="inlineStr">
        <is>
          <t>IP-516</t>
        </is>
      </c>
      <c r="B208" t="inlineStr">
        <is>
          <t>45</t>
        </is>
      </c>
      <c r="C208" t="inlineStr">
        <is>
          <t>Gobierno Territorial</t>
        </is>
      </c>
      <c r="D208" t="inlineStr">
        <is>
          <t>4599</t>
        </is>
      </c>
      <c r="E208" t="inlineStr">
        <is>
          <t>Fortalecimiento a la gestión y dirección de la administración pública territorial</t>
        </is>
      </c>
      <c r="F208" t="inlineStr">
        <is>
          <t>4599028</t>
        </is>
      </c>
      <c r="G208" t="inlineStr">
        <is>
          <t>Servicio de información actualizado</t>
        </is>
      </c>
      <c r="H208" t="inlineStr">
        <is>
          <t>Corresponde al proceso que mejora en la disposición de la información para asegurar que sea accesible, confiable y oportuna.</t>
        </is>
      </c>
      <c r="I208" t="inlineStr">
        <is>
          <t>2024251750048</t>
        </is>
      </c>
      <c r="J208" s="99">
        <v>1600000000</v>
      </c>
      <c r="K208" s="99">
        <v>539565260</v>
      </c>
      <c r="L208" s="99">
        <v>594735580</v>
      </c>
      <c r="M208" s="99">
        <v>344735580</v>
      </c>
      <c r="N208" s="99">
        <v>120963580</v>
      </c>
      <c r="O208" s="99">
        <v>104398199</v>
      </c>
      <c r="P208" s="99">
        <v>104398199</v>
      </c>
      <c r="Q208" s="99">
        <v>104398199</v>
      </c>
      <c r="R208" s="100">
        <v>0.193485768524089</v>
      </c>
      <c r="S208" t="inlineStr">
        <is>
          <t>Lo obligado está por debajo de lo programado en la vigencia</t>
        </is>
      </c>
      <c r="T208" s="101">
        <v>323352000</v>
      </c>
      <c r="U208" s="101">
        <v>218237100</v>
      </c>
      <c r="V208" s="101">
        <v>218237100</v>
      </c>
      <c r="W208" s="102">
        <v>0.366948114992548</v>
      </c>
      <c r="X208" t="inlineStr">
        <is>
          <t>Lo obligado está por debajo de lo programado en la vigencia</t>
        </is>
      </c>
    </row>
    <row r="209">
      <c r="A209" t="inlineStr">
        <is>
          <t>IP-517</t>
        </is>
      </c>
      <c r="B209" t="inlineStr">
        <is>
          <t>45</t>
        </is>
      </c>
      <c r="C209" t="inlineStr">
        <is>
          <t>Gobierno Territorial</t>
        </is>
      </c>
      <c r="D209" t="inlineStr">
        <is>
          <t>4599</t>
        </is>
      </c>
      <c r="E209" t="inlineStr">
        <is>
          <t>Fortalecimiento a la gestión y dirección de la administración pública territorial</t>
        </is>
      </c>
      <c r="F209" t="inlineStr">
        <is>
          <t>4599018</t>
        </is>
      </c>
      <c r="G209" t="inlineStr">
        <is>
          <t>Documentos de lineamientos técnicos</t>
        </is>
      </c>
      <c r="H209" t="inlineStr">
        <is>
          <t>Documentos cuyo objetivo es describir y explicar instrumentos, estándares, requisitos y condiciones necesarias para llevar a cabo un proceso o actividad.</t>
        </is>
      </c>
      <c r="I209" t="inlineStr">
        <is>
          <t>2024251750048</t>
        </is>
      </c>
      <c r="J209" s="99">
        <v>350000000</v>
      </c>
      <c r="K209" s="99">
        <v>0</v>
      </c>
      <c r="L209" s="99">
        <v>350000000</v>
      </c>
      <c r="M209" s="99">
        <v>0</v>
      </c>
      <c r="N209" s="99">
        <v>0</v>
      </c>
      <c r="O209" s="99" t="inlineStr">
        <is>
          <t xml:space="preserve"> </t>
        </is>
      </c>
      <c r="P209" s="99" t="inlineStr">
        <is>
          <t xml:space="preserve"> </t>
        </is>
      </c>
      <c r="Q209" s="99" t="inlineStr">
        <is>
          <t xml:space="preserve"> </t>
        </is>
      </c>
      <c r="R209" s="100" t="inlineStr">
        <is>
          <t xml:space="preserve"> </t>
        </is>
      </c>
      <c r="S209" t="inlineStr">
        <is>
          <t>No se encontró ejecución en CUIPO</t>
        </is>
      </c>
      <c r="T209" s="101" t="inlineStr">
        <is>
          <t xml:space="preserve"> </t>
        </is>
      </c>
      <c r="U209" s="101" t="inlineStr">
        <is>
          <t xml:space="preserve"> </t>
        </is>
      </c>
      <c r="V209" s="101" t="inlineStr">
        <is>
          <t xml:space="preserve"> </t>
        </is>
      </c>
      <c r="W209" s="102" t="inlineStr">
        <is>
          <t xml:space="preserve"> </t>
        </is>
      </c>
      <c r="X209" t="inlineStr">
        <is>
          <t>No se encontró ejecución en CUIPO</t>
        </is>
      </c>
    </row>
    <row r="210">
      <c r="A210" t="inlineStr">
        <is>
          <t>IP-518</t>
        </is>
      </c>
      <c r="B210" t="inlineStr">
        <is>
          <t>45</t>
        </is>
      </c>
      <c r="C210" t="inlineStr">
        <is>
          <t>Gobierno Territorial</t>
        </is>
      </c>
      <c r="D210" t="inlineStr">
        <is>
          <t>4599</t>
        </is>
      </c>
      <c r="E210" t="inlineStr">
        <is>
          <t>Fortalecimiento a la gestión y dirección de la administración pública territorial</t>
        </is>
      </c>
      <c r="F210" t="inlineStr">
        <is>
          <t>4599007</t>
        </is>
      </c>
      <c r="G210" t="inlineStr">
        <is>
          <t>Servicios tecnológicos</t>
        </is>
      </c>
      <c r="H210"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210" t="inlineStr">
        <is>
          <t>2024251750048</t>
        </is>
      </c>
      <c r="J210" s="99">
        <v>450000000</v>
      </c>
      <c r="K210" s="99">
        <v>450000000</v>
      </c>
      <c r="L210" s="99">
        <v>0</v>
      </c>
      <c r="M210" s="99">
        <v>0</v>
      </c>
      <c r="N210" s="99">
        <v>0</v>
      </c>
      <c r="O210" s="99">
        <v>0</v>
      </c>
      <c r="P210" s="99">
        <v>0</v>
      </c>
      <c r="Q210" s="99">
        <v>0</v>
      </c>
      <c r="R210" s="100">
        <v>0</v>
      </c>
      <c r="S210" t="inlineStr">
        <is>
          <t>No se ejecutó en la vigencia</t>
        </is>
      </c>
      <c r="T210" s="101">
        <v>150000000</v>
      </c>
      <c r="U210" s="101">
        <v>0</v>
      </c>
      <c r="V210" s="101">
        <v>0</v>
      </c>
      <c r="W210" s="102" t="inlineStr">
        <is>
          <t xml:space="preserve"> </t>
        </is>
      </c>
      <c r="X210" t="inlineStr">
        <is>
          <t>No se programó ni ejecutó en la vigencia</t>
        </is>
      </c>
    </row>
    <row r="211">
      <c r="A211" t="inlineStr">
        <is>
          <t>IP-519</t>
        </is>
      </c>
      <c r="B211" t="inlineStr">
        <is>
          <t>45</t>
        </is>
      </c>
      <c r="C211" t="inlineStr">
        <is>
          <t>Gobierno Territorial</t>
        </is>
      </c>
      <c r="D211" t="inlineStr">
        <is>
          <t>4599</t>
        </is>
      </c>
      <c r="E211" t="inlineStr">
        <is>
          <t>Fortalecimiento a la gestión y dirección de la administración pública territorial</t>
        </is>
      </c>
      <c r="F211" t="inlineStr">
        <is>
          <t>4599023</t>
        </is>
      </c>
      <c r="G211" t="inlineStr">
        <is>
          <t>Servicio de Implementación Sistemas de Gestión</t>
        </is>
      </c>
      <c r="H211"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211" t="inlineStr">
        <is>
          <t>2024251750048</t>
        </is>
      </c>
      <c r="J211" s="99">
        <v>550000000</v>
      </c>
      <c r="K211" s="99">
        <v>137500000</v>
      </c>
      <c r="L211" s="99">
        <v>137500000</v>
      </c>
      <c r="M211" s="99">
        <v>137500000</v>
      </c>
      <c r="N211" s="99">
        <v>137500000</v>
      </c>
      <c r="O211" s="99">
        <v>61133333</v>
      </c>
      <c r="P211" s="99">
        <v>61133333</v>
      </c>
      <c r="Q211" s="99">
        <v>61133333</v>
      </c>
      <c r="R211" s="100">
        <v>0.444606058181818</v>
      </c>
      <c r="S211" t="inlineStr">
        <is>
          <t>Lo obligado está por debajo de lo programado en la vigencia</t>
        </is>
      </c>
      <c r="T211" s="101">
        <v>257997286</v>
      </c>
      <c r="U211" s="101">
        <v>147000000</v>
      </c>
      <c r="V211" s="101">
        <v>147000000</v>
      </c>
      <c r="W211" s="102">
        <v>1.06909090909091</v>
      </c>
      <c r="X211" t="inlineStr">
        <is>
          <t>Hubo ejecución por encima de lo programado en SisPT</t>
        </is>
      </c>
    </row>
    <row r="212">
      <c r="A212" t="inlineStr">
        <is>
          <t>IP-520</t>
        </is>
      </c>
      <c r="B212" t="inlineStr">
        <is>
          <t>45</t>
        </is>
      </c>
      <c r="C212" t="inlineStr">
        <is>
          <t>Gobierno Territorial</t>
        </is>
      </c>
      <c r="D212" t="inlineStr">
        <is>
          <t>4599</t>
        </is>
      </c>
      <c r="E212" t="inlineStr">
        <is>
          <t>Fortalecimiento a la gestión y dirección de la administración pública territorial</t>
        </is>
      </c>
      <c r="F212" t="inlineStr">
        <is>
          <t>4599034</t>
        </is>
      </c>
      <c r="G212" t="inlineStr">
        <is>
          <t>Sedes dotadas</t>
        </is>
      </c>
      <c r="H212" t="inlineStr">
        <is>
          <t>Incluye el proceso de identificación de necesidades de dotación administrativa, así como la adquisición e instalación de mobiliario y demás elementos no consumibles requeridos para apoyar la prestación de los servicios de la entidad.</t>
        </is>
      </c>
      <c r="I212" t="inlineStr">
        <is>
          <t>2024251750048</t>
        </is>
      </c>
      <c r="J212" s="99">
        <v>2200000000</v>
      </c>
      <c r="K212" s="99">
        <v>2200000000</v>
      </c>
      <c r="L212" s="99">
        <v>0</v>
      </c>
      <c r="M212" s="99">
        <v>0</v>
      </c>
      <c r="N212" s="99">
        <v>0</v>
      </c>
      <c r="O212" s="99">
        <v>725467895</v>
      </c>
      <c r="P212" s="99">
        <v>0</v>
      </c>
      <c r="Q212" s="99">
        <v>0</v>
      </c>
      <c r="R212" s="100">
        <v>0</v>
      </c>
      <c r="S212" t="inlineStr">
        <is>
          <t>No se ejecutó en la vigencia</t>
        </is>
      </c>
      <c r="T212" s="101">
        <v>5879935739</v>
      </c>
      <c r="U212" s="101">
        <v>3749756071</v>
      </c>
      <c r="V212" s="101">
        <v>3749756071</v>
      </c>
      <c r="W212" s="102" t="inlineStr">
        <is>
          <t xml:space="preserve"> </t>
        </is>
      </c>
      <c r="X212" t="inlineStr">
        <is>
          <t>Se ejecutó un producto no programado en la vigencia</t>
        </is>
      </c>
    </row>
    <row r="213">
      <c r="A213" t="inlineStr">
        <is>
          <t>IP-521</t>
        </is>
      </c>
      <c r="B213" t="inlineStr">
        <is>
          <t>45</t>
        </is>
      </c>
      <c r="C213" t="inlineStr">
        <is>
          <t>Gobierno Territorial</t>
        </is>
      </c>
      <c r="D213" t="inlineStr">
        <is>
          <t>4599</t>
        </is>
      </c>
      <c r="E213" t="inlineStr">
        <is>
          <t>Fortalecimiento a la gestión y dirección de la administración pública territorial</t>
        </is>
      </c>
      <c r="F213" t="inlineStr">
        <is>
          <t>4599017</t>
        </is>
      </c>
      <c r="G213" t="inlineStr">
        <is>
          <t>Servicio de gestión documental</t>
        </is>
      </c>
      <c r="H213"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213" t="inlineStr">
        <is>
          <t>2024251750048</t>
        </is>
      </c>
      <c r="J213" s="99">
        <v>2000000000</v>
      </c>
      <c r="K213" s="99">
        <v>500000000</v>
      </c>
      <c r="L213" s="99">
        <v>500000000</v>
      </c>
      <c r="M213" s="99">
        <v>500000000</v>
      </c>
      <c r="N213" s="99">
        <v>500000000</v>
      </c>
      <c r="O213" s="99">
        <v>85664067</v>
      </c>
      <c r="P213" s="99">
        <v>85664067</v>
      </c>
      <c r="Q213" s="99">
        <v>85664067</v>
      </c>
      <c r="R213" s="100">
        <v>0.171328134</v>
      </c>
      <c r="S213" t="inlineStr">
        <is>
          <t>Lo obligado está por debajo de lo programado en la vigencia</t>
        </is>
      </c>
      <c r="T213" s="101">
        <v>467510400</v>
      </c>
      <c r="U213" s="101">
        <v>311827950</v>
      </c>
      <c r="V213" s="101">
        <v>305081700</v>
      </c>
      <c r="W213" s="102">
        <v>0.6236559</v>
      </c>
      <c r="X213" t="inlineStr">
        <is>
          <t>Lo obligado está por debajo de lo programado en la vigencia</t>
        </is>
      </c>
    </row>
    <row r="214">
      <c r="A214" t="inlineStr">
        <is>
          <t>IP-522</t>
        </is>
      </c>
      <c r="B214" t="inlineStr">
        <is>
          <t>45</t>
        </is>
      </c>
      <c r="C214" t="inlineStr">
        <is>
          <t>Gobierno Territorial</t>
        </is>
      </c>
      <c r="D214" t="inlineStr">
        <is>
          <t>4599</t>
        </is>
      </c>
      <c r="E214" t="inlineStr">
        <is>
          <t>Fortalecimiento a la gestión y dirección de la administración pública territorial</t>
        </is>
      </c>
      <c r="F214" t="inlineStr">
        <is>
          <t>4599025</t>
        </is>
      </c>
      <c r="G214" t="inlineStr">
        <is>
          <t>Servicios de información implementados</t>
        </is>
      </c>
      <c r="H214" t="inlineStr">
        <is>
          <t>Corresponde al proceso que asegura la disposición de la información de manera accesible, confiable y oportuna.</t>
        </is>
      </c>
      <c r="I214" t="inlineStr">
        <is>
          <t>2024251750048</t>
        </is>
      </c>
      <c r="J214" s="99">
        <v>5000000000</v>
      </c>
      <c r="K214" s="99">
        <v>1150000000</v>
      </c>
      <c r="L214" s="99">
        <v>1291000000</v>
      </c>
      <c r="M214" s="99">
        <v>1238000000</v>
      </c>
      <c r="N214" s="99">
        <v>1321000000</v>
      </c>
      <c r="O214" s="99">
        <v>349958065</v>
      </c>
      <c r="P214" s="99">
        <v>349958065</v>
      </c>
      <c r="Q214" s="99">
        <v>349958065</v>
      </c>
      <c r="R214" s="100">
        <v>0.304311360869565</v>
      </c>
      <c r="S214" t="inlineStr">
        <is>
          <t>Lo obligado está por debajo de lo programado en la vigencia</t>
        </is>
      </c>
      <c r="T214" s="101">
        <v>820817159</v>
      </c>
      <c r="U214" s="101">
        <v>316141785</v>
      </c>
      <c r="V214" s="101">
        <v>194861489</v>
      </c>
      <c r="W214" s="102">
        <v>0.244881320681642</v>
      </c>
      <c r="X214" t="inlineStr">
        <is>
          <t>Lo obligado está por debajo de lo programado en la vigencia</t>
        </is>
      </c>
    </row>
    <row r="215">
      <c r="A215" t="inlineStr">
        <is>
          <t>IP-523</t>
        </is>
      </c>
      <c r="B215" t="inlineStr">
        <is>
          <t>45</t>
        </is>
      </c>
      <c r="C215" t="inlineStr">
        <is>
          <t>Gobierno Territorial</t>
        </is>
      </c>
      <c r="D215" t="inlineStr">
        <is>
          <t>4599</t>
        </is>
      </c>
      <c r="E215" t="inlineStr">
        <is>
          <t>Fortalecimiento a la gestión y dirección de la administración pública territorial</t>
        </is>
      </c>
      <c r="F215" t="inlineStr">
        <is>
          <t>4599002</t>
        </is>
      </c>
      <c r="G215" t="inlineStr">
        <is>
          <t>Servicio de saneamiento fiscal y financiero</t>
        </is>
      </c>
      <c r="H215"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215" t="inlineStr">
        <is>
          <t>2024251750067</t>
        </is>
      </c>
      <c r="J215" s="99">
        <v>12600000000</v>
      </c>
      <c r="K215" s="99">
        <v>3500000000</v>
      </c>
      <c r="L215" s="99">
        <v>3300000000</v>
      </c>
      <c r="M215" s="99">
        <v>3000000000</v>
      </c>
      <c r="N215" s="99">
        <v>2800000000</v>
      </c>
      <c r="O215" s="99">
        <v>797051556</v>
      </c>
      <c r="P215" s="99">
        <v>607804190</v>
      </c>
      <c r="Q215" s="99">
        <v>551491190</v>
      </c>
      <c r="R215" s="100">
        <v>0.17365834</v>
      </c>
      <c r="S215" t="inlineStr">
        <is>
          <t>Lo obligado está por debajo de lo programado en la vigencia</t>
        </is>
      </c>
      <c r="T215" s="101">
        <v>3834436871</v>
      </c>
      <c r="U215" s="101">
        <v>2646296287</v>
      </c>
      <c r="V215" s="101">
        <v>2603488930</v>
      </c>
      <c r="W215" s="102">
        <v>0.801907965757576</v>
      </c>
      <c r="X215" t="inlineStr">
        <is>
          <t>Lo obligado está por debajo de lo programado en la vigencia</t>
        </is>
      </c>
    </row>
    <row r="216">
      <c r="A216" t="inlineStr">
        <is>
          <t>IP-526</t>
        </is>
      </c>
      <c r="B216" t="inlineStr">
        <is>
          <t>24</t>
        </is>
      </c>
      <c r="C216" t="inlineStr">
        <is>
          <t>Transporte</t>
        </is>
      </c>
      <c r="D216" t="inlineStr">
        <is>
          <t>2402</t>
        </is>
      </c>
      <c r="E216" t="inlineStr">
        <is>
          <t>Infraestructura red vial regional</t>
        </is>
      </c>
      <c r="F216" t="inlineStr">
        <is>
          <t>2402133</t>
        </is>
      </c>
      <c r="G216" t="inlineStr">
        <is>
          <t>Puente peatonal de la red urbana con mantenimiento</t>
        </is>
      </c>
      <c r="H216" t="inlineStr">
        <is>
          <t>Incluye las acciones de conservación periódica o rutinaria de puentes peatonales de la red vial secundaria, terciaria o urbana con el fin de mantener las condiciones óptimas para el tránsito y  el uso adecuado de la infraestructura de transporte.</t>
        </is>
      </c>
      <c r="I216" t="inlineStr">
        <is>
          <t/>
        </is>
      </c>
      <c r="J216" s="99">
        <v>0</v>
      </c>
      <c r="K216" s="99">
        <v>0</v>
      </c>
      <c r="L216" s="99">
        <v>0</v>
      </c>
      <c r="M216" s="99">
        <v>0</v>
      </c>
      <c r="N216" s="99">
        <v>0</v>
      </c>
      <c r="O216" s="99" t="inlineStr">
        <is>
          <t xml:space="preserve"> </t>
        </is>
      </c>
      <c r="P216" s="99" t="inlineStr">
        <is>
          <t xml:space="preserve"> </t>
        </is>
      </c>
      <c r="Q216" s="99" t="inlineStr">
        <is>
          <t xml:space="preserve"> </t>
        </is>
      </c>
      <c r="R216" s="100" t="inlineStr">
        <is>
          <t xml:space="preserve"> </t>
        </is>
      </c>
      <c r="S216" t="inlineStr">
        <is>
          <t>Por falta de código BPIN, no se encontró ejecución en CUIPO</t>
        </is>
      </c>
      <c r="T216" s="101" t="inlineStr">
        <is>
          <t xml:space="preserve"> </t>
        </is>
      </c>
      <c r="U216" s="101" t="inlineStr">
        <is>
          <t xml:space="preserve"> </t>
        </is>
      </c>
      <c r="V216" s="101" t="inlineStr">
        <is>
          <t xml:space="preserve"> </t>
        </is>
      </c>
      <c r="W216" s="102" t="inlineStr">
        <is>
          <t xml:space="preserve"> </t>
        </is>
      </c>
      <c r="X216" t="inlineStr">
        <is>
          <t>Por falta de código BPIN, no se encontró ejecución en CUIPO</t>
        </is>
      </c>
    </row>
    <row r="217">
      <c r="A217" t="inlineStr">
        <is>
          <t>IP-527</t>
        </is>
      </c>
      <c r="B217" t="inlineStr">
        <is>
          <t>33</t>
        </is>
      </c>
      <c r="C217" t="inlineStr">
        <is>
          <t>Cultura</t>
        </is>
      </c>
      <c r="D217" t="inlineStr">
        <is>
          <t>3301</t>
        </is>
      </c>
      <c r="E217" t="inlineStr">
        <is>
          <t>Promoción y acceso efectivo a procesos culturales y artísticos</t>
        </is>
      </c>
      <c r="F217" t="inlineStr">
        <is>
          <t>3301088</t>
        </is>
      </c>
      <c r="G217" t="inlineStr">
        <is>
          <t>Centros culturales construidos</t>
        </is>
      </c>
      <c r="H217" t="inlineStr">
        <is>
          <t>Son todas aquellas infraestructuras culturales que se construyan en un predio o terreno donde no existen elementos o construcciones previstas. </t>
        </is>
      </c>
      <c r="I217" t="inlineStr">
        <is>
          <t>2022251750008</t>
        </is>
      </c>
      <c r="J217" s="99">
        <v>0</v>
      </c>
      <c r="K217" s="99">
        <v>0</v>
      </c>
      <c r="L217" s="99">
        <v>0</v>
      </c>
      <c r="M217" s="99">
        <v>0</v>
      </c>
      <c r="N217" s="99">
        <v>0</v>
      </c>
      <c r="O217" s="99">
        <v>733418991</v>
      </c>
      <c r="P217" s="99">
        <v>0</v>
      </c>
      <c r="Q217" s="99">
        <v>0</v>
      </c>
      <c r="R217" s="100" t="inlineStr">
        <is>
          <t xml:space="preserve"> </t>
        </is>
      </c>
      <c r="S217" t="inlineStr">
        <is>
          <t>No se programó ni ejecutó en la vigencia</t>
        </is>
      </c>
      <c r="T217" s="101" t="inlineStr">
        <is>
          <t xml:space="preserve"> </t>
        </is>
      </c>
      <c r="U217" s="101" t="inlineStr">
        <is>
          <t xml:space="preserve"> </t>
        </is>
      </c>
      <c r="V217" s="101" t="inlineStr">
        <is>
          <t xml:space="preserve"> </t>
        </is>
      </c>
      <c r="W217" s="102" t="inlineStr">
        <is>
          <t xml:space="preserve"> </t>
        </is>
      </c>
      <c r="X217" t="inlineStr">
        <is>
          <t>No se encontró ejecución en CUIPO</t>
        </is>
      </c>
    </row>
    <row r="218">
      <c r="A218" t="inlineStr">
        <is>
          <t>IP-528</t>
        </is>
      </c>
      <c r="B218" t="inlineStr">
        <is>
          <t>40</t>
        </is>
      </c>
      <c r="C218" t="inlineStr">
        <is>
          <t>Vivienda, ciudad y territorio</t>
        </is>
      </c>
      <c r="D218" t="inlineStr">
        <is>
          <t>4003</t>
        </is>
      </c>
      <c r="E218" t="inlineStr">
        <is>
          <t>Acceso de la población a los servicios de agua potable y saneamiento básico</t>
        </is>
      </c>
      <c r="F218" t="inlineStr">
        <is>
          <t>4003009</t>
        </is>
      </c>
      <c r="G218" t="inlineStr">
        <is>
          <t>Servicio de Acueducto</t>
        </is>
      </c>
      <c r="H218" t="inlineStr">
        <is>
          <t>Es la distribución de agua apta para el consumo humano, incluida su conexión y medición. También forman parte de este servicio las actividades complementarias tales como captación de agua, procesamiento, tratamiento, almacenamiento, conducción, transporte y pago de servicio de energía en municipios prestadores directos conforme a la normatividad vigente.</t>
        </is>
      </c>
      <c r="I218" t="inlineStr">
        <is>
          <t>202500000023314</t>
        </is>
      </c>
      <c r="J218" s="99">
        <v>0</v>
      </c>
      <c r="K218" s="99">
        <v>0</v>
      </c>
      <c r="L218" s="99">
        <v>0</v>
      </c>
      <c r="M218" s="99">
        <v>0</v>
      </c>
      <c r="N218" s="99">
        <v>0</v>
      </c>
      <c r="O218" s="99" t="inlineStr">
        <is>
          <t xml:space="preserve"> </t>
        </is>
      </c>
      <c r="P218" s="99" t="inlineStr">
        <is>
          <t xml:space="preserve"> </t>
        </is>
      </c>
      <c r="Q218" s="99" t="inlineStr">
        <is>
          <t xml:space="preserve"> </t>
        </is>
      </c>
      <c r="R218" s="100" t="inlineStr">
        <is>
          <t xml:space="preserve"> </t>
        </is>
      </c>
      <c r="S218" t="inlineStr">
        <is>
          <t>No se encontró ejecución en CUIPO</t>
        </is>
      </c>
      <c r="T218" s="101" t="inlineStr">
        <is>
          <t xml:space="preserve"> </t>
        </is>
      </c>
      <c r="U218" s="101" t="inlineStr">
        <is>
          <t xml:space="preserve"> </t>
        </is>
      </c>
      <c r="V218" s="101" t="inlineStr">
        <is>
          <t xml:space="preserve"> </t>
        </is>
      </c>
      <c r="W218" s="102" t="inlineStr">
        <is>
          <t xml:space="preserve"> </t>
        </is>
      </c>
      <c r="X218" t="inlineStr">
        <is>
          <t>No se encontró ejecución en CUIPO</t>
        </is>
      </c>
    </row>
    <row r="219">
      <c r="A219" t="inlineStr">
        <is>
          <t>IP-533</t>
        </is>
      </c>
      <c r="B219" t="inlineStr">
        <is>
          <t>22</t>
        </is>
      </c>
      <c r="C219" t="inlineStr">
        <is>
          <t>Educación</t>
        </is>
      </c>
      <c r="D219" t="inlineStr">
        <is>
          <t>2201</t>
        </is>
      </c>
      <c r="E219" t="inlineStr">
        <is>
          <t>Calidad, cobertura y fortalecimiento de la educación inicial, prescolar, básica y media</t>
        </is>
      </c>
      <c r="F219" t="inlineStr">
        <is>
          <t>2201051</t>
        </is>
      </c>
      <c r="G219" t="inlineStr">
        <is>
          <t>Infraestructura educativa construida</t>
        </is>
      </c>
      <c r="H219"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219" t="inlineStr">
        <is>
          <t>2019251750006</t>
        </is>
      </c>
      <c r="J219" s="99">
        <v>0</v>
      </c>
      <c r="K219" s="99">
        <v>0</v>
      </c>
      <c r="L219" s="99">
        <v>0</v>
      </c>
      <c r="M219" s="99">
        <v>0</v>
      </c>
      <c r="N219" s="99">
        <v>0</v>
      </c>
      <c r="O219" s="99">
        <v>0</v>
      </c>
      <c r="P219" s="99">
        <v>0</v>
      </c>
      <c r="Q219" s="99">
        <v>0</v>
      </c>
      <c r="R219" s="100" t="inlineStr">
        <is>
          <t xml:space="preserve"> </t>
        </is>
      </c>
      <c r="S219" t="inlineStr">
        <is>
          <t>No se programó ni ejecutó en la vigencia</t>
        </is>
      </c>
      <c r="T219" s="101">
        <v>13516956848</v>
      </c>
      <c r="U219" s="101">
        <v>3018773402</v>
      </c>
      <c r="V219" s="101">
        <v>3018773402</v>
      </c>
      <c r="W219" s="102" t="inlineStr">
        <is>
          <t xml:space="preserve"> </t>
        </is>
      </c>
      <c r="X219" t="inlineStr">
        <is>
          <t>Se ejecutó un producto no programado en la vigencia</t>
        </is>
      </c>
    </row>
    <row r="220">
      <c r="A220" t="inlineStr">
        <is>
          <t>IP-534</t>
        </is>
      </c>
      <c r="B220" t="inlineStr">
        <is>
          <t>45</t>
        </is>
      </c>
      <c r="C220" t="inlineStr">
        <is>
          <t>Gobierno Territorial</t>
        </is>
      </c>
      <c r="D220" t="inlineStr">
        <is>
          <t>4599</t>
        </is>
      </c>
      <c r="E220" t="inlineStr">
        <is>
          <t>Fortalecimiento a la gestión y dirección de la administración pública territorial</t>
        </is>
      </c>
      <c r="F220" t="inlineStr">
        <is>
          <t>4599008</t>
        </is>
      </c>
      <c r="G220" t="inlineStr">
        <is>
          <t>Sede construida y dotada</t>
        </is>
      </c>
      <c r="H220" t="inlineStr">
        <is>
          <t>Corresponde a un inmueble resultado de obras de edificación en terrenos no construidos o cuya área esté libre por autorización de demolición total. Incluye la dotación del inmueble. (Corresponde a la licencia de construcción por obra nueva)</t>
        </is>
      </c>
      <c r="I220" t="inlineStr">
        <is>
          <t>2018251750013</t>
        </is>
      </c>
      <c r="J220" s="99">
        <v>18016963435</v>
      </c>
      <c r="K220" s="99">
        <v>18000000000</v>
      </c>
      <c r="L220" s="99">
        <v>16963435</v>
      </c>
      <c r="M220" s="99">
        <v>0</v>
      </c>
      <c r="N220" s="99">
        <v>0</v>
      </c>
      <c r="O220" s="99">
        <v>549927270</v>
      </c>
      <c r="P220" s="99">
        <v>549927270</v>
      </c>
      <c r="Q220" s="99">
        <v>549927270</v>
      </c>
      <c r="R220" s="100">
        <v>0.030551515</v>
      </c>
      <c r="S220" t="inlineStr">
        <is>
          <t>Lo obligado está por debajo de lo programado en la vigencia</t>
        </is>
      </c>
      <c r="T220" s="101" t="inlineStr">
        <is>
          <t xml:space="preserve"> </t>
        </is>
      </c>
      <c r="U220" s="101" t="inlineStr">
        <is>
          <t xml:space="preserve"> </t>
        </is>
      </c>
      <c r="V220" s="101" t="inlineStr">
        <is>
          <t xml:space="preserve"> </t>
        </is>
      </c>
      <c r="W220" s="102" t="inlineStr">
        <is>
          <t xml:space="preserve"> </t>
        </is>
      </c>
      <c r="X220" t="inlineStr">
        <is>
          <t>No se encontró ejecución en CUIPO</t>
        </is>
      </c>
    </row>
    <row r="221">
      <c r="A221" t="inlineStr">
        <is>
          <t>IP-535</t>
        </is>
      </c>
      <c r="B221" t="inlineStr">
        <is>
          <t>24</t>
        </is>
      </c>
      <c r="C221" t="inlineStr">
        <is>
          <t>Transporte</t>
        </is>
      </c>
      <c r="D221" t="inlineStr">
        <is>
          <t>2402</t>
        </is>
      </c>
      <c r="E221" t="inlineStr">
        <is>
          <t>Infraestructura red vial regional</t>
        </is>
      </c>
      <c r="F221" t="inlineStr">
        <is>
          <t>2402042</t>
        </is>
      </c>
      <c r="G221" t="inlineStr">
        <is>
          <t>Placa huella construida</t>
        </is>
      </c>
      <c r="H221" t="inlineStr">
        <is>
          <t>Incluye construcción de vías terciarias con sistema de  Placa Huella</t>
        </is>
      </c>
      <c r="I221" t="inlineStr">
        <is>
          <t>2022251750015</t>
        </is>
      </c>
      <c r="J221" s="99">
        <v>0</v>
      </c>
      <c r="K221" s="99">
        <v>0</v>
      </c>
      <c r="L221" s="99">
        <v>0</v>
      </c>
      <c r="M221" s="99">
        <v>0</v>
      </c>
      <c r="N221" s="99">
        <v>0</v>
      </c>
      <c r="O221" s="99">
        <v>16635579</v>
      </c>
      <c r="P221" s="99">
        <v>0</v>
      </c>
      <c r="Q221" s="99">
        <v>0</v>
      </c>
      <c r="R221" s="100" t="inlineStr">
        <is>
          <t xml:space="preserve"> </t>
        </is>
      </c>
      <c r="S221" t="inlineStr">
        <is>
          <t>No se programó ni ejecutó en la vigencia</t>
        </is>
      </c>
      <c r="T221" s="101" t="inlineStr">
        <is>
          <t xml:space="preserve"> </t>
        </is>
      </c>
      <c r="U221" s="101" t="inlineStr">
        <is>
          <t xml:space="preserve"> </t>
        </is>
      </c>
      <c r="V221" s="101" t="inlineStr">
        <is>
          <t xml:space="preserve"> </t>
        </is>
      </c>
      <c r="W221" s="102" t="inlineStr">
        <is>
          <t xml:space="preserve"> </t>
        </is>
      </c>
      <c r="X221" t="inlineStr">
        <is>
          <t>No se encontró ejecución en CUIPO</t>
        </is>
      </c>
    </row>
    <row r="222">
      <c r="A222" t="inlineStr">
        <is>
          <t>IP-536</t>
        </is>
      </c>
      <c r="B222" t="inlineStr">
        <is>
          <t>24</t>
        </is>
      </c>
      <c r="C222" t="inlineStr">
        <is>
          <t>Transporte</t>
        </is>
      </c>
      <c r="D222" t="inlineStr">
        <is>
          <t>2402</t>
        </is>
      </c>
      <c r="E222" t="inlineStr">
        <is>
          <t>Infraestructura red vial regional</t>
        </is>
      </c>
      <c r="F222" t="inlineStr">
        <is>
          <t>2402042</t>
        </is>
      </c>
      <c r="G222" t="inlineStr">
        <is>
          <t>Placa huella construida</t>
        </is>
      </c>
      <c r="H222" t="inlineStr">
        <is>
          <t>Incluye construcción de vías terciarias con sistema de  Placa Huella</t>
        </is>
      </c>
      <c r="I222" t="inlineStr">
        <is>
          <t>2022251750017</t>
        </is>
      </c>
      <c r="J222" s="99">
        <v>0</v>
      </c>
      <c r="K222" s="99">
        <v>0</v>
      </c>
      <c r="L222" s="99">
        <v>0</v>
      </c>
      <c r="M222" s="99">
        <v>0</v>
      </c>
      <c r="N222" s="99">
        <v>0</v>
      </c>
      <c r="O222" s="99">
        <v>16587582</v>
      </c>
      <c r="P222" s="99">
        <v>0</v>
      </c>
      <c r="Q222" s="99">
        <v>0</v>
      </c>
      <c r="R222" s="100" t="inlineStr">
        <is>
          <t xml:space="preserve"> </t>
        </is>
      </c>
      <c r="S222" t="inlineStr">
        <is>
          <t>No se programó ni ejecutó en la vigencia</t>
        </is>
      </c>
      <c r="T222" s="101" t="inlineStr">
        <is>
          <t xml:space="preserve"> </t>
        </is>
      </c>
      <c r="U222" s="101" t="inlineStr">
        <is>
          <t xml:space="preserve"> </t>
        </is>
      </c>
      <c r="V222" s="101" t="inlineStr">
        <is>
          <t xml:space="preserve"> </t>
        </is>
      </c>
      <c r="W222" s="102" t="inlineStr">
        <is>
          <t xml:space="preserve"> </t>
        </is>
      </c>
      <c r="X222" t="inlineStr">
        <is>
          <t>No se encontró ejecución en CUIPO</t>
        </is>
      </c>
    </row>
    <row r="223">
      <c r="A223" t="inlineStr">
        <is>
          <t>IP-537</t>
        </is>
      </c>
      <c r="B223" t="inlineStr">
        <is>
          <t>24</t>
        </is>
      </c>
      <c r="C223" t="inlineStr">
        <is>
          <t>Transporte</t>
        </is>
      </c>
      <c r="D223" t="inlineStr">
        <is>
          <t>2402</t>
        </is>
      </c>
      <c r="E223" t="inlineStr">
        <is>
          <t>Infraestructura red vial regional</t>
        </is>
      </c>
      <c r="F223" t="inlineStr">
        <is>
          <t>2402042</t>
        </is>
      </c>
      <c r="G223" t="inlineStr">
        <is>
          <t>Placa huella construida</t>
        </is>
      </c>
      <c r="H223" t="inlineStr">
        <is>
          <t>Incluye construcción de vías terciarias con sistema de  Placa Huella</t>
        </is>
      </c>
      <c r="I223" t="inlineStr">
        <is>
          <t>2022251750026</t>
        </is>
      </c>
      <c r="J223" s="99">
        <v>0</v>
      </c>
      <c r="K223" s="99">
        <v>0</v>
      </c>
      <c r="L223" s="99">
        <v>0</v>
      </c>
      <c r="M223" s="99">
        <v>0</v>
      </c>
      <c r="N223" s="99">
        <v>0</v>
      </c>
      <c r="O223" s="99">
        <v>16649555</v>
      </c>
      <c r="P223" s="99">
        <v>0</v>
      </c>
      <c r="Q223" s="99">
        <v>0</v>
      </c>
      <c r="R223" s="100" t="inlineStr">
        <is>
          <t xml:space="preserve"> </t>
        </is>
      </c>
      <c r="S223" t="inlineStr">
        <is>
          <t>No se programó ni ejecutó en la vigencia</t>
        </is>
      </c>
      <c r="T223" s="101" t="inlineStr">
        <is>
          <t xml:space="preserve"> </t>
        </is>
      </c>
      <c r="U223" s="101" t="inlineStr">
        <is>
          <t xml:space="preserve"> </t>
        </is>
      </c>
      <c r="V223" s="101" t="inlineStr">
        <is>
          <t xml:space="preserve"> </t>
        </is>
      </c>
      <c r="W223" s="102" t="inlineStr">
        <is>
          <t xml:space="preserve"> </t>
        </is>
      </c>
      <c r="X223" t="inlineStr">
        <is>
          <t>No se encontró ejecución en CUIPO</t>
        </is>
      </c>
    </row>
    <row r="224">
      <c r="A224" t="inlineStr">
        <is>
          <t>IP-538</t>
        </is>
      </c>
      <c r="B224" t="inlineStr">
        <is>
          <t>24</t>
        </is>
      </c>
      <c r="C224" t="inlineStr">
        <is>
          <t>Transporte</t>
        </is>
      </c>
      <c r="D224" t="inlineStr">
        <is>
          <t>2402</t>
        </is>
      </c>
      <c r="E224" t="inlineStr">
        <is>
          <t>Infraestructura red vial regional</t>
        </is>
      </c>
      <c r="F224" t="inlineStr">
        <is>
          <t>2402042</t>
        </is>
      </c>
      <c r="G224" t="inlineStr">
        <is>
          <t>Placa huella construida</t>
        </is>
      </c>
      <c r="H224" t="inlineStr">
        <is>
          <t>Incluye construcción de vías terciarias con sistema de  Placa Huella</t>
        </is>
      </c>
      <c r="I224" t="inlineStr">
        <is>
          <t>2022251750025</t>
        </is>
      </c>
      <c r="J224" s="99">
        <v>0</v>
      </c>
      <c r="K224" s="99">
        <v>0</v>
      </c>
      <c r="L224" s="99">
        <v>0</v>
      </c>
      <c r="M224" s="99">
        <v>0</v>
      </c>
      <c r="N224" s="99">
        <v>0</v>
      </c>
      <c r="O224" s="99">
        <v>16645886</v>
      </c>
      <c r="P224" s="99">
        <v>0</v>
      </c>
      <c r="Q224" s="99">
        <v>0</v>
      </c>
      <c r="R224" s="100" t="inlineStr">
        <is>
          <t xml:space="preserve"> </t>
        </is>
      </c>
      <c r="S224" t="inlineStr">
        <is>
          <t>No se programó ni ejecutó en la vigencia</t>
        </is>
      </c>
      <c r="T224" s="101" t="inlineStr">
        <is>
          <t xml:space="preserve"> </t>
        </is>
      </c>
      <c r="U224" s="101" t="inlineStr">
        <is>
          <t xml:space="preserve"> </t>
        </is>
      </c>
      <c r="V224" s="101" t="inlineStr">
        <is>
          <t xml:space="preserve"> </t>
        </is>
      </c>
      <c r="W224" s="102" t="inlineStr">
        <is>
          <t xml:space="preserve"> </t>
        </is>
      </c>
      <c r="X224" t="inlineStr">
        <is>
          <t>No se encontró ejecución en CUIPO</t>
        </is>
      </c>
    </row>
    <row r="225">
      <c r="A225" t="inlineStr">
        <is>
          <t>IP-539</t>
        </is>
      </c>
      <c r="B225" t="inlineStr">
        <is>
          <t>24</t>
        </is>
      </c>
      <c r="C225" t="inlineStr">
        <is>
          <t>Transporte</t>
        </is>
      </c>
      <c r="D225" t="inlineStr">
        <is>
          <t>2402</t>
        </is>
      </c>
      <c r="E225" t="inlineStr">
        <is>
          <t>Infraestructura red vial regional</t>
        </is>
      </c>
      <c r="F225" t="inlineStr">
        <is>
          <t>2402042</t>
        </is>
      </c>
      <c r="G225" t="inlineStr">
        <is>
          <t>Placa huella construida</t>
        </is>
      </c>
      <c r="H225" t="inlineStr">
        <is>
          <t>Incluye construcción de vías terciarias con sistema de  Placa Huella</t>
        </is>
      </c>
      <c r="I225" t="inlineStr">
        <is>
          <t>2022251750027</t>
        </is>
      </c>
      <c r="J225" s="99">
        <v>0</v>
      </c>
      <c r="K225" s="99">
        <v>0</v>
      </c>
      <c r="L225" s="99">
        <v>0</v>
      </c>
      <c r="M225" s="99">
        <v>0</v>
      </c>
      <c r="N225" s="99">
        <v>0</v>
      </c>
      <c r="O225" s="99">
        <v>16582212</v>
      </c>
      <c r="P225" s="99">
        <v>0</v>
      </c>
      <c r="Q225" s="99">
        <v>0</v>
      </c>
      <c r="R225" s="100" t="inlineStr">
        <is>
          <t xml:space="preserve"> </t>
        </is>
      </c>
      <c r="S225" t="inlineStr">
        <is>
          <t>No se programó ni ejecutó en la vigencia</t>
        </is>
      </c>
      <c r="T225" s="101" t="inlineStr">
        <is>
          <t xml:space="preserve"> </t>
        </is>
      </c>
      <c r="U225" s="101" t="inlineStr">
        <is>
          <t xml:space="preserve"> </t>
        </is>
      </c>
      <c r="V225" s="101" t="inlineStr">
        <is>
          <t xml:space="preserve"> </t>
        </is>
      </c>
      <c r="W225" s="102" t="inlineStr">
        <is>
          <t xml:space="preserve"> </t>
        </is>
      </c>
      <c r="X225" t="inlineStr">
        <is>
          <t>No se encontró ejecución en CUIPO</t>
        </is>
      </c>
    </row>
    <row r="226">
      <c r="A226" t="inlineStr">
        <is>
          <t>IP-540</t>
        </is>
      </c>
      <c r="B226" t="inlineStr">
        <is>
          <t>24</t>
        </is>
      </c>
      <c r="C226" t="inlineStr">
        <is>
          <t>Transporte</t>
        </is>
      </c>
      <c r="D226" t="inlineStr">
        <is>
          <t>2402</t>
        </is>
      </c>
      <c r="E226" t="inlineStr">
        <is>
          <t>Infraestructura red vial regional</t>
        </is>
      </c>
      <c r="F226" t="inlineStr">
        <is>
          <t>2402042</t>
        </is>
      </c>
      <c r="G226" t="inlineStr">
        <is>
          <t>Placa huella construida</t>
        </is>
      </c>
      <c r="H226" t="inlineStr">
        <is>
          <t>Incluye construcción de vías terciarias con sistema de  Placa Huella</t>
        </is>
      </c>
      <c r="I226" t="inlineStr">
        <is>
          <t>2022251750023</t>
        </is>
      </c>
      <c r="J226" s="99">
        <v>0</v>
      </c>
      <c r="K226" s="99">
        <v>0</v>
      </c>
      <c r="L226" s="99">
        <v>0</v>
      </c>
      <c r="M226" s="99">
        <v>0</v>
      </c>
      <c r="N226" s="99">
        <v>0</v>
      </c>
      <c r="O226" s="99">
        <v>16635056</v>
      </c>
      <c r="P226" s="99">
        <v>0</v>
      </c>
      <c r="Q226" s="99">
        <v>0</v>
      </c>
      <c r="R226" s="100" t="inlineStr">
        <is>
          <t xml:space="preserve"> </t>
        </is>
      </c>
      <c r="S226" t="inlineStr">
        <is>
          <t>No se programó ni ejecutó en la vigencia</t>
        </is>
      </c>
      <c r="T226" s="101" t="inlineStr">
        <is>
          <t xml:space="preserve"> </t>
        </is>
      </c>
      <c r="U226" s="101" t="inlineStr">
        <is>
          <t xml:space="preserve"> </t>
        </is>
      </c>
      <c r="V226" s="101" t="inlineStr">
        <is>
          <t xml:space="preserve"> </t>
        </is>
      </c>
      <c r="W226" s="102" t="inlineStr">
        <is>
          <t xml:space="preserve"> </t>
        </is>
      </c>
      <c r="X226" t="inlineStr">
        <is>
          <t>No se encontró ejecución en CUIPO</t>
        </is>
      </c>
    </row>
    <row r="227">
      <c r="A227" t="inlineStr">
        <is>
          <t>IP-541</t>
        </is>
      </c>
      <c r="B227" t="inlineStr">
        <is>
          <t>24</t>
        </is>
      </c>
      <c r="C227" t="inlineStr">
        <is>
          <t>Transporte</t>
        </is>
      </c>
      <c r="D227" t="inlineStr">
        <is>
          <t>2402</t>
        </is>
      </c>
      <c r="E227" t="inlineStr">
        <is>
          <t>Infraestructura red vial regional</t>
        </is>
      </c>
      <c r="F227" t="inlineStr">
        <is>
          <t>2402042</t>
        </is>
      </c>
      <c r="G227" t="inlineStr">
        <is>
          <t>Placa huella construida</t>
        </is>
      </c>
      <c r="H227" t="inlineStr">
        <is>
          <t>Incluye construcción de vías terciarias con sistema de  Placa Huella</t>
        </is>
      </c>
      <c r="I227" t="inlineStr">
        <is>
          <t>2022251750013</t>
        </is>
      </c>
      <c r="J227" s="99">
        <v>0</v>
      </c>
      <c r="K227" s="99">
        <v>0</v>
      </c>
      <c r="L227" s="99">
        <v>0</v>
      </c>
      <c r="M227" s="99">
        <v>0</v>
      </c>
      <c r="N227" s="99">
        <v>0</v>
      </c>
      <c r="O227" s="99">
        <v>16649555</v>
      </c>
      <c r="P227" s="99">
        <v>0</v>
      </c>
      <c r="Q227" s="99">
        <v>0</v>
      </c>
      <c r="R227" s="100" t="inlineStr">
        <is>
          <t xml:space="preserve"> </t>
        </is>
      </c>
      <c r="S227" t="inlineStr">
        <is>
          <t>No se programó ni ejecutó en la vigencia</t>
        </is>
      </c>
      <c r="T227" s="101" t="inlineStr">
        <is>
          <t xml:space="preserve"> </t>
        </is>
      </c>
      <c r="U227" s="101" t="inlineStr">
        <is>
          <t xml:space="preserve"> </t>
        </is>
      </c>
      <c r="V227" s="101" t="inlineStr">
        <is>
          <t xml:space="preserve"> </t>
        </is>
      </c>
      <c r="W227" s="102" t="inlineStr">
        <is>
          <t xml:space="preserve"> </t>
        </is>
      </c>
      <c r="X227" t="inlineStr">
        <is>
          <t>No se encontró ejecución en CUIPO</t>
        </is>
      </c>
    </row>
    <row r="228">
      <c r="A228" t="inlineStr">
        <is>
          <t>IP-542</t>
        </is>
      </c>
      <c r="B228" t="inlineStr">
        <is>
          <t>24</t>
        </is>
      </c>
      <c r="C228" t="inlineStr">
        <is>
          <t>Transporte</t>
        </is>
      </c>
      <c r="D228" t="inlineStr">
        <is>
          <t>2402</t>
        </is>
      </c>
      <c r="E228" t="inlineStr">
        <is>
          <t>Infraestructura red vial regional</t>
        </is>
      </c>
      <c r="F228" t="inlineStr">
        <is>
          <t>2402042</t>
        </is>
      </c>
      <c r="G228" t="inlineStr">
        <is>
          <t>Placa huella construida</t>
        </is>
      </c>
      <c r="H228" t="inlineStr">
        <is>
          <t>Incluye construcción de vías terciarias con sistema de  Placa Huella</t>
        </is>
      </c>
      <c r="I228" t="inlineStr">
        <is>
          <t>2022251750010</t>
        </is>
      </c>
      <c r="J228" s="99">
        <v>0</v>
      </c>
      <c r="K228" s="99">
        <v>0</v>
      </c>
      <c r="L228" s="99">
        <v>0</v>
      </c>
      <c r="M228" s="99">
        <v>0</v>
      </c>
      <c r="N228" s="99">
        <v>0</v>
      </c>
      <c r="O228" s="99">
        <v>16649555</v>
      </c>
      <c r="P228" s="99">
        <v>0</v>
      </c>
      <c r="Q228" s="99">
        <v>0</v>
      </c>
      <c r="R228" s="100" t="inlineStr">
        <is>
          <t xml:space="preserve"> </t>
        </is>
      </c>
      <c r="S228" t="inlineStr">
        <is>
          <t>No se programó ni ejecutó en la vigencia</t>
        </is>
      </c>
      <c r="T228" s="101" t="inlineStr">
        <is>
          <t xml:space="preserve"> </t>
        </is>
      </c>
      <c r="U228" s="101" t="inlineStr">
        <is>
          <t xml:space="preserve"> </t>
        </is>
      </c>
      <c r="V228" s="101" t="inlineStr">
        <is>
          <t xml:space="preserve"> </t>
        </is>
      </c>
      <c r="W228" s="102" t="inlineStr">
        <is>
          <t xml:space="preserve"> </t>
        </is>
      </c>
      <c r="X228" t="inlineStr">
        <is>
          <t>No se encontró ejecución en CUIPO</t>
        </is>
      </c>
    </row>
    <row r="229">
      <c r="A229" t="inlineStr">
        <is>
          <t>IP-543</t>
        </is>
      </c>
      <c r="B229" t="inlineStr">
        <is>
          <t>24</t>
        </is>
      </c>
      <c r="C229" t="inlineStr">
        <is>
          <t>Transporte</t>
        </is>
      </c>
      <c r="D229" t="inlineStr">
        <is>
          <t>2402</t>
        </is>
      </c>
      <c r="E229" t="inlineStr">
        <is>
          <t>Infraestructura red vial regional</t>
        </is>
      </c>
      <c r="F229" t="inlineStr">
        <is>
          <t>2402042</t>
        </is>
      </c>
      <c r="G229" t="inlineStr">
        <is>
          <t>Placa huella construida</t>
        </is>
      </c>
      <c r="H229" t="inlineStr">
        <is>
          <t>Incluye construcción de vías terciarias con sistema de  Placa Huella</t>
        </is>
      </c>
      <c r="I229" t="inlineStr">
        <is>
          <t>2022251750011</t>
        </is>
      </c>
      <c r="J229" s="99">
        <v>0</v>
      </c>
      <c r="K229" s="99">
        <v>0</v>
      </c>
      <c r="L229" s="99">
        <v>0</v>
      </c>
      <c r="M229" s="99">
        <v>0</v>
      </c>
      <c r="N229" s="99">
        <v>0</v>
      </c>
      <c r="O229" s="99">
        <v>16649555</v>
      </c>
      <c r="P229" s="99">
        <v>0</v>
      </c>
      <c r="Q229" s="99">
        <v>0</v>
      </c>
      <c r="R229" s="100" t="inlineStr">
        <is>
          <t xml:space="preserve"> </t>
        </is>
      </c>
      <c r="S229" t="inlineStr">
        <is>
          <t>No se programó ni ejecutó en la vigencia</t>
        </is>
      </c>
      <c r="T229" s="101" t="inlineStr">
        <is>
          <t xml:space="preserve"> </t>
        </is>
      </c>
      <c r="U229" s="101" t="inlineStr">
        <is>
          <t xml:space="preserve"> </t>
        </is>
      </c>
      <c r="V229" s="101" t="inlineStr">
        <is>
          <t xml:space="preserve"> </t>
        </is>
      </c>
      <c r="W229" s="102" t="inlineStr">
        <is>
          <t xml:space="preserve"> </t>
        </is>
      </c>
      <c r="X229" t="inlineStr">
        <is>
          <t>No se encontró ejecución en CUIPO</t>
        </is>
      </c>
    </row>
    <row r="230">
      <c r="A230" t="inlineStr">
        <is>
          <t>IP-544</t>
        </is>
      </c>
      <c r="B230" t="inlineStr">
        <is>
          <t>24</t>
        </is>
      </c>
      <c r="C230" t="inlineStr">
        <is>
          <t>Transporte</t>
        </is>
      </c>
      <c r="D230" t="inlineStr">
        <is>
          <t>2402</t>
        </is>
      </c>
      <c r="E230" t="inlineStr">
        <is>
          <t>Infraestructura red vial regional</t>
        </is>
      </c>
      <c r="F230" t="inlineStr">
        <is>
          <t>2402042</t>
        </is>
      </c>
      <c r="G230" t="inlineStr">
        <is>
          <t>Placa huella construida</t>
        </is>
      </c>
      <c r="H230" t="inlineStr">
        <is>
          <t>Incluye construcción de vías terciarias con sistema de  Placa Huella</t>
        </is>
      </c>
      <c r="I230" t="inlineStr">
        <is>
          <t>2022251750009</t>
        </is>
      </c>
      <c r="J230" s="99">
        <v>0</v>
      </c>
      <c r="K230" s="99">
        <v>0</v>
      </c>
      <c r="L230" s="99">
        <v>0</v>
      </c>
      <c r="M230" s="99">
        <v>0</v>
      </c>
      <c r="N230" s="99">
        <v>0</v>
      </c>
      <c r="O230" s="99">
        <v>16649555</v>
      </c>
      <c r="P230" s="99">
        <v>0</v>
      </c>
      <c r="Q230" s="99">
        <v>0</v>
      </c>
      <c r="R230" s="100" t="inlineStr">
        <is>
          <t xml:space="preserve"> </t>
        </is>
      </c>
      <c r="S230" t="inlineStr">
        <is>
          <t>No se programó ni ejecutó en la vigencia</t>
        </is>
      </c>
      <c r="T230" s="101" t="inlineStr">
        <is>
          <t xml:space="preserve"> </t>
        </is>
      </c>
      <c r="U230" s="101" t="inlineStr">
        <is>
          <t xml:space="preserve"> </t>
        </is>
      </c>
      <c r="V230" s="101" t="inlineStr">
        <is>
          <t xml:space="preserve"> </t>
        </is>
      </c>
      <c r="W230" s="102" t="inlineStr">
        <is>
          <t xml:space="preserve"> </t>
        </is>
      </c>
      <c r="X230" t="inlineStr">
        <is>
          <t>No se encontró ejecución en CUIPO</t>
        </is>
      </c>
    </row>
    <row r="231">
      <c r="A231" t="inlineStr">
        <is>
          <t>IP-545</t>
        </is>
      </c>
      <c r="B231" t="inlineStr">
        <is>
          <t>24</t>
        </is>
      </c>
      <c r="C231" t="inlineStr">
        <is>
          <t>Transporte</t>
        </is>
      </c>
      <c r="D231" t="inlineStr">
        <is>
          <t>2402</t>
        </is>
      </c>
      <c r="E231" t="inlineStr">
        <is>
          <t>Infraestructura red vial regional</t>
        </is>
      </c>
      <c r="F231" t="inlineStr">
        <is>
          <t>2402042</t>
        </is>
      </c>
      <c r="G231" t="inlineStr">
        <is>
          <t>Placa huella construida</t>
        </is>
      </c>
      <c r="H231" t="inlineStr">
        <is>
          <t>Incluye construcción de vías terciarias con sistema de  Placa Huella</t>
        </is>
      </c>
      <c r="I231" t="inlineStr">
        <is>
          <t>2022251750014</t>
        </is>
      </c>
      <c r="J231" s="99">
        <v>0</v>
      </c>
      <c r="K231" s="99">
        <v>0</v>
      </c>
      <c r="L231" s="99">
        <v>0</v>
      </c>
      <c r="M231" s="99">
        <v>0</v>
      </c>
      <c r="N231" s="99">
        <v>0</v>
      </c>
      <c r="O231" s="99">
        <v>16649555</v>
      </c>
      <c r="P231" s="99">
        <v>0</v>
      </c>
      <c r="Q231" s="99">
        <v>0</v>
      </c>
      <c r="R231" s="100" t="inlineStr">
        <is>
          <t xml:space="preserve"> </t>
        </is>
      </c>
      <c r="S231" t="inlineStr">
        <is>
          <t>No se programó ni ejecutó en la vigencia</t>
        </is>
      </c>
      <c r="T231" s="101" t="inlineStr">
        <is>
          <t xml:space="preserve"> </t>
        </is>
      </c>
      <c r="U231" s="101" t="inlineStr">
        <is>
          <t xml:space="preserve"> </t>
        </is>
      </c>
      <c r="V231" s="101" t="inlineStr">
        <is>
          <t xml:space="preserve"> </t>
        </is>
      </c>
      <c r="W231" s="102" t="inlineStr">
        <is>
          <t xml:space="preserve"> </t>
        </is>
      </c>
      <c r="X231" t="inlineStr">
        <is>
          <t>No se encontró ejecución en CUIPO</t>
        </is>
      </c>
    </row>
    <row r="232">
      <c r="A232" t="inlineStr">
        <is>
          <t>IP-546</t>
        </is>
      </c>
      <c r="B232" t="inlineStr">
        <is>
          <t>24</t>
        </is>
      </c>
      <c r="C232" t="inlineStr">
        <is>
          <t>Transporte</t>
        </is>
      </c>
      <c r="D232" t="inlineStr">
        <is>
          <t>2402</t>
        </is>
      </c>
      <c r="E232" t="inlineStr">
        <is>
          <t>Infraestructura red vial regional</t>
        </is>
      </c>
      <c r="F232" t="inlineStr">
        <is>
          <t>2402042</t>
        </is>
      </c>
      <c r="G232" t="inlineStr">
        <is>
          <t>Placa huella construida</t>
        </is>
      </c>
      <c r="H232" t="inlineStr">
        <is>
          <t>Incluye construcción de vías terciarias con sistema de  Placa Huella</t>
        </is>
      </c>
      <c r="I232" t="inlineStr">
        <is>
          <t>2022251750012</t>
        </is>
      </c>
      <c r="J232" s="99">
        <v>0</v>
      </c>
      <c r="K232" s="99">
        <v>0</v>
      </c>
      <c r="L232" s="99">
        <v>0</v>
      </c>
      <c r="M232" s="99">
        <v>0</v>
      </c>
      <c r="N232" s="99">
        <v>0</v>
      </c>
      <c r="O232" s="99">
        <v>16649555</v>
      </c>
      <c r="P232" s="99">
        <v>0</v>
      </c>
      <c r="Q232" s="99">
        <v>0</v>
      </c>
      <c r="R232" s="100" t="inlineStr">
        <is>
          <t xml:space="preserve"> </t>
        </is>
      </c>
      <c r="S232" t="inlineStr">
        <is>
          <t>No se programó ni ejecutó en la vigencia</t>
        </is>
      </c>
      <c r="T232" s="101" t="inlineStr">
        <is>
          <t xml:space="preserve"> </t>
        </is>
      </c>
      <c r="U232" s="101" t="inlineStr">
        <is>
          <t xml:space="preserve"> </t>
        </is>
      </c>
      <c r="V232" s="101" t="inlineStr">
        <is>
          <t xml:space="preserve"> </t>
        </is>
      </c>
      <c r="W232" s="102" t="inlineStr">
        <is>
          <t xml:space="preserve"> </t>
        </is>
      </c>
      <c r="X232" t="inlineStr">
        <is>
          <t>No se encontró ejecución en CUIPO</t>
        </is>
      </c>
    </row>
    <row r="233">
      <c r="A233" t="inlineStr">
        <is>
          <t>IP-548</t>
        </is>
      </c>
      <c r="B233" t="inlineStr">
        <is>
          <t>43</t>
        </is>
      </c>
      <c r="C233" t="inlineStr">
        <is>
          <t>Deporte y Recreación</t>
        </is>
      </c>
      <c r="D233" t="inlineStr">
        <is>
          <t>4301</t>
        </is>
      </c>
      <c r="E233" t="inlineStr">
        <is>
          <t>Fomento a la recreación, la actividad física y el deporte para desarrollar entornos de convivencia y paz</t>
        </is>
      </c>
      <c r="F233" t="inlineStr">
        <is>
          <t>4301031</t>
        </is>
      </c>
      <c r="G233" t="inlineStr">
        <is>
          <t>Estudios y diseños de infraestructura recreo-deportiva</t>
        </is>
      </c>
      <c r="H233" t="inlineStr">
        <is>
          <t>Corresponde a todos los productos relacionados a la etapa de preinversión en infraestructura recreo-deportiva, como son estudios de factibilidad, diseños arquitectónicos, planos, estudio de suelos y otros estudios y/o instrumentos similares.</t>
        </is>
      </c>
      <c r="I233" t="inlineStr">
        <is>
          <t/>
        </is>
      </c>
      <c r="J233" s="99">
        <v>0</v>
      </c>
      <c r="K233" s="99">
        <v>0</v>
      </c>
      <c r="L233" s="99">
        <v>0</v>
      </c>
      <c r="M233" s="99">
        <v>0</v>
      </c>
      <c r="N233" s="99">
        <v>0</v>
      </c>
      <c r="O233" s="99" t="inlineStr">
        <is>
          <t xml:space="preserve"> </t>
        </is>
      </c>
      <c r="P233" s="99" t="inlineStr">
        <is>
          <t xml:space="preserve"> </t>
        </is>
      </c>
      <c r="Q233" s="99" t="inlineStr">
        <is>
          <t xml:space="preserve"> </t>
        </is>
      </c>
      <c r="R233" s="100" t="inlineStr">
        <is>
          <t xml:space="preserve"> </t>
        </is>
      </c>
      <c r="S233" t="inlineStr">
        <is>
          <t>Por falta de código BPIN, no se encontró ejecución en CUIPO</t>
        </is>
      </c>
      <c r="T233" s="101" t="inlineStr">
        <is>
          <t xml:space="preserve"> </t>
        </is>
      </c>
      <c r="U233" s="101" t="inlineStr">
        <is>
          <t xml:space="preserve"> </t>
        </is>
      </c>
      <c r="V233" s="101" t="inlineStr">
        <is>
          <t xml:space="preserve"> </t>
        </is>
      </c>
      <c r="W233" s="102" t="inlineStr">
        <is>
          <t xml:space="preserve"> </t>
        </is>
      </c>
      <c r="X233" t="inlineStr">
        <is>
          <t>Por falta de código BPIN, no se encontró ejecución en CUIPO</t>
        </is>
      </c>
    </row>
    <row r="234">
      <c r="A234" t="inlineStr">
        <is>
          <t>IP-549</t>
        </is>
      </c>
      <c r="B234" t="inlineStr">
        <is>
          <t>41</t>
        </is>
      </c>
      <c r="C234" t="inlineStr">
        <is>
          <t xml:space="preserve">Inclusión social y reconciliación </t>
        </is>
      </c>
      <c r="D234" t="inlineStr">
        <is>
          <t>4103</t>
        </is>
      </c>
      <c r="E234" t="inlineStr">
        <is>
          <t>Inclusión social y productiva para la población en situación de vulnerabilidad</t>
        </is>
      </c>
      <c r="F234" t="inlineStr">
        <is>
          <t>4103052</t>
        </is>
      </c>
      <c r="G234" t="inlineStr">
        <is>
          <t>Servicio de gestión de oferta social para la población vulnerable</t>
        </is>
      </c>
      <c r="H234" t="inlineStr">
        <is>
          <t>Incluye el desarrollo de acciones encaminadas a generar dinámicas de atención conjunta, articulada y eficiente entre las instituciones del estado hacia la población vulnerable.</t>
        </is>
      </c>
      <c r="I234" t="inlineStr">
        <is>
          <t>2024251750059</t>
        </is>
      </c>
      <c r="J234" s="99">
        <v>0</v>
      </c>
      <c r="K234" s="99">
        <v>0</v>
      </c>
      <c r="L234" s="99">
        <v>0</v>
      </c>
      <c r="M234" s="99">
        <v>0</v>
      </c>
      <c r="N234" s="99">
        <v>0</v>
      </c>
      <c r="O234" s="99">
        <v>22163332</v>
      </c>
      <c r="P234" s="99">
        <v>22163332</v>
      </c>
      <c r="Q234" s="99">
        <v>22163332</v>
      </c>
      <c r="R234" s="100" t="inlineStr">
        <is>
          <t xml:space="preserve"> </t>
        </is>
      </c>
      <c r="S234" t="inlineStr">
        <is>
          <t>Se ejecutó un producto no programado en la vigencia</t>
        </is>
      </c>
      <c r="T234" s="101">
        <v>94395000</v>
      </c>
      <c r="U234" s="101">
        <v>79380000</v>
      </c>
      <c r="V234" s="101">
        <v>79380000</v>
      </c>
      <c r="W234" s="102" t="inlineStr">
        <is>
          <t xml:space="preserve"> </t>
        </is>
      </c>
      <c r="X234" t="inlineStr">
        <is>
          <t>Se ejecutó un producto no programado en la vigencia</t>
        </is>
      </c>
    </row>
    <row r="235">
      <c r="A235" t="inlineStr">
        <is>
          <t>IP-551</t>
        </is>
      </c>
      <c r="B235" t="inlineStr">
        <is>
          <t>45</t>
        </is>
      </c>
      <c r="C235" t="inlineStr">
        <is>
          <t>Gobierno Territorial</t>
        </is>
      </c>
      <c r="D235" t="inlineStr">
        <is>
          <t>4599</t>
        </is>
      </c>
      <c r="E235" t="inlineStr">
        <is>
          <t>Fortalecimiento a la gestión y dirección de la administración pública territorial</t>
        </is>
      </c>
      <c r="F235" t="inlineStr">
        <is>
          <t>4599031</t>
        </is>
      </c>
      <c r="G235" t="inlineStr">
        <is>
          <t>Servicio de asistencia técnica</t>
        </is>
      </c>
      <c r="H235" t="inlineStr">
        <is>
          <t>Corresponde al acompañamiento,apoyo,  asesoría y seguimiento técnico para la transferencia de herramientas de gestión y conocimiento en políticas, planes , proyectos y programas de apoyo a la dirección y gestión de la administración territorial.</t>
        </is>
      </c>
      <c r="I235" t="inlineStr">
        <is>
          <t>2024251750079</t>
        </is>
      </c>
      <c r="J235" s="99">
        <v>105000000</v>
      </c>
      <c r="K235" s="99">
        <v>0</v>
      </c>
      <c r="L235" s="99">
        <v>105000000</v>
      </c>
      <c r="M235" s="99">
        <v>0</v>
      </c>
      <c r="N235" s="99">
        <v>0</v>
      </c>
      <c r="O235" s="99" t="inlineStr">
        <is>
          <t xml:space="preserve"> </t>
        </is>
      </c>
      <c r="P235" s="99" t="inlineStr">
        <is>
          <t xml:space="preserve"> </t>
        </is>
      </c>
      <c r="Q235" s="99" t="inlineStr">
        <is>
          <t xml:space="preserve"> </t>
        </is>
      </c>
      <c r="R235" s="100" t="inlineStr">
        <is>
          <t xml:space="preserve"> </t>
        </is>
      </c>
      <c r="S235" t="inlineStr">
        <is>
          <t>No se encontró ejecución en CUIPO</t>
        </is>
      </c>
      <c r="T235" s="101">
        <v>98000000</v>
      </c>
      <c r="U235" s="101">
        <v>56000000</v>
      </c>
      <c r="V235" s="101">
        <v>56000000</v>
      </c>
      <c r="W235" s="102">
        <v>0.533333333333333</v>
      </c>
      <c r="X235" t="inlineStr">
        <is>
          <t>Lo obligado está por debajo de lo programado en la vigencia</t>
        </is>
      </c>
    </row>
    <row r="236">
      <c r="A236" t="inlineStr">
        <is>
          <t>IP-554</t>
        </is>
      </c>
      <c r="B236" t="inlineStr">
        <is>
          <t>24</t>
        </is>
      </c>
      <c r="C236" t="inlineStr">
        <is>
          <t>Transporte</t>
        </is>
      </c>
      <c r="D236" t="inlineStr">
        <is>
          <t>2402</t>
        </is>
      </c>
      <c r="E236" t="inlineStr">
        <is>
          <t>Infraestructura red vial regional</t>
        </is>
      </c>
      <c r="F236" t="inlineStr">
        <is>
          <t>2402054</t>
        </is>
      </c>
      <c r="G236" t="inlineStr">
        <is>
          <t>Ciclo infraestructura de la red terciaria con mantenimiento</t>
        </is>
      </c>
      <c r="H236" t="inlineStr">
        <is>
          <t>Incluye el mantenimiento de las vías o secciones de la calzada destinadas al tránsito de bicicletas en forma exclusiva.</t>
        </is>
      </c>
      <c r="I236" t="inlineStr">
        <is>
          <t>2024251750047</t>
        </is>
      </c>
      <c r="J236" s="99">
        <v>200000000</v>
      </c>
      <c r="K236" s="99">
        <v>100000000</v>
      </c>
      <c r="L236" s="99">
        <v>0</v>
      </c>
      <c r="M236" s="99">
        <v>0</v>
      </c>
      <c r="N236" s="99">
        <v>100000000</v>
      </c>
      <c r="O236" s="99">
        <v>150000000</v>
      </c>
      <c r="P236" s="99">
        <v>150000000</v>
      </c>
      <c r="Q236" s="99">
        <v>0</v>
      </c>
      <c r="R236" s="100">
        <v>1.5</v>
      </c>
      <c r="S236" t="inlineStr">
        <is>
          <t>Hubo ejecución por encima de lo programado en SisPT</t>
        </is>
      </c>
      <c r="T236" s="101" t="inlineStr">
        <is>
          <t xml:space="preserve"> </t>
        </is>
      </c>
      <c r="U236" s="101" t="inlineStr">
        <is>
          <t xml:space="preserve"> </t>
        </is>
      </c>
      <c r="V236" s="101" t="inlineStr">
        <is>
          <t xml:space="preserve"> </t>
        </is>
      </c>
      <c r="W236" s="102" t="inlineStr">
        <is>
          <t xml:space="preserve"> </t>
        </is>
      </c>
      <c r="X236" t="inlineStr">
        <is>
          <t>No se encontró ejecución en CUIPO</t>
        </is>
      </c>
    </row>
    <row r="237">
      <c r="J237" s="99"/>
      <c r="K237" s="99"/>
      <c r="L237" s="99"/>
      <c r="M237" s="99"/>
      <c r="N237" s="99"/>
      <c r="O237" s="99"/>
      <c r="P237" s="99"/>
      <c r="Q237" s="99"/>
      <c r="R237" s="100"/>
      <c r="T237" s="101"/>
      <c r="U237" s="101"/>
      <c r="V237" s="101"/>
      <c r="W237"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252"/>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IP-268</t>
        </is>
      </c>
      <c r="B8" t="inlineStr">
        <is>
          <t>41</t>
        </is>
      </c>
      <c r="C8" t="inlineStr">
        <is>
          <t xml:space="preserve">Inclusión social y reconciliación </t>
        </is>
      </c>
      <c r="D8" t="inlineStr">
        <is>
          <t>4102</t>
        </is>
      </c>
      <c r="E8" t="inlineStr">
        <is>
          <t>Desarrollo integral de la primera infancia a la juventud, y fortalecimiento de las capacidades de las familias de niñas, niños y adolescentes</t>
        </is>
      </c>
      <c r="F8" t="inlineStr">
        <is>
          <t>4102001</t>
        </is>
      </c>
      <c r="G8" t="inlineStr">
        <is>
          <t>Servicio de atención integral a la primera infancia</t>
        </is>
      </c>
      <c r="H8" t="inlineStr">
        <is>
          <t>410200100</t>
        </is>
      </c>
      <c r="I8" t="inlineStr">
        <is>
          <t>Niños y niñas atendidos en Servicio integrales</t>
        </is>
      </c>
      <c r="J8" t="inlineStr">
        <is>
          <t>2024251750060</t>
        </is>
      </c>
      <c r="K8" t="inlineStr">
        <is>
          <t>No</t>
        </is>
      </c>
      <c r="L8" t="inlineStr">
        <is>
          <t>Número</t>
        </is>
      </c>
      <c r="M8">
        <v>800</v>
      </c>
      <c r="N8">
        <v>800</v>
      </c>
      <c r="O8">
        <v>800</v>
      </c>
      <c r="P8">
        <v>800</v>
      </c>
      <c r="Q8">
        <v>800</v>
      </c>
      <c r="R8">
        <v>800</v>
      </c>
      <c r="S8" s="103">
        <v>1</v>
      </c>
      <c r="T8" t="inlineStr">
        <is>
          <t>Se ejecutó el 100% de lo programado en la vigencia</t>
        </is>
      </c>
      <c r="U8">
        <v>421</v>
      </c>
      <c r="V8" s="104">
        <v>0.52625</v>
      </c>
      <c r="W8" t="inlineStr">
        <is>
          <t>Lo ejecutado está por debajo de lo programado en la vigencia</t>
        </is>
      </c>
    </row>
    <row r="9">
      <c r="A9" t="inlineStr">
        <is>
          <t>IP-269, IP-285</t>
        </is>
      </c>
      <c r="B9" t="inlineStr">
        <is>
          <t>41</t>
        </is>
      </c>
      <c r="C9" t="inlineStr">
        <is>
          <t xml:space="preserve">Inclusión social y reconciliación </t>
        </is>
      </c>
      <c r="D9" t="inlineStr">
        <is>
          <t>4104</t>
        </is>
      </c>
      <c r="E9" t="inlineStr">
        <is>
          <t>Atención integral de población en situación permanente de desprotección social y/o familiar</t>
        </is>
      </c>
      <c r="F9" t="inlineStr">
        <is>
          <t>4104008</t>
        </is>
      </c>
      <c r="G9" t="inlineStr">
        <is>
          <t>Servicio de atención y protección integral al adulto mayor</t>
        </is>
      </c>
      <c r="H9" t="inlineStr">
        <is>
          <t>410400800</t>
        </is>
      </c>
      <c r="I9" t="inlineStr">
        <is>
          <t>Adultos mayores atendidos con servicios integrales</t>
        </is>
      </c>
      <c r="J9" t="inlineStr">
        <is>
          <t>2024251750061</t>
        </is>
      </c>
      <c r="K9" t="inlineStr">
        <is>
          <t>No</t>
        </is>
      </c>
      <c r="L9" t="inlineStr">
        <is>
          <t>Número</t>
        </is>
      </c>
      <c r="M9">
        <v>5305</v>
      </c>
      <c r="N9">
        <v>1405</v>
      </c>
      <c r="O9">
        <v>1425</v>
      </c>
      <c r="P9">
        <v>1425</v>
      </c>
      <c r="Q9">
        <v>5305</v>
      </c>
      <c r="R9">
        <v>1401</v>
      </c>
      <c r="S9" s="103">
        <v>0.997153024911032</v>
      </c>
      <c r="T9" t="inlineStr">
        <is>
          <t>Lo ejecutado está por debajo de lo programado en la vigencia</t>
        </is>
      </c>
      <c r="U9">
        <v>7000</v>
      </c>
      <c r="V9" s="104">
        <v>4.91228070175439</v>
      </c>
      <c r="W9" t="inlineStr">
        <is>
          <t>Hubo ejecución por encima de lo programado en SisPT</t>
        </is>
      </c>
    </row>
    <row r="10">
      <c r="A10" t="inlineStr">
        <is>
          <t>IP-270</t>
        </is>
      </c>
      <c r="B10" t="inlineStr">
        <is>
          <t>19</t>
        </is>
      </c>
      <c r="C10" t="inlineStr">
        <is>
          <t>Salud y protección social</t>
        </is>
      </c>
      <c r="D10" t="inlineStr">
        <is>
          <t>1905</t>
        </is>
      </c>
      <c r="E10" t="inlineStr">
        <is>
          <t>Salud pública</t>
        </is>
      </c>
      <c r="F10" t="inlineStr">
        <is>
          <t>1905027</t>
        </is>
      </c>
      <c r="G10" t="inlineStr">
        <is>
          <t>Servicio de gestión del riesgo para enfermedades inmunoprevenibles</t>
        </is>
      </c>
      <c r="H10" t="inlineStr">
        <is>
          <t>190502702</t>
        </is>
      </c>
      <c r="I10" t="inlineStr">
        <is>
          <t>Estrategias de gestión del riesgo para enfermedades inmunoprevenibles implementadas</t>
        </is>
      </c>
      <c r="J10" t="inlineStr">
        <is>
          <t>2024251750007</t>
        </is>
      </c>
      <c r="K10" t="inlineStr">
        <is>
          <t>No</t>
        </is>
      </c>
      <c r="L10" t="inlineStr">
        <is>
          <t>Número</t>
        </is>
      </c>
      <c r="M10">
        <v>1</v>
      </c>
      <c r="N10">
        <v>1</v>
      </c>
      <c r="O10">
        <v>1</v>
      </c>
      <c r="P10">
        <v>1</v>
      </c>
      <c r="Q10">
        <v>1</v>
      </c>
      <c r="R10">
        <v>1</v>
      </c>
      <c r="S10" s="103">
        <v>1</v>
      </c>
      <c r="T10" t="inlineStr">
        <is>
          <t>Se ejecutó el 100% de lo programado en la vigencia</t>
        </is>
      </c>
      <c r="U10">
        <v>1</v>
      </c>
      <c r="V10" s="104">
        <v>1</v>
      </c>
      <c r="W10" t="inlineStr">
        <is>
          <t>Se ejecutó el 100% de lo programado en la vigencia</t>
        </is>
      </c>
    </row>
    <row r="11">
      <c r="A11" t="inlineStr">
        <is>
          <t>IP-271</t>
        </is>
      </c>
      <c r="B11" t="inlineStr">
        <is>
          <t>19</t>
        </is>
      </c>
      <c r="C11" t="inlineStr">
        <is>
          <t>Salud y protección social</t>
        </is>
      </c>
      <c r="D11" t="inlineStr">
        <is>
          <t>1905</t>
        </is>
      </c>
      <c r="E11" t="inlineStr">
        <is>
          <t>Salud pública</t>
        </is>
      </c>
      <c r="F11" t="inlineStr">
        <is>
          <t>1905022</t>
        </is>
      </c>
      <c r="G11" t="inlineStr">
        <is>
          <t>Servicio de gestión del riesgo en temas de trastornos mentales</t>
        </is>
      </c>
      <c r="H11" t="inlineStr">
        <is>
          <t>190502202</t>
        </is>
      </c>
      <c r="I11" t="inlineStr">
        <is>
          <t>Estrategias de gestión del riesgo en temas de trastornos mentales implementadas</t>
        </is>
      </c>
      <c r="J11" t="inlineStr">
        <is>
          <t>2024251750007</t>
        </is>
      </c>
      <c r="K11" t="inlineStr">
        <is>
          <t>No</t>
        </is>
      </c>
      <c r="L11" t="inlineStr">
        <is>
          <t>Número</t>
        </is>
      </c>
      <c r="M11">
        <v>1</v>
      </c>
      <c r="N11">
        <v>1</v>
      </c>
      <c r="O11">
        <v>1</v>
      </c>
      <c r="P11">
        <v>1</v>
      </c>
      <c r="Q11">
        <v>1</v>
      </c>
      <c r="R11">
        <v>1</v>
      </c>
      <c r="S11" s="103">
        <v>1</v>
      </c>
      <c r="T11" t="inlineStr">
        <is>
          <t>Se ejecutó el 100% de lo programado en la vigencia</t>
        </is>
      </c>
      <c r="U11">
        <v>1</v>
      </c>
      <c r="V11" s="104">
        <v>1</v>
      </c>
      <c r="W11" t="inlineStr">
        <is>
          <t>Se ejecutó el 100% de lo programado en la vigencia</t>
        </is>
      </c>
    </row>
    <row r="12">
      <c r="A12" t="inlineStr">
        <is>
          <t>IP-272</t>
        </is>
      </c>
      <c r="B12" t="inlineStr">
        <is>
          <t>19</t>
        </is>
      </c>
      <c r="C12" t="inlineStr">
        <is>
          <t>Salud y protección social</t>
        </is>
      </c>
      <c r="D12" t="inlineStr">
        <is>
          <t>1905</t>
        </is>
      </c>
      <c r="E12" t="inlineStr">
        <is>
          <t>Salud pública</t>
        </is>
      </c>
      <c r="F12" t="inlineStr">
        <is>
          <t>1905028</t>
        </is>
      </c>
      <c r="G12" t="inlineStr">
        <is>
          <t>Servicio de gestión del riesgo para temas de consumo, aprovechamiento biológico, calidad e inocuidad de los alimentos</t>
        </is>
      </c>
      <c r="H12" t="inlineStr">
        <is>
          <t>190502802</t>
        </is>
      </c>
      <c r="I12" t="inlineStr">
        <is>
          <t>Estrategias de gestión para temas de consumo, aprovechamiento biológico, calidad e inocuidad de los alimentos implementadas</t>
        </is>
      </c>
      <c r="J12" t="inlineStr">
        <is>
          <t>2024251750007</t>
        </is>
      </c>
      <c r="K12" t="inlineStr">
        <is>
          <t>No</t>
        </is>
      </c>
      <c r="L12" t="inlineStr">
        <is>
          <t>Número</t>
        </is>
      </c>
      <c r="M12">
        <v>1</v>
      </c>
      <c r="N12">
        <v>1</v>
      </c>
      <c r="O12">
        <v>1</v>
      </c>
      <c r="P12">
        <v>1</v>
      </c>
      <c r="Q12">
        <v>1</v>
      </c>
      <c r="R12">
        <v>1</v>
      </c>
      <c r="S12" s="103">
        <v>1</v>
      </c>
      <c r="T12" t="inlineStr">
        <is>
          <t>Se ejecutó el 100% de lo programado en la vigencia</t>
        </is>
      </c>
      <c r="U12">
        <v>0.05</v>
      </c>
      <c r="V12" s="104">
        <v>0.05</v>
      </c>
      <c r="W12" t="inlineStr">
        <is>
          <t>Lo ejecutado está por debajo de lo programado en la vigencia</t>
        </is>
      </c>
    </row>
    <row r="13">
      <c r="A13" t="inlineStr">
        <is>
          <t>IP-273</t>
        </is>
      </c>
      <c r="B13" t="inlineStr">
        <is>
          <t>19</t>
        </is>
      </c>
      <c r="C13" t="inlineStr">
        <is>
          <t>Salud y protección social</t>
        </is>
      </c>
      <c r="D13" t="inlineStr">
        <is>
          <t>1905</t>
        </is>
      </c>
      <c r="E13" t="inlineStr">
        <is>
          <t>Salud pública</t>
        </is>
      </c>
      <c r="F13" t="inlineStr">
        <is>
          <t>1905014</t>
        </is>
      </c>
      <c r="G13" t="inlineStr">
        <is>
          <t>Documentos de lineamientos técnicos</t>
        </is>
      </c>
      <c r="H13" t="inlineStr">
        <is>
          <t>190501400</t>
        </is>
      </c>
      <c r="I13" t="inlineStr">
        <is>
          <t>Documentos de lineamientos técnicos elaborados</t>
        </is>
      </c>
      <c r="J13" t="inlineStr">
        <is>
          <t>2024251750007</t>
        </is>
      </c>
      <c r="K13" t="inlineStr">
        <is>
          <t>No</t>
        </is>
      </c>
      <c r="L13" t="inlineStr">
        <is>
          <t>Número</t>
        </is>
      </c>
      <c r="M13">
        <v>7</v>
      </c>
      <c r="N13">
        <v>7</v>
      </c>
      <c r="O13">
        <v>7</v>
      </c>
      <c r="P13">
        <v>7</v>
      </c>
      <c r="Q13">
        <v>7</v>
      </c>
      <c r="R13">
        <v>7</v>
      </c>
      <c r="S13" s="103">
        <v>1</v>
      </c>
      <c r="T13" t="inlineStr">
        <is>
          <t>Se ejecutó el 100% de lo programado en la vigencia</t>
        </is>
      </c>
      <c r="U13">
        <v>2.6</v>
      </c>
      <c r="V13" s="104">
        <v>0.371428571428571</v>
      </c>
      <c r="W13" t="inlineStr">
        <is>
          <t>Lo ejecutado está por debajo de lo programado en la vigencia</t>
        </is>
      </c>
    </row>
    <row r="14">
      <c r="A14" t="inlineStr">
        <is>
          <t>IP-274</t>
        </is>
      </c>
      <c r="B14" t="inlineStr">
        <is>
          <t>19</t>
        </is>
      </c>
      <c r="C14" t="inlineStr">
        <is>
          <t>Salud y protección social</t>
        </is>
      </c>
      <c r="D14" t="inlineStr">
        <is>
          <t>1905</t>
        </is>
      </c>
      <c r="E14" t="inlineStr">
        <is>
          <t>Salud pública</t>
        </is>
      </c>
      <c r="F14" t="inlineStr">
        <is>
          <t>1905050</t>
        </is>
      </c>
      <c r="G14" t="inlineStr">
        <is>
          <t>Servicio de asistencia técnica</t>
        </is>
      </c>
      <c r="H14" t="inlineStr">
        <is>
          <t>190505003</t>
        </is>
      </c>
      <c r="I14" t="inlineStr">
        <is>
          <t>Personas apoyadas</t>
        </is>
      </c>
      <c r="J14" t="inlineStr">
        <is>
          <t>2024251750007</t>
        </is>
      </c>
      <c r="K14" t="inlineStr">
        <is>
          <t>No</t>
        </is>
      </c>
      <c r="L14" t="inlineStr">
        <is>
          <t>Número</t>
        </is>
      </c>
      <c r="M14">
        <v>1500</v>
      </c>
      <c r="N14">
        <v>1500</v>
      </c>
      <c r="O14">
        <v>1500</v>
      </c>
      <c r="P14">
        <v>1500</v>
      </c>
      <c r="Q14">
        <v>1500</v>
      </c>
      <c r="R14">
        <v>1500</v>
      </c>
      <c r="S14" s="103">
        <v>1</v>
      </c>
      <c r="T14" t="inlineStr">
        <is>
          <t>Se ejecutó el 100% de lo programado en la vigencia</t>
        </is>
      </c>
      <c r="U14">
        <v>1201</v>
      </c>
      <c r="V14" s="104">
        <v>0.800666666666667</v>
      </c>
      <c r="W14" t="inlineStr">
        <is>
          <t>Lo ejecutado está por debajo de lo programado en la vigencia</t>
        </is>
      </c>
    </row>
    <row r="15">
      <c r="A15" t="inlineStr">
        <is>
          <t>IP-275</t>
        </is>
      </c>
      <c r="B15" t="inlineStr">
        <is>
          <t>19</t>
        </is>
      </c>
      <c r="C15" t="inlineStr">
        <is>
          <t>Salud y protección social</t>
        </is>
      </c>
      <c r="D15" t="inlineStr">
        <is>
          <t>1905</t>
        </is>
      </c>
      <c r="E15" t="inlineStr">
        <is>
          <t>Salud pública</t>
        </is>
      </c>
      <c r="F15" t="inlineStr">
        <is>
          <t>1905054</t>
        </is>
      </c>
      <c r="G15" t="inlineStr">
        <is>
          <t>Servicio de promoción de la salud</t>
        </is>
      </c>
      <c r="H15" t="inlineStr">
        <is>
          <t>190505412</t>
        </is>
      </c>
      <c r="I15" t="inlineStr">
        <is>
          <t>Estrategias de promoción de la salud en modos, condiciones y estilos de vida saludables implementadas</t>
        </is>
      </c>
      <c r="J15" t="inlineStr">
        <is>
          <t>2024251750007</t>
        </is>
      </c>
      <c r="K15" t="inlineStr">
        <is>
          <t>Si</t>
        </is>
      </c>
      <c r="L15" t="inlineStr">
        <is>
          <t>Número</t>
        </is>
      </c>
      <c r="M15">
        <v>8</v>
      </c>
      <c r="N15">
        <v>2</v>
      </c>
      <c r="O15">
        <v>2</v>
      </c>
      <c r="P15">
        <v>2</v>
      </c>
      <c r="Q15">
        <v>2</v>
      </c>
      <c r="R15">
        <v>2</v>
      </c>
      <c r="S15" s="103">
        <v>1</v>
      </c>
      <c r="T15" t="inlineStr">
        <is>
          <t>Se ejecutó el 100% de lo programado en la vigencia</t>
        </is>
      </c>
      <c r="U15">
        <v>1</v>
      </c>
      <c r="V15" s="104">
        <v>0.5</v>
      </c>
      <c r="W15" t="inlineStr">
        <is>
          <t>Lo ejecutado está por debajo de lo programado en la vigencia</t>
        </is>
      </c>
    </row>
    <row r="16">
      <c r="A16" t="inlineStr">
        <is>
          <t>IP-276</t>
        </is>
      </c>
      <c r="B16" t="inlineStr">
        <is>
          <t>19</t>
        </is>
      </c>
      <c r="C16" t="inlineStr">
        <is>
          <t>Salud y protección social</t>
        </is>
      </c>
      <c r="D16" t="inlineStr">
        <is>
          <t>1905</t>
        </is>
      </c>
      <c r="E16" t="inlineStr">
        <is>
          <t>Salud pública</t>
        </is>
      </c>
      <c r="F16" t="inlineStr">
        <is>
          <t>1905040</t>
        </is>
      </c>
      <c r="G16" t="inlineStr">
        <is>
          <t>Servicio de certificación de discapacidad para las personas con discapacidad</t>
        </is>
      </c>
      <c r="H16" t="inlineStr">
        <is>
          <t>190504000</t>
        </is>
      </c>
      <c r="I16" t="inlineStr">
        <is>
          <t>Personas con servicio de certificación de discapacidad</t>
        </is>
      </c>
      <c r="J16" t="inlineStr">
        <is>
          <t>2024251750006</t>
        </is>
      </c>
      <c r="K16" t="inlineStr">
        <is>
          <t>Si</t>
        </is>
      </c>
      <c r="L16" t="inlineStr">
        <is>
          <t>Número</t>
        </is>
      </c>
      <c r="M16">
        <v>2000</v>
      </c>
      <c r="N16">
        <v>505</v>
      </c>
      <c r="O16">
        <v>540</v>
      </c>
      <c r="P16">
        <v>540</v>
      </c>
      <c r="Q16">
        <v>415</v>
      </c>
      <c r="R16">
        <v>505</v>
      </c>
      <c r="S16" s="103">
        <v>1</v>
      </c>
      <c r="T16" t="inlineStr">
        <is>
          <t>Se ejecutó el 100% de lo programado en la vigencia</t>
        </is>
      </c>
      <c r="U16">
        <v>114</v>
      </c>
      <c r="V16" s="104">
        <v>0.211111111111111</v>
      </c>
      <c r="W16" t="inlineStr">
        <is>
          <t>Lo ejecutado está por debajo de lo programado en la vigencia</t>
        </is>
      </c>
    </row>
    <row r="17">
      <c r="A17" t="inlineStr">
        <is>
          <t>IP-277</t>
        </is>
      </c>
      <c r="B17" t="inlineStr">
        <is>
          <t>19</t>
        </is>
      </c>
      <c r="C17" t="inlineStr">
        <is>
          <t>Salud y protección social</t>
        </is>
      </c>
      <c r="D17" t="inlineStr">
        <is>
          <t>1905</t>
        </is>
      </c>
      <c r="E17" t="inlineStr">
        <is>
          <t>Salud pública</t>
        </is>
      </c>
      <c r="F17" t="inlineStr">
        <is>
          <t>1905021</t>
        </is>
      </c>
      <c r="G17" t="inlineStr">
        <is>
          <t>Servicio de gestión del riesgo en temas de salud sexual y reproductiva</t>
        </is>
      </c>
      <c r="H17" t="inlineStr">
        <is>
          <t>190502100</t>
        </is>
      </c>
      <c r="I17" t="inlineStr">
        <is>
          <t>Campañas de gestión del riesgo en temas de salud sexual y reproductiva implementadas</t>
        </is>
      </c>
      <c r="J17" t="inlineStr">
        <is>
          <t>2024251750007</t>
        </is>
      </c>
      <c r="K17" t="inlineStr">
        <is>
          <t>Si</t>
        </is>
      </c>
      <c r="L17" t="inlineStr">
        <is>
          <t>Número</t>
        </is>
      </c>
      <c r="M17">
        <v>4</v>
      </c>
      <c r="N17">
        <v>1</v>
      </c>
      <c r="O17">
        <v>1</v>
      </c>
      <c r="P17">
        <v>1</v>
      </c>
      <c r="Q17">
        <v>1</v>
      </c>
      <c r="R17">
        <v>1</v>
      </c>
      <c r="S17" s="103">
        <v>1</v>
      </c>
      <c r="T17" t="inlineStr">
        <is>
          <t>Se ejecutó el 100% de lo programado en la vigencia</t>
        </is>
      </c>
      <c r="U17">
        <v>0.5</v>
      </c>
      <c r="V17" s="104">
        <v>0.5</v>
      </c>
      <c r="W17" t="inlineStr">
        <is>
          <t>Lo ejecutado está por debajo de lo programado en la vigencia</t>
        </is>
      </c>
    </row>
    <row r="18">
      <c r="A18" t="inlineStr">
        <is>
          <t>IP-278</t>
        </is>
      </c>
      <c r="B18" t="inlineStr">
        <is>
          <t>41</t>
        </is>
      </c>
      <c r="C18" t="inlineStr">
        <is>
          <t xml:space="preserve">Inclusión social y reconciliación </t>
        </is>
      </c>
      <c r="D18" t="inlineStr">
        <is>
          <t>4102</t>
        </is>
      </c>
      <c r="E18" t="inlineStr">
        <is>
          <t>Desarrollo integral de la primera infancia a la juventud, y fortalecimiento de las capacidades de las familias de niñas, niños y adolescentes</t>
        </is>
      </c>
      <c r="F18" t="inlineStr">
        <is>
          <t>4102045</t>
        </is>
      </c>
      <c r="G18" t="inlineStr">
        <is>
          <t>Servicios de educación informal a niños, niñas, adolescentes  y jóvenes para el reconocimiento de sus derechos</t>
        </is>
      </c>
      <c r="H18" t="inlineStr">
        <is>
          <t>410204500</t>
        </is>
      </c>
      <c r="I18" t="inlineStr">
        <is>
          <t>Personas capacitadas</t>
        </is>
      </c>
      <c r="J18" t="inlineStr">
        <is>
          <t>2024251750060</t>
        </is>
      </c>
      <c r="K18" t="inlineStr">
        <is>
          <t>No</t>
        </is>
      </c>
      <c r="L18" t="inlineStr">
        <is>
          <t>Número</t>
        </is>
      </c>
      <c r="M18">
        <v>500</v>
      </c>
      <c r="N18">
        <v>500</v>
      </c>
      <c r="O18">
        <v>500</v>
      </c>
      <c r="P18">
        <v>500</v>
      </c>
      <c r="Q18">
        <v>500</v>
      </c>
      <c r="R18">
        <v>500</v>
      </c>
      <c r="S18" s="103">
        <v>1</v>
      </c>
      <c r="T18" t="inlineStr">
        <is>
          <t>Se ejecutó el 100% de lo programado en la vigencia</t>
        </is>
      </c>
      <c r="U18">
        <v>420</v>
      </c>
      <c r="V18" s="104">
        <v>0.84</v>
      </c>
      <c r="W18" t="inlineStr">
        <is>
          <t>Lo ejecutado está por debajo de lo programado en la vigencia</t>
        </is>
      </c>
    </row>
    <row r="19">
      <c r="A19" t="inlineStr">
        <is>
          <t>IP-279</t>
        </is>
      </c>
      <c r="B19" t="inlineStr">
        <is>
          <t>41</t>
        </is>
      </c>
      <c r="C19" t="inlineStr">
        <is>
          <t xml:space="preserve">Inclusión social y reconciliación </t>
        </is>
      </c>
      <c r="D19" t="inlineStr">
        <is>
          <t>4102</t>
        </is>
      </c>
      <c r="E19" t="inlineStr">
        <is>
          <t>Desarrollo integral de la primera infancia a la juventud, y fortalecimiento de las capacidades de las familias de niñas, niños y adolescentes</t>
        </is>
      </c>
      <c r="F19" t="inlineStr">
        <is>
          <t>4102051</t>
        </is>
      </c>
      <c r="G19" t="inlineStr">
        <is>
          <t>Documentos de planeación</t>
        </is>
      </c>
      <c r="H19" t="inlineStr">
        <is>
          <t>410205100</t>
        </is>
      </c>
      <c r="I19" t="inlineStr">
        <is>
          <t>Documentos de planeación elaborados</t>
        </is>
      </c>
      <c r="J19" t="inlineStr">
        <is>
          <t>2024251750060</t>
        </is>
      </c>
      <c r="K19" t="inlineStr">
        <is>
          <t>No</t>
        </is>
      </c>
      <c r="L19" t="inlineStr">
        <is>
          <t>Número</t>
        </is>
      </c>
      <c r="M19">
        <v>1</v>
      </c>
      <c r="N19">
        <v>1</v>
      </c>
      <c r="O19">
        <v>1</v>
      </c>
      <c r="P19">
        <v>1</v>
      </c>
      <c r="Q19">
        <v>1</v>
      </c>
      <c r="R19">
        <v>1</v>
      </c>
      <c r="S19" s="103">
        <v>1</v>
      </c>
      <c r="T19" t="inlineStr">
        <is>
          <t>Se ejecutó el 100% de lo programado en la vigencia</t>
        </is>
      </c>
      <c r="U19">
        <v>0.3</v>
      </c>
      <c r="V19" s="104">
        <v>0.3</v>
      </c>
      <c r="W19" t="inlineStr">
        <is>
          <t>Lo ejecutado está por debajo de lo programado en la vigencia</t>
        </is>
      </c>
    </row>
    <row r="20">
      <c r="A20" t="inlineStr">
        <is>
          <t>IP-280</t>
        </is>
      </c>
      <c r="B20" t="inlineStr">
        <is>
          <t>41</t>
        </is>
      </c>
      <c r="C20" t="inlineStr">
        <is>
          <t xml:space="preserve">Inclusión social y reconciliación </t>
        </is>
      </c>
      <c r="D20" t="inlineStr">
        <is>
          <t>4102</t>
        </is>
      </c>
      <c r="E20" t="inlineStr">
        <is>
          <t>Desarrollo integral de la primera infancia a la juventud, y fortalecimiento de las capacidades de las familias de niñas, niños y adolescentes</t>
        </is>
      </c>
      <c r="F20" t="inlineStr">
        <is>
          <t>4102049</t>
        </is>
      </c>
      <c r="G20" t="inlineStr">
        <is>
          <t>Edificaciones de atención a la adolescencia y juventud adecuadas</t>
        </is>
      </c>
      <c r="H20" t="inlineStr">
        <is>
          <t>410204900</t>
        </is>
      </c>
      <c r="I20" t="inlineStr">
        <is>
          <t>Edificaciones de atención a la adolescencia y juventud adecuadas</t>
        </is>
      </c>
      <c r="J20" t="inlineStr">
        <is>
          <t>2024251750060</t>
        </is>
      </c>
      <c r="K20" t="inlineStr">
        <is>
          <t>No</t>
        </is>
      </c>
      <c r="L20" t="inlineStr">
        <is>
          <t>Número</t>
        </is>
      </c>
      <c r="M20">
        <v>1</v>
      </c>
      <c r="N20">
        <v>0</v>
      </c>
      <c r="O20">
        <v>1</v>
      </c>
      <c r="P20">
        <v>0</v>
      </c>
      <c r="Q20">
        <v>0</v>
      </c>
      <c r="R20">
        <v>0</v>
      </c>
      <c r="S20" s="103" t="inlineStr">
        <is>
          <t xml:space="preserve"> </t>
        </is>
      </c>
      <c r="T20" t="inlineStr">
        <is>
          <t>No se programó ni ejecutó en la vigencia</t>
        </is>
      </c>
      <c r="U20">
        <v>0</v>
      </c>
      <c r="V20" s="104">
        <v>0</v>
      </c>
      <c r="W20" t="inlineStr">
        <is>
          <t>No se ejecutó en la vigencia</t>
        </is>
      </c>
    </row>
    <row r="21">
      <c r="A21" t="inlineStr">
        <is>
          <t>IP-281</t>
        </is>
      </c>
      <c r="B21" t="inlineStr">
        <is>
          <t>41</t>
        </is>
      </c>
      <c r="C21" t="inlineStr">
        <is>
          <t xml:space="preserve">Inclusión social y reconciliación </t>
        </is>
      </c>
      <c r="D21" t="inlineStr">
        <is>
          <t>4102</t>
        </is>
      </c>
      <c r="E21" t="inlineStr">
        <is>
          <t>Desarrollo integral de la primera infancia a la juventud, y fortalecimiento de las capacidades de las familias de niñas, niños y adolescentes</t>
        </is>
      </c>
      <c r="F21" t="inlineStr">
        <is>
          <t>4102005</t>
        </is>
      </c>
      <c r="G21" t="inlineStr">
        <is>
          <t>Edificaciones de atención a la primera infancia adecuadas</t>
        </is>
      </c>
      <c r="H21" t="inlineStr">
        <is>
          <t>410200500</t>
        </is>
      </c>
      <c r="I21" t="inlineStr">
        <is>
          <t>Edificaciones de atención a la primera infancia adecuadas</t>
        </is>
      </c>
      <c r="J21" t="inlineStr">
        <is>
          <t>2024251750060</t>
        </is>
      </c>
      <c r="K21" t="inlineStr">
        <is>
          <t>Si</t>
        </is>
      </c>
      <c r="L21" t="inlineStr">
        <is>
          <t>Número</t>
        </is>
      </c>
      <c r="M21">
        <v>2</v>
      </c>
      <c r="N21">
        <v>0</v>
      </c>
      <c r="O21">
        <v>1</v>
      </c>
      <c r="P21">
        <v>1</v>
      </c>
      <c r="Q21">
        <v>0</v>
      </c>
      <c r="R21">
        <v>0</v>
      </c>
      <c r="S21" s="103" t="inlineStr">
        <is>
          <t xml:space="preserve"> </t>
        </is>
      </c>
      <c r="T21" t="inlineStr">
        <is>
          <t>No se programó ni ejecutó en la vigencia</t>
        </is>
      </c>
      <c r="U21" t="inlineStr">
        <is>
          <t xml:space="preserve"> </t>
        </is>
      </c>
      <c r="V21" s="104" t="inlineStr">
        <is>
          <t xml:space="preserve"> </t>
        </is>
      </c>
      <c r="W21" t="inlineStr">
        <is>
          <t>No se encontró ejecución en PIIP</t>
        </is>
      </c>
    </row>
    <row r="22">
      <c r="A22" t="inlineStr">
        <is>
          <t>IP-282, IP-288</t>
        </is>
      </c>
      <c r="B22" t="inlineStr">
        <is>
          <t>41</t>
        </is>
      </c>
      <c r="C22" t="inlineStr">
        <is>
          <t xml:space="preserve">Inclusión social y reconciliación </t>
        </is>
      </c>
      <c r="D22" t="inlineStr">
        <is>
          <t>4103</t>
        </is>
      </c>
      <c r="E22" t="inlineStr">
        <is>
          <t>Inclusión social y productiva para la población en situación de vulnerabilidad</t>
        </is>
      </c>
      <c r="F22" t="inlineStr">
        <is>
          <t>4103061</t>
        </is>
      </c>
      <c r="G22" t="inlineStr">
        <is>
          <t>Servicio de apoyo financiero para la entrega de transferencias monetarias no condicionadas</t>
        </is>
      </c>
      <c r="H22" t="inlineStr">
        <is>
          <t>410306100</t>
        </is>
      </c>
      <c r="I22" t="inlineStr">
        <is>
          <t>Familias beneficiadas con transferencias monetarias no condicionadas</t>
        </is>
      </c>
      <c r="J22" t="inlineStr">
        <is>
          <t>2024251750059</t>
        </is>
      </c>
      <c r="K22" t="inlineStr">
        <is>
          <t>Si</t>
        </is>
      </c>
      <c r="L22" t="inlineStr">
        <is>
          <t>Número</t>
        </is>
      </c>
      <c r="M22">
        <v>1800</v>
      </c>
      <c r="N22">
        <v>0</v>
      </c>
      <c r="O22">
        <v>600</v>
      </c>
      <c r="P22">
        <v>600</v>
      </c>
      <c r="Q22">
        <v>600</v>
      </c>
      <c r="R22">
        <v>0</v>
      </c>
      <c r="S22" s="103" t="inlineStr">
        <is>
          <t xml:space="preserve"> </t>
        </is>
      </c>
      <c r="T22" t="inlineStr">
        <is>
          <t>No se programó ni ejecutó en la vigencia</t>
        </is>
      </c>
      <c r="U22" t="inlineStr">
        <is>
          <t xml:space="preserve"> </t>
        </is>
      </c>
      <c r="V22" s="104" t="inlineStr">
        <is>
          <t xml:space="preserve"> </t>
        </is>
      </c>
      <c r="W22" t="inlineStr">
        <is>
          <t>No se encontró ejecución en PIIP</t>
        </is>
      </c>
    </row>
    <row r="23">
      <c r="A23" t="inlineStr">
        <is>
          <t>IP-283</t>
        </is>
      </c>
      <c r="B23" t="inlineStr">
        <is>
          <t>41</t>
        </is>
      </c>
      <c r="C23" t="inlineStr">
        <is>
          <t xml:space="preserve">Inclusión social y reconciliación </t>
        </is>
      </c>
      <c r="D23" t="inlineStr">
        <is>
          <t>4103</t>
        </is>
      </c>
      <c r="E23" t="inlineStr">
        <is>
          <t>Inclusión social y productiva para la población en situación de vulnerabilidad</t>
        </is>
      </c>
      <c r="F23" t="inlineStr">
        <is>
          <t>4103069</t>
        </is>
      </c>
      <c r="G23" t="inlineStr">
        <is>
          <t>Servicio de información implementado</t>
        </is>
      </c>
      <c r="H23" t="inlineStr">
        <is>
          <t>410306900</t>
        </is>
      </c>
      <c r="I23" t="inlineStr">
        <is>
          <t>Sistemas de información implementados</t>
        </is>
      </c>
      <c r="J23" t="inlineStr">
        <is>
          <t>2024251750059</t>
        </is>
      </c>
      <c r="K23" t="inlineStr">
        <is>
          <t>No</t>
        </is>
      </c>
      <c r="L23" t="inlineStr">
        <is>
          <t>Número</t>
        </is>
      </c>
      <c r="M23">
        <v>1</v>
      </c>
      <c r="N23">
        <v>1</v>
      </c>
      <c r="O23">
        <v>1</v>
      </c>
      <c r="P23">
        <v>1</v>
      </c>
      <c r="Q23">
        <v>1</v>
      </c>
      <c r="R23">
        <v>1</v>
      </c>
      <c r="S23" s="103">
        <v>1</v>
      </c>
      <c r="T23" t="inlineStr">
        <is>
          <t>Se ejecutó el 100% de lo programado en la vigencia</t>
        </is>
      </c>
      <c r="U23">
        <v>0.3</v>
      </c>
      <c r="V23" s="104">
        <v>0.3</v>
      </c>
      <c r="W23" t="inlineStr">
        <is>
          <t>Lo ejecutado está por debajo de lo programado en la vigencia</t>
        </is>
      </c>
    </row>
    <row r="24">
      <c r="A24" t="inlineStr">
        <is>
          <t>IP-286</t>
        </is>
      </c>
      <c r="B24" t="inlineStr">
        <is>
          <t>41</t>
        </is>
      </c>
      <c r="C24" t="inlineStr">
        <is>
          <t xml:space="preserve">Inclusión social y reconciliación </t>
        </is>
      </c>
      <c r="D24" t="inlineStr">
        <is>
          <t>4104</t>
        </is>
      </c>
      <c r="E24" t="inlineStr">
        <is>
          <t>Atención integral de población en situación permanente de desprotección social y/o familiar</t>
        </is>
      </c>
      <c r="F24" t="inlineStr">
        <is>
          <t>4104024</t>
        </is>
      </c>
      <c r="G24" t="inlineStr">
        <is>
          <t>Centros de protección social de día para el adulto mayor ampliados</t>
        </is>
      </c>
      <c r="H24" t="inlineStr">
        <is>
          <t>410402400</t>
        </is>
      </c>
      <c r="I24" t="inlineStr">
        <is>
          <t>Centros de día para el adulto mayor ampliados</t>
        </is>
      </c>
      <c r="J24" t="inlineStr">
        <is>
          <t>2024251750061</t>
        </is>
      </c>
      <c r="K24" t="inlineStr">
        <is>
          <t>No</t>
        </is>
      </c>
      <c r="L24" t="inlineStr">
        <is>
          <t>Número</t>
        </is>
      </c>
      <c r="M24">
        <v>2</v>
      </c>
      <c r="N24">
        <v>0</v>
      </c>
      <c r="O24">
        <v>0</v>
      </c>
      <c r="P24">
        <v>2</v>
      </c>
      <c r="Q24">
        <v>2</v>
      </c>
      <c r="R24">
        <v>0</v>
      </c>
      <c r="S24" s="103" t="inlineStr">
        <is>
          <t xml:space="preserve"> </t>
        </is>
      </c>
      <c r="T24" t="inlineStr">
        <is>
          <t>No se programó ni ejecutó en la vigencia</t>
        </is>
      </c>
      <c r="U24">
        <v>0</v>
      </c>
      <c r="V24" s="104" t="inlineStr">
        <is>
          <t xml:space="preserve"> </t>
        </is>
      </c>
      <c r="W24" t="inlineStr">
        <is>
          <t>No se programó ni ejecutó en la vigencia</t>
        </is>
      </c>
    </row>
    <row r="25">
      <c r="A25" t="inlineStr">
        <is>
          <t>IP-287</t>
        </is>
      </c>
      <c r="B25" t="inlineStr">
        <is>
          <t>41</t>
        </is>
      </c>
      <c r="C25" t="inlineStr">
        <is>
          <t xml:space="preserve">Inclusión social y reconciliación </t>
        </is>
      </c>
      <c r="D25" t="inlineStr">
        <is>
          <t>4104</t>
        </is>
      </c>
      <c r="E25" t="inlineStr">
        <is>
          <t>Atención integral de población en situación permanente de desprotección social y/o familiar</t>
        </is>
      </c>
      <c r="F25" t="inlineStr">
        <is>
          <t>4104020</t>
        </is>
      </c>
      <c r="G25" t="inlineStr">
        <is>
          <t>Servicio de atención integral a población en condición de discapacidad</t>
        </is>
      </c>
      <c r="H25" t="inlineStr">
        <is>
          <t>410402000</t>
        </is>
      </c>
      <c r="I25" t="inlineStr">
        <is>
          <t>Personas con discapacidad atendidas con servicios integrales</t>
        </is>
      </c>
      <c r="J25" t="inlineStr">
        <is>
          <t>2024251750061</t>
        </is>
      </c>
      <c r="K25" t="inlineStr">
        <is>
          <t>No</t>
        </is>
      </c>
      <c r="L25" t="inlineStr">
        <is>
          <t>Número</t>
        </is>
      </c>
      <c r="M25">
        <v>650</v>
      </c>
      <c r="N25">
        <v>650</v>
      </c>
      <c r="O25">
        <v>650</v>
      </c>
      <c r="P25">
        <v>650</v>
      </c>
      <c r="Q25">
        <v>650</v>
      </c>
      <c r="R25">
        <v>650</v>
      </c>
      <c r="S25" s="103">
        <v>1</v>
      </c>
      <c r="T25" t="inlineStr">
        <is>
          <t>Se ejecutó el 100% de lo programado en la vigencia</t>
        </is>
      </c>
      <c r="U25">
        <v>3250</v>
      </c>
      <c r="V25" s="104">
        <v>5</v>
      </c>
      <c r="W25" t="inlineStr">
        <is>
          <t>Hubo ejecución por encima de lo programado en SisPT</t>
        </is>
      </c>
    </row>
    <row r="26">
      <c r="A26" t="inlineStr">
        <is>
          <t>IP-289</t>
        </is>
      </c>
      <c r="B26" t="inlineStr">
        <is>
          <t>45</t>
        </is>
      </c>
      <c r="C26" t="inlineStr">
        <is>
          <t>Gobierno Territorial</t>
        </is>
      </c>
      <c r="D26" t="inlineStr">
        <is>
          <t>4599</t>
        </is>
      </c>
      <c r="E26" t="inlineStr">
        <is>
          <t>Fortalecimiento a la gestión y dirección de la administración pública territorial</t>
        </is>
      </c>
      <c r="F26" t="inlineStr">
        <is>
          <t>4599034</t>
        </is>
      </c>
      <c r="G26" t="inlineStr">
        <is>
          <t>Sedes dotadas</t>
        </is>
      </c>
      <c r="H26" t="inlineStr">
        <is>
          <t>459903400</t>
        </is>
      </c>
      <c r="I26" t="inlineStr">
        <is>
          <t>Sedes dotadas</t>
        </is>
      </c>
      <c r="J26" t="inlineStr">
        <is>
          <t>2024251750062</t>
        </is>
      </c>
      <c r="K26" t="inlineStr">
        <is>
          <t>Si</t>
        </is>
      </c>
      <c r="L26" t="inlineStr">
        <is>
          <t>Número</t>
        </is>
      </c>
      <c r="M26">
        <v>5</v>
      </c>
      <c r="N26">
        <v>0</v>
      </c>
      <c r="O26">
        <v>1</v>
      </c>
      <c r="P26">
        <v>2</v>
      </c>
      <c r="Q26">
        <v>2</v>
      </c>
      <c r="R26" t="inlineStr">
        <is>
          <t xml:space="preserve"> </t>
        </is>
      </c>
      <c r="S26" s="103" t="inlineStr">
        <is>
          <t xml:space="preserve"> </t>
        </is>
      </c>
      <c r="T26" t="inlineStr">
        <is>
          <t>No se encontró ejecución en PIIP</t>
        </is>
      </c>
      <c r="U26" t="inlineStr">
        <is>
          <t xml:space="preserve"> </t>
        </is>
      </c>
      <c r="V26" s="104" t="inlineStr">
        <is>
          <t xml:space="preserve"> </t>
        </is>
      </c>
      <c r="W26" t="inlineStr">
        <is>
          <t>No se encontró ejecución en PIIP</t>
        </is>
      </c>
    </row>
    <row r="27">
      <c r="A27" t="inlineStr">
        <is>
          <t>IP-290</t>
        </is>
      </c>
      <c r="B27" t="inlineStr">
        <is>
          <t>41</t>
        </is>
      </c>
      <c r="C27" t="inlineStr">
        <is>
          <t xml:space="preserve">Inclusión social y reconciliación </t>
        </is>
      </c>
      <c r="D27" t="inlineStr">
        <is>
          <t>4103</t>
        </is>
      </c>
      <c r="E27" t="inlineStr">
        <is>
          <t>Inclusión social y productiva para la población en situación de vulnerabilidad</t>
        </is>
      </c>
      <c r="F27" t="inlineStr">
        <is>
          <t>4103050</t>
        </is>
      </c>
      <c r="G27" t="inlineStr">
        <is>
          <t>Servicio de acompañamiento familiar y comunitario para la superación de la pobreza</t>
        </is>
      </c>
      <c r="H27" t="inlineStr">
        <is>
          <t>410305000</t>
        </is>
      </c>
      <c r="I27" t="inlineStr">
        <is>
          <t>Hogares con acompañamiento familiar</t>
        </is>
      </c>
      <c r="J27" t="inlineStr">
        <is>
          <t>2024251750059</t>
        </is>
      </c>
      <c r="K27" t="inlineStr">
        <is>
          <t>Si</t>
        </is>
      </c>
      <c r="L27" t="inlineStr">
        <is>
          <t>Número</t>
        </is>
      </c>
      <c r="M27">
        <v>3200</v>
      </c>
      <c r="N27">
        <v>800</v>
      </c>
      <c r="O27">
        <v>800</v>
      </c>
      <c r="P27">
        <v>800</v>
      </c>
      <c r="Q27">
        <v>800</v>
      </c>
      <c r="R27">
        <v>800</v>
      </c>
      <c r="S27" s="103">
        <v>1</v>
      </c>
      <c r="T27" t="inlineStr">
        <is>
          <t>Se ejecutó el 100% de lo programado en la vigencia</t>
        </is>
      </c>
      <c r="U27">
        <v>100</v>
      </c>
      <c r="V27" s="104">
        <v>0.125</v>
      </c>
      <c r="W27" t="inlineStr">
        <is>
          <t>Lo ejecutado está por debajo de lo programado en la vigencia</t>
        </is>
      </c>
    </row>
    <row r="28">
      <c r="A28" t="inlineStr">
        <is>
          <t>IP-291</t>
        </is>
      </c>
      <c r="B28" t="inlineStr">
        <is>
          <t>41</t>
        </is>
      </c>
      <c r="C28" t="inlineStr">
        <is>
          <t xml:space="preserve">Inclusión social y reconciliación </t>
        </is>
      </c>
      <c r="D28" t="inlineStr">
        <is>
          <t>4104</t>
        </is>
      </c>
      <c r="E28" t="inlineStr">
        <is>
          <t>Atención integral de población en situación permanente de desprotección social y/o familiar</t>
        </is>
      </c>
      <c r="F28" t="inlineStr">
        <is>
          <t>4104041</t>
        </is>
      </c>
      <c r="G28" t="inlineStr">
        <is>
          <t xml:space="preserve">Centros de atención integral para personas con discapacidad construidos </t>
        </is>
      </c>
      <c r="H28" t="inlineStr">
        <is>
          <t>410404100</t>
        </is>
      </c>
      <c r="I28" t="inlineStr">
        <is>
          <t>Centros de atención integral para personas con discapacidad construidos</t>
        </is>
      </c>
      <c r="J28" t="inlineStr">
        <is>
          <t>2022251750004</t>
        </is>
      </c>
      <c r="K28" t="inlineStr">
        <is>
          <t>Si</t>
        </is>
      </c>
      <c r="L28" t="inlineStr">
        <is>
          <t>Número</t>
        </is>
      </c>
      <c r="M28">
        <v>1</v>
      </c>
      <c r="N28">
        <v>0.4</v>
      </c>
      <c r="O28">
        <v>0.2</v>
      </c>
      <c r="P28">
        <v>0.2</v>
      </c>
      <c r="Q28">
        <v>0.2</v>
      </c>
      <c r="R28">
        <v>0.4</v>
      </c>
      <c r="S28" s="103">
        <v>1</v>
      </c>
      <c r="T28" t="inlineStr">
        <is>
          <t>Se ejecutó el 100% de lo programado en la vigencia</t>
        </is>
      </c>
      <c r="U28">
        <v>0</v>
      </c>
      <c r="V28" s="104">
        <v>0</v>
      </c>
      <c r="W28" t="inlineStr">
        <is>
          <t>No se ejecutó en la vigencia</t>
        </is>
      </c>
    </row>
    <row r="29">
      <c r="A29" t="inlineStr">
        <is>
          <t>IP-292</t>
        </is>
      </c>
      <c r="B29" t="inlineStr">
        <is>
          <t>45</t>
        </is>
      </c>
      <c r="C29" t="inlineStr">
        <is>
          <t>Gobierno Territorial</t>
        </is>
      </c>
      <c r="D29" t="inlineStr">
        <is>
          <t>4502</t>
        </is>
      </c>
      <c r="E29" t="inlineStr">
        <is>
          <t>Fortalecimiento del buen gobierno para el respeto y garantía de los derechos humanos.</t>
        </is>
      </c>
      <c r="F29" t="inlineStr">
        <is>
          <t>4502001</t>
        </is>
      </c>
      <c r="G29" t="inlineStr">
        <is>
          <t>Servicio de promoción a la participación ciudadana</t>
        </is>
      </c>
      <c r="H29" t="inlineStr">
        <is>
          <t>450200100</t>
        </is>
      </c>
      <c r="I29" t="inlineStr">
        <is>
          <t>Espacios de participación promovidos</t>
        </is>
      </c>
      <c r="J29" t="inlineStr">
        <is>
          <t>2024251750066</t>
        </is>
      </c>
      <c r="K29" t="inlineStr">
        <is>
          <t>No</t>
        </is>
      </c>
      <c r="L29" t="inlineStr">
        <is>
          <t>Número</t>
        </is>
      </c>
      <c r="M29">
        <v>5</v>
      </c>
      <c r="N29">
        <v>5</v>
      </c>
      <c r="O29">
        <v>5</v>
      </c>
      <c r="P29">
        <v>5</v>
      </c>
      <c r="Q29">
        <v>5</v>
      </c>
      <c r="R29">
        <v>5</v>
      </c>
      <c r="S29" s="103">
        <v>1</v>
      </c>
      <c r="T29" t="inlineStr">
        <is>
          <t>Se ejecutó el 100% de lo programado en la vigencia</t>
        </is>
      </c>
      <c r="U29">
        <v>3</v>
      </c>
      <c r="V29" s="104">
        <v>0.6</v>
      </c>
      <c r="W29" t="inlineStr">
        <is>
          <t>Lo ejecutado está por debajo de lo programado en la vigencia</t>
        </is>
      </c>
    </row>
    <row r="30">
      <c r="A30" t="inlineStr">
        <is>
          <t>IP-293</t>
        </is>
      </c>
      <c r="B30" t="inlineStr">
        <is>
          <t>45</t>
        </is>
      </c>
      <c r="C30" t="inlineStr">
        <is>
          <t>Gobierno Territorial</t>
        </is>
      </c>
      <c r="D30" t="inlineStr">
        <is>
          <t>4502</t>
        </is>
      </c>
      <c r="E30" t="inlineStr">
        <is>
          <t>Fortalecimiento del buen gobierno para el respeto y garantía de los derechos humanos.</t>
        </is>
      </c>
      <c r="F30" t="inlineStr">
        <is>
          <t>4502038</t>
        </is>
      </c>
      <c r="G30" t="inlineStr">
        <is>
          <t>Servicio de promoción de la garantía de derechos</t>
        </is>
      </c>
      <c r="H30" t="inlineStr">
        <is>
          <t>450203800</t>
        </is>
      </c>
      <c r="I30" t="inlineStr">
        <is>
          <t>Estrategias de promoción de la garantía de derechos implementadas</t>
        </is>
      </c>
      <c r="J30" t="inlineStr">
        <is>
          <t>2024251750063</t>
        </is>
      </c>
      <c r="K30" t="inlineStr">
        <is>
          <t>No</t>
        </is>
      </c>
      <c r="L30" t="inlineStr">
        <is>
          <t>Número</t>
        </is>
      </c>
      <c r="M30">
        <v>1</v>
      </c>
      <c r="N30">
        <v>1</v>
      </c>
      <c r="O30">
        <v>1</v>
      </c>
      <c r="P30">
        <v>1</v>
      </c>
      <c r="Q30">
        <v>1</v>
      </c>
      <c r="R30">
        <v>1</v>
      </c>
      <c r="S30" s="103">
        <v>1</v>
      </c>
      <c r="T30" t="inlineStr">
        <is>
          <t>Se ejecutó el 100% de lo programado en la vigencia</t>
        </is>
      </c>
      <c r="U30">
        <v>0.81</v>
      </c>
      <c r="V30" s="104">
        <v>0.81</v>
      </c>
      <c r="W30" t="inlineStr">
        <is>
          <t>Lo ejecutado está por debajo de lo programado en la vigencia</t>
        </is>
      </c>
    </row>
    <row r="31">
      <c r="A31" t="inlineStr">
        <is>
          <t>IP-294</t>
        </is>
      </c>
      <c r="B31" t="inlineStr">
        <is>
          <t>45</t>
        </is>
      </c>
      <c r="C31" t="inlineStr">
        <is>
          <t>Gobierno Territorial</t>
        </is>
      </c>
      <c r="D31" t="inlineStr">
        <is>
          <t>4599</t>
        </is>
      </c>
      <c r="E31" t="inlineStr">
        <is>
          <t>Fortalecimiento a la gestión y dirección de la administración pública territorial</t>
        </is>
      </c>
      <c r="F31" t="inlineStr">
        <is>
          <t>4599032</t>
        </is>
      </c>
      <c r="G31" t="inlineStr">
        <is>
          <t>Documentos de política</t>
        </is>
      </c>
      <c r="H31" t="inlineStr">
        <is>
          <t>459903200</t>
        </is>
      </c>
      <c r="I31" t="inlineStr">
        <is>
          <t>Documentos de política elaborados</t>
        </is>
      </c>
      <c r="J31" t="inlineStr">
        <is>
          <t>2024251750062</t>
        </is>
      </c>
      <c r="K31" t="inlineStr">
        <is>
          <t>Si</t>
        </is>
      </c>
      <c r="L31" t="inlineStr">
        <is>
          <t>Número</t>
        </is>
      </c>
      <c r="M31">
        <v>5</v>
      </c>
      <c r="N31">
        <v>0</v>
      </c>
      <c r="O31">
        <v>1</v>
      </c>
      <c r="P31">
        <v>2</v>
      </c>
      <c r="Q31">
        <v>2</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IP-295</t>
        </is>
      </c>
      <c r="B32" t="inlineStr">
        <is>
          <t>45</t>
        </is>
      </c>
      <c r="C32" t="inlineStr">
        <is>
          <t>Gobierno Territorial</t>
        </is>
      </c>
      <c r="D32" t="inlineStr">
        <is>
          <t>4599</t>
        </is>
      </c>
      <c r="E32" t="inlineStr">
        <is>
          <t>Fortalecimiento a la gestión y dirección de la administración pública territorial</t>
        </is>
      </c>
      <c r="F32" t="inlineStr">
        <is>
          <t>4599016</t>
        </is>
      </c>
      <c r="G32" t="inlineStr">
        <is>
          <t>Sedes mantenidas</t>
        </is>
      </c>
      <c r="H32" t="inlineStr">
        <is>
          <t>459901600</t>
        </is>
      </c>
      <c r="I32" t="inlineStr">
        <is>
          <t>Sedes mantenidas</t>
        </is>
      </c>
      <c r="J32" t="inlineStr">
        <is>
          <t>2024251750062</t>
        </is>
      </c>
      <c r="K32" t="inlineStr">
        <is>
          <t>Si</t>
        </is>
      </c>
      <c r="L32" t="inlineStr">
        <is>
          <t>Número</t>
        </is>
      </c>
      <c r="M32">
        <v>7</v>
      </c>
      <c r="N32">
        <v>0</v>
      </c>
      <c r="O32">
        <v>2</v>
      </c>
      <c r="P32">
        <v>3</v>
      </c>
      <c r="Q32">
        <v>2</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IP-296</t>
        </is>
      </c>
      <c r="B33" t="inlineStr">
        <is>
          <t>19</t>
        </is>
      </c>
      <c r="C33" t="inlineStr">
        <is>
          <t>Salud y protección social</t>
        </is>
      </c>
      <c r="D33" t="inlineStr">
        <is>
          <t>1903</t>
        </is>
      </c>
      <c r="E33" t="inlineStr">
        <is>
          <t>Inspección, vigilancia y control</t>
        </is>
      </c>
      <c r="F33" t="inlineStr">
        <is>
          <t>1903040</t>
        </is>
      </c>
      <c r="G33" t="inlineStr">
        <is>
          <t>Servicio de vigilancia de calidad del agua para consumo humano, recolección, transporte y disposición final de residuos sólidos; manejo y disposición final de radiaciones ionizantes, excretas, residuos líquidos y aguas servidas y calidad del aire.</t>
        </is>
      </c>
      <c r="H33" t="inlineStr">
        <is>
          <t>190304000</t>
        </is>
      </c>
      <c r="I33" t="inlineStr">
        <is>
          <t>Distritos con vigilancia real y efectiva en su jurisdicción de calidad del agua para consumo humano, recolección, transporte y disposición final de residuos sólidos; manejo y disposición final de radiaciones ionizantes, excretas, residuos líquidos y aguas servidas y calidad del aire realizados</t>
        </is>
      </c>
      <c r="J33" t="inlineStr">
        <is>
          <t>2024251750005</t>
        </is>
      </c>
      <c r="K33" t="inlineStr">
        <is>
          <t>Si</t>
        </is>
      </c>
      <c r="L33" t="inlineStr">
        <is>
          <t>Número</t>
        </is>
      </c>
      <c r="M33">
        <v>400</v>
      </c>
      <c r="N33">
        <v>100</v>
      </c>
      <c r="O33">
        <v>100</v>
      </c>
      <c r="P33">
        <v>100</v>
      </c>
      <c r="Q33">
        <v>100</v>
      </c>
      <c r="R33">
        <v>100</v>
      </c>
      <c r="S33" s="103">
        <v>1</v>
      </c>
      <c r="T33" t="inlineStr">
        <is>
          <t>Se ejecutó el 100% de lo programado en la vigencia</t>
        </is>
      </c>
      <c r="U33">
        <v>30</v>
      </c>
      <c r="V33" s="104">
        <v>0.3</v>
      </c>
      <c r="W33" t="inlineStr">
        <is>
          <t>Lo ejecutado está por debajo de lo programado en la vigencia</t>
        </is>
      </c>
    </row>
    <row r="34">
      <c r="A34" t="inlineStr">
        <is>
          <t>IP-297</t>
        </is>
      </c>
      <c r="B34" t="inlineStr">
        <is>
          <t>19</t>
        </is>
      </c>
      <c r="C34" t="inlineStr">
        <is>
          <t>Salud y protección social</t>
        </is>
      </c>
      <c r="D34" t="inlineStr">
        <is>
          <t>1903</t>
        </is>
      </c>
      <c r="E34" t="inlineStr">
        <is>
          <t>Inspección, vigilancia y control</t>
        </is>
      </c>
      <c r="F34" t="inlineStr">
        <is>
          <t>1903042</t>
        </is>
      </c>
      <c r="G34" t="inlineStr">
        <is>
          <t>Servicio de vigilancia y control sanitario de los factores de riesgo para la salud, en los establecimientos y espacios que pueden generar riesgos para la población.</t>
        </is>
      </c>
      <c r="H34" t="inlineStr">
        <is>
          <t>190304201</t>
        </is>
      </c>
      <c r="I34" t="inlineStr">
        <is>
          <t>Establecimientos abiertos al público vigilados y controlados</t>
        </is>
      </c>
      <c r="J34" t="inlineStr">
        <is>
          <t>2024251750005</t>
        </is>
      </c>
      <c r="K34" t="inlineStr">
        <is>
          <t>No</t>
        </is>
      </c>
      <c r="L34" t="inlineStr">
        <is>
          <t>Número</t>
        </is>
      </c>
      <c r="M34">
        <v>5000</v>
      </c>
      <c r="N34">
        <v>5000</v>
      </c>
      <c r="O34">
        <v>5000</v>
      </c>
      <c r="P34">
        <v>5000</v>
      </c>
      <c r="Q34">
        <v>5000</v>
      </c>
      <c r="R34">
        <v>5000</v>
      </c>
      <c r="S34" s="103">
        <v>1</v>
      </c>
      <c r="T34" t="inlineStr">
        <is>
          <t>Se ejecutó el 100% de lo programado en la vigencia</t>
        </is>
      </c>
      <c r="U34">
        <v>2009</v>
      </c>
      <c r="V34" s="104">
        <v>0.4018</v>
      </c>
      <c r="W34" t="inlineStr">
        <is>
          <t>Lo ejecutado está por debajo de lo programado en la vigencia</t>
        </is>
      </c>
    </row>
    <row r="35">
      <c r="A35" t="inlineStr">
        <is>
          <t>IP-298</t>
        </is>
      </c>
      <c r="B35" t="inlineStr">
        <is>
          <t>19</t>
        </is>
      </c>
      <c r="C35" t="inlineStr">
        <is>
          <t>Salud y protección social</t>
        </is>
      </c>
      <c r="D35" t="inlineStr">
        <is>
          <t>1905</t>
        </is>
      </c>
      <c r="E35" t="inlineStr">
        <is>
          <t>Salud pública</t>
        </is>
      </c>
      <c r="F35" t="inlineStr">
        <is>
          <t>1905043</t>
        </is>
      </c>
      <c r="G35" t="inlineStr">
        <is>
          <t>Servicio de gestión del riesgo para abordar situaciones situaciones endemo-epidémicas</t>
        </is>
      </c>
      <c r="H35" t="inlineStr">
        <is>
          <t>190504302</t>
        </is>
      </c>
      <c r="I35" t="inlineStr">
        <is>
          <t>Estrategias de gestión del riesgo para abordar situaciones situaciones endemo-epidémicas implementadas</t>
        </is>
      </c>
      <c r="J35" t="inlineStr">
        <is>
          <t>2024251750004</t>
        </is>
      </c>
      <c r="K35" t="inlineStr">
        <is>
          <t>No</t>
        </is>
      </c>
      <c r="L35" t="inlineStr">
        <is>
          <t>Número</t>
        </is>
      </c>
      <c r="M35">
        <v>4</v>
      </c>
      <c r="N35">
        <v>4</v>
      </c>
      <c r="O35">
        <v>4</v>
      </c>
      <c r="P35">
        <v>4</v>
      </c>
      <c r="Q35">
        <v>4</v>
      </c>
      <c r="R35">
        <v>4</v>
      </c>
      <c r="S35" s="103">
        <v>1</v>
      </c>
      <c r="T35" t="inlineStr">
        <is>
          <t>Se ejecutó el 100% de lo programado en la vigencia</t>
        </is>
      </c>
      <c r="U35">
        <v>0</v>
      </c>
      <c r="V35" s="104">
        <v>0</v>
      </c>
      <c r="W35" t="inlineStr">
        <is>
          <t>No se ejecutó en la vigencia</t>
        </is>
      </c>
    </row>
    <row r="36">
      <c r="A36" t="inlineStr">
        <is>
          <t>IP-299</t>
        </is>
      </c>
      <c r="B36" t="inlineStr">
        <is>
          <t>19</t>
        </is>
      </c>
      <c r="C36" t="inlineStr">
        <is>
          <t>Salud y protección social</t>
        </is>
      </c>
      <c r="D36" t="inlineStr">
        <is>
          <t>1905</t>
        </is>
      </c>
      <c r="E36" t="inlineStr">
        <is>
          <t>Salud pública</t>
        </is>
      </c>
      <c r="F36" t="inlineStr">
        <is>
          <t>1905054</t>
        </is>
      </c>
      <c r="G36" t="inlineStr">
        <is>
          <t>Servicio de promoción de la salud</t>
        </is>
      </c>
      <c r="H36" t="inlineStr">
        <is>
          <t>190505400</t>
        </is>
      </c>
      <c r="I36" t="inlineStr">
        <is>
          <t>Estrategias de promoción de la salud implementadas</t>
        </is>
      </c>
      <c r="J36" t="inlineStr">
        <is>
          <t>2024251750007</t>
        </is>
      </c>
      <c r="K36" t="inlineStr">
        <is>
          <t>No</t>
        </is>
      </c>
      <c r="L36" t="inlineStr">
        <is>
          <t>Número</t>
        </is>
      </c>
      <c r="M36">
        <v>1</v>
      </c>
      <c r="N36">
        <v>1</v>
      </c>
      <c r="O36">
        <v>1</v>
      </c>
      <c r="P36">
        <v>1</v>
      </c>
      <c r="Q36">
        <v>1</v>
      </c>
      <c r="R36">
        <v>1</v>
      </c>
      <c r="S36" s="103">
        <v>1</v>
      </c>
      <c r="T36" t="inlineStr">
        <is>
          <t>Se ejecutó el 100% de lo programado en la vigencia</t>
        </is>
      </c>
      <c r="U36">
        <v>1</v>
      </c>
      <c r="V36" s="104">
        <v>1</v>
      </c>
      <c r="W36" t="inlineStr">
        <is>
          <t>Se ejecutó el 100% de lo programado en la vigencia</t>
        </is>
      </c>
    </row>
    <row r="37">
      <c r="A37" t="inlineStr">
        <is>
          <t>IP-300</t>
        </is>
      </c>
      <c r="B37" t="inlineStr">
        <is>
          <t>19</t>
        </is>
      </c>
      <c r="C37" t="inlineStr">
        <is>
          <t>Salud y protección social</t>
        </is>
      </c>
      <c r="D37" t="inlineStr">
        <is>
          <t>1905</t>
        </is>
      </c>
      <c r="E37" t="inlineStr">
        <is>
          <t>Salud pública</t>
        </is>
      </c>
      <c r="F37" t="inlineStr">
        <is>
          <t>1905054</t>
        </is>
      </c>
      <c r="G37" t="inlineStr">
        <is>
          <t>Servicio de promoción de la salud</t>
        </is>
      </c>
      <c r="H37" t="inlineStr">
        <is>
          <t>190505401</t>
        </is>
      </c>
      <c r="I37" t="inlineStr">
        <is>
          <t>Personas atendidas con estrategias de promoción de la salud</t>
        </is>
      </c>
      <c r="J37" t="inlineStr">
        <is>
          <t>2024251750007</t>
        </is>
      </c>
      <c r="K37" t="inlineStr">
        <is>
          <t>Si</t>
        </is>
      </c>
      <c r="L37" t="inlineStr">
        <is>
          <t>Número</t>
        </is>
      </c>
      <c r="M37">
        <v>65000</v>
      </c>
      <c r="N37">
        <v>16250</v>
      </c>
      <c r="O37">
        <v>16250</v>
      </c>
      <c r="P37">
        <v>16250</v>
      </c>
      <c r="Q37">
        <v>16250</v>
      </c>
      <c r="R37">
        <v>16250</v>
      </c>
      <c r="S37" s="103">
        <v>1</v>
      </c>
      <c r="T37" t="inlineStr">
        <is>
          <t>Se ejecutó el 100% de lo programado en la vigencia</t>
        </is>
      </c>
      <c r="U37">
        <v>7118</v>
      </c>
      <c r="V37" s="104">
        <v>0.438030769230769</v>
      </c>
      <c r="W37" t="inlineStr">
        <is>
          <t>Lo ejecutado está por debajo de lo programado en la vigencia</t>
        </is>
      </c>
    </row>
    <row r="38">
      <c r="A38" t="inlineStr">
        <is>
          <t>IP-301</t>
        </is>
      </c>
      <c r="B38" t="inlineStr">
        <is>
          <t>19</t>
        </is>
      </c>
      <c r="C38" t="inlineStr">
        <is>
          <t>Salud y protección social</t>
        </is>
      </c>
      <c r="D38" t="inlineStr">
        <is>
          <t>1905</t>
        </is>
      </c>
      <c r="E38" t="inlineStr">
        <is>
          <t>Salud pública</t>
        </is>
      </c>
      <c r="F38" t="inlineStr">
        <is>
          <t>1905021</t>
        </is>
      </c>
      <c r="G38" t="inlineStr">
        <is>
          <t>Servicio de gestión del riesgo en temas de salud sexual y reproductiva</t>
        </is>
      </c>
      <c r="H38" t="inlineStr">
        <is>
          <t>190502103</t>
        </is>
      </c>
      <c r="I38" t="inlineStr">
        <is>
          <t>Mujeres atendidas con campañas de gestión del riesgo en temas de salud sexual y reproductiva</t>
        </is>
      </c>
      <c r="J38" t="inlineStr">
        <is>
          <t>2024251750007</t>
        </is>
      </c>
      <c r="K38" t="inlineStr">
        <is>
          <t>Si</t>
        </is>
      </c>
      <c r="L38" t="inlineStr">
        <is>
          <t>Número</t>
        </is>
      </c>
      <c r="M38">
        <v>400</v>
      </c>
      <c r="N38">
        <v>100</v>
      </c>
      <c r="O38">
        <v>100</v>
      </c>
      <c r="P38">
        <v>100</v>
      </c>
      <c r="Q38">
        <v>100</v>
      </c>
      <c r="R38">
        <v>100</v>
      </c>
      <c r="S38" s="103">
        <v>1</v>
      </c>
      <c r="T38" t="inlineStr">
        <is>
          <t>Se ejecutó el 100% de lo programado en la vigencia</t>
        </is>
      </c>
      <c r="U38">
        <v>59</v>
      </c>
      <c r="V38" s="104">
        <v>0.59</v>
      </c>
      <c r="W38" t="inlineStr">
        <is>
          <t>Lo ejecutado está por debajo de lo programado en la vigencia</t>
        </is>
      </c>
    </row>
    <row r="39">
      <c r="A39" t="inlineStr">
        <is>
          <t>IP-302</t>
        </is>
      </c>
      <c r="B39" t="inlineStr">
        <is>
          <t>19</t>
        </is>
      </c>
      <c r="C39" t="inlineStr">
        <is>
          <t>Salud y protección social</t>
        </is>
      </c>
      <c r="D39" t="inlineStr">
        <is>
          <t>1905</t>
        </is>
      </c>
      <c r="E39" t="inlineStr">
        <is>
          <t>Salud pública</t>
        </is>
      </c>
      <c r="F39" t="inlineStr">
        <is>
          <t>1905020</t>
        </is>
      </c>
      <c r="G39" t="inlineStr">
        <is>
          <t>Servicio de gestión del riesgo en temas de consumo de sustancias psicoactivas</t>
        </is>
      </c>
      <c r="H39" t="inlineStr">
        <is>
          <t>190502002</t>
        </is>
      </c>
      <c r="I39" t="inlineStr">
        <is>
          <t>Estrategias de gestión del riesgo en temas de consumo de sustancias psicoactivas implementadas</t>
        </is>
      </c>
      <c r="J39" t="inlineStr">
        <is>
          <t>2024251750007</t>
        </is>
      </c>
      <c r="K39" t="inlineStr">
        <is>
          <t>No</t>
        </is>
      </c>
      <c r="L39" t="inlineStr">
        <is>
          <t>Número</t>
        </is>
      </c>
      <c r="M39">
        <v>1</v>
      </c>
      <c r="N39">
        <v>0</v>
      </c>
      <c r="O39">
        <v>1</v>
      </c>
      <c r="P39">
        <v>1</v>
      </c>
      <c r="Q39">
        <v>1</v>
      </c>
      <c r="R39">
        <v>0</v>
      </c>
      <c r="S39" s="103" t="inlineStr">
        <is>
          <t xml:space="preserve"> </t>
        </is>
      </c>
      <c r="T39" t="inlineStr">
        <is>
          <t>No se programó ni ejecutó en la vigencia</t>
        </is>
      </c>
      <c r="U39">
        <v>1</v>
      </c>
      <c r="V39" s="104">
        <v>1</v>
      </c>
      <c r="W39" t="inlineStr">
        <is>
          <t>Se ejecutó el 100% de lo programado en la vigencia</t>
        </is>
      </c>
    </row>
    <row r="40">
      <c r="A40" t="inlineStr">
        <is>
          <t>IP-303</t>
        </is>
      </c>
      <c r="B40" t="inlineStr">
        <is>
          <t>19</t>
        </is>
      </c>
      <c r="C40" t="inlineStr">
        <is>
          <t>Salud y protección social</t>
        </is>
      </c>
      <c r="D40" t="inlineStr">
        <is>
          <t>1905</t>
        </is>
      </c>
      <c r="E40" t="inlineStr">
        <is>
          <t>Salud pública</t>
        </is>
      </c>
      <c r="F40" t="inlineStr">
        <is>
          <t>1905029</t>
        </is>
      </c>
      <c r="G40" t="inlineStr">
        <is>
          <t>Servicio de suministro de insumos para el manejo de eventos de interés en salud pública</t>
        </is>
      </c>
      <c r="H40" t="inlineStr">
        <is>
          <t>190502900</t>
        </is>
      </c>
      <c r="I40" t="inlineStr">
        <is>
          <t>Entidades territoriales con servicio de suministro de insumos para el manejo de eventos de interés en salud pública</t>
        </is>
      </c>
      <c r="J40" t="inlineStr">
        <is>
          <t>2024251750006</t>
        </is>
      </c>
      <c r="K40" t="inlineStr">
        <is>
          <t>No</t>
        </is>
      </c>
      <c r="L40" t="inlineStr">
        <is>
          <t>Número</t>
        </is>
      </c>
      <c r="M40">
        <v>1</v>
      </c>
      <c r="N40">
        <v>1</v>
      </c>
      <c r="O40">
        <v>1</v>
      </c>
      <c r="P40">
        <v>1</v>
      </c>
      <c r="Q40">
        <v>1</v>
      </c>
      <c r="R40">
        <v>0</v>
      </c>
      <c r="S40" s="103">
        <v>0</v>
      </c>
      <c r="T40" t="inlineStr">
        <is>
          <t>No se ejecutó en la vigencia</t>
        </is>
      </c>
      <c r="U40" t="inlineStr">
        <is>
          <t xml:space="preserve"> </t>
        </is>
      </c>
      <c r="V40" s="104" t="inlineStr">
        <is>
          <t xml:space="preserve"> </t>
        </is>
      </c>
      <c r="W40" t="inlineStr">
        <is>
          <t>No se encontró ejecución en PIIP</t>
        </is>
      </c>
    </row>
    <row r="41">
      <c r="A41" t="inlineStr">
        <is>
          <t>IP-305</t>
        </is>
      </c>
      <c r="B41" t="inlineStr">
        <is>
          <t>19</t>
        </is>
      </c>
      <c r="C41" t="inlineStr">
        <is>
          <t>Salud y protección social</t>
        </is>
      </c>
      <c r="D41" t="inlineStr">
        <is>
          <t>1906</t>
        </is>
      </c>
      <c r="E41" t="inlineStr">
        <is>
          <t>Aseguramiento y prestación integral de servicios de salud</t>
        </is>
      </c>
      <c r="F41" t="inlineStr">
        <is>
          <t>1906044</t>
        </is>
      </c>
      <c r="G41" t="inlineStr">
        <is>
          <t>Servicio de afiliaciones al régimen subsidiado del Sistema General de Seguridad Social</t>
        </is>
      </c>
      <c r="H41" t="inlineStr">
        <is>
          <t>190604400</t>
        </is>
      </c>
      <c r="I41" t="inlineStr">
        <is>
          <t>Personas afiliadas al régimen subsidiado</t>
        </is>
      </c>
      <c r="J41" t="inlineStr">
        <is>
          <t>2024251750001</t>
        </is>
      </c>
      <c r="K41" t="inlineStr">
        <is>
          <t>No</t>
        </is>
      </c>
      <c r="L41" t="inlineStr">
        <is>
          <t>Número</t>
        </is>
      </c>
      <c r="M41">
        <v>30000</v>
      </c>
      <c r="N41">
        <v>27268</v>
      </c>
      <c r="O41">
        <v>28163</v>
      </c>
      <c r="P41">
        <v>29143</v>
      </c>
      <c r="Q41">
        <v>30000</v>
      </c>
      <c r="R41">
        <v>27268</v>
      </c>
      <c r="S41" s="103">
        <v>1</v>
      </c>
      <c r="T41" t="inlineStr">
        <is>
          <t>Se ejecutó el 100% de lo programado en la vigencia</t>
        </is>
      </c>
      <c r="U41">
        <v>56326</v>
      </c>
      <c r="V41" s="104">
        <v>2</v>
      </c>
      <c r="W41" t="inlineStr">
        <is>
          <t>Hubo ejecución por encima de lo programado en SisPT</t>
        </is>
      </c>
    </row>
    <row r="42">
      <c r="A42" t="inlineStr">
        <is>
          <t>IP-306</t>
        </is>
      </c>
      <c r="B42" t="inlineStr">
        <is>
          <t>19</t>
        </is>
      </c>
      <c r="C42" t="inlineStr">
        <is>
          <t>Salud y protección social</t>
        </is>
      </c>
      <c r="D42" t="inlineStr">
        <is>
          <t>1906</t>
        </is>
      </c>
      <c r="E42" t="inlineStr">
        <is>
          <t>Aseguramiento y prestación integral de servicios de salud</t>
        </is>
      </c>
      <c r="F42" t="inlineStr">
        <is>
          <t>1906032</t>
        </is>
      </c>
      <c r="G42" t="inlineStr">
        <is>
          <t>Servicio de promoción de afiliaciones al régimen contributivo del Sistema General de Seguridad Social de las personas con capacidad de pago</t>
        </is>
      </c>
      <c r="H42" t="inlineStr">
        <is>
          <t>190603200</t>
        </is>
      </c>
      <c r="I42" t="inlineStr">
        <is>
          <t>Personas con capacidad de pago afiliadas</t>
        </is>
      </c>
      <c r="J42" t="inlineStr">
        <is>
          <t>2024251750001</t>
        </is>
      </c>
      <c r="K42" t="inlineStr">
        <is>
          <t>Si</t>
        </is>
      </c>
      <c r="L42" t="inlineStr">
        <is>
          <t>Número</t>
        </is>
      </c>
      <c r="M42">
        <v>5000</v>
      </c>
      <c r="N42">
        <v>1250</v>
      </c>
      <c r="O42">
        <v>1250</v>
      </c>
      <c r="P42">
        <v>1250</v>
      </c>
      <c r="Q42">
        <v>1250</v>
      </c>
      <c r="R42">
        <v>1250</v>
      </c>
      <c r="S42" s="103">
        <v>1</v>
      </c>
      <c r="T42" t="inlineStr">
        <is>
          <t>Se ejecutó el 100% de lo programado en la vigencia</t>
        </is>
      </c>
      <c r="U42">
        <v>0</v>
      </c>
      <c r="V42" s="104">
        <v>0</v>
      </c>
      <c r="W42" t="inlineStr">
        <is>
          <t>No se ejecutó en la vigencia</t>
        </is>
      </c>
    </row>
    <row r="43">
      <c r="A43" t="inlineStr">
        <is>
          <t>IP-307</t>
        </is>
      </c>
      <c r="B43" t="inlineStr">
        <is>
          <t>19</t>
        </is>
      </c>
      <c r="C43" t="inlineStr">
        <is>
          <t>Salud y protección social</t>
        </is>
      </c>
      <c r="D43" t="inlineStr">
        <is>
          <t>1906</t>
        </is>
      </c>
      <c r="E43" t="inlineStr">
        <is>
          <t>Aseguramiento y prestación integral de servicios de salud</t>
        </is>
      </c>
      <c r="F43" t="inlineStr">
        <is>
          <t>1906041</t>
        </is>
      </c>
      <c r="G43" t="inlineStr">
        <is>
          <t>Servicio de asistencia técnica</t>
        </is>
      </c>
      <c r="H43" t="inlineStr">
        <is>
          <t>190604101</t>
        </is>
      </c>
      <c r="I43" t="inlineStr">
        <is>
          <t>Entidades apoyadas</t>
        </is>
      </c>
      <c r="J43" t="inlineStr">
        <is>
          <t>2024251750001</t>
        </is>
      </c>
      <c r="K43" t="inlineStr">
        <is>
          <t>No</t>
        </is>
      </c>
      <c r="L43" t="inlineStr">
        <is>
          <t>Número</t>
        </is>
      </c>
      <c r="M43">
        <v>17</v>
      </c>
      <c r="N43">
        <v>17</v>
      </c>
      <c r="O43">
        <v>17</v>
      </c>
      <c r="P43">
        <v>17</v>
      </c>
      <c r="Q43">
        <v>17</v>
      </c>
      <c r="R43">
        <v>17</v>
      </c>
      <c r="S43" s="103">
        <v>1</v>
      </c>
      <c r="T43" t="inlineStr">
        <is>
          <t>Se ejecutó el 100% de lo programado en la vigencia</t>
        </is>
      </c>
      <c r="U43">
        <v>0</v>
      </c>
      <c r="V43" s="104">
        <v>0</v>
      </c>
      <c r="W43" t="inlineStr">
        <is>
          <t>No se ejecutó en la vigencia</t>
        </is>
      </c>
    </row>
    <row r="44">
      <c r="A44" t="inlineStr">
        <is>
          <t>IP-308</t>
        </is>
      </c>
      <c r="B44" t="inlineStr">
        <is>
          <t>19</t>
        </is>
      </c>
      <c r="C44" t="inlineStr">
        <is>
          <t>Salud y protección social</t>
        </is>
      </c>
      <c r="D44" t="inlineStr">
        <is>
          <t>1906</t>
        </is>
      </c>
      <c r="E44" t="inlineStr">
        <is>
          <t>Aseguramiento y prestación integral de servicios de salud</t>
        </is>
      </c>
      <c r="F44" t="inlineStr">
        <is>
          <t>1906028</t>
        </is>
      </c>
      <c r="G44" t="inlineStr">
        <is>
          <t>Servicio para la habilitación y la rehabilitación funcional</t>
        </is>
      </c>
      <c r="H44" t="inlineStr">
        <is>
          <t>190602800</t>
        </is>
      </c>
      <c r="I44" t="inlineStr">
        <is>
          <t>Personas que reciben servicios y técnologias de apoyo para la habilitación y rehabilitación funcional</t>
        </is>
      </c>
      <c r="J44" t="inlineStr">
        <is>
          <t>2024251750002</t>
        </is>
      </c>
      <c r="K44" t="inlineStr">
        <is>
          <t>Si</t>
        </is>
      </c>
      <c r="L44" t="inlineStr">
        <is>
          <t>Número</t>
        </is>
      </c>
      <c r="M44">
        <v>200</v>
      </c>
      <c r="N44">
        <v>120</v>
      </c>
      <c r="O44">
        <v>80</v>
      </c>
      <c r="P44">
        <v>0</v>
      </c>
      <c r="Q44">
        <v>0</v>
      </c>
      <c r="R44">
        <v>120</v>
      </c>
      <c r="S44" s="103">
        <v>1</v>
      </c>
      <c r="T44" t="inlineStr">
        <is>
          <t>Se ejecutó el 100% de lo programado en la vigencia</t>
        </is>
      </c>
      <c r="U44">
        <v>0</v>
      </c>
      <c r="V44" s="104">
        <v>0</v>
      </c>
      <c r="W44" t="inlineStr">
        <is>
          <t>No se ejecutó en la vigencia</t>
        </is>
      </c>
    </row>
    <row r="45">
      <c r="A45" t="inlineStr">
        <is>
          <t>IP-310, IP-311</t>
        </is>
      </c>
      <c r="B45" t="inlineStr">
        <is>
          <t>45</t>
        </is>
      </c>
      <c r="C45" t="inlineStr">
        <is>
          <t>Gobierno Territorial</t>
        </is>
      </c>
      <c r="D45" t="inlineStr">
        <is>
          <t>4501</t>
        </is>
      </c>
      <c r="E45" t="inlineStr">
        <is>
          <t>Fortalecimiento de la convivencia y la seguridad ciudadana</t>
        </is>
      </c>
      <c r="F45" t="inlineStr">
        <is>
          <t>4501061</t>
        </is>
      </c>
      <c r="G45" t="inlineStr">
        <is>
          <t>Servicio de atención integral a la fauna</t>
        </is>
      </c>
      <c r="H45" t="inlineStr">
        <is>
          <t>450106100</t>
        </is>
      </c>
      <c r="I45" t="inlineStr">
        <is>
          <t>Animales atendidos</t>
        </is>
      </c>
      <c r="J45" t="inlineStr">
        <is>
          <t>2024251750003</t>
        </is>
      </c>
      <c r="K45" t="inlineStr">
        <is>
          <t>Si</t>
        </is>
      </c>
      <c r="L45" t="inlineStr">
        <is>
          <t>Número</t>
        </is>
      </c>
      <c r="M45">
        <v>3640</v>
      </c>
      <c r="N45">
        <v>910</v>
      </c>
      <c r="O45">
        <v>910</v>
      </c>
      <c r="P45">
        <v>910</v>
      </c>
      <c r="Q45">
        <v>910</v>
      </c>
      <c r="R45">
        <v>910</v>
      </c>
      <c r="S45" s="103">
        <v>1</v>
      </c>
      <c r="T45" t="inlineStr">
        <is>
          <t>Se ejecutó el 100% de lo programado en la vigencia</t>
        </is>
      </c>
      <c r="U45">
        <v>0</v>
      </c>
      <c r="V45" s="104">
        <v>0</v>
      </c>
      <c r="W45" t="inlineStr">
        <is>
          <t>No se ejecutó en la vigencia</t>
        </is>
      </c>
    </row>
    <row r="46">
      <c r="A46" t="inlineStr">
        <is>
          <t>IP-312</t>
        </is>
      </c>
      <c r="B46" t="inlineStr">
        <is>
          <t>32</t>
        </is>
      </c>
      <c r="C46" t="inlineStr">
        <is>
          <t>Ambiente y desarrollo sostenible</t>
        </is>
      </c>
      <c r="D46" t="inlineStr">
        <is>
          <t>3202</t>
        </is>
      </c>
      <c r="E46" t="inlineStr">
        <is>
          <t>Conservación de la biodiversidad y sus servicios ecosistémicos</t>
        </is>
      </c>
      <c r="F46" t="inlineStr">
        <is>
          <t>3202006</t>
        </is>
      </c>
      <c r="G46" t="inlineStr">
        <is>
          <t>Servicio de reforestación de ecosistemas</t>
        </is>
      </c>
      <c r="H46" t="inlineStr">
        <is>
          <t>320200604</t>
        </is>
      </c>
      <c r="I46" t="inlineStr">
        <is>
          <t>Árboles plantados</t>
        </is>
      </c>
      <c r="J46" t="inlineStr">
        <is>
          <t>2024251750017</t>
        </is>
      </c>
      <c r="K46" t="inlineStr">
        <is>
          <t>Si</t>
        </is>
      </c>
      <c r="L46" t="inlineStr">
        <is>
          <t>Número</t>
        </is>
      </c>
      <c r="M46">
        <v>30000</v>
      </c>
      <c r="N46">
        <v>7500</v>
      </c>
      <c r="O46">
        <v>9000</v>
      </c>
      <c r="P46">
        <v>7500</v>
      </c>
      <c r="Q46">
        <v>6000</v>
      </c>
      <c r="R46" t="inlineStr">
        <is>
          <t xml:space="preserve"> </t>
        </is>
      </c>
      <c r="S46" s="103" t="inlineStr">
        <is>
          <t xml:space="preserve"> </t>
        </is>
      </c>
      <c r="T46" t="inlineStr">
        <is>
          <t>No se encontró ejecución en PIIP</t>
        </is>
      </c>
      <c r="U46" t="inlineStr">
        <is>
          <t xml:space="preserve"> </t>
        </is>
      </c>
      <c r="V46" s="104" t="inlineStr">
        <is>
          <t xml:space="preserve"> </t>
        </is>
      </c>
      <c r="W46" t="inlineStr">
        <is>
          <t>No se encontró ejecución en PIIP</t>
        </is>
      </c>
    </row>
    <row r="47">
      <c r="A47" t="inlineStr">
        <is>
          <t>IP-313</t>
        </is>
      </c>
      <c r="B47" t="inlineStr">
        <is>
          <t>32</t>
        </is>
      </c>
      <c r="C47" t="inlineStr">
        <is>
          <t>Ambiente y desarrollo sostenible</t>
        </is>
      </c>
      <c r="D47" t="inlineStr">
        <is>
          <t>3202</t>
        </is>
      </c>
      <c r="E47" t="inlineStr">
        <is>
          <t>Conservación de la biodiversidad y sus servicios ecosistémicos</t>
        </is>
      </c>
      <c r="F47" t="inlineStr">
        <is>
          <t>3202005</t>
        </is>
      </c>
      <c r="G47" t="inlineStr">
        <is>
          <t>Servicio de restauración de ecosistemas</t>
        </is>
      </c>
      <c r="H47" t="inlineStr">
        <is>
          <t>320200502</t>
        </is>
      </c>
      <c r="I47" t="inlineStr">
        <is>
          <t>Áreas en proceso restauración en mantenimiento</t>
        </is>
      </c>
      <c r="J47" t="inlineStr">
        <is>
          <t>2024251750017</t>
        </is>
      </c>
      <c r="K47" t="inlineStr">
        <is>
          <t>Si</t>
        </is>
      </c>
      <c r="L47" t="inlineStr">
        <is>
          <t>Hectáreas</t>
        </is>
      </c>
      <c r="M47">
        <v>96</v>
      </c>
      <c r="N47">
        <v>24</v>
      </c>
      <c r="O47">
        <v>48</v>
      </c>
      <c r="P47">
        <v>10</v>
      </c>
      <c r="Q47">
        <v>14</v>
      </c>
      <c r="R47">
        <v>24</v>
      </c>
      <c r="S47" s="103">
        <v>1</v>
      </c>
      <c r="T47" t="inlineStr">
        <is>
          <t>Se ejecutó el 100% de lo programado en la vigencia</t>
        </is>
      </c>
      <c r="U47">
        <v>0</v>
      </c>
      <c r="V47" s="104">
        <v>0</v>
      </c>
      <c r="W47" t="inlineStr">
        <is>
          <t>No se ejecutó en la vigencia</t>
        </is>
      </c>
    </row>
    <row r="48">
      <c r="A48" t="inlineStr">
        <is>
          <t>IP-314</t>
        </is>
      </c>
      <c r="B48" t="inlineStr">
        <is>
          <t>32</t>
        </is>
      </c>
      <c r="C48" t="inlineStr">
        <is>
          <t>Ambiente y desarrollo sostenible</t>
        </is>
      </c>
      <c r="D48" t="inlineStr">
        <is>
          <t>3202</t>
        </is>
      </c>
      <c r="E48" t="inlineStr">
        <is>
          <t>Conservación de la biodiversidad y sus servicios ecosistémicos</t>
        </is>
      </c>
      <c r="F48" t="inlineStr">
        <is>
          <t>3202001</t>
        </is>
      </c>
      <c r="G48" t="inlineStr">
        <is>
          <t>Documentos de lineamientos técnicos para la conservación de la biodiversidad y sus servicios eco sistémicos</t>
        </is>
      </c>
      <c r="H48" t="inlineStr">
        <is>
          <t>320200106</t>
        </is>
      </c>
      <c r="I48" t="inlineStr">
        <is>
          <t xml:space="preserve">Documentos de lineamientos técnicos con el manejo de especies de fauna y flora elaborados </t>
        </is>
      </c>
      <c r="J48" t="inlineStr">
        <is>
          <t>2024251750017</t>
        </is>
      </c>
      <c r="K48" t="inlineStr">
        <is>
          <t>Si</t>
        </is>
      </c>
      <c r="L48" t="inlineStr">
        <is>
          <t>Número</t>
        </is>
      </c>
      <c r="M48">
        <v>1</v>
      </c>
      <c r="N48">
        <v>0.33</v>
      </c>
      <c r="O48">
        <v>0.33</v>
      </c>
      <c r="P48">
        <v>0.17</v>
      </c>
      <c r="Q48">
        <v>0.17</v>
      </c>
      <c r="R48">
        <v>0.33</v>
      </c>
      <c r="S48" s="103">
        <v>1</v>
      </c>
      <c r="T48" t="inlineStr">
        <is>
          <t>Se ejecutó el 100% de lo programado en la vigencia</t>
        </is>
      </c>
      <c r="U48">
        <v>0.231</v>
      </c>
      <c r="V48" s="104">
        <v>0.7</v>
      </c>
      <c r="W48" t="inlineStr">
        <is>
          <t>Lo ejecutado está por debajo de lo programado en la vigencia</t>
        </is>
      </c>
    </row>
    <row r="49">
      <c r="A49" t="inlineStr">
        <is>
          <t>IP-315</t>
        </is>
      </c>
      <c r="B49" t="inlineStr">
        <is>
          <t>32</t>
        </is>
      </c>
      <c r="C49" t="inlineStr">
        <is>
          <t>Ambiente y desarrollo sostenible</t>
        </is>
      </c>
      <c r="D49" t="inlineStr">
        <is>
          <t>3202</t>
        </is>
      </c>
      <c r="E49" t="inlineStr">
        <is>
          <t>Conservación de la biodiversidad y sus servicios ecosistémicos</t>
        </is>
      </c>
      <c r="F49" t="inlineStr">
        <is>
          <t>3202001</t>
        </is>
      </c>
      <c r="G49" t="inlineStr">
        <is>
          <t>Documentos de lineamientos técnicos para la conservación de la biodiversidad y sus servicios eco sistémicos</t>
        </is>
      </c>
      <c r="H49" t="inlineStr">
        <is>
          <t>320200102</t>
        </is>
      </c>
      <c r="I49" t="inlineStr">
        <is>
          <t xml:space="preserve">Documentos de lineamientos técnicos con esquemas de pagos por Servicio ambientales formulados </t>
        </is>
      </c>
      <c r="J49" t="inlineStr">
        <is>
          <t>2024251750017</t>
        </is>
      </c>
      <c r="K49" t="inlineStr">
        <is>
          <t>No</t>
        </is>
      </c>
      <c r="L49" t="inlineStr">
        <is>
          <t>Número</t>
        </is>
      </c>
      <c r="M49">
        <v>1</v>
      </c>
      <c r="N49">
        <v>0</v>
      </c>
      <c r="O49">
        <v>1</v>
      </c>
      <c r="P49">
        <v>0</v>
      </c>
      <c r="Q49">
        <v>0</v>
      </c>
      <c r="R49" t="inlineStr">
        <is>
          <t xml:space="preserve"> </t>
        </is>
      </c>
      <c r="S49" s="103" t="inlineStr">
        <is>
          <t xml:space="preserve"> </t>
        </is>
      </c>
      <c r="T49" t="inlineStr">
        <is>
          <t>No se encontró ejecución en PIIP</t>
        </is>
      </c>
      <c r="U49">
        <v>0</v>
      </c>
      <c r="V49" s="104">
        <v>0</v>
      </c>
      <c r="W49" t="inlineStr">
        <is>
          <t>No se ejecutó en la vigencia</t>
        </is>
      </c>
    </row>
    <row r="50">
      <c r="A50" t="inlineStr">
        <is>
          <t>IP-316</t>
        </is>
      </c>
      <c r="B50" t="inlineStr">
        <is>
          <t>32</t>
        </is>
      </c>
      <c r="C50" t="inlineStr">
        <is>
          <t>Ambiente y desarrollo sostenible</t>
        </is>
      </c>
      <c r="D50" t="inlineStr">
        <is>
          <t>3202</t>
        </is>
      </c>
      <c r="E50" t="inlineStr">
        <is>
          <t>Conservación de la biodiversidad y sus servicios ecosistémicos</t>
        </is>
      </c>
      <c r="F50" t="inlineStr">
        <is>
          <t>3202043</t>
        </is>
      </c>
      <c r="G50" t="inlineStr">
        <is>
          <t>Servicio apoyo financiero para la implementación de esquemas de pago por Servicio ambientales</t>
        </is>
      </c>
      <c r="H50" t="inlineStr">
        <is>
          <t>320204300</t>
        </is>
      </c>
      <c r="I50" t="inlineStr">
        <is>
          <t>Áreas con esquemas de Pago por Servicios Ambientales implementados</t>
        </is>
      </c>
      <c r="J50" t="inlineStr">
        <is>
          <t>2024251750017</t>
        </is>
      </c>
      <c r="K50" t="inlineStr">
        <is>
          <t>Si</t>
        </is>
      </c>
      <c r="L50" t="inlineStr">
        <is>
          <t>Hectáreas</t>
        </is>
      </c>
      <c r="M50">
        <v>15</v>
      </c>
      <c r="N50">
        <v>0</v>
      </c>
      <c r="O50">
        <v>0</v>
      </c>
      <c r="P50">
        <v>5</v>
      </c>
      <c r="Q50">
        <v>10</v>
      </c>
      <c r="R50">
        <v>0</v>
      </c>
      <c r="S50" s="103" t="inlineStr">
        <is>
          <t xml:space="preserve"> </t>
        </is>
      </c>
      <c r="T50" t="inlineStr">
        <is>
          <t>No se programó ni ejecutó en la vigencia</t>
        </is>
      </c>
      <c r="U50" t="inlineStr">
        <is>
          <t xml:space="preserve"> </t>
        </is>
      </c>
      <c r="V50" s="104" t="inlineStr">
        <is>
          <t xml:space="preserve"> </t>
        </is>
      </c>
      <c r="W50" t="inlineStr">
        <is>
          <t>No se encontró ejecución en PIIP</t>
        </is>
      </c>
    </row>
    <row r="51">
      <c r="A51" t="inlineStr">
        <is>
          <t>IP-317</t>
        </is>
      </c>
      <c r="B51" t="inlineStr">
        <is>
          <t>32</t>
        </is>
      </c>
      <c r="C51" t="inlineStr">
        <is>
          <t>Ambiente y desarrollo sostenible</t>
        </is>
      </c>
      <c r="D51" t="inlineStr">
        <is>
          <t>3202</t>
        </is>
      </c>
      <c r="E51" t="inlineStr">
        <is>
          <t>Conservación de la biodiversidad y sus servicios ecosistémicos</t>
        </is>
      </c>
      <c r="F51" t="inlineStr">
        <is>
          <t>3202049</t>
        </is>
      </c>
      <c r="G51" t="inlineStr">
        <is>
          <t>Servicio de recuperación de ecosistemas</t>
        </is>
      </c>
      <c r="H51" t="inlineStr">
        <is>
          <t>320204900</t>
        </is>
      </c>
      <c r="I51" t="inlineStr">
        <is>
          <t>Áreas en proceso de recuperación de cobertura vegetal</t>
        </is>
      </c>
      <c r="J51" t="inlineStr">
        <is>
          <t>2024251750041</t>
        </is>
      </c>
      <c r="K51" t="inlineStr">
        <is>
          <t>Si</t>
        </is>
      </c>
      <c r="L51" t="inlineStr">
        <is>
          <t>Hectáreas</t>
        </is>
      </c>
      <c r="M51">
        <v>157.5</v>
      </c>
      <c r="N51">
        <v>40</v>
      </c>
      <c r="O51">
        <v>40</v>
      </c>
      <c r="P51">
        <v>39</v>
      </c>
      <c r="Q51">
        <v>38.5</v>
      </c>
      <c r="R51">
        <v>40</v>
      </c>
      <c r="S51" s="103">
        <v>1</v>
      </c>
      <c r="T51" t="inlineStr">
        <is>
          <t>Se ejecutó el 100% de lo programado en la vigencia</t>
        </is>
      </c>
      <c r="U51">
        <v>2</v>
      </c>
      <c r="V51" s="104">
        <v>0.05</v>
      </c>
      <c r="W51" t="inlineStr">
        <is>
          <t>Lo ejecutado está por debajo de lo programado en la vigencia</t>
        </is>
      </c>
    </row>
    <row r="52">
      <c r="A52" t="inlineStr">
        <is>
          <t>IP-318, IP-320</t>
        </is>
      </c>
      <c r="B52" t="inlineStr">
        <is>
          <t>32</t>
        </is>
      </c>
      <c r="C52" t="inlineStr">
        <is>
          <t>Ambiente y desarrollo sostenible</t>
        </is>
      </c>
      <c r="D52" t="inlineStr">
        <is>
          <t>3203</t>
        </is>
      </c>
      <c r="E52" t="inlineStr">
        <is>
          <t>Gestión integral del recurso hídrico</t>
        </is>
      </c>
      <c r="F52" t="inlineStr">
        <is>
          <t>3203050</t>
        </is>
      </c>
      <c r="G52" t="inlineStr">
        <is>
          <t>Servicio de protección del recurso hídrico</t>
        </is>
      </c>
      <c r="H52" t="inlineStr">
        <is>
          <t>320305000</t>
        </is>
      </c>
      <c r="I52" t="inlineStr">
        <is>
          <t>Áreas protegidas</t>
        </is>
      </c>
      <c r="J52" t="inlineStr">
        <is>
          <t>2024251750016</t>
        </is>
      </c>
      <c r="K52" t="inlineStr">
        <is>
          <t>Si</t>
        </is>
      </c>
      <c r="L52" t="inlineStr">
        <is>
          <t>Hectáreas</t>
        </is>
      </c>
      <c r="M52">
        <v>15</v>
      </c>
      <c r="N52">
        <v>4.25</v>
      </c>
      <c r="O52">
        <v>6.75</v>
      </c>
      <c r="P52">
        <v>2</v>
      </c>
      <c r="Q52">
        <v>2</v>
      </c>
      <c r="R52">
        <v>4.25</v>
      </c>
      <c r="S52" s="103">
        <v>1</v>
      </c>
      <c r="T52" t="inlineStr">
        <is>
          <t>Se ejecutó el 100% de lo programado en la vigencia</t>
        </is>
      </c>
      <c r="U52">
        <v>0.38</v>
      </c>
      <c r="V52" s="104">
        <v>0.0562962962962963</v>
      </c>
      <c r="W52" t="inlineStr">
        <is>
          <t>Lo ejecutado está por debajo de lo programado en la vigencia</t>
        </is>
      </c>
    </row>
    <row r="53">
      <c r="A53" t="inlineStr">
        <is>
          <t>IP-319</t>
        </is>
      </c>
      <c r="B53" t="inlineStr">
        <is>
          <t>32</t>
        </is>
      </c>
      <c r="C53" t="inlineStr">
        <is>
          <t>Ambiente y desarrollo sostenible</t>
        </is>
      </c>
      <c r="D53" t="inlineStr">
        <is>
          <t>3203</t>
        </is>
      </c>
      <c r="E53" t="inlineStr">
        <is>
          <t>Gestión integral del recurso hídrico</t>
        </is>
      </c>
      <c r="F53" t="inlineStr">
        <is>
          <t>3203050</t>
        </is>
      </c>
      <c r="G53" t="inlineStr">
        <is>
          <t>Servicio de protección del recurso hídrico</t>
        </is>
      </c>
      <c r="H53" t="inlineStr">
        <is>
          <t>320305000</t>
        </is>
      </c>
      <c r="I53" t="inlineStr">
        <is>
          <t>Áreas protegidas</t>
        </is>
      </c>
      <c r="J53" t="inlineStr">
        <is>
          <t>2024251750038</t>
        </is>
      </c>
      <c r="K53" t="inlineStr">
        <is>
          <t>Si</t>
        </is>
      </c>
      <c r="L53" t="inlineStr">
        <is>
          <t>Hectáreas</t>
        </is>
      </c>
      <c r="M53">
        <v>50</v>
      </c>
      <c r="N53">
        <v>17.13</v>
      </c>
      <c r="O53">
        <v>18.86</v>
      </c>
      <c r="P53">
        <v>8.97</v>
      </c>
      <c r="Q53">
        <v>5.04</v>
      </c>
      <c r="R53">
        <v>17.13</v>
      </c>
      <c r="S53" s="103">
        <v>1</v>
      </c>
      <c r="T53" t="inlineStr">
        <is>
          <t>Se ejecutó el 100% de lo programado en la vigencia</t>
        </is>
      </c>
      <c r="U53">
        <v>0</v>
      </c>
      <c r="V53" s="104">
        <v>0</v>
      </c>
      <c r="W53" t="inlineStr">
        <is>
          <t>No se ejecutó en la vigencia</t>
        </is>
      </c>
    </row>
    <row r="54">
      <c r="A54" t="inlineStr">
        <is>
          <t>IP-321</t>
        </is>
      </c>
      <c r="B54" t="inlineStr">
        <is>
          <t>32</t>
        </is>
      </c>
      <c r="C54" t="inlineStr">
        <is>
          <t>Ambiente y desarrollo sostenible</t>
        </is>
      </c>
      <c r="D54" t="inlineStr">
        <is>
          <t>3206</t>
        </is>
      </c>
      <c r="E54" t="inlineStr">
        <is>
          <t>Gestión del cambio climático para un desarrollo bajo en carbono y resiliente al clima</t>
        </is>
      </c>
      <c r="F54" t="inlineStr">
        <is>
          <t>3206002</t>
        </is>
      </c>
      <c r="G54" t="inlineStr">
        <is>
          <t>Documentos de lineamientos técnicos para la gestión del cambio climático y un desarrollo bajo en carbono y resiliente al clima</t>
        </is>
      </c>
      <c r="H54" t="inlineStr">
        <is>
          <t>320600200</t>
        </is>
      </c>
      <c r="I54" t="inlineStr">
        <is>
          <t>Documentos de lineamientos técnicos realizados</t>
        </is>
      </c>
      <c r="J54" t="inlineStr">
        <is>
          <t>2024251750014</t>
        </is>
      </c>
      <c r="K54" t="inlineStr">
        <is>
          <t>Si</t>
        </is>
      </c>
      <c r="L54" t="inlineStr">
        <is>
          <t>Número</t>
        </is>
      </c>
      <c r="M54">
        <v>1</v>
      </c>
      <c r="N54">
        <v>0</v>
      </c>
      <c r="O54">
        <v>0</v>
      </c>
      <c r="P54">
        <v>1</v>
      </c>
      <c r="Q54">
        <v>0</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IP-322</t>
        </is>
      </c>
      <c r="B55" t="inlineStr">
        <is>
          <t>32</t>
        </is>
      </c>
      <c r="C55" t="inlineStr">
        <is>
          <t>Ambiente y desarrollo sostenible</t>
        </is>
      </c>
      <c r="D55" t="inlineStr">
        <is>
          <t>3206</t>
        </is>
      </c>
      <c r="E55" t="inlineStr">
        <is>
          <t>Gestión del cambio climático para un desarrollo bajo en carbono y resiliente al clima</t>
        </is>
      </c>
      <c r="F55" t="inlineStr">
        <is>
          <t>3206014</t>
        </is>
      </c>
      <c r="G55" t="inlineStr">
        <is>
          <t>Servicio de producción de plántulas en viveros</t>
        </is>
      </c>
      <c r="H55" t="inlineStr">
        <is>
          <t>320601400</t>
        </is>
      </c>
      <c r="I55" t="inlineStr">
        <is>
          <t>Plántulas producidas</t>
        </is>
      </c>
      <c r="J55" t="inlineStr">
        <is>
          <t>2024251750014</t>
        </is>
      </c>
      <c r="K55" t="inlineStr">
        <is>
          <t>Si</t>
        </is>
      </c>
      <c r="L55" t="inlineStr">
        <is>
          <t>Número</t>
        </is>
      </c>
      <c r="M55">
        <v>1750</v>
      </c>
      <c r="N55">
        <v>0</v>
      </c>
      <c r="O55">
        <v>500</v>
      </c>
      <c r="P55">
        <v>625</v>
      </c>
      <c r="Q55">
        <v>625</v>
      </c>
      <c r="R55">
        <v>0</v>
      </c>
      <c r="S55" s="103" t="inlineStr">
        <is>
          <t xml:space="preserve"> </t>
        </is>
      </c>
      <c r="T55" t="inlineStr">
        <is>
          <t>No se programó ni ejecutó en la vigencia</t>
        </is>
      </c>
      <c r="U55" t="inlineStr">
        <is>
          <t xml:space="preserve"> </t>
        </is>
      </c>
      <c r="V55" s="104" t="inlineStr">
        <is>
          <t xml:space="preserve"> </t>
        </is>
      </c>
      <c r="W55" t="inlineStr">
        <is>
          <t>No se encontró ejecución en PIIP</t>
        </is>
      </c>
    </row>
    <row r="56">
      <c r="A56" t="inlineStr">
        <is>
          <t>IP-323, IP-324</t>
        </is>
      </c>
      <c r="B56" t="inlineStr">
        <is>
          <t>32</t>
        </is>
      </c>
      <c r="C56" t="inlineStr">
        <is>
          <t>Ambiente y desarrollo sostenible</t>
        </is>
      </c>
      <c r="D56" t="inlineStr">
        <is>
          <t>3206</t>
        </is>
      </c>
      <c r="E56" t="inlineStr">
        <is>
          <t>Gestión del cambio climático para un desarrollo bajo en carbono y resiliente al clima</t>
        </is>
      </c>
      <c r="F56" t="inlineStr">
        <is>
          <t>3206003</t>
        </is>
      </c>
      <c r="G56" t="inlineStr">
        <is>
          <t>Servicio de apoyo técnico para la implementación de acciones de mitigación y adaptación al cambio climático</t>
        </is>
      </c>
      <c r="H56" t="inlineStr">
        <is>
          <t>320600300</t>
        </is>
      </c>
      <c r="I56" t="inlineStr">
        <is>
          <t>Pilotos con acciones de mitigación y adaptación al cambio climático desarrollados</t>
        </is>
      </c>
      <c r="J56" t="inlineStr">
        <is>
          <t>2024251750014</t>
        </is>
      </c>
      <c r="K56" t="inlineStr">
        <is>
          <t>Si</t>
        </is>
      </c>
      <c r="L56" t="inlineStr">
        <is>
          <t>Número</t>
        </is>
      </c>
      <c r="M56">
        <v>5</v>
      </c>
      <c r="N56">
        <v>0.25</v>
      </c>
      <c r="O56">
        <v>3.25</v>
      </c>
      <c r="P56">
        <v>1.25</v>
      </c>
      <c r="Q56">
        <v>1.25</v>
      </c>
      <c r="R56">
        <v>0.25</v>
      </c>
      <c r="S56" s="103">
        <v>1</v>
      </c>
      <c r="T56" t="inlineStr">
        <is>
          <t>Se ejecutó el 100% de lo programado en la vigencia</t>
        </is>
      </c>
      <c r="U56">
        <v>0.154</v>
      </c>
      <c r="V56" s="104">
        <v>0.0473846153846154</v>
      </c>
      <c r="W56" t="inlineStr">
        <is>
          <t>Lo ejecutado está por debajo de lo programado en la vigencia</t>
        </is>
      </c>
    </row>
    <row r="57">
      <c r="A57" t="inlineStr">
        <is>
          <t>IP-325, IP-326</t>
        </is>
      </c>
      <c r="B57" t="inlineStr">
        <is>
          <t>32</t>
        </is>
      </c>
      <c r="C57" t="inlineStr">
        <is>
          <t>Ambiente y desarrollo sostenible</t>
        </is>
      </c>
      <c r="D57" t="inlineStr">
        <is>
          <t>3208</t>
        </is>
      </c>
      <c r="E57" t="inlineStr">
        <is>
          <t xml:space="preserve">Educación Ambiental </t>
        </is>
      </c>
      <c r="F57" t="inlineStr">
        <is>
          <t>3208006</t>
        </is>
      </c>
      <c r="G57" t="inlineStr">
        <is>
          <t>Servicio de asistencia técnica para la implementación de lasestrategias educativo ambientales y de participación</t>
        </is>
      </c>
      <c r="H57" t="inlineStr">
        <is>
          <t>320800600</t>
        </is>
      </c>
      <c r="I57" t="inlineStr">
        <is>
          <t xml:space="preserve">Estrategias educativo ambientales y de participación implementadas </t>
        </is>
      </c>
      <c r="J57" t="inlineStr">
        <is>
          <t>2024251750015</t>
        </is>
      </c>
      <c r="K57" t="inlineStr">
        <is>
          <t>No</t>
        </is>
      </c>
      <c r="L57" t="inlineStr">
        <is>
          <t>Número</t>
        </is>
      </c>
      <c r="M57">
        <v>16</v>
      </c>
      <c r="N57">
        <v>13</v>
      </c>
      <c r="O57">
        <v>13</v>
      </c>
      <c r="P57">
        <v>13</v>
      </c>
      <c r="Q57">
        <v>13</v>
      </c>
      <c r="R57">
        <v>13</v>
      </c>
      <c r="S57" s="103">
        <v>1</v>
      </c>
      <c r="T57" t="inlineStr">
        <is>
          <t>Se ejecutó el 100% de lo programado en la vigencia</t>
        </is>
      </c>
      <c r="U57">
        <v>42</v>
      </c>
      <c r="V57" s="104">
        <v>3.23076923076923</v>
      </c>
      <c r="W57" t="inlineStr">
        <is>
          <t>Hubo ejecución por encima de lo programado en SisPT</t>
        </is>
      </c>
    </row>
    <row r="58">
      <c r="A58" t="inlineStr">
        <is>
          <t>IP-327</t>
        </is>
      </c>
      <c r="B58" t="inlineStr">
        <is>
          <t>32</t>
        </is>
      </c>
      <c r="C58" t="inlineStr">
        <is>
          <t>Ambiente y desarrollo sostenible</t>
        </is>
      </c>
      <c r="D58" t="inlineStr">
        <is>
          <t>3208</t>
        </is>
      </c>
      <c r="E58" t="inlineStr">
        <is>
          <t xml:space="preserve">Educación Ambiental </t>
        </is>
      </c>
      <c r="F58" t="inlineStr">
        <is>
          <t>3208010</t>
        </is>
      </c>
      <c r="G58" t="inlineStr">
        <is>
          <t>Servicio de educación informal ambiental</t>
        </is>
      </c>
      <c r="H58" t="inlineStr">
        <is>
          <t>320801000</t>
        </is>
      </c>
      <c r="I58" t="inlineStr">
        <is>
          <t>Personas capacitadas</t>
        </is>
      </c>
      <c r="J58" t="inlineStr">
        <is>
          <t>2024251750015</t>
        </is>
      </c>
      <c r="K58" t="inlineStr">
        <is>
          <t>Si</t>
        </is>
      </c>
      <c r="L58" t="inlineStr">
        <is>
          <t>Número</t>
        </is>
      </c>
      <c r="M58">
        <v>28000</v>
      </c>
      <c r="N58">
        <v>7000</v>
      </c>
      <c r="O58">
        <v>7000</v>
      </c>
      <c r="P58">
        <v>7000</v>
      </c>
      <c r="Q58">
        <v>7000</v>
      </c>
      <c r="R58">
        <v>7000</v>
      </c>
      <c r="S58" s="103">
        <v>1</v>
      </c>
      <c r="T58" t="inlineStr">
        <is>
          <t>Se ejecutó el 100% de lo programado en la vigencia</t>
        </is>
      </c>
      <c r="U58">
        <v>7477</v>
      </c>
      <c r="V58" s="104">
        <v>1.06814285714286</v>
      </c>
      <c r="W58" t="inlineStr">
        <is>
          <t>Hubo ejecución por encima de lo programado en SisPT</t>
        </is>
      </c>
    </row>
    <row r="59">
      <c r="A59" t="inlineStr">
        <is>
          <t>IP-328</t>
        </is>
      </c>
      <c r="B59" t="inlineStr">
        <is>
          <t>40</t>
        </is>
      </c>
      <c r="C59" t="inlineStr">
        <is>
          <t>Vivienda, ciudad y territorio</t>
        </is>
      </c>
      <c r="D59" t="inlineStr">
        <is>
          <t>4003</t>
        </is>
      </c>
      <c r="E59" t="inlineStr">
        <is>
          <t>Acceso de la población a los servicios de agua potable y saneamiento básico</t>
        </is>
      </c>
      <c r="F59" t="inlineStr">
        <is>
          <t>4003006</t>
        </is>
      </c>
      <c r="G59" t="inlineStr">
        <is>
          <t>Documentos de planeación</t>
        </is>
      </c>
      <c r="H59" t="inlineStr">
        <is>
          <t>400300602</t>
        </is>
      </c>
      <c r="I59" t="inlineStr">
        <is>
          <t>Plan Integral de gestión de residuos sólidos (PGIRS) actualizado</t>
        </is>
      </c>
      <c r="J59" t="inlineStr">
        <is>
          <t>2024251750018</t>
        </is>
      </c>
      <c r="K59" t="inlineStr">
        <is>
          <t>No</t>
        </is>
      </c>
      <c r="L59" t="inlineStr">
        <is>
          <t>Número</t>
        </is>
      </c>
      <c r="M59">
        <v>1</v>
      </c>
      <c r="N59">
        <v>0</v>
      </c>
      <c r="O59">
        <v>1</v>
      </c>
      <c r="P59">
        <v>0</v>
      </c>
      <c r="Q59">
        <v>0</v>
      </c>
      <c r="R59" t="inlineStr">
        <is>
          <t xml:space="preserve"> </t>
        </is>
      </c>
      <c r="S59" s="103" t="inlineStr">
        <is>
          <t xml:space="preserve"> </t>
        </is>
      </c>
      <c r="T59" t="inlineStr">
        <is>
          <t>No se encontró ejecución en PIIP</t>
        </is>
      </c>
      <c r="U59">
        <v>0</v>
      </c>
      <c r="V59" s="104">
        <v>0</v>
      </c>
      <c r="W59" t="inlineStr">
        <is>
          <t>No se ejecutó en la vigencia</t>
        </is>
      </c>
    </row>
    <row r="60">
      <c r="A60" t="inlineStr">
        <is>
          <t>IP-329, IP-330</t>
        </is>
      </c>
      <c r="B60" t="inlineStr">
        <is>
          <t>40</t>
        </is>
      </c>
      <c r="C60" t="inlineStr">
        <is>
          <t>Vivienda, ciudad y territorio</t>
        </is>
      </c>
      <c r="D60" t="inlineStr">
        <is>
          <t>4003</t>
        </is>
      </c>
      <c r="E60" t="inlineStr">
        <is>
          <t>Acceso de la población a los servicios de agua potable y saneamiento básico</t>
        </is>
      </c>
      <c r="F60" t="inlineStr">
        <is>
          <t>4003022</t>
        </is>
      </c>
      <c r="G60" t="inlineStr">
        <is>
          <t>Servicios de implementación del Plan de Gestión Integral de Residuos Solidos PGIRS</t>
        </is>
      </c>
      <c r="H60" t="inlineStr">
        <is>
          <t>400302200</t>
        </is>
      </c>
      <c r="I60" t="inlineStr">
        <is>
          <t>Plan de Gestión Integral de Residuos Solidos implementado</t>
        </is>
      </c>
      <c r="J60" t="inlineStr">
        <is>
          <t>2024251750018</t>
        </is>
      </c>
      <c r="K60" t="inlineStr">
        <is>
          <t>No</t>
        </is>
      </c>
      <c r="L60" t="inlineStr">
        <is>
          <t>Número</t>
        </is>
      </c>
      <c r="M60">
        <v>2</v>
      </c>
      <c r="N60">
        <v>2</v>
      </c>
      <c r="O60">
        <v>2</v>
      </c>
      <c r="P60">
        <v>2</v>
      </c>
      <c r="Q60">
        <v>2</v>
      </c>
      <c r="R60">
        <v>1</v>
      </c>
      <c r="S60" s="103">
        <v>0.5</v>
      </c>
      <c r="T60" t="inlineStr">
        <is>
          <t>Lo ejecutado está por debajo de lo programado en la vigencia</t>
        </is>
      </c>
      <c r="U60">
        <v>7</v>
      </c>
      <c r="V60" s="104">
        <v>3.5</v>
      </c>
      <c r="W60" t="inlineStr">
        <is>
          <t>Hubo ejecución por encima de lo programado en SisPT</t>
        </is>
      </c>
    </row>
    <row r="61">
      <c r="A61" t="inlineStr">
        <is>
          <t>IP-331</t>
        </is>
      </c>
      <c r="B61" t="inlineStr">
        <is>
          <t>17</t>
        </is>
      </c>
      <c r="C61" t="inlineStr">
        <is>
          <t xml:space="preserve">Agricultura y desarrollo rural
</t>
        </is>
      </c>
      <c r="D61" t="inlineStr">
        <is>
          <t>1702</t>
        </is>
      </c>
      <c r="E61" t="inlineStr">
        <is>
          <t>Inclusión productiva de pequeños productores rurales</t>
        </is>
      </c>
      <c r="F61" t="inlineStr">
        <is>
          <t>1702007</t>
        </is>
      </c>
      <c r="G61" t="inlineStr">
        <is>
          <t>Servicio de apoyo financiero para proyectos productivos</t>
        </is>
      </c>
      <c r="H61" t="inlineStr">
        <is>
          <t>170200700</t>
        </is>
      </c>
      <c r="I61" t="inlineStr">
        <is>
          <t>Proyectos productivos cofinanciados</t>
        </is>
      </c>
      <c r="J61" t="inlineStr">
        <is>
          <t>2024251750070</t>
        </is>
      </c>
      <c r="K61" t="inlineStr">
        <is>
          <t>Si</t>
        </is>
      </c>
      <c r="L61" t="inlineStr">
        <is>
          <t>Número</t>
        </is>
      </c>
      <c r="M61">
        <v>12</v>
      </c>
      <c r="N61">
        <v>1.4</v>
      </c>
      <c r="O61">
        <v>4.6</v>
      </c>
      <c r="P61">
        <v>4</v>
      </c>
      <c r="Q61">
        <v>2</v>
      </c>
      <c r="R61">
        <v>1.4</v>
      </c>
      <c r="S61" s="103">
        <v>1</v>
      </c>
      <c r="T61" t="inlineStr">
        <is>
          <t>Se ejecutó el 100% de lo programado en la vigencia</t>
        </is>
      </c>
      <c r="U61">
        <v>0</v>
      </c>
      <c r="V61" s="104">
        <v>0</v>
      </c>
      <c r="W61" t="inlineStr">
        <is>
          <t>No se ejecutó en la vigencia</t>
        </is>
      </c>
    </row>
    <row r="62">
      <c r="A62" t="inlineStr">
        <is>
          <t>IP-332</t>
        </is>
      </c>
      <c r="B62" t="inlineStr">
        <is>
          <t>17</t>
        </is>
      </c>
      <c r="C62" t="inlineStr">
        <is>
          <t xml:space="preserve">Agricultura y desarrollo rural
</t>
        </is>
      </c>
      <c r="D62" t="inlineStr">
        <is>
          <t>1702</t>
        </is>
      </c>
      <c r="E62" t="inlineStr">
        <is>
          <t>Inclusión productiva de pequeños productores rurales</t>
        </is>
      </c>
      <c r="F62" t="inlineStr">
        <is>
          <t>1702010</t>
        </is>
      </c>
      <c r="G62" t="inlineStr">
        <is>
          <t>Servicio de asistencia técnica agropecuaria dirigida a pequeños productores</t>
        </is>
      </c>
      <c r="H62" t="inlineStr">
        <is>
          <t>170201000</t>
        </is>
      </c>
      <c r="I62" t="inlineStr">
        <is>
          <t>Pequeños productores rurales asistidos técnicamente</t>
        </is>
      </c>
      <c r="J62" t="inlineStr">
        <is>
          <t>2024251750070</t>
        </is>
      </c>
      <c r="K62" t="inlineStr">
        <is>
          <t>Si</t>
        </is>
      </c>
      <c r="L62" t="inlineStr">
        <is>
          <t>Número</t>
        </is>
      </c>
      <c r="M62">
        <v>6000</v>
      </c>
      <c r="N62">
        <v>1000</v>
      </c>
      <c r="O62">
        <v>2000</v>
      </c>
      <c r="P62">
        <v>2000</v>
      </c>
      <c r="Q62">
        <v>1000</v>
      </c>
      <c r="R62">
        <v>1000</v>
      </c>
      <c r="S62" s="103">
        <v>1</v>
      </c>
      <c r="T62" t="inlineStr">
        <is>
          <t>Se ejecutó el 100% de lo programado en la vigencia</t>
        </is>
      </c>
      <c r="U62">
        <v>0</v>
      </c>
      <c r="V62" s="104">
        <v>0</v>
      </c>
      <c r="W62" t="inlineStr">
        <is>
          <t>No se ejecutó en la vigencia</t>
        </is>
      </c>
    </row>
    <row r="63">
      <c r="A63" t="inlineStr">
        <is>
          <t>IP-333</t>
        </is>
      </c>
      <c r="B63" t="inlineStr">
        <is>
          <t>17</t>
        </is>
      </c>
      <c r="C63" t="inlineStr">
        <is>
          <t xml:space="preserve">Agricultura y desarrollo rural
</t>
        </is>
      </c>
      <c r="D63" t="inlineStr">
        <is>
          <t>1702</t>
        </is>
      </c>
      <c r="E63" t="inlineStr">
        <is>
          <t>Inclusión productiva de pequeños productores rurales</t>
        </is>
      </c>
      <c r="F63" t="inlineStr">
        <is>
          <t>1702017</t>
        </is>
      </c>
      <c r="G63" t="inlineStr">
        <is>
          <t>Servicio de apoyo para el fomento organizativo de la Agricultura Campesina, Familiar y Comunitaria</t>
        </is>
      </c>
      <c r="H63" t="inlineStr">
        <is>
          <t>170201700</t>
        </is>
      </c>
      <c r="I63" t="inlineStr">
        <is>
          <t>Productores agropecuarios apoyados</t>
        </is>
      </c>
      <c r="J63" t="inlineStr">
        <is>
          <t>2024251750070</t>
        </is>
      </c>
      <c r="K63" t="inlineStr">
        <is>
          <t>Si</t>
        </is>
      </c>
      <c r="L63" t="inlineStr">
        <is>
          <t>Número</t>
        </is>
      </c>
      <c r="M63">
        <v>2000</v>
      </c>
      <c r="N63">
        <v>187</v>
      </c>
      <c r="O63">
        <v>763</v>
      </c>
      <c r="P63">
        <v>700</v>
      </c>
      <c r="Q63">
        <v>350</v>
      </c>
      <c r="R63">
        <v>187</v>
      </c>
      <c r="S63" s="103">
        <v>1</v>
      </c>
      <c r="T63" t="inlineStr">
        <is>
          <t>Se ejecutó el 100% de lo programado en la vigencia</t>
        </is>
      </c>
      <c r="U63">
        <v>0</v>
      </c>
      <c r="V63" s="104">
        <v>0</v>
      </c>
      <c r="W63" t="inlineStr">
        <is>
          <t>No se ejecutó en la vigencia</t>
        </is>
      </c>
    </row>
    <row r="64">
      <c r="A64" t="inlineStr">
        <is>
          <t>IP-334</t>
        </is>
      </c>
      <c r="B64" t="inlineStr">
        <is>
          <t>17</t>
        </is>
      </c>
      <c r="C64" t="inlineStr">
        <is>
          <t xml:space="preserve">Agricultura y desarrollo rural
</t>
        </is>
      </c>
      <c r="D64" t="inlineStr">
        <is>
          <t>1709</t>
        </is>
      </c>
      <c r="E64" t="inlineStr">
        <is>
          <t>Infraestructura productiva y comercialización</t>
        </is>
      </c>
      <c r="F64" t="inlineStr">
        <is>
          <t>1709106</t>
        </is>
      </c>
      <c r="G64" t="inlineStr">
        <is>
          <t>Servicio de apoyo a la comercialización de las cadenas agrícolas, forestales, pecuarias, pesqueras y acuícolas</t>
        </is>
      </c>
      <c r="H64" t="inlineStr">
        <is>
          <t>170910600</t>
        </is>
      </c>
      <c r="I64" t="inlineStr">
        <is>
          <t>Cadenas productivas apoyadas</t>
        </is>
      </c>
      <c r="J64" t="inlineStr">
        <is>
          <t>2024251750026</t>
        </is>
      </c>
      <c r="K64" t="inlineStr">
        <is>
          <t>No</t>
        </is>
      </c>
      <c r="L64" t="inlineStr">
        <is>
          <t>Número</t>
        </is>
      </c>
      <c r="M64">
        <v>5</v>
      </c>
      <c r="N64">
        <v>5</v>
      </c>
      <c r="O64">
        <v>5</v>
      </c>
      <c r="P64">
        <v>5</v>
      </c>
      <c r="Q64">
        <v>5</v>
      </c>
      <c r="R64">
        <v>5</v>
      </c>
      <c r="S64" s="103">
        <v>1</v>
      </c>
      <c r="T64" t="inlineStr">
        <is>
          <t>Se ejecutó el 100% de lo programado en la vigencia</t>
        </is>
      </c>
      <c r="U64">
        <v>0</v>
      </c>
      <c r="V64" s="104">
        <v>0</v>
      </c>
      <c r="W64" t="inlineStr">
        <is>
          <t>No se ejecutó en la vigencia</t>
        </is>
      </c>
    </row>
    <row r="65">
      <c r="A65" t="inlineStr">
        <is>
          <t>IP-335</t>
        </is>
      </c>
      <c r="B65" t="inlineStr">
        <is>
          <t>36</t>
        </is>
      </c>
      <c r="C65" t="inlineStr">
        <is>
          <t>Trabajo</t>
        </is>
      </c>
      <c r="D65" t="inlineStr">
        <is>
          <t>3602</t>
        </is>
      </c>
      <c r="E65" t="inlineStr">
        <is>
          <t>Generación y formalización del empleo</t>
        </is>
      </c>
      <c r="F65" t="inlineStr">
        <is>
          <t>3602032</t>
        </is>
      </c>
      <c r="G65" t="inlineStr">
        <is>
          <t>Servicio de asesoría técnica para el emprendimiento</t>
        </is>
      </c>
      <c r="H65" t="inlineStr">
        <is>
          <t>360203201</t>
        </is>
      </c>
      <c r="I65" t="inlineStr">
        <is>
          <t>Emprendimientos fortalecidos</t>
        </is>
      </c>
      <c r="J65" t="inlineStr">
        <is>
          <t>2024251750031</t>
        </is>
      </c>
      <c r="K65" t="inlineStr">
        <is>
          <t>Si</t>
        </is>
      </c>
      <c r="L65" t="inlineStr">
        <is>
          <t>Número</t>
        </is>
      </c>
      <c r="M65">
        <v>500</v>
      </c>
      <c r="N65">
        <v>100</v>
      </c>
      <c r="O65">
        <v>200</v>
      </c>
      <c r="P65">
        <v>100</v>
      </c>
      <c r="Q65">
        <v>100</v>
      </c>
      <c r="R65">
        <v>100</v>
      </c>
      <c r="S65" s="103">
        <v>1</v>
      </c>
      <c r="T65" t="inlineStr">
        <is>
          <t>Se ejecutó el 100% de lo programado en la vigencia</t>
        </is>
      </c>
      <c r="U65">
        <v>0</v>
      </c>
      <c r="V65" s="104">
        <v>0</v>
      </c>
      <c r="W65" t="inlineStr">
        <is>
          <t>No se ejecutó en la vigencia</t>
        </is>
      </c>
    </row>
    <row r="66">
      <c r="A66" t="inlineStr">
        <is>
          <t>IP-336</t>
        </is>
      </c>
      <c r="B66" t="inlineStr">
        <is>
          <t>36</t>
        </is>
      </c>
      <c r="C66" t="inlineStr">
        <is>
          <t>Trabajo</t>
        </is>
      </c>
      <c r="D66" t="inlineStr">
        <is>
          <t>3602</t>
        </is>
      </c>
      <c r="E66" t="inlineStr">
        <is>
          <t>Generación y formalización del empleo</t>
        </is>
      </c>
      <c r="F66" t="inlineStr">
        <is>
          <t>3602037</t>
        </is>
      </c>
      <c r="G66" t="inlineStr">
        <is>
          <t>Servicio de registro de inserción laboral</t>
        </is>
      </c>
      <c r="H66" t="inlineStr">
        <is>
          <t>360203700</t>
        </is>
      </c>
      <c r="I66" t="inlineStr">
        <is>
          <t>Colocaciones registradas</t>
        </is>
      </c>
      <c r="J66" t="inlineStr">
        <is>
          <t>2024251750031</t>
        </is>
      </c>
      <c r="K66" t="inlineStr">
        <is>
          <t>Si</t>
        </is>
      </c>
      <c r="L66" t="inlineStr">
        <is>
          <t>Número</t>
        </is>
      </c>
      <c r="M66">
        <v>1500</v>
      </c>
      <c r="N66">
        <v>375</v>
      </c>
      <c r="O66">
        <v>375</v>
      </c>
      <c r="P66">
        <v>375</v>
      </c>
      <c r="Q66">
        <v>375</v>
      </c>
      <c r="R66">
        <v>375</v>
      </c>
      <c r="S66" s="103">
        <v>1</v>
      </c>
      <c r="T66" t="inlineStr">
        <is>
          <t>Se ejecutó el 100% de lo programado en la vigencia</t>
        </is>
      </c>
      <c r="U66">
        <v>38</v>
      </c>
      <c r="V66" s="104">
        <v>0.101333333333333</v>
      </c>
      <c r="W66" t="inlineStr">
        <is>
          <t>Lo ejecutado está por debajo de lo programado en la vigencia</t>
        </is>
      </c>
    </row>
    <row r="67">
      <c r="A67" t="inlineStr">
        <is>
          <t>IP-337</t>
        </is>
      </c>
      <c r="B67" t="inlineStr">
        <is>
          <t>36</t>
        </is>
      </c>
      <c r="C67" t="inlineStr">
        <is>
          <t>Trabajo</t>
        </is>
      </c>
      <c r="D67" t="inlineStr">
        <is>
          <t>3602</t>
        </is>
      </c>
      <c r="E67" t="inlineStr">
        <is>
          <t>Generación y formalización del empleo</t>
        </is>
      </c>
      <c r="F67" t="inlineStr">
        <is>
          <t>3602003</t>
        </is>
      </c>
      <c r="G67" t="inlineStr">
        <is>
          <t>Servicio de gestión para el emprendimiento solidario</t>
        </is>
      </c>
      <c r="H67" t="inlineStr">
        <is>
          <t>360200310</t>
        </is>
      </c>
      <c r="I67" t="inlineStr">
        <is>
          <t>Emprendimientos solidarios dinamizados en población víctima</t>
        </is>
      </c>
      <c r="J67" t="inlineStr">
        <is>
          <t>2024251750031</t>
        </is>
      </c>
      <c r="K67" t="inlineStr">
        <is>
          <t>Si</t>
        </is>
      </c>
      <c r="L67" t="inlineStr">
        <is>
          <t>Número</t>
        </is>
      </c>
      <c r="M67">
        <v>20</v>
      </c>
      <c r="N67">
        <v>4</v>
      </c>
      <c r="O67">
        <v>6</v>
      </c>
      <c r="P67">
        <v>5</v>
      </c>
      <c r="Q67">
        <v>5</v>
      </c>
      <c r="R67">
        <v>4</v>
      </c>
      <c r="S67" s="103">
        <v>1</v>
      </c>
      <c r="T67" t="inlineStr">
        <is>
          <t>Se ejecutó el 100% de lo programado en la vigencia</t>
        </is>
      </c>
      <c r="U67">
        <v>0</v>
      </c>
      <c r="V67" s="104">
        <v>0</v>
      </c>
      <c r="W67" t="inlineStr">
        <is>
          <t>No se ejecutó en la vigencia</t>
        </is>
      </c>
    </row>
    <row r="68">
      <c r="A68" t="inlineStr">
        <is>
          <t>IP-338</t>
        </is>
      </c>
      <c r="B68" t="inlineStr">
        <is>
          <t>35</t>
        </is>
      </c>
      <c r="C68" t="inlineStr">
        <is>
          <t>Comercio, industria y turismo</t>
        </is>
      </c>
      <c r="D68" t="inlineStr">
        <is>
          <t>3502</t>
        </is>
      </c>
      <c r="E68" t="inlineStr">
        <is>
          <t>Productividad y competitividad de las empresas colombianas</t>
        </is>
      </c>
      <c r="F68" t="inlineStr">
        <is>
          <t>3502012</t>
        </is>
      </c>
      <c r="G68" t="inlineStr">
        <is>
          <t>Servicio de apoyo para la modernización y fomento de la innovación empresarial</t>
        </is>
      </c>
      <c r="H68" t="inlineStr">
        <is>
          <t>350201204</t>
        </is>
      </c>
      <c r="I68" t="inlineStr">
        <is>
          <t xml:space="preserve">Eventos realizados que fomenten una mentalidad y cultura innovadora </t>
        </is>
      </c>
      <c r="J68" t="inlineStr">
        <is>
          <t>2024251750035</t>
        </is>
      </c>
      <c r="K68" t="inlineStr">
        <is>
          <t>Si</t>
        </is>
      </c>
      <c r="L68" t="inlineStr">
        <is>
          <t>Número</t>
        </is>
      </c>
      <c r="M68">
        <v>4</v>
      </c>
      <c r="N68">
        <v>1</v>
      </c>
      <c r="O68">
        <v>1</v>
      </c>
      <c r="P68">
        <v>1</v>
      </c>
      <c r="Q68">
        <v>1</v>
      </c>
      <c r="R68">
        <v>1</v>
      </c>
      <c r="S68" s="103">
        <v>1</v>
      </c>
      <c r="T68" t="inlineStr">
        <is>
          <t>Se ejecutó el 100% de lo programado en la vigencia</t>
        </is>
      </c>
      <c r="U68">
        <v>0</v>
      </c>
      <c r="V68" s="104">
        <v>0</v>
      </c>
      <c r="W68" t="inlineStr">
        <is>
          <t>No se ejecutó en la vigencia</t>
        </is>
      </c>
    </row>
    <row r="69">
      <c r="A69" t="inlineStr">
        <is>
          <t>IP-339</t>
        </is>
      </c>
      <c r="B69" t="inlineStr">
        <is>
          <t>45</t>
        </is>
      </c>
      <c r="C69" t="inlineStr">
        <is>
          <t>Gobierno Territorial</t>
        </is>
      </c>
      <c r="D69" t="inlineStr">
        <is>
          <t>4599</t>
        </is>
      </c>
      <c r="E69" t="inlineStr">
        <is>
          <t>Fortalecimiento a la gestión y dirección de la administración pública territorial</t>
        </is>
      </c>
      <c r="F69" t="inlineStr">
        <is>
          <t>4599032</t>
        </is>
      </c>
      <c r="G69" t="inlineStr">
        <is>
          <t>Documentos de política</t>
        </is>
      </c>
      <c r="H69" t="inlineStr">
        <is>
          <t>459903200</t>
        </is>
      </c>
      <c r="I69" t="inlineStr">
        <is>
          <t>Documentos de política elaborados</t>
        </is>
      </c>
      <c r="J69" t="inlineStr">
        <is>
          <t>2024251750036</t>
        </is>
      </c>
      <c r="K69" t="inlineStr">
        <is>
          <t>Si</t>
        </is>
      </c>
      <c r="L69" t="inlineStr">
        <is>
          <t>Número</t>
        </is>
      </c>
      <c r="M69">
        <v>1</v>
      </c>
      <c r="N69">
        <v>0</v>
      </c>
      <c r="O69">
        <v>0.5</v>
      </c>
      <c r="P69">
        <v>0.5</v>
      </c>
      <c r="Q69">
        <v>0</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IP-340</t>
        </is>
      </c>
      <c r="B70" t="inlineStr">
        <is>
          <t>35</t>
        </is>
      </c>
      <c r="C70" t="inlineStr">
        <is>
          <t>Comercio, industria y turismo</t>
        </is>
      </c>
      <c r="D70" t="inlineStr">
        <is>
          <t>3502</t>
        </is>
      </c>
      <c r="E70" t="inlineStr">
        <is>
          <t>Productividad y competitividad de las empresas colombianas</t>
        </is>
      </c>
      <c r="F70" t="inlineStr">
        <is>
          <t>3502047</t>
        </is>
      </c>
      <c r="G70" t="inlineStr">
        <is>
          <t>Documentos de planeación</t>
        </is>
      </c>
      <c r="H70" t="inlineStr">
        <is>
          <t>350204700</t>
        </is>
      </c>
      <c r="I70" t="inlineStr">
        <is>
          <t>Documentos de planeación elaborados</t>
        </is>
      </c>
      <c r="J70" t="inlineStr">
        <is>
          <t>2024251750012</t>
        </is>
      </c>
      <c r="K70" t="inlineStr">
        <is>
          <t>Si</t>
        </is>
      </c>
      <c r="L70" t="inlineStr">
        <is>
          <t>Número</t>
        </is>
      </c>
      <c r="M70">
        <v>1</v>
      </c>
      <c r="N70">
        <v>0.25</v>
      </c>
      <c r="O70">
        <v>0.25</v>
      </c>
      <c r="P70">
        <v>0.25</v>
      </c>
      <c r="Q70">
        <v>0.25</v>
      </c>
      <c r="R70">
        <v>0.25</v>
      </c>
      <c r="S70" s="103">
        <v>1</v>
      </c>
      <c r="T70" t="inlineStr">
        <is>
          <t>Se ejecutó el 100% de lo programado en la vigencia</t>
        </is>
      </c>
      <c r="U70">
        <v>0.09</v>
      </c>
      <c r="V70" s="104">
        <v>0.36</v>
      </c>
      <c r="W70" t="inlineStr">
        <is>
          <t>Lo ejecutado está por debajo de lo programado en la vigencia</t>
        </is>
      </c>
    </row>
    <row r="71">
      <c r="A71" t="inlineStr">
        <is>
          <t>IP-341</t>
        </is>
      </c>
      <c r="B71" t="inlineStr">
        <is>
          <t>35</t>
        </is>
      </c>
      <c r="C71" t="inlineStr">
        <is>
          <t>Comercio, industria y turismo</t>
        </is>
      </c>
      <c r="D71" t="inlineStr">
        <is>
          <t>3502</t>
        </is>
      </c>
      <c r="E71" t="inlineStr">
        <is>
          <t>Productividad y competitividad de las empresas colombianas</t>
        </is>
      </c>
      <c r="F71" t="inlineStr">
        <is>
          <t>3502093</t>
        </is>
      </c>
      <c r="G71" t="inlineStr">
        <is>
          <t>Servicios de información turística a nivel nacional</t>
        </is>
      </c>
      <c r="H71" t="inlineStr">
        <is>
          <t>350209300</t>
        </is>
      </c>
      <c r="I71" t="inlineStr">
        <is>
          <t>Portales integrados</t>
        </is>
      </c>
      <c r="J71" t="inlineStr">
        <is>
          <t>2024251750012</t>
        </is>
      </c>
      <c r="K71" t="inlineStr">
        <is>
          <t>No</t>
        </is>
      </c>
      <c r="L71" t="inlineStr">
        <is>
          <t>Número</t>
        </is>
      </c>
      <c r="M71">
        <v>1</v>
      </c>
      <c r="N71">
        <v>0.25</v>
      </c>
      <c r="O71">
        <v>0.5</v>
      </c>
      <c r="P71">
        <v>0.75</v>
      </c>
      <c r="Q71">
        <v>1</v>
      </c>
      <c r="R71">
        <v>0.25</v>
      </c>
      <c r="S71" s="103">
        <v>1</v>
      </c>
      <c r="T71" t="inlineStr">
        <is>
          <t>Se ejecutó el 100% de lo programado en la vigencia</t>
        </is>
      </c>
      <c r="U71">
        <v>0.153</v>
      </c>
      <c r="V71" s="104">
        <v>0.306</v>
      </c>
      <c r="W71" t="inlineStr">
        <is>
          <t>Lo ejecutado está por debajo de lo programado en la vigencia</t>
        </is>
      </c>
    </row>
    <row r="72">
      <c r="A72" t="inlineStr">
        <is>
          <t>IP-342</t>
        </is>
      </c>
      <c r="B72" t="inlineStr">
        <is>
          <t>35</t>
        </is>
      </c>
      <c r="C72" t="inlineStr">
        <is>
          <t>Comercio, industria y turismo</t>
        </is>
      </c>
      <c r="D72" t="inlineStr">
        <is>
          <t>3502</t>
        </is>
      </c>
      <c r="E72" t="inlineStr">
        <is>
          <t>Productividad y competitividad de las empresas colombianas</t>
        </is>
      </c>
      <c r="F72" t="inlineStr">
        <is>
          <t>3502045</t>
        </is>
      </c>
      <c r="G72" t="inlineStr">
        <is>
          <t>Servicio de educación informal en asuntos turísticos</t>
        </is>
      </c>
      <c r="H72" t="inlineStr">
        <is>
          <t>350204500</t>
        </is>
      </c>
      <c r="I72" t="inlineStr">
        <is>
          <t>Personas capacitadas</t>
        </is>
      </c>
      <c r="J72" t="inlineStr">
        <is>
          <t>2024251750012</t>
        </is>
      </c>
      <c r="K72" t="inlineStr">
        <is>
          <t>Si</t>
        </is>
      </c>
      <c r="L72" t="inlineStr">
        <is>
          <t>Número</t>
        </is>
      </c>
      <c r="M72">
        <v>1000</v>
      </c>
      <c r="N72">
        <v>250</v>
      </c>
      <c r="O72">
        <v>250</v>
      </c>
      <c r="P72">
        <v>250</v>
      </c>
      <c r="Q72">
        <v>250</v>
      </c>
      <c r="R72">
        <v>250</v>
      </c>
      <c r="S72" s="103">
        <v>1</v>
      </c>
      <c r="T72" t="inlineStr">
        <is>
          <t>Se ejecutó el 100% de lo programado en la vigencia</t>
        </is>
      </c>
      <c r="U72">
        <v>29</v>
      </c>
      <c r="V72" s="104">
        <v>0.116</v>
      </c>
      <c r="W72" t="inlineStr">
        <is>
          <t>Lo ejecutado está por debajo de lo programado en la vigencia</t>
        </is>
      </c>
    </row>
    <row r="73">
      <c r="A73" t="inlineStr">
        <is>
          <t>IP-343</t>
        </is>
      </c>
      <c r="B73" t="inlineStr">
        <is>
          <t>35</t>
        </is>
      </c>
      <c r="C73" t="inlineStr">
        <is>
          <t>Comercio, industria y turismo</t>
        </is>
      </c>
      <c r="D73" t="inlineStr">
        <is>
          <t>3502</t>
        </is>
      </c>
      <c r="E73" t="inlineStr">
        <is>
          <t>Productividad y competitividad de las empresas colombianas</t>
        </is>
      </c>
      <c r="F73" t="inlineStr">
        <is>
          <t>3502046</t>
        </is>
      </c>
      <c r="G73" t="inlineStr">
        <is>
          <t>Servicio de promoción turística</t>
        </is>
      </c>
      <c r="H73" t="inlineStr">
        <is>
          <t>350204602</t>
        </is>
      </c>
      <c r="I73" t="inlineStr">
        <is>
          <t>Eventos de promoción realizados</t>
        </is>
      </c>
      <c r="J73" t="inlineStr">
        <is>
          <t>2024251750012</t>
        </is>
      </c>
      <c r="K73" t="inlineStr">
        <is>
          <t>Si</t>
        </is>
      </c>
      <c r="L73" t="inlineStr">
        <is>
          <t>Número</t>
        </is>
      </c>
      <c r="M73">
        <v>30</v>
      </c>
      <c r="N73">
        <v>7</v>
      </c>
      <c r="O73">
        <v>8</v>
      </c>
      <c r="P73">
        <v>8</v>
      </c>
      <c r="Q73">
        <v>7</v>
      </c>
      <c r="R73">
        <v>7</v>
      </c>
      <c r="S73" s="103">
        <v>1</v>
      </c>
      <c r="T73" t="inlineStr">
        <is>
          <t>Se ejecutó el 100% de lo programado en la vigencia</t>
        </is>
      </c>
      <c r="U73">
        <v>3</v>
      </c>
      <c r="V73" s="104">
        <v>0.375</v>
      </c>
      <c r="W73" t="inlineStr">
        <is>
          <t>Lo ejecutado está por debajo de lo programado en la vigencia</t>
        </is>
      </c>
    </row>
    <row r="74">
      <c r="A74" t="inlineStr">
        <is>
          <t>IP-344</t>
        </is>
      </c>
      <c r="B74" t="inlineStr">
        <is>
          <t>35</t>
        </is>
      </c>
      <c r="C74" t="inlineStr">
        <is>
          <t>Comercio, industria y turismo</t>
        </is>
      </c>
      <c r="D74" t="inlineStr">
        <is>
          <t>3502</t>
        </is>
      </c>
      <c r="E74" t="inlineStr">
        <is>
          <t>Productividad y competitividad de las empresas colombianas</t>
        </is>
      </c>
      <c r="F74" t="inlineStr">
        <is>
          <t>3502039</t>
        </is>
      </c>
      <c r="G74" t="inlineStr">
        <is>
          <t>Servicio de asistencia técnica a los entes territoriales para el desarrollo turístico</t>
        </is>
      </c>
      <c r="H74" t="inlineStr">
        <is>
          <t>350203907</t>
        </is>
      </c>
      <c r="I74" t="inlineStr">
        <is>
          <t xml:space="preserve"> Diseños realizados </t>
        </is>
      </c>
      <c r="J74" t="inlineStr">
        <is>
          <t>2024251750012</t>
        </is>
      </c>
      <c r="K74" t="inlineStr">
        <is>
          <t>Si</t>
        </is>
      </c>
      <c r="L74" t="inlineStr">
        <is>
          <t>Número</t>
        </is>
      </c>
      <c r="M74">
        <v>5</v>
      </c>
      <c r="N74">
        <v>1</v>
      </c>
      <c r="O74">
        <v>2</v>
      </c>
      <c r="P74">
        <v>1</v>
      </c>
      <c r="Q74">
        <v>1</v>
      </c>
      <c r="R74">
        <v>1</v>
      </c>
      <c r="S74" s="103">
        <v>1</v>
      </c>
      <c r="T74" t="inlineStr">
        <is>
          <t>Se ejecutó el 100% de lo programado en la vigencia</t>
        </is>
      </c>
      <c r="U74">
        <v>0.287</v>
      </c>
      <c r="V74" s="104">
        <v>0.1435</v>
      </c>
      <c r="W74" t="inlineStr">
        <is>
          <t>Lo ejecutado está por debajo de lo programado en la vigencia</t>
        </is>
      </c>
    </row>
    <row r="75">
      <c r="A75" t="inlineStr">
        <is>
          <t>IP-345</t>
        </is>
      </c>
      <c r="B75" t="inlineStr">
        <is>
          <t>35</t>
        </is>
      </c>
      <c r="C75" t="inlineStr">
        <is>
          <t>Comercio, industria y turismo</t>
        </is>
      </c>
      <c r="D75" t="inlineStr">
        <is>
          <t>3502</t>
        </is>
      </c>
      <c r="E75" t="inlineStr">
        <is>
          <t>Productividad y competitividad de las empresas colombianas</t>
        </is>
      </c>
      <c r="F75" t="inlineStr">
        <is>
          <t>3502112</t>
        </is>
      </c>
      <c r="G75" t="inlineStr">
        <is>
          <t>Documentos de investigación</t>
        </is>
      </c>
      <c r="H75" t="inlineStr">
        <is>
          <t>350211200</t>
        </is>
      </c>
      <c r="I75" t="inlineStr">
        <is>
          <t>Documentos de investigación elaborados</t>
        </is>
      </c>
      <c r="J75" t="inlineStr">
        <is>
          <t>2024251750012</t>
        </is>
      </c>
      <c r="K75" t="inlineStr">
        <is>
          <t>Si</t>
        </is>
      </c>
      <c r="L75" t="inlineStr">
        <is>
          <t>Número</t>
        </is>
      </c>
      <c r="M75">
        <v>2</v>
      </c>
      <c r="N75">
        <v>0.5</v>
      </c>
      <c r="O75">
        <v>1</v>
      </c>
      <c r="P75">
        <v>0.25</v>
      </c>
      <c r="Q75">
        <v>0.25</v>
      </c>
      <c r="R75">
        <v>0.5</v>
      </c>
      <c r="S75" s="103">
        <v>1</v>
      </c>
      <c r="T75" t="inlineStr">
        <is>
          <t>Se ejecutó el 100% de lo programado en la vigencia</t>
        </is>
      </c>
      <c r="U75">
        <v>0.084</v>
      </c>
      <c r="V75" s="104">
        <v>0.084</v>
      </c>
      <c r="W75" t="inlineStr">
        <is>
          <t>Lo ejecutado está por debajo de lo programado en la vigencia</t>
        </is>
      </c>
    </row>
    <row r="76">
      <c r="A76" t="inlineStr">
        <is>
          <t>IP-346</t>
        </is>
      </c>
      <c r="B76" t="inlineStr">
        <is>
          <t>35</t>
        </is>
      </c>
      <c r="C76" t="inlineStr">
        <is>
          <t>Comercio, industria y turismo</t>
        </is>
      </c>
      <c r="D76" t="inlineStr">
        <is>
          <t>3502</t>
        </is>
      </c>
      <c r="E76" t="inlineStr">
        <is>
          <t>Productividad y competitividad de las empresas colombianas</t>
        </is>
      </c>
      <c r="F76" t="inlineStr">
        <is>
          <t>3502086</t>
        </is>
      </c>
      <c r="G76" t="inlineStr">
        <is>
          <t>Mirador turístico mantenido</t>
        </is>
      </c>
      <c r="H76" t="inlineStr">
        <is>
          <t>350208600</t>
        </is>
      </c>
      <c r="I76" t="inlineStr">
        <is>
          <t>Mirador turístico mantenido</t>
        </is>
      </c>
      <c r="J76" t="inlineStr">
        <is>
          <t>2024251750011</t>
        </is>
      </c>
      <c r="K76" t="inlineStr">
        <is>
          <t>No</t>
        </is>
      </c>
      <c r="L76" t="inlineStr">
        <is>
          <t>Número</t>
        </is>
      </c>
      <c r="M76">
        <v>1</v>
      </c>
      <c r="N76">
        <v>0</v>
      </c>
      <c r="O76">
        <v>0.5</v>
      </c>
      <c r="P76">
        <v>1</v>
      </c>
      <c r="Q76">
        <v>0</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IP-347</t>
        </is>
      </c>
      <c r="B77" t="inlineStr">
        <is>
          <t>35</t>
        </is>
      </c>
      <c r="C77" t="inlineStr">
        <is>
          <t>Comercio, industria y turismo</t>
        </is>
      </c>
      <c r="D77" t="inlineStr">
        <is>
          <t>3502</t>
        </is>
      </c>
      <c r="E77" t="inlineStr">
        <is>
          <t>Productividad y competitividad de las empresas colombianas</t>
        </is>
      </c>
      <c r="F77" t="inlineStr">
        <is>
          <t>3502055</t>
        </is>
      </c>
      <c r="G77" t="inlineStr">
        <is>
          <t>Centro turístico mantenido</t>
        </is>
      </c>
      <c r="H77" t="inlineStr">
        <is>
          <t>350205500</t>
        </is>
      </c>
      <c r="I77" t="inlineStr">
        <is>
          <t>Centro turístico mantenido</t>
        </is>
      </c>
      <c r="J77" t="inlineStr">
        <is>
          <t>2024251750011</t>
        </is>
      </c>
      <c r="K77" t="inlineStr">
        <is>
          <t>Si</t>
        </is>
      </c>
      <c r="L77" t="inlineStr">
        <is>
          <t>Número</t>
        </is>
      </c>
      <c r="M77">
        <v>4</v>
      </c>
      <c r="N77">
        <v>1</v>
      </c>
      <c r="O77">
        <v>1</v>
      </c>
      <c r="P77">
        <v>1</v>
      </c>
      <c r="Q77">
        <v>1</v>
      </c>
      <c r="R77">
        <v>1</v>
      </c>
      <c r="S77" s="103">
        <v>1</v>
      </c>
      <c r="T77" t="inlineStr">
        <is>
          <t>Se ejecutó el 100% de lo programado en la vigencia</t>
        </is>
      </c>
      <c r="U77">
        <v>0</v>
      </c>
      <c r="V77" s="104">
        <v>0</v>
      </c>
      <c r="W77" t="inlineStr">
        <is>
          <t>No se ejecutó en la vigencia</t>
        </is>
      </c>
    </row>
    <row r="78">
      <c r="A78" t="inlineStr">
        <is>
          <t>IP-348</t>
        </is>
      </c>
      <c r="B78" t="inlineStr">
        <is>
          <t>35</t>
        </is>
      </c>
      <c r="C78" t="inlineStr">
        <is>
          <t>Comercio, industria y turismo</t>
        </is>
      </c>
      <c r="D78" t="inlineStr">
        <is>
          <t>3502</t>
        </is>
      </c>
      <c r="E78" t="inlineStr">
        <is>
          <t>Productividad y competitividad de las empresas colombianas</t>
        </is>
      </c>
      <c r="F78" t="inlineStr">
        <is>
          <t>3502059</t>
        </is>
      </c>
      <c r="G78" t="inlineStr">
        <is>
          <t>Señalización turística construida</t>
        </is>
      </c>
      <c r="H78" t="inlineStr">
        <is>
          <t>350205900</t>
        </is>
      </c>
      <c r="I78" t="inlineStr">
        <is>
          <t>Señalización realizada</t>
        </is>
      </c>
      <c r="J78" t="inlineStr">
        <is>
          <t>2024251750011</t>
        </is>
      </c>
      <c r="K78" t="inlineStr">
        <is>
          <t>Si</t>
        </is>
      </c>
      <c r="L78" t="inlineStr">
        <is>
          <t>Número</t>
        </is>
      </c>
      <c r="M78">
        <v>10</v>
      </c>
      <c r="N78">
        <v>0</v>
      </c>
      <c r="O78">
        <v>0</v>
      </c>
      <c r="P78">
        <v>10</v>
      </c>
      <c r="Q78">
        <v>0</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IP-349</t>
        </is>
      </c>
      <c r="B79" t="inlineStr">
        <is>
          <t>35</t>
        </is>
      </c>
      <c r="C79" t="inlineStr">
        <is>
          <t>Comercio, industria y turismo</t>
        </is>
      </c>
      <c r="D79" t="inlineStr">
        <is>
          <t>3502</t>
        </is>
      </c>
      <c r="E79" t="inlineStr">
        <is>
          <t>Productividad y competitividad de las empresas colombianas</t>
        </is>
      </c>
      <c r="F79" t="inlineStr">
        <is>
          <t>3502110</t>
        </is>
      </c>
      <c r="G79" t="inlineStr">
        <is>
          <t>Estudios de preinversión</t>
        </is>
      </c>
      <c r="H79" t="inlineStr">
        <is>
          <t>350211000</t>
        </is>
      </c>
      <c r="I79" t="inlineStr">
        <is>
          <t>Estudios de preinversión realizados</t>
        </is>
      </c>
      <c r="J79" t="inlineStr">
        <is>
          <t>2024251750076</t>
        </is>
      </c>
      <c r="K79" t="inlineStr">
        <is>
          <t>No</t>
        </is>
      </c>
      <c r="L79" t="inlineStr">
        <is>
          <t>Número</t>
        </is>
      </c>
      <c r="M79">
        <v>1</v>
      </c>
      <c r="N79">
        <v>0</v>
      </c>
      <c r="O79">
        <v>0</v>
      </c>
      <c r="P79">
        <v>1</v>
      </c>
      <c r="Q79">
        <v>0</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IP-350</t>
        </is>
      </c>
      <c r="B80" t="inlineStr">
        <is>
          <t>35</t>
        </is>
      </c>
      <c r="C80" t="inlineStr">
        <is>
          <t>Comercio, industria y turismo</t>
        </is>
      </c>
      <c r="D80" t="inlineStr">
        <is>
          <t>3502</t>
        </is>
      </c>
      <c r="E80" t="inlineStr">
        <is>
          <t>Productividad y competitividad de las empresas colombianas</t>
        </is>
      </c>
      <c r="F80" t="inlineStr">
        <is>
          <t>3502056</t>
        </is>
      </c>
      <c r="G80" t="inlineStr">
        <is>
          <t>Sendero turístico construido</t>
        </is>
      </c>
      <c r="H80" t="inlineStr">
        <is>
          <t>350205600</t>
        </is>
      </c>
      <c r="I80" t="inlineStr">
        <is>
          <t>Senderos construidos</t>
        </is>
      </c>
      <c r="J80" t="inlineStr">
        <is>
          <t/>
        </is>
      </c>
      <c r="K80" t="inlineStr">
        <is>
          <t>Si</t>
        </is>
      </c>
      <c r="L80" t="inlineStr">
        <is>
          <t>Número</t>
        </is>
      </c>
      <c r="M80">
        <v>2</v>
      </c>
      <c r="N80">
        <v>0</v>
      </c>
      <c r="O80">
        <v>0</v>
      </c>
      <c r="P80">
        <v>0</v>
      </c>
      <c r="Q80">
        <v>2</v>
      </c>
      <c r="R80" t="inlineStr">
        <is>
          <t xml:space="preserve"> </t>
        </is>
      </c>
      <c r="S80" s="103" t="inlineStr">
        <is>
          <t xml:space="preserve"> </t>
        </is>
      </c>
      <c r="T80" t="inlineStr">
        <is>
          <t>Por falta de código BPIN, no se encontró ejecución en PIIP</t>
        </is>
      </c>
      <c r="U80" t="inlineStr">
        <is>
          <t xml:space="preserve"> </t>
        </is>
      </c>
      <c r="V80" s="104" t="inlineStr">
        <is>
          <t xml:space="preserve"> </t>
        </is>
      </c>
      <c r="W80" t="inlineStr">
        <is>
          <t>Por falta de código BPIN, no se encontró ejecución en PIIP</t>
        </is>
      </c>
    </row>
    <row r="81">
      <c r="A81" t="inlineStr">
        <is>
          <t>IP-351</t>
        </is>
      </c>
      <c r="B81" t="inlineStr">
        <is>
          <t>24</t>
        </is>
      </c>
      <c r="C81" t="inlineStr">
        <is>
          <t>Transporte</t>
        </is>
      </c>
      <c r="D81" t="inlineStr">
        <is>
          <t>2408</t>
        </is>
      </c>
      <c r="E81" t="inlineStr">
        <is>
          <t>Prestación de servicios de transporte público de pasajeros</t>
        </is>
      </c>
      <c r="F81" t="inlineStr">
        <is>
          <t>2408003</t>
        </is>
      </c>
      <c r="G81" t="inlineStr">
        <is>
          <t>Estaciones construidas</t>
        </is>
      </c>
      <c r="H81" t="inlineStr">
        <is>
          <t>240800301</t>
        </is>
      </c>
      <c r="I81" t="inlineStr">
        <is>
          <t>Paraderos y zonas de espera construidos</t>
        </is>
      </c>
      <c r="J81" t="inlineStr">
        <is>
          <t>2024251750071</t>
        </is>
      </c>
      <c r="K81" t="inlineStr">
        <is>
          <t>Si</t>
        </is>
      </c>
      <c r="L81" t="inlineStr">
        <is>
          <t>Número</t>
        </is>
      </c>
      <c r="M81">
        <v>20</v>
      </c>
      <c r="N81">
        <v>0</v>
      </c>
      <c r="O81">
        <v>9</v>
      </c>
      <c r="P81">
        <v>6</v>
      </c>
      <c r="Q81">
        <v>5</v>
      </c>
      <c r="R81">
        <v>0</v>
      </c>
      <c r="S81" s="103" t="inlineStr">
        <is>
          <t xml:space="preserve"> </t>
        </is>
      </c>
      <c r="T81" t="inlineStr">
        <is>
          <t>No se programó ni ejecutó en la vigencia</t>
        </is>
      </c>
      <c r="U81" t="inlineStr">
        <is>
          <t xml:space="preserve"> </t>
        </is>
      </c>
      <c r="V81" s="104" t="inlineStr">
        <is>
          <t xml:space="preserve"> </t>
        </is>
      </c>
      <c r="W81" t="inlineStr">
        <is>
          <t>No se encontró ejecución en PIIP</t>
        </is>
      </c>
    </row>
    <row r="82">
      <c r="A82" t="inlineStr">
        <is>
          <t>IP-352</t>
        </is>
      </c>
      <c r="B82" t="inlineStr">
        <is>
          <t>24</t>
        </is>
      </c>
      <c r="C82" t="inlineStr">
        <is>
          <t>Transporte</t>
        </is>
      </c>
      <c r="D82" t="inlineStr">
        <is>
          <t>2409</t>
        </is>
      </c>
      <c r="E82" t="inlineStr">
        <is>
          <t>Seguridad de transporte</t>
        </is>
      </c>
      <c r="F82" t="inlineStr">
        <is>
          <t>2409014</t>
        </is>
      </c>
      <c r="G82" t="inlineStr">
        <is>
          <t>Documentos de planeación</t>
        </is>
      </c>
      <c r="H82" t="inlineStr">
        <is>
          <t>240901400</t>
        </is>
      </c>
      <c r="I82" t="inlineStr">
        <is>
          <t>Documentos de planeación realizados</t>
        </is>
      </c>
      <c r="J82" t="inlineStr">
        <is>
          <t>2024251750027</t>
        </is>
      </c>
      <c r="K82" t="inlineStr">
        <is>
          <t>Si</t>
        </is>
      </c>
      <c r="L82" t="inlineStr">
        <is>
          <t>Número</t>
        </is>
      </c>
      <c r="M82">
        <v>1</v>
      </c>
      <c r="N82">
        <v>0</v>
      </c>
      <c r="O82">
        <v>0.6</v>
      </c>
      <c r="P82">
        <v>0.4</v>
      </c>
      <c r="Q82">
        <v>0</v>
      </c>
      <c r="R82">
        <v>0</v>
      </c>
      <c r="S82" s="103" t="inlineStr">
        <is>
          <t xml:space="preserve"> </t>
        </is>
      </c>
      <c r="T82" t="inlineStr">
        <is>
          <t>No se programó ni ejecutó en la vigencia</t>
        </is>
      </c>
      <c r="U82" t="inlineStr">
        <is>
          <t xml:space="preserve"> </t>
        </is>
      </c>
      <c r="V82" s="104" t="inlineStr">
        <is>
          <t xml:space="preserve"> </t>
        </is>
      </c>
      <c r="W82" t="inlineStr">
        <is>
          <t>No se encontró ejecución en PIIP</t>
        </is>
      </c>
    </row>
    <row r="83">
      <c r="A83" t="inlineStr">
        <is>
          <t>IP-353, IP-354, IP-360</t>
        </is>
      </c>
      <c r="B83" t="inlineStr">
        <is>
          <t>24</t>
        </is>
      </c>
      <c r="C83" t="inlineStr">
        <is>
          <t>Transporte</t>
        </is>
      </c>
      <c r="D83" t="inlineStr">
        <is>
          <t>2409</t>
        </is>
      </c>
      <c r="E83" t="inlineStr">
        <is>
          <t>Seguridad de transporte</t>
        </is>
      </c>
      <c r="F83" t="inlineStr">
        <is>
          <t>2409016</t>
        </is>
      </c>
      <c r="G83" t="inlineStr">
        <is>
          <t>Estudios de preinversión</t>
        </is>
      </c>
      <c r="H83" t="inlineStr">
        <is>
          <t>240901600</t>
        </is>
      </c>
      <c r="I83" t="inlineStr">
        <is>
          <t>Estudios de preinversión realizados</t>
        </is>
      </c>
      <c r="J83" t="inlineStr">
        <is>
          <t>2024251750027</t>
        </is>
      </c>
      <c r="K83" t="inlineStr">
        <is>
          <t>Si</t>
        </is>
      </c>
      <c r="L83" t="inlineStr">
        <is>
          <t>Número</t>
        </is>
      </c>
      <c r="M83">
        <v>3</v>
      </c>
      <c r="N83">
        <v>0</v>
      </c>
      <c r="O83">
        <v>1</v>
      </c>
      <c r="P83">
        <v>1</v>
      </c>
      <c r="Q83">
        <v>1</v>
      </c>
      <c r="R83">
        <v>0</v>
      </c>
      <c r="S83" s="103" t="inlineStr">
        <is>
          <t xml:space="preserve"> </t>
        </is>
      </c>
      <c r="T83" t="inlineStr">
        <is>
          <t>No se programó ni ejecutó en la vigencia</t>
        </is>
      </c>
      <c r="U83" t="inlineStr">
        <is>
          <t xml:space="preserve"> </t>
        </is>
      </c>
      <c r="V83" s="104" t="inlineStr">
        <is>
          <t xml:space="preserve"> </t>
        </is>
      </c>
      <c r="W83" t="inlineStr">
        <is>
          <t>No se encontró ejecución en PIIP</t>
        </is>
      </c>
    </row>
    <row r="84">
      <c r="A84" t="inlineStr">
        <is>
          <t>IP-355, IP-358</t>
        </is>
      </c>
      <c r="B84" t="inlineStr">
        <is>
          <t>24</t>
        </is>
      </c>
      <c r="C84" t="inlineStr">
        <is>
          <t>Transporte</t>
        </is>
      </c>
      <c r="D84" t="inlineStr">
        <is>
          <t>2409</t>
        </is>
      </c>
      <c r="E84" t="inlineStr">
        <is>
          <t>Seguridad de transporte</t>
        </is>
      </c>
      <c r="F84" t="inlineStr">
        <is>
          <t>2409009</t>
        </is>
      </c>
      <c r="G84" t="inlineStr">
        <is>
          <t>Servicio de promoción y difusión para la seguridad de transporte</t>
        </is>
      </c>
      <c r="H84" t="inlineStr">
        <is>
          <t>240900900</t>
        </is>
      </c>
      <c r="I84" t="inlineStr">
        <is>
          <t>Estrategias implementadas</t>
        </is>
      </c>
      <c r="J84" t="inlineStr">
        <is>
          <t>2024251750027</t>
        </is>
      </c>
      <c r="K84" t="inlineStr">
        <is>
          <t>No</t>
        </is>
      </c>
      <c r="L84" t="inlineStr">
        <is>
          <t>Número</t>
        </is>
      </c>
      <c r="M84">
        <v>12</v>
      </c>
      <c r="N84">
        <v>12</v>
      </c>
      <c r="O84">
        <v>12</v>
      </c>
      <c r="P84">
        <v>12</v>
      </c>
      <c r="Q84">
        <v>12</v>
      </c>
      <c r="R84">
        <v>12</v>
      </c>
      <c r="S84" s="103">
        <v>1</v>
      </c>
      <c r="T84" t="inlineStr">
        <is>
          <t>Se ejecutó el 100% de lo programado en la vigencia</t>
        </is>
      </c>
      <c r="U84">
        <v>0</v>
      </c>
      <c r="V84" s="104">
        <v>0</v>
      </c>
      <c r="W84" t="inlineStr">
        <is>
          <t>No se ejecutó en la vigencia</t>
        </is>
      </c>
    </row>
    <row r="85">
      <c r="A85" t="inlineStr">
        <is>
          <t>IP-356</t>
        </is>
      </c>
      <c r="B85" t="inlineStr">
        <is>
          <t>24</t>
        </is>
      </c>
      <c r="C85" t="inlineStr">
        <is>
          <t>Transporte</t>
        </is>
      </c>
      <c r="D85" t="inlineStr">
        <is>
          <t>2409</t>
        </is>
      </c>
      <c r="E85" t="inlineStr">
        <is>
          <t>Seguridad de transporte</t>
        </is>
      </c>
      <c r="F85" t="inlineStr">
        <is>
          <t>2409039</t>
        </is>
      </c>
      <c r="G85" t="inlineStr">
        <is>
          <t>Vías con dispositivos de control y señalización</t>
        </is>
      </c>
      <c r="H85" t="inlineStr">
        <is>
          <t>240903900</t>
        </is>
      </c>
      <c r="I85" t="inlineStr">
        <is>
          <t>Vías con dispositivos de control y señalización instalados</t>
        </is>
      </c>
      <c r="J85" t="inlineStr">
        <is>
          <t>2024251750027</t>
        </is>
      </c>
      <c r="K85" t="inlineStr">
        <is>
          <t>Si</t>
        </is>
      </c>
      <c r="L85" t="inlineStr">
        <is>
          <t>Kilómetros</t>
        </is>
      </c>
      <c r="M85">
        <v>260</v>
      </c>
      <c r="N85">
        <v>0</v>
      </c>
      <c r="O85">
        <v>120</v>
      </c>
      <c r="P85">
        <v>80</v>
      </c>
      <c r="Q85">
        <v>60</v>
      </c>
      <c r="R85">
        <v>0</v>
      </c>
      <c r="S85" s="103" t="inlineStr">
        <is>
          <t xml:space="preserve"> </t>
        </is>
      </c>
      <c r="T85" t="inlineStr">
        <is>
          <t>No se programó ni ejecutó en la vigencia</t>
        </is>
      </c>
      <c r="U85" t="inlineStr">
        <is>
          <t xml:space="preserve"> </t>
        </is>
      </c>
      <c r="V85" s="104" t="inlineStr">
        <is>
          <t xml:space="preserve"> </t>
        </is>
      </c>
      <c r="W85" t="inlineStr">
        <is>
          <t>No se encontró ejecución en PIIP</t>
        </is>
      </c>
    </row>
    <row r="86">
      <c r="A86" t="inlineStr">
        <is>
          <t>IP-357</t>
        </is>
      </c>
      <c r="B86" t="inlineStr">
        <is>
          <t>24</t>
        </is>
      </c>
      <c r="C86" t="inlineStr">
        <is>
          <t>Transporte</t>
        </is>
      </c>
      <c r="D86" t="inlineStr">
        <is>
          <t>2409</t>
        </is>
      </c>
      <c r="E86" t="inlineStr">
        <is>
          <t>Seguridad de transporte</t>
        </is>
      </c>
      <c r="F86" t="inlineStr">
        <is>
          <t>2409064</t>
        </is>
      </c>
      <c r="G86" t="inlineStr">
        <is>
          <t>Documentos de estudios técnicos</t>
        </is>
      </c>
      <c r="H86" t="inlineStr">
        <is>
          <t>240906400</t>
        </is>
      </c>
      <c r="I86" t="inlineStr">
        <is>
          <t>Documentos de estudios técnicos realizados</t>
        </is>
      </c>
      <c r="J86" t="inlineStr">
        <is>
          <t>2024251750027</t>
        </is>
      </c>
      <c r="K86" t="inlineStr">
        <is>
          <t>Si</t>
        </is>
      </c>
      <c r="L86" t="inlineStr">
        <is>
          <t>Número</t>
        </is>
      </c>
      <c r="M86">
        <v>2</v>
      </c>
      <c r="N86">
        <v>0</v>
      </c>
      <c r="O86">
        <v>1</v>
      </c>
      <c r="P86">
        <v>1</v>
      </c>
      <c r="Q86">
        <v>0</v>
      </c>
      <c r="R86">
        <v>0</v>
      </c>
      <c r="S86" s="103" t="inlineStr">
        <is>
          <t xml:space="preserve"> </t>
        </is>
      </c>
      <c r="T86" t="inlineStr">
        <is>
          <t>No se programó ni ejecutó en la vigencia</t>
        </is>
      </c>
      <c r="U86" t="inlineStr">
        <is>
          <t xml:space="preserve"> </t>
        </is>
      </c>
      <c r="V86" s="104" t="inlineStr">
        <is>
          <t xml:space="preserve"> </t>
        </is>
      </c>
      <c r="W86" t="inlineStr">
        <is>
          <t>No se encontró ejecución en PIIP</t>
        </is>
      </c>
    </row>
    <row r="87">
      <c r="A87" t="inlineStr">
        <is>
          <t>IP-359</t>
        </is>
      </c>
      <c r="B87" t="inlineStr">
        <is>
          <t>24</t>
        </is>
      </c>
      <c r="C87" t="inlineStr">
        <is>
          <t>Transporte</t>
        </is>
      </c>
      <c r="D87" t="inlineStr">
        <is>
          <t>2409</t>
        </is>
      </c>
      <c r="E87" t="inlineStr">
        <is>
          <t>Seguridad de transporte</t>
        </is>
      </c>
      <c r="F87" t="inlineStr">
        <is>
          <t>2409004</t>
        </is>
      </c>
      <c r="G87" t="inlineStr">
        <is>
          <t>Seguimiento y control a la operación de los sistemas de transporte</t>
        </is>
      </c>
      <c r="H87" t="inlineStr">
        <is>
          <t>240900400</t>
        </is>
      </c>
      <c r="I87" t="inlineStr">
        <is>
          <t>Operativos de control realizados</t>
        </is>
      </c>
      <c r="J87" t="inlineStr">
        <is>
          <t>2024251750027</t>
        </is>
      </c>
      <c r="K87" t="inlineStr">
        <is>
          <t>No</t>
        </is>
      </c>
      <c r="L87" t="inlineStr">
        <is>
          <t>Número</t>
        </is>
      </c>
      <c r="M87">
        <v>6</v>
      </c>
      <c r="N87">
        <v>6</v>
      </c>
      <c r="O87">
        <v>6</v>
      </c>
      <c r="P87">
        <v>6</v>
      </c>
      <c r="Q87">
        <v>6</v>
      </c>
      <c r="R87">
        <v>6</v>
      </c>
      <c r="S87" s="103">
        <v>1</v>
      </c>
      <c r="T87" t="inlineStr">
        <is>
          <t>Se ejecutó el 100% de lo programado en la vigencia</t>
        </is>
      </c>
      <c r="U87">
        <v>0</v>
      </c>
      <c r="V87" s="104">
        <v>0</v>
      </c>
      <c r="W87" t="inlineStr">
        <is>
          <t>No se ejecutó en la vigencia</t>
        </is>
      </c>
    </row>
    <row r="88">
      <c r="A88" t="inlineStr">
        <is>
          <t>IP-361, IP-368</t>
        </is>
      </c>
      <c r="B88" t="inlineStr">
        <is>
          <t>24</t>
        </is>
      </c>
      <c r="C88" t="inlineStr">
        <is>
          <t>Transporte</t>
        </is>
      </c>
      <c r="D88" t="inlineStr">
        <is>
          <t>2402</t>
        </is>
      </c>
      <c r="E88" t="inlineStr">
        <is>
          <t>Infraestructura red vial regional</t>
        </is>
      </c>
      <c r="F88" t="inlineStr">
        <is>
          <t>2402118</t>
        </is>
      </c>
      <c r="G88" t="inlineStr">
        <is>
          <t>Estudios de preinversión para la red vial regional</t>
        </is>
      </c>
      <c r="H88" t="inlineStr">
        <is>
          <t>240211819</t>
        </is>
      </c>
      <c r="I88" t="inlineStr">
        <is>
          <t>Estudios y diseños para la red vial regional realizados</t>
        </is>
      </c>
      <c r="J88" t="inlineStr">
        <is>
          <t>2024251750047</t>
        </is>
      </c>
      <c r="K88" t="inlineStr">
        <is>
          <t>Si</t>
        </is>
      </c>
      <c r="L88" t="inlineStr">
        <is>
          <t>Número</t>
        </is>
      </c>
      <c r="M88">
        <v>8</v>
      </c>
      <c r="N88">
        <v>4</v>
      </c>
      <c r="O88">
        <v>4</v>
      </c>
      <c r="P88">
        <v>0</v>
      </c>
      <c r="Q88">
        <v>0</v>
      </c>
      <c r="R88">
        <v>4</v>
      </c>
      <c r="S88" s="103">
        <v>1</v>
      </c>
      <c r="T88" t="inlineStr">
        <is>
          <t>Se ejecutó el 100% de lo programado en la vigencia</t>
        </is>
      </c>
      <c r="U88">
        <v>0</v>
      </c>
      <c r="V88" s="104">
        <v>0</v>
      </c>
      <c r="W88" t="inlineStr">
        <is>
          <t>No se ejecutó en la vigencia</t>
        </is>
      </c>
    </row>
    <row r="89">
      <c r="A89" t="inlineStr">
        <is>
          <t>IP-362</t>
        </is>
      </c>
      <c r="B89" t="inlineStr">
        <is>
          <t>24</t>
        </is>
      </c>
      <c r="C89" t="inlineStr">
        <is>
          <t>Transporte</t>
        </is>
      </c>
      <c r="D89" t="inlineStr">
        <is>
          <t>2402</t>
        </is>
      </c>
      <c r="E89" t="inlineStr">
        <is>
          <t>Infraestructura red vial regional</t>
        </is>
      </c>
      <c r="F89" t="inlineStr">
        <is>
          <t>2402118</t>
        </is>
      </c>
      <c r="G89" t="inlineStr">
        <is>
          <t>Estudios de preinversión para la red vial regional</t>
        </is>
      </c>
      <c r="H89" t="inlineStr">
        <is>
          <t>240211800</t>
        </is>
      </c>
      <c r="I89" t="inlineStr">
        <is>
          <t>Estudios de preinversión realizados</t>
        </is>
      </c>
      <c r="J89" t="inlineStr">
        <is>
          <t>2024251750047</t>
        </is>
      </c>
      <c r="K89" t="inlineStr">
        <is>
          <t>Si</t>
        </is>
      </c>
      <c r="L89" t="inlineStr">
        <is>
          <t>Número</t>
        </is>
      </c>
      <c r="M89">
        <v>15</v>
      </c>
      <c r="N89">
        <v>7</v>
      </c>
      <c r="O89">
        <v>8</v>
      </c>
      <c r="P89">
        <v>0</v>
      </c>
      <c r="Q89">
        <v>0</v>
      </c>
      <c r="R89">
        <v>7</v>
      </c>
      <c r="S89" s="103">
        <v>1</v>
      </c>
      <c r="T89" t="inlineStr">
        <is>
          <t>Se ejecutó el 100% de lo programado en la vigencia</t>
        </is>
      </c>
      <c r="U89">
        <v>0</v>
      </c>
      <c r="V89" s="104">
        <v>0</v>
      </c>
      <c r="W89" t="inlineStr">
        <is>
          <t>No se ejecutó en la vigencia</t>
        </is>
      </c>
    </row>
    <row r="90">
      <c r="A90" t="inlineStr">
        <is>
          <t>IP-363</t>
        </is>
      </c>
      <c r="B90" t="inlineStr">
        <is>
          <t>24</t>
        </is>
      </c>
      <c r="C90" t="inlineStr">
        <is>
          <t>Transporte</t>
        </is>
      </c>
      <c r="D90" t="inlineStr">
        <is>
          <t>2402</t>
        </is>
      </c>
      <c r="E90" t="inlineStr">
        <is>
          <t>Infraestructura red vial regional</t>
        </is>
      </c>
      <c r="F90" t="inlineStr">
        <is>
          <t>2402113</t>
        </is>
      </c>
      <c r="G90" t="inlineStr">
        <is>
          <t>Vía urbana construida</t>
        </is>
      </c>
      <c r="H90" t="inlineStr">
        <is>
          <t>240211303</t>
        </is>
      </c>
      <c r="I90" t="inlineStr">
        <is>
          <t>Vía urbana nueva con obras complementarias de seguridad vial</t>
        </is>
      </c>
      <c r="J90" t="inlineStr">
        <is>
          <t>2024251750047</t>
        </is>
      </c>
      <c r="K90" t="inlineStr">
        <is>
          <t>Si</t>
        </is>
      </c>
      <c r="L90" t="inlineStr">
        <is>
          <t>Kilómetros</t>
        </is>
      </c>
      <c r="M90">
        <v>2</v>
      </c>
      <c r="N90">
        <v>0</v>
      </c>
      <c r="O90">
        <v>0</v>
      </c>
      <c r="P90">
        <v>0.8</v>
      </c>
      <c r="Q90">
        <v>1.2</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IP-364</t>
        </is>
      </c>
      <c r="B91" t="inlineStr">
        <is>
          <t>24</t>
        </is>
      </c>
      <c r="C91" t="inlineStr">
        <is>
          <t>Transporte</t>
        </is>
      </c>
      <c r="D91" t="inlineStr">
        <is>
          <t>2402</t>
        </is>
      </c>
      <c r="E91" t="inlineStr">
        <is>
          <t>Infraestructura red vial regional</t>
        </is>
      </c>
      <c r="F91" t="inlineStr">
        <is>
          <t>2402039</t>
        </is>
      </c>
      <c r="G91" t="inlineStr">
        <is>
          <t>Vía terciaria construida</t>
        </is>
      </c>
      <c r="H91" t="inlineStr">
        <is>
          <t>240203900</t>
        </is>
      </c>
      <c r="I91" t="inlineStr">
        <is>
          <t xml:space="preserve">Vía terciaria construida </t>
        </is>
      </c>
      <c r="J91" t="inlineStr">
        <is>
          <t>2024251750047</t>
        </is>
      </c>
      <c r="K91" t="inlineStr">
        <is>
          <t>No</t>
        </is>
      </c>
      <c r="L91" t="inlineStr">
        <is>
          <t>Kilómetros</t>
        </is>
      </c>
      <c r="M91">
        <v>3</v>
      </c>
      <c r="N91">
        <v>0</v>
      </c>
      <c r="O91">
        <v>0</v>
      </c>
      <c r="P91">
        <v>0</v>
      </c>
      <c r="Q91">
        <v>3</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IP-365</t>
        </is>
      </c>
      <c r="B92" t="inlineStr">
        <is>
          <t>24</t>
        </is>
      </c>
      <c r="C92" t="inlineStr">
        <is>
          <t>Transporte</t>
        </is>
      </c>
      <c r="D92" t="inlineStr">
        <is>
          <t>2402</t>
        </is>
      </c>
      <c r="E92" t="inlineStr">
        <is>
          <t>Infraestructura red vial regional</t>
        </is>
      </c>
      <c r="F92" t="inlineStr">
        <is>
          <t>2402115</t>
        </is>
      </c>
      <c r="G92" t="inlineStr">
        <is>
          <t>Vía urbana con mantenimiento periódico o rutinario</t>
        </is>
      </c>
      <c r="H92" t="inlineStr">
        <is>
          <t>240211502</t>
        </is>
      </c>
      <c r="I92" t="inlineStr">
        <is>
          <t>Vía urbana con mantenimiento rutinario</t>
        </is>
      </c>
      <c r="J92" t="inlineStr">
        <is>
          <t>2024251750047</t>
        </is>
      </c>
      <c r="K92" t="inlineStr">
        <is>
          <t>Si</t>
        </is>
      </c>
      <c r="L92" t="inlineStr">
        <is>
          <t>Kilómetros</t>
        </is>
      </c>
      <c r="M92">
        <v>24</v>
      </c>
      <c r="N92">
        <v>3</v>
      </c>
      <c r="O92">
        <v>10</v>
      </c>
      <c r="P92">
        <v>6</v>
      </c>
      <c r="Q92">
        <v>5</v>
      </c>
      <c r="R92">
        <v>0</v>
      </c>
      <c r="S92" s="103">
        <v>0</v>
      </c>
      <c r="T92" t="inlineStr">
        <is>
          <t>No se ejecutó en la vigencia</t>
        </is>
      </c>
      <c r="U92">
        <v>1.8</v>
      </c>
      <c r="V92" s="104">
        <v>0.18</v>
      </c>
      <c r="W92" t="inlineStr">
        <is>
          <t>Lo ejecutado está por debajo de lo programado en la vigencia</t>
        </is>
      </c>
    </row>
    <row r="93">
      <c r="A93" t="inlineStr">
        <is>
          <t>IP-366</t>
        </is>
      </c>
      <c r="B93" t="inlineStr">
        <is>
          <t>24</t>
        </is>
      </c>
      <c r="C93" t="inlineStr">
        <is>
          <t>Transporte</t>
        </is>
      </c>
      <c r="D93" t="inlineStr">
        <is>
          <t>2402</t>
        </is>
      </c>
      <c r="E93" t="inlineStr">
        <is>
          <t>Infraestructura red vial regional</t>
        </is>
      </c>
      <c r="F93" t="inlineStr">
        <is>
          <t>2402112</t>
        </is>
      </c>
      <c r="G93" t="inlineStr">
        <is>
          <t>Vía terciaria con mantenimiento periódico o rutinario</t>
        </is>
      </c>
      <c r="H93" t="inlineStr">
        <is>
          <t>240211206</t>
        </is>
      </c>
      <c r="I93" t="inlineStr">
        <is>
          <t>Vía terciaria con mantenimiento rutinario</t>
        </is>
      </c>
      <c r="J93" t="inlineStr">
        <is>
          <t>2024251750047</t>
        </is>
      </c>
      <c r="K93" t="inlineStr">
        <is>
          <t>Si</t>
        </is>
      </c>
      <c r="L93" t="inlineStr">
        <is>
          <t>Kilómetros</t>
        </is>
      </c>
      <c r="M93">
        <v>197</v>
      </c>
      <c r="N93">
        <v>39.2</v>
      </c>
      <c r="O93">
        <v>47</v>
      </c>
      <c r="P93">
        <v>65.8</v>
      </c>
      <c r="Q93">
        <v>45</v>
      </c>
      <c r="R93">
        <v>39.2</v>
      </c>
      <c r="S93" s="103">
        <v>1</v>
      </c>
      <c r="T93" t="inlineStr">
        <is>
          <t>Se ejecutó el 100% de lo programado en la vigencia</t>
        </is>
      </c>
      <c r="U93">
        <v>2.2</v>
      </c>
      <c r="V93" s="104">
        <v>0.0468085106382979</v>
      </c>
      <c r="W93" t="inlineStr">
        <is>
          <t>Lo ejecutado está por debajo de lo programado en la vigencia</t>
        </is>
      </c>
    </row>
    <row r="94">
      <c r="A94" t="inlineStr">
        <is>
          <t>IP-367</t>
        </is>
      </c>
      <c r="B94" t="inlineStr">
        <is>
          <t>24</t>
        </is>
      </c>
      <c r="C94" t="inlineStr">
        <is>
          <t>Transporte</t>
        </is>
      </c>
      <c r="D94" t="inlineStr">
        <is>
          <t>2402</t>
        </is>
      </c>
      <c r="E94" t="inlineStr">
        <is>
          <t>Infraestructura red vial regional</t>
        </is>
      </c>
      <c r="F94" t="inlineStr">
        <is>
          <t>2402133</t>
        </is>
      </c>
      <c r="G94" t="inlineStr">
        <is>
          <t>Puente peatonal de la red urbana con mantenimiento</t>
        </is>
      </c>
      <c r="H94" t="inlineStr">
        <is>
          <t>240213300</t>
        </is>
      </c>
      <c r="I94" t="inlineStr">
        <is>
          <t>Puentes peatonales de la red urbana con mantenimiento</t>
        </is>
      </c>
      <c r="J94" t="inlineStr">
        <is>
          <t>2024251750080</t>
        </is>
      </c>
      <c r="K94" t="inlineStr">
        <is>
          <t>No</t>
        </is>
      </c>
      <c r="L94" t="inlineStr">
        <is>
          <t>Número</t>
        </is>
      </c>
      <c r="M94">
        <v>1</v>
      </c>
      <c r="N94">
        <v>0</v>
      </c>
      <c r="O94">
        <v>0.01</v>
      </c>
      <c r="P94">
        <v>0.99</v>
      </c>
      <c r="Q94">
        <v>0</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IP-369</t>
        </is>
      </c>
      <c r="B95" t="inlineStr">
        <is>
          <t>24</t>
        </is>
      </c>
      <c r="C95" t="inlineStr">
        <is>
          <t>Transporte</t>
        </is>
      </c>
      <c r="D95" t="inlineStr">
        <is>
          <t>2402</t>
        </is>
      </c>
      <c r="E95" t="inlineStr">
        <is>
          <t>Infraestructura red vial regional</t>
        </is>
      </c>
      <c r="F95" t="inlineStr">
        <is>
          <t>2402053</t>
        </is>
      </c>
      <c r="G95" t="inlineStr">
        <is>
          <t>Ciclo infraestructura construida en red vial terciaria</t>
        </is>
      </c>
      <c r="H95" t="inlineStr">
        <is>
          <t>240205300</t>
        </is>
      </c>
      <c r="I95" t="inlineStr">
        <is>
          <t>Ciclo infraestructura de la red vial terciaria construida</t>
        </is>
      </c>
      <c r="J95" t="inlineStr">
        <is>
          <t>2024251750047</t>
        </is>
      </c>
      <c r="K95" t="inlineStr">
        <is>
          <t>Si</t>
        </is>
      </c>
      <c r="L95" t="inlineStr">
        <is>
          <t>Metros lineales</t>
        </is>
      </c>
      <c r="M95">
        <v>3500</v>
      </c>
      <c r="N95">
        <v>0</v>
      </c>
      <c r="O95">
        <v>0</v>
      </c>
      <c r="P95">
        <v>1296</v>
      </c>
      <c r="Q95">
        <v>2204</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IP-370</t>
        </is>
      </c>
      <c r="B96" t="inlineStr">
        <is>
          <t>24</t>
        </is>
      </c>
      <c r="C96" t="inlineStr">
        <is>
          <t>Transporte</t>
        </is>
      </c>
      <c r="D96" t="inlineStr">
        <is>
          <t>2402</t>
        </is>
      </c>
      <c r="E96" t="inlineStr">
        <is>
          <t>Infraestructura red vial regional</t>
        </is>
      </c>
      <c r="F96" t="inlineStr">
        <is>
          <t>2402094</t>
        </is>
      </c>
      <c r="G96" t="inlineStr">
        <is>
          <t>Ciclo infraestructura urbana con mantenimiento</t>
        </is>
      </c>
      <c r="H96" t="inlineStr">
        <is>
          <t>240209402</t>
        </is>
      </c>
      <c r="I96" t="inlineStr">
        <is>
          <t>Ciclo infraestructura urbana con mantenimiento</t>
        </is>
      </c>
      <c r="J96" t="inlineStr">
        <is>
          <t>2024251750047</t>
        </is>
      </c>
      <c r="K96" t="inlineStr">
        <is>
          <t>Si</t>
        </is>
      </c>
      <c r="L96" t="inlineStr">
        <is>
          <t>Kilómetros</t>
        </is>
      </c>
      <c r="M96">
        <v>17</v>
      </c>
      <c r="N96">
        <v>0</v>
      </c>
      <c r="O96">
        <v>0</v>
      </c>
      <c r="P96">
        <v>5.4</v>
      </c>
      <c r="Q96">
        <v>11.6</v>
      </c>
      <c r="R96" t="inlineStr">
        <is>
          <t xml:space="preserve"> </t>
        </is>
      </c>
      <c r="S96" s="103" t="inlineStr">
        <is>
          <t xml:space="preserve"> </t>
        </is>
      </c>
      <c r="T96" t="inlineStr">
        <is>
          <t>No se encontró ejecución en PIIP</t>
        </is>
      </c>
      <c r="U96" t="inlineStr">
        <is>
          <t xml:space="preserve"> </t>
        </is>
      </c>
      <c r="V96" s="104" t="inlineStr">
        <is>
          <t xml:space="preserve"> </t>
        </is>
      </c>
      <c r="W96" t="inlineStr">
        <is>
          <t>No se encontró ejecución en PIIP</t>
        </is>
      </c>
    </row>
    <row r="97">
      <c r="A97" t="inlineStr">
        <is>
          <t>IP-372, IP-373</t>
        </is>
      </c>
      <c r="B97" t="inlineStr">
        <is>
          <t>24</t>
        </is>
      </c>
      <c r="C97" t="inlineStr">
        <is>
          <t>Transporte</t>
        </is>
      </c>
      <c r="D97" t="inlineStr">
        <is>
          <t>2402</t>
        </is>
      </c>
      <c r="E97" t="inlineStr">
        <is>
          <t>Infraestructura red vial regional</t>
        </is>
      </c>
      <c r="F97" t="inlineStr">
        <is>
          <t>2402121</t>
        </is>
      </c>
      <c r="G97" t="inlineStr">
        <is>
          <t>Andén construido</t>
        </is>
      </c>
      <c r="H97" t="inlineStr">
        <is>
          <t>240212100</t>
        </is>
      </c>
      <c r="I97" t="inlineStr">
        <is>
          <t>Andén construido</t>
        </is>
      </c>
      <c r="J97" t="inlineStr">
        <is>
          <t>2024251750078</t>
        </is>
      </c>
      <c r="K97" t="inlineStr">
        <is>
          <t>Si</t>
        </is>
      </c>
      <c r="L97" t="inlineStr">
        <is>
          <t xml:space="preserve">Metros </t>
        </is>
      </c>
      <c r="M97">
        <v>14300</v>
      </c>
      <c r="N97">
        <v>0</v>
      </c>
      <c r="O97">
        <v>0</v>
      </c>
      <c r="P97">
        <v>5198</v>
      </c>
      <c r="Q97">
        <v>9102</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IP-374</t>
        </is>
      </c>
      <c r="B98" t="inlineStr">
        <is>
          <t>24</t>
        </is>
      </c>
      <c r="C98" t="inlineStr">
        <is>
          <t>Transporte</t>
        </is>
      </c>
      <c r="D98" t="inlineStr">
        <is>
          <t>2402</t>
        </is>
      </c>
      <c r="E98" t="inlineStr">
        <is>
          <t>Infraestructura red vial regional</t>
        </is>
      </c>
      <c r="F98" t="inlineStr">
        <is>
          <t>2402129</t>
        </is>
      </c>
      <c r="G98" t="inlineStr">
        <is>
          <t>Andén de la red urbana mantenido</t>
        </is>
      </c>
      <c r="H98" t="inlineStr">
        <is>
          <t>240212901</t>
        </is>
      </c>
      <c r="I98" t="inlineStr">
        <is>
          <t>Andenes de la red urbana mantenidos</t>
        </is>
      </c>
      <c r="J98" t="inlineStr">
        <is>
          <t>2024251750078</t>
        </is>
      </c>
      <c r="K98" t="inlineStr">
        <is>
          <t>Si</t>
        </is>
      </c>
      <c r="L98" t="inlineStr">
        <is>
          <t>Metros cuadrados</t>
        </is>
      </c>
      <c r="M98">
        <v>15500</v>
      </c>
      <c r="N98">
        <v>0</v>
      </c>
      <c r="O98">
        <v>1</v>
      </c>
      <c r="P98">
        <v>10599</v>
      </c>
      <c r="Q98">
        <v>4900</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IP-375</t>
        </is>
      </c>
      <c r="B99" t="inlineStr">
        <is>
          <t>24</t>
        </is>
      </c>
      <c r="C99" t="inlineStr">
        <is>
          <t>Transporte</t>
        </is>
      </c>
      <c r="D99" t="inlineStr">
        <is>
          <t>2402</t>
        </is>
      </c>
      <c r="E99" t="inlineStr">
        <is>
          <t>Infraestructura red vial regional</t>
        </is>
      </c>
      <c r="F99" t="inlineStr">
        <is>
          <t>2402142</t>
        </is>
      </c>
      <c r="G99" t="inlineStr">
        <is>
          <t xml:space="preserve">Andén de la red rural mantenido </t>
        </is>
      </c>
      <c r="H99" t="inlineStr">
        <is>
          <t>240214201</t>
        </is>
      </c>
      <c r="I99" t="inlineStr">
        <is>
          <t>Andenes de la red rural mantenidos</t>
        </is>
      </c>
      <c r="J99" t="inlineStr">
        <is>
          <t>2024251750078</t>
        </is>
      </c>
      <c r="K99" t="inlineStr">
        <is>
          <t>Si</t>
        </is>
      </c>
      <c r="L99" t="inlineStr">
        <is>
          <t>Metros cuadrados</t>
        </is>
      </c>
      <c r="M99">
        <v>1100</v>
      </c>
      <c r="N99">
        <v>0</v>
      </c>
      <c r="O99">
        <v>1</v>
      </c>
      <c r="P99">
        <v>1099</v>
      </c>
      <c r="Q99">
        <v>0</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IP-376</t>
        </is>
      </c>
      <c r="B100" t="inlineStr">
        <is>
          <t>24</t>
        </is>
      </c>
      <c r="C100" t="inlineStr">
        <is>
          <t>Transporte</t>
        </is>
      </c>
      <c r="D100" t="inlineStr">
        <is>
          <t>2402</t>
        </is>
      </c>
      <c r="E100" t="inlineStr">
        <is>
          <t>Infraestructura red vial regional</t>
        </is>
      </c>
      <c r="F100" t="inlineStr">
        <is>
          <t>2402141</t>
        </is>
      </c>
      <c r="G100" t="inlineStr">
        <is>
          <t>Banco de maquinaria con mantenimiento mayor, repotenciado o renovado</t>
        </is>
      </c>
      <c r="H100" t="inlineStr">
        <is>
          <t>240214100</t>
        </is>
      </c>
      <c r="I100" t="inlineStr">
        <is>
          <t>Maquinaria y equipos con mantenimiento mayor, repotenciados o modernizados</t>
        </is>
      </c>
      <c r="J100" t="inlineStr">
        <is>
          <t>2024251750047</t>
        </is>
      </c>
      <c r="K100" t="inlineStr">
        <is>
          <t>No</t>
        </is>
      </c>
      <c r="L100" t="inlineStr">
        <is>
          <t>Número</t>
        </is>
      </c>
      <c r="M100">
        <v>30</v>
      </c>
      <c r="N100">
        <v>30</v>
      </c>
      <c r="O100">
        <v>30</v>
      </c>
      <c r="P100">
        <v>30</v>
      </c>
      <c r="Q100">
        <v>30</v>
      </c>
      <c r="R100">
        <v>30</v>
      </c>
      <c r="S100" s="103">
        <v>1</v>
      </c>
      <c r="T100" t="inlineStr">
        <is>
          <t>Se ejecutó el 100% de lo programado en la vigencia</t>
        </is>
      </c>
      <c r="U100">
        <v>0.01</v>
      </c>
      <c r="V100" s="104">
        <v>0.000333333333333333</v>
      </c>
      <c r="W100" t="inlineStr">
        <is>
          <t>Lo ejecutado está por debajo de lo programado en la vigencia</t>
        </is>
      </c>
    </row>
    <row r="101">
      <c r="A101" t="inlineStr">
        <is>
          <t>IP-377, IP-378</t>
        </is>
      </c>
      <c r="B101" t="inlineStr">
        <is>
          <t>24</t>
        </is>
      </c>
      <c r="C101" t="inlineStr">
        <is>
          <t>Transporte</t>
        </is>
      </c>
      <c r="D101" t="inlineStr">
        <is>
          <t>2402</t>
        </is>
      </c>
      <c r="E101" t="inlineStr">
        <is>
          <t>Infraestructura red vial regional</t>
        </is>
      </c>
      <c r="F101" t="inlineStr">
        <is>
          <t>2402125</t>
        </is>
      </c>
      <c r="G101" t="inlineStr">
        <is>
          <t>Banco de maquinaria dotado</t>
        </is>
      </c>
      <c r="H101" t="inlineStr">
        <is>
          <t>240212500</t>
        </is>
      </c>
      <c r="I101" t="inlineStr">
        <is>
          <t>Maquinaria y equipos adquiridos</t>
        </is>
      </c>
      <c r="J101" t="inlineStr">
        <is>
          <t/>
        </is>
      </c>
      <c r="K101" t="inlineStr">
        <is>
          <t>Si</t>
        </is>
      </c>
      <c r="L101" t="inlineStr">
        <is>
          <t>Número</t>
        </is>
      </c>
      <c r="M101">
        <v>2</v>
      </c>
      <c r="N101">
        <v>0</v>
      </c>
      <c r="O101">
        <v>0</v>
      </c>
      <c r="P101">
        <v>0</v>
      </c>
      <c r="Q101">
        <v>2</v>
      </c>
      <c r="R101" t="inlineStr">
        <is>
          <t xml:space="preserve"> </t>
        </is>
      </c>
      <c r="S101" s="103" t="inlineStr">
        <is>
          <t xml:space="preserve"> </t>
        </is>
      </c>
      <c r="T101" t="inlineStr">
        <is>
          <t>Por falta de código BPIN, no se encontró ejecución en PIIP</t>
        </is>
      </c>
      <c r="U101" t="inlineStr">
        <is>
          <t xml:space="preserve"> </t>
        </is>
      </c>
      <c r="V101" s="104" t="inlineStr">
        <is>
          <t xml:space="preserve"> </t>
        </is>
      </c>
      <c r="W101" t="inlineStr">
        <is>
          <t>Por falta de código BPIN, no se encontró ejecución en PIIP</t>
        </is>
      </c>
    </row>
    <row r="102">
      <c r="A102" t="inlineStr">
        <is>
          <t>IP-379</t>
        </is>
      </c>
      <c r="B102" t="inlineStr">
        <is>
          <t>24</t>
        </is>
      </c>
      <c r="C102" t="inlineStr">
        <is>
          <t>Transporte</t>
        </is>
      </c>
      <c r="D102" t="inlineStr">
        <is>
          <t>2402</t>
        </is>
      </c>
      <c r="E102" t="inlineStr">
        <is>
          <t>Infraestructura red vial regional</t>
        </is>
      </c>
      <c r="F102" t="inlineStr">
        <is>
          <t>2402114</t>
        </is>
      </c>
      <c r="G102" t="inlineStr">
        <is>
          <t>Vía urbana mejorada</t>
        </is>
      </c>
      <c r="H102" t="inlineStr">
        <is>
          <t>240211401</t>
        </is>
      </c>
      <c r="I102" t="inlineStr">
        <is>
          <t>Nuevo carril construido en vía urbana</t>
        </is>
      </c>
      <c r="J102" t="inlineStr">
        <is>
          <t>2024251750047</t>
        </is>
      </c>
      <c r="K102" t="inlineStr">
        <is>
          <t>Si</t>
        </is>
      </c>
      <c r="L102" t="inlineStr">
        <is>
          <t>Kilómetros</t>
        </is>
      </c>
      <c r="M102">
        <v>1.9</v>
      </c>
      <c r="N102">
        <v>0</v>
      </c>
      <c r="O102">
        <v>0</v>
      </c>
      <c r="P102">
        <v>0.63</v>
      </c>
      <c r="Q102">
        <v>1.27</v>
      </c>
      <c r="R102">
        <v>0</v>
      </c>
      <c r="S102" s="103" t="inlineStr">
        <is>
          <t xml:space="preserve"> </t>
        </is>
      </c>
      <c r="T102" t="inlineStr">
        <is>
          <t>No se programó ni ejecutó en la vigencia</t>
        </is>
      </c>
      <c r="U102" t="inlineStr">
        <is>
          <t xml:space="preserve"> </t>
        </is>
      </c>
      <c r="V102" s="104" t="inlineStr">
        <is>
          <t xml:space="preserve"> </t>
        </is>
      </c>
      <c r="W102" t="inlineStr">
        <is>
          <t>No se encontró ejecución en PIIP</t>
        </is>
      </c>
    </row>
    <row r="103">
      <c r="A103" t="inlineStr">
        <is>
          <t>IP-380</t>
        </is>
      </c>
      <c r="B103" t="inlineStr">
        <is>
          <t>24</t>
        </is>
      </c>
      <c r="C103" t="inlineStr">
        <is>
          <t>Transporte</t>
        </is>
      </c>
      <c r="D103" t="inlineStr">
        <is>
          <t>2402</t>
        </is>
      </c>
      <c r="E103" t="inlineStr">
        <is>
          <t>Infraestructura red vial regional</t>
        </is>
      </c>
      <c r="F103" t="inlineStr">
        <is>
          <t>2402118</t>
        </is>
      </c>
      <c r="G103" t="inlineStr">
        <is>
          <t>Estudios de preinversión para la red vial regional</t>
        </is>
      </c>
      <c r="H103" t="inlineStr">
        <is>
          <t>240211801</t>
        </is>
      </c>
      <c r="I103" t="inlineStr">
        <is>
          <t>Estudios y diseños realizados red vial secundaria</t>
        </is>
      </c>
      <c r="J103" t="inlineStr">
        <is>
          <t>2024251750047</t>
        </is>
      </c>
      <c r="K103" t="inlineStr">
        <is>
          <t>Si</t>
        </is>
      </c>
      <c r="L103" t="inlineStr">
        <is>
          <t>Número</t>
        </is>
      </c>
      <c r="M103">
        <v>2</v>
      </c>
      <c r="N103">
        <v>1</v>
      </c>
      <c r="O103">
        <v>1</v>
      </c>
      <c r="P103">
        <v>0</v>
      </c>
      <c r="Q103">
        <v>0</v>
      </c>
      <c r="R103">
        <v>1</v>
      </c>
      <c r="S103" s="103">
        <v>1</v>
      </c>
      <c r="T103" t="inlineStr">
        <is>
          <t>Se ejecutó el 100% de lo programado en la vigencia</t>
        </is>
      </c>
      <c r="U103">
        <v>0</v>
      </c>
      <c r="V103" s="104">
        <v>0</v>
      </c>
      <c r="W103" t="inlineStr">
        <is>
          <t>No se ejecutó en la vigencia</t>
        </is>
      </c>
    </row>
    <row r="104">
      <c r="A104" t="inlineStr">
        <is>
          <t>IP-381</t>
        </is>
      </c>
      <c r="B104" t="inlineStr">
        <is>
          <t>40</t>
        </is>
      </c>
      <c r="C104" t="inlineStr">
        <is>
          <t>Vivienda, ciudad y territorio</t>
        </is>
      </c>
      <c r="D104" t="inlineStr">
        <is>
          <t>4002</t>
        </is>
      </c>
      <c r="E104" t="inlineStr">
        <is>
          <t>Ordenamiento territorial y desarrollo urbano</t>
        </is>
      </c>
      <c r="F104" t="inlineStr">
        <is>
          <t>4002034</t>
        </is>
      </c>
      <c r="G104" t="inlineStr">
        <is>
          <t>Estudios de pre inversión e inversión</t>
        </is>
      </c>
      <c r="H104" t="inlineStr">
        <is>
          <t>400203400</t>
        </is>
      </c>
      <c r="I104" t="inlineStr">
        <is>
          <t xml:space="preserve">Estudios o diseños realizados </t>
        </is>
      </c>
      <c r="J104" t="inlineStr">
        <is>
          <t>2024251750045</t>
        </is>
      </c>
      <c r="K104" t="inlineStr">
        <is>
          <t>Si</t>
        </is>
      </c>
      <c r="L104" t="inlineStr">
        <is>
          <t>Número</t>
        </is>
      </c>
      <c r="M104">
        <v>1</v>
      </c>
      <c r="N104">
        <v>0</v>
      </c>
      <c r="O104">
        <v>0</v>
      </c>
      <c r="P104">
        <v>0</v>
      </c>
      <c r="Q104">
        <v>1</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IP-382</t>
        </is>
      </c>
      <c r="B105" t="inlineStr">
        <is>
          <t>40</t>
        </is>
      </c>
      <c r="C105" t="inlineStr">
        <is>
          <t>Vivienda, ciudad y territorio</t>
        </is>
      </c>
      <c r="D105" t="inlineStr">
        <is>
          <t>4002</t>
        </is>
      </c>
      <c r="E105" t="inlineStr">
        <is>
          <t>Ordenamiento territorial y desarrollo urbano</t>
        </is>
      </c>
      <c r="F105" t="inlineStr">
        <is>
          <t>4002019</t>
        </is>
      </c>
      <c r="G105" t="inlineStr">
        <is>
          <t>Espacio publico construido</t>
        </is>
      </c>
      <c r="H105" t="inlineStr">
        <is>
          <t>400201900</t>
        </is>
      </c>
      <c r="I105" t="inlineStr">
        <is>
          <t>Espacio publico construido</t>
        </is>
      </c>
      <c r="J105" t="inlineStr">
        <is>
          <t>2020251750009</t>
        </is>
      </c>
      <c r="K105" t="inlineStr">
        <is>
          <t>Si</t>
        </is>
      </c>
      <c r="L105" t="inlineStr">
        <is>
          <t>Metros cuadrados</t>
        </is>
      </c>
      <c r="M105">
        <v>1600</v>
      </c>
      <c r="N105">
        <v>0</v>
      </c>
      <c r="O105">
        <v>1600</v>
      </c>
      <c r="P105">
        <v>0</v>
      </c>
      <c r="Q105">
        <v>0</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IP-383</t>
        </is>
      </c>
      <c r="B106" t="inlineStr">
        <is>
          <t>40</t>
        </is>
      </c>
      <c r="C106" t="inlineStr">
        <is>
          <t>Vivienda, ciudad y territorio</t>
        </is>
      </c>
      <c r="D106" t="inlineStr">
        <is>
          <t>4002</t>
        </is>
      </c>
      <c r="E106" t="inlineStr">
        <is>
          <t>Ordenamiento territorial y desarrollo urbano</t>
        </is>
      </c>
      <c r="F106" t="inlineStr">
        <is>
          <t>4002019</t>
        </is>
      </c>
      <c r="G106" t="inlineStr">
        <is>
          <t>Espacio publico construido</t>
        </is>
      </c>
      <c r="H106" t="inlineStr">
        <is>
          <t>400201900</t>
        </is>
      </c>
      <c r="I106" t="inlineStr">
        <is>
          <t>Espacio publico construido</t>
        </is>
      </c>
      <c r="J106" t="inlineStr">
        <is>
          <t/>
        </is>
      </c>
      <c r="K106" t="inlineStr">
        <is>
          <t>Si</t>
        </is>
      </c>
      <c r="L106" t="inlineStr">
        <is>
          <t>Metros cuadrados</t>
        </is>
      </c>
      <c r="M106">
        <v>1</v>
      </c>
      <c r="N106">
        <v>0</v>
      </c>
      <c r="O106">
        <v>0</v>
      </c>
      <c r="P106">
        <v>0</v>
      </c>
      <c r="Q106">
        <v>1</v>
      </c>
      <c r="R106" t="inlineStr">
        <is>
          <t xml:space="preserve"> </t>
        </is>
      </c>
      <c r="S106" s="103" t="inlineStr">
        <is>
          <t xml:space="preserve"> </t>
        </is>
      </c>
      <c r="T106" t="inlineStr">
        <is>
          <t>Por falta de código BPIN, no se encontró ejecución en PIIP</t>
        </is>
      </c>
      <c r="U106" t="inlineStr">
        <is>
          <t xml:space="preserve"> </t>
        </is>
      </c>
      <c r="V106" s="104" t="inlineStr">
        <is>
          <t xml:space="preserve"> </t>
        </is>
      </c>
      <c r="W106" t="inlineStr">
        <is>
          <t>Por falta de código BPIN, no se encontró ejecución en PIIP</t>
        </is>
      </c>
    </row>
    <row r="107">
      <c r="A107" t="inlineStr">
        <is>
          <t>IP-384</t>
        </is>
      </c>
      <c r="B107" t="inlineStr">
        <is>
          <t>43</t>
        </is>
      </c>
      <c r="C107" t="inlineStr">
        <is>
          <t>Deporte y Recreación</t>
        </is>
      </c>
      <c r="D107" t="inlineStr">
        <is>
          <t>4301</t>
        </is>
      </c>
      <c r="E107" t="inlineStr">
        <is>
          <t>Fomento a la recreación, la actividad física y el deporte para desarrollar entornos de convivencia y paz</t>
        </is>
      </c>
      <c r="F107" t="inlineStr">
        <is>
          <t>4301030</t>
        </is>
      </c>
      <c r="G107" t="inlineStr">
        <is>
          <t>Parque recreo-deportivo construido y dotado</t>
        </is>
      </c>
      <c r="H107" t="inlineStr">
        <is>
          <t>430103000</t>
        </is>
      </c>
      <c r="I107" t="inlineStr">
        <is>
          <t>Parque recreo-deportivo construido y dotado</t>
        </is>
      </c>
      <c r="J107" t="inlineStr">
        <is>
          <t>2022251750006</t>
        </is>
      </c>
      <c r="K107" t="inlineStr">
        <is>
          <t>No</t>
        </is>
      </c>
      <c r="L107" t="inlineStr">
        <is>
          <t>Número</t>
        </is>
      </c>
      <c r="M107">
        <v>1</v>
      </c>
      <c r="N107">
        <v>0</v>
      </c>
      <c r="O107">
        <v>1</v>
      </c>
      <c r="P107">
        <v>0</v>
      </c>
      <c r="Q107">
        <v>0</v>
      </c>
      <c r="R107">
        <v>0</v>
      </c>
      <c r="S107" s="103" t="inlineStr">
        <is>
          <t xml:space="preserve"> </t>
        </is>
      </c>
      <c r="T107" t="inlineStr">
        <is>
          <t>No se programó ni ejecutó en la vigencia</t>
        </is>
      </c>
      <c r="U107" t="inlineStr">
        <is>
          <t xml:space="preserve"> </t>
        </is>
      </c>
      <c r="V107" s="104" t="inlineStr">
        <is>
          <t xml:space="preserve"> </t>
        </is>
      </c>
      <c r="W107" t="inlineStr">
        <is>
          <t>No se encontró ejecución en PIIP</t>
        </is>
      </c>
    </row>
    <row r="108">
      <c r="A108" t="inlineStr">
        <is>
          <t>IP-385</t>
        </is>
      </c>
      <c r="B108" t="inlineStr">
        <is>
          <t>40</t>
        </is>
      </c>
      <c r="C108" t="inlineStr">
        <is>
          <t>Vivienda, ciudad y territorio</t>
        </is>
      </c>
      <c r="D108" t="inlineStr">
        <is>
          <t>4002</t>
        </is>
      </c>
      <c r="E108" t="inlineStr">
        <is>
          <t>Ordenamiento territorial y desarrollo urbano</t>
        </is>
      </c>
      <c r="F108" t="inlineStr">
        <is>
          <t>4002019</t>
        </is>
      </c>
      <c r="G108" t="inlineStr">
        <is>
          <t>Espacio publico construido</t>
        </is>
      </c>
      <c r="H108" t="inlineStr">
        <is>
          <t>400201900</t>
        </is>
      </c>
      <c r="I108" t="inlineStr">
        <is>
          <t>Espacio publico construido</t>
        </is>
      </c>
      <c r="J108" t="inlineStr">
        <is>
          <t>2022251750007</t>
        </is>
      </c>
      <c r="K108" t="inlineStr">
        <is>
          <t>No</t>
        </is>
      </c>
      <c r="L108" t="inlineStr">
        <is>
          <t>Metros cuadrados</t>
        </is>
      </c>
      <c r="M108">
        <v>5190</v>
      </c>
      <c r="N108">
        <v>0</v>
      </c>
      <c r="O108">
        <v>5190</v>
      </c>
      <c r="P108">
        <v>0</v>
      </c>
      <c r="Q108">
        <v>0</v>
      </c>
      <c r="R108">
        <v>0</v>
      </c>
      <c r="S108" s="103" t="inlineStr">
        <is>
          <t xml:space="preserve"> </t>
        </is>
      </c>
      <c r="T108" t="inlineStr">
        <is>
          <t>No se programó ni ejecutó en la vigencia</t>
        </is>
      </c>
      <c r="U108" t="inlineStr">
        <is>
          <t xml:space="preserve"> </t>
        </is>
      </c>
      <c r="V108" s="104" t="inlineStr">
        <is>
          <t xml:space="preserve"> </t>
        </is>
      </c>
      <c r="W108" t="inlineStr">
        <is>
          <t>No se encontró ejecución en PIIP</t>
        </is>
      </c>
    </row>
    <row r="109">
      <c r="A109" t="inlineStr">
        <is>
          <t>IP-386</t>
        </is>
      </c>
      <c r="B109" t="inlineStr">
        <is>
          <t>40</t>
        </is>
      </c>
      <c r="C109" t="inlineStr">
        <is>
          <t>Vivienda, ciudad y territorio</t>
        </is>
      </c>
      <c r="D109" t="inlineStr">
        <is>
          <t>4002</t>
        </is>
      </c>
      <c r="E109" t="inlineStr">
        <is>
          <t>Ordenamiento territorial y desarrollo urbano</t>
        </is>
      </c>
      <c r="F109" t="inlineStr">
        <is>
          <t>4002034</t>
        </is>
      </c>
      <c r="G109" t="inlineStr">
        <is>
          <t>Estudios de pre inversión e inversión</t>
        </is>
      </c>
      <c r="H109" t="inlineStr">
        <is>
          <t>400203400</t>
        </is>
      </c>
      <c r="I109" t="inlineStr">
        <is>
          <t xml:space="preserve">Estudios o diseños realizados </t>
        </is>
      </c>
      <c r="J109" t="inlineStr">
        <is>
          <t>2024251750046</t>
        </is>
      </c>
      <c r="K109" t="inlineStr">
        <is>
          <t>Si</t>
        </is>
      </c>
      <c r="L109" t="inlineStr">
        <is>
          <t>Número</t>
        </is>
      </c>
      <c r="M109">
        <v>1</v>
      </c>
      <c r="N109">
        <v>0</v>
      </c>
      <c r="O109">
        <v>0</v>
      </c>
      <c r="P109">
        <v>1</v>
      </c>
      <c r="Q109">
        <v>0</v>
      </c>
      <c r="R109" t="inlineStr">
        <is>
          <t xml:space="preserve"> </t>
        </is>
      </c>
      <c r="S109" s="103" t="inlineStr">
        <is>
          <t xml:space="preserve"> </t>
        </is>
      </c>
      <c r="T109" t="inlineStr">
        <is>
          <t>No se encontró ejecución en PIIP</t>
        </is>
      </c>
      <c r="U109" t="inlineStr">
        <is>
          <t xml:space="preserve"> </t>
        </is>
      </c>
      <c r="V109" s="104" t="inlineStr">
        <is>
          <t xml:space="preserve"> </t>
        </is>
      </c>
      <c r="W109" t="inlineStr">
        <is>
          <t>No se encontró ejecución en PIIP</t>
        </is>
      </c>
    </row>
    <row r="110">
      <c r="A110" t="inlineStr">
        <is>
          <t>IP-387</t>
        </is>
      </c>
      <c r="B110" t="inlineStr">
        <is>
          <t>40</t>
        </is>
      </c>
      <c r="C110" t="inlineStr">
        <is>
          <t>Vivienda, ciudad y territorio</t>
        </is>
      </c>
      <c r="D110" t="inlineStr">
        <is>
          <t>4002</t>
        </is>
      </c>
      <c r="E110" t="inlineStr">
        <is>
          <t>Ordenamiento territorial y desarrollo urbano</t>
        </is>
      </c>
      <c r="F110" t="inlineStr">
        <is>
          <t>4002034</t>
        </is>
      </c>
      <c r="G110" t="inlineStr">
        <is>
          <t>Estudios de pre inversión e inversión</t>
        </is>
      </c>
      <c r="H110" t="inlineStr">
        <is>
          <t>400203400</t>
        </is>
      </c>
      <c r="I110" t="inlineStr">
        <is>
          <t xml:space="preserve">Estudios o diseños realizados </t>
        </is>
      </c>
      <c r="J110" t="inlineStr">
        <is>
          <t/>
        </is>
      </c>
      <c r="K110" t="inlineStr">
        <is>
          <t>Si</t>
        </is>
      </c>
      <c r="L110" t="inlineStr">
        <is>
          <t>Número</t>
        </is>
      </c>
      <c r="M110">
        <v>1</v>
      </c>
      <c r="N110">
        <v>0</v>
      </c>
      <c r="O110">
        <v>0</v>
      </c>
      <c r="P110">
        <v>0</v>
      </c>
      <c r="Q110">
        <v>1</v>
      </c>
      <c r="R110" t="inlineStr">
        <is>
          <t xml:space="preserve"> </t>
        </is>
      </c>
      <c r="S110" s="103" t="inlineStr">
        <is>
          <t xml:space="preserve"> </t>
        </is>
      </c>
      <c r="T110" t="inlineStr">
        <is>
          <t>Por falta de código BPIN, no se encontró ejecución en PIIP</t>
        </is>
      </c>
      <c r="U110" t="inlineStr">
        <is>
          <t xml:space="preserve"> </t>
        </is>
      </c>
      <c r="V110" s="104" t="inlineStr">
        <is>
          <t xml:space="preserve"> </t>
        </is>
      </c>
      <c r="W110" t="inlineStr">
        <is>
          <t>Por falta de código BPIN, no se encontró ejecución en PIIP</t>
        </is>
      </c>
    </row>
    <row r="111">
      <c r="A111" t="inlineStr">
        <is>
          <t>IP-388</t>
        </is>
      </c>
      <c r="B111" t="inlineStr">
        <is>
          <t>40</t>
        </is>
      </c>
      <c r="C111" t="inlineStr">
        <is>
          <t>Vivienda, ciudad y territorio</t>
        </is>
      </c>
      <c r="D111" t="inlineStr">
        <is>
          <t>4003</t>
        </is>
      </c>
      <c r="E111" t="inlineStr">
        <is>
          <t>Acceso de la población a los servicios de agua potable y saneamiento básico</t>
        </is>
      </c>
      <c r="F111" t="inlineStr">
        <is>
          <t>4003025</t>
        </is>
      </c>
      <c r="G111" t="inlineStr">
        <is>
          <t>Servicios de apoyo financiero para la ejecución de proyectos de acueductos y alcantarillado</t>
        </is>
      </c>
      <c r="H111" t="inlineStr">
        <is>
          <t>400302500</t>
        </is>
      </c>
      <c r="I111" t="inlineStr">
        <is>
          <t>Proyectos de acueducto y alcantarillado en área urbana financiados</t>
        </is>
      </c>
      <c r="J111" t="inlineStr">
        <is>
          <t>2024251750044</t>
        </is>
      </c>
      <c r="K111" t="inlineStr">
        <is>
          <t>No</t>
        </is>
      </c>
      <c r="L111" t="inlineStr">
        <is>
          <t>Número</t>
        </is>
      </c>
      <c r="M111">
        <v>1</v>
      </c>
      <c r="N111">
        <v>1</v>
      </c>
      <c r="O111">
        <v>1</v>
      </c>
      <c r="P111">
        <v>1</v>
      </c>
      <c r="Q111">
        <v>1</v>
      </c>
      <c r="R111">
        <v>1</v>
      </c>
      <c r="S111" s="103">
        <v>1</v>
      </c>
      <c r="T111" t="inlineStr">
        <is>
          <t>Se ejecutó el 100% de lo programado en la vigencia</t>
        </is>
      </c>
      <c r="U111">
        <v>0</v>
      </c>
      <c r="V111" s="104">
        <v>0</v>
      </c>
      <c r="W111" t="inlineStr">
        <is>
          <t>No se ejecutó en la vigencia</t>
        </is>
      </c>
    </row>
    <row r="112">
      <c r="A112" t="inlineStr">
        <is>
          <t>IP-389</t>
        </is>
      </c>
      <c r="B112" t="inlineStr">
        <is>
          <t>40</t>
        </is>
      </c>
      <c r="C112" t="inlineStr">
        <is>
          <t>Vivienda, ciudad y territorio</t>
        </is>
      </c>
      <c r="D112" t="inlineStr">
        <is>
          <t>4001</t>
        </is>
      </c>
      <c r="E112" t="inlineStr">
        <is>
          <t>Acceso a soluciones de vivienda</t>
        </is>
      </c>
      <c r="F112" t="inlineStr">
        <is>
          <t>4001044</t>
        </is>
      </c>
      <c r="G112" t="inlineStr">
        <is>
          <t>Vivienda de Interés Social mejoradas</t>
        </is>
      </c>
      <c r="H112" t="inlineStr">
        <is>
          <t>400104400</t>
        </is>
      </c>
      <c r="I112" t="inlineStr">
        <is>
          <t>Vivienda de Interés Social mejoradas</t>
        </is>
      </c>
      <c r="J112" t="inlineStr">
        <is>
          <t>2024251750040</t>
        </is>
      </c>
      <c r="K112" t="inlineStr">
        <is>
          <t>Si</t>
        </is>
      </c>
      <c r="L112" t="inlineStr">
        <is>
          <t>Número</t>
        </is>
      </c>
      <c r="M112">
        <v>270</v>
      </c>
      <c r="N112">
        <v>1</v>
      </c>
      <c r="O112">
        <v>100</v>
      </c>
      <c r="P112">
        <v>109</v>
      </c>
      <c r="Q112">
        <v>60</v>
      </c>
      <c r="R112">
        <v>1</v>
      </c>
      <c r="S112" s="103">
        <v>1</v>
      </c>
      <c r="T112" t="inlineStr">
        <is>
          <t>Se ejecutó el 100% de lo programado en la vigencia</t>
        </is>
      </c>
      <c r="U112">
        <v>0</v>
      </c>
      <c r="V112" s="104">
        <v>0</v>
      </c>
      <c r="W112" t="inlineStr">
        <is>
          <t>No se ejecutó en la vigencia</t>
        </is>
      </c>
    </row>
    <row r="113">
      <c r="A113" t="inlineStr">
        <is>
          <t>IP-390</t>
        </is>
      </c>
      <c r="B113" t="inlineStr">
        <is>
          <t>40</t>
        </is>
      </c>
      <c r="C113" t="inlineStr">
        <is>
          <t>Vivienda, ciudad y territorio</t>
        </is>
      </c>
      <c r="D113" t="inlineStr">
        <is>
          <t>4001</t>
        </is>
      </c>
      <c r="E113" t="inlineStr">
        <is>
          <t>Acceso a soluciones de vivienda</t>
        </is>
      </c>
      <c r="F113" t="inlineStr">
        <is>
          <t>4001034</t>
        </is>
      </c>
      <c r="G113" t="inlineStr">
        <is>
          <t>Servicio de apoyo financiero para construcción de vivienda en sitio propio</t>
        </is>
      </c>
      <c r="H113" t="inlineStr">
        <is>
          <t>400103400</t>
        </is>
      </c>
      <c r="I113" t="inlineStr">
        <is>
          <t>Hogares beneficiados con construcción de vivienda en sitio propio</t>
        </is>
      </c>
      <c r="J113" t="inlineStr">
        <is>
          <t>2024251750040</t>
        </is>
      </c>
      <c r="K113" t="inlineStr">
        <is>
          <t>Si</t>
        </is>
      </c>
      <c r="L113" t="inlineStr">
        <is>
          <t>Número</t>
        </is>
      </c>
      <c r="M113">
        <v>79</v>
      </c>
      <c r="N113">
        <v>22</v>
      </c>
      <c r="O113">
        <v>22</v>
      </c>
      <c r="P113">
        <v>20</v>
      </c>
      <c r="Q113">
        <v>15</v>
      </c>
      <c r="R113">
        <v>22</v>
      </c>
      <c r="S113" s="103">
        <v>1</v>
      </c>
      <c r="T113" t="inlineStr">
        <is>
          <t>Se ejecutó el 100% de lo programado en la vigencia</t>
        </is>
      </c>
      <c r="U113">
        <v>0</v>
      </c>
      <c r="V113" s="104">
        <v>0</v>
      </c>
      <c r="W113" t="inlineStr">
        <is>
          <t>No se ejecutó en la vigencia</t>
        </is>
      </c>
    </row>
    <row r="114">
      <c r="A114" t="inlineStr">
        <is>
          <t>IP-391, IP-392</t>
        </is>
      </c>
      <c r="B114" t="inlineStr">
        <is>
          <t>40</t>
        </is>
      </c>
      <c r="C114" t="inlineStr">
        <is>
          <t>Vivienda, ciudad y territorio</t>
        </is>
      </c>
      <c r="D114" t="inlineStr">
        <is>
          <t>4001</t>
        </is>
      </c>
      <c r="E114" t="inlineStr">
        <is>
          <t>Acceso a soluciones de vivienda</t>
        </is>
      </c>
      <c r="F114" t="inlineStr">
        <is>
          <t>4001030</t>
        </is>
      </c>
      <c r="G114" t="inlineStr">
        <is>
          <t>Estudios de pre inversión e inversión</t>
        </is>
      </c>
      <c r="H114" t="inlineStr">
        <is>
          <t>400103000</t>
        </is>
      </c>
      <c r="I114" t="inlineStr">
        <is>
          <t xml:space="preserve">Estudios o diseños realizados </t>
        </is>
      </c>
      <c r="J114" t="inlineStr">
        <is>
          <t>2024251750040</t>
        </is>
      </c>
      <c r="K114" t="inlineStr">
        <is>
          <t>Si</t>
        </is>
      </c>
      <c r="L114" t="inlineStr">
        <is>
          <t>Número</t>
        </is>
      </c>
      <c r="M114">
        <v>351</v>
      </c>
      <c r="N114">
        <v>30</v>
      </c>
      <c r="O114">
        <v>120.1</v>
      </c>
      <c r="P114">
        <v>120.45</v>
      </c>
      <c r="Q114">
        <v>80.45</v>
      </c>
      <c r="R114">
        <v>30</v>
      </c>
      <c r="S114" s="103">
        <v>1</v>
      </c>
      <c r="T114" t="inlineStr">
        <is>
          <t>Se ejecutó el 100% de lo programado en la vigencia</t>
        </is>
      </c>
      <c r="U114">
        <v>6</v>
      </c>
      <c r="V114" s="104">
        <v>0.0499583680266445</v>
      </c>
      <c r="W114" t="inlineStr">
        <is>
          <t>Lo ejecutado está por debajo de lo programado en la vigencia</t>
        </is>
      </c>
    </row>
    <row r="115">
      <c r="A115" t="inlineStr">
        <is>
          <t>IP-393</t>
        </is>
      </c>
      <c r="B115" t="inlineStr">
        <is>
          <t>40</t>
        </is>
      </c>
      <c r="C115" t="inlineStr">
        <is>
          <t>Vivienda, ciudad y territorio</t>
        </is>
      </c>
      <c r="D115" t="inlineStr">
        <is>
          <t>4002</t>
        </is>
      </c>
      <c r="E115" t="inlineStr">
        <is>
          <t>Ordenamiento territorial y desarrollo urbano</t>
        </is>
      </c>
      <c r="F115" t="inlineStr">
        <is>
          <t>4002016</t>
        </is>
      </c>
      <c r="G115" t="inlineStr">
        <is>
          <t>Documentos de planeación</t>
        </is>
      </c>
      <c r="H115" t="inlineStr">
        <is>
          <t>400201600</t>
        </is>
      </c>
      <c r="I115" t="inlineStr">
        <is>
          <t>Documentos de planeación elaborados</t>
        </is>
      </c>
      <c r="J115" t="inlineStr">
        <is>
          <t>2024251750037</t>
        </is>
      </c>
      <c r="K115" t="inlineStr">
        <is>
          <t>Si</t>
        </is>
      </c>
      <c r="L115" t="inlineStr">
        <is>
          <t>Número</t>
        </is>
      </c>
      <c r="M115">
        <v>1</v>
      </c>
      <c r="N115">
        <v>0</v>
      </c>
      <c r="O115">
        <v>0</v>
      </c>
      <c r="P115">
        <v>0.5</v>
      </c>
      <c r="Q115">
        <v>0.5</v>
      </c>
      <c r="R115">
        <v>0</v>
      </c>
      <c r="S115" s="103" t="inlineStr">
        <is>
          <t xml:space="preserve"> </t>
        </is>
      </c>
      <c r="T115" t="inlineStr">
        <is>
          <t>No se programó ni ejecutó en la vigencia</t>
        </is>
      </c>
      <c r="U115" t="inlineStr">
        <is>
          <t xml:space="preserve"> </t>
        </is>
      </c>
      <c r="V115" s="104" t="inlineStr">
        <is>
          <t xml:space="preserve"> </t>
        </is>
      </c>
      <c r="W115" t="inlineStr">
        <is>
          <t>No se encontró ejecución en PIIP</t>
        </is>
      </c>
    </row>
    <row r="116">
      <c r="A116" t="inlineStr">
        <is>
          <t>IP-394</t>
        </is>
      </c>
      <c r="B116" t="inlineStr">
        <is>
          <t>45</t>
        </is>
      </c>
      <c r="C116" t="inlineStr">
        <is>
          <t>Gobierno Territorial</t>
        </is>
      </c>
      <c r="D116" t="inlineStr">
        <is>
          <t>4599</t>
        </is>
      </c>
      <c r="E116" t="inlineStr">
        <is>
          <t>Fortalecimiento a la gestión y dirección de la administración pública territorial</t>
        </is>
      </c>
      <c r="F116" t="inlineStr">
        <is>
          <t>4599016</t>
        </is>
      </c>
      <c r="G116" t="inlineStr">
        <is>
          <t>Sedes mantenidas</t>
        </is>
      </c>
      <c r="H116" t="inlineStr">
        <is>
          <t>459901600</t>
        </is>
      </c>
      <c r="I116" t="inlineStr">
        <is>
          <t>Sedes mantenidas</t>
        </is>
      </c>
      <c r="J116" t="inlineStr">
        <is>
          <t>2024251750039</t>
        </is>
      </c>
      <c r="K116" t="inlineStr">
        <is>
          <t>Si</t>
        </is>
      </c>
      <c r="L116" t="inlineStr">
        <is>
          <t>Número</t>
        </is>
      </c>
      <c r="M116">
        <v>59</v>
      </c>
      <c r="N116">
        <v>8</v>
      </c>
      <c r="O116">
        <v>16</v>
      </c>
      <c r="P116">
        <v>20</v>
      </c>
      <c r="Q116">
        <v>15</v>
      </c>
      <c r="R116">
        <v>8</v>
      </c>
      <c r="S116" s="103">
        <v>1</v>
      </c>
      <c r="T116" t="inlineStr">
        <is>
          <t>Se ejecutó el 100% de lo programado en la vigencia</t>
        </is>
      </c>
      <c r="U116">
        <v>1</v>
      </c>
      <c r="V116" s="104">
        <v>0.0625</v>
      </c>
      <c r="W116" t="inlineStr">
        <is>
          <t>Lo ejecutado está por debajo de lo programado en la vigencia</t>
        </is>
      </c>
    </row>
    <row r="117">
      <c r="A117" t="inlineStr">
        <is>
          <t>IP-395</t>
        </is>
      </c>
      <c r="B117" t="inlineStr">
        <is>
          <t>40</t>
        </is>
      </c>
      <c r="C117" t="inlineStr">
        <is>
          <t>Vivienda, ciudad y territorio</t>
        </is>
      </c>
      <c r="D117" t="inlineStr">
        <is>
          <t>4002</t>
        </is>
      </c>
      <c r="E117" t="inlineStr">
        <is>
          <t>Ordenamiento territorial y desarrollo urbano</t>
        </is>
      </c>
      <c r="F117" t="inlineStr">
        <is>
          <t>4002016</t>
        </is>
      </c>
      <c r="G117" t="inlineStr">
        <is>
          <t>Documentos de planeación</t>
        </is>
      </c>
      <c r="H117" t="inlineStr">
        <is>
          <t>400201600</t>
        </is>
      </c>
      <c r="I117" t="inlineStr">
        <is>
          <t>Documentos de planeación elaborados</t>
        </is>
      </c>
      <c r="J117" t="inlineStr">
        <is>
          <t>2024251750032</t>
        </is>
      </c>
      <c r="K117" t="inlineStr">
        <is>
          <t>No</t>
        </is>
      </c>
      <c r="L117" t="inlineStr">
        <is>
          <t>Número</t>
        </is>
      </c>
      <c r="M117">
        <v>1</v>
      </c>
      <c r="N117">
        <v>0</v>
      </c>
      <c r="O117">
        <v>0</v>
      </c>
      <c r="P117">
        <v>1</v>
      </c>
      <c r="Q117">
        <v>1</v>
      </c>
      <c r="R117">
        <v>1</v>
      </c>
      <c r="S117" s="103" t="inlineStr">
        <is>
          <t xml:space="preserve"> </t>
        </is>
      </c>
      <c r="T117" t="inlineStr">
        <is>
          <t>Se ejecutó un producto no programado en la vigencia</t>
        </is>
      </c>
      <c r="U117">
        <v>0</v>
      </c>
      <c r="V117" s="104" t="inlineStr">
        <is>
          <t xml:space="preserve"> </t>
        </is>
      </c>
      <c r="W117" t="inlineStr">
        <is>
          <t>No se programó ni ejecutó en la vigencia</t>
        </is>
      </c>
    </row>
    <row r="118">
      <c r="A118" t="inlineStr">
        <is>
          <t>IP-397, IP-398</t>
        </is>
      </c>
      <c r="B118" t="inlineStr">
        <is>
          <t>40</t>
        </is>
      </c>
      <c r="C118" t="inlineStr">
        <is>
          <t>Vivienda, ciudad y territorio</t>
        </is>
      </c>
      <c r="D118" t="inlineStr">
        <is>
          <t>4002</t>
        </is>
      </c>
      <c r="E118" t="inlineStr">
        <is>
          <t>Ordenamiento territorial y desarrollo urbano</t>
        </is>
      </c>
      <c r="F118" t="inlineStr">
        <is>
          <t>4002016</t>
        </is>
      </c>
      <c r="G118" t="inlineStr">
        <is>
          <t>Documentos de planeación</t>
        </is>
      </c>
      <c r="H118" t="inlineStr">
        <is>
          <t>400201600</t>
        </is>
      </c>
      <c r="I118" t="inlineStr">
        <is>
          <t>Documentos de planeación elaborados</t>
        </is>
      </c>
      <c r="J118" t="inlineStr">
        <is>
          <t>2024251750065</t>
        </is>
      </c>
      <c r="K118" t="inlineStr">
        <is>
          <t>Si</t>
        </is>
      </c>
      <c r="L118" t="inlineStr">
        <is>
          <t>Número</t>
        </is>
      </c>
      <c r="M118">
        <v>2</v>
      </c>
      <c r="N118">
        <v>0.5</v>
      </c>
      <c r="O118">
        <v>0.5</v>
      </c>
      <c r="P118">
        <v>0.5</v>
      </c>
      <c r="Q118">
        <v>0.5</v>
      </c>
      <c r="R118">
        <v>0.5</v>
      </c>
      <c r="S118" s="103">
        <v>1</v>
      </c>
      <c r="T118" t="inlineStr">
        <is>
          <t>Se ejecutó el 100% de lo programado en la vigencia</t>
        </is>
      </c>
      <c r="U118">
        <v>0</v>
      </c>
      <c r="V118" s="104">
        <v>0</v>
      </c>
      <c r="W118" t="inlineStr">
        <is>
          <t>No se ejecutó en la vigencia</t>
        </is>
      </c>
    </row>
    <row r="119">
      <c r="A119" t="inlineStr">
        <is>
          <t>IP-399</t>
        </is>
      </c>
      <c r="B119" t="inlineStr">
        <is>
          <t>33</t>
        </is>
      </c>
      <c r="C119" t="inlineStr">
        <is>
          <t>Cultura</t>
        </is>
      </c>
      <c r="D119" t="inlineStr">
        <is>
          <t>3301</t>
        </is>
      </c>
      <c r="E119" t="inlineStr">
        <is>
          <t>Promoción y acceso efectivo a procesos culturales y artísticos</t>
        </is>
      </c>
      <c r="F119" t="inlineStr">
        <is>
          <t>3301088</t>
        </is>
      </c>
      <c r="G119" t="inlineStr">
        <is>
          <t>Centros culturales construidos</t>
        </is>
      </c>
      <c r="H119" t="inlineStr">
        <is>
          <t>330108800</t>
        </is>
      </c>
      <c r="I119" t="inlineStr">
        <is>
          <t>Centros culturales construidos</t>
        </is>
      </c>
      <c r="J119" t="inlineStr">
        <is>
          <t>2021251750009</t>
        </is>
      </c>
      <c r="K119" t="inlineStr">
        <is>
          <t>No</t>
        </is>
      </c>
      <c r="L119" t="inlineStr">
        <is>
          <t>Número</t>
        </is>
      </c>
      <c r="M119">
        <v>1</v>
      </c>
      <c r="N119">
        <v>0</v>
      </c>
      <c r="O119">
        <v>1</v>
      </c>
      <c r="P119">
        <v>0</v>
      </c>
      <c r="Q119">
        <v>0</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IP-400, IP-401, IP-524</t>
        </is>
      </c>
      <c r="B120" t="inlineStr">
        <is>
          <t>40</t>
        </is>
      </c>
      <c r="C120" t="inlineStr">
        <is>
          <t>Vivienda, ciudad y territorio</t>
        </is>
      </c>
      <c r="D120" t="inlineStr">
        <is>
          <t>4002</t>
        </is>
      </c>
      <c r="E120" t="inlineStr">
        <is>
          <t>Ordenamiento territorial y desarrollo urbano</t>
        </is>
      </c>
      <c r="F120" t="inlineStr">
        <is>
          <t>4002020</t>
        </is>
      </c>
      <c r="G120" t="inlineStr">
        <is>
          <t>Espacio publico adecuado</t>
        </is>
      </c>
      <c r="H120" t="inlineStr">
        <is>
          <t>400202000</t>
        </is>
      </c>
      <c r="I120" t="inlineStr">
        <is>
          <t>Espacio publico adecuado</t>
        </is>
      </c>
      <c r="J120" t="inlineStr">
        <is>
          <t>2024251750037</t>
        </is>
      </c>
      <c r="K120" t="inlineStr">
        <is>
          <t>Si</t>
        </is>
      </c>
      <c r="L120" t="inlineStr">
        <is>
          <t>Metros cuadrados</t>
        </is>
      </c>
      <c r="M120">
        <v>637000</v>
      </c>
      <c r="N120">
        <v>1331.02</v>
      </c>
      <c r="O120">
        <v>2000</v>
      </c>
      <c r="P120">
        <v>316834.52</v>
      </c>
      <c r="Q120">
        <v>316834.52</v>
      </c>
      <c r="R120">
        <v>1330.97</v>
      </c>
      <c r="S120" s="103">
        <v>0.99996243482442</v>
      </c>
      <c r="T120" t="inlineStr">
        <is>
          <t>Lo ejecutado está por debajo de lo programado en la vigencia</t>
        </is>
      </c>
      <c r="U120">
        <v>0</v>
      </c>
      <c r="V120" s="104">
        <v>0</v>
      </c>
      <c r="W120" t="inlineStr">
        <is>
          <t>No se ejecutó en la vigencia</t>
        </is>
      </c>
    </row>
    <row r="121">
      <c r="A121" t="inlineStr">
        <is>
          <t>IP-402</t>
        </is>
      </c>
      <c r="B121" t="inlineStr">
        <is>
          <t>04</t>
        </is>
      </c>
      <c r="C121" t="inlineStr">
        <is>
          <t>Información Estadística</t>
        </is>
      </c>
      <c r="D121" t="inlineStr">
        <is>
          <t>0401</t>
        </is>
      </c>
      <c r="E121" t="inlineStr">
        <is>
          <t>Levantamiento y actualización de información estadística de calidad</t>
        </is>
      </c>
      <c r="F121" t="inlineStr">
        <is>
          <t>0401103</t>
        </is>
      </c>
      <c r="G121" t="inlineStr">
        <is>
          <t>Documentos metodológicos</t>
        </is>
      </c>
      <c r="H121" t="inlineStr">
        <is>
          <t>040110300</t>
        </is>
      </c>
      <c r="I121" t="inlineStr">
        <is>
          <t>Documentos metodológicos elaborados</t>
        </is>
      </c>
      <c r="J121" t="inlineStr">
        <is>
          <t>2024251750068</t>
        </is>
      </c>
      <c r="K121" t="inlineStr">
        <is>
          <t>No</t>
        </is>
      </c>
      <c r="L121" t="inlineStr">
        <is>
          <t>Número</t>
        </is>
      </c>
      <c r="M121">
        <v>1</v>
      </c>
      <c r="N121">
        <v>1</v>
      </c>
      <c r="O121">
        <v>0</v>
      </c>
      <c r="P121">
        <v>0</v>
      </c>
      <c r="Q121">
        <v>0</v>
      </c>
      <c r="R121">
        <v>1</v>
      </c>
      <c r="S121" s="103">
        <v>1</v>
      </c>
      <c r="T121" t="inlineStr">
        <is>
          <t>Se ejecutó el 100% de lo programado en la vigencia</t>
        </is>
      </c>
      <c r="U121" t="inlineStr">
        <is>
          <t xml:space="preserve"> </t>
        </is>
      </c>
      <c r="V121" s="104" t="inlineStr">
        <is>
          <t xml:space="preserve"> </t>
        </is>
      </c>
      <c r="W121" t="inlineStr">
        <is>
          <t>No se encontró ejecución en PIIP</t>
        </is>
      </c>
    </row>
    <row r="122">
      <c r="A122" t="inlineStr">
        <is>
          <t>IP-403</t>
        </is>
      </c>
      <c r="B122" t="inlineStr">
        <is>
          <t>04</t>
        </is>
      </c>
      <c r="C122" t="inlineStr">
        <is>
          <t>Información Estadística</t>
        </is>
      </c>
      <c r="D122" t="inlineStr">
        <is>
          <t>0401</t>
        </is>
      </c>
      <c r="E122" t="inlineStr">
        <is>
          <t>Levantamiento y actualización de información estadística de calidad</t>
        </is>
      </c>
      <c r="F122" t="inlineStr">
        <is>
          <t>0401102</t>
        </is>
      </c>
      <c r="G122" t="inlineStr">
        <is>
          <t>Servicio de información implementado</t>
        </is>
      </c>
      <c r="H122" t="inlineStr">
        <is>
          <t>040110200</t>
        </is>
      </c>
      <c r="I122" t="inlineStr">
        <is>
          <t>Sistemas de información implementados</t>
        </is>
      </c>
      <c r="J122" t="inlineStr">
        <is>
          <t>2024251750068</t>
        </is>
      </c>
      <c r="K122" t="inlineStr">
        <is>
          <t>Si</t>
        </is>
      </c>
      <c r="L122" t="inlineStr">
        <is>
          <t>Número</t>
        </is>
      </c>
      <c r="M122">
        <v>1</v>
      </c>
      <c r="N122">
        <v>0</v>
      </c>
      <c r="O122">
        <v>0.44</v>
      </c>
      <c r="P122">
        <v>0.32</v>
      </c>
      <c r="Q122">
        <v>0.24</v>
      </c>
      <c r="R122">
        <v>0</v>
      </c>
      <c r="S122" s="103" t="inlineStr">
        <is>
          <t xml:space="preserve"> </t>
        </is>
      </c>
      <c r="T122" t="inlineStr">
        <is>
          <t>No se programó ni ejecutó en la vigencia</t>
        </is>
      </c>
      <c r="U122" t="inlineStr">
        <is>
          <t xml:space="preserve"> </t>
        </is>
      </c>
      <c r="V122" s="104" t="inlineStr">
        <is>
          <t xml:space="preserve"> </t>
        </is>
      </c>
      <c r="W122" t="inlineStr">
        <is>
          <t>No se encontró ejecución en PIIP</t>
        </is>
      </c>
    </row>
    <row r="123">
      <c r="A123" t="inlineStr">
        <is>
          <t>IP-404</t>
        </is>
      </c>
      <c r="B123" t="inlineStr">
        <is>
          <t>04</t>
        </is>
      </c>
      <c r="C123" t="inlineStr">
        <is>
          <t>Información Estadística</t>
        </is>
      </c>
      <c r="D123" t="inlineStr">
        <is>
          <t>0401</t>
        </is>
      </c>
      <c r="E123" t="inlineStr">
        <is>
          <t>Levantamiento y actualización de información estadística de calidad</t>
        </is>
      </c>
      <c r="F123" t="inlineStr">
        <is>
          <t>0401105</t>
        </is>
      </c>
      <c r="G123" t="inlineStr">
        <is>
          <t>Servicio de estratificación socioeconómica</t>
        </is>
      </c>
      <c r="H123" t="inlineStr">
        <is>
          <t>040110500</t>
        </is>
      </c>
      <c r="I123" t="inlineStr">
        <is>
          <t>Predios con estratificación socioeconómica</t>
        </is>
      </c>
      <c r="J123" t="inlineStr">
        <is>
          <t>2024251750068</t>
        </is>
      </c>
      <c r="K123" t="inlineStr">
        <is>
          <t>No</t>
        </is>
      </c>
      <c r="L123" t="inlineStr">
        <is>
          <t>Número</t>
        </is>
      </c>
      <c r="M123">
        <v>35153</v>
      </c>
      <c r="N123">
        <v>33653</v>
      </c>
      <c r="O123">
        <v>34153</v>
      </c>
      <c r="P123">
        <v>34653</v>
      </c>
      <c r="Q123">
        <v>35153</v>
      </c>
      <c r="R123">
        <v>33653</v>
      </c>
      <c r="S123" s="103">
        <v>1</v>
      </c>
      <c r="T123" t="inlineStr">
        <is>
          <t>Se ejecutó el 100% de lo programado en la vigencia</t>
        </is>
      </c>
      <c r="U123">
        <v>0</v>
      </c>
      <c r="V123" s="104">
        <v>0</v>
      </c>
      <c r="W123" t="inlineStr">
        <is>
          <t>No se ejecutó en la vigencia</t>
        </is>
      </c>
    </row>
    <row r="124">
      <c r="A124" t="inlineStr">
        <is>
          <t>IP-405</t>
        </is>
      </c>
      <c r="B124" t="inlineStr">
        <is>
          <t>04</t>
        </is>
      </c>
      <c r="C124" t="inlineStr">
        <is>
          <t>Información Estadística</t>
        </is>
      </c>
      <c r="D124" t="inlineStr">
        <is>
          <t>0406</t>
        </is>
      </c>
      <c r="E124" t="inlineStr">
        <is>
          <t>Generación de la información geográfica del territorio nacional</t>
        </is>
      </c>
      <c r="F124" t="inlineStr">
        <is>
          <t>0406010</t>
        </is>
      </c>
      <c r="G124" t="inlineStr">
        <is>
          <t>Información cartográfica actualizada</t>
        </is>
      </c>
      <c r="H124" t="inlineStr">
        <is>
          <t>040601000</t>
        </is>
      </c>
      <c r="I124" t="inlineStr">
        <is>
          <t>Área con información cartográfica actualizada</t>
        </is>
      </c>
      <c r="J124" t="inlineStr">
        <is>
          <t>2020251750080</t>
        </is>
      </c>
      <c r="K124" t="inlineStr">
        <is>
          <t>Si</t>
        </is>
      </c>
      <c r="L124" t="inlineStr">
        <is>
          <t>Hectáreas</t>
        </is>
      </c>
      <c r="M124">
        <v>7981.3</v>
      </c>
      <c r="N124">
        <v>2514</v>
      </c>
      <c r="O124">
        <v>4467.3</v>
      </c>
      <c r="P124">
        <v>500</v>
      </c>
      <c r="Q124">
        <v>500</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IP-406</t>
        </is>
      </c>
      <c r="B125" t="inlineStr">
        <is>
          <t>04</t>
        </is>
      </c>
      <c r="C125" t="inlineStr">
        <is>
          <t>Información Estadística</t>
        </is>
      </c>
      <c r="D125" t="inlineStr">
        <is>
          <t>0406</t>
        </is>
      </c>
      <c r="E125" t="inlineStr">
        <is>
          <t>Generación de la información geográfica del territorio nacional</t>
        </is>
      </c>
      <c r="F125" t="inlineStr">
        <is>
          <t>0406001</t>
        </is>
      </c>
      <c r="G125" t="inlineStr">
        <is>
          <t>Servicio de información geográfica, geodésica y cartográfica actualizado</t>
        </is>
      </c>
      <c r="H125" t="inlineStr">
        <is>
          <t>040600100</t>
        </is>
      </c>
      <c r="I125" t="inlineStr">
        <is>
          <t>Sistema de información actualizado</t>
        </is>
      </c>
      <c r="J125" t="inlineStr">
        <is>
          <t>2024251750072</t>
        </is>
      </c>
      <c r="K125" t="inlineStr">
        <is>
          <t>No</t>
        </is>
      </c>
      <c r="L125" t="inlineStr">
        <is>
          <t>Número</t>
        </is>
      </c>
      <c r="M125">
        <v>1</v>
      </c>
      <c r="N125">
        <v>0</v>
      </c>
      <c r="O125">
        <v>1</v>
      </c>
      <c r="P125">
        <v>1</v>
      </c>
      <c r="Q125">
        <v>1</v>
      </c>
      <c r="R125" t="inlineStr">
        <is>
          <t xml:space="preserve"> </t>
        </is>
      </c>
      <c r="S125" s="103" t="inlineStr">
        <is>
          <t xml:space="preserve"> </t>
        </is>
      </c>
      <c r="T125" t="inlineStr">
        <is>
          <t>No se encontró ejecución en PIIP</t>
        </is>
      </c>
      <c r="U125" t="inlineStr">
        <is>
          <t xml:space="preserve"> </t>
        </is>
      </c>
      <c r="V125" s="104" t="inlineStr">
        <is>
          <t xml:space="preserve"> </t>
        </is>
      </c>
      <c r="W125" t="inlineStr">
        <is>
          <t>No se encontró ejecución en PIIP</t>
        </is>
      </c>
    </row>
    <row r="126">
      <c r="A126" t="inlineStr">
        <is>
          <t>IP-407</t>
        </is>
      </c>
      <c r="B126" t="inlineStr">
        <is>
          <t>45</t>
        </is>
      </c>
      <c r="C126" t="inlineStr">
        <is>
          <t>Gobierno Territorial</t>
        </is>
      </c>
      <c r="D126" t="inlineStr">
        <is>
          <t>4599</t>
        </is>
      </c>
      <c r="E126" t="inlineStr">
        <is>
          <t>Fortalecimiento a la gestión y dirección de la administración pública territorial</t>
        </is>
      </c>
      <c r="F126" t="inlineStr">
        <is>
          <t>4599032</t>
        </is>
      </c>
      <c r="G126" t="inlineStr">
        <is>
          <t>Documentos de política</t>
        </is>
      </c>
      <c r="H126" t="inlineStr">
        <is>
          <t>459903200</t>
        </is>
      </c>
      <c r="I126" t="inlineStr">
        <is>
          <t>Documentos de política elaborados</t>
        </is>
      </c>
      <c r="J126" t="inlineStr">
        <is>
          <t>2024251750033</t>
        </is>
      </c>
      <c r="K126" t="inlineStr">
        <is>
          <t>Si</t>
        </is>
      </c>
      <c r="L126" t="inlineStr">
        <is>
          <t>Número</t>
        </is>
      </c>
      <c r="M126">
        <v>2</v>
      </c>
      <c r="N126">
        <v>0.5</v>
      </c>
      <c r="O126">
        <v>0.5</v>
      </c>
      <c r="P126">
        <v>0.5</v>
      </c>
      <c r="Q126">
        <v>0.5</v>
      </c>
      <c r="R126">
        <v>0.5</v>
      </c>
      <c r="S126" s="103">
        <v>1</v>
      </c>
      <c r="T126" t="inlineStr">
        <is>
          <t>Se ejecutó el 100% de lo programado en la vigencia</t>
        </is>
      </c>
      <c r="U126">
        <v>0</v>
      </c>
      <c r="V126" s="104">
        <v>0</v>
      </c>
      <c r="W126" t="inlineStr">
        <is>
          <t>No se ejecutó en la vigencia</t>
        </is>
      </c>
    </row>
    <row r="127">
      <c r="A127" t="inlineStr">
        <is>
          <t>IP-408</t>
        </is>
      </c>
      <c r="B127" t="inlineStr">
        <is>
          <t>45</t>
        </is>
      </c>
      <c r="C127" t="inlineStr">
        <is>
          <t>Gobierno Territorial</t>
        </is>
      </c>
      <c r="D127" t="inlineStr">
        <is>
          <t>4599</t>
        </is>
      </c>
      <c r="E127" t="inlineStr">
        <is>
          <t>Fortalecimiento a la gestión y dirección de la administración pública territorial</t>
        </is>
      </c>
      <c r="F127" t="inlineStr">
        <is>
          <t>4599026</t>
        </is>
      </c>
      <c r="G127" t="inlineStr">
        <is>
          <t>Documentos de investigación</t>
        </is>
      </c>
      <c r="H127" t="inlineStr">
        <is>
          <t>459902600</t>
        </is>
      </c>
      <c r="I127" t="inlineStr">
        <is>
          <t>Documentos de investigación elaborados</t>
        </is>
      </c>
      <c r="J127" t="inlineStr">
        <is>
          <t>2024251750064</t>
        </is>
      </c>
      <c r="K127" t="inlineStr">
        <is>
          <t>Si</t>
        </is>
      </c>
      <c r="L127" t="inlineStr">
        <is>
          <t>Número</t>
        </is>
      </c>
      <c r="M127">
        <v>1</v>
      </c>
      <c r="N127">
        <v>0.25</v>
      </c>
      <c r="O127">
        <v>0.75</v>
      </c>
      <c r="P127">
        <v>0</v>
      </c>
      <c r="Q127">
        <v>0</v>
      </c>
      <c r="R127" t="inlineStr">
        <is>
          <t xml:space="preserve"> </t>
        </is>
      </c>
      <c r="S127" s="103" t="inlineStr">
        <is>
          <t xml:space="preserve"> </t>
        </is>
      </c>
      <c r="T127" t="inlineStr">
        <is>
          <t>No se encontró ejecución en PIIP</t>
        </is>
      </c>
      <c r="U127" t="inlineStr">
        <is>
          <t xml:space="preserve"> </t>
        </is>
      </c>
      <c r="V127" s="104" t="inlineStr">
        <is>
          <t xml:space="preserve"> </t>
        </is>
      </c>
      <c r="W127" t="inlineStr">
        <is>
          <t>No se encontró ejecución en PIIP</t>
        </is>
      </c>
    </row>
    <row r="128">
      <c r="A128" t="inlineStr">
        <is>
          <t>IP-409</t>
        </is>
      </c>
      <c r="B128" t="inlineStr">
        <is>
          <t>45</t>
        </is>
      </c>
      <c r="C128" t="inlineStr">
        <is>
          <t>Gobierno Territorial</t>
        </is>
      </c>
      <c r="D128" t="inlineStr">
        <is>
          <t>4599</t>
        </is>
      </c>
      <c r="E128" t="inlineStr">
        <is>
          <t>Fortalecimiento a la gestión y dirección de la administración pública territorial</t>
        </is>
      </c>
      <c r="F128" t="inlineStr">
        <is>
          <t>4599029</t>
        </is>
      </c>
      <c r="G128" t="inlineStr">
        <is>
          <t>Servicio de integración de la oferta pública</t>
        </is>
      </c>
      <c r="H128" t="inlineStr">
        <is>
          <t>459902900</t>
        </is>
      </c>
      <c r="I128" t="inlineStr">
        <is>
          <t>Espacios de integración de oferta pública generados</t>
        </is>
      </c>
      <c r="J128" t="inlineStr">
        <is>
          <t>2024251750022</t>
        </is>
      </c>
      <c r="K128" t="inlineStr">
        <is>
          <t>Si</t>
        </is>
      </c>
      <c r="L128" t="inlineStr">
        <is>
          <t>Número</t>
        </is>
      </c>
      <c r="M128">
        <v>1</v>
      </c>
      <c r="N128">
        <v>0.25</v>
      </c>
      <c r="O128">
        <v>0.25</v>
      </c>
      <c r="P128">
        <v>0.25</v>
      </c>
      <c r="Q128">
        <v>0.25</v>
      </c>
      <c r="R128">
        <v>0.25</v>
      </c>
      <c r="S128" s="103">
        <v>1</v>
      </c>
      <c r="T128" t="inlineStr">
        <is>
          <t>Se ejecutó el 100% de lo programado en la vigencia</t>
        </is>
      </c>
      <c r="U128">
        <v>0.51</v>
      </c>
      <c r="V128" s="104">
        <v>2.04</v>
      </c>
      <c r="W128" t="inlineStr">
        <is>
          <t>Hubo ejecución por encima de lo programado en SisPT</t>
        </is>
      </c>
    </row>
    <row r="129">
      <c r="A129" t="inlineStr">
        <is>
          <t>IP-410</t>
        </is>
      </c>
      <c r="B129" t="inlineStr">
        <is>
          <t>45</t>
        </is>
      </c>
      <c r="C129" t="inlineStr">
        <is>
          <t>Gobierno Territorial</t>
        </is>
      </c>
      <c r="D129" t="inlineStr">
        <is>
          <t>4599</t>
        </is>
      </c>
      <c r="E129" t="inlineStr">
        <is>
          <t>Fortalecimiento a la gestión y dirección de la administración pública territorial</t>
        </is>
      </c>
      <c r="F129" t="inlineStr">
        <is>
          <t>4599033</t>
        </is>
      </c>
      <c r="G129" t="inlineStr">
        <is>
          <t>Servicio de información para el registro administrativo de SISBEN</t>
        </is>
      </c>
      <c r="H129" t="inlineStr">
        <is>
          <t>459903300</t>
        </is>
      </c>
      <c r="I129" t="inlineStr">
        <is>
          <t>Hogares que realizaron la encuesta</t>
        </is>
      </c>
      <c r="J129" t="inlineStr">
        <is>
          <t>2024251750069</t>
        </is>
      </c>
      <c r="K129" t="inlineStr">
        <is>
          <t>No</t>
        </is>
      </c>
      <c r="L129" t="inlineStr">
        <is>
          <t>Número</t>
        </is>
      </c>
      <c r="M129">
        <v>44128</v>
      </c>
      <c r="N129">
        <v>42177</v>
      </c>
      <c r="O129">
        <v>42827</v>
      </c>
      <c r="P129">
        <v>43478</v>
      </c>
      <c r="Q129">
        <v>44128</v>
      </c>
      <c r="R129">
        <v>42177</v>
      </c>
      <c r="S129" s="103">
        <v>1</v>
      </c>
      <c r="T129" t="inlineStr">
        <is>
          <t>Se ejecutó el 100% de lo programado en la vigencia</t>
        </is>
      </c>
      <c r="U129">
        <v>0</v>
      </c>
      <c r="V129" s="104">
        <v>0</v>
      </c>
      <c r="W129" t="inlineStr">
        <is>
          <t>No se ejecutó en la vigencia</t>
        </is>
      </c>
    </row>
    <row r="130">
      <c r="A130" t="inlineStr">
        <is>
          <t>IP-411</t>
        </is>
      </c>
      <c r="B130" t="inlineStr">
        <is>
          <t>45</t>
        </is>
      </c>
      <c r="C130" t="inlineStr">
        <is>
          <t>Gobierno Territorial</t>
        </is>
      </c>
      <c r="D130" t="inlineStr">
        <is>
          <t>4599</t>
        </is>
      </c>
      <c r="E130" t="inlineStr">
        <is>
          <t>Fortalecimiento a la gestión y dirección de la administración pública territorial</t>
        </is>
      </c>
      <c r="F130" t="inlineStr">
        <is>
          <t>4599001</t>
        </is>
      </c>
      <c r="G130" t="inlineStr">
        <is>
          <t>Documentos de evaluación</t>
        </is>
      </c>
      <c r="H130" t="inlineStr">
        <is>
          <t>459900100</t>
        </is>
      </c>
      <c r="I130" t="inlineStr">
        <is>
          <t>Documentos de evaluación elaborados</t>
        </is>
      </c>
      <c r="J130" t="inlineStr">
        <is>
          <t>2024251750034</t>
        </is>
      </c>
      <c r="K130" t="inlineStr">
        <is>
          <t>Si</t>
        </is>
      </c>
      <c r="L130" t="inlineStr">
        <is>
          <t>Número</t>
        </is>
      </c>
      <c r="M130">
        <v>4</v>
      </c>
      <c r="N130">
        <v>1</v>
      </c>
      <c r="O130">
        <v>1</v>
      </c>
      <c r="P130">
        <v>1</v>
      </c>
      <c r="Q130">
        <v>1</v>
      </c>
      <c r="R130">
        <v>1</v>
      </c>
      <c r="S130" s="103">
        <v>1</v>
      </c>
      <c r="T130" t="inlineStr">
        <is>
          <t>Se ejecutó el 100% de lo programado en la vigencia</t>
        </is>
      </c>
      <c r="U130">
        <v>0.45</v>
      </c>
      <c r="V130" s="104">
        <v>0.45</v>
      </c>
      <c r="W130" t="inlineStr">
        <is>
          <t>Lo ejecutado está por debajo de lo programado en la vigencia</t>
        </is>
      </c>
    </row>
    <row r="131">
      <c r="A131" t="inlineStr">
        <is>
          <t>IP-414, IP-550</t>
        </is>
      </c>
      <c r="B131" t="inlineStr">
        <is>
          <t>45</t>
        </is>
      </c>
      <c r="C131" t="inlineStr">
        <is>
          <t>Gobierno Territorial</t>
        </is>
      </c>
      <c r="D131" t="inlineStr">
        <is>
          <t>4599</t>
        </is>
      </c>
      <c r="E131" t="inlineStr">
        <is>
          <t>Fortalecimiento a la gestión y dirección de la administración pública territorial</t>
        </is>
      </c>
      <c r="F131" t="inlineStr">
        <is>
          <t>4599019</t>
        </is>
      </c>
      <c r="G131" t="inlineStr">
        <is>
          <t>Documentos de planeación</t>
        </is>
      </c>
      <c r="H131" t="inlineStr">
        <is>
          <t>459901900</t>
        </is>
      </c>
      <c r="I131" t="inlineStr">
        <is>
          <t>Documentos de planeación realizados</t>
        </is>
      </c>
      <c r="J131" t="inlineStr">
        <is>
          <t>2024251750034</t>
        </is>
      </c>
      <c r="K131" t="inlineStr">
        <is>
          <t>Si</t>
        </is>
      </c>
      <c r="L131" t="inlineStr">
        <is>
          <t>Número</t>
        </is>
      </c>
      <c r="M131">
        <v>8</v>
      </c>
      <c r="N131">
        <v>2</v>
      </c>
      <c r="O131">
        <v>2</v>
      </c>
      <c r="P131">
        <v>2</v>
      </c>
      <c r="Q131">
        <v>2</v>
      </c>
      <c r="R131">
        <v>2</v>
      </c>
      <c r="S131" s="103">
        <v>1</v>
      </c>
      <c r="T131" t="inlineStr">
        <is>
          <t>Se ejecutó el 100% de lo programado en la vigencia</t>
        </is>
      </c>
      <c r="U131">
        <v>0</v>
      </c>
      <c r="V131" s="104">
        <v>0</v>
      </c>
      <c r="W131" t="inlineStr">
        <is>
          <t>No se ejecutó en la vigencia</t>
        </is>
      </c>
    </row>
    <row r="132">
      <c r="A132" t="inlineStr">
        <is>
          <t>IP-415</t>
        </is>
      </c>
      <c r="B132" t="inlineStr">
        <is>
          <t>40</t>
        </is>
      </c>
      <c r="C132" t="inlineStr">
        <is>
          <t>Vivienda, ciudad y territorio</t>
        </is>
      </c>
      <c r="D132" t="inlineStr">
        <is>
          <t>4003</t>
        </is>
      </c>
      <c r="E132" t="inlineStr">
        <is>
          <t>Acceso de la población a los servicios de agua potable y saneamiento básico</t>
        </is>
      </c>
      <c r="F132" t="inlineStr">
        <is>
          <t>4003047</t>
        </is>
      </c>
      <c r="G132" t="inlineStr">
        <is>
          <t>Servicio de apoyo financiero para subsidios al consumo en los servicios públicos domiciliarios</t>
        </is>
      </c>
      <c r="H132" t="inlineStr">
        <is>
          <t>400304702</t>
        </is>
      </c>
      <c r="I132" t="inlineStr">
        <is>
          <t>Usuarios beneficiados con subsidios al consumo del servicio de acueducto</t>
        </is>
      </c>
      <c r="J132" t="inlineStr">
        <is>
          <t>2024251750023</t>
        </is>
      </c>
      <c r="K132" t="inlineStr">
        <is>
          <t>Si</t>
        </is>
      </c>
      <c r="L132" t="inlineStr">
        <is>
          <t>Número</t>
        </is>
      </c>
      <c r="M132">
        <v>7006</v>
      </c>
      <c r="N132">
        <v>7006</v>
      </c>
      <c r="O132">
        <v>0</v>
      </c>
      <c r="P132">
        <v>0</v>
      </c>
      <c r="Q132">
        <v>0</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IP-416</t>
        </is>
      </c>
      <c r="B133" t="inlineStr">
        <is>
          <t>40</t>
        </is>
      </c>
      <c r="C133" t="inlineStr">
        <is>
          <t>Vivienda, ciudad y territorio</t>
        </is>
      </c>
      <c r="D133" t="inlineStr">
        <is>
          <t>4003</t>
        </is>
      </c>
      <c r="E133" t="inlineStr">
        <is>
          <t>Acceso de la población a los servicios de agua potable y saneamiento básico</t>
        </is>
      </c>
      <c r="F133" t="inlineStr">
        <is>
          <t>4003047</t>
        </is>
      </c>
      <c r="G133" t="inlineStr">
        <is>
          <t>Servicio de apoyo financiero para subsidios al consumo en los servicios públicos domiciliarios</t>
        </is>
      </c>
      <c r="H133" t="inlineStr">
        <is>
          <t>400304703</t>
        </is>
      </c>
      <c r="I133" t="inlineStr">
        <is>
          <t>Usuarios beneficiados con subsidios al consumo del servicio de alcantarillado</t>
        </is>
      </c>
      <c r="J133" t="inlineStr">
        <is>
          <t>2024251750023</t>
        </is>
      </c>
      <c r="K133" t="inlineStr">
        <is>
          <t>Si</t>
        </is>
      </c>
      <c r="L133" t="inlineStr">
        <is>
          <t>Número</t>
        </is>
      </c>
      <c r="M133">
        <v>30957</v>
      </c>
      <c r="N133">
        <v>30957</v>
      </c>
      <c r="O133">
        <v>0</v>
      </c>
      <c r="P133">
        <v>0</v>
      </c>
      <c r="Q133">
        <v>0</v>
      </c>
      <c r="R133" t="inlineStr">
        <is>
          <t xml:space="preserve"> </t>
        </is>
      </c>
      <c r="S133" s="103" t="inlineStr">
        <is>
          <t xml:space="preserve"> </t>
        </is>
      </c>
      <c r="T133" t="inlineStr">
        <is>
          <t>No se encontró ejecución en PIIP</t>
        </is>
      </c>
      <c r="U133" t="inlineStr">
        <is>
          <t xml:space="preserve"> </t>
        </is>
      </c>
      <c r="V133" s="104" t="inlineStr">
        <is>
          <t xml:space="preserve"> </t>
        </is>
      </c>
      <c r="W133" t="inlineStr">
        <is>
          <t>No se encontró ejecución en PIIP</t>
        </is>
      </c>
    </row>
    <row r="134">
      <c r="A134" t="inlineStr">
        <is>
          <t>IP-417</t>
        </is>
      </c>
      <c r="B134" t="inlineStr">
        <is>
          <t>40</t>
        </is>
      </c>
      <c r="C134" t="inlineStr">
        <is>
          <t>Vivienda, ciudad y territorio</t>
        </is>
      </c>
      <c r="D134" t="inlineStr">
        <is>
          <t>4003</t>
        </is>
      </c>
      <c r="E134" t="inlineStr">
        <is>
          <t>Acceso de la población a los servicios de agua potable y saneamiento básico</t>
        </is>
      </c>
      <c r="F134" t="inlineStr">
        <is>
          <t>4003047</t>
        </is>
      </c>
      <c r="G134" t="inlineStr">
        <is>
          <t>Servicio de apoyo financiero para subsidios al consumo en los servicios públicos domiciliarios</t>
        </is>
      </c>
      <c r="H134" t="inlineStr">
        <is>
          <t>400304704</t>
        </is>
      </c>
      <c r="I134" t="inlineStr">
        <is>
          <t>Usuarios beneficiados con subsidios al consumo del servicio de aseo</t>
        </is>
      </c>
      <c r="J134" t="inlineStr">
        <is>
          <t>202500000023314</t>
        </is>
      </c>
      <c r="K134" t="inlineStr">
        <is>
          <t>Si</t>
        </is>
      </c>
      <c r="L134" t="inlineStr">
        <is>
          <t>Número</t>
        </is>
      </c>
      <c r="M134">
        <v>128407</v>
      </c>
      <c r="N134">
        <v>0</v>
      </c>
      <c r="O134">
        <v>34314</v>
      </c>
      <c r="P134">
        <v>41520</v>
      </c>
      <c r="Q134">
        <v>52573</v>
      </c>
      <c r="R134" t="inlineStr">
        <is>
          <t xml:space="preserve"> </t>
        </is>
      </c>
      <c r="S134" s="103" t="inlineStr">
        <is>
          <t xml:space="preserve"> </t>
        </is>
      </c>
      <c r="T134" t="inlineStr">
        <is>
          <t>No se encontró ejecución en PIIP</t>
        </is>
      </c>
      <c r="U134" t="inlineStr">
        <is>
          <t xml:space="preserve"> </t>
        </is>
      </c>
      <c r="V134" s="104" t="inlineStr">
        <is>
          <t xml:space="preserve"> </t>
        </is>
      </c>
      <c r="W134" t="inlineStr">
        <is>
          <t>No se encontró ejecución en PIIP</t>
        </is>
      </c>
    </row>
    <row r="135">
      <c r="A135" t="inlineStr">
        <is>
          <t>IP-418</t>
        </is>
      </c>
      <c r="B135" t="inlineStr">
        <is>
          <t>21</t>
        </is>
      </c>
      <c r="C135" t="inlineStr">
        <is>
          <t>Minas y Energía</t>
        </is>
      </c>
      <c r="D135" t="inlineStr">
        <is>
          <t>2102</t>
        </is>
      </c>
      <c r="E135" t="inlineStr">
        <is>
          <t>Consolidación productiva del sector de energía eléctrica</t>
        </is>
      </c>
      <c r="F135" t="inlineStr">
        <is>
          <t>2102013</t>
        </is>
      </c>
      <c r="G135" t="inlineStr">
        <is>
          <t>Redes de alumbrado público mejoradas</t>
        </is>
      </c>
      <c r="H135" t="inlineStr">
        <is>
          <t>210201300</t>
        </is>
      </c>
      <c r="I135" t="inlineStr">
        <is>
          <t>Redes de alumbrado público mejoradas</t>
        </is>
      </c>
      <c r="J135" t="inlineStr">
        <is>
          <t>2021251750004</t>
        </is>
      </c>
      <c r="K135" t="inlineStr">
        <is>
          <t>No</t>
        </is>
      </c>
      <c r="L135" t="inlineStr">
        <is>
          <t xml:space="preserve">Metros </t>
        </is>
      </c>
      <c r="M135">
        <v>15204</v>
      </c>
      <c r="N135">
        <v>15204</v>
      </c>
      <c r="O135">
        <v>15204</v>
      </c>
      <c r="P135">
        <v>15204</v>
      </c>
      <c r="Q135">
        <v>15204</v>
      </c>
      <c r="R135">
        <v>15204</v>
      </c>
      <c r="S135" s="103">
        <v>1</v>
      </c>
      <c r="T135" t="inlineStr">
        <is>
          <t>Se ejecutó el 100% de lo programado en la vigencia</t>
        </is>
      </c>
      <c r="U135">
        <v>10000</v>
      </c>
      <c r="V135" s="104">
        <v>0.65772165219679</v>
      </c>
      <c r="W135" t="inlineStr">
        <is>
          <t>Lo ejecutado está por debajo de lo programado en la vigencia</t>
        </is>
      </c>
    </row>
    <row r="136">
      <c r="A136" t="inlineStr">
        <is>
          <t>IP-419</t>
        </is>
      </c>
      <c r="B136" t="inlineStr">
        <is>
          <t>45</t>
        </is>
      </c>
      <c r="C136" t="inlineStr">
        <is>
          <t>Gobierno Territorial</t>
        </is>
      </c>
      <c r="D136" t="inlineStr">
        <is>
          <t>4599</t>
        </is>
      </c>
      <c r="E136" t="inlineStr">
        <is>
          <t>Fortalecimiento a la gestión y dirección de la administración pública territorial</t>
        </is>
      </c>
      <c r="F136" t="inlineStr">
        <is>
          <t>4599028</t>
        </is>
      </c>
      <c r="G136" t="inlineStr">
        <is>
          <t>Servicio de información actualizado</t>
        </is>
      </c>
      <c r="H136" t="inlineStr">
        <is>
          <t>459902800</t>
        </is>
      </c>
      <c r="I136" t="inlineStr">
        <is>
          <t>Sistemas de información actualizados</t>
        </is>
      </c>
      <c r="J136" t="inlineStr">
        <is>
          <t>2024251750022</t>
        </is>
      </c>
      <c r="K136" t="inlineStr">
        <is>
          <t>Si</t>
        </is>
      </c>
      <c r="L136" t="inlineStr">
        <is>
          <t>Número</t>
        </is>
      </c>
      <c r="M136">
        <v>4</v>
      </c>
      <c r="N136">
        <v>1</v>
      </c>
      <c r="O136">
        <v>1</v>
      </c>
      <c r="P136">
        <v>1</v>
      </c>
      <c r="Q136">
        <v>1</v>
      </c>
      <c r="R136">
        <v>1</v>
      </c>
      <c r="S136" s="103">
        <v>1</v>
      </c>
      <c r="T136" t="inlineStr">
        <is>
          <t>Se ejecutó el 100% de lo programado en la vigencia</t>
        </is>
      </c>
      <c r="U136">
        <v>1.2</v>
      </c>
      <c r="V136" s="104">
        <v>1.2</v>
      </c>
      <c r="W136" t="inlineStr">
        <is>
          <t>Hubo ejecución por encima de lo programado en SisPT</t>
        </is>
      </c>
    </row>
    <row r="137">
      <c r="A137" t="inlineStr">
        <is>
          <t>IP-420</t>
        </is>
      </c>
      <c r="B137" t="inlineStr">
        <is>
          <t>21</t>
        </is>
      </c>
      <c r="C137" t="inlineStr">
        <is>
          <t>Minas y Energía</t>
        </is>
      </c>
      <c r="D137" t="inlineStr">
        <is>
          <t>2105</t>
        </is>
      </c>
      <c r="E137" t="inlineStr">
        <is>
          <t>Desarrollo ambiental sostenible del sector minero energético</t>
        </is>
      </c>
      <c r="F137" t="inlineStr">
        <is>
          <t>2105017</t>
        </is>
      </c>
      <c r="G137" t="inlineStr">
        <is>
          <t>Estudios de pre inversión</t>
        </is>
      </c>
      <c r="H137" t="inlineStr">
        <is>
          <t>210501700</t>
        </is>
      </c>
      <c r="I137" t="inlineStr">
        <is>
          <t>Estudios de pre inversión realizados</t>
        </is>
      </c>
      <c r="J137" t="inlineStr">
        <is>
          <t>2024251750025</t>
        </is>
      </c>
      <c r="K137" t="inlineStr">
        <is>
          <t>No</t>
        </is>
      </c>
      <c r="L137" t="inlineStr">
        <is>
          <t>Número</t>
        </is>
      </c>
      <c r="M137">
        <v>5</v>
      </c>
      <c r="N137">
        <v>0</v>
      </c>
      <c r="O137">
        <v>5</v>
      </c>
      <c r="P137">
        <v>0</v>
      </c>
      <c r="Q137">
        <v>0</v>
      </c>
      <c r="R137" t="inlineStr">
        <is>
          <t xml:space="preserve"> </t>
        </is>
      </c>
      <c r="S137" s="103" t="inlineStr">
        <is>
          <t xml:space="preserve"> </t>
        </is>
      </c>
      <c r="T137" t="inlineStr">
        <is>
          <t>No se encontró ejecución en PIIP</t>
        </is>
      </c>
      <c r="U137" t="inlineStr">
        <is>
          <t xml:space="preserve"> </t>
        </is>
      </c>
      <c r="V137" s="104" t="inlineStr">
        <is>
          <t xml:space="preserve"> </t>
        </is>
      </c>
      <c r="W137" t="inlineStr">
        <is>
          <t>No se encontró ejecución en PIIP</t>
        </is>
      </c>
    </row>
    <row r="138">
      <c r="A138" t="inlineStr">
        <is>
          <t>IP-421</t>
        </is>
      </c>
      <c r="B138" t="inlineStr">
        <is>
          <t>22</t>
        </is>
      </c>
      <c r="C138" t="inlineStr">
        <is>
          <t>Educación</t>
        </is>
      </c>
      <c r="D138" t="inlineStr">
        <is>
          <t>2201</t>
        </is>
      </c>
      <c r="E138" t="inlineStr">
        <is>
          <t>Calidad, cobertura y fortalecimiento de la educación inicial, prescolar, básica y media</t>
        </is>
      </c>
      <c r="F138" t="inlineStr">
        <is>
          <t>2201029</t>
        </is>
      </c>
      <c r="G138" t="inlineStr">
        <is>
          <t>Servicio de apoyo a la permanencia con transporte escolar</t>
        </is>
      </c>
      <c r="H138" t="inlineStr">
        <is>
          <t>220102900</t>
        </is>
      </c>
      <c r="I138" t="inlineStr">
        <is>
          <t>Beneficiarios de transporte escolar</t>
        </is>
      </c>
      <c r="J138" t="inlineStr">
        <is>
          <t>2024251750013</t>
        </is>
      </c>
      <c r="K138" t="inlineStr">
        <is>
          <t>Si</t>
        </is>
      </c>
      <c r="L138" t="inlineStr">
        <is>
          <t>Número</t>
        </is>
      </c>
      <c r="M138">
        <v>4000</v>
      </c>
      <c r="N138">
        <v>619</v>
      </c>
      <c r="O138">
        <v>1127</v>
      </c>
      <c r="P138">
        <v>1127</v>
      </c>
      <c r="Q138">
        <v>1127</v>
      </c>
      <c r="R138">
        <v>619</v>
      </c>
      <c r="S138" s="103">
        <v>1</v>
      </c>
      <c r="T138" t="inlineStr">
        <is>
          <t>Se ejecutó el 100% de lo programado en la vigencia</t>
        </is>
      </c>
      <c r="U138">
        <v>0</v>
      </c>
      <c r="V138" s="104">
        <v>0</v>
      </c>
      <c r="W138" t="inlineStr">
        <is>
          <t>No se ejecutó en la vigencia</t>
        </is>
      </c>
    </row>
    <row r="139">
      <c r="A139" t="inlineStr">
        <is>
          <t>IP-422</t>
        </is>
      </c>
      <c r="B139" t="inlineStr">
        <is>
          <t>22</t>
        </is>
      </c>
      <c r="C139" t="inlineStr">
        <is>
          <t>Educación</t>
        </is>
      </c>
      <c r="D139" t="inlineStr">
        <is>
          <t>2201</t>
        </is>
      </c>
      <c r="E139" t="inlineStr">
        <is>
          <t>Calidad, cobertura y fortalecimiento de la educación inicial, prescolar, básica y media</t>
        </is>
      </c>
      <c r="F139" t="inlineStr">
        <is>
          <t>2201028</t>
        </is>
      </c>
      <c r="G139" t="inlineStr">
        <is>
          <t>Servicio de apoyo a la permanencia con alimentación escolar</t>
        </is>
      </c>
      <c r="H139" t="inlineStr">
        <is>
          <t>220102805</t>
        </is>
      </c>
      <c r="I139" t="inlineStr">
        <is>
          <t>Estudiantes beneficiados del programa de alimentación escolar</t>
        </is>
      </c>
      <c r="J139" t="inlineStr">
        <is>
          <t>2024251750013</t>
        </is>
      </c>
      <c r="K139" t="inlineStr">
        <is>
          <t>No</t>
        </is>
      </c>
      <c r="L139" t="inlineStr">
        <is>
          <t>Número</t>
        </is>
      </c>
      <c r="M139">
        <v>14600</v>
      </c>
      <c r="N139">
        <v>14600</v>
      </c>
      <c r="O139">
        <v>14600</v>
      </c>
      <c r="P139">
        <v>14600</v>
      </c>
      <c r="Q139">
        <v>14600</v>
      </c>
      <c r="R139">
        <v>14600</v>
      </c>
      <c r="S139" s="103">
        <v>1</v>
      </c>
      <c r="T139" t="inlineStr">
        <is>
          <t>Se ejecutó el 100% de lo programado en la vigencia</t>
        </is>
      </c>
      <c r="U139">
        <v>0</v>
      </c>
      <c r="V139" s="104">
        <v>0</v>
      </c>
      <c r="W139" t="inlineStr">
        <is>
          <t>No se ejecutó en la vigencia</t>
        </is>
      </c>
    </row>
    <row r="140">
      <c r="A140" t="inlineStr">
        <is>
          <t>IP-423</t>
        </is>
      </c>
      <c r="B140" t="inlineStr">
        <is>
          <t>22</t>
        </is>
      </c>
      <c r="C140" t="inlineStr">
        <is>
          <t>Educación</t>
        </is>
      </c>
      <c r="D140" t="inlineStr">
        <is>
          <t>2201</t>
        </is>
      </c>
      <c r="E140" t="inlineStr">
        <is>
          <t>Calidad, cobertura y fortalecimiento de la educación inicial, prescolar, básica y media</t>
        </is>
      </c>
      <c r="F140" t="inlineStr">
        <is>
          <t>2201069</t>
        </is>
      </c>
      <c r="G140" t="inlineStr">
        <is>
          <t>Infraestructura educativa dotada</t>
        </is>
      </c>
      <c r="H140" t="inlineStr">
        <is>
          <t>220106900</t>
        </is>
      </c>
      <c r="I140" t="inlineStr">
        <is>
          <t>Sedes dotadas</t>
        </is>
      </c>
      <c r="J140" t="inlineStr">
        <is>
          <t>2024251750013</t>
        </is>
      </c>
      <c r="K140" t="inlineStr">
        <is>
          <t>No</t>
        </is>
      </c>
      <c r="L140" t="inlineStr">
        <is>
          <t>Número</t>
        </is>
      </c>
      <c r="M140">
        <v>12</v>
      </c>
      <c r="N140">
        <v>12</v>
      </c>
      <c r="O140">
        <v>12</v>
      </c>
      <c r="P140">
        <v>12</v>
      </c>
      <c r="Q140">
        <v>12</v>
      </c>
      <c r="R140">
        <v>12</v>
      </c>
      <c r="S140" s="103">
        <v>1</v>
      </c>
      <c r="T140" t="inlineStr">
        <is>
          <t>Se ejecutó el 100% de lo programado en la vigencia</t>
        </is>
      </c>
      <c r="U140">
        <v>0</v>
      </c>
      <c r="V140" s="104">
        <v>0</v>
      </c>
      <c r="W140" t="inlineStr">
        <is>
          <t>No se ejecutó en la vigencia</t>
        </is>
      </c>
    </row>
    <row r="141">
      <c r="A141" t="inlineStr">
        <is>
          <t>IP-424</t>
        </is>
      </c>
      <c r="B141" t="inlineStr">
        <is>
          <t>22</t>
        </is>
      </c>
      <c r="C141" t="inlineStr">
        <is>
          <t>Educación</t>
        </is>
      </c>
      <c r="D141" t="inlineStr">
        <is>
          <t>2201</t>
        </is>
      </c>
      <c r="E141" t="inlineStr">
        <is>
          <t>Calidad, cobertura y fortalecimiento de la educación inicial, prescolar, básica y media</t>
        </is>
      </c>
      <c r="F141" t="inlineStr">
        <is>
          <t>2201034</t>
        </is>
      </c>
      <c r="G141" t="inlineStr">
        <is>
          <t>Servicio educativos de promoción del bilingüismo</t>
        </is>
      </c>
      <c r="H141" t="inlineStr">
        <is>
          <t>220103400</t>
        </is>
      </c>
      <c r="I141" t="inlineStr">
        <is>
          <t>Estudiantes beneficiados con estrategias de promoción del bilingüismo</t>
        </is>
      </c>
      <c r="J141" t="inlineStr">
        <is>
          <t>2024251750013</t>
        </is>
      </c>
      <c r="K141" t="inlineStr">
        <is>
          <t>No</t>
        </is>
      </c>
      <c r="L141" t="inlineStr">
        <is>
          <t>Número</t>
        </is>
      </c>
      <c r="M141">
        <v>3292</v>
      </c>
      <c r="N141">
        <v>3292</v>
      </c>
      <c r="O141">
        <v>3292</v>
      </c>
      <c r="P141">
        <v>3292</v>
      </c>
      <c r="Q141">
        <v>3292</v>
      </c>
      <c r="R141">
        <v>3292</v>
      </c>
      <c r="S141" s="103">
        <v>1</v>
      </c>
      <c r="T141" t="inlineStr">
        <is>
          <t>Se ejecutó el 100% de lo programado en la vigencia</t>
        </is>
      </c>
      <c r="U141">
        <v>0</v>
      </c>
      <c r="V141" s="104">
        <v>0</v>
      </c>
      <c r="W141" t="inlineStr">
        <is>
          <t>No se ejecutó en la vigencia</t>
        </is>
      </c>
    </row>
    <row r="142">
      <c r="A142" t="inlineStr">
        <is>
          <t>IP-425</t>
        </is>
      </c>
      <c r="B142" t="inlineStr">
        <is>
          <t>22</t>
        </is>
      </c>
      <c r="C142" t="inlineStr">
        <is>
          <t>Educación</t>
        </is>
      </c>
      <c r="D142" t="inlineStr">
        <is>
          <t>2201</t>
        </is>
      </c>
      <c r="E142" t="inlineStr">
        <is>
          <t>Calidad, cobertura y fortalecimiento de la educación inicial, prescolar, básica y media</t>
        </is>
      </c>
      <c r="F142" t="inlineStr">
        <is>
          <t>2201050</t>
        </is>
      </c>
      <c r="G142" t="inlineStr">
        <is>
          <t>Servicio de accesibilidad a contenidos web para fines pedagógicos</t>
        </is>
      </c>
      <c r="H142" t="inlineStr">
        <is>
          <t>220105000</t>
        </is>
      </c>
      <c r="I142" t="inlineStr">
        <is>
          <t>Estudiantes con acceso a contenidos web en el establecimiento educativo</t>
        </is>
      </c>
      <c r="J142" t="inlineStr">
        <is>
          <t>2024251750013</t>
        </is>
      </c>
      <c r="K142" t="inlineStr">
        <is>
          <t>No</t>
        </is>
      </c>
      <c r="L142" t="inlineStr">
        <is>
          <t>Número</t>
        </is>
      </c>
      <c r="M142">
        <v>5500</v>
      </c>
      <c r="N142">
        <v>5500</v>
      </c>
      <c r="O142">
        <v>5500</v>
      </c>
      <c r="P142">
        <v>5500</v>
      </c>
      <c r="Q142">
        <v>5500</v>
      </c>
      <c r="R142">
        <v>0</v>
      </c>
      <c r="S142" s="103">
        <v>0</v>
      </c>
      <c r="T142" t="inlineStr">
        <is>
          <t>No se ejecutó en la vigencia</t>
        </is>
      </c>
      <c r="U142" t="inlineStr">
        <is>
          <t xml:space="preserve"> </t>
        </is>
      </c>
      <c r="V142" s="104" t="inlineStr">
        <is>
          <t xml:space="preserve"> </t>
        </is>
      </c>
      <c r="W142" t="inlineStr">
        <is>
          <t>No se encontró ejecución en PIIP</t>
        </is>
      </c>
    </row>
    <row r="143">
      <c r="A143" t="inlineStr">
        <is>
          <t>IP-426</t>
        </is>
      </c>
      <c r="B143" t="inlineStr">
        <is>
          <t>22</t>
        </is>
      </c>
      <c r="C143" t="inlineStr">
        <is>
          <t>Educación</t>
        </is>
      </c>
      <c r="D143" t="inlineStr">
        <is>
          <t>2201</t>
        </is>
      </c>
      <c r="E143" t="inlineStr">
        <is>
          <t>Calidad, cobertura y fortalecimiento de la educación inicial, prescolar, básica y media</t>
        </is>
      </c>
      <c r="F143" t="inlineStr">
        <is>
          <t>2201037</t>
        </is>
      </c>
      <c r="G143" t="inlineStr">
        <is>
          <t>Servicio de atención integral para la primera infancia</t>
        </is>
      </c>
      <c r="H143" t="inlineStr">
        <is>
          <t>220103702</t>
        </is>
      </c>
      <c r="I143" t="inlineStr">
        <is>
          <t>Niñas y niños con educación inicial en el marco de la atención integral</t>
        </is>
      </c>
      <c r="J143" t="inlineStr">
        <is>
          <t>2024251750013</t>
        </is>
      </c>
      <c r="K143" t="inlineStr">
        <is>
          <t>No</t>
        </is>
      </c>
      <c r="L143" t="inlineStr">
        <is>
          <t>Número</t>
        </is>
      </c>
      <c r="M143">
        <v>1200</v>
      </c>
      <c r="N143">
        <v>1200</v>
      </c>
      <c r="O143">
        <v>1200</v>
      </c>
      <c r="P143">
        <v>1200</v>
      </c>
      <c r="Q143">
        <v>1200</v>
      </c>
      <c r="R143">
        <v>1200</v>
      </c>
      <c r="S143" s="103">
        <v>1</v>
      </c>
      <c r="T143" t="inlineStr">
        <is>
          <t>Se ejecutó el 100% de lo programado en la vigencia</t>
        </is>
      </c>
      <c r="U143">
        <v>0</v>
      </c>
      <c r="V143" s="104">
        <v>0</v>
      </c>
      <c r="W143" t="inlineStr">
        <is>
          <t>No se ejecutó en la vigencia</t>
        </is>
      </c>
    </row>
    <row r="144">
      <c r="A144" t="inlineStr">
        <is>
          <t>IP-427</t>
        </is>
      </c>
      <c r="B144" t="inlineStr">
        <is>
          <t>22</t>
        </is>
      </c>
      <c r="C144" t="inlineStr">
        <is>
          <t>Educación</t>
        </is>
      </c>
      <c r="D144" t="inlineStr">
        <is>
          <t>2201</t>
        </is>
      </c>
      <c r="E144" t="inlineStr">
        <is>
          <t>Calidad, cobertura y fortalecimiento de la educación inicial, prescolar, básica y media</t>
        </is>
      </c>
      <c r="F144" t="inlineStr">
        <is>
          <t>2201072</t>
        </is>
      </c>
      <c r="G144" t="inlineStr">
        <is>
          <t>Servicio de evaluación de las estrategias educativas implementadas en la educación inicial, preescolar, básica y media</t>
        </is>
      </c>
      <c r="H144" t="inlineStr">
        <is>
          <t>220107200</t>
        </is>
      </c>
      <c r="I144" t="inlineStr">
        <is>
          <t>Programas, proyectos y estrategias evaluadas</t>
        </is>
      </c>
      <c r="J144" t="inlineStr">
        <is>
          <t>2024251750013</t>
        </is>
      </c>
      <c r="K144" t="inlineStr">
        <is>
          <t>Si</t>
        </is>
      </c>
      <c r="L144" t="inlineStr">
        <is>
          <t>Número</t>
        </is>
      </c>
      <c r="M144">
        <v>1</v>
      </c>
      <c r="N144">
        <v>0.25</v>
      </c>
      <c r="O144">
        <v>0.25</v>
      </c>
      <c r="P144">
        <v>0.25</v>
      </c>
      <c r="Q144">
        <v>0.25</v>
      </c>
      <c r="R144">
        <v>0.25</v>
      </c>
      <c r="S144" s="103">
        <v>1</v>
      </c>
      <c r="T144" t="inlineStr">
        <is>
          <t>Se ejecutó el 100% de lo programado en la vigencia</t>
        </is>
      </c>
      <c r="U144">
        <v>0</v>
      </c>
      <c r="V144" s="104">
        <v>0</v>
      </c>
      <c r="W144" t="inlineStr">
        <is>
          <t>No se ejecutó en la vigencia</t>
        </is>
      </c>
    </row>
    <row r="145">
      <c r="A145" t="inlineStr">
        <is>
          <t>IP-428, IP-429, IP-430, IP-431, IP-433</t>
        </is>
      </c>
      <c r="B145" t="inlineStr">
        <is>
          <t>22</t>
        </is>
      </c>
      <c r="C145" t="inlineStr">
        <is>
          <t>Educación</t>
        </is>
      </c>
      <c r="D145" t="inlineStr">
        <is>
          <t>2201</t>
        </is>
      </c>
      <c r="E145" t="inlineStr">
        <is>
          <t>Calidad, cobertura y fortalecimiento de la educación inicial, prescolar, básica y media</t>
        </is>
      </c>
      <c r="F145" t="inlineStr">
        <is>
          <t>2201017</t>
        </is>
      </c>
      <c r="G145" t="inlineStr">
        <is>
          <t>Servicio de fomento para el acceso a la educación inicial, preescolar, básica y media.</t>
        </is>
      </c>
      <c r="H145" t="inlineStr">
        <is>
          <t>220101700</t>
        </is>
      </c>
      <c r="I145" t="inlineStr">
        <is>
          <t xml:space="preserve">Personas beneficiadas con estrategias de fomento para el acceso a la educación inicial, preescolar, básica y media. </t>
        </is>
      </c>
      <c r="J145" t="inlineStr">
        <is>
          <t>2024251750013</t>
        </is>
      </c>
      <c r="K145" t="inlineStr">
        <is>
          <t>No</t>
        </is>
      </c>
      <c r="L145" t="inlineStr">
        <is>
          <t>Número</t>
        </is>
      </c>
      <c r="M145">
        <v>47472</v>
      </c>
      <c r="N145">
        <v>29682</v>
      </c>
      <c r="O145">
        <v>47472</v>
      </c>
      <c r="P145">
        <v>47472</v>
      </c>
      <c r="Q145">
        <v>47472</v>
      </c>
      <c r="R145">
        <v>14600</v>
      </c>
      <c r="S145" s="103">
        <v>0.491880601037666</v>
      </c>
      <c r="T145" t="inlineStr">
        <is>
          <t>Lo ejecutado está por debajo de lo programado en la vigencia</t>
        </is>
      </c>
      <c r="U145">
        <v>0</v>
      </c>
      <c r="V145" s="104">
        <v>0</v>
      </c>
      <c r="W145" t="inlineStr">
        <is>
          <t>No se ejecutó en la vigencia</t>
        </is>
      </c>
    </row>
    <row r="146">
      <c r="A146" t="inlineStr">
        <is>
          <t>IP-432</t>
        </is>
      </c>
      <c r="B146" t="inlineStr">
        <is>
          <t>22</t>
        </is>
      </c>
      <c r="C146" t="inlineStr">
        <is>
          <t>Educación</t>
        </is>
      </c>
      <c r="D146" t="inlineStr">
        <is>
          <t>2201</t>
        </is>
      </c>
      <c r="E146" t="inlineStr">
        <is>
          <t>Calidad, cobertura y fortalecimiento de la educación inicial, prescolar, básica y media</t>
        </is>
      </c>
      <c r="F146" t="inlineStr">
        <is>
          <t>2201047</t>
        </is>
      </c>
      <c r="G146" t="inlineStr">
        <is>
          <t>Servicios de apoyo a la implementación de modelos de innovación educativa</t>
        </is>
      </c>
      <c r="H146" t="inlineStr">
        <is>
          <t>220104700</t>
        </is>
      </c>
      <c r="I146" t="inlineStr">
        <is>
          <t xml:space="preserve">Establecimientos educativos apoyados para la  implementación de modelos de innovación educativa </t>
        </is>
      </c>
      <c r="J146" t="inlineStr">
        <is>
          <t>2024251750013</t>
        </is>
      </c>
      <c r="K146" t="inlineStr">
        <is>
          <t>No</t>
        </is>
      </c>
      <c r="L146" t="inlineStr">
        <is>
          <t>Número</t>
        </is>
      </c>
      <c r="M146">
        <v>3</v>
      </c>
      <c r="N146">
        <v>3</v>
      </c>
      <c r="O146">
        <v>3</v>
      </c>
      <c r="P146">
        <v>3</v>
      </c>
      <c r="Q146">
        <v>3</v>
      </c>
      <c r="R146">
        <v>3</v>
      </c>
      <c r="S146" s="103">
        <v>1</v>
      </c>
      <c r="T146" t="inlineStr">
        <is>
          <t>Se ejecutó el 100% de lo programado en la vigencia</t>
        </is>
      </c>
      <c r="U146">
        <v>0</v>
      </c>
      <c r="V146" s="104">
        <v>0</v>
      </c>
      <c r="W146" t="inlineStr">
        <is>
          <t>No se ejecutó en la vigencia</t>
        </is>
      </c>
    </row>
    <row r="147">
      <c r="A147" t="inlineStr">
        <is>
          <t>IP-434</t>
        </is>
      </c>
      <c r="B147" t="inlineStr">
        <is>
          <t>22</t>
        </is>
      </c>
      <c r="C147" t="inlineStr">
        <is>
          <t>Educación</t>
        </is>
      </c>
      <c r="D147" t="inlineStr">
        <is>
          <t>2201</t>
        </is>
      </c>
      <c r="E147" t="inlineStr">
        <is>
          <t>Calidad, cobertura y fortalecimiento de la educación inicial, prescolar, básica y media</t>
        </is>
      </c>
      <c r="F147" t="inlineStr">
        <is>
          <t>2201085</t>
        </is>
      </c>
      <c r="G147" t="inlineStr">
        <is>
          <t>Servicio de orientación socio ocupacional</t>
        </is>
      </c>
      <c r="H147" t="inlineStr">
        <is>
          <t>220108500</t>
        </is>
      </c>
      <c r="I147" t="inlineStr">
        <is>
          <t>Estudiantes vinculados a procesos de orientación socio ocupacional</t>
        </is>
      </c>
      <c r="J147" t="inlineStr">
        <is>
          <t>2024251750013</t>
        </is>
      </c>
      <c r="K147" t="inlineStr">
        <is>
          <t>No</t>
        </is>
      </c>
      <c r="L147" t="inlineStr">
        <is>
          <t>Número</t>
        </is>
      </c>
      <c r="M147">
        <v>2163</v>
      </c>
      <c r="N147">
        <v>2163</v>
      </c>
      <c r="O147">
        <v>2163</v>
      </c>
      <c r="P147">
        <v>2163</v>
      </c>
      <c r="Q147">
        <v>2163</v>
      </c>
      <c r="R147">
        <v>2163</v>
      </c>
      <c r="S147" s="103">
        <v>1</v>
      </c>
      <c r="T147" t="inlineStr">
        <is>
          <t>Se ejecutó el 100% de lo programado en la vigencia</t>
        </is>
      </c>
      <c r="U147">
        <v>0</v>
      </c>
      <c r="V147" s="104">
        <v>0</v>
      </c>
      <c r="W147" t="inlineStr">
        <is>
          <t>No se ejecutó en la vigencia</t>
        </is>
      </c>
    </row>
    <row r="148">
      <c r="A148" t="inlineStr">
        <is>
          <t>IP-435</t>
        </is>
      </c>
      <c r="B148" t="inlineStr">
        <is>
          <t>22</t>
        </is>
      </c>
      <c r="C148" t="inlineStr">
        <is>
          <t>Educación</t>
        </is>
      </c>
      <c r="D148" t="inlineStr">
        <is>
          <t>2201</t>
        </is>
      </c>
      <c r="E148" t="inlineStr">
        <is>
          <t>Calidad, cobertura y fortalecimiento de la educación inicial, prescolar, básica y media</t>
        </is>
      </c>
      <c r="F148" t="inlineStr">
        <is>
          <t>2201004</t>
        </is>
      </c>
      <c r="G148" t="inlineStr">
        <is>
          <t>Documentos normativos</t>
        </is>
      </c>
      <c r="H148" t="inlineStr">
        <is>
          <t>220100400</t>
        </is>
      </c>
      <c r="I148" t="inlineStr">
        <is>
          <t>Documentos normativos para la educación inicial, preescolar, básica y media expedidos</t>
        </is>
      </c>
      <c r="J148" t="inlineStr">
        <is>
          <t>2024251750013</t>
        </is>
      </c>
      <c r="K148" t="inlineStr">
        <is>
          <t>Si</t>
        </is>
      </c>
      <c r="L148" t="inlineStr">
        <is>
          <t>Número</t>
        </is>
      </c>
      <c r="M148">
        <v>1</v>
      </c>
      <c r="N148">
        <v>0</v>
      </c>
      <c r="O148">
        <v>0.5</v>
      </c>
      <c r="P148">
        <v>0.25</v>
      </c>
      <c r="Q148">
        <v>0.25</v>
      </c>
      <c r="R148">
        <v>0</v>
      </c>
      <c r="S148" s="103" t="inlineStr">
        <is>
          <t xml:space="preserve"> </t>
        </is>
      </c>
      <c r="T148" t="inlineStr">
        <is>
          <t>No se programó ni ejecutó en la vigencia</t>
        </is>
      </c>
      <c r="U148" t="inlineStr">
        <is>
          <t xml:space="preserve"> </t>
        </is>
      </c>
      <c r="V148" s="104" t="inlineStr">
        <is>
          <t xml:space="preserve"> </t>
        </is>
      </c>
      <c r="W148" t="inlineStr">
        <is>
          <t>No se encontró ejecución en PIIP</t>
        </is>
      </c>
    </row>
    <row r="149">
      <c r="A149" t="inlineStr">
        <is>
          <t>IP-436</t>
        </is>
      </c>
      <c r="B149" t="inlineStr">
        <is>
          <t>22</t>
        </is>
      </c>
      <c r="C149" t="inlineStr">
        <is>
          <t>Educación</t>
        </is>
      </c>
      <c r="D149" t="inlineStr">
        <is>
          <t>2201</t>
        </is>
      </c>
      <c r="E149" t="inlineStr">
        <is>
          <t>Calidad, cobertura y fortalecimiento de la educación inicial, prescolar, básica y media</t>
        </is>
      </c>
      <c r="F149" t="inlineStr">
        <is>
          <t>2201074</t>
        </is>
      </c>
      <c r="G149" t="inlineStr">
        <is>
          <t>Servicio de fortalecimiento a las capacidades de los docentes de educación Inicial, preescolar, básica y media</t>
        </is>
      </c>
      <c r="H149" t="inlineStr">
        <is>
          <t>220107400</t>
        </is>
      </c>
      <c r="I149" t="inlineStr">
        <is>
          <t>Docentes y agentes educativos  de educación inicial, preescolar, básica y media beneficiados con estrategias de mejoramiento de sus capacidades</t>
        </is>
      </c>
      <c r="J149" t="inlineStr">
        <is>
          <t>2024251750013</t>
        </is>
      </c>
      <c r="K149" t="inlineStr">
        <is>
          <t>No</t>
        </is>
      </c>
      <c r="L149" t="inlineStr">
        <is>
          <t>Número</t>
        </is>
      </c>
      <c r="M149">
        <v>645</v>
      </c>
      <c r="N149">
        <v>645</v>
      </c>
      <c r="O149">
        <v>645</v>
      </c>
      <c r="P149">
        <v>645</v>
      </c>
      <c r="Q149">
        <v>645</v>
      </c>
      <c r="R149">
        <v>645</v>
      </c>
      <c r="S149" s="103">
        <v>1</v>
      </c>
      <c r="T149" t="inlineStr">
        <is>
          <t>Se ejecutó el 100% de lo programado en la vigencia</t>
        </is>
      </c>
      <c r="U149">
        <v>0</v>
      </c>
      <c r="V149" s="104">
        <v>0</v>
      </c>
      <c r="W149" t="inlineStr">
        <is>
          <t>No se ejecutó en la vigencia</t>
        </is>
      </c>
    </row>
    <row r="150">
      <c r="A150" t="inlineStr">
        <is>
          <t>IP-437</t>
        </is>
      </c>
      <c r="B150" t="inlineStr">
        <is>
          <t>22</t>
        </is>
      </c>
      <c r="C150" t="inlineStr">
        <is>
          <t>Educación</t>
        </is>
      </c>
      <c r="D150" t="inlineStr">
        <is>
          <t>2201</t>
        </is>
      </c>
      <c r="E150" t="inlineStr">
        <is>
          <t>Calidad, cobertura y fortalecimiento de la educación inicial, prescolar, básica y media</t>
        </is>
      </c>
      <c r="F150" t="inlineStr">
        <is>
          <t>2201071</t>
        </is>
      </c>
      <c r="G150" t="inlineStr">
        <is>
          <t>Servicio educativo</t>
        </is>
      </c>
      <c r="H150" t="inlineStr">
        <is>
          <t>220107100</t>
        </is>
      </c>
      <c r="I150" t="inlineStr">
        <is>
          <t>Establecimientos educativos en operación</t>
        </is>
      </c>
      <c r="J150" t="inlineStr">
        <is>
          <t>2024251750013</t>
        </is>
      </c>
      <c r="K150" t="inlineStr">
        <is>
          <t>No</t>
        </is>
      </c>
      <c r="L150" t="inlineStr">
        <is>
          <t>Número</t>
        </is>
      </c>
      <c r="M150">
        <v>12</v>
      </c>
      <c r="N150">
        <v>12</v>
      </c>
      <c r="O150">
        <v>12</v>
      </c>
      <c r="P150">
        <v>12</v>
      </c>
      <c r="Q150">
        <v>12</v>
      </c>
      <c r="R150">
        <v>12</v>
      </c>
      <c r="S150" s="103">
        <v>1</v>
      </c>
      <c r="T150" t="inlineStr">
        <is>
          <t>Se ejecutó el 100% de lo programado en la vigencia</t>
        </is>
      </c>
      <c r="U150">
        <v>0</v>
      </c>
      <c r="V150" s="104">
        <v>0</v>
      </c>
      <c r="W150" t="inlineStr">
        <is>
          <t>No se ejecutó en la vigencia</t>
        </is>
      </c>
    </row>
    <row r="151">
      <c r="A151" t="inlineStr">
        <is>
          <t>IP-438</t>
        </is>
      </c>
      <c r="B151" t="inlineStr">
        <is>
          <t>22</t>
        </is>
      </c>
      <c r="C151" t="inlineStr">
        <is>
          <t>Educación</t>
        </is>
      </c>
      <c r="D151" t="inlineStr">
        <is>
          <t>2201</t>
        </is>
      </c>
      <c r="E151" t="inlineStr">
        <is>
          <t>Calidad, cobertura y fortalecimiento de la educación inicial, prescolar, básica y media</t>
        </is>
      </c>
      <c r="F151" t="inlineStr">
        <is>
          <t>2201038</t>
        </is>
      </c>
      <c r="G151" t="inlineStr">
        <is>
          <t>Servicio de docencia escolar</t>
        </is>
      </c>
      <c r="H151" t="inlineStr">
        <is>
          <t>220103800</t>
        </is>
      </c>
      <c r="I151" t="inlineStr">
        <is>
          <t>Docentes del nivel inicial, preescolar, básica o media contratados</t>
        </is>
      </c>
      <c r="J151" t="inlineStr">
        <is>
          <t>2024251750013</t>
        </is>
      </c>
      <c r="K151" t="inlineStr">
        <is>
          <t>No</t>
        </is>
      </c>
      <c r="L151" t="inlineStr">
        <is>
          <t>Número</t>
        </is>
      </c>
      <c r="M151">
        <v>645</v>
      </c>
      <c r="N151">
        <v>645</v>
      </c>
      <c r="O151">
        <v>645</v>
      </c>
      <c r="P151">
        <v>645</v>
      </c>
      <c r="Q151">
        <v>645</v>
      </c>
      <c r="R151">
        <v>645</v>
      </c>
      <c r="S151" s="103">
        <v>1</v>
      </c>
      <c r="T151" t="inlineStr">
        <is>
          <t>Se ejecutó el 100% de lo programado en la vigencia</t>
        </is>
      </c>
      <c r="U151">
        <v>0</v>
      </c>
      <c r="V151" s="104">
        <v>0</v>
      </c>
      <c r="W151" t="inlineStr">
        <is>
          <t>No se ejecutó en la vigencia</t>
        </is>
      </c>
    </row>
    <row r="152">
      <c r="A152" t="inlineStr">
        <is>
          <t>IP-439</t>
        </is>
      </c>
      <c r="B152" t="inlineStr">
        <is>
          <t>22</t>
        </is>
      </c>
      <c r="C152" t="inlineStr">
        <is>
          <t>Educación</t>
        </is>
      </c>
      <c r="D152" t="inlineStr">
        <is>
          <t>2201</t>
        </is>
      </c>
      <c r="E152" t="inlineStr">
        <is>
          <t>Calidad, cobertura y fortalecimiento de la educación inicial, prescolar, básica y media</t>
        </is>
      </c>
      <c r="F152" t="inlineStr">
        <is>
          <t>2201062</t>
        </is>
      </c>
      <c r="G152" t="inlineStr">
        <is>
          <t>Infraestructura educativa mantenida</t>
        </is>
      </c>
      <c r="H152" t="inlineStr">
        <is>
          <t>220106200</t>
        </is>
      </c>
      <c r="I152" t="inlineStr">
        <is>
          <t>Sedes mantenidas</t>
        </is>
      </c>
      <c r="J152" t="inlineStr">
        <is>
          <t>2024251750008</t>
        </is>
      </c>
      <c r="K152" t="inlineStr">
        <is>
          <t>No</t>
        </is>
      </c>
      <c r="L152" t="inlineStr">
        <is>
          <t>Número</t>
        </is>
      </c>
      <c r="M152">
        <v>21</v>
      </c>
      <c r="N152">
        <v>21</v>
      </c>
      <c r="O152">
        <v>21</v>
      </c>
      <c r="P152">
        <v>21</v>
      </c>
      <c r="Q152">
        <v>21</v>
      </c>
      <c r="R152">
        <v>0</v>
      </c>
      <c r="S152" s="103">
        <v>0</v>
      </c>
      <c r="T152" t="inlineStr">
        <is>
          <t>No se ejecutó en la vigencia</t>
        </is>
      </c>
      <c r="U152">
        <v>0</v>
      </c>
      <c r="V152" s="104">
        <v>0</v>
      </c>
      <c r="W152" t="inlineStr">
        <is>
          <t>No se ejecutó en la vigencia</t>
        </is>
      </c>
    </row>
    <row r="153">
      <c r="A153" t="inlineStr">
        <is>
          <t>IP-440</t>
        </is>
      </c>
      <c r="B153" t="inlineStr">
        <is>
          <t>22</t>
        </is>
      </c>
      <c r="C153" t="inlineStr">
        <is>
          <t>Educación</t>
        </is>
      </c>
      <c r="D153" t="inlineStr">
        <is>
          <t>2201</t>
        </is>
      </c>
      <c r="E153" t="inlineStr">
        <is>
          <t>Calidad, cobertura y fortalecimiento de la educación inicial, prescolar, básica y media</t>
        </is>
      </c>
      <c r="F153" t="inlineStr">
        <is>
          <t>2201039</t>
        </is>
      </c>
      <c r="G153" t="inlineStr">
        <is>
          <t>Estudios y diseños de infraestructura educativa</t>
        </is>
      </c>
      <c r="H153" t="inlineStr">
        <is>
          <t>220103900</t>
        </is>
      </c>
      <c r="I153" t="inlineStr">
        <is>
          <t>Estudios y diseños de infraestructura educativa elaborados</t>
        </is>
      </c>
      <c r="J153" t="inlineStr">
        <is>
          <t>2024251750077</t>
        </is>
      </c>
      <c r="K153" t="inlineStr">
        <is>
          <t>No</t>
        </is>
      </c>
      <c r="L153" t="inlineStr">
        <is>
          <t>Número</t>
        </is>
      </c>
      <c r="M153">
        <v>2</v>
      </c>
      <c r="N153">
        <v>0</v>
      </c>
      <c r="O153">
        <v>2</v>
      </c>
      <c r="P153">
        <v>0</v>
      </c>
      <c r="Q153">
        <v>0</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A154" t="inlineStr">
        <is>
          <t>IP-441</t>
        </is>
      </c>
      <c r="B154" t="inlineStr">
        <is>
          <t>22</t>
        </is>
      </c>
      <c r="C154" t="inlineStr">
        <is>
          <t>Educación</t>
        </is>
      </c>
      <c r="D154" t="inlineStr">
        <is>
          <t>2201</t>
        </is>
      </c>
      <c r="E154" t="inlineStr">
        <is>
          <t>Calidad, cobertura y fortalecimiento de la educación inicial, prescolar, básica y media</t>
        </is>
      </c>
      <c r="F154" t="inlineStr">
        <is>
          <t>2201051</t>
        </is>
      </c>
      <c r="G154" t="inlineStr">
        <is>
          <t>Infraestructura educativa construida</t>
        </is>
      </c>
      <c r="H154" t="inlineStr">
        <is>
          <t>220105100</t>
        </is>
      </c>
      <c r="I154" t="inlineStr">
        <is>
          <t xml:space="preserve">Sedes educativas nuevas construidas </t>
        </is>
      </c>
      <c r="J154" t="inlineStr">
        <is>
          <t/>
        </is>
      </c>
      <c r="K154" t="inlineStr">
        <is>
          <t>Si</t>
        </is>
      </c>
      <c r="L154" t="inlineStr">
        <is>
          <t>Número</t>
        </is>
      </c>
      <c r="M154">
        <v>2</v>
      </c>
      <c r="N154">
        <v>0</v>
      </c>
      <c r="O154">
        <v>0</v>
      </c>
      <c r="P154">
        <v>2</v>
      </c>
      <c r="Q154">
        <v>0</v>
      </c>
      <c r="R154" t="inlineStr">
        <is>
          <t xml:space="preserve"> </t>
        </is>
      </c>
      <c r="S154" s="103" t="inlineStr">
        <is>
          <t xml:space="preserve"> </t>
        </is>
      </c>
      <c r="T154" t="inlineStr">
        <is>
          <t>Por falta de código BPIN, no se encontró ejecución en PIIP</t>
        </is>
      </c>
      <c r="U154" t="inlineStr">
        <is>
          <t xml:space="preserve"> </t>
        </is>
      </c>
      <c r="V154" s="104" t="inlineStr">
        <is>
          <t xml:space="preserve"> </t>
        </is>
      </c>
      <c r="W154" t="inlineStr">
        <is>
          <t>Por falta de código BPIN, no se encontró ejecución en PIIP</t>
        </is>
      </c>
    </row>
    <row r="155">
      <c r="A155" t="inlineStr">
        <is>
          <t>IP-442</t>
        </is>
      </c>
      <c r="B155" t="inlineStr">
        <is>
          <t>22</t>
        </is>
      </c>
      <c r="C155" t="inlineStr">
        <is>
          <t>Educación</t>
        </is>
      </c>
      <c r="D155" t="inlineStr">
        <is>
          <t>2201</t>
        </is>
      </c>
      <c r="E155" t="inlineStr">
        <is>
          <t>Calidad, cobertura y fortalecimiento de la educación inicial, prescolar, básica y media</t>
        </is>
      </c>
      <c r="F155" t="inlineStr">
        <is>
          <t>2201051</t>
        </is>
      </c>
      <c r="G155" t="inlineStr">
        <is>
          <t>Infraestructura educativa construida</t>
        </is>
      </c>
      <c r="H155" t="inlineStr">
        <is>
          <t>220105100</t>
        </is>
      </c>
      <c r="I155" t="inlineStr">
        <is>
          <t xml:space="preserve">Sedes educativas nuevas construidas </t>
        </is>
      </c>
      <c r="J155" t="inlineStr">
        <is>
          <t>2018251750012</t>
        </is>
      </c>
      <c r="K155" t="inlineStr">
        <is>
          <t>Si</t>
        </is>
      </c>
      <c r="L155" t="inlineStr">
        <is>
          <t>Número</t>
        </is>
      </c>
      <c r="M155">
        <v>1</v>
      </c>
      <c r="N155">
        <v>0.99</v>
      </c>
      <c r="O155">
        <v>0.01</v>
      </c>
      <c r="P155">
        <v>0</v>
      </c>
      <c r="Q155">
        <v>0</v>
      </c>
      <c r="R155">
        <v>0</v>
      </c>
      <c r="S155" s="103">
        <v>0</v>
      </c>
      <c r="T155" t="inlineStr">
        <is>
          <t>No se ejecutó en la vigencia</t>
        </is>
      </c>
      <c r="U155">
        <v>0</v>
      </c>
      <c r="V155" s="104">
        <v>0</v>
      </c>
      <c r="W155" t="inlineStr">
        <is>
          <t>No se ejecutó en la vigencia</t>
        </is>
      </c>
    </row>
    <row r="156">
      <c r="A156" t="inlineStr">
        <is>
          <t>IP-443</t>
        </is>
      </c>
      <c r="B156" t="inlineStr">
        <is>
          <t>22</t>
        </is>
      </c>
      <c r="C156" t="inlineStr">
        <is>
          <t>Educación</t>
        </is>
      </c>
      <c r="D156" t="inlineStr">
        <is>
          <t>2201</t>
        </is>
      </c>
      <c r="E156" t="inlineStr">
        <is>
          <t>Calidad, cobertura y fortalecimiento de la educación inicial, prescolar, básica y media</t>
        </is>
      </c>
      <c r="F156" t="inlineStr">
        <is>
          <t>2201051</t>
        </is>
      </c>
      <c r="G156" t="inlineStr">
        <is>
          <t>Infraestructura educativa construida</t>
        </is>
      </c>
      <c r="H156" t="inlineStr">
        <is>
          <t>220105100</t>
        </is>
      </c>
      <c r="I156" t="inlineStr">
        <is>
          <t xml:space="preserve">Sedes educativas nuevas construidas </t>
        </is>
      </c>
      <c r="J156" t="inlineStr">
        <is>
          <t>2019251750005</t>
        </is>
      </c>
      <c r="K156" t="inlineStr">
        <is>
          <t>No</t>
        </is>
      </c>
      <c r="L156" t="inlineStr">
        <is>
          <t>Número</t>
        </is>
      </c>
      <c r="M156">
        <v>1</v>
      </c>
      <c r="N156">
        <v>0</v>
      </c>
      <c r="O156">
        <v>1</v>
      </c>
      <c r="P156">
        <v>0</v>
      </c>
      <c r="Q156">
        <v>0</v>
      </c>
      <c r="R156" t="inlineStr">
        <is>
          <t xml:space="preserve"> </t>
        </is>
      </c>
      <c r="S156" s="103" t="inlineStr">
        <is>
          <t xml:space="preserve"> </t>
        </is>
      </c>
      <c r="T156" t="inlineStr">
        <is>
          <t>No se encontró ejecución en PIIP</t>
        </is>
      </c>
      <c r="U156" t="inlineStr">
        <is>
          <t xml:space="preserve"> </t>
        </is>
      </c>
      <c r="V156" s="104" t="inlineStr">
        <is>
          <t xml:space="preserve"> </t>
        </is>
      </c>
      <c r="W156" t="inlineStr">
        <is>
          <t>No se encontró ejecución en PIIP</t>
        </is>
      </c>
    </row>
    <row r="157">
      <c r="A157" t="inlineStr">
        <is>
          <t>IP-444</t>
        </is>
      </c>
      <c r="B157" t="inlineStr">
        <is>
          <t>22</t>
        </is>
      </c>
      <c r="C157" t="inlineStr">
        <is>
          <t>Educación</t>
        </is>
      </c>
      <c r="D157" t="inlineStr">
        <is>
          <t>2202</t>
        </is>
      </c>
      <c r="E157" t="inlineStr">
        <is>
          <t>Calidad y fomento de la educación superior</t>
        </is>
      </c>
      <c r="F157" t="inlineStr">
        <is>
          <t>2202079</t>
        </is>
      </c>
      <c r="G157" t="inlineStr">
        <is>
          <t xml:space="preserve">Servicio de apoyo para la permanencia a la educación superior </t>
        </is>
      </c>
      <c r="H157" t="inlineStr">
        <is>
          <t>220207900</t>
        </is>
      </c>
      <c r="I157" t="inlineStr">
        <is>
          <t>Beneficiarios de programas o estrategias de permanencia en la educación superior</t>
        </is>
      </c>
      <c r="J157" t="inlineStr">
        <is>
          <t>2024251750009</t>
        </is>
      </c>
      <c r="K157" t="inlineStr">
        <is>
          <t>No</t>
        </is>
      </c>
      <c r="L157" t="inlineStr">
        <is>
          <t>Número</t>
        </is>
      </c>
      <c r="M157">
        <v>1900</v>
      </c>
      <c r="N157">
        <v>1900</v>
      </c>
      <c r="O157">
        <v>1900</v>
      </c>
      <c r="P157">
        <v>1900</v>
      </c>
      <c r="Q157">
        <v>1900</v>
      </c>
      <c r="R157">
        <v>1900</v>
      </c>
      <c r="S157" s="103">
        <v>1</v>
      </c>
      <c r="T157" t="inlineStr">
        <is>
          <t>Se ejecutó el 100% de lo programado en la vigencia</t>
        </is>
      </c>
      <c r="U157">
        <v>0</v>
      </c>
      <c r="V157" s="104">
        <v>0</v>
      </c>
      <c r="W157" t="inlineStr">
        <is>
          <t>No se ejecutó en la vigencia</t>
        </is>
      </c>
    </row>
    <row r="158">
      <c r="A158" t="inlineStr">
        <is>
          <t>IP-445</t>
        </is>
      </c>
      <c r="B158" t="inlineStr">
        <is>
          <t>22</t>
        </is>
      </c>
      <c r="C158" t="inlineStr">
        <is>
          <t>Educación</t>
        </is>
      </c>
      <c r="D158" t="inlineStr">
        <is>
          <t>2202</t>
        </is>
      </c>
      <c r="E158" t="inlineStr">
        <is>
          <t>Calidad y fomento de la educación superior</t>
        </is>
      </c>
      <c r="F158" t="inlineStr">
        <is>
          <t>2202062</t>
        </is>
      </c>
      <c r="G158" t="inlineStr">
        <is>
          <t xml:space="preserve">Servicio de fomento para el acceso a la educación superior </t>
        </is>
      </c>
      <c r="H158" t="inlineStr">
        <is>
          <t>220206200</t>
        </is>
      </c>
      <c r="I158" t="inlineStr">
        <is>
          <t>Beneficiarios de estrategias o programas de  fomento para el acceso a la educación superior</t>
        </is>
      </c>
      <c r="J158" t="inlineStr">
        <is>
          <t>2024251750009</t>
        </is>
      </c>
      <c r="K158" t="inlineStr">
        <is>
          <t>Si</t>
        </is>
      </c>
      <c r="L158" t="inlineStr">
        <is>
          <t>Número</t>
        </is>
      </c>
      <c r="M158">
        <v>500</v>
      </c>
      <c r="N158">
        <v>0</v>
      </c>
      <c r="O158">
        <v>0</v>
      </c>
      <c r="P158">
        <v>250</v>
      </c>
      <c r="Q158">
        <v>250</v>
      </c>
      <c r="R158" t="inlineStr">
        <is>
          <t xml:space="preserve"> </t>
        </is>
      </c>
      <c r="S158" s="103" t="inlineStr">
        <is>
          <t xml:space="preserve"> </t>
        </is>
      </c>
      <c r="T158" t="inlineStr">
        <is>
          <t>No se encontró ejecución en PIIP</t>
        </is>
      </c>
      <c r="U158" t="inlineStr">
        <is>
          <t xml:space="preserve"> </t>
        </is>
      </c>
      <c r="V158" s="104" t="inlineStr">
        <is>
          <t xml:space="preserve"> </t>
        </is>
      </c>
      <c r="W158" t="inlineStr">
        <is>
          <t>No se encontró ejecución en PIIP</t>
        </is>
      </c>
    </row>
    <row r="159">
      <c r="A159" t="inlineStr">
        <is>
          <t>IP-446</t>
        </is>
      </c>
      <c r="B159" t="inlineStr">
        <is>
          <t>23</t>
        </is>
      </c>
      <c r="C159" t="inlineStr">
        <is>
          <t>Tecnologías de la información y las comunicaciones</t>
        </is>
      </c>
      <c r="D159" t="inlineStr">
        <is>
          <t>2301</t>
        </is>
      </c>
      <c r="E159" t="inlineStr">
        <is>
          <t>Facilitar el acceso y uso de las Tecnologías de la Información y las Comunicaciones (TIC) en todo el territorio nacional</t>
        </is>
      </c>
      <c r="F159" t="inlineStr">
        <is>
          <t>2301024</t>
        </is>
      </c>
      <c r="G159" t="inlineStr">
        <is>
          <t>Servicio de acceso y uso de Tecnologías de la Información y las Comunicaciones</t>
        </is>
      </c>
      <c r="H159" t="inlineStr">
        <is>
          <t>230102404</t>
        </is>
      </c>
      <c r="I159" t="inlineStr">
        <is>
          <t>Soluciones de conectividad en instituciones públicas instaladas</t>
        </is>
      </c>
      <c r="J159" t="inlineStr">
        <is>
          <t>2024251750010</t>
        </is>
      </c>
      <c r="K159" t="inlineStr">
        <is>
          <t>Si</t>
        </is>
      </c>
      <c r="L159" t="inlineStr">
        <is>
          <t>Número</t>
        </is>
      </c>
      <c r="M159">
        <v>1</v>
      </c>
      <c r="N159">
        <v>0.25</v>
      </c>
      <c r="O159">
        <v>0.25</v>
      </c>
      <c r="P159">
        <v>0.25</v>
      </c>
      <c r="Q159">
        <v>0.25</v>
      </c>
      <c r="R159">
        <v>0.25</v>
      </c>
      <c r="S159" s="103">
        <v>1</v>
      </c>
      <c r="T159" t="inlineStr">
        <is>
          <t>Se ejecutó el 100% de lo programado en la vigencia</t>
        </is>
      </c>
      <c r="U159">
        <v>0.176</v>
      </c>
      <c r="V159" s="104">
        <v>0.704</v>
      </c>
      <c r="W159" t="inlineStr">
        <is>
          <t>Lo ejecutado está por debajo de lo programado en la vigencia</t>
        </is>
      </c>
    </row>
    <row r="160">
      <c r="A160" t="inlineStr">
        <is>
          <t>IP-447</t>
        </is>
      </c>
      <c r="B160" t="inlineStr">
        <is>
          <t>23</t>
        </is>
      </c>
      <c r="C160" t="inlineStr">
        <is>
          <t>Tecnologías de la información y las comunicaciones</t>
        </is>
      </c>
      <c r="D160" t="inlineStr">
        <is>
          <t>2301</t>
        </is>
      </c>
      <c r="E160" t="inlineStr">
        <is>
          <t>Facilitar el acceso y uso de las Tecnologías de la Información y las Comunicaciones (TIC) en todo el territorio nacional</t>
        </is>
      </c>
      <c r="F160" t="inlineStr">
        <is>
          <t>2301005</t>
        </is>
      </c>
      <c r="G160" t="inlineStr">
        <is>
          <t>Documentos de seguimiento</t>
        </is>
      </c>
      <c r="H160" t="inlineStr">
        <is>
          <t>230100500</t>
        </is>
      </c>
      <c r="I160" t="inlineStr">
        <is>
          <t>Documentos de seguimiento elaborados</t>
        </is>
      </c>
      <c r="J160" t="inlineStr">
        <is>
          <t>2024251750010</t>
        </is>
      </c>
      <c r="K160" t="inlineStr">
        <is>
          <t>Si</t>
        </is>
      </c>
      <c r="L160" t="inlineStr">
        <is>
          <t>Número</t>
        </is>
      </c>
      <c r="M160">
        <v>2</v>
      </c>
      <c r="N160">
        <v>0.5</v>
      </c>
      <c r="O160">
        <v>0.5</v>
      </c>
      <c r="P160">
        <v>0.5</v>
      </c>
      <c r="Q160">
        <v>0.5</v>
      </c>
      <c r="R160">
        <v>0.5</v>
      </c>
      <c r="S160" s="103">
        <v>1</v>
      </c>
      <c r="T160" t="inlineStr">
        <is>
          <t>Se ejecutó el 100% de lo programado en la vigencia</t>
        </is>
      </c>
      <c r="U160">
        <v>0.414</v>
      </c>
      <c r="V160" s="104">
        <v>0.828</v>
      </c>
      <c r="W160" t="inlineStr">
        <is>
          <t>Lo ejecutado está por debajo de lo programado en la vigencia</t>
        </is>
      </c>
    </row>
    <row r="161">
      <c r="A161" t="inlineStr">
        <is>
          <t>IP-448</t>
        </is>
      </c>
      <c r="B161" t="inlineStr">
        <is>
          <t>23</t>
        </is>
      </c>
      <c r="C161" t="inlineStr">
        <is>
          <t>Tecnologías de la información y las comunicaciones</t>
        </is>
      </c>
      <c r="D161" t="inlineStr">
        <is>
          <t>2301</t>
        </is>
      </c>
      <c r="E161" t="inlineStr">
        <is>
          <t>Facilitar el acceso y uso de las Tecnologías de la Información y las Comunicaciones (TIC) en todo el territorio nacional</t>
        </is>
      </c>
      <c r="F161" t="inlineStr">
        <is>
          <t>2301079</t>
        </is>
      </c>
      <c r="G161" t="inlineStr">
        <is>
          <t xml:space="preserve"> Servicio de acceso zonas digitales</t>
        </is>
      </c>
      <c r="H161" t="inlineStr">
        <is>
          <t>230107900</t>
        </is>
      </c>
      <c r="I161" t="inlineStr">
        <is>
          <t>Zonas digitales instaladas</t>
        </is>
      </c>
      <c r="J161" t="inlineStr">
        <is>
          <t>2024251750010</t>
        </is>
      </c>
      <c r="K161" t="inlineStr">
        <is>
          <t>Si</t>
        </is>
      </c>
      <c r="L161" t="inlineStr">
        <is>
          <t>Número</t>
        </is>
      </c>
      <c r="M161">
        <v>4</v>
      </c>
      <c r="N161">
        <v>0</v>
      </c>
      <c r="O161">
        <v>0</v>
      </c>
      <c r="P161">
        <v>4</v>
      </c>
      <c r="Q161">
        <v>0</v>
      </c>
      <c r="R161" t="inlineStr">
        <is>
          <t xml:space="preserve"> </t>
        </is>
      </c>
      <c r="S161" s="103" t="inlineStr">
        <is>
          <t xml:space="preserve"> </t>
        </is>
      </c>
      <c r="T161" t="inlineStr">
        <is>
          <t>No se encontró ejecución en PIIP</t>
        </is>
      </c>
      <c r="U161" t="inlineStr">
        <is>
          <t xml:space="preserve"> </t>
        </is>
      </c>
      <c r="V161" s="104" t="inlineStr">
        <is>
          <t xml:space="preserve"> </t>
        </is>
      </c>
      <c r="W161" t="inlineStr">
        <is>
          <t>No se encontró ejecución en PIIP</t>
        </is>
      </c>
    </row>
    <row r="162">
      <c r="A162" t="inlineStr">
        <is>
          <t>IP-449</t>
        </is>
      </c>
      <c r="B162" t="inlineStr">
        <is>
          <t>23</t>
        </is>
      </c>
      <c r="C162" t="inlineStr">
        <is>
          <t>Tecnologías de la información y las comunicaciones</t>
        </is>
      </c>
      <c r="D162" t="inlineStr">
        <is>
          <t>2302</t>
        </is>
      </c>
      <c r="E162" t="inlineStr">
        <is>
          <t>Fomento del desarrollo de aplicaciones, software y contenidos para impulsar la apropiación de las Tecnologías de la Información y las Comunicaciones (TIC)</t>
        </is>
      </c>
      <c r="F162" t="inlineStr">
        <is>
          <t>2302003</t>
        </is>
      </c>
      <c r="G162" t="inlineStr">
        <is>
          <t>Desarrollos digitales</t>
        </is>
      </c>
      <c r="H162" t="inlineStr">
        <is>
          <t>230200300</t>
        </is>
      </c>
      <c r="I162" t="inlineStr">
        <is>
          <t>Productos digitales desarrollados</t>
        </is>
      </c>
      <c r="J162" t="inlineStr">
        <is>
          <t>2024251750019</t>
        </is>
      </c>
      <c r="K162" t="inlineStr">
        <is>
          <t>Si</t>
        </is>
      </c>
      <c r="L162" t="inlineStr">
        <is>
          <t>Número</t>
        </is>
      </c>
      <c r="M162">
        <v>15</v>
      </c>
      <c r="N162">
        <v>3</v>
      </c>
      <c r="O162">
        <v>4</v>
      </c>
      <c r="P162">
        <v>4</v>
      </c>
      <c r="Q162">
        <v>4</v>
      </c>
      <c r="R162">
        <v>3</v>
      </c>
      <c r="S162" s="103">
        <v>1</v>
      </c>
      <c r="T162" t="inlineStr">
        <is>
          <t>Se ejecutó el 100% de lo programado en la vigencia</t>
        </is>
      </c>
      <c r="U162">
        <v>3.4</v>
      </c>
      <c r="V162" s="104">
        <v>0.85</v>
      </c>
      <c r="W162" t="inlineStr">
        <is>
          <t>Lo ejecutado está por debajo de lo programado en la vigencia</t>
        </is>
      </c>
    </row>
    <row r="163">
      <c r="A163" t="inlineStr">
        <is>
          <t>IP-450</t>
        </is>
      </c>
      <c r="B163" t="inlineStr">
        <is>
          <t>23</t>
        </is>
      </c>
      <c r="C163" t="inlineStr">
        <is>
          <t>Tecnologías de la información y las comunicaciones</t>
        </is>
      </c>
      <c r="D163" t="inlineStr">
        <is>
          <t>2302</t>
        </is>
      </c>
      <c r="E163" t="inlineStr">
        <is>
          <t>Fomento del desarrollo de aplicaciones, software y contenidos para impulsar la apropiación de las Tecnologías de la Información y las Comunicaciones (TIC)</t>
        </is>
      </c>
      <c r="F163" t="inlineStr">
        <is>
          <t>2302059</t>
        </is>
      </c>
      <c r="G163" t="inlineStr">
        <is>
          <t>Servicio de educación informal en uso responsable y seguro de las Tecnologías de la Información y las Comunicaciones</t>
        </is>
      </c>
      <c r="H163" t="inlineStr">
        <is>
          <t>230205901</t>
        </is>
      </c>
      <c r="I163" t="inlineStr">
        <is>
          <t>Cursos de Formación virtual  y presencial  en uso responsable y seguro de las TIC creados</t>
        </is>
      </c>
      <c r="J163" t="inlineStr">
        <is>
          <t>2024251750019</t>
        </is>
      </c>
      <c r="K163" t="inlineStr">
        <is>
          <t>Si</t>
        </is>
      </c>
      <c r="L163" t="inlineStr">
        <is>
          <t>Número</t>
        </is>
      </c>
      <c r="M163">
        <v>300</v>
      </c>
      <c r="N163">
        <v>60</v>
      </c>
      <c r="O163">
        <v>80</v>
      </c>
      <c r="P163">
        <v>80</v>
      </c>
      <c r="Q163">
        <v>80</v>
      </c>
      <c r="R163">
        <v>60</v>
      </c>
      <c r="S163" s="103">
        <v>1</v>
      </c>
      <c r="T163" t="inlineStr">
        <is>
          <t>Se ejecutó el 100% de lo programado en la vigencia</t>
        </is>
      </c>
      <c r="U163">
        <v>38</v>
      </c>
      <c r="V163" s="104">
        <v>0.475</v>
      </c>
      <c r="W163" t="inlineStr">
        <is>
          <t>Lo ejecutado está por debajo de lo programado en la vigencia</t>
        </is>
      </c>
    </row>
    <row r="164">
      <c r="A164" t="inlineStr">
        <is>
          <t>IP-451</t>
        </is>
      </c>
      <c r="B164" t="inlineStr">
        <is>
          <t>23</t>
        </is>
      </c>
      <c r="C164" t="inlineStr">
        <is>
          <t>Tecnologías de la información y las comunicaciones</t>
        </is>
      </c>
      <c r="D164" t="inlineStr">
        <is>
          <t>2302</t>
        </is>
      </c>
      <c r="E164" t="inlineStr">
        <is>
          <t>Fomento del desarrollo de aplicaciones, software y contenidos para impulsar la apropiación de las Tecnologías de la Información y las Comunicaciones (TIC)</t>
        </is>
      </c>
      <c r="F164" t="inlineStr">
        <is>
          <t>2302007</t>
        </is>
      </c>
      <c r="G164" t="inlineStr">
        <is>
          <t>Documentos metodológicos</t>
        </is>
      </c>
      <c r="H164" t="inlineStr">
        <is>
          <t>230200700</t>
        </is>
      </c>
      <c r="I164" t="inlineStr">
        <is>
          <t>Documentos metodológicos realizados</t>
        </is>
      </c>
      <c r="J164" t="inlineStr">
        <is>
          <t>2024251750019</t>
        </is>
      </c>
      <c r="K164" t="inlineStr">
        <is>
          <t>Si</t>
        </is>
      </c>
      <c r="L164" t="inlineStr">
        <is>
          <t>Número</t>
        </is>
      </c>
      <c r="M164">
        <v>4</v>
      </c>
      <c r="N164">
        <v>1</v>
      </c>
      <c r="O164">
        <v>1</v>
      </c>
      <c r="P164">
        <v>1</v>
      </c>
      <c r="Q164">
        <v>1</v>
      </c>
      <c r="R164">
        <v>1</v>
      </c>
      <c r="S164" s="103">
        <v>1</v>
      </c>
      <c r="T164" t="inlineStr">
        <is>
          <t>Se ejecutó el 100% de lo programado en la vigencia</t>
        </is>
      </c>
      <c r="U164">
        <v>0.595</v>
      </c>
      <c r="V164" s="104">
        <v>0.595</v>
      </c>
      <c r="W164" t="inlineStr">
        <is>
          <t>Lo ejecutado está por debajo de lo programado en la vigencia</t>
        </is>
      </c>
    </row>
    <row r="165">
      <c r="A165" t="inlineStr">
        <is>
          <t>IP-452</t>
        </is>
      </c>
      <c r="B165" t="inlineStr">
        <is>
          <t>39</t>
        </is>
      </c>
      <c r="C165" t="inlineStr">
        <is>
          <t xml:space="preserve">Ciencia, tecnología e innovación
</t>
        </is>
      </c>
      <c r="D165" t="inlineStr">
        <is>
          <t>3905</t>
        </is>
      </c>
      <c r="E165" t="inlineStr">
        <is>
          <t>Fortalecimiento de la gobernanza e institucionalidad multinivel del sector de CTeI</t>
        </is>
      </c>
      <c r="F165" t="inlineStr">
        <is>
          <t>3905006</t>
        </is>
      </c>
      <c r="G165" t="inlineStr">
        <is>
          <t>Documentos de lineamientos técnicos</t>
        </is>
      </c>
      <c r="H165" t="inlineStr">
        <is>
          <t>390500600</t>
        </is>
      </c>
      <c r="I165" t="inlineStr">
        <is>
          <t>Documentos de lineamientos técnicos realizados</t>
        </is>
      </c>
      <c r="J165" t="inlineStr">
        <is>
          <t>2024251750020</t>
        </is>
      </c>
      <c r="K165" t="inlineStr">
        <is>
          <t>Si</t>
        </is>
      </c>
      <c r="L165" t="inlineStr">
        <is>
          <t>Número</t>
        </is>
      </c>
      <c r="M165">
        <v>2</v>
      </c>
      <c r="N165">
        <v>0.5</v>
      </c>
      <c r="O165">
        <v>0.5</v>
      </c>
      <c r="P165">
        <v>0.5</v>
      </c>
      <c r="Q165">
        <v>0.5</v>
      </c>
      <c r="R165">
        <v>0.5</v>
      </c>
      <c r="S165" s="103">
        <v>1</v>
      </c>
      <c r="T165" t="inlineStr">
        <is>
          <t>Se ejecutó el 100% de lo programado en la vigencia</t>
        </is>
      </c>
      <c r="U165">
        <v>0.35</v>
      </c>
      <c r="V165" s="104">
        <v>0.7</v>
      </c>
      <c r="W165" t="inlineStr">
        <is>
          <t>Lo ejecutado está por debajo de lo programado en la vigencia</t>
        </is>
      </c>
    </row>
    <row r="166">
      <c r="A166" t="inlineStr">
        <is>
          <t>IP-453</t>
        </is>
      </c>
      <c r="B166" t="inlineStr">
        <is>
          <t>39</t>
        </is>
      </c>
      <c r="C166" t="inlineStr">
        <is>
          <t xml:space="preserve">Ciencia, tecnología e innovación
</t>
        </is>
      </c>
      <c r="D166" t="inlineStr">
        <is>
          <t>3905</t>
        </is>
      </c>
      <c r="E166" t="inlineStr">
        <is>
          <t>Fortalecimiento de la gobernanza e institucionalidad multinivel del sector de CTeI</t>
        </is>
      </c>
      <c r="F166" t="inlineStr">
        <is>
          <t>3905005</t>
        </is>
      </c>
      <c r="G166" t="inlineStr">
        <is>
          <t>Servicio de asistencia técnica</t>
        </is>
      </c>
      <c r="H166" t="inlineStr">
        <is>
          <t>390500500</t>
        </is>
      </c>
      <c r="I166" t="inlineStr">
        <is>
          <t>Asistencias Técnicas Realizadas</t>
        </is>
      </c>
      <c r="J166" t="inlineStr">
        <is>
          <t>2024251750020</t>
        </is>
      </c>
      <c r="K166" t="inlineStr">
        <is>
          <t>Si</t>
        </is>
      </c>
      <c r="L166" t="inlineStr">
        <is>
          <t>Número</t>
        </is>
      </c>
      <c r="M166">
        <v>400</v>
      </c>
      <c r="N166">
        <v>70</v>
      </c>
      <c r="O166">
        <v>110</v>
      </c>
      <c r="P166">
        <v>110</v>
      </c>
      <c r="Q166">
        <v>110</v>
      </c>
      <c r="R166">
        <v>70</v>
      </c>
      <c r="S166" s="103">
        <v>1</v>
      </c>
      <c r="T166" t="inlineStr">
        <is>
          <t>Se ejecutó el 100% de lo programado en la vigencia</t>
        </is>
      </c>
      <c r="U166">
        <v>76</v>
      </c>
      <c r="V166" s="104">
        <v>0.690909090909091</v>
      </c>
      <c r="W166" t="inlineStr">
        <is>
          <t>Lo ejecutado está por debajo de lo programado en la vigencia</t>
        </is>
      </c>
    </row>
    <row r="167">
      <c r="A167" t="inlineStr">
        <is>
          <t>IP-454</t>
        </is>
      </c>
      <c r="B167" t="inlineStr">
        <is>
          <t>39</t>
        </is>
      </c>
      <c r="C167" t="inlineStr">
        <is>
          <t xml:space="preserve">Ciencia, tecnología e innovación
</t>
        </is>
      </c>
      <c r="D167" t="inlineStr">
        <is>
          <t>3905</t>
        </is>
      </c>
      <c r="E167" t="inlineStr">
        <is>
          <t>Fortalecimiento de la gobernanza e institucionalidad multinivel del sector de CTeI</t>
        </is>
      </c>
      <c r="F167" t="inlineStr">
        <is>
          <t>3905002</t>
        </is>
      </c>
      <c r="G167" t="inlineStr">
        <is>
          <t>Documentos de política</t>
        </is>
      </c>
      <c r="H167" t="inlineStr">
        <is>
          <t>390500200</t>
        </is>
      </c>
      <c r="I167" t="inlineStr">
        <is>
          <t>Documentos de política elaborados</t>
        </is>
      </c>
      <c r="J167" t="inlineStr">
        <is>
          <t>2024251750020</t>
        </is>
      </c>
      <c r="K167" t="inlineStr">
        <is>
          <t>Si</t>
        </is>
      </c>
      <c r="L167" t="inlineStr">
        <is>
          <t>Número</t>
        </is>
      </c>
      <c r="M167">
        <v>2</v>
      </c>
      <c r="N167">
        <v>0</v>
      </c>
      <c r="O167">
        <v>0.5</v>
      </c>
      <c r="P167">
        <v>0.5</v>
      </c>
      <c r="Q167">
        <v>1</v>
      </c>
      <c r="R167">
        <v>0</v>
      </c>
      <c r="S167" s="103" t="inlineStr">
        <is>
          <t xml:space="preserve"> </t>
        </is>
      </c>
      <c r="T167" t="inlineStr">
        <is>
          <t>No se programó ni ejecutó en la vigencia</t>
        </is>
      </c>
      <c r="U167">
        <v>0.05</v>
      </c>
      <c r="V167" s="104">
        <v>0.1</v>
      </c>
      <c r="W167" t="inlineStr">
        <is>
          <t>Lo ejecutado está por debajo de lo programado en la vigencia</t>
        </is>
      </c>
    </row>
    <row r="168">
      <c r="A168" t="inlineStr">
        <is>
          <t>IP-455</t>
        </is>
      </c>
      <c r="B168" t="inlineStr">
        <is>
          <t>33</t>
        </is>
      </c>
      <c r="C168" t="inlineStr">
        <is>
          <t>Cultura</t>
        </is>
      </c>
      <c r="D168" t="inlineStr">
        <is>
          <t>3301</t>
        </is>
      </c>
      <c r="E168" t="inlineStr">
        <is>
          <t>Promoción y acceso efectivo a procesos culturales y artísticos</t>
        </is>
      </c>
      <c r="F168" t="inlineStr">
        <is>
          <t>3301087</t>
        </is>
      </c>
      <c r="G168" t="inlineStr">
        <is>
          <t>Servicio de educación informal en áreas artísticas y culturales</t>
        </is>
      </c>
      <c r="H168" t="inlineStr">
        <is>
          <t>330108701</t>
        </is>
      </c>
      <c r="I168" t="inlineStr">
        <is>
          <t>Personas capacitadas</t>
        </is>
      </c>
      <c r="J168" t="inlineStr">
        <is>
          <t>2024251750043</t>
        </is>
      </c>
      <c r="K168" t="inlineStr">
        <is>
          <t>Si</t>
        </is>
      </c>
      <c r="L168" t="inlineStr">
        <is>
          <t>Número</t>
        </is>
      </c>
      <c r="M168">
        <v>30000</v>
      </c>
      <c r="N168">
        <v>5850</v>
      </c>
      <c r="O168">
        <v>7253</v>
      </c>
      <c r="P168">
        <v>8050</v>
      </c>
      <c r="Q168">
        <v>8847</v>
      </c>
      <c r="R168">
        <v>5850</v>
      </c>
      <c r="S168" s="103">
        <v>1</v>
      </c>
      <c r="T168" t="inlineStr">
        <is>
          <t>Se ejecutó el 100% de lo programado en la vigencia</t>
        </is>
      </c>
      <c r="U168">
        <v>0</v>
      </c>
      <c r="V168" s="104">
        <v>0</v>
      </c>
      <c r="W168" t="inlineStr">
        <is>
          <t>No se ejecutó en la vigencia</t>
        </is>
      </c>
    </row>
    <row r="169">
      <c r="A169" t="inlineStr">
        <is>
          <t>IP-456</t>
        </is>
      </c>
      <c r="B169" t="inlineStr">
        <is>
          <t>33</t>
        </is>
      </c>
      <c r="C169" t="inlineStr">
        <is>
          <t>Cultura</t>
        </is>
      </c>
      <c r="D169" t="inlineStr">
        <is>
          <t>3301</t>
        </is>
      </c>
      <c r="E169" t="inlineStr">
        <is>
          <t>Promoción y acceso efectivo a procesos culturales y artísticos</t>
        </is>
      </c>
      <c r="F169" t="inlineStr">
        <is>
          <t>3301087</t>
        </is>
      </c>
      <c r="G169" t="inlineStr">
        <is>
          <t>Servicio de educación informal en áreas artísticas y culturales</t>
        </is>
      </c>
      <c r="H169" t="inlineStr">
        <is>
          <t>330108700</t>
        </is>
      </c>
      <c r="I169" t="inlineStr">
        <is>
          <t>Cursos realizados</t>
        </is>
      </c>
      <c r="J169" t="inlineStr">
        <is>
          <t>2024251750043</t>
        </is>
      </c>
      <c r="K169" t="inlineStr">
        <is>
          <t>Si</t>
        </is>
      </c>
      <c r="L169" t="inlineStr">
        <is>
          <t>Número</t>
        </is>
      </c>
      <c r="M169">
        <v>4</v>
      </c>
      <c r="N169">
        <v>1</v>
      </c>
      <c r="O169">
        <v>1</v>
      </c>
      <c r="P169">
        <v>1</v>
      </c>
      <c r="Q169">
        <v>1</v>
      </c>
      <c r="R169">
        <v>1</v>
      </c>
      <c r="S169" s="103">
        <v>1</v>
      </c>
      <c r="T169" t="inlineStr">
        <is>
          <t>Se ejecutó el 100% de lo programado en la vigencia</t>
        </is>
      </c>
      <c r="U169">
        <v>0</v>
      </c>
      <c r="V169" s="104">
        <v>0</v>
      </c>
      <c r="W169" t="inlineStr">
        <is>
          <t>No se ejecutó en la vigencia</t>
        </is>
      </c>
    </row>
    <row r="170">
      <c r="A170" t="inlineStr">
        <is>
          <t>IP-457</t>
        </is>
      </c>
      <c r="B170" t="inlineStr">
        <is>
          <t>33</t>
        </is>
      </c>
      <c r="C170" t="inlineStr">
        <is>
          <t>Cultura</t>
        </is>
      </c>
      <c r="D170" t="inlineStr">
        <is>
          <t>3301</t>
        </is>
      </c>
      <c r="E170" t="inlineStr">
        <is>
          <t>Promoción y acceso efectivo a procesos culturales y artísticos</t>
        </is>
      </c>
      <c r="F170" t="inlineStr">
        <is>
          <t>3301090</t>
        </is>
      </c>
      <c r="G170" t="inlineStr">
        <is>
          <t>Centros culturales adecuados</t>
        </is>
      </c>
      <c r="H170" t="inlineStr">
        <is>
          <t>330109000</t>
        </is>
      </c>
      <c r="I170" t="inlineStr">
        <is>
          <t>Centros culturales adecuados</t>
        </is>
      </c>
      <c r="J170" t="inlineStr">
        <is>
          <t>2024251750043</t>
        </is>
      </c>
      <c r="K170" t="inlineStr">
        <is>
          <t>Si</t>
        </is>
      </c>
      <c r="L170" t="inlineStr">
        <is>
          <t>Número</t>
        </is>
      </c>
      <c r="M170">
        <v>6</v>
      </c>
      <c r="N170">
        <v>0</v>
      </c>
      <c r="O170">
        <v>1</v>
      </c>
      <c r="P170">
        <v>2</v>
      </c>
      <c r="Q170">
        <v>3</v>
      </c>
      <c r="R170">
        <v>0</v>
      </c>
      <c r="S170" s="103" t="inlineStr">
        <is>
          <t xml:space="preserve"> </t>
        </is>
      </c>
      <c r="T170" t="inlineStr">
        <is>
          <t>No se programó ni ejecutó en la vigencia</t>
        </is>
      </c>
      <c r="U170" t="inlineStr">
        <is>
          <t xml:space="preserve"> </t>
        </is>
      </c>
      <c r="V170" s="104" t="inlineStr">
        <is>
          <t xml:space="preserve"> </t>
        </is>
      </c>
      <c r="W170" t="inlineStr">
        <is>
          <t>No se encontró ejecución en PIIP</t>
        </is>
      </c>
    </row>
    <row r="171">
      <c r="A171" t="inlineStr">
        <is>
          <t>IP-458</t>
        </is>
      </c>
      <c r="B171" t="inlineStr">
        <is>
          <t>33</t>
        </is>
      </c>
      <c r="C171" t="inlineStr">
        <is>
          <t>Cultura</t>
        </is>
      </c>
      <c r="D171" t="inlineStr">
        <is>
          <t>3301</t>
        </is>
      </c>
      <c r="E171" t="inlineStr">
        <is>
          <t>Promoción y acceso efectivo a procesos culturales y artísticos</t>
        </is>
      </c>
      <c r="F171" t="inlineStr">
        <is>
          <t>3301053</t>
        </is>
      </c>
      <c r="G171" t="inlineStr">
        <is>
          <t>Servicio de promoción de actividades culturales</t>
        </is>
      </c>
      <c r="H171" t="inlineStr">
        <is>
          <t>330105300</t>
        </is>
      </c>
      <c r="I171" t="inlineStr">
        <is>
          <t>Eventos de promoción de actividades culturales realizados</t>
        </is>
      </c>
      <c r="J171" t="inlineStr">
        <is>
          <t>2024251750043</t>
        </is>
      </c>
      <c r="K171" t="inlineStr">
        <is>
          <t>No</t>
        </is>
      </c>
      <c r="L171" t="inlineStr">
        <is>
          <t>Número</t>
        </is>
      </c>
      <c r="M171">
        <v>25</v>
      </c>
      <c r="N171">
        <v>25</v>
      </c>
      <c r="O171">
        <v>25</v>
      </c>
      <c r="P171">
        <v>25</v>
      </c>
      <c r="Q171">
        <v>25</v>
      </c>
      <c r="R171">
        <v>25</v>
      </c>
      <c r="S171" s="103">
        <v>1</v>
      </c>
      <c r="T171" t="inlineStr">
        <is>
          <t>Se ejecutó el 100% de lo programado en la vigencia</t>
        </is>
      </c>
      <c r="U171">
        <v>0</v>
      </c>
      <c r="V171" s="104">
        <v>0</v>
      </c>
      <c r="W171" t="inlineStr">
        <is>
          <t>No se ejecutó en la vigencia</t>
        </is>
      </c>
    </row>
    <row r="172">
      <c r="A172" t="inlineStr">
        <is>
          <t>IP-459</t>
        </is>
      </c>
      <c r="B172" t="inlineStr">
        <is>
          <t>33</t>
        </is>
      </c>
      <c r="C172" t="inlineStr">
        <is>
          <t>Cultura</t>
        </is>
      </c>
      <c r="D172" t="inlineStr">
        <is>
          <t>3301</t>
        </is>
      </c>
      <c r="E172" t="inlineStr">
        <is>
          <t>Promoción y acceso efectivo a procesos culturales y artísticos</t>
        </is>
      </c>
      <c r="F172" t="inlineStr">
        <is>
          <t>3301073</t>
        </is>
      </c>
      <c r="G172" t="inlineStr">
        <is>
          <t>Servicio de circulación artística y cultural</t>
        </is>
      </c>
      <c r="H172" t="inlineStr">
        <is>
          <t>330107300</t>
        </is>
      </c>
      <c r="I172" t="inlineStr">
        <is>
          <t>Contenidos culturales  en circulación</t>
        </is>
      </c>
      <c r="J172" t="inlineStr">
        <is>
          <t>2024251750043</t>
        </is>
      </c>
      <c r="K172" t="inlineStr">
        <is>
          <t>Si</t>
        </is>
      </c>
      <c r="L172" t="inlineStr">
        <is>
          <t>Número</t>
        </is>
      </c>
      <c r="M172">
        <v>100</v>
      </c>
      <c r="N172">
        <v>20</v>
      </c>
      <c r="O172">
        <v>37</v>
      </c>
      <c r="P172">
        <v>21</v>
      </c>
      <c r="Q172">
        <v>22</v>
      </c>
      <c r="R172">
        <v>20</v>
      </c>
      <c r="S172" s="103">
        <v>1</v>
      </c>
      <c r="T172" t="inlineStr">
        <is>
          <t>Se ejecutó el 100% de lo programado en la vigencia</t>
        </is>
      </c>
      <c r="U172">
        <v>0</v>
      </c>
      <c r="V172" s="104">
        <v>0</v>
      </c>
      <c r="W172" t="inlineStr">
        <is>
          <t>No se ejecutó en la vigencia</t>
        </is>
      </c>
    </row>
    <row r="173">
      <c r="A173" t="inlineStr">
        <is>
          <t>IP-460</t>
        </is>
      </c>
      <c r="B173" t="inlineStr">
        <is>
          <t>33</t>
        </is>
      </c>
      <c r="C173" t="inlineStr">
        <is>
          <t>Cultura</t>
        </is>
      </c>
      <c r="D173" t="inlineStr">
        <is>
          <t>3301</t>
        </is>
      </c>
      <c r="E173" t="inlineStr">
        <is>
          <t>Promoción y acceso efectivo a procesos culturales y artísticos</t>
        </is>
      </c>
      <c r="F173" t="inlineStr">
        <is>
          <t>3301128</t>
        </is>
      </c>
      <c r="G173" t="inlineStr">
        <is>
          <t>Servicio de apoyo financiero para creadores y gestores culturales</t>
        </is>
      </c>
      <c r="H173" t="inlineStr">
        <is>
          <t>330112800</t>
        </is>
      </c>
      <c r="I173" t="inlineStr">
        <is>
          <t>Creadores y gestores culturales beneficiados</t>
        </is>
      </c>
      <c r="J173" t="inlineStr">
        <is>
          <t>2024251750043</t>
        </is>
      </c>
      <c r="K173" t="inlineStr">
        <is>
          <t>No</t>
        </is>
      </c>
      <c r="L173" t="inlineStr">
        <is>
          <t>Número</t>
        </is>
      </c>
      <c r="M173">
        <v>7</v>
      </c>
      <c r="N173">
        <v>5</v>
      </c>
      <c r="O173">
        <v>7</v>
      </c>
      <c r="P173">
        <v>7</v>
      </c>
      <c r="Q173">
        <v>7</v>
      </c>
      <c r="R173">
        <v>5</v>
      </c>
      <c r="S173" s="103">
        <v>1</v>
      </c>
      <c r="T173" t="inlineStr">
        <is>
          <t>Se ejecutó el 100% de lo programado en la vigencia</t>
        </is>
      </c>
      <c r="U173">
        <v>0</v>
      </c>
      <c r="V173" s="104">
        <v>0</v>
      </c>
      <c r="W173" t="inlineStr">
        <is>
          <t>No se ejecutó en la vigencia</t>
        </is>
      </c>
    </row>
    <row r="174">
      <c r="A174" t="inlineStr">
        <is>
          <t>IP-461</t>
        </is>
      </c>
      <c r="B174" t="inlineStr">
        <is>
          <t>33</t>
        </is>
      </c>
      <c r="C174" t="inlineStr">
        <is>
          <t>Cultura</t>
        </is>
      </c>
      <c r="D174" t="inlineStr">
        <is>
          <t>3301</t>
        </is>
      </c>
      <c r="E174" t="inlineStr">
        <is>
          <t>Promoción y acceso efectivo a procesos culturales y artísticos</t>
        </is>
      </c>
      <c r="F174" t="inlineStr">
        <is>
          <t>3301051</t>
        </is>
      </c>
      <c r="G174" t="inlineStr">
        <is>
          <t>Servicio de educación informal al sector artístico y cultural</t>
        </is>
      </c>
      <c r="H174" t="inlineStr">
        <is>
          <t>330105100</t>
        </is>
      </c>
      <c r="I174" t="inlineStr">
        <is>
          <t>Personas capacitadas</t>
        </is>
      </c>
      <c r="J174" t="inlineStr">
        <is>
          <t>2024251750043</t>
        </is>
      </c>
      <c r="K174" t="inlineStr">
        <is>
          <t>Si</t>
        </is>
      </c>
      <c r="L174" t="inlineStr">
        <is>
          <t>Número</t>
        </is>
      </c>
      <c r="M174">
        <v>420</v>
      </c>
      <c r="N174">
        <v>0</v>
      </c>
      <c r="O174">
        <v>100</v>
      </c>
      <c r="P174">
        <v>160</v>
      </c>
      <c r="Q174">
        <v>160</v>
      </c>
      <c r="R174">
        <v>0</v>
      </c>
      <c r="S174" s="103" t="inlineStr">
        <is>
          <t xml:space="preserve"> </t>
        </is>
      </c>
      <c r="T174" t="inlineStr">
        <is>
          <t>No se programó ni ejecutó en la vigencia</t>
        </is>
      </c>
      <c r="U174" t="inlineStr">
        <is>
          <t xml:space="preserve"> </t>
        </is>
      </c>
      <c r="V174" s="104" t="inlineStr">
        <is>
          <t xml:space="preserve"> </t>
        </is>
      </c>
      <c r="W174" t="inlineStr">
        <is>
          <t>No se encontró ejecución en PIIP</t>
        </is>
      </c>
    </row>
    <row r="175">
      <c r="A175" t="inlineStr">
        <is>
          <t>IP-462</t>
        </is>
      </c>
      <c r="B175" t="inlineStr">
        <is>
          <t>33</t>
        </is>
      </c>
      <c r="C175" t="inlineStr">
        <is>
          <t>Cultura</t>
        </is>
      </c>
      <c r="D175" t="inlineStr">
        <is>
          <t>3301</t>
        </is>
      </c>
      <c r="E175" t="inlineStr">
        <is>
          <t>Promoción y acceso efectivo a procesos culturales y artísticos</t>
        </is>
      </c>
      <c r="F175" t="inlineStr">
        <is>
          <t>3301054</t>
        </is>
      </c>
      <c r="G175" t="inlineStr">
        <is>
          <t>Servicio de apoyo financiero al sector artístico y cultural</t>
        </is>
      </c>
      <c r="H175" t="inlineStr">
        <is>
          <t>330105400</t>
        </is>
      </c>
      <c r="I175" t="inlineStr">
        <is>
          <t>Estímulos otorgados</t>
        </is>
      </c>
      <c r="J175" t="inlineStr">
        <is>
          <t>2024251750043</t>
        </is>
      </c>
      <c r="K175" t="inlineStr">
        <is>
          <t>Si</t>
        </is>
      </c>
      <c r="L175" t="inlineStr">
        <is>
          <t>Número</t>
        </is>
      </c>
      <c r="M175">
        <v>220</v>
      </c>
      <c r="N175">
        <v>53</v>
      </c>
      <c r="O175">
        <v>66</v>
      </c>
      <c r="P175">
        <v>50</v>
      </c>
      <c r="Q175">
        <v>51</v>
      </c>
      <c r="R175">
        <v>53</v>
      </c>
      <c r="S175" s="103">
        <v>1</v>
      </c>
      <c r="T175" t="inlineStr">
        <is>
          <t>Se ejecutó el 100% de lo programado en la vigencia</t>
        </is>
      </c>
      <c r="U175">
        <v>0</v>
      </c>
      <c r="V175" s="104">
        <v>0</v>
      </c>
      <c r="W175" t="inlineStr">
        <is>
          <t>No se ejecutó en la vigencia</t>
        </is>
      </c>
    </row>
    <row r="176">
      <c r="A176" t="inlineStr">
        <is>
          <t>IP-463</t>
        </is>
      </c>
      <c r="B176" t="inlineStr">
        <is>
          <t>33</t>
        </is>
      </c>
      <c r="C176" t="inlineStr">
        <is>
          <t>Cultura</t>
        </is>
      </c>
      <c r="D176" t="inlineStr">
        <is>
          <t>3301</t>
        </is>
      </c>
      <c r="E176" t="inlineStr">
        <is>
          <t>Promoción y acceso efectivo a procesos culturales y artísticos</t>
        </is>
      </c>
      <c r="F176" t="inlineStr">
        <is>
          <t>3301003</t>
        </is>
      </c>
      <c r="G176" t="inlineStr">
        <is>
          <t>Bibliotecas adecuadas</t>
        </is>
      </c>
      <c r="H176" t="inlineStr">
        <is>
          <t>330100300</t>
        </is>
      </c>
      <c r="I176" t="inlineStr">
        <is>
          <t>Bibliotecas adecuadas</t>
        </is>
      </c>
      <c r="J176" t="inlineStr">
        <is>
          <t>2024251750043</t>
        </is>
      </c>
      <c r="K176" t="inlineStr">
        <is>
          <t>Si</t>
        </is>
      </c>
      <c r="L176" t="inlineStr">
        <is>
          <t>Número</t>
        </is>
      </c>
      <c r="M176">
        <v>2</v>
      </c>
      <c r="N176">
        <v>0</v>
      </c>
      <c r="O176">
        <v>0</v>
      </c>
      <c r="P176">
        <v>1</v>
      </c>
      <c r="Q176">
        <v>1</v>
      </c>
      <c r="R176" t="inlineStr">
        <is>
          <t xml:space="preserve"> </t>
        </is>
      </c>
      <c r="S176" s="103" t="inlineStr">
        <is>
          <t xml:space="preserve"> </t>
        </is>
      </c>
      <c r="T176" t="inlineStr">
        <is>
          <t>No se encontró ejecución en PIIP</t>
        </is>
      </c>
      <c r="U176" t="inlineStr">
        <is>
          <t xml:space="preserve"> </t>
        </is>
      </c>
      <c r="V176" s="104" t="inlineStr">
        <is>
          <t xml:space="preserve"> </t>
        </is>
      </c>
      <c r="W176" t="inlineStr">
        <is>
          <t>No se encontró ejecución en PIIP</t>
        </is>
      </c>
    </row>
    <row r="177">
      <c r="A177" t="inlineStr">
        <is>
          <t>IP-464</t>
        </is>
      </c>
      <c r="B177" t="inlineStr">
        <is>
          <t>33</t>
        </is>
      </c>
      <c r="C177" t="inlineStr">
        <is>
          <t>Cultura</t>
        </is>
      </c>
      <c r="D177" t="inlineStr">
        <is>
          <t>3301</t>
        </is>
      </c>
      <c r="E177" t="inlineStr">
        <is>
          <t>Promoción y acceso efectivo a procesos culturales y artísticos</t>
        </is>
      </c>
      <c r="F177" t="inlineStr">
        <is>
          <t>3301085</t>
        </is>
      </c>
      <c r="G177" t="inlineStr">
        <is>
          <t>Servicios bibliotecarios</t>
        </is>
      </c>
      <c r="H177" t="inlineStr">
        <is>
          <t>330108500</t>
        </is>
      </c>
      <c r="I177" t="inlineStr">
        <is>
          <t>Usuarios atendidos</t>
        </is>
      </c>
      <c r="J177" t="inlineStr">
        <is>
          <t>2024251750043</t>
        </is>
      </c>
      <c r="K177" t="inlineStr">
        <is>
          <t>Si</t>
        </is>
      </c>
      <c r="L177" t="inlineStr">
        <is>
          <t>Número</t>
        </is>
      </c>
      <c r="M177">
        <v>80000</v>
      </c>
      <c r="N177">
        <v>15900</v>
      </c>
      <c r="O177">
        <v>18000</v>
      </c>
      <c r="P177">
        <v>21400</v>
      </c>
      <c r="Q177">
        <v>24700</v>
      </c>
      <c r="R177">
        <v>15900</v>
      </c>
      <c r="S177" s="103">
        <v>1</v>
      </c>
      <c r="T177" t="inlineStr">
        <is>
          <t>Se ejecutó el 100% de lo programado en la vigencia</t>
        </is>
      </c>
      <c r="U177">
        <v>0</v>
      </c>
      <c r="V177" s="104">
        <v>0</v>
      </c>
      <c r="W177" t="inlineStr">
        <is>
          <t>No se ejecutó en la vigencia</t>
        </is>
      </c>
    </row>
    <row r="178">
      <c r="A178" t="inlineStr">
        <is>
          <t>IP-465</t>
        </is>
      </c>
      <c r="B178" t="inlineStr">
        <is>
          <t>33</t>
        </is>
      </c>
      <c r="C178" t="inlineStr">
        <is>
          <t>Cultura</t>
        </is>
      </c>
      <c r="D178" t="inlineStr">
        <is>
          <t>3301</t>
        </is>
      </c>
      <c r="E178" t="inlineStr">
        <is>
          <t>Promoción y acceso efectivo a procesos culturales y artísticos</t>
        </is>
      </c>
      <c r="F178" t="inlineStr">
        <is>
          <t>3301065</t>
        </is>
      </c>
      <c r="G178" t="inlineStr">
        <is>
          <t>Servicio de asistencia técnica en asuntos de gestión de bibliotecas públicas y lectura.</t>
        </is>
      </c>
      <c r="H178" t="inlineStr">
        <is>
          <t>330106500</t>
        </is>
      </c>
      <c r="I178" t="inlineStr">
        <is>
          <t>Personas asistidas técnicamente</t>
        </is>
      </c>
      <c r="J178" t="inlineStr">
        <is>
          <t>2024251750043</t>
        </is>
      </c>
      <c r="K178" t="inlineStr">
        <is>
          <t>Si</t>
        </is>
      </c>
      <c r="L178" t="inlineStr">
        <is>
          <t>Número</t>
        </is>
      </c>
      <c r="M178">
        <v>60000</v>
      </c>
      <c r="N178">
        <v>10000</v>
      </c>
      <c r="O178">
        <v>15000</v>
      </c>
      <c r="P178">
        <v>17000</v>
      </c>
      <c r="Q178">
        <v>18000</v>
      </c>
      <c r="R178">
        <v>10000</v>
      </c>
      <c r="S178" s="103">
        <v>1</v>
      </c>
      <c r="T178" t="inlineStr">
        <is>
          <t>Se ejecutó el 100% de lo programado en la vigencia</t>
        </is>
      </c>
      <c r="U178">
        <v>0</v>
      </c>
      <c r="V178" s="104">
        <v>0</v>
      </c>
      <c r="W178" t="inlineStr">
        <is>
          <t>No se ejecutó en la vigencia</t>
        </is>
      </c>
    </row>
    <row r="179">
      <c r="A179" t="inlineStr">
        <is>
          <t>IP-466</t>
        </is>
      </c>
      <c r="B179" t="inlineStr">
        <is>
          <t>33</t>
        </is>
      </c>
      <c r="C179" t="inlineStr">
        <is>
          <t>Cultura</t>
        </is>
      </c>
      <c r="D179" t="inlineStr">
        <is>
          <t>3301</t>
        </is>
      </c>
      <c r="E179" t="inlineStr">
        <is>
          <t>Promoción y acceso efectivo a procesos culturales y artísticos</t>
        </is>
      </c>
      <c r="F179" t="inlineStr">
        <is>
          <t>3301129</t>
        </is>
      </c>
      <c r="G179" t="inlineStr">
        <is>
          <t>Documentos de planeación</t>
        </is>
      </c>
      <c r="H179" t="inlineStr">
        <is>
          <t>330112900</t>
        </is>
      </c>
      <c r="I179" t="inlineStr">
        <is>
          <t>Documentos de planeación realizados</t>
        </is>
      </c>
      <c r="J179" t="inlineStr">
        <is>
          <t>2024251750043</t>
        </is>
      </c>
      <c r="K179" t="inlineStr">
        <is>
          <t>Si</t>
        </is>
      </c>
      <c r="L179" t="inlineStr">
        <is>
          <t>Número</t>
        </is>
      </c>
      <c r="M179">
        <v>1</v>
      </c>
      <c r="N179">
        <v>0.1</v>
      </c>
      <c r="O179">
        <v>0</v>
      </c>
      <c r="P179">
        <v>0.4</v>
      </c>
      <c r="Q179">
        <v>0.5</v>
      </c>
      <c r="R179">
        <v>0.1</v>
      </c>
      <c r="S179" s="103">
        <v>1</v>
      </c>
      <c r="T179" t="inlineStr">
        <is>
          <t>Se ejecutó el 100% de lo programado en la vigencia</t>
        </is>
      </c>
      <c r="U179">
        <v>0</v>
      </c>
      <c r="V179" s="104" t="inlineStr">
        <is>
          <t xml:space="preserve"> </t>
        </is>
      </c>
      <c r="W179" t="inlineStr">
        <is>
          <t>No se programó ni ejecutó en la vigencia</t>
        </is>
      </c>
    </row>
    <row r="180">
      <c r="A180" t="inlineStr">
        <is>
          <t>IP-467</t>
        </is>
      </c>
      <c r="B180" t="inlineStr">
        <is>
          <t>33</t>
        </is>
      </c>
      <c r="C180" t="inlineStr">
        <is>
          <t>Cultura</t>
        </is>
      </c>
      <c r="D180" t="inlineStr">
        <is>
          <t>3301</t>
        </is>
      </c>
      <c r="E180" t="inlineStr">
        <is>
          <t>Promoción y acceso efectivo a procesos culturales y artísticos</t>
        </is>
      </c>
      <c r="F180" t="inlineStr">
        <is>
          <t>3301074</t>
        </is>
      </c>
      <c r="G180" t="inlineStr">
        <is>
          <t>Servicio de apoyo para la organización y la participación del sector artístico, cultural y la ciudadanía</t>
        </is>
      </c>
      <c r="H180" t="inlineStr">
        <is>
          <t>330107400</t>
        </is>
      </c>
      <c r="I180" t="inlineStr">
        <is>
          <t>Encuentros realizados</t>
        </is>
      </c>
      <c r="J180" t="inlineStr">
        <is>
          <t>2024251750043</t>
        </is>
      </c>
      <c r="K180" t="inlineStr">
        <is>
          <t>No</t>
        </is>
      </c>
      <c r="L180" t="inlineStr">
        <is>
          <t>Número</t>
        </is>
      </c>
      <c r="M180">
        <v>1</v>
      </c>
      <c r="N180">
        <v>1</v>
      </c>
      <c r="O180">
        <v>1</v>
      </c>
      <c r="P180">
        <v>1</v>
      </c>
      <c r="Q180">
        <v>1</v>
      </c>
      <c r="R180">
        <v>1</v>
      </c>
      <c r="S180" s="103">
        <v>1</v>
      </c>
      <c r="T180" t="inlineStr">
        <is>
          <t>Se ejecutó el 100% de lo programado en la vigencia</t>
        </is>
      </c>
      <c r="U180">
        <v>0</v>
      </c>
      <c r="V180" s="104">
        <v>0</v>
      </c>
      <c r="W180" t="inlineStr">
        <is>
          <t>No se ejecutó en la vigencia</t>
        </is>
      </c>
    </row>
    <row r="181">
      <c r="A181" t="inlineStr">
        <is>
          <t>IP-468</t>
        </is>
      </c>
      <c r="B181" t="inlineStr">
        <is>
          <t>33</t>
        </is>
      </c>
      <c r="C181" t="inlineStr">
        <is>
          <t>Cultura</t>
        </is>
      </c>
      <c r="D181" t="inlineStr">
        <is>
          <t>3302</t>
        </is>
      </c>
      <c r="E181" t="inlineStr">
        <is>
          <t>Gestión, protección y salvaguardia del patrimonio cultural colombiano</t>
        </is>
      </c>
      <c r="F181" t="inlineStr">
        <is>
          <t>3302070</t>
        </is>
      </c>
      <c r="G181" t="inlineStr">
        <is>
          <t>Serviciode divulgación y publicación del Patrimonio cultural</t>
        </is>
      </c>
      <c r="H181" t="inlineStr">
        <is>
          <t>330207002</t>
        </is>
      </c>
      <c r="I181" t="inlineStr">
        <is>
          <t>Módulos del sistema de información implementados</t>
        </is>
      </c>
      <c r="J181" t="inlineStr">
        <is>
          <t>2024251750042</t>
        </is>
      </c>
      <c r="K181" t="inlineStr">
        <is>
          <t>No</t>
        </is>
      </c>
      <c r="L181" t="inlineStr">
        <is>
          <t>Número</t>
        </is>
      </c>
      <c r="M181">
        <v>4</v>
      </c>
      <c r="N181">
        <v>0</v>
      </c>
      <c r="O181">
        <v>2</v>
      </c>
      <c r="P181">
        <v>4</v>
      </c>
      <c r="Q181">
        <v>4</v>
      </c>
      <c r="R181">
        <v>0</v>
      </c>
      <c r="S181" s="103" t="inlineStr">
        <is>
          <t xml:space="preserve"> </t>
        </is>
      </c>
      <c r="T181" t="inlineStr">
        <is>
          <t>No se programó ni ejecutó en la vigencia</t>
        </is>
      </c>
      <c r="U181" t="inlineStr">
        <is>
          <t xml:space="preserve"> </t>
        </is>
      </c>
      <c r="V181" s="104" t="inlineStr">
        <is>
          <t xml:space="preserve"> </t>
        </is>
      </c>
      <c r="W181" t="inlineStr">
        <is>
          <t>No se encontró ejecución en PIIP</t>
        </is>
      </c>
    </row>
    <row r="182">
      <c r="A182" t="inlineStr">
        <is>
          <t>IP-469</t>
        </is>
      </c>
      <c r="B182" t="inlineStr">
        <is>
          <t>33</t>
        </is>
      </c>
      <c r="C182" t="inlineStr">
        <is>
          <t>Cultura</t>
        </is>
      </c>
      <c r="D182" t="inlineStr">
        <is>
          <t>3302</t>
        </is>
      </c>
      <c r="E182" t="inlineStr">
        <is>
          <t>Gestión, protección y salvaguardia del patrimonio cultural colombiano</t>
        </is>
      </c>
      <c r="F182" t="inlineStr">
        <is>
          <t>3302035</t>
        </is>
      </c>
      <c r="G182" t="inlineStr">
        <is>
          <t>Museosadecuados</t>
        </is>
      </c>
      <c r="H182" t="inlineStr">
        <is>
          <t>330203500</t>
        </is>
      </c>
      <c r="I182" t="inlineStr">
        <is>
          <t>Museos  adecuados</t>
        </is>
      </c>
      <c r="J182" t="inlineStr">
        <is>
          <t>2024251750042</t>
        </is>
      </c>
      <c r="K182" t="inlineStr">
        <is>
          <t>Si</t>
        </is>
      </c>
      <c r="L182" t="inlineStr">
        <is>
          <t>Número</t>
        </is>
      </c>
      <c r="M182">
        <v>1</v>
      </c>
      <c r="N182">
        <v>0</v>
      </c>
      <c r="O182">
        <v>0.4</v>
      </c>
      <c r="P182">
        <v>0.4</v>
      </c>
      <c r="Q182">
        <v>0.2</v>
      </c>
      <c r="R182">
        <v>0</v>
      </c>
      <c r="S182" s="103" t="inlineStr">
        <is>
          <t xml:space="preserve"> </t>
        </is>
      </c>
      <c r="T182" t="inlineStr">
        <is>
          <t>No se programó ni ejecutó en la vigencia</t>
        </is>
      </c>
      <c r="U182" t="inlineStr">
        <is>
          <t xml:space="preserve"> </t>
        </is>
      </c>
      <c r="V182" s="104" t="inlineStr">
        <is>
          <t xml:space="preserve"> </t>
        </is>
      </c>
      <c r="W182" t="inlineStr">
        <is>
          <t>No se encontró ejecución en PIIP</t>
        </is>
      </c>
    </row>
    <row r="183">
      <c r="A183" t="inlineStr">
        <is>
          <t>IP-470, IP-471, IP-472, IP-473, IP-476</t>
        </is>
      </c>
      <c r="B183" t="inlineStr">
        <is>
          <t>43</t>
        </is>
      </c>
      <c r="C183" t="inlineStr">
        <is>
          <t>Deporte y Recreación</t>
        </is>
      </c>
      <c r="D183" t="inlineStr">
        <is>
          <t>4301</t>
        </is>
      </c>
      <c r="E183" t="inlineStr">
        <is>
          <t>Fomento a la recreación, la actividad física y el deporte para desarrollar entornos de convivencia y paz</t>
        </is>
      </c>
      <c r="F183" t="inlineStr">
        <is>
          <t>4301001</t>
        </is>
      </c>
      <c r="G183" t="inlineStr">
        <is>
          <t>Servicio de apoyo a la actividad física, la recreación y el deporte</t>
        </is>
      </c>
      <c r="H183" t="inlineStr">
        <is>
          <t>430100100</t>
        </is>
      </c>
      <c r="I183" t="inlineStr">
        <is>
          <t>Personas beneficiadas</t>
        </is>
      </c>
      <c r="J183" t="inlineStr">
        <is>
          <t>2024251750058</t>
        </is>
      </c>
      <c r="K183" t="inlineStr">
        <is>
          <t>No</t>
        </is>
      </c>
      <c r="L183" t="inlineStr">
        <is>
          <t>Número</t>
        </is>
      </c>
      <c r="M183">
        <v>62422</v>
      </c>
      <c r="N183">
        <v>20887</v>
      </c>
      <c r="O183">
        <v>23783</v>
      </c>
      <c r="P183">
        <v>59278</v>
      </c>
      <c r="Q183">
        <v>62422</v>
      </c>
      <c r="R183">
        <v>20887</v>
      </c>
      <c r="S183" s="103">
        <v>1</v>
      </c>
      <c r="T183" t="inlineStr">
        <is>
          <t>Se ejecutó el 100% de lo programado en la vigencia</t>
        </is>
      </c>
      <c r="U183">
        <v>15154</v>
      </c>
      <c r="V183" s="104">
        <v>0.637177816087121</v>
      </c>
      <c r="W183" t="inlineStr">
        <is>
          <t>Lo ejecutado está por debajo de lo programado en la vigencia</t>
        </is>
      </c>
    </row>
    <row r="184">
      <c r="A184" t="inlineStr">
        <is>
          <t>IP-474</t>
        </is>
      </c>
      <c r="B184" t="inlineStr">
        <is>
          <t>43</t>
        </is>
      </c>
      <c r="C184" t="inlineStr">
        <is>
          <t>Deporte y Recreación</t>
        </is>
      </c>
      <c r="D184" t="inlineStr">
        <is>
          <t>4301</t>
        </is>
      </c>
      <c r="E184" t="inlineStr">
        <is>
          <t>Fomento a la recreación, la actividad física y el deporte para desarrollar entornos de convivencia y paz</t>
        </is>
      </c>
      <c r="F184" t="inlineStr">
        <is>
          <t>4301038</t>
        </is>
      </c>
      <c r="G184" t="inlineStr">
        <is>
          <t>Servicio de organización de eventos recreativos comunitarios</t>
        </is>
      </c>
      <c r="H184" t="inlineStr">
        <is>
          <t>430103800</t>
        </is>
      </c>
      <c r="I184" t="inlineStr">
        <is>
          <t>Personas beneficiadas</t>
        </is>
      </c>
      <c r="J184" t="inlineStr">
        <is>
          <t>2024251750058</t>
        </is>
      </c>
      <c r="K184" t="inlineStr">
        <is>
          <t>No</t>
        </is>
      </c>
      <c r="L184" t="inlineStr">
        <is>
          <t>Número</t>
        </is>
      </c>
      <c r="M184">
        <v>14520</v>
      </c>
      <c r="N184">
        <v>12100</v>
      </c>
      <c r="O184">
        <v>13000</v>
      </c>
      <c r="P184">
        <v>13714</v>
      </c>
      <c r="Q184">
        <v>14520</v>
      </c>
      <c r="R184">
        <v>12100</v>
      </c>
      <c r="S184" s="103">
        <v>1</v>
      </c>
      <c r="T184" t="inlineStr">
        <is>
          <t>Se ejecutó el 100% de lo programado en la vigencia</t>
        </is>
      </c>
      <c r="U184">
        <v>8544</v>
      </c>
      <c r="V184" s="104">
        <v>0.657230769230769</v>
      </c>
      <c r="W184" t="inlineStr">
        <is>
          <t>Lo ejecutado está por debajo de lo programado en la vigencia</t>
        </is>
      </c>
    </row>
    <row r="185">
      <c r="A185" t="inlineStr">
        <is>
          <t>IP-475</t>
        </is>
      </c>
      <c r="B185" t="inlineStr">
        <is>
          <t>43</t>
        </is>
      </c>
      <c r="C185" t="inlineStr">
        <is>
          <t>Deporte y Recreación</t>
        </is>
      </c>
      <c r="D185" t="inlineStr">
        <is>
          <t>4301</t>
        </is>
      </c>
      <c r="E185" t="inlineStr">
        <is>
          <t>Fomento a la recreación, la actividad física y el deporte para desarrollar entornos de convivencia y paz</t>
        </is>
      </c>
      <c r="F185" t="inlineStr">
        <is>
          <t>4301035</t>
        </is>
      </c>
      <c r="G185" t="inlineStr">
        <is>
          <t>Servicio de educación informal en recreación</t>
        </is>
      </c>
      <c r="H185" t="inlineStr">
        <is>
          <t>430103500</t>
        </is>
      </c>
      <c r="I185" t="inlineStr">
        <is>
          <t>Personas capacitadas</t>
        </is>
      </c>
      <c r="J185" t="inlineStr">
        <is>
          <t>2024251750058</t>
        </is>
      </c>
      <c r="K185" t="inlineStr">
        <is>
          <t>Si</t>
        </is>
      </c>
      <c r="L185" t="inlineStr">
        <is>
          <t>Número</t>
        </is>
      </c>
      <c r="M185">
        <v>800</v>
      </c>
      <c r="N185">
        <v>200</v>
      </c>
      <c r="O185">
        <v>0</v>
      </c>
      <c r="P185">
        <v>300</v>
      </c>
      <c r="Q185">
        <v>300</v>
      </c>
      <c r="R185">
        <v>200</v>
      </c>
      <c r="S185" s="103">
        <v>1</v>
      </c>
      <c r="T185" t="inlineStr">
        <is>
          <t>Se ejecutó el 100% de lo programado en la vigencia</t>
        </is>
      </c>
      <c r="U185">
        <v>0</v>
      </c>
      <c r="V185" s="104" t="inlineStr">
        <is>
          <t xml:space="preserve"> </t>
        </is>
      </c>
      <c r="W185" t="inlineStr">
        <is>
          <t>No se programó ni ejecutó en la vigencia</t>
        </is>
      </c>
    </row>
    <row r="186">
      <c r="A186" t="inlineStr">
        <is>
          <t>IP-477</t>
        </is>
      </c>
      <c r="B186" t="inlineStr">
        <is>
          <t>43</t>
        </is>
      </c>
      <c r="C186" t="inlineStr">
        <is>
          <t>Deporte y Recreación</t>
        </is>
      </c>
      <c r="D186" t="inlineStr">
        <is>
          <t>4301</t>
        </is>
      </c>
      <c r="E186" t="inlineStr">
        <is>
          <t>Fomento a la recreación, la actividad física y el deporte para desarrollar entornos de convivencia y paz</t>
        </is>
      </c>
      <c r="F186" t="inlineStr">
        <is>
          <t>4301004</t>
        </is>
      </c>
      <c r="G186" t="inlineStr">
        <is>
          <t>Servicio de mantenimiento a la infraestructura deportiva</t>
        </is>
      </c>
      <c r="H186" t="inlineStr">
        <is>
          <t>430100400</t>
        </is>
      </c>
      <c r="I186" t="inlineStr">
        <is>
          <t>Infraestructura deportiva mantenida</t>
        </is>
      </c>
      <c r="J186" t="inlineStr">
        <is>
          <t>2024251750057</t>
        </is>
      </c>
      <c r="K186" t="inlineStr">
        <is>
          <t>No</t>
        </is>
      </c>
      <c r="L186" t="inlineStr">
        <is>
          <t>Número</t>
        </is>
      </c>
      <c r="M186">
        <v>18</v>
      </c>
      <c r="N186">
        <v>18</v>
      </c>
      <c r="O186">
        <v>18</v>
      </c>
      <c r="P186">
        <v>18</v>
      </c>
      <c r="Q186">
        <v>18</v>
      </c>
      <c r="R186">
        <v>100</v>
      </c>
      <c r="S186" s="103">
        <v>5.55555555555556</v>
      </c>
      <c r="T186" t="inlineStr">
        <is>
          <t>Hubo ejecución por encima de lo programado en SisPT</t>
        </is>
      </c>
      <c r="U186">
        <v>12</v>
      </c>
      <c r="V186" s="104">
        <v>0.666666666666667</v>
      </c>
      <c r="W186" t="inlineStr">
        <is>
          <t>Lo ejecutado está por debajo de lo programado en la vigencia</t>
        </is>
      </c>
    </row>
    <row r="187">
      <c r="A187" t="inlineStr">
        <is>
          <t>IP-478</t>
        </is>
      </c>
      <c r="B187" t="inlineStr">
        <is>
          <t>43</t>
        </is>
      </c>
      <c r="C187" t="inlineStr">
        <is>
          <t>Deporte y Recreación</t>
        </is>
      </c>
      <c r="D187" t="inlineStr">
        <is>
          <t>4301</t>
        </is>
      </c>
      <c r="E187" t="inlineStr">
        <is>
          <t>Fomento a la recreación, la actividad física y el deporte para desarrollar entornos de convivencia y paz</t>
        </is>
      </c>
      <c r="F187" t="inlineStr">
        <is>
          <t>4301031</t>
        </is>
      </c>
      <c r="G187" t="inlineStr">
        <is>
          <t>Estudios y diseños de infraestructura recreo-deportiva</t>
        </is>
      </c>
      <c r="H187" t="inlineStr">
        <is>
          <t>430103100</t>
        </is>
      </c>
      <c r="I187" t="inlineStr">
        <is>
          <t>Estudios y diseños elaborados</t>
        </is>
      </c>
      <c r="J187" t="inlineStr">
        <is>
          <t>202500000037160</t>
        </is>
      </c>
      <c r="K187" t="inlineStr">
        <is>
          <t>Si</t>
        </is>
      </c>
      <c r="L187" t="inlineStr">
        <is>
          <t>Número</t>
        </is>
      </c>
      <c r="M187">
        <v>1</v>
      </c>
      <c r="N187">
        <v>0</v>
      </c>
      <c r="O187">
        <v>1</v>
      </c>
      <c r="P187">
        <v>0</v>
      </c>
      <c r="Q187">
        <v>0</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IP-480</t>
        </is>
      </c>
      <c r="B188" t="inlineStr">
        <is>
          <t>45</t>
        </is>
      </c>
      <c r="C188" t="inlineStr">
        <is>
          <t>Gobierno Territorial</t>
        </is>
      </c>
      <c r="D188" t="inlineStr">
        <is>
          <t>4502</t>
        </is>
      </c>
      <c r="E188" t="inlineStr">
        <is>
          <t>Fortalecimiento del buen gobierno para el respeto y garantía de los derechos humanos.</t>
        </is>
      </c>
      <c r="F188" t="inlineStr">
        <is>
          <t>4502022</t>
        </is>
      </c>
      <c r="G188" t="inlineStr">
        <is>
          <t>Servicio de asistencia técnica</t>
        </is>
      </c>
      <c r="H188" t="inlineStr">
        <is>
          <t>450202200</t>
        </is>
      </c>
      <c r="I188" t="inlineStr">
        <is>
          <t>Instancias territoriales de coordinación institucional asistidas y apoyadas</t>
        </is>
      </c>
      <c r="J188" t="inlineStr">
        <is>
          <t>2024251750054</t>
        </is>
      </c>
      <c r="K188" t="inlineStr">
        <is>
          <t>No</t>
        </is>
      </c>
      <c r="L188" t="inlineStr">
        <is>
          <t>Número</t>
        </is>
      </c>
      <c r="M188">
        <v>1</v>
      </c>
      <c r="N188">
        <v>1</v>
      </c>
      <c r="O188">
        <v>1</v>
      </c>
      <c r="P188">
        <v>1</v>
      </c>
      <c r="Q188">
        <v>1</v>
      </c>
      <c r="R188">
        <v>1</v>
      </c>
      <c r="S188" s="103">
        <v>1</v>
      </c>
      <c r="T188" t="inlineStr">
        <is>
          <t>Se ejecutó el 100% de lo programado en la vigencia</t>
        </is>
      </c>
      <c r="U188">
        <v>0.25</v>
      </c>
      <c r="V188" s="104">
        <v>0.25</v>
      </c>
      <c r="W188" t="inlineStr">
        <is>
          <t>Lo ejecutado está por debajo de lo programado en la vigencia</t>
        </is>
      </c>
    </row>
    <row r="189">
      <c r="A189" t="inlineStr">
        <is>
          <t>IP-481</t>
        </is>
      </c>
      <c r="B189" t="inlineStr">
        <is>
          <t>45</t>
        </is>
      </c>
      <c r="C189" t="inlineStr">
        <is>
          <t>Gobierno Territorial</t>
        </is>
      </c>
      <c r="D189" t="inlineStr">
        <is>
          <t>4502</t>
        </is>
      </c>
      <c r="E189" t="inlineStr">
        <is>
          <t>Fortalecimiento del buen gobierno para el respeto y garantía de los derechos humanos.</t>
        </is>
      </c>
      <c r="F189" t="inlineStr">
        <is>
          <t>4502022</t>
        </is>
      </c>
      <c r="G189" t="inlineStr">
        <is>
          <t>Servicio de asistencia técnica</t>
        </is>
      </c>
      <c r="H189" t="inlineStr">
        <is>
          <t>450202202</t>
        </is>
      </c>
      <c r="I189" t="inlineStr">
        <is>
          <t>Comunidades indigenas asistidas técnicamente</t>
        </is>
      </c>
      <c r="J189" t="inlineStr">
        <is>
          <t>2024251750052</t>
        </is>
      </c>
      <c r="K189" t="inlineStr">
        <is>
          <t>No</t>
        </is>
      </c>
      <c r="L189" t="inlineStr">
        <is>
          <t>Número</t>
        </is>
      </c>
      <c r="M189">
        <v>1</v>
      </c>
      <c r="N189">
        <v>1</v>
      </c>
      <c r="O189">
        <v>1</v>
      </c>
      <c r="P189">
        <v>1</v>
      </c>
      <c r="Q189">
        <v>1</v>
      </c>
      <c r="R189">
        <v>1</v>
      </c>
      <c r="S189" s="103">
        <v>1</v>
      </c>
      <c r="T189" t="inlineStr">
        <is>
          <t>Se ejecutó el 100% de lo programado en la vigencia</t>
        </is>
      </c>
      <c r="U189">
        <v>0</v>
      </c>
      <c r="V189" s="104">
        <v>0</v>
      </c>
      <c r="W189" t="inlineStr">
        <is>
          <t>No se ejecutó en la vigencia</t>
        </is>
      </c>
    </row>
    <row r="190">
      <c r="A190" t="inlineStr">
        <is>
          <t>IP-482</t>
        </is>
      </c>
      <c r="B190" t="inlineStr">
        <is>
          <t>45</t>
        </is>
      </c>
      <c r="C190" t="inlineStr">
        <is>
          <t>Gobierno Territorial</t>
        </is>
      </c>
      <c r="D190" t="inlineStr">
        <is>
          <t>4502</t>
        </is>
      </c>
      <c r="E190" t="inlineStr">
        <is>
          <t>Fortalecimiento del buen gobierno para el respeto y garantía de los derechos humanos.</t>
        </is>
      </c>
      <c r="F190" t="inlineStr">
        <is>
          <t>4502022</t>
        </is>
      </c>
      <c r="G190" t="inlineStr">
        <is>
          <t>Servicio de asistencia técnica</t>
        </is>
      </c>
      <c r="H190" t="inlineStr">
        <is>
          <t>450202201</t>
        </is>
      </c>
      <c r="I190" t="inlineStr">
        <is>
          <t>Grupos étnicos asistidos técnicamente</t>
        </is>
      </c>
      <c r="J190" t="inlineStr">
        <is>
          <t>2024251750052</t>
        </is>
      </c>
      <c r="K190" t="inlineStr">
        <is>
          <t>Si</t>
        </is>
      </c>
      <c r="L190" t="inlineStr">
        <is>
          <t>Número</t>
        </is>
      </c>
      <c r="M190">
        <v>4</v>
      </c>
      <c r="N190">
        <v>1</v>
      </c>
      <c r="O190">
        <v>1</v>
      </c>
      <c r="P190">
        <v>1</v>
      </c>
      <c r="Q190">
        <v>1</v>
      </c>
      <c r="R190">
        <v>1</v>
      </c>
      <c r="S190" s="103">
        <v>1</v>
      </c>
      <c r="T190" t="inlineStr">
        <is>
          <t>Se ejecutó el 100% de lo programado en la vigencia</t>
        </is>
      </c>
      <c r="U190">
        <v>0</v>
      </c>
      <c r="V190" s="104">
        <v>0</v>
      </c>
      <c r="W190" t="inlineStr">
        <is>
          <t>No se ejecutó en la vigencia</t>
        </is>
      </c>
    </row>
    <row r="191">
      <c r="A191" t="inlineStr">
        <is>
          <t>IP-483</t>
        </is>
      </c>
      <c r="B191" t="inlineStr">
        <is>
          <t>45</t>
        </is>
      </c>
      <c r="C191" t="inlineStr">
        <is>
          <t>Gobierno Territorial</t>
        </is>
      </c>
      <c r="D191" t="inlineStr">
        <is>
          <t>4502</t>
        </is>
      </c>
      <c r="E191" t="inlineStr">
        <is>
          <t>Fortalecimiento del buen gobierno para el respeto y garantía de los derechos humanos.</t>
        </is>
      </c>
      <c r="F191" t="inlineStr">
        <is>
          <t>4502022</t>
        </is>
      </c>
      <c r="G191" t="inlineStr">
        <is>
          <t>Servicio de asistencia técnica</t>
        </is>
      </c>
      <c r="H191" t="inlineStr">
        <is>
          <t>450202200</t>
        </is>
      </c>
      <c r="I191" t="inlineStr">
        <is>
          <t>Instancias territoriales de coordinación institucional asistidas y apoyadas</t>
        </is>
      </c>
      <c r="J191" t="inlineStr">
        <is>
          <t>2024251750055</t>
        </is>
      </c>
      <c r="K191" t="inlineStr">
        <is>
          <t>No</t>
        </is>
      </c>
      <c r="L191" t="inlineStr">
        <is>
          <t>Número</t>
        </is>
      </c>
      <c r="M191">
        <v>1</v>
      </c>
      <c r="N191">
        <v>1</v>
      </c>
      <c r="O191">
        <v>1</v>
      </c>
      <c r="P191">
        <v>1</v>
      </c>
      <c r="Q191">
        <v>1</v>
      </c>
      <c r="R191">
        <v>1</v>
      </c>
      <c r="S191" s="103">
        <v>1</v>
      </c>
      <c r="T191" t="inlineStr">
        <is>
          <t>Se ejecutó el 100% de lo programado en la vigencia</t>
        </is>
      </c>
      <c r="U191">
        <v>0.032</v>
      </c>
      <c r="V191" s="104">
        <v>0.032</v>
      </c>
      <c r="W191" t="inlineStr">
        <is>
          <t>Lo ejecutado está por debajo de lo programado en la vigencia</t>
        </is>
      </c>
    </row>
    <row r="192">
      <c r="A192" t="inlineStr">
        <is>
          <t>IP-484</t>
        </is>
      </c>
      <c r="B192" t="inlineStr">
        <is>
          <t>45</t>
        </is>
      </c>
      <c r="C192" t="inlineStr">
        <is>
          <t>Gobierno Territorial</t>
        </is>
      </c>
      <c r="D192" t="inlineStr">
        <is>
          <t>4503</t>
        </is>
      </c>
      <c r="E192" t="inlineStr">
        <is>
          <t>Gestión del riesgo de desastres y emergencias</t>
        </is>
      </c>
      <c r="F192" t="inlineStr">
        <is>
          <t>4503017</t>
        </is>
      </c>
      <c r="G192" t="inlineStr">
        <is>
          <t>Estudios de riesgo de desastres</t>
        </is>
      </c>
      <c r="H192" t="inlineStr">
        <is>
          <t>450301700</t>
        </is>
      </c>
      <c r="I192" t="inlineStr">
        <is>
          <t>Estudios de riesgo de desastres elaborados</t>
        </is>
      </c>
      <c r="J192" t="inlineStr">
        <is>
          <t>2024251750051</t>
        </is>
      </c>
      <c r="K192" t="inlineStr">
        <is>
          <t>Si</t>
        </is>
      </c>
      <c r="L192" t="inlineStr">
        <is>
          <t>Número</t>
        </is>
      </c>
      <c r="M192">
        <v>1</v>
      </c>
      <c r="N192">
        <v>0</v>
      </c>
      <c r="O192">
        <v>0</v>
      </c>
      <c r="P192">
        <v>0.5</v>
      </c>
      <c r="Q192">
        <v>0.5</v>
      </c>
      <c r="R192">
        <v>0</v>
      </c>
      <c r="S192" s="103" t="inlineStr">
        <is>
          <t xml:space="preserve"> </t>
        </is>
      </c>
      <c r="T192" t="inlineStr">
        <is>
          <t>No se programó ni ejecutó en la vigencia</t>
        </is>
      </c>
      <c r="U192" t="inlineStr">
        <is>
          <t xml:space="preserve"> </t>
        </is>
      </c>
      <c r="V192" s="104" t="inlineStr">
        <is>
          <t xml:space="preserve"> </t>
        </is>
      </c>
      <c r="W192" t="inlineStr">
        <is>
          <t>No se encontró ejecución en PIIP</t>
        </is>
      </c>
    </row>
    <row r="193">
      <c r="A193" t="inlineStr">
        <is>
          <t>IP-485</t>
        </is>
      </c>
      <c r="B193" t="inlineStr">
        <is>
          <t>45</t>
        </is>
      </c>
      <c r="C193" t="inlineStr">
        <is>
          <t>Gobierno Territorial</t>
        </is>
      </c>
      <c r="D193" t="inlineStr">
        <is>
          <t>4503</t>
        </is>
      </c>
      <c r="E193" t="inlineStr">
        <is>
          <t>Gestión del riesgo de desastres y emergencias</t>
        </is>
      </c>
      <c r="F193" t="inlineStr">
        <is>
          <t>4503003</t>
        </is>
      </c>
      <c r="G193" t="inlineStr">
        <is>
          <t>Servicio de asistencia técnica</t>
        </is>
      </c>
      <c r="H193" t="inlineStr">
        <is>
          <t>450300300</t>
        </is>
      </c>
      <c r="I193" t="inlineStr">
        <is>
          <t>Instancias territoriales asistidas</t>
        </is>
      </c>
      <c r="J193" t="inlineStr">
        <is>
          <t>2024251750051</t>
        </is>
      </c>
      <c r="K193" t="inlineStr">
        <is>
          <t>No</t>
        </is>
      </c>
      <c r="L193" t="inlineStr">
        <is>
          <t>Número</t>
        </is>
      </c>
      <c r="M193">
        <v>1</v>
      </c>
      <c r="N193">
        <v>1</v>
      </c>
      <c r="O193">
        <v>1</v>
      </c>
      <c r="P193">
        <v>1</v>
      </c>
      <c r="Q193">
        <v>1</v>
      </c>
      <c r="R193">
        <v>1</v>
      </c>
      <c r="S193" s="103">
        <v>1</v>
      </c>
      <c r="T193" t="inlineStr">
        <is>
          <t>Se ejecutó el 100% de lo programado en la vigencia</t>
        </is>
      </c>
      <c r="U193">
        <v>0.32</v>
      </c>
      <c r="V193" s="104">
        <v>0.32</v>
      </c>
      <c r="W193" t="inlineStr">
        <is>
          <t>Lo ejecutado está por debajo de lo programado en la vigencia</t>
        </is>
      </c>
    </row>
    <row r="194">
      <c r="A194" t="inlineStr">
        <is>
          <t>IP-486</t>
        </is>
      </c>
      <c r="B194" t="inlineStr">
        <is>
          <t>45</t>
        </is>
      </c>
      <c r="C194" t="inlineStr">
        <is>
          <t>Gobierno Territorial</t>
        </is>
      </c>
      <c r="D194" t="inlineStr">
        <is>
          <t>4503</t>
        </is>
      </c>
      <c r="E194" t="inlineStr">
        <is>
          <t>Gestión del riesgo de desastres y emergencias</t>
        </is>
      </c>
      <c r="F194" t="inlineStr">
        <is>
          <t>4503019</t>
        </is>
      </c>
      <c r="G194" t="inlineStr">
        <is>
          <t>"Servicios de información implementados"</t>
        </is>
      </c>
      <c r="H194" t="inlineStr">
        <is>
          <t>450301900</t>
        </is>
      </c>
      <c r="I194" t="inlineStr">
        <is>
          <t>Sistemas de información implementados</t>
        </is>
      </c>
      <c r="J194" t="inlineStr">
        <is>
          <t>2024251750051</t>
        </is>
      </c>
      <c r="K194" t="inlineStr">
        <is>
          <t>Si</t>
        </is>
      </c>
      <c r="L194" t="inlineStr">
        <is>
          <t>Número</t>
        </is>
      </c>
      <c r="M194">
        <v>1</v>
      </c>
      <c r="N194">
        <v>0</v>
      </c>
      <c r="O194">
        <v>0</v>
      </c>
      <c r="P194">
        <v>0.5</v>
      </c>
      <c r="Q194">
        <v>0.5</v>
      </c>
      <c r="R194">
        <v>0</v>
      </c>
      <c r="S194" s="103" t="inlineStr">
        <is>
          <t xml:space="preserve"> </t>
        </is>
      </c>
      <c r="T194" t="inlineStr">
        <is>
          <t>No se programó ni ejecutó en la vigencia</t>
        </is>
      </c>
      <c r="U194" t="inlineStr">
        <is>
          <t xml:space="preserve"> </t>
        </is>
      </c>
      <c r="V194" s="104" t="inlineStr">
        <is>
          <t xml:space="preserve"> </t>
        </is>
      </c>
      <c r="W194" t="inlineStr">
        <is>
          <t>No se encontró ejecución en PIIP</t>
        </is>
      </c>
    </row>
    <row r="195">
      <c r="A195" t="inlineStr">
        <is>
          <t>IP-487</t>
        </is>
      </c>
      <c r="B195" t="inlineStr">
        <is>
          <t>45</t>
        </is>
      </c>
      <c r="C195" t="inlineStr">
        <is>
          <t>Gobierno Territorial</t>
        </is>
      </c>
      <c r="D195" t="inlineStr">
        <is>
          <t>4503</t>
        </is>
      </c>
      <c r="E195" t="inlineStr">
        <is>
          <t>Gestión del riesgo de desastres y emergencias</t>
        </is>
      </c>
      <c r="F195" t="inlineStr">
        <is>
          <t>4503018</t>
        </is>
      </c>
      <c r="G195" t="inlineStr">
        <is>
          <t>"Servicio de monitoreo y seguimiento para la gestión del riesgo"</t>
        </is>
      </c>
      <c r="H195" t="inlineStr">
        <is>
          <t>450301800</t>
        </is>
      </c>
      <c r="I195" t="inlineStr">
        <is>
          <t>Sistemas de Alerta Temprana implementados</t>
        </is>
      </c>
      <c r="J195" t="inlineStr">
        <is>
          <t>2024251750051</t>
        </is>
      </c>
      <c r="K195" t="inlineStr">
        <is>
          <t>No</t>
        </is>
      </c>
      <c r="L195" t="inlineStr">
        <is>
          <t>Número</t>
        </is>
      </c>
      <c r="M195">
        <v>1</v>
      </c>
      <c r="N195">
        <v>1</v>
      </c>
      <c r="O195">
        <v>1</v>
      </c>
      <c r="P195">
        <v>1</v>
      </c>
      <c r="Q195">
        <v>1</v>
      </c>
      <c r="R195">
        <v>1</v>
      </c>
      <c r="S195" s="103">
        <v>1</v>
      </c>
      <c r="T195" t="inlineStr">
        <is>
          <t>Se ejecutó el 100% de lo programado en la vigencia</t>
        </is>
      </c>
      <c r="U195">
        <v>0</v>
      </c>
      <c r="V195" s="104">
        <v>0</v>
      </c>
      <c r="W195" t="inlineStr">
        <is>
          <t>No se ejecutó en la vigencia</t>
        </is>
      </c>
    </row>
    <row r="196">
      <c r="A196" t="inlineStr">
        <is>
          <t>IP-488</t>
        </is>
      </c>
      <c r="B196" t="inlineStr">
        <is>
          <t>45</t>
        </is>
      </c>
      <c r="C196" t="inlineStr">
        <is>
          <t>Gobierno Territorial</t>
        </is>
      </c>
      <c r="D196" t="inlineStr">
        <is>
          <t>4503</t>
        </is>
      </c>
      <c r="E196" t="inlineStr">
        <is>
          <t>Gestión del riesgo de desastres y emergencias</t>
        </is>
      </c>
      <c r="F196" t="inlineStr">
        <is>
          <t>4503002</t>
        </is>
      </c>
      <c r="G196" t="inlineStr">
        <is>
          <t>Servicio de educación informal</t>
        </is>
      </c>
      <c r="H196" t="inlineStr">
        <is>
          <t>450300200</t>
        </is>
      </c>
      <c r="I196" t="inlineStr">
        <is>
          <t>Personas capacitadas</t>
        </is>
      </c>
      <c r="J196" t="inlineStr">
        <is>
          <t>2024251750051</t>
        </is>
      </c>
      <c r="K196" t="inlineStr">
        <is>
          <t>Si</t>
        </is>
      </c>
      <c r="L196" t="inlineStr">
        <is>
          <t>Número</t>
        </is>
      </c>
      <c r="M196">
        <v>3200</v>
      </c>
      <c r="N196">
        <v>200</v>
      </c>
      <c r="O196">
        <v>1000</v>
      </c>
      <c r="P196">
        <v>1000</v>
      </c>
      <c r="Q196">
        <v>1000</v>
      </c>
      <c r="R196">
        <v>200</v>
      </c>
      <c r="S196" s="103">
        <v>1</v>
      </c>
      <c r="T196" t="inlineStr">
        <is>
          <t>Se ejecutó el 100% de lo programado en la vigencia</t>
        </is>
      </c>
      <c r="U196">
        <v>0</v>
      </c>
      <c r="V196" s="104">
        <v>0</v>
      </c>
      <c r="W196" t="inlineStr">
        <is>
          <t>No se ejecutó en la vigencia</t>
        </is>
      </c>
    </row>
    <row r="197">
      <c r="A197" t="inlineStr">
        <is>
          <t>IP-489</t>
        </is>
      </c>
      <c r="B197" t="inlineStr">
        <is>
          <t>45</t>
        </is>
      </c>
      <c r="C197" t="inlineStr">
        <is>
          <t>Gobierno Territorial</t>
        </is>
      </c>
      <c r="D197" t="inlineStr">
        <is>
          <t>4503</t>
        </is>
      </c>
      <c r="E197" t="inlineStr">
        <is>
          <t>Gestión del riesgo de desastres y emergencias</t>
        </is>
      </c>
      <c r="F197" t="inlineStr">
        <is>
          <t>4503035</t>
        </is>
      </c>
      <c r="G197" t="inlineStr">
        <is>
          <t>Servicio prevención y control de incendios</t>
        </is>
      </c>
      <c r="H197" t="inlineStr">
        <is>
          <t>450303500</t>
        </is>
      </c>
      <c r="I197" t="inlineStr">
        <is>
          <t>Cuerpos de bomberos disponibles para la prevención y control de incendios en la entidad territorial</t>
        </is>
      </c>
      <c r="J197" t="inlineStr">
        <is>
          <t>2024251750051</t>
        </is>
      </c>
      <c r="K197" t="inlineStr">
        <is>
          <t>No</t>
        </is>
      </c>
      <c r="L197" t="inlineStr">
        <is>
          <t>Número</t>
        </is>
      </c>
      <c r="M197">
        <v>1</v>
      </c>
      <c r="N197">
        <v>1</v>
      </c>
      <c r="O197">
        <v>1</v>
      </c>
      <c r="P197">
        <v>1</v>
      </c>
      <c r="Q197">
        <v>1</v>
      </c>
      <c r="R197">
        <v>1</v>
      </c>
      <c r="S197" s="103">
        <v>1</v>
      </c>
      <c r="T197" t="inlineStr">
        <is>
          <t>Se ejecutó el 100% de lo programado en la vigencia</t>
        </is>
      </c>
      <c r="U197">
        <v>0.1</v>
      </c>
      <c r="V197" s="104">
        <v>0.1</v>
      </c>
      <c r="W197" t="inlineStr">
        <is>
          <t>Lo ejecutado está por debajo de lo programado en la vigencia</t>
        </is>
      </c>
    </row>
    <row r="198">
      <c r="A198" t="inlineStr">
        <is>
          <t>IP-490</t>
        </is>
      </c>
      <c r="B198" t="inlineStr">
        <is>
          <t>45</t>
        </is>
      </c>
      <c r="C198" t="inlineStr">
        <is>
          <t>Gobierno Territorial</t>
        </is>
      </c>
      <c r="D198" t="inlineStr">
        <is>
          <t>4503</t>
        </is>
      </c>
      <c r="E198" t="inlineStr">
        <is>
          <t>Gestión del riesgo de desastres y emergencias</t>
        </is>
      </c>
      <c r="F198" t="inlineStr">
        <is>
          <t>4503021</t>
        </is>
      </c>
      <c r="G198" t="inlineStr">
        <is>
          <t>Servicio de fortalecimiento a Seccionales de Defensa Civil</t>
        </is>
      </c>
      <c r="H198" t="inlineStr">
        <is>
          <t>450302100</t>
        </is>
      </c>
      <c r="I198" t="inlineStr">
        <is>
          <t>Organismos de atención de emergencias fortalecidos</t>
        </is>
      </c>
      <c r="J198" t="inlineStr">
        <is>
          <t>2024251750051</t>
        </is>
      </c>
      <c r="K198" t="inlineStr">
        <is>
          <t>No</t>
        </is>
      </c>
      <c r="L198" t="inlineStr">
        <is>
          <t>Número</t>
        </is>
      </c>
      <c r="M198">
        <v>2</v>
      </c>
      <c r="N198">
        <v>2</v>
      </c>
      <c r="O198">
        <v>2</v>
      </c>
      <c r="P198">
        <v>2</v>
      </c>
      <c r="Q198">
        <v>2</v>
      </c>
      <c r="R198">
        <v>2</v>
      </c>
      <c r="S198" s="103">
        <v>1</v>
      </c>
      <c r="T198" t="inlineStr">
        <is>
          <t>Se ejecutó el 100% de lo programado en la vigencia</t>
        </is>
      </c>
      <c r="U198">
        <v>0.4</v>
      </c>
      <c r="V198" s="104">
        <v>0.2</v>
      </c>
      <c r="W198" t="inlineStr">
        <is>
          <t>Lo ejecutado está por debajo de lo programado en la vigencia</t>
        </is>
      </c>
    </row>
    <row r="199">
      <c r="A199" t="inlineStr">
        <is>
          <t>IP-491</t>
        </is>
      </c>
      <c r="B199" t="inlineStr">
        <is>
          <t>45</t>
        </is>
      </c>
      <c r="C199" t="inlineStr">
        <is>
          <t>Gobierno Territorial</t>
        </is>
      </c>
      <c r="D199" t="inlineStr">
        <is>
          <t>4503</t>
        </is>
      </c>
      <c r="E199" t="inlineStr">
        <is>
          <t>Gestión del riesgo de desastres y emergencias</t>
        </is>
      </c>
      <c r="F199" t="inlineStr">
        <is>
          <t>4503023</t>
        </is>
      </c>
      <c r="G199" t="inlineStr">
        <is>
          <t>Documentos de planeación</t>
        </is>
      </c>
      <c r="H199" t="inlineStr">
        <is>
          <t>450302300</t>
        </is>
      </c>
      <c r="I199" t="inlineStr">
        <is>
          <t>Documentos de planeación elaborados</t>
        </is>
      </c>
      <c r="J199" t="inlineStr">
        <is>
          <t>2024251750051</t>
        </is>
      </c>
      <c r="K199" t="inlineStr">
        <is>
          <t>Si</t>
        </is>
      </c>
      <c r="L199" t="inlineStr">
        <is>
          <t>Número</t>
        </is>
      </c>
      <c r="M199">
        <v>1</v>
      </c>
      <c r="N199">
        <v>0</v>
      </c>
      <c r="O199">
        <v>0.5</v>
      </c>
      <c r="P199">
        <v>0.5</v>
      </c>
      <c r="Q199">
        <v>0</v>
      </c>
      <c r="R199" t="inlineStr">
        <is>
          <t xml:space="preserve"> </t>
        </is>
      </c>
      <c r="S199" s="103" t="inlineStr">
        <is>
          <t xml:space="preserve"> </t>
        </is>
      </c>
      <c r="T199" t="inlineStr">
        <is>
          <t>No se encontró ejecución en PIIP</t>
        </is>
      </c>
      <c r="U199" t="inlineStr">
        <is>
          <t xml:space="preserve"> </t>
        </is>
      </c>
      <c r="V199" s="104" t="inlineStr">
        <is>
          <t xml:space="preserve"> </t>
        </is>
      </c>
      <c r="W199" t="inlineStr">
        <is>
          <t>No se encontró ejecución en PIIP</t>
        </is>
      </c>
    </row>
    <row r="200">
      <c r="A200" t="inlineStr">
        <is>
          <t>IP-492, IP-495, IP-498</t>
        </is>
      </c>
      <c r="B200" t="inlineStr">
        <is>
          <t>45</t>
        </is>
      </c>
      <c r="C200" t="inlineStr">
        <is>
          <t>Gobierno Territorial</t>
        </is>
      </c>
      <c r="D200" t="inlineStr">
        <is>
          <t>4501</t>
        </is>
      </c>
      <c r="E200" t="inlineStr">
        <is>
          <t>Fortalecimiento de la convivencia y la seguridad ciudadana</t>
        </is>
      </c>
      <c r="F200" t="inlineStr">
        <is>
          <t>4501029</t>
        </is>
      </c>
      <c r="G200" t="inlineStr">
        <is>
          <t>Servicio de apoyo financiero para proyectos de convivencia y seguridad ciudadana</t>
        </is>
      </c>
      <c r="H200" t="inlineStr">
        <is>
          <t>450102900</t>
        </is>
      </c>
      <c r="I200" t="inlineStr">
        <is>
          <t>Proyectos de convivencia y seguridad ciudadana apoyados financieramente</t>
        </is>
      </c>
      <c r="J200" t="inlineStr">
        <is>
          <t>2024251750049</t>
        </is>
      </c>
      <c r="K200" t="inlineStr">
        <is>
          <t>No</t>
        </is>
      </c>
      <c r="L200" t="inlineStr">
        <is>
          <t>Número</t>
        </is>
      </c>
      <c r="M200">
        <v>3</v>
      </c>
      <c r="N200">
        <v>2</v>
      </c>
      <c r="O200">
        <v>2</v>
      </c>
      <c r="P200">
        <v>3</v>
      </c>
      <c r="Q200">
        <v>3</v>
      </c>
      <c r="R200">
        <v>2</v>
      </c>
      <c r="S200" s="103">
        <v>1</v>
      </c>
      <c r="T200" t="inlineStr">
        <is>
          <t>Se ejecutó el 100% de lo programado en la vigencia</t>
        </is>
      </c>
      <c r="U200">
        <v>0.341</v>
      </c>
      <c r="V200" s="104">
        <v>0.1705</v>
      </c>
      <c r="W200" t="inlineStr">
        <is>
          <t>Lo ejecutado está por debajo de lo programado en la vigencia</t>
        </is>
      </c>
    </row>
    <row r="201">
      <c r="A201" t="inlineStr">
        <is>
          <t>IP-493</t>
        </is>
      </c>
      <c r="B201" t="inlineStr">
        <is>
          <t>45</t>
        </is>
      </c>
      <c r="C201" t="inlineStr">
        <is>
          <t>Gobierno Territorial</t>
        </is>
      </c>
      <c r="D201" t="inlineStr">
        <is>
          <t>4501</t>
        </is>
      </c>
      <c r="E201" t="inlineStr">
        <is>
          <t>Fortalecimiento de la convivencia y la seguridad ciudadana</t>
        </is>
      </c>
      <c r="F201" t="inlineStr">
        <is>
          <t>4501028</t>
        </is>
      </c>
      <c r="G201" t="inlineStr">
        <is>
          <t>Servicio de vigilancia a través de cámaras de seguridad</t>
        </is>
      </c>
      <c r="H201" t="inlineStr">
        <is>
          <t>450102801</t>
        </is>
      </c>
      <c r="I201" t="inlineStr">
        <is>
          <t>Cámaras de seguridad mantenidas</t>
        </is>
      </c>
      <c r="J201" t="inlineStr">
        <is>
          <t>2024251750049</t>
        </is>
      </c>
      <c r="K201" t="inlineStr">
        <is>
          <t>No</t>
        </is>
      </c>
      <c r="L201" t="inlineStr">
        <is>
          <t>Número</t>
        </is>
      </c>
      <c r="M201">
        <v>215</v>
      </c>
      <c r="N201">
        <v>122</v>
      </c>
      <c r="O201">
        <v>122</v>
      </c>
      <c r="P201">
        <v>215</v>
      </c>
      <c r="Q201">
        <v>215</v>
      </c>
      <c r="R201">
        <v>122</v>
      </c>
      <c r="S201" s="103">
        <v>1</v>
      </c>
      <c r="T201" t="inlineStr">
        <is>
          <t>Se ejecutó el 100% de lo programado en la vigencia</t>
        </is>
      </c>
      <c r="U201">
        <v>81</v>
      </c>
      <c r="V201" s="104">
        <v>0.663934426229508</v>
      </c>
      <c r="W201" t="inlineStr">
        <is>
          <t>Lo ejecutado está por debajo de lo programado en la vigencia</t>
        </is>
      </c>
    </row>
    <row r="202">
      <c r="A202" t="inlineStr">
        <is>
          <t>IP-494</t>
        </is>
      </c>
      <c r="B202" t="inlineStr">
        <is>
          <t>45</t>
        </is>
      </c>
      <c r="C202" t="inlineStr">
        <is>
          <t>Gobierno Territorial</t>
        </is>
      </c>
      <c r="D202" t="inlineStr">
        <is>
          <t>4501</t>
        </is>
      </c>
      <c r="E202" t="inlineStr">
        <is>
          <t>Fortalecimiento de la convivencia y la seguridad ciudadana</t>
        </is>
      </c>
      <c r="F202" t="inlineStr">
        <is>
          <t>4501008</t>
        </is>
      </c>
      <c r="G202" t="inlineStr">
        <is>
          <t>Servicio de información actualizado</t>
        </is>
      </c>
      <c r="H202" t="inlineStr">
        <is>
          <t>450100800</t>
        </is>
      </c>
      <c r="I202" t="inlineStr">
        <is>
          <t>Sistemas de información actualizados</t>
        </is>
      </c>
      <c r="J202" t="inlineStr">
        <is>
          <t>2024251750049</t>
        </is>
      </c>
      <c r="K202" t="inlineStr">
        <is>
          <t>No</t>
        </is>
      </c>
      <c r="L202" t="inlineStr">
        <is>
          <t>Número</t>
        </is>
      </c>
      <c r="M202">
        <v>1</v>
      </c>
      <c r="N202">
        <v>1</v>
      </c>
      <c r="O202">
        <v>1</v>
      </c>
      <c r="P202">
        <v>1</v>
      </c>
      <c r="Q202">
        <v>1</v>
      </c>
      <c r="R202">
        <v>1</v>
      </c>
      <c r="S202" s="103">
        <v>1</v>
      </c>
      <c r="T202" t="inlineStr">
        <is>
          <t>Se ejecutó el 100% de lo programado en la vigencia</t>
        </is>
      </c>
      <c r="U202">
        <v>0.36</v>
      </c>
      <c r="V202" s="104">
        <v>0.36</v>
      </c>
      <c r="W202" t="inlineStr">
        <is>
          <t>Lo ejecutado está por debajo de lo programado en la vigencia</t>
        </is>
      </c>
    </row>
    <row r="203">
      <c r="A203" t="inlineStr">
        <is>
          <t>IP-496</t>
        </is>
      </c>
      <c r="B203" t="inlineStr">
        <is>
          <t>45</t>
        </is>
      </c>
      <c r="C203" t="inlineStr">
        <is>
          <t>Gobierno Territorial</t>
        </is>
      </c>
      <c r="D203" t="inlineStr">
        <is>
          <t>4501</t>
        </is>
      </c>
      <c r="E203" t="inlineStr">
        <is>
          <t>Fortalecimiento de la convivencia y la seguridad ciudadana</t>
        </is>
      </c>
      <c r="F203" t="inlineStr">
        <is>
          <t>4501056</t>
        </is>
      </c>
      <c r="G203" t="inlineStr">
        <is>
          <t>Servicio de apoyo financiero para la justicia y seguridad</t>
        </is>
      </c>
      <c r="H203" t="inlineStr">
        <is>
          <t>450105600</t>
        </is>
      </c>
      <c r="I203" t="inlineStr">
        <is>
          <t>Recompensas entregadas a la ciudadanía</t>
        </is>
      </c>
      <c r="J203" t="inlineStr">
        <is>
          <t>2024251750049</t>
        </is>
      </c>
      <c r="K203" t="inlineStr">
        <is>
          <t>No</t>
        </is>
      </c>
      <c r="L203" t="inlineStr">
        <is>
          <t>Número</t>
        </is>
      </c>
      <c r="M203">
        <v>1</v>
      </c>
      <c r="N203">
        <v>1</v>
      </c>
      <c r="O203">
        <v>1</v>
      </c>
      <c r="P203">
        <v>1</v>
      </c>
      <c r="Q203">
        <v>1</v>
      </c>
      <c r="R203">
        <v>0</v>
      </c>
      <c r="S203" s="103">
        <v>0</v>
      </c>
      <c r="T203" t="inlineStr">
        <is>
          <t>No se ejecutó en la vigencia</t>
        </is>
      </c>
      <c r="U203">
        <v>0</v>
      </c>
      <c r="V203" s="104">
        <v>0</v>
      </c>
      <c r="W203" t="inlineStr">
        <is>
          <t>No se ejecutó en la vigencia</t>
        </is>
      </c>
    </row>
    <row r="204">
      <c r="A204" t="inlineStr">
        <is>
          <t>IP-497</t>
        </is>
      </c>
      <c r="B204" t="inlineStr">
        <is>
          <t>45</t>
        </is>
      </c>
      <c r="C204" t="inlineStr">
        <is>
          <t>Gobierno Territorial</t>
        </is>
      </c>
      <c r="D204" t="inlineStr">
        <is>
          <t>4501</t>
        </is>
      </c>
      <c r="E204" t="inlineStr">
        <is>
          <t>Fortalecimiento de la convivencia y la seguridad ciudadana</t>
        </is>
      </c>
      <c r="F204" t="inlineStr">
        <is>
          <t>4501046</t>
        </is>
      </c>
      <c r="G204" t="inlineStr">
        <is>
          <t>Documentos de lineamientos técnicos</t>
        </is>
      </c>
      <c r="H204" t="inlineStr">
        <is>
          <t>450104600</t>
        </is>
      </c>
      <c r="I204" t="inlineStr">
        <is>
          <t>Documentos de lineamientos técnicos realizados</t>
        </is>
      </c>
      <c r="J204" t="inlineStr">
        <is>
          <t>2024251750049</t>
        </is>
      </c>
      <c r="K204" t="inlineStr">
        <is>
          <t>Si</t>
        </is>
      </c>
      <c r="L204" t="inlineStr">
        <is>
          <t>Número</t>
        </is>
      </c>
      <c r="M204">
        <v>1</v>
      </c>
      <c r="N204">
        <v>0.02</v>
      </c>
      <c r="O204">
        <v>0</v>
      </c>
      <c r="P204">
        <v>0</v>
      </c>
      <c r="Q204">
        <v>0.98</v>
      </c>
      <c r="R204">
        <v>0.025</v>
      </c>
      <c r="S204" s="103">
        <v>1.25</v>
      </c>
      <c r="T204" t="inlineStr">
        <is>
          <t>Hubo ejecución por encima de lo programado en SisPT</t>
        </is>
      </c>
      <c r="U204">
        <v>0</v>
      </c>
      <c r="V204" s="104" t="inlineStr">
        <is>
          <t xml:space="preserve"> </t>
        </is>
      </c>
      <c r="W204" t="inlineStr">
        <is>
          <t>No se programó ni ejecutó en la vigencia</t>
        </is>
      </c>
    </row>
    <row r="205">
      <c r="A205" t="inlineStr">
        <is>
          <t>IP-499</t>
        </is>
      </c>
      <c r="B205" t="inlineStr">
        <is>
          <t>12</t>
        </is>
      </c>
      <c r="C205" t="inlineStr">
        <is>
          <t>Justicia y del derecho</t>
        </is>
      </c>
      <c r="D205" t="inlineStr">
        <is>
          <t>1206</t>
        </is>
      </c>
      <c r="E205" t="inlineStr">
        <is>
          <t>Sistema penitenciario y carcelario en el marco de los derechos humanos</t>
        </is>
      </c>
      <c r="F205" t="inlineStr">
        <is>
          <t>1206007</t>
        </is>
      </c>
      <c r="G205" t="inlineStr">
        <is>
          <t>Servicio de bienestar a la población privada de libertad</t>
        </is>
      </c>
      <c r="H205" t="inlineStr">
        <is>
          <t>120600700</t>
        </is>
      </c>
      <c r="I205" t="inlineStr">
        <is>
          <t>Personas privadas de la libertad con Servicio de bienestar</t>
        </is>
      </c>
      <c r="J205" t="inlineStr">
        <is>
          <t>2024251750050</t>
        </is>
      </c>
      <c r="K205" t="inlineStr">
        <is>
          <t>Si</t>
        </is>
      </c>
      <c r="L205" t="inlineStr">
        <is>
          <t>Número</t>
        </is>
      </c>
      <c r="M205">
        <v>68</v>
      </c>
      <c r="N205">
        <v>11</v>
      </c>
      <c r="O205">
        <v>19</v>
      </c>
      <c r="P205">
        <v>19</v>
      </c>
      <c r="Q205">
        <v>19</v>
      </c>
      <c r="R205">
        <v>11</v>
      </c>
      <c r="S205" s="103">
        <v>1</v>
      </c>
      <c r="T205" t="inlineStr">
        <is>
          <t>Se ejecutó el 100% de lo programado en la vigencia</t>
        </is>
      </c>
      <c r="U205">
        <v>0</v>
      </c>
      <c r="V205" s="104">
        <v>0</v>
      </c>
      <c r="W205" t="inlineStr">
        <is>
          <t>No se ejecutó en la vigencia</t>
        </is>
      </c>
    </row>
    <row r="206">
      <c r="A206" t="inlineStr">
        <is>
          <t>IP-500</t>
        </is>
      </c>
      <c r="B206" t="inlineStr">
        <is>
          <t>12</t>
        </is>
      </c>
      <c r="C206" t="inlineStr">
        <is>
          <t>Justicia y del derecho</t>
        </is>
      </c>
      <c r="D206" t="inlineStr">
        <is>
          <t>1202</t>
        </is>
      </c>
      <c r="E206" t="inlineStr">
        <is>
          <t>Promoción al acceso a la justicia</t>
        </is>
      </c>
      <c r="F206" t="inlineStr">
        <is>
          <t>1202002</t>
        </is>
      </c>
      <c r="G206" t="inlineStr">
        <is>
          <t>Servicio de justicia a los ciudadanos</t>
        </is>
      </c>
      <c r="H206" t="inlineStr">
        <is>
          <t>120200200</t>
        </is>
      </c>
      <c r="I206" t="inlineStr">
        <is>
          <t>Ciudadanos con servicio de justicia prestado</t>
        </is>
      </c>
      <c r="J206" t="inlineStr">
        <is>
          <t>2024251750056</t>
        </is>
      </c>
      <c r="K206" t="inlineStr">
        <is>
          <t>Si</t>
        </is>
      </c>
      <c r="L206" t="inlineStr">
        <is>
          <t>Número</t>
        </is>
      </c>
      <c r="M206">
        <v>20000</v>
      </c>
      <c r="N206">
        <v>5000</v>
      </c>
      <c r="O206">
        <v>5000</v>
      </c>
      <c r="P206">
        <v>5000</v>
      </c>
      <c r="Q206">
        <v>5000</v>
      </c>
      <c r="R206">
        <v>5000</v>
      </c>
      <c r="S206" s="103">
        <v>1</v>
      </c>
      <c r="T206" t="inlineStr">
        <is>
          <t>Se ejecutó el 100% de lo programado en la vigencia</t>
        </is>
      </c>
      <c r="U206">
        <v>0</v>
      </c>
      <c r="V206" s="104">
        <v>0</v>
      </c>
      <c r="W206" t="inlineStr">
        <is>
          <t>No se ejecutó en la vigencia</t>
        </is>
      </c>
    </row>
    <row r="207">
      <c r="A207" t="inlineStr">
        <is>
          <t>IP-501</t>
        </is>
      </c>
      <c r="B207" t="inlineStr">
        <is>
          <t>12</t>
        </is>
      </c>
      <c r="C207" t="inlineStr">
        <is>
          <t>Justicia y del derecho</t>
        </is>
      </c>
      <c r="D207" t="inlineStr">
        <is>
          <t>1202</t>
        </is>
      </c>
      <c r="E207" t="inlineStr">
        <is>
          <t>Promoción al acceso a la justicia</t>
        </is>
      </c>
      <c r="F207" t="inlineStr">
        <is>
          <t>1202004</t>
        </is>
      </c>
      <c r="G207" t="inlineStr">
        <is>
          <t>Servicio de asistencia técnica para la articulación de los operadores de los Servicio de justicia</t>
        </is>
      </c>
      <c r="H207" t="inlineStr">
        <is>
          <t>120200400</t>
        </is>
      </c>
      <c r="I207" t="inlineStr">
        <is>
          <t>Entidades territoriales asistidas técnicamente</t>
        </is>
      </c>
      <c r="J207" t="inlineStr">
        <is>
          <t>2024251750056</t>
        </is>
      </c>
      <c r="K207" t="inlineStr">
        <is>
          <t>No</t>
        </is>
      </c>
      <c r="L207" t="inlineStr">
        <is>
          <t>Número</t>
        </is>
      </c>
      <c r="M207">
        <v>1</v>
      </c>
      <c r="N207">
        <v>1</v>
      </c>
      <c r="O207">
        <v>1</v>
      </c>
      <c r="P207">
        <v>1</v>
      </c>
      <c r="Q207">
        <v>1</v>
      </c>
      <c r="R207">
        <v>1</v>
      </c>
      <c r="S207" s="103">
        <v>1</v>
      </c>
      <c r="T207" t="inlineStr">
        <is>
          <t>Se ejecutó el 100% de lo programado en la vigencia</t>
        </is>
      </c>
      <c r="U207">
        <v>0</v>
      </c>
      <c r="V207" s="104">
        <v>0</v>
      </c>
      <c r="W207" t="inlineStr">
        <is>
          <t>No se ejecutó en la vigencia</t>
        </is>
      </c>
    </row>
    <row r="208">
      <c r="A208" t="inlineStr">
        <is>
          <t>IP-502</t>
        </is>
      </c>
      <c r="B208" t="inlineStr">
        <is>
          <t>12</t>
        </is>
      </c>
      <c r="C208" t="inlineStr">
        <is>
          <t>Justicia y del derecho</t>
        </is>
      </c>
      <c r="D208" t="inlineStr">
        <is>
          <t>1202</t>
        </is>
      </c>
      <c r="E208" t="inlineStr">
        <is>
          <t>Promoción al acceso a la justicia</t>
        </is>
      </c>
      <c r="F208" t="inlineStr">
        <is>
          <t>1202005</t>
        </is>
      </c>
      <c r="G208" t="inlineStr">
        <is>
          <t>Servicio de asistencia técnica para la descentralización de los Servicio de justicia en los territorios</t>
        </is>
      </c>
      <c r="H208" t="inlineStr">
        <is>
          <t>120200501</t>
        </is>
      </c>
      <c r="I208" t="inlineStr">
        <is>
          <t>Jornadas móviles de acceso a la justicia realizadas</t>
        </is>
      </c>
      <c r="J208" t="inlineStr">
        <is>
          <t>2024251750056</t>
        </is>
      </c>
      <c r="K208" t="inlineStr">
        <is>
          <t>Si</t>
        </is>
      </c>
      <c r="L208" t="inlineStr">
        <is>
          <t>Número</t>
        </is>
      </c>
      <c r="M208">
        <v>8</v>
      </c>
      <c r="N208">
        <v>2</v>
      </c>
      <c r="O208">
        <v>2</v>
      </c>
      <c r="P208">
        <v>2</v>
      </c>
      <c r="Q208">
        <v>2</v>
      </c>
      <c r="R208">
        <v>2</v>
      </c>
      <c r="S208" s="103">
        <v>1</v>
      </c>
      <c r="T208" t="inlineStr">
        <is>
          <t>Se ejecutó el 100% de lo programado en la vigencia</t>
        </is>
      </c>
      <c r="U208">
        <v>0</v>
      </c>
      <c r="V208" s="104">
        <v>0</v>
      </c>
      <c r="W208" t="inlineStr">
        <is>
          <t>No se ejecutó en la vigencia</t>
        </is>
      </c>
    </row>
    <row r="209">
      <c r="A209" t="inlineStr">
        <is>
          <t>IP-503</t>
        </is>
      </c>
      <c r="B209" t="inlineStr">
        <is>
          <t>12</t>
        </is>
      </c>
      <c r="C209" t="inlineStr">
        <is>
          <t>Justicia y del derecho</t>
        </is>
      </c>
      <c r="D209" t="inlineStr">
        <is>
          <t>1202</t>
        </is>
      </c>
      <c r="E209" t="inlineStr">
        <is>
          <t>Promoción al acceso a la justicia</t>
        </is>
      </c>
      <c r="F209" t="inlineStr">
        <is>
          <t>1202019</t>
        </is>
      </c>
      <c r="G209" t="inlineStr">
        <is>
          <t>Servicio de promoción del acceso a la justicia</t>
        </is>
      </c>
      <c r="H209" t="inlineStr">
        <is>
          <t>120201900</t>
        </is>
      </c>
      <c r="I209" t="inlineStr">
        <is>
          <t>Estrategias de acceso a la justicia desarrolladas</t>
        </is>
      </c>
      <c r="J209" t="inlineStr">
        <is>
          <t>2024251750056</t>
        </is>
      </c>
      <c r="K209" t="inlineStr">
        <is>
          <t>No</t>
        </is>
      </c>
      <c r="L209" t="inlineStr">
        <is>
          <t>Número</t>
        </is>
      </c>
      <c r="M209">
        <v>1</v>
      </c>
      <c r="N209">
        <v>1</v>
      </c>
      <c r="O209">
        <v>1</v>
      </c>
      <c r="P209">
        <v>1</v>
      </c>
      <c r="Q209">
        <v>1</v>
      </c>
      <c r="R209">
        <v>1</v>
      </c>
      <c r="S209" s="103">
        <v>1</v>
      </c>
      <c r="T209" t="inlineStr">
        <is>
          <t>Se ejecutó el 100% de lo programado en la vigencia</t>
        </is>
      </c>
      <c r="U209">
        <v>0.2</v>
      </c>
      <c r="V209" s="104">
        <v>0.2</v>
      </c>
      <c r="W209" t="inlineStr">
        <is>
          <t>Lo ejecutado está por debajo de lo programado en la vigencia</t>
        </is>
      </c>
    </row>
    <row r="210">
      <c r="A210" t="inlineStr">
        <is>
          <t>IP-504</t>
        </is>
      </c>
      <c r="B210" t="inlineStr">
        <is>
          <t>41</t>
        </is>
      </c>
      <c r="C210" t="inlineStr">
        <is>
          <t xml:space="preserve">Inclusión social y reconciliación </t>
        </is>
      </c>
      <c r="D210" t="inlineStr">
        <is>
          <t>4101</t>
        </is>
      </c>
      <c r="E210" t="inlineStr">
        <is>
          <t>Atención, asistencia y reparación integral a las víctimas</t>
        </is>
      </c>
      <c r="F210" t="inlineStr">
        <is>
          <t>4101025</t>
        </is>
      </c>
      <c r="G210" t="inlineStr">
        <is>
          <t>Servicio de ayuda y atención humanitaria</t>
        </is>
      </c>
      <c r="H210" t="inlineStr">
        <is>
          <t>410102511</t>
        </is>
      </c>
      <c r="I210" t="inlineStr">
        <is>
          <t>Personas víctimas con ayuda humanitaria</t>
        </is>
      </c>
      <c r="J210" t="inlineStr">
        <is>
          <t>2024251750053</t>
        </is>
      </c>
      <c r="K210" t="inlineStr">
        <is>
          <t>Si</t>
        </is>
      </c>
      <c r="L210" t="inlineStr">
        <is>
          <t>Número</t>
        </is>
      </c>
      <c r="M210">
        <v>320</v>
      </c>
      <c r="N210">
        <v>80</v>
      </c>
      <c r="O210">
        <v>80</v>
      </c>
      <c r="P210">
        <v>80</v>
      </c>
      <c r="Q210">
        <v>80</v>
      </c>
      <c r="R210">
        <v>80</v>
      </c>
      <c r="S210" s="103">
        <v>1</v>
      </c>
      <c r="T210" t="inlineStr">
        <is>
          <t>Se ejecutó el 100% de lo programado en la vigencia</t>
        </is>
      </c>
      <c r="U210">
        <v>96</v>
      </c>
      <c r="V210" s="104">
        <v>1.2</v>
      </c>
      <c r="W210" t="inlineStr">
        <is>
          <t>Hubo ejecución por encima de lo programado en SisPT</t>
        </is>
      </c>
    </row>
    <row r="211">
      <c r="A211" t="inlineStr">
        <is>
          <t>IP-505</t>
        </is>
      </c>
      <c r="B211" t="inlineStr">
        <is>
          <t>41</t>
        </is>
      </c>
      <c r="C211" t="inlineStr">
        <is>
          <t xml:space="preserve">Inclusión social y reconciliación </t>
        </is>
      </c>
      <c r="D211" t="inlineStr">
        <is>
          <t>4101</t>
        </is>
      </c>
      <c r="E211" t="inlineStr">
        <is>
          <t>Atención, asistencia y reparación integral a las víctimas</t>
        </is>
      </c>
      <c r="F211" t="inlineStr">
        <is>
          <t>4101038</t>
        </is>
      </c>
      <c r="G211" t="inlineStr">
        <is>
          <t>Servicio de asistencia técnica para la participación de las víctimas</t>
        </is>
      </c>
      <c r="H211" t="inlineStr">
        <is>
          <t>410103801</t>
        </is>
      </c>
      <c r="I211" t="inlineStr">
        <is>
          <t>Mesas de participación en funcionamiento</t>
        </is>
      </c>
      <c r="J211" t="inlineStr">
        <is>
          <t>2024251750053</t>
        </is>
      </c>
      <c r="K211" t="inlineStr">
        <is>
          <t>No</t>
        </is>
      </c>
      <c r="L211" t="inlineStr">
        <is>
          <t>Número</t>
        </is>
      </c>
      <c r="M211">
        <v>4</v>
      </c>
      <c r="N211">
        <v>4</v>
      </c>
      <c r="O211">
        <v>4</v>
      </c>
      <c r="P211">
        <v>4</v>
      </c>
      <c r="Q211">
        <v>4</v>
      </c>
      <c r="R211">
        <v>4</v>
      </c>
      <c r="S211" s="103">
        <v>1</v>
      </c>
      <c r="T211" t="inlineStr">
        <is>
          <t>Se ejecutó el 100% de lo programado en la vigencia</t>
        </is>
      </c>
      <c r="U211">
        <v>0</v>
      </c>
      <c r="V211" s="104">
        <v>0</v>
      </c>
      <c r="W211" t="inlineStr">
        <is>
          <t>No se ejecutó en la vigencia</t>
        </is>
      </c>
    </row>
    <row r="212">
      <c r="A212" t="inlineStr">
        <is>
          <t>IP-506</t>
        </is>
      </c>
      <c r="B212" t="inlineStr">
        <is>
          <t>45</t>
        </is>
      </c>
      <c r="C212" t="inlineStr">
        <is>
          <t>Gobierno Territorial</t>
        </is>
      </c>
      <c r="D212" t="inlineStr">
        <is>
          <t>4502</t>
        </is>
      </c>
      <c r="E212" t="inlineStr">
        <is>
          <t>Fortalecimiento del buen gobierno para el respeto y garantía de los derechos humanos.</t>
        </is>
      </c>
      <c r="F212" t="inlineStr">
        <is>
          <t>4502001</t>
        </is>
      </c>
      <c r="G212" t="inlineStr">
        <is>
          <t>Servicio de promoción a la participación ciudadana</t>
        </is>
      </c>
      <c r="H212" t="inlineStr">
        <is>
          <t>450200111</t>
        </is>
      </c>
      <c r="I212" t="inlineStr">
        <is>
          <t>Estrategia de acompañamiento sobre capacidades democráticas y organizativas  implementada</t>
        </is>
      </c>
      <c r="J212" t="inlineStr">
        <is>
          <t>2024251750021</t>
        </is>
      </c>
      <c r="K212" t="inlineStr">
        <is>
          <t>No</t>
        </is>
      </c>
      <c r="L212" t="inlineStr">
        <is>
          <t>Número</t>
        </is>
      </c>
      <c r="M212">
        <v>1</v>
      </c>
      <c r="N212">
        <v>1</v>
      </c>
      <c r="O212">
        <v>1</v>
      </c>
      <c r="P212">
        <v>1</v>
      </c>
      <c r="Q212">
        <v>1</v>
      </c>
      <c r="R212">
        <v>1</v>
      </c>
      <c r="S212" s="103">
        <v>1</v>
      </c>
      <c r="T212" t="inlineStr">
        <is>
          <t>Se ejecutó el 100% de lo programado en la vigencia</t>
        </is>
      </c>
      <c r="U212">
        <v>0.77</v>
      </c>
      <c r="V212" s="104">
        <v>0.77</v>
      </c>
      <c r="W212" t="inlineStr">
        <is>
          <t>Lo ejecutado está por debajo de lo programado en la vigencia</t>
        </is>
      </c>
    </row>
    <row r="213">
      <c r="A213" t="inlineStr">
        <is>
          <t>IP-507, IP-508</t>
        </is>
      </c>
      <c r="B213" t="inlineStr">
        <is>
          <t>45</t>
        </is>
      </c>
      <c r="C213" t="inlineStr">
        <is>
          <t>Gobierno Territorial</t>
        </is>
      </c>
      <c r="D213" t="inlineStr">
        <is>
          <t>4502</t>
        </is>
      </c>
      <c r="E213" t="inlineStr">
        <is>
          <t>Fortalecimiento del buen gobierno para el respeto y garantía de los derechos humanos.</t>
        </is>
      </c>
      <c r="F213" t="inlineStr">
        <is>
          <t>4502001</t>
        </is>
      </c>
      <c r="G213" t="inlineStr">
        <is>
          <t>Servicio de promoción a la participación ciudadana</t>
        </is>
      </c>
      <c r="H213" t="inlineStr">
        <is>
          <t>450200101</t>
        </is>
      </c>
      <c r="I213" t="inlineStr">
        <is>
          <t>Rendicion de cuentas realizadas</t>
        </is>
      </c>
      <c r="J213" t="inlineStr">
        <is>
          <t>2024251750021</t>
        </is>
      </c>
      <c r="K213" t="inlineStr">
        <is>
          <t>Si</t>
        </is>
      </c>
      <c r="L213" t="inlineStr">
        <is>
          <t>Número</t>
        </is>
      </c>
      <c r="M213">
        <v>8</v>
      </c>
      <c r="N213">
        <v>0</v>
      </c>
      <c r="O213">
        <v>2</v>
      </c>
      <c r="P213">
        <v>2</v>
      </c>
      <c r="Q213">
        <v>4</v>
      </c>
      <c r="R213">
        <v>0</v>
      </c>
      <c r="S213" s="103" t="inlineStr">
        <is>
          <t xml:space="preserve"> </t>
        </is>
      </c>
      <c r="T213" t="inlineStr">
        <is>
          <t>No se programó ni ejecutó en la vigencia</t>
        </is>
      </c>
      <c r="U213">
        <v>2</v>
      </c>
      <c r="V213" s="104">
        <v>1</v>
      </c>
      <c r="W213" t="inlineStr">
        <is>
          <t>Se ejecutó el 100% de lo programado en la vigencia</t>
        </is>
      </c>
    </row>
    <row r="214">
      <c r="A214" t="inlineStr">
        <is>
          <t>IP-509</t>
        </is>
      </c>
      <c r="B214" t="inlineStr">
        <is>
          <t>45</t>
        </is>
      </c>
      <c r="C214" t="inlineStr">
        <is>
          <t>Gobierno Territorial</t>
        </is>
      </c>
      <c r="D214" t="inlineStr">
        <is>
          <t>4502</t>
        </is>
      </c>
      <c r="E214" t="inlineStr">
        <is>
          <t>Fortalecimiento del buen gobierno para el respeto y garantía de los derechos humanos.</t>
        </is>
      </c>
      <c r="F214" t="inlineStr">
        <is>
          <t>4502001</t>
        </is>
      </c>
      <c r="G214" t="inlineStr">
        <is>
          <t>Servicio de promoción a la participación ciudadana</t>
        </is>
      </c>
      <c r="H214" t="inlineStr">
        <is>
          <t>450200113</t>
        </is>
      </c>
      <c r="I214" t="inlineStr">
        <is>
          <t>Estrategias de promoción a la participación ciudadana implementadas</t>
        </is>
      </c>
      <c r="J214" t="inlineStr">
        <is>
          <t>2024251750021</t>
        </is>
      </c>
      <c r="K214" t="inlineStr">
        <is>
          <t>No</t>
        </is>
      </c>
      <c r="L214" t="inlineStr">
        <is>
          <t>Número</t>
        </is>
      </c>
      <c r="M214">
        <v>7</v>
      </c>
      <c r="N214">
        <v>7</v>
      </c>
      <c r="O214">
        <v>7</v>
      </c>
      <c r="P214">
        <v>7</v>
      </c>
      <c r="Q214">
        <v>7</v>
      </c>
      <c r="R214">
        <v>8</v>
      </c>
      <c r="S214" s="103">
        <v>1.14285714285714</v>
      </c>
      <c r="T214" t="inlineStr">
        <is>
          <t>Hubo ejecución por encima de lo programado en SisPT</t>
        </is>
      </c>
      <c r="U214">
        <v>5.06</v>
      </c>
      <c r="V214" s="104">
        <v>0.722857142857143</v>
      </c>
      <c r="W214" t="inlineStr">
        <is>
          <t>Lo ejecutado está por debajo de lo programado en la vigencia</t>
        </is>
      </c>
    </row>
    <row r="215">
      <c r="A215" t="inlineStr">
        <is>
          <t>IP-510</t>
        </is>
      </c>
      <c r="B215" t="inlineStr">
        <is>
          <t>45</t>
        </is>
      </c>
      <c r="C215" t="inlineStr">
        <is>
          <t>Gobierno Territorial</t>
        </is>
      </c>
      <c r="D215" t="inlineStr">
        <is>
          <t>4502</t>
        </is>
      </c>
      <c r="E215" t="inlineStr">
        <is>
          <t>Fortalecimiento del buen gobierno para el respeto y garantía de los derechos humanos.</t>
        </is>
      </c>
      <c r="F215" t="inlineStr">
        <is>
          <t>4502001</t>
        </is>
      </c>
      <c r="G215" t="inlineStr">
        <is>
          <t>Servicio de promoción a la participación ciudadana</t>
        </is>
      </c>
      <c r="H215" t="inlineStr">
        <is>
          <t>450200113</t>
        </is>
      </c>
      <c r="I215" t="inlineStr">
        <is>
          <t>Estrategias de promoción a la participación ciudadana implementadas</t>
        </is>
      </c>
      <c r="J215" t="inlineStr">
        <is>
          <t>2024251750021</t>
        </is>
      </c>
      <c r="K215" t="inlineStr">
        <is>
          <t>Si</t>
        </is>
      </c>
      <c r="L215" t="inlineStr">
        <is>
          <t>Número</t>
        </is>
      </c>
      <c r="M215">
        <v>1</v>
      </c>
      <c r="N215">
        <v>1</v>
      </c>
      <c r="O215">
        <v>1</v>
      </c>
      <c r="P215">
        <v>1</v>
      </c>
      <c r="Q215">
        <v>1</v>
      </c>
      <c r="R215" t="inlineStr">
        <is>
          <t xml:space="preserve"> </t>
        </is>
      </c>
      <c r="S215" s="103" t="inlineStr">
        <is>
          <t xml:space="preserve"> </t>
        </is>
      </c>
      <c r="T215" t="inlineStr">
        <is>
          <t>No se encontró ejecución en PIIP</t>
        </is>
      </c>
      <c r="U215" t="inlineStr">
        <is>
          <t xml:space="preserve"> </t>
        </is>
      </c>
      <c r="V215" s="104" t="inlineStr">
        <is>
          <t xml:space="preserve"> </t>
        </is>
      </c>
      <c r="W215" t="inlineStr">
        <is>
          <t>No se encontró ejecución en PIIP</t>
        </is>
      </c>
    </row>
    <row r="216">
      <c r="A216" t="inlineStr">
        <is>
          <t>IP-511, IP-512</t>
        </is>
      </c>
      <c r="B216" t="inlineStr">
        <is>
          <t>45</t>
        </is>
      </c>
      <c r="C216" t="inlineStr">
        <is>
          <t>Gobierno Territorial</t>
        </is>
      </c>
      <c r="D216" t="inlineStr">
        <is>
          <t>4502</t>
        </is>
      </c>
      <c r="E216" t="inlineStr">
        <is>
          <t>Fortalecimiento del buen gobierno para el respeto y garantía de los derechos humanos.</t>
        </is>
      </c>
      <c r="F216" t="inlineStr">
        <is>
          <t>4502033</t>
        </is>
      </c>
      <c r="G216" t="inlineStr">
        <is>
          <t>Servicio de integración de la oferta pública</t>
        </is>
      </c>
      <c r="H216" t="inlineStr">
        <is>
          <t>450203301</t>
        </is>
      </c>
      <c r="I216" t="inlineStr">
        <is>
          <t>Personas atendidas con oferta institucional articulada</t>
        </is>
      </c>
      <c r="J216" t="inlineStr">
        <is>
          <t>2024251750021</t>
        </is>
      </c>
      <c r="K216" t="inlineStr">
        <is>
          <t>Si</t>
        </is>
      </c>
      <c r="L216" t="inlineStr">
        <is>
          <t>Número</t>
        </is>
      </c>
      <c r="M216">
        <v>8241</v>
      </c>
      <c r="N216">
        <v>2754</v>
      </c>
      <c r="O216">
        <v>2632</v>
      </c>
      <c r="P216">
        <v>2114</v>
      </c>
      <c r="Q216">
        <v>741</v>
      </c>
      <c r="R216">
        <v>2754</v>
      </c>
      <c r="S216" s="103">
        <v>1</v>
      </c>
      <c r="T216" t="inlineStr">
        <is>
          <t>Se ejecutó el 100% de lo programado en la vigencia</t>
        </is>
      </c>
      <c r="U216">
        <v>1090</v>
      </c>
      <c r="V216" s="104">
        <v>0.414133738601824</v>
      </c>
      <c r="W216" t="inlineStr">
        <is>
          <t>Lo ejecutado está por debajo de lo programado en la vigencia</t>
        </is>
      </c>
    </row>
    <row r="217">
      <c r="A217" t="inlineStr">
        <is>
          <t>IP-513</t>
        </is>
      </c>
      <c r="B217" t="inlineStr">
        <is>
          <t>45</t>
        </is>
      </c>
      <c r="C217" t="inlineStr">
        <is>
          <t>Gobierno Territorial</t>
        </is>
      </c>
      <c r="D217" t="inlineStr">
        <is>
          <t>4502</t>
        </is>
      </c>
      <c r="E217" t="inlineStr">
        <is>
          <t>Fortalecimiento del buen gobierno para el respeto y garantía de los derechos humanos.</t>
        </is>
      </c>
      <c r="F217" t="inlineStr">
        <is>
          <t>4502035</t>
        </is>
      </c>
      <c r="G217" t="inlineStr">
        <is>
          <t>Documentos de planeación</t>
        </is>
      </c>
      <c r="H217" t="inlineStr">
        <is>
          <t>450203500</t>
        </is>
      </c>
      <c r="I217" t="inlineStr">
        <is>
          <t>Documentos de planeación elaborados</t>
        </is>
      </c>
      <c r="J217" t="inlineStr">
        <is>
          <t>2024251750021</t>
        </is>
      </c>
      <c r="K217" t="inlineStr">
        <is>
          <t>Si</t>
        </is>
      </c>
      <c r="L217" t="inlineStr">
        <is>
          <t>Número</t>
        </is>
      </c>
      <c r="M217">
        <v>1</v>
      </c>
      <c r="N217">
        <v>0.1</v>
      </c>
      <c r="O217">
        <v>0.3</v>
      </c>
      <c r="P217">
        <v>0.3</v>
      </c>
      <c r="Q217">
        <v>0.3</v>
      </c>
      <c r="R217">
        <v>0.1</v>
      </c>
      <c r="S217" s="103">
        <v>1</v>
      </c>
      <c r="T217" t="inlineStr">
        <is>
          <t>Se ejecutó el 100% de lo programado en la vigencia</t>
        </is>
      </c>
      <c r="U217">
        <v>0.129</v>
      </c>
      <c r="V217" s="104">
        <v>0.43</v>
      </c>
      <c r="W217" t="inlineStr">
        <is>
          <t>Lo ejecutado está por debajo de lo programado en la vigencia</t>
        </is>
      </c>
    </row>
    <row r="218">
      <c r="A218" t="inlineStr">
        <is>
          <t>IP-514</t>
        </is>
      </c>
      <c r="B218" t="inlineStr">
        <is>
          <t>45</t>
        </is>
      </c>
      <c r="C218" t="inlineStr">
        <is>
          <t>Gobierno Territorial</t>
        </is>
      </c>
      <c r="D218" t="inlineStr">
        <is>
          <t>4502</t>
        </is>
      </c>
      <c r="E218" t="inlineStr">
        <is>
          <t>Fortalecimiento del buen gobierno para el respeto y garantía de los derechos humanos.</t>
        </is>
      </c>
      <c r="F218" t="inlineStr">
        <is>
          <t>4502007</t>
        </is>
      </c>
      <c r="G218" t="inlineStr">
        <is>
          <t>Salón comunal construido</t>
        </is>
      </c>
      <c r="H218" t="inlineStr">
        <is>
          <t>450200700</t>
        </is>
      </c>
      <c r="I218" t="inlineStr">
        <is>
          <t>Salones comunales construidos</t>
        </is>
      </c>
      <c r="J218" t="inlineStr">
        <is>
          <t/>
        </is>
      </c>
      <c r="K218" t="inlineStr">
        <is>
          <t>Si</t>
        </is>
      </c>
      <c r="L218" t="inlineStr">
        <is>
          <t>Número</t>
        </is>
      </c>
      <c r="M218">
        <v>2</v>
      </c>
      <c r="N218">
        <v>0</v>
      </c>
      <c r="O218">
        <v>0</v>
      </c>
      <c r="P218">
        <v>0</v>
      </c>
      <c r="Q218">
        <v>2</v>
      </c>
      <c r="R218" t="inlineStr">
        <is>
          <t xml:space="preserve"> </t>
        </is>
      </c>
      <c r="S218" s="103" t="inlineStr">
        <is>
          <t xml:space="preserve"> </t>
        </is>
      </c>
      <c r="T218" t="inlineStr">
        <is>
          <t>Por falta de código BPIN, no se encontró ejecución en PIIP</t>
        </is>
      </c>
      <c r="U218" t="inlineStr">
        <is>
          <t xml:space="preserve"> </t>
        </is>
      </c>
      <c r="V218" s="104" t="inlineStr">
        <is>
          <t xml:space="preserve"> </t>
        </is>
      </c>
      <c r="W218" t="inlineStr">
        <is>
          <t>Por falta de código BPIN, no se encontró ejecución en PIIP</t>
        </is>
      </c>
    </row>
    <row r="219">
      <c r="A219" t="inlineStr">
        <is>
          <t>IP-515</t>
        </is>
      </c>
      <c r="B219" t="inlineStr">
        <is>
          <t>45</t>
        </is>
      </c>
      <c r="C219" t="inlineStr">
        <is>
          <t>Gobierno Territorial</t>
        </is>
      </c>
      <c r="D219" t="inlineStr">
        <is>
          <t>4599</t>
        </is>
      </c>
      <c r="E219" t="inlineStr">
        <is>
          <t>Fortalecimiento a la gestión y dirección de la administración pública territorial</t>
        </is>
      </c>
      <c r="F219" t="inlineStr">
        <is>
          <t>4599006</t>
        </is>
      </c>
      <c r="G219" t="inlineStr">
        <is>
          <t>Estudios de preinversión</t>
        </is>
      </c>
      <c r="H219" t="inlineStr">
        <is>
          <t>459900600</t>
        </is>
      </c>
      <c r="I219" t="inlineStr">
        <is>
          <t>Estudios de preinversión elaborados</t>
        </is>
      </c>
      <c r="J219" t="inlineStr">
        <is>
          <t>202400000004192</t>
        </is>
      </c>
      <c r="K219" t="inlineStr">
        <is>
          <t>No</t>
        </is>
      </c>
      <c r="L219" t="inlineStr">
        <is>
          <t>Número</t>
        </is>
      </c>
      <c r="M219">
        <v>2</v>
      </c>
      <c r="N219">
        <v>0</v>
      </c>
      <c r="O219">
        <v>2</v>
      </c>
      <c r="P219">
        <v>0</v>
      </c>
      <c r="Q219">
        <v>0</v>
      </c>
      <c r="R219" t="inlineStr">
        <is>
          <t xml:space="preserve"> </t>
        </is>
      </c>
      <c r="S219" s="103" t="inlineStr">
        <is>
          <t xml:space="preserve"> </t>
        </is>
      </c>
      <c r="T219" t="inlineStr">
        <is>
          <t>No se encontró ejecución en PIIP</t>
        </is>
      </c>
      <c r="U219" t="inlineStr">
        <is>
          <t xml:space="preserve"> </t>
        </is>
      </c>
      <c r="V219" s="104" t="inlineStr">
        <is>
          <t xml:space="preserve"> </t>
        </is>
      </c>
      <c r="W219" t="inlineStr">
        <is>
          <t>No se encontró ejecución en PIIP</t>
        </is>
      </c>
    </row>
    <row r="220">
      <c r="A220" t="inlineStr">
        <is>
          <t>IP-516</t>
        </is>
      </c>
      <c r="B220" t="inlineStr">
        <is>
          <t>45</t>
        </is>
      </c>
      <c r="C220" t="inlineStr">
        <is>
          <t>Gobierno Territorial</t>
        </is>
      </c>
      <c r="D220" t="inlineStr">
        <is>
          <t>4599</t>
        </is>
      </c>
      <c r="E220" t="inlineStr">
        <is>
          <t>Fortalecimiento a la gestión y dirección de la administración pública territorial</t>
        </is>
      </c>
      <c r="F220" t="inlineStr">
        <is>
          <t>4599028</t>
        </is>
      </c>
      <c r="G220" t="inlineStr">
        <is>
          <t>Servicio de información actualizado</t>
        </is>
      </c>
      <c r="H220" t="inlineStr">
        <is>
          <t>459902800</t>
        </is>
      </c>
      <c r="I220" t="inlineStr">
        <is>
          <t>Sistemas de información actualizados</t>
        </is>
      </c>
      <c r="J220" t="inlineStr">
        <is>
          <t>2024251750048</t>
        </is>
      </c>
      <c r="K220" t="inlineStr">
        <is>
          <t>No</t>
        </is>
      </c>
      <c r="L220" t="inlineStr">
        <is>
          <t>Número</t>
        </is>
      </c>
      <c r="M220">
        <v>1</v>
      </c>
      <c r="N220">
        <v>1</v>
      </c>
      <c r="O220">
        <v>1</v>
      </c>
      <c r="P220">
        <v>1</v>
      </c>
      <c r="Q220">
        <v>1</v>
      </c>
      <c r="R220">
        <v>1</v>
      </c>
      <c r="S220" s="103">
        <v>1</v>
      </c>
      <c r="T220" t="inlineStr">
        <is>
          <t>Se ejecutó el 100% de lo programado en la vigencia</t>
        </is>
      </c>
      <c r="U220">
        <v>0.4</v>
      </c>
      <c r="V220" s="104">
        <v>0.4</v>
      </c>
      <c r="W220" t="inlineStr">
        <is>
          <t>Lo ejecutado está por debajo de lo programado en la vigencia</t>
        </is>
      </c>
    </row>
    <row r="221">
      <c r="A221" t="inlineStr">
        <is>
          <t>IP-517</t>
        </is>
      </c>
      <c r="B221" t="inlineStr">
        <is>
          <t>45</t>
        </is>
      </c>
      <c r="C221" t="inlineStr">
        <is>
          <t>Gobierno Territorial</t>
        </is>
      </c>
      <c r="D221" t="inlineStr">
        <is>
          <t>4599</t>
        </is>
      </c>
      <c r="E221" t="inlineStr">
        <is>
          <t>Fortalecimiento a la gestión y dirección de la administración pública territorial</t>
        </is>
      </c>
      <c r="F221" t="inlineStr">
        <is>
          <t>4599018</t>
        </is>
      </c>
      <c r="G221" t="inlineStr">
        <is>
          <t>Documentos de lineamientos técnicos</t>
        </is>
      </c>
      <c r="H221" t="inlineStr">
        <is>
          <t>459901800</t>
        </is>
      </c>
      <c r="I221" t="inlineStr">
        <is>
          <t>Documentos de lineamientos técnicos realizados</t>
        </is>
      </c>
      <c r="J221" t="inlineStr">
        <is>
          <t>2024251750048</t>
        </is>
      </c>
      <c r="K221" t="inlineStr">
        <is>
          <t>No</t>
        </is>
      </c>
      <c r="L221" t="inlineStr">
        <is>
          <t>Número</t>
        </is>
      </c>
      <c r="M221">
        <v>1</v>
      </c>
      <c r="N221">
        <v>0</v>
      </c>
      <c r="O221">
        <v>0</v>
      </c>
      <c r="P221">
        <v>1</v>
      </c>
      <c r="Q221">
        <v>0</v>
      </c>
      <c r="R221" t="inlineStr">
        <is>
          <t xml:space="preserve"> </t>
        </is>
      </c>
      <c r="S221" s="103" t="inlineStr">
        <is>
          <t xml:space="preserve"> </t>
        </is>
      </c>
      <c r="T221" t="inlineStr">
        <is>
          <t>No se encontró ejecución en PIIP</t>
        </is>
      </c>
      <c r="U221" t="inlineStr">
        <is>
          <t xml:space="preserve"> </t>
        </is>
      </c>
      <c r="V221" s="104" t="inlineStr">
        <is>
          <t xml:space="preserve"> </t>
        </is>
      </c>
      <c r="W221" t="inlineStr">
        <is>
          <t>No se encontró ejecución en PIIP</t>
        </is>
      </c>
    </row>
    <row r="222">
      <c r="A222" t="inlineStr">
        <is>
          <t>IP-518</t>
        </is>
      </c>
      <c r="B222" t="inlineStr">
        <is>
          <t>45</t>
        </is>
      </c>
      <c r="C222" t="inlineStr">
        <is>
          <t>Gobierno Territorial</t>
        </is>
      </c>
      <c r="D222" t="inlineStr">
        <is>
          <t>4599</t>
        </is>
      </c>
      <c r="E222" t="inlineStr">
        <is>
          <t>Fortalecimiento a la gestión y dirección de la administración pública territorial</t>
        </is>
      </c>
      <c r="F222" t="inlineStr">
        <is>
          <t>4599007</t>
        </is>
      </c>
      <c r="G222" t="inlineStr">
        <is>
          <t>Servicios tecnológicos</t>
        </is>
      </c>
      <c r="H222" t="inlineStr">
        <is>
          <t>459900700</t>
        </is>
      </c>
      <c r="I222" t="inlineStr">
        <is>
          <t>Índice de capacidad en la prestación de servicios de tecnología</t>
        </is>
      </c>
      <c r="J222" t="inlineStr">
        <is>
          <t>2024251750048</t>
        </is>
      </c>
      <c r="K222" t="inlineStr">
        <is>
          <t>No</t>
        </is>
      </c>
      <c r="L222" t="inlineStr">
        <is>
          <t>Porcentaje</t>
        </is>
      </c>
      <c r="M222">
        <v>100</v>
      </c>
      <c r="N222">
        <v>100</v>
      </c>
      <c r="O222">
        <v>100</v>
      </c>
      <c r="P222">
        <v>100</v>
      </c>
      <c r="Q222">
        <v>100</v>
      </c>
      <c r="R222">
        <v>0</v>
      </c>
      <c r="S222" s="103">
        <v>0</v>
      </c>
      <c r="T222" t="inlineStr">
        <is>
          <t>No se ejecutó en la vigencia</t>
        </is>
      </c>
      <c r="U222">
        <v>0</v>
      </c>
      <c r="V222" s="104">
        <v>0</v>
      </c>
      <c r="W222" t="inlineStr">
        <is>
          <t>No se ejecutó en la vigencia</t>
        </is>
      </c>
    </row>
    <row r="223">
      <c r="A223" t="inlineStr">
        <is>
          <t>IP-519</t>
        </is>
      </c>
      <c r="B223" t="inlineStr">
        <is>
          <t>45</t>
        </is>
      </c>
      <c r="C223" t="inlineStr">
        <is>
          <t>Gobierno Territorial</t>
        </is>
      </c>
      <c r="D223" t="inlineStr">
        <is>
          <t>4599</t>
        </is>
      </c>
      <c r="E223" t="inlineStr">
        <is>
          <t>Fortalecimiento a la gestión y dirección de la administración pública territorial</t>
        </is>
      </c>
      <c r="F223" t="inlineStr">
        <is>
          <t>4599023</t>
        </is>
      </c>
      <c r="G223" t="inlineStr">
        <is>
          <t>Servicio de Implementación Sistemas de Gestión</t>
        </is>
      </c>
      <c r="H223" t="inlineStr">
        <is>
          <t>459902300</t>
        </is>
      </c>
      <c r="I223" t="inlineStr">
        <is>
          <t>Sistema de Gestión implementado</t>
        </is>
      </c>
      <c r="J223" t="inlineStr">
        <is>
          <t>2024251750048</t>
        </is>
      </c>
      <c r="K223" t="inlineStr">
        <is>
          <t>No</t>
        </is>
      </c>
      <c r="L223" t="inlineStr">
        <is>
          <t>Número</t>
        </is>
      </c>
      <c r="M223">
        <v>1</v>
      </c>
      <c r="N223">
        <v>1</v>
      </c>
      <c r="O223">
        <v>1</v>
      </c>
      <c r="P223">
        <v>1</v>
      </c>
      <c r="Q223">
        <v>1</v>
      </c>
      <c r="R223">
        <v>1</v>
      </c>
      <c r="S223" s="103">
        <v>1</v>
      </c>
      <c r="T223" t="inlineStr">
        <is>
          <t>Se ejecutó el 100% de lo programado en la vigencia</t>
        </is>
      </c>
      <c r="U223">
        <v>0.51</v>
      </c>
      <c r="V223" s="104">
        <v>0.51</v>
      </c>
      <c r="W223" t="inlineStr">
        <is>
          <t>Lo ejecutado está por debajo de lo programado en la vigencia</t>
        </is>
      </c>
    </row>
    <row r="224">
      <c r="A224" t="inlineStr">
        <is>
          <t>IP-520</t>
        </is>
      </c>
      <c r="B224" t="inlineStr">
        <is>
          <t>45</t>
        </is>
      </c>
      <c r="C224" t="inlineStr">
        <is>
          <t>Gobierno Territorial</t>
        </is>
      </c>
      <c r="D224" t="inlineStr">
        <is>
          <t>4599</t>
        </is>
      </c>
      <c r="E224" t="inlineStr">
        <is>
          <t>Fortalecimiento a la gestión y dirección de la administración pública territorial</t>
        </is>
      </c>
      <c r="F224" t="inlineStr">
        <is>
          <t>4599034</t>
        </is>
      </c>
      <c r="G224" t="inlineStr">
        <is>
          <t>Sedes dotadas</t>
        </is>
      </c>
      <c r="H224" t="inlineStr">
        <is>
          <t>459903400</t>
        </is>
      </c>
      <c r="I224" t="inlineStr">
        <is>
          <t>Sedes dotadas</t>
        </is>
      </c>
      <c r="J224" t="inlineStr">
        <is>
          <t>2024251750048</t>
        </is>
      </c>
      <c r="K224" t="inlineStr">
        <is>
          <t>Si</t>
        </is>
      </c>
      <c r="L224" t="inlineStr">
        <is>
          <t>Número</t>
        </is>
      </c>
      <c r="M224">
        <v>1</v>
      </c>
      <c r="N224">
        <v>0</v>
      </c>
      <c r="O224">
        <v>0.9</v>
      </c>
      <c r="P224">
        <v>0.1</v>
      </c>
      <c r="Q224">
        <v>0</v>
      </c>
      <c r="R224">
        <v>0</v>
      </c>
      <c r="S224" s="103" t="inlineStr">
        <is>
          <t xml:space="preserve"> </t>
        </is>
      </c>
      <c r="T224" t="inlineStr">
        <is>
          <t>No se programó ni ejecutó en la vigencia</t>
        </is>
      </c>
      <c r="U224">
        <v>0.5</v>
      </c>
      <c r="V224" s="104">
        <v>0.555555555555556</v>
      </c>
      <c r="W224" t="inlineStr">
        <is>
          <t>Lo ejecutado está por debajo de lo programado en la vigencia</t>
        </is>
      </c>
    </row>
    <row r="225">
      <c r="A225" t="inlineStr">
        <is>
          <t>IP-521</t>
        </is>
      </c>
      <c r="B225" t="inlineStr">
        <is>
          <t>45</t>
        </is>
      </c>
      <c r="C225" t="inlineStr">
        <is>
          <t>Gobierno Territorial</t>
        </is>
      </c>
      <c r="D225" t="inlineStr">
        <is>
          <t>4599</t>
        </is>
      </c>
      <c r="E225" t="inlineStr">
        <is>
          <t>Fortalecimiento a la gestión y dirección de la administración pública territorial</t>
        </is>
      </c>
      <c r="F225" t="inlineStr">
        <is>
          <t>4599017</t>
        </is>
      </c>
      <c r="G225" t="inlineStr">
        <is>
          <t>Servicio de gestión documental</t>
        </is>
      </c>
      <c r="H225" t="inlineStr">
        <is>
          <t>459901701</t>
        </is>
      </c>
      <c r="I225" t="inlineStr">
        <is>
          <t>Archivos gestionados</t>
        </is>
      </c>
      <c r="J225" t="inlineStr">
        <is>
          <t>2024251750048</t>
        </is>
      </c>
      <c r="K225" t="inlineStr">
        <is>
          <t>No</t>
        </is>
      </c>
      <c r="L225" t="inlineStr">
        <is>
          <t>Número</t>
        </is>
      </c>
      <c r="M225">
        <v>1</v>
      </c>
      <c r="N225">
        <v>1</v>
      </c>
      <c r="O225">
        <v>1</v>
      </c>
      <c r="P225">
        <v>1</v>
      </c>
      <c r="Q225">
        <v>1</v>
      </c>
      <c r="R225">
        <v>1</v>
      </c>
      <c r="S225" s="103">
        <v>1</v>
      </c>
      <c r="T225" t="inlineStr">
        <is>
          <t>Se ejecutó el 100% de lo programado en la vigencia</t>
        </is>
      </c>
      <c r="U225">
        <v>0.19</v>
      </c>
      <c r="V225" s="104">
        <v>0.19</v>
      </c>
      <c r="W225" t="inlineStr">
        <is>
          <t>Lo ejecutado está por debajo de lo programado en la vigencia</t>
        </is>
      </c>
    </row>
    <row r="226">
      <c r="A226" t="inlineStr">
        <is>
          <t>IP-522</t>
        </is>
      </c>
      <c r="B226" t="inlineStr">
        <is>
          <t>45</t>
        </is>
      </c>
      <c r="C226" t="inlineStr">
        <is>
          <t>Gobierno Territorial</t>
        </is>
      </c>
      <c r="D226" t="inlineStr">
        <is>
          <t>4599</t>
        </is>
      </c>
      <c r="E226" t="inlineStr">
        <is>
          <t>Fortalecimiento a la gestión y dirección de la administración pública territorial</t>
        </is>
      </c>
      <c r="F226" t="inlineStr">
        <is>
          <t>4599025</t>
        </is>
      </c>
      <c r="G226" t="inlineStr">
        <is>
          <t>Servicios de información implementados</t>
        </is>
      </c>
      <c r="H226" t="inlineStr">
        <is>
          <t>459902500</t>
        </is>
      </c>
      <c r="I226" t="inlineStr">
        <is>
          <t>Sistemas de información implementados</t>
        </is>
      </c>
      <c r="J226" t="inlineStr">
        <is>
          <t>2024251750048</t>
        </is>
      </c>
      <c r="K226" t="inlineStr">
        <is>
          <t>No</t>
        </is>
      </c>
      <c r="L226" t="inlineStr">
        <is>
          <t>Número</t>
        </is>
      </c>
      <c r="M226">
        <v>1</v>
      </c>
      <c r="N226">
        <v>1</v>
      </c>
      <c r="O226">
        <v>1</v>
      </c>
      <c r="P226">
        <v>1</v>
      </c>
      <c r="Q226">
        <v>1</v>
      </c>
      <c r="R226">
        <v>1</v>
      </c>
      <c r="S226" s="103">
        <v>1</v>
      </c>
      <c r="T226" t="inlineStr">
        <is>
          <t>Se ejecutó el 100% de lo programado en la vigencia</t>
        </is>
      </c>
      <c r="U226">
        <v>0.09</v>
      </c>
      <c r="V226" s="104">
        <v>0.09</v>
      </c>
      <c r="W226" t="inlineStr">
        <is>
          <t>Lo ejecutado está por debajo de lo programado en la vigencia</t>
        </is>
      </c>
    </row>
    <row r="227">
      <c r="A227" t="inlineStr">
        <is>
          <t>IP-523</t>
        </is>
      </c>
      <c r="B227" t="inlineStr">
        <is>
          <t>45</t>
        </is>
      </c>
      <c r="C227" t="inlineStr">
        <is>
          <t>Gobierno Territorial</t>
        </is>
      </c>
      <c r="D227" t="inlineStr">
        <is>
          <t>4599</t>
        </is>
      </c>
      <c r="E227" t="inlineStr">
        <is>
          <t>Fortalecimiento a la gestión y dirección de la administración pública territorial</t>
        </is>
      </c>
      <c r="F227" t="inlineStr">
        <is>
          <t>4599002</t>
        </is>
      </c>
      <c r="G227" t="inlineStr">
        <is>
          <t>Servicio de saneamiento fiscal y financiero</t>
        </is>
      </c>
      <c r="H227" t="inlineStr">
        <is>
          <t>459900201</t>
        </is>
      </c>
      <c r="I227" t="inlineStr">
        <is>
          <t>Estrategia para el mejoramiento del Índice de Desempeño Fiscal ejecutada</t>
        </is>
      </c>
      <c r="J227" t="inlineStr">
        <is>
          <t>2024251750067</t>
        </is>
      </c>
      <c r="K227" t="inlineStr">
        <is>
          <t>Si</t>
        </is>
      </c>
      <c r="L227" t="inlineStr">
        <is>
          <t>Número</t>
        </is>
      </c>
      <c r="M227">
        <v>1</v>
      </c>
      <c r="N227">
        <v>0.25</v>
      </c>
      <c r="O227">
        <v>0.25</v>
      </c>
      <c r="P227">
        <v>0.25</v>
      </c>
      <c r="Q227">
        <v>0.25</v>
      </c>
      <c r="R227" t="inlineStr">
        <is>
          <t xml:space="preserve"> </t>
        </is>
      </c>
      <c r="S227" s="103" t="inlineStr">
        <is>
          <t xml:space="preserve"> </t>
        </is>
      </c>
      <c r="T227" t="inlineStr">
        <is>
          <t>No se encontró ejecución en PIIP</t>
        </is>
      </c>
      <c r="U227" t="inlineStr">
        <is>
          <t xml:space="preserve"> </t>
        </is>
      </c>
      <c r="V227" s="104" t="inlineStr">
        <is>
          <t xml:space="preserve"> </t>
        </is>
      </c>
      <c r="W227" t="inlineStr">
        <is>
          <t>No se encontró ejecución en PIIP</t>
        </is>
      </c>
    </row>
    <row r="228">
      <c r="A228" t="inlineStr">
        <is>
          <t>IP-526</t>
        </is>
      </c>
      <c r="B228" t="inlineStr">
        <is>
          <t>24</t>
        </is>
      </c>
      <c r="C228" t="inlineStr">
        <is>
          <t>Transporte</t>
        </is>
      </c>
      <c r="D228" t="inlineStr">
        <is>
          <t>2402</t>
        </is>
      </c>
      <c r="E228" t="inlineStr">
        <is>
          <t>Infraestructura red vial regional</t>
        </is>
      </c>
      <c r="F228" t="inlineStr">
        <is>
          <t>2402133</t>
        </is>
      </c>
      <c r="G228" t="inlineStr">
        <is>
          <t>Puente peatonal de la red urbana con mantenimiento</t>
        </is>
      </c>
      <c r="H228" t="inlineStr">
        <is>
          <t>240213300</t>
        </is>
      </c>
      <c r="I228" t="inlineStr">
        <is>
          <t>Puentes peatonales de la red urbana con mantenimiento</t>
        </is>
      </c>
      <c r="J228" t="inlineStr">
        <is>
          <t/>
        </is>
      </c>
      <c r="K228" t="inlineStr">
        <is>
          <t xml:space="preserve"> </t>
        </is>
      </c>
      <c r="L228" t="inlineStr">
        <is>
          <t>Número</t>
        </is>
      </c>
      <c r="M228">
        <v>1</v>
      </c>
      <c r="N228">
        <v>0</v>
      </c>
      <c r="O228">
        <v>0</v>
      </c>
      <c r="P228">
        <v>0</v>
      </c>
      <c r="Q228">
        <v>0</v>
      </c>
      <c r="R228" t="inlineStr">
        <is>
          <t xml:space="preserve"> </t>
        </is>
      </c>
      <c r="S228" s="103" t="inlineStr">
        <is>
          <t xml:space="preserve"> </t>
        </is>
      </c>
      <c r="T228" t="inlineStr">
        <is>
          <t>Por falta de código BPIN, no se encontró ejecución en PIIP</t>
        </is>
      </c>
      <c r="U228" t="inlineStr">
        <is>
          <t xml:space="preserve"> </t>
        </is>
      </c>
      <c r="V228" s="104" t="inlineStr">
        <is>
          <t xml:space="preserve"> </t>
        </is>
      </c>
      <c r="W228" t="inlineStr">
        <is>
          <t>Por falta de código BPIN, no se encontró ejecución en PIIP</t>
        </is>
      </c>
    </row>
    <row r="229">
      <c r="A229" t="inlineStr">
        <is>
          <t>IP-527</t>
        </is>
      </c>
      <c r="B229" t="inlineStr">
        <is>
          <t>33</t>
        </is>
      </c>
      <c r="C229" t="inlineStr">
        <is>
          <t>Cultura</t>
        </is>
      </c>
      <c r="D229" t="inlineStr">
        <is>
          <t>3301</t>
        </is>
      </c>
      <c r="E229" t="inlineStr">
        <is>
          <t>Promoción y acceso efectivo a procesos culturales y artísticos</t>
        </is>
      </c>
      <c r="F229" t="inlineStr">
        <is>
          <t>3301088</t>
        </is>
      </c>
      <c r="G229" t="inlineStr">
        <is>
          <t>Centros culturales construidos</t>
        </is>
      </c>
      <c r="H229" t="inlineStr">
        <is>
          <t>330108800</t>
        </is>
      </c>
      <c r="I229" t="inlineStr">
        <is>
          <t>Centros culturales construidos</t>
        </is>
      </c>
      <c r="J229" t="inlineStr">
        <is>
          <t>2022251750008</t>
        </is>
      </c>
      <c r="K229" t="inlineStr">
        <is>
          <t>No</t>
        </is>
      </c>
      <c r="L229" t="inlineStr">
        <is>
          <t>Número</t>
        </is>
      </c>
      <c r="M229">
        <v>1</v>
      </c>
      <c r="N229">
        <v>0</v>
      </c>
      <c r="O229">
        <v>1</v>
      </c>
      <c r="P229">
        <v>0</v>
      </c>
      <c r="Q229">
        <v>0</v>
      </c>
      <c r="R229">
        <v>0</v>
      </c>
      <c r="S229" s="103" t="inlineStr">
        <is>
          <t xml:space="preserve"> </t>
        </is>
      </c>
      <c r="T229" t="inlineStr">
        <is>
          <t>No se programó ni ejecutó en la vigencia</t>
        </is>
      </c>
      <c r="U229">
        <v>65.71</v>
      </c>
      <c r="V229" s="104">
        <v>65.71</v>
      </c>
      <c r="W229" t="inlineStr">
        <is>
          <t>Hubo ejecución por encima de lo programado en SisPT</t>
        </is>
      </c>
    </row>
    <row r="230">
      <c r="A230" t="inlineStr">
        <is>
          <t>IP-528</t>
        </is>
      </c>
      <c r="B230" t="inlineStr">
        <is>
          <t>40</t>
        </is>
      </c>
      <c r="C230" t="inlineStr">
        <is>
          <t>Vivienda, ciudad y territorio</t>
        </is>
      </c>
      <c r="D230" t="inlineStr">
        <is>
          <t>4003</t>
        </is>
      </c>
      <c r="E230" t="inlineStr">
        <is>
          <t>Acceso de la población a los servicios de agua potable y saneamiento básico</t>
        </is>
      </c>
      <c r="F230" t="inlineStr">
        <is>
          <t>4003009</t>
        </is>
      </c>
      <c r="G230" t="inlineStr">
        <is>
          <t>Servicio de Acueducto</t>
        </is>
      </c>
      <c r="H230" t="inlineStr">
        <is>
          <t>400300900</t>
        </is>
      </c>
      <c r="I230" t="inlineStr">
        <is>
          <t>Usuarios conectados a la red de servicio de acueducto</t>
        </is>
      </c>
      <c r="J230" t="inlineStr">
        <is>
          <t>202500000023314</t>
        </is>
      </c>
      <c r="K230" t="inlineStr">
        <is>
          <t>Si</t>
        </is>
      </c>
      <c r="L230" t="inlineStr">
        <is>
          <t>Número</t>
        </is>
      </c>
      <c r="M230">
        <v>30812</v>
      </c>
      <c r="N230">
        <v>0</v>
      </c>
      <c r="O230">
        <v>9966</v>
      </c>
      <c r="P230">
        <v>10350</v>
      </c>
      <c r="Q230">
        <v>10496</v>
      </c>
      <c r="R230" t="inlineStr">
        <is>
          <t xml:space="preserve"> </t>
        </is>
      </c>
      <c r="S230" s="103" t="inlineStr">
        <is>
          <t xml:space="preserve"> </t>
        </is>
      </c>
      <c r="T230" t="inlineStr">
        <is>
          <t>No se encontró ejecución en PIIP</t>
        </is>
      </c>
      <c r="U230">
        <v>1200</v>
      </c>
      <c r="V230" s="104">
        <v>0.120409391932571</v>
      </c>
      <c r="W230" t="inlineStr">
        <is>
          <t>Lo ejecutado está por debajo de lo programado en la vigencia</t>
        </is>
      </c>
    </row>
    <row r="231">
      <c r="A231" t="inlineStr">
        <is>
          <t>IP-529, IP-552</t>
        </is>
      </c>
      <c r="B231" t="inlineStr">
        <is>
          <t>40</t>
        </is>
      </c>
      <c r="C231" t="inlineStr">
        <is>
          <t>Vivienda, ciudad y territorio</t>
        </is>
      </c>
      <c r="D231" t="inlineStr">
        <is>
          <t>4003</t>
        </is>
      </c>
      <c r="E231" t="inlineStr">
        <is>
          <t>Acceso de la población a los servicios de agua potable y saneamiento básico</t>
        </is>
      </c>
      <c r="F231" t="inlineStr">
        <is>
          <t>4003047</t>
        </is>
      </c>
      <c r="G231" t="inlineStr">
        <is>
          <t>Servicio de apoyo financiero para subsidios al consumo en los servicios públicos domiciliarios</t>
        </is>
      </c>
      <c r="H231" t="inlineStr">
        <is>
          <t>400304700</t>
        </is>
      </c>
      <c r="I231" t="inlineStr">
        <is>
          <t>Usuarios beneficiados con subsidios al consumo</t>
        </is>
      </c>
      <c r="J231" t="inlineStr">
        <is>
          <t>202500000023314</t>
        </is>
      </c>
      <c r="K231" t="inlineStr">
        <is>
          <t>Si</t>
        </is>
      </c>
      <c r="L231" t="inlineStr">
        <is>
          <t>Número</t>
        </is>
      </c>
      <c r="M231">
        <v>230789</v>
      </c>
      <c r="N231">
        <v>0</v>
      </c>
      <c r="O231">
        <v>67472</v>
      </c>
      <c r="P231">
        <v>75341</v>
      </c>
      <c r="Q231">
        <v>87976</v>
      </c>
      <c r="R231" t="inlineStr">
        <is>
          <t xml:space="preserve"> </t>
        </is>
      </c>
      <c r="S231" s="103" t="inlineStr">
        <is>
          <t xml:space="preserve"> </t>
        </is>
      </c>
      <c r="T231" t="inlineStr">
        <is>
          <t>No se encontró ejecución en PIIP</t>
        </is>
      </c>
      <c r="U231">
        <v>20000</v>
      </c>
      <c r="V231" s="104">
        <v>0.29641925539483</v>
      </c>
      <c r="W231" t="inlineStr">
        <is>
          <t>Lo ejecutado está por debajo de lo programado en la vigencia</t>
        </is>
      </c>
    </row>
    <row r="232">
      <c r="A232" t="inlineStr">
        <is>
          <t>IP-533</t>
        </is>
      </c>
      <c r="B232" t="inlineStr">
        <is>
          <t>22</t>
        </is>
      </c>
      <c r="C232" t="inlineStr">
        <is>
          <t>Educación</t>
        </is>
      </c>
      <c r="D232" t="inlineStr">
        <is>
          <t>2201</t>
        </is>
      </c>
      <c r="E232" t="inlineStr">
        <is>
          <t>Calidad, cobertura y fortalecimiento de la educación inicial, prescolar, básica y media</t>
        </is>
      </c>
      <c r="F232" t="inlineStr">
        <is>
          <t>2201051</t>
        </is>
      </c>
      <c r="G232" t="inlineStr">
        <is>
          <t>Infraestructura educativa construida</t>
        </is>
      </c>
      <c r="H232" t="inlineStr">
        <is>
          <t>220105100</t>
        </is>
      </c>
      <c r="I232" t="inlineStr">
        <is>
          <t xml:space="preserve">Sedes educativas nuevas construidas </t>
        </is>
      </c>
      <c r="J232" t="inlineStr">
        <is>
          <t>2019251750006</t>
        </is>
      </c>
      <c r="K232" t="inlineStr">
        <is>
          <t>No</t>
        </is>
      </c>
      <c r="L232" t="inlineStr">
        <is>
          <t>Número</t>
        </is>
      </c>
      <c r="M232">
        <v>1</v>
      </c>
      <c r="N232">
        <v>0</v>
      </c>
      <c r="O232">
        <v>1</v>
      </c>
      <c r="P232">
        <v>0</v>
      </c>
      <c r="Q232">
        <v>0</v>
      </c>
      <c r="R232" t="inlineStr">
        <is>
          <t xml:space="preserve"> </t>
        </is>
      </c>
      <c r="S232" s="103" t="inlineStr">
        <is>
          <t xml:space="preserve"> </t>
        </is>
      </c>
      <c r="T232" t="inlineStr">
        <is>
          <t>No se encontró ejecución en PIIP</t>
        </is>
      </c>
      <c r="U232" t="inlineStr">
        <is>
          <t xml:space="preserve"> </t>
        </is>
      </c>
      <c r="V232" s="104" t="inlineStr">
        <is>
          <t xml:space="preserve"> </t>
        </is>
      </c>
      <c r="W232" t="inlineStr">
        <is>
          <t>No se encontró ejecución en PIIP</t>
        </is>
      </c>
    </row>
    <row r="233">
      <c r="A233" t="inlineStr">
        <is>
          <t>IP-534</t>
        </is>
      </c>
      <c r="B233" t="inlineStr">
        <is>
          <t>45</t>
        </is>
      </c>
      <c r="C233" t="inlineStr">
        <is>
          <t>Gobierno Territorial</t>
        </is>
      </c>
      <c r="D233" t="inlineStr">
        <is>
          <t>4599</t>
        </is>
      </c>
      <c r="E233" t="inlineStr">
        <is>
          <t>Fortalecimiento a la gestión y dirección de la administración pública territorial</t>
        </is>
      </c>
      <c r="F233" t="inlineStr">
        <is>
          <t>4599008</t>
        </is>
      </c>
      <c r="G233" t="inlineStr">
        <is>
          <t>Sede construida y dotada</t>
        </is>
      </c>
      <c r="H233" t="inlineStr">
        <is>
          <t>459900800</t>
        </is>
      </c>
      <c r="I233" t="inlineStr">
        <is>
          <t>Sede construida y dotada</t>
        </is>
      </c>
      <c r="J233" t="inlineStr">
        <is>
          <t>2018251750013</t>
        </is>
      </c>
      <c r="K233" t="inlineStr">
        <is>
          <t>No</t>
        </is>
      </c>
      <c r="L233" t="inlineStr">
        <is>
          <t>Número</t>
        </is>
      </c>
      <c r="M233">
        <v>1</v>
      </c>
      <c r="N233">
        <v>0</v>
      </c>
      <c r="O233">
        <v>1</v>
      </c>
      <c r="P233">
        <v>0</v>
      </c>
      <c r="Q233">
        <v>0</v>
      </c>
      <c r="R233" t="inlineStr">
        <is>
          <t xml:space="preserve"> </t>
        </is>
      </c>
      <c r="S233" s="103" t="inlineStr">
        <is>
          <t xml:space="preserve"> </t>
        </is>
      </c>
      <c r="T233" t="inlineStr">
        <is>
          <t>No se encontró ejecución en PIIP</t>
        </is>
      </c>
      <c r="U233" t="inlineStr">
        <is>
          <t xml:space="preserve"> </t>
        </is>
      </c>
      <c r="V233" s="104" t="inlineStr">
        <is>
          <t xml:space="preserve"> </t>
        </is>
      </c>
      <c r="W233" t="inlineStr">
        <is>
          <t>No se encontró ejecución en PIIP</t>
        </is>
      </c>
    </row>
    <row r="234">
      <c r="A234" t="inlineStr">
        <is>
          <t>IP-535</t>
        </is>
      </c>
      <c r="B234" t="inlineStr">
        <is>
          <t>24</t>
        </is>
      </c>
      <c r="C234" t="inlineStr">
        <is>
          <t>Transporte</t>
        </is>
      </c>
      <c r="D234" t="inlineStr">
        <is>
          <t>2402</t>
        </is>
      </c>
      <c r="E234" t="inlineStr">
        <is>
          <t>Infraestructura red vial regional</t>
        </is>
      </c>
      <c r="F234" t="inlineStr">
        <is>
          <t>2402042</t>
        </is>
      </c>
      <c r="G234" t="inlineStr">
        <is>
          <t>Placa huella construida</t>
        </is>
      </c>
      <c r="H234" t="inlineStr">
        <is>
          <t>240204201</t>
        </is>
      </c>
      <c r="I234" t="inlineStr">
        <is>
          <t>Placa huella construida</t>
        </is>
      </c>
      <c r="J234" t="inlineStr">
        <is>
          <t>2022251750015</t>
        </is>
      </c>
      <c r="K234" t="inlineStr">
        <is>
          <t>Si</t>
        </is>
      </c>
      <c r="L234" t="inlineStr">
        <is>
          <t>Metros lineales</t>
        </is>
      </c>
      <c r="M234">
        <v>0.28</v>
      </c>
      <c r="N234">
        <v>0</v>
      </c>
      <c r="O234">
        <v>0.28</v>
      </c>
      <c r="P234">
        <v>0</v>
      </c>
      <c r="Q234">
        <v>0</v>
      </c>
      <c r="R234" t="inlineStr">
        <is>
          <t xml:space="preserve"> </t>
        </is>
      </c>
      <c r="S234" s="103" t="inlineStr">
        <is>
          <t xml:space="preserve"> </t>
        </is>
      </c>
      <c r="T234" t="inlineStr">
        <is>
          <t>No se encontró ejecución en PIIP</t>
        </is>
      </c>
      <c r="U234" t="inlineStr">
        <is>
          <t xml:space="preserve"> </t>
        </is>
      </c>
      <c r="V234" s="104" t="inlineStr">
        <is>
          <t xml:space="preserve"> </t>
        </is>
      </c>
      <c r="W234" t="inlineStr">
        <is>
          <t>No se encontró ejecución en PIIP</t>
        </is>
      </c>
    </row>
    <row r="235">
      <c r="A235" t="inlineStr">
        <is>
          <t>IP-536</t>
        </is>
      </c>
      <c r="B235" t="inlineStr">
        <is>
          <t>24</t>
        </is>
      </c>
      <c r="C235" t="inlineStr">
        <is>
          <t>Transporte</t>
        </is>
      </c>
      <c r="D235" t="inlineStr">
        <is>
          <t>2402</t>
        </is>
      </c>
      <c r="E235" t="inlineStr">
        <is>
          <t>Infraestructura red vial regional</t>
        </is>
      </c>
      <c r="F235" t="inlineStr">
        <is>
          <t>2402042</t>
        </is>
      </c>
      <c r="G235" t="inlineStr">
        <is>
          <t>Placa huella construida</t>
        </is>
      </c>
      <c r="H235" t="inlineStr">
        <is>
          <t>240204201</t>
        </is>
      </c>
      <c r="I235" t="inlineStr">
        <is>
          <t>Placa huella construida</t>
        </is>
      </c>
      <c r="J235" t="inlineStr">
        <is>
          <t>2022251750017</t>
        </is>
      </c>
      <c r="K235" t="inlineStr">
        <is>
          <t>Si</t>
        </is>
      </c>
      <c r="L235" t="inlineStr">
        <is>
          <t>Metros lineales</t>
        </is>
      </c>
      <c r="M235">
        <v>0.23</v>
      </c>
      <c r="N235">
        <v>0</v>
      </c>
      <c r="O235">
        <v>0.23</v>
      </c>
      <c r="P235">
        <v>0</v>
      </c>
      <c r="Q235">
        <v>0</v>
      </c>
      <c r="R235" t="inlineStr">
        <is>
          <t xml:space="preserve"> </t>
        </is>
      </c>
      <c r="S235" s="103" t="inlineStr">
        <is>
          <t xml:space="preserve"> </t>
        </is>
      </c>
      <c r="T235" t="inlineStr">
        <is>
          <t>No se encontró ejecución en PIIP</t>
        </is>
      </c>
      <c r="U235" t="inlineStr">
        <is>
          <t xml:space="preserve"> </t>
        </is>
      </c>
      <c r="V235" s="104" t="inlineStr">
        <is>
          <t xml:space="preserve"> </t>
        </is>
      </c>
      <c r="W235" t="inlineStr">
        <is>
          <t>No se encontró ejecución en PIIP</t>
        </is>
      </c>
    </row>
    <row r="236">
      <c r="A236" t="inlineStr">
        <is>
          <t>IP-537</t>
        </is>
      </c>
      <c r="B236" t="inlineStr">
        <is>
          <t>24</t>
        </is>
      </c>
      <c r="C236" t="inlineStr">
        <is>
          <t>Transporte</t>
        </is>
      </c>
      <c r="D236" t="inlineStr">
        <is>
          <t>2402</t>
        </is>
      </c>
      <c r="E236" t="inlineStr">
        <is>
          <t>Infraestructura red vial regional</t>
        </is>
      </c>
      <c r="F236" t="inlineStr">
        <is>
          <t>2402042</t>
        </is>
      </c>
      <c r="G236" t="inlineStr">
        <is>
          <t>Placa huella construida</t>
        </is>
      </c>
      <c r="H236" t="inlineStr">
        <is>
          <t>240204201</t>
        </is>
      </c>
      <c r="I236" t="inlineStr">
        <is>
          <t>Placa huella construida</t>
        </is>
      </c>
      <c r="J236" t="inlineStr">
        <is>
          <t>2022251750026</t>
        </is>
      </c>
      <c r="K236" t="inlineStr">
        <is>
          <t>Si</t>
        </is>
      </c>
      <c r="L236" t="inlineStr">
        <is>
          <t>Metros lineales</t>
        </is>
      </c>
      <c r="M236">
        <v>0.24</v>
      </c>
      <c r="N236">
        <v>0</v>
      </c>
      <c r="O236">
        <v>0.24</v>
      </c>
      <c r="P236">
        <v>0</v>
      </c>
      <c r="Q236">
        <v>0</v>
      </c>
      <c r="R236" t="inlineStr">
        <is>
          <t xml:space="preserve"> </t>
        </is>
      </c>
      <c r="S236" s="103" t="inlineStr">
        <is>
          <t xml:space="preserve"> </t>
        </is>
      </c>
      <c r="T236" t="inlineStr">
        <is>
          <t>No se encontró ejecución en PIIP</t>
        </is>
      </c>
      <c r="U236" t="inlineStr">
        <is>
          <t xml:space="preserve"> </t>
        </is>
      </c>
      <c r="V236" s="104" t="inlineStr">
        <is>
          <t xml:space="preserve"> </t>
        </is>
      </c>
      <c r="W236" t="inlineStr">
        <is>
          <t>No se encontró ejecución en PIIP</t>
        </is>
      </c>
    </row>
    <row r="237">
      <c r="A237" t="inlineStr">
        <is>
          <t>IP-538</t>
        </is>
      </c>
      <c r="B237" t="inlineStr">
        <is>
          <t>24</t>
        </is>
      </c>
      <c r="C237" t="inlineStr">
        <is>
          <t>Transporte</t>
        </is>
      </c>
      <c r="D237" t="inlineStr">
        <is>
          <t>2402</t>
        </is>
      </c>
      <c r="E237" t="inlineStr">
        <is>
          <t>Infraestructura red vial regional</t>
        </is>
      </c>
      <c r="F237" t="inlineStr">
        <is>
          <t>2402042</t>
        </is>
      </c>
      <c r="G237" t="inlineStr">
        <is>
          <t>Placa huella construida</t>
        </is>
      </c>
      <c r="H237" t="inlineStr">
        <is>
          <t>240204201</t>
        </is>
      </c>
      <c r="I237" t="inlineStr">
        <is>
          <t>Placa huella construida</t>
        </is>
      </c>
      <c r="J237" t="inlineStr">
        <is>
          <t>2022251750025</t>
        </is>
      </c>
      <c r="K237" t="inlineStr">
        <is>
          <t>Si</t>
        </is>
      </c>
      <c r="L237" t="inlineStr">
        <is>
          <t>Metros lineales</t>
        </is>
      </c>
      <c r="M237">
        <v>0.24</v>
      </c>
      <c r="N237">
        <v>0</v>
      </c>
      <c r="O237">
        <v>0.24</v>
      </c>
      <c r="P237">
        <v>0</v>
      </c>
      <c r="Q237">
        <v>0</v>
      </c>
      <c r="R237" t="inlineStr">
        <is>
          <t xml:space="preserve"> </t>
        </is>
      </c>
      <c r="S237" s="103" t="inlineStr">
        <is>
          <t xml:space="preserve"> </t>
        </is>
      </c>
      <c r="T237" t="inlineStr">
        <is>
          <t>No se encontró ejecución en PIIP</t>
        </is>
      </c>
      <c r="U237" t="inlineStr">
        <is>
          <t xml:space="preserve"> </t>
        </is>
      </c>
      <c r="V237" s="104" t="inlineStr">
        <is>
          <t xml:space="preserve"> </t>
        </is>
      </c>
      <c r="W237" t="inlineStr">
        <is>
          <t>No se encontró ejecución en PIIP</t>
        </is>
      </c>
    </row>
    <row r="238">
      <c r="A238" t="inlineStr">
        <is>
          <t>IP-539</t>
        </is>
      </c>
      <c r="B238" t="inlineStr">
        <is>
          <t>24</t>
        </is>
      </c>
      <c r="C238" t="inlineStr">
        <is>
          <t>Transporte</t>
        </is>
      </c>
      <c r="D238" t="inlineStr">
        <is>
          <t>2402</t>
        </is>
      </c>
      <c r="E238" t="inlineStr">
        <is>
          <t>Infraestructura red vial regional</t>
        </is>
      </c>
      <c r="F238" t="inlineStr">
        <is>
          <t>2402042</t>
        </is>
      </c>
      <c r="G238" t="inlineStr">
        <is>
          <t>Placa huella construida</t>
        </is>
      </c>
      <c r="H238" t="inlineStr">
        <is>
          <t>240204201</t>
        </is>
      </c>
      <c r="I238" t="inlineStr">
        <is>
          <t>Placa huella construida</t>
        </is>
      </c>
      <c r="J238" t="inlineStr">
        <is>
          <t>2022251750027</t>
        </is>
      </c>
      <c r="K238" t="inlineStr">
        <is>
          <t>Si</t>
        </is>
      </c>
      <c r="L238" t="inlineStr">
        <is>
          <t>Metros lineales</t>
        </is>
      </c>
      <c r="M238">
        <v>0.26</v>
      </c>
      <c r="N238">
        <v>0</v>
      </c>
      <c r="O238">
        <v>0.26</v>
      </c>
      <c r="P238">
        <v>0</v>
      </c>
      <c r="Q238">
        <v>0</v>
      </c>
      <c r="R238" t="inlineStr">
        <is>
          <t xml:space="preserve"> </t>
        </is>
      </c>
      <c r="S238" s="103" t="inlineStr">
        <is>
          <t xml:space="preserve"> </t>
        </is>
      </c>
      <c r="T238" t="inlineStr">
        <is>
          <t>No se encontró ejecución en PIIP</t>
        </is>
      </c>
      <c r="U238" t="inlineStr">
        <is>
          <t xml:space="preserve"> </t>
        </is>
      </c>
      <c r="V238" s="104" t="inlineStr">
        <is>
          <t xml:space="preserve"> </t>
        </is>
      </c>
      <c r="W238" t="inlineStr">
        <is>
          <t>No se encontró ejecución en PIIP</t>
        </is>
      </c>
    </row>
    <row r="239">
      <c r="A239" t="inlineStr">
        <is>
          <t>IP-540</t>
        </is>
      </c>
      <c r="B239" t="inlineStr">
        <is>
          <t>24</t>
        </is>
      </c>
      <c r="C239" t="inlineStr">
        <is>
          <t>Transporte</t>
        </is>
      </c>
      <c r="D239" t="inlineStr">
        <is>
          <t>2402</t>
        </is>
      </c>
      <c r="E239" t="inlineStr">
        <is>
          <t>Infraestructura red vial regional</t>
        </is>
      </c>
      <c r="F239" t="inlineStr">
        <is>
          <t>2402042</t>
        </is>
      </c>
      <c r="G239" t="inlineStr">
        <is>
          <t>Placa huella construida</t>
        </is>
      </c>
      <c r="H239" t="inlineStr">
        <is>
          <t>240204201</t>
        </is>
      </c>
      <c r="I239" t="inlineStr">
        <is>
          <t>Placa huella construida</t>
        </is>
      </c>
      <c r="J239" t="inlineStr">
        <is>
          <t>2022251750023</t>
        </is>
      </c>
      <c r="K239" t="inlineStr">
        <is>
          <t>Si</t>
        </is>
      </c>
      <c r="L239" t="inlineStr">
        <is>
          <t>Metros lineales</t>
        </is>
      </c>
      <c r="M239">
        <v>0.26</v>
      </c>
      <c r="N239">
        <v>0</v>
      </c>
      <c r="O239">
        <v>0.26</v>
      </c>
      <c r="P239">
        <v>0</v>
      </c>
      <c r="Q239">
        <v>0</v>
      </c>
      <c r="R239" t="inlineStr">
        <is>
          <t xml:space="preserve"> </t>
        </is>
      </c>
      <c r="S239" s="103" t="inlineStr">
        <is>
          <t xml:space="preserve"> </t>
        </is>
      </c>
      <c r="T239" t="inlineStr">
        <is>
          <t>No se encontró ejecución en PIIP</t>
        </is>
      </c>
      <c r="U239" t="inlineStr">
        <is>
          <t xml:space="preserve"> </t>
        </is>
      </c>
      <c r="V239" s="104" t="inlineStr">
        <is>
          <t xml:space="preserve"> </t>
        </is>
      </c>
      <c r="W239" t="inlineStr">
        <is>
          <t>No se encontró ejecución en PIIP</t>
        </is>
      </c>
    </row>
    <row r="240">
      <c r="A240" t="inlineStr">
        <is>
          <t>IP-541</t>
        </is>
      </c>
      <c r="B240" t="inlineStr">
        <is>
          <t>24</t>
        </is>
      </c>
      <c r="C240" t="inlineStr">
        <is>
          <t>Transporte</t>
        </is>
      </c>
      <c r="D240" t="inlineStr">
        <is>
          <t>2402</t>
        </is>
      </c>
      <c r="E240" t="inlineStr">
        <is>
          <t>Infraestructura red vial regional</t>
        </is>
      </c>
      <c r="F240" t="inlineStr">
        <is>
          <t>2402042</t>
        </is>
      </c>
      <c r="G240" t="inlineStr">
        <is>
          <t>Placa huella construida</t>
        </is>
      </c>
      <c r="H240" t="inlineStr">
        <is>
          <t>240204201</t>
        </is>
      </c>
      <c r="I240" t="inlineStr">
        <is>
          <t>Placa huella construida</t>
        </is>
      </c>
      <c r="J240" t="inlineStr">
        <is>
          <t>2022251750013</t>
        </is>
      </c>
      <c r="K240" t="inlineStr">
        <is>
          <t>Si</t>
        </is>
      </c>
      <c r="L240" t="inlineStr">
        <is>
          <t>Metros lineales</t>
        </is>
      </c>
      <c r="M240">
        <v>0.24</v>
      </c>
      <c r="N240">
        <v>0</v>
      </c>
      <c r="O240">
        <v>0.24</v>
      </c>
      <c r="P240">
        <v>0</v>
      </c>
      <c r="Q240">
        <v>0</v>
      </c>
      <c r="R240" t="inlineStr">
        <is>
          <t xml:space="preserve"> </t>
        </is>
      </c>
      <c r="S240" s="103" t="inlineStr">
        <is>
          <t xml:space="preserve"> </t>
        </is>
      </c>
      <c r="T240" t="inlineStr">
        <is>
          <t>No se encontró ejecución en PIIP</t>
        </is>
      </c>
      <c r="U240" t="inlineStr">
        <is>
          <t xml:space="preserve"> </t>
        </is>
      </c>
      <c r="V240" s="104" t="inlineStr">
        <is>
          <t xml:space="preserve"> </t>
        </is>
      </c>
      <c r="W240" t="inlineStr">
        <is>
          <t>No se encontró ejecución en PIIP</t>
        </is>
      </c>
    </row>
    <row r="241">
      <c r="A241" t="inlineStr">
        <is>
          <t>IP-542</t>
        </is>
      </c>
      <c r="B241" t="inlineStr">
        <is>
          <t>24</t>
        </is>
      </c>
      <c r="C241" t="inlineStr">
        <is>
          <t>Transporte</t>
        </is>
      </c>
      <c r="D241" t="inlineStr">
        <is>
          <t>2402</t>
        </is>
      </c>
      <c r="E241" t="inlineStr">
        <is>
          <t>Infraestructura red vial regional</t>
        </is>
      </c>
      <c r="F241" t="inlineStr">
        <is>
          <t>2402042</t>
        </is>
      </c>
      <c r="G241" t="inlineStr">
        <is>
          <t>Placa huella construida</t>
        </is>
      </c>
      <c r="H241" t="inlineStr">
        <is>
          <t>240204201</t>
        </is>
      </c>
      <c r="I241" t="inlineStr">
        <is>
          <t>Placa huella construida</t>
        </is>
      </c>
      <c r="J241" t="inlineStr">
        <is>
          <t>2022251750010</t>
        </is>
      </c>
      <c r="K241" t="inlineStr">
        <is>
          <t>Si</t>
        </is>
      </c>
      <c r="L241" t="inlineStr">
        <is>
          <t>Metros lineales</t>
        </is>
      </c>
      <c r="M241">
        <v>0</v>
      </c>
      <c r="N241">
        <v>0</v>
      </c>
      <c r="O241">
        <v>0.24</v>
      </c>
      <c r="P241">
        <v>0</v>
      </c>
      <c r="Q241">
        <v>0</v>
      </c>
      <c r="R241" t="inlineStr">
        <is>
          <t xml:space="preserve"> </t>
        </is>
      </c>
      <c r="S241" s="103" t="inlineStr">
        <is>
          <t xml:space="preserve"> </t>
        </is>
      </c>
      <c r="T241" t="inlineStr">
        <is>
          <t>No se encontró ejecución en PIIP</t>
        </is>
      </c>
      <c r="U241" t="inlineStr">
        <is>
          <t xml:space="preserve"> </t>
        </is>
      </c>
      <c r="V241" s="104" t="inlineStr">
        <is>
          <t xml:space="preserve"> </t>
        </is>
      </c>
      <c r="W241" t="inlineStr">
        <is>
          <t>No se encontró ejecución en PIIP</t>
        </is>
      </c>
    </row>
    <row r="242">
      <c r="A242" t="inlineStr">
        <is>
          <t>IP-543</t>
        </is>
      </c>
      <c r="B242" t="inlineStr">
        <is>
          <t>24</t>
        </is>
      </c>
      <c r="C242" t="inlineStr">
        <is>
          <t>Transporte</t>
        </is>
      </c>
      <c r="D242" t="inlineStr">
        <is>
          <t>2402</t>
        </is>
      </c>
      <c r="E242" t="inlineStr">
        <is>
          <t>Infraestructura red vial regional</t>
        </is>
      </c>
      <c r="F242" t="inlineStr">
        <is>
          <t>2402042</t>
        </is>
      </c>
      <c r="G242" t="inlineStr">
        <is>
          <t>Placa huella construida</t>
        </is>
      </c>
      <c r="H242" t="inlineStr">
        <is>
          <t>240204201</t>
        </is>
      </c>
      <c r="I242" t="inlineStr">
        <is>
          <t>Placa huella construida</t>
        </is>
      </c>
      <c r="J242" t="inlineStr">
        <is>
          <t>2022251750011</t>
        </is>
      </c>
      <c r="K242" t="inlineStr">
        <is>
          <t>Si</t>
        </is>
      </c>
      <c r="L242" t="inlineStr">
        <is>
          <t>Metros lineales</t>
        </is>
      </c>
      <c r="M242">
        <v>0.24</v>
      </c>
      <c r="N242">
        <v>0</v>
      </c>
      <c r="O242">
        <v>0.24</v>
      </c>
      <c r="P242">
        <v>0</v>
      </c>
      <c r="Q242">
        <v>0</v>
      </c>
      <c r="R242" t="inlineStr">
        <is>
          <t xml:space="preserve"> </t>
        </is>
      </c>
      <c r="S242" s="103" t="inlineStr">
        <is>
          <t xml:space="preserve"> </t>
        </is>
      </c>
      <c r="T242" t="inlineStr">
        <is>
          <t>No se encontró ejecución en PIIP</t>
        </is>
      </c>
      <c r="U242" t="inlineStr">
        <is>
          <t xml:space="preserve"> </t>
        </is>
      </c>
      <c r="V242" s="104" t="inlineStr">
        <is>
          <t xml:space="preserve"> </t>
        </is>
      </c>
      <c r="W242" t="inlineStr">
        <is>
          <t>No se encontró ejecución en PIIP</t>
        </is>
      </c>
    </row>
    <row r="243">
      <c r="A243" t="inlineStr">
        <is>
          <t>IP-544</t>
        </is>
      </c>
      <c r="B243" t="inlineStr">
        <is>
          <t>24</t>
        </is>
      </c>
      <c r="C243" t="inlineStr">
        <is>
          <t>Transporte</t>
        </is>
      </c>
      <c r="D243" t="inlineStr">
        <is>
          <t>2402</t>
        </is>
      </c>
      <c r="E243" t="inlineStr">
        <is>
          <t>Infraestructura red vial regional</t>
        </is>
      </c>
      <c r="F243" t="inlineStr">
        <is>
          <t>2402042</t>
        </is>
      </c>
      <c r="G243" t="inlineStr">
        <is>
          <t>Placa huella construida</t>
        </is>
      </c>
      <c r="H243" t="inlineStr">
        <is>
          <t>240204201</t>
        </is>
      </c>
      <c r="I243" t="inlineStr">
        <is>
          <t>Placa huella construida</t>
        </is>
      </c>
      <c r="J243" t="inlineStr">
        <is>
          <t>2022251750009</t>
        </is>
      </c>
      <c r="K243" t="inlineStr">
        <is>
          <t>Si</t>
        </is>
      </c>
      <c r="L243" t="inlineStr">
        <is>
          <t>Metros lineales</t>
        </is>
      </c>
      <c r="M243">
        <v>0.24</v>
      </c>
      <c r="N243">
        <v>0</v>
      </c>
      <c r="O243">
        <v>0.24</v>
      </c>
      <c r="P243">
        <v>0</v>
      </c>
      <c r="Q243">
        <v>0</v>
      </c>
      <c r="R243" t="inlineStr">
        <is>
          <t xml:space="preserve"> </t>
        </is>
      </c>
      <c r="S243" s="103" t="inlineStr">
        <is>
          <t xml:space="preserve"> </t>
        </is>
      </c>
      <c r="T243" t="inlineStr">
        <is>
          <t>No se encontró ejecución en PIIP</t>
        </is>
      </c>
      <c r="U243" t="inlineStr">
        <is>
          <t xml:space="preserve"> </t>
        </is>
      </c>
      <c r="V243" s="104" t="inlineStr">
        <is>
          <t xml:space="preserve"> </t>
        </is>
      </c>
      <c r="W243" t="inlineStr">
        <is>
          <t>No se encontró ejecución en PIIP</t>
        </is>
      </c>
    </row>
    <row r="244">
      <c r="A244" t="inlineStr">
        <is>
          <t>IP-545</t>
        </is>
      </c>
      <c r="B244" t="inlineStr">
        <is>
          <t>24</t>
        </is>
      </c>
      <c r="C244" t="inlineStr">
        <is>
          <t>Transporte</t>
        </is>
      </c>
      <c r="D244" t="inlineStr">
        <is>
          <t>2402</t>
        </is>
      </c>
      <c r="E244" t="inlineStr">
        <is>
          <t>Infraestructura red vial regional</t>
        </is>
      </c>
      <c r="F244" t="inlineStr">
        <is>
          <t>2402042</t>
        </is>
      </c>
      <c r="G244" t="inlineStr">
        <is>
          <t>Placa huella construida</t>
        </is>
      </c>
      <c r="H244" t="inlineStr">
        <is>
          <t>240204201</t>
        </is>
      </c>
      <c r="I244" t="inlineStr">
        <is>
          <t>Placa huella construida</t>
        </is>
      </c>
      <c r="J244" t="inlineStr">
        <is>
          <t>2022251750014</t>
        </is>
      </c>
      <c r="K244" t="inlineStr">
        <is>
          <t>Si</t>
        </is>
      </c>
      <c r="L244" t="inlineStr">
        <is>
          <t>Metros lineales</t>
        </is>
      </c>
      <c r="M244">
        <v>0.24</v>
      </c>
      <c r="N244">
        <v>0</v>
      </c>
      <c r="O244">
        <v>0.24</v>
      </c>
      <c r="P244">
        <v>0</v>
      </c>
      <c r="Q244">
        <v>0</v>
      </c>
      <c r="R244" t="inlineStr">
        <is>
          <t xml:space="preserve"> </t>
        </is>
      </c>
      <c r="S244" s="103" t="inlineStr">
        <is>
          <t xml:space="preserve"> </t>
        </is>
      </c>
      <c r="T244" t="inlineStr">
        <is>
          <t>No se encontró ejecución en PIIP</t>
        </is>
      </c>
      <c r="U244" t="inlineStr">
        <is>
          <t xml:space="preserve"> </t>
        </is>
      </c>
      <c r="V244" s="104" t="inlineStr">
        <is>
          <t xml:space="preserve"> </t>
        </is>
      </c>
      <c r="W244" t="inlineStr">
        <is>
          <t>No se encontró ejecución en PIIP</t>
        </is>
      </c>
    </row>
    <row r="245">
      <c r="A245" t="inlineStr">
        <is>
          <t>IP-546</t>
        </is>
      </c>
      <c r="B245" t="inlineStr">
        <is>
          <t>24</t>
        </is>
      </c>
      <c r="C245" t="inlineStr">
        <is>
          <t>Transporte</t>
        </is>
      </c>
      <c r="D245" t="inlineStr">
        <is>
          <t>2402</t>
        </is>
      </c>
      <c r="E245" t="inlineStr">
        <is>
          <t>Infraestructura red vial regional</t>
        </is>
      </c>
      <c r="F245" t="inlineStr">
        <is>
          <t>2402042</t>
        </is>
      </c>
      <c r="G245" t="inlineStr">
        <is>
          <t>Placa huella construida</t>
        </is>
      </c>
      <c r="H245" t="inlineStr">
        <is>
          <t>240204201</t>
        </is>
      </c>
      <c r="I245" t="inlineStr">
        <is>
          <t>Placa huella construida</t>
        </is>
      </c>
      <c r="J245" t="inlineStr">
        <is>
          <t>2022251750012</t>
        </is>
      </c>
      <c r="K245" t="inlineStr">
        <is>
          <t>Si</t>
        </is>
      </c>
      <c r="L245" t="inlineStr">
        <is>
          <t>Metros lineales</t>
        </is>
      </c>
      <c r="M245">
        <v>0.24</v>
      </c>
      <c r="N245">
        <v>0</v>
      </c>
      <c r="O245">
        <v>0.24</v>
      </c>
      <c r="P245">
        <v>0</v>
      </c>
      <c r="Q245">
        <v>0</v>
      </c>
      <c r="R245" t="inlineStr">
        <is>
          <t xml:space="preserve"> </t>
        </is>
      </c>
      <c r="S245" s="103" t="inlineStr">
        <is>
          <t xml:space="preserve"> </t>
        </is>
      </c>
      <c r="T245" t="inlineStr">
        <is>
          <t>No se encontró ejecución en PIIP</t>
        </is>
      </c>
      <c r="U245" t="inlineStr">
        <is>
          <t xml:space="preserve"> </t>
        </is>
      </c>
      <c r="V245" s="104" t="inlineStr">
        <is>
          <t xml:space="preserve"> </t>
        </is>
      </c>
      <c r="W245" t="inlineStr">
        <is>
          <t>No se encontró ejecución en PIIP</t>
        </is>
      </c>
    </row>
    <row r="246">
      <c r="A246" t="inlineStr">
        <is>
          <t>IP-547</t>
        </is>
      </c>
      <c r="B246" t="inlineStr">
        <is>
          <t>40</t>
        </is>
      </c>
      <c r="C246" t="inlineStr">
        <is>
          <t>Vivienda, ciudad y territorio</t>
        </is>
      </c>
      <c r="D246" t="inlineStr">
        <is>
          <t>4002</t>
        </is>
      </c>
      <c r="E246" t="inlineStr">
        <is>
          <t>Ordenamiento territorial y desarrollo urbano</t>
        </is>
      </c>
      <c r="F246" t="inlineStr">
        <is>
          <t>4002016</t>
        </is>
      </c>
      <c r="G246" t="inlineStr">
        <is>
          <t>Documentos de planeación</t>
        </is>
      </c>
      <c r="H246" t="inlineStr">
        <is>
          <t>400201601</t>
        </is>
      </c>
      <c r="I246" t="inlineStr">
        <is>
          <t>Documentos de planeación en Ordenamiento Territorial implementados</t>
        </is>
      </c>
      <c r="J246" t="inlineStr">
        <is>
          <t>2024251750032</t>
        </is>
      </c>
      <c r="K246" t="inlineStr">
        <is>
          <t>No</t>
        </is>
      </c>
      <c r="L246" t="inlineStr">
        <is>
          <t>Número</t>
        </is>
      </c>
      <c r="M246">
        <v>1</v>
      </c>
      <c r="N246">
        <v>1</v>
      </c>
      <c r="O246">
        <v>1</v>
      </c>
      <c r="P246">
        <v>1</v>
      </c>
      <c r="Q246">
        <v>1</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IP-548</t>
        </is>
      </c>
      <c r="B247" t="inlineStr">
        <is>
          <t>43</t>
        </is>
      </c>
      <c r="C247" t="inlineStr">
        <is>
          <t>Deporte y Recreación</t>
        </is>
      </c>
      <c r="D247" t="inlineStr">
        <is>
          <t>4301</t>
        </is>
      </c>
      <c r="E247" t="inlineStr">
        <is>
          <t>Fomento a la recreación, la actividad física y el deporte para desarrollar entornos de convivencia y paz</t>
        </is>
      </c>
      <c r="F247" t="inlineStr">
        <is>
          <t>4301031</t>
        </is>
      </c>
      <c r="G247" t="inlineStr">
        <is>
          <t>Estudios y diseños de infraestructura recreo-deportiva</t>
        </is>
      </c>
      <c r="H247" t="inlineStr">
        <is>
          <t>430103100</t>
        </is>
      </c>
      <c r="I247" t="inlineStr">
        <is>
          <t>Estudios y diseños elaborados</t>
        </is>
      </c>
      <c r="J247" t="inlineStr">
        <is>
          <t/>
        </is>
      </c>
      <c r="K247" t="inlineStr">
        <is>
          <t xml:space="preserve"> </t>
        </is>
      </c>
      <c r="L247" t="inlineStr">
        <is>
          <t>Número</t>
        </is>
      </c>
      <c r="M247">
        <v>2</v>
      </c>
      <c r="N247">
        <v>0</v>
      </c>
      <c r="O247">
        <v>0</v>
      </c>
      <c r="P247">
        <v>2</v>
      </c>
      <c r="Q247">
        <v>0</v>
      </c>
      <c r="R247" t="inlineStr">
        <is>
          <t xml:space="preserve"> </t>
        </is>
      </c>
      <c r="S247" s="103" t="inlineStr">
        <is>
          <t xml:space="preserve"> </t>
        </is>
      </c>
      <c r="T247" t="inlineStr">
        <is>
          <t>Por falta de código BPIN, no se encontró ejecución en PIIP</t>
        </is>
      </c>
      <c r="U247" t="inlineStr">
        <is>
          <t xml:space="preserve"> </t>
        </is>
      </c>
      <c r="V247" s="104" t="inlineStr">
        <is>
          <t xml:space="preserve"> </t>
        </is>
      </c>
      <c r="W247" t="inlineStr">
        <is>
          <t>Por falta de código BPIN, no se encontró ejecución en PIIP</t>
        </is>
      </c>
    </row>
    <row r="248">
      <c r="A248" t="inlineStr">
        <is>
          <t>IP-549</t>
        </is>
      </c>
      <c r="B248" t="inlineStr">
        <is>
          <t>41</t>
        </is>
      </c>
      <c r="C248" t="inlineStr">
        <is>
          <t xml:space="preserve">Inclusión social y reconciliación </t>
        </is>
      </c>
      <c r="D248" t="inlineStr">
        <is>
          <t>4103</t>
        </is>
      </c>
      <c r="E248" t="inlineStr">
        <is>
          <t>Inclusión social y productiva para la población en situación de vulnerabilidad</t>
        </is>
      </c>
      <c r="F248" t="inlineStr">
        <is>
          <t>4103052</t>
        </is>
      </c>
      <c r="G248" t="inlineStr">
        <is>
          <t>Servicio de gestión de oferta social para la población vulnerable</t>
        </is>
      </c>
      <c r="H248" t="inlineStr">
        <is>
          <t>410305200</t>
        </is>
      </c>
      <c r="I248" t="inlineStr">
        <is>
          <t>Beneficiarios potenciales para quienes se gestiona la oferta social</t>
        </is>
      </c>
      <c r="J248" t="inlineStr">
        <is>
          <t>2024251750059</t>
        </is>
      </c>
      <c r="K248" t="inlineStr">
        <is>
          <t>No</t>
        </is>
      </c>
      <c r="L248" t="inlineStr">
        <is>
          <t>Número</t>
        </is>
      </c>
      <c r="M248">
        <v>4000</v>
      </c>
      <c r="N248">
        <v>4000</v>
      </c>
      <c r="O248">
        <v>4000</v>
      </c>
      <c r="P248">
        <v>4000</v>
      </c>
      <c r="Q248">
        <v>4000</v>
      </c>
      <c r="R248">
        <v>4000</v>
      </c>
      <c r="S248" s="103">
        <v>1</v>
      </c>
      <c r="T248" t="inlineStr">
        <is>
          <t>Se ejecutó el 100% de lo programado en la vigencia</t>
        </is>
      </c>
      <c r="U248">
        <v>1975</v>
      </c>
      <c r="V248" s="104">
        <v>0.49375</v>
      </c>
      <c r="W248" t="inlineStr">
        <is>
          <t>Lo ejecutado está por debajo de lo programado en la vigencia</t>
        </is>
      </c>
    </row>
    <row r="249">
      <c r="A249" t="inlineStr">
        <is>
          <t>IP-551</t>
        </is>
      </c>
      <c r="B249" t="inlineStr">
        <is>
          <t>45</t>
        </is>
      </c>
      <c r="C249" t="inlineStr">
        <is>
          <t>Gobierno Territorial</t>
        </is>
      </c>
      <c r="D249" t="inlineStr">
        <is>
          <t>4599</t>
        </is>
      </c>
      <c r="E249" t="inlineStr">
        <is>
          <t>Fortalecimiento a la gestión y dirección de la administración pública territorial</t>
        </is>
      </c>
      <c r="F249" t="inlineStr">
        <is>
          <t>4599031</t>
        </is>
      </c>
      <c r="G249" t="inlineStr">
        <is>
          <t>Servicio de asistencia técnica</t>
        </is>
      </c>
      <c r="H249" t="inlineStr">
        <is>
          <t>459903100</t>
        </is>
      </c>
      <c r="I249" t="inlineStr">
        <is>
          <t>Entidades, organismos y dependencias asistidos técnicamente</t>
        </is>
      </c>
      <c r="J249" t="inlineStr">
        <is>
          <t>2024251750079</t>
        </is>
      </c>
      <c r="K249" t="inlineStr">
        <is>
          <t>Si</t>
        </is>
      </c>
      <c r="L249" t="inlineStr">
        <is>
          <t>Número</t>
        </is>
      </c>
      <c r="M249">
        <v>2</v>
      </c>
      <c r="N249">
        <v>0</v>
      </c>
      <c r="O249">
        <v>1</v>
      </c>
      <c r="P249">
        <v>0.5</v>
      </c>
      <c r="Q249">
        <v>0.5</v>
      </c>
      <c r="R249" t="inlineStr">
        <is>
          <t xml:space="preserve"> </t>
        </is>
      </c>
      <c r="S249" s="103" t="inlineStr">
        <is>
          <t xml:space="preserve"> </t>
        </is>
      </c>
      <c r="T249" t="inlineStr">
        <is>
          <t>No se encontró ejecución en PIIP</t>
        </is>
      </c>
      <c r="U249" t="inlineStr">
        <is>
          <t xml:space="preserve"> </t>
        </is>
      </c>
      <c r="V249" s="104" t="inlineStr">
        <is>
          <t xml:space="preserve"> </t>
        </is>
      </c>
      <c r="W249" t="inlineStr">
        <is>
          <t>No se encontró ejecución en PIIP</t>
        </is>
      </c>
    </row>
    <row r="250">
      <c r="A250" t="inlineStr">
        <is>
          <t>IP-554</t>
        </is>
      </c>
      <c r="B250" t="inlineStr">
        <is>
          <t>24</t>
        </is>
      </c>
      <c r="C250" t="inlineStr">
        <is>
          <t>Transporte</t>
        </is>
      </c>
      <c r="D250" t="inlineStr">
        <is>
          <t>2402</t>
        </is>
      </c>
      <c r="E250" t="inlineStr">
        <is>
          <t>Infraestructura red vial regional</t>
        </is>
      </c>
      <c r="F250" t="inlineStr">
        <is>
          <t>2402054</t>
        </is>
      </c>
      <c r="G250" t="inlineStr">
        <is>
          <t>Ciclo infraestructura de la red terciaria con mantenimiento</t>
        </is>
      </c>
      <c r="H250" t="inlineStr">
        <is>
          <t>240205400</t>
        </is>
      </c>
      <c r="I250" t="inlineStr">
        <is>
          <t>Ciclo infraestructura de la red vial terciaria con mantenimiento</t>
        </is>
      </c>
      <c r="J250" t="inlineStr">
        <is>
          <t>2024251750047</t>
        </is>
      </c>
      <c r="K250" t="inlineStr">
        <is>
          <t>Si</t>
        </is>
      </c>
      <c r="L250" t="inlineStr">
        <is>
          <t>Metros lineales</t>
        </is>
      </c>
      <c r="M250">
        <v>1300</v>
      </c>
      <c r="N250">
        <v>300</v>
      </c>
      <c r="O250">
        <v>0</v>
      </c>
      <c r="P250">
        <v>0</v>
      </c>
      <c r="Q250">
        <v>1000</v>
      </c>
      <c r="R250">
        <v>300</v>
      </c>
      <c r="S250" s="103">
        <v>1</v>
      </c>
      <c r="T250" t="inlineStr">
        <is>
          <t>Se ejecutó el 100% de lo programado en la vigencia</t>
        </is>
      </c>
      <c r="U250">
        <v>0</v>
      </c>
      <c r="V250" s="104" t="inlineStr">
        <is>
          <t xml:space="preserve"> </t>
        </is>
      </c>
      <c r="W250" t="inlineStr">
        <is>
          <t>No se programó ni ejecutó en la vigencia</t>
        </is>
      </c>
    </row>
    <row r="251">
      <c r="A251" t="inlineStr">
        <is>
          <t>IP-555</t>
        </is>
      </c>
      <c r="B251" t="inlineStr">
        <is>
          <t>40</t>
        </is>
      </c>
      <c r="C251" t="inlineStr">
        <is>
          <t>Vivienda, ciudad y territorio</t>
        </is>
      </c>
      <c r="D251" t="inlineStr">
        <is>
          <t>4003</t>
        </is>
      </c>
      <c r="E251" t="inlineStr">
        <is>
          <t>Acceso de la población a los servicios de agua potable y saneamiento básico</t>
        </is>
      </c>
      <c r="F251" t="inlineStr">
        <is>
          <t>4003047</t>
        </is>
      </c>
      <c r="G251" t="inlineStr">
        <is>
          <t>Servicio de apoyo financiero para subsidios al consumo en los servicios públicos domiciliarios</t>
        </is>
      </c>
      <c r="H251" t="inlineStr">
        <is>
          <t>400304704</t>
        </is>
      </c>
      <c r="I251" t="inlineStr">
        <is>
          <t>Usuarios beneficiados con subsidios al consumo del servicio de aseo</t>
        </is>
      </c>
      <c r="J251" t="inlineStr">
        <is>
          <t>2024251750023</t>
        </is>
      </c>
      <c r="K251" t="inlineStr">
        <is>
          <t>Si</t>
        </is>
      </c>
      <c r="L251" t="inlineStr">
        <is>
          <t>Número</t>
        </is>
      </c>
      <c r="M251">
        <v>29792</v>
      </c>
      <c r="N251">
        <v>29792</v>
      </c>
      <c r="O251">
        <v>0</v>
      </c>
      <c r="P251">
        <v>0</v>
      </c>
      <c r="Q251">
        <v>0</v>
      </c>
      <c r="R251" t="inlineStr">
        <is>
          <t xml:space="preserve"> </t>
        </is>
      </c>
      <c r="S251" s="103" t="inlineStr">
        <is>
          <t xml:space="preserve"> </t>
        </is>
      </c>
      <c r="T251" t="inlineStr">
        <is>
          <t>No se encontró ejecución en PIIP</t>
        </is>
      </c>
      <c r="U251" t="inlineStr">
        <is>
          <t xml:space="preserve"> </t>
        </is>
      </c>
      <c r="V251" s="104" t="inlineStr">
        <is>
          <t xml:space="preserve"> </t>
        </is>
      </c>
      <c r="W251" t="inlineStr">
        <is>
          <t>No se encontró ejecución en PIIP</t>
        </is>
      </c>
    </row>
    <row r="252">
      <c r="S252" s="103"/>
      <c r="V252"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