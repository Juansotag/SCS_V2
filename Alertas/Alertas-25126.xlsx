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xl/charts/chart4.xml" ContentType="application/vnd.openxmlformats-officedocument.drawingml.chart+xml"/>
  <Override PartName="/xl/charts/colors4.xml" ContentType="application/vnd.ms-office.chartcolorstyle+xml"/>
  <Override PartName="/xl/charts/style4.xml" ContentType="application/vnd.ms-office.chartstyle+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laneacionnacional-my.sharepoint.com/personal/gegallegos_dnp_gov_co/Documents/"/>
    </mc:Choice>
  </mc:AlternateContent>
  <xr:revisionPtr revIDLastSave="2545" documentId="8_{3E500AA4-C9A2-4767-9875-2B272A2641EF}" xr6:coauthVersionLast="47" xr6:coauthVersionMax="47" xr10:uidLastSave="{A7CE8F52-050E-4401-930F-797FAE297FD3}"/>
  <bookViews>
    <workbookView xWindow="-120" yWindow="-120" windowWidth="20730" windowHeight="11040" tabRatio="761"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<sst xmlns="http://schemas.openxmlformats.org/spreadsheetml/2006/main" count="135" uniqueCount="135">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</sst>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12" fillId="2" borderId="0" xfId="0" applyFont="1" applyFill="1" applyAlignment="1">
      <alignment horizontal="center" vertical="top"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2" fillId="2" borderId="0" xfId="0" applyFont="1" applyFill="1" applyAlignment="1">
      <alignment horizontal="left" vertical="center" wrapText="1"/>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Sector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285211219379314"/>
          <c:y val="8.7741223811904287E-2"/>
          <c:w val="0.66819877250944681"/>
          <c:h val="0.83957062058195309"/>
        </c:manualLayout>
      </c:layout>
      <c:barChart>
        <c:barDir val="bar"/>
        <c:grouping val="clustered"/>
        <c:varyColors val="0"/>
        <c:ser>
          <c:idx val="0"/>
          <c:order val="0"/>
          <c:spPr>
            <a:solidFill>
              <a:srgbClr val="60B99A"/>
            </a:solidFill>
            <a:ln>
              <a:noFill/>
            </a:ln>
            <a:effectLst/>
          </c:spPr>
          <c:invertIfNegative val="0"/>
          <c:dLbls>
            <c:dLbl>
              <c:idx val="0"/>
              <c:tx>
                <c:rich>
                  <a:bodyPr/>
                  <a:lstStyle/>
                  <a:p>
                    <a:fld id="{86708646-06F0-44BF-B40F-8187AA71B70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2B-459C-AC47-38F1A835D05B}"/>
                </c:ext>
              </c:extLst>
            </c:dLbl>
            <c:dLbl>
              <c:idx val="1"/>
              <c:tx>
                <c:rich>
                  <a:bodyPr/>
                  <a:lstStyle/>
                  <a:p>
                    <a:fld id="{2C7022E3-3026-45EE-BBAA-C1490968329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2B-459C-AC47-38F1A835D05B}"/>
                </c:ext>
              </c:extLst>
            </c:dLbl>
            <c:dLbl>
              <c:idx val="2"/>
              <c:tx>
                <c:rich>
                  <a:bodyPr/>
                  <a:lstStyle/>
                  <a:p>
                    <a:fld id="{78AA829D-06C3-44E9-A13E-C43AE53F1AC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2B-459C-AC47-38F1A835D05B}"/>
                </c:ext>
              </c:extLst>
            </c:dLbl>
            <c:dLbl>
              <c:idx val="3"/>
              <c:tx>
                <c:rich>
                  <a:bodyPr/>
                  <a:lstStyle/>
                  <a:p>
                    <a:fld id="{D7D10F66-7E09-4EED-955D-B625B5DB552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2B-459C-AC47-38F1A835D05B}"/>
                </c:ext>
              </c:extLst>
            </c:dLbl>
            <c:dLbl>
              <c:idx val="4"/>
              <c:tx>
                <c:rich>
                  <a:bodyPr/>
                  <a:lstStyle/>
                  <a:p>
                    <a:fld id="{C8A54928-30D5-44DC-BD36-028F3AE9CD1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2B-459C-AC47-38F1A835D05B}"/>
                </c:ext>
              </c:extLst>
            </c:dLbl>
            <c:dLbl>
              <c:idx val="5"/>
              <c:tx>
                <c:rich>
                  <a:bodyPr/>
                  <a:lstStyle/>
                  <a:p>
                    <a:fld id="{97172F8E-1965-4A90-9198-0988BC6E696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2B-459C-AC47-38F1A835D05B}"/>
                </c:ext>
              </c:extLst>
            </c:dLbl>
            <c:dLbl>
              <c:idx val="6"/>
              <c:tx>
                <c:rich>
                  <a:bodyPr/>
                  <a:lstStyle/>
                  <a:p>
                    <a:fld id="{49611170-3CBD-425A-A8EC-D314CB7C08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2B-459C-AC47-38F1A835D05B}"/>
                </c:ext>
              </c:extLst>
            </c:dLbl>
            <c:dLbl>
              <c:idx val="7"/>
              <c:tx>
                <c:rich>
                  <a:bodyPr/>
                  <a:lstStyle/>
                  <a:p>
                    <a:fld id="{F109D7FC-81F2-4199-BD85-F88BDFB7278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2B-459C-AC47-38F1A835D05B}"/>
                </c:ext>
              </c:extLst>
            </c:dLbl>
            <c:dLbl>
              <c:idx val="8"/>
              <c:tx>
                <c:rich>
                  <a:bodyPr/>
                  <a:lstStyle/>
                  <a:p>
                    <a:fld id="{E02D7E04-CD3E-4E75-82C0-2F3E4DFC147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2B-459C-AC47-38F1A835D05B}"/>
                </c:ext>
              </c:extLst>
            </c:dLbl>
            <c:dLbl>
              <c:idx val="9"/>
              <c:tx>
                <c:rich>
                  <a:bodyPr/>
                  <a:lstStyle/>
                  <a:p>
                    <a:fld id="{AF052F5F-396D-4EEE-999B-B986DD033C2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2B-459C-AC47-38F1A835D05B}"/>
                </c:ext>
              </c:extLst>
            </c:dLbl>
            <c:dLbl>
              <c:idx val="10"/>
              <c:tx>
                <c:rich>
                  <a:bodyPr/>
                  <a:lstStyle/>
                  <a:p>
                    <a:fld id="{D5E2608F-9C10-499B-B8BA-E305709532B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2B-459C-AC47-38F1A835D05B}"/>
                </c:ext>
              </c:extLst>
            </c:dLbl>
            <c:dLbl>
              <c:idx val="11"/>
              <c:tx>
                <c:rich>
                  <a:bodyPr/>
                  <a:lstStyle/>
                  <a:p>
                    <a:fld id="{39E62150-EF8F-4D6B-844D-9C62C347D3B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2B-459C-AC47-38F1A835D05B}"/>
                </c:ext>
              </c:extLst>
            </c:dLbl>
            <c:dLbl>
              <c:idx val="12"/>
              <c:tx>
                <c:rich>
                  <a:bodyPr/>
                  <a:lstStyle/>
                  <a:p>
                    <a:fld id="{264EBC48-1D27-4E15-8F61-8E11FCE406C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2B-459C-AC47-38F1A835D05B}"/>
                </c:ext>
              </c:extLst>
            </c:dLbl>
            <c:dLbl>
              <c:idx val="13"/>
              <c:tx>
                <c:rich>
                  <a:bodyPr/>
                  <a:lstStyle/>
                  <a:p>
                    <a:fld id="{AD24E199-D8D9-4065-BBCE-418B024AA63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2B-459C-AC47-38F1A835D05B}"/>
                </c:ext>
              </c:extLst>
            </c:dLbl>
            <c:dLbl>
              <c:idx val="14"/>
              <c:tx>
                <c:rich>
                  <a:bodyPr/>
                  <a:lstStyle/>
                  <a:p>
                    <a:fld id="{02388BC9-250E-4D3A-B0F9-19857A5FF0D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2B-459C-AC47-38F1A835D05B}"/>
                </c:ext>
              </c:extLst>
            </c:dLbl>
            <c:dLbl>
              <c:idx val="15"/>
              <c:tx>
                <c:rich>
                  <a:bodyPr/>
                  <a:lstStyle/>
                  <a:p>
                    <a:fld id="{24F79D1B-D92E-41AB-A845-0C3F366CF11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2B-459C-AC47-38F1A835D05B}"/>
                </c:ext>
              </c:extLst>
            </c:dLbl>
            <c:dLbl>
              <c:idx val="16"/>
              <c:tx>
                <c:rich>
                  <a:bodyPr/>
                  <a:lstStyle/>
                  <a:p>
                    <a:fld id="{C5DCE0FB-86E1-467A-9A09-53027ACFD2A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2B-459C-AC47-38F1A835D05B}"/>
                </c:ext>
              </c:extLst>
            </c:dLbl>
            <c:dLbl>
              <c:idx val="17"/>
              <c:tx>
                <c:rich>
                  <a:bodyPr/>
                  <a:lstStyle/>
                  <a:p>
                    <a:fld id="{2B424381-83F0-4D59-BEFC-C48692F2295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1-4C7A-88EA-67AAE2953991}"/>
                </c:ext>
              </c:extLst>
            </c:dLbl>
            <c:dLbl>
              <c:idx val="18"/>
              <c:tx>
                <c:rich>
                  <a:bodyPr/>
                  <a:lstStyle/>
                  <a:p>
                    <a:fld id="{CD61F6A7-3480-4FDE-99C1-7161DF8A22F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1-4C7A-88EA-67AAE295399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Resumen!$B$24:$B$42</c:f>
              <c:strCache>
                <c:ptCount val="19"/>
                <c:pt idx="0">
                  <c:v>Agricultura y desarrollo rural
</c:v>
                </c:pt>
                <c:pt idx="1">
                  <c:v>Ambiente y desarrollo sostenible</c:v>
                </c:pt>
                <c:pt idx="2">
                  <c:v>Ciencia, tecnología e innovación
</c:v>
                </c:pt>
                <c:pt idx="3">
                  <c:v>Comercio, industria y turismo</c:v>
                </c:pt>
                <c:pt idx="4">
                  <c:v>Cultura</c:v>
                </c:pt>
                <c:pt idx="5">
                  <c:v>Defensa y policía</c:v>
                </c:pt>
                <c:pt idx="6">
                  <c:v>Deporte y recreación</c:v>
                </c:pt>
                <c:pt idx="7">
                  <c:v>Educación</c:v>
                </c:pt>
                <c:pt idx="8">
                  <c:v>Gobierno territorial</c:v>
                </c:pt>
                <c:pt idx="9">
                  <c:v>Inclusión social y reconciliación </c:v>
                </c:pt>
                <c:pt idx="10">
                  <c:v>Información estadística</c:v>
                </c:pt>
                <c:pt idx="11">
                  <c:v>Justicia y del derecho</c:v>
                </c:pt>
                <c:pt idx="12">
                  <c:v>Minas y energía</c:v>
                </c:pt>
                <c:pt idx="13">
                  <c:v>Organismos de control</c:v>
                </c:pt>
                <c:pt idx="14">
                  <c:v>Salud y protección social</c:v>
                </c:pt>
                <c:pt idx="15">
                  <c:v>Tecnologías de la información y las comunicaciones</c:v>
                </c:pt>
                <c:pt idx="16">
                  <c:v>Trabajo</c:v>
                </c:pt>
                <c:pt idx="17">
                  <c:v>Transporte</c:v>
                </c:pt>
                <c:pt idx="18">
                  <c:v>Vivienda, ciudad y territorio</c:v>
                </c:pt>
              </c:strCache>
            </c:strRef>
          </c:cat>
          <c:val>
            <c:numRef>
              <c:f>Resumen!$H$24:$H$42</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5="http://schemas.microsoft.com/office/drawing/2012/chart" uri="{02D57815-91ED-43cb-92C2-25804820EDAC}">
              <c15:datalabelsRange>
                <c15:f>Resumen!$I$24:$I$42</c15:f>
                <c15:dlblRangeCache>
                  <c:ptCount val="19"/>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pt idx="17">
                    <c:v>#¡DIV/0!</c:v>
                  </c:pt>
                  <c:pt idx="18">
                    <c:v>#¡DIV/0!</c:v>
                  </c:pt>
                </c15:dlblRangeCache>
              </c15:datalabelsRange>
            </c:ext>
            <c:ext xmlns:c16="http://schemas.microsoft.com/office/drawing/2014/chart" uri="{C3380CC4-5D6E-409C-BE32-E72D297353CC}">
              <c16:uniqueId val="{00000000-D22C-4ED8-BDA6-0A0B48D78EAC}"/>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Fuente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13606656108496"/>
          <c:y val="0.11659932659932661"/>
          <c:w val="0.66195950718624774"/>
          <c:h val="0.81071263819295314"/>
        </c:manualLayout>
      </c:layout>
      <c:barChart>
        <c:barDir val="bar"/>
        <c:grouping val="clustered"/>
        <c:varyColors val="0"/>
        <c:ser>
          <c:idx val="0"/>
          <c:order val="0"/>
          <c:spPr>
            <a:solidFill>
              <a:srgbClr val="60B99A"/>
            </a:solidFill>
            <a:ln>
              <a:noFill/>
            </a:ln>
            <a:effectLst/>
          </c:spPr>
          <c:invertIfNegative val="0"/>
          <c:dLbls>
            <c:dLbl>
              <c:idx val="0"/>
              <c:tx>
                <c:rich>
                  <a:bodyPr/>
                  <a:lstStyle/>
                  <a:p>
                    <a:fld id="{AF31F109-E2A0-474B-B3A5-3A9A5DB496F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17-4F11-BAC5-7BA1F1DD7D9F}"/>
                </c:ext>
              </c:extLst>
            </c:dLbl>
            <c:dLbl>
              <c:idx val="1"/>
              <c:tx>
                <c:rich>
                  <a:bodyPr/>
                  <a:lstStyle/>
                  <a:p>
                    <a:fld id="{060257C4-140B-42A8-A2D9-38EFBC2E755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17-4F11-BAC5-7BA1F1DD7D9F}"/>
                </c:ext>
              </c:extLst>
            </c:dLbl>
            <c:dLbl>
              <c:idx val="2"/>
              <c:tx>
                <c:rich>
                  <a:bodyPr/>
                  <a:lstStyle/>
                  <a:p>
                    <a:fld id="{7C94BC16-5003-41C8-B7A4-4542297968E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17-4F11-BAC5-7BA1F1DD7D9F}"/>
                </c:ext>
              </c:extLst>
            </c:dLbl>
            <c:dLbl>
              <c:idx val="3"/>
              <c:tx>
                <c:rich>
                  <a:bodyPr/>
                  <a:lstStyle/>
                  <a:p>
                    <a:fld id="{E6150B31-7895-4C1C-8C69-A84BDDD5300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17-4F11-BAC5-7BA1F1DD7D9F}"/>
                </c:ext>
              </c:extLst>
            </c:dLbl>
            <c:dLbl>
              <c:idx val="4"/>
              <c:tx>
                <c:rich>
                  <a:bodyPr/>
                  <a:lstStyle/>
                  <a:p>
                    <a:fld id="{C19A5466-F034-47EE-941A-5F0A3869D00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17-4F11-BAC5-7BA1F1DD7D9F}"/>
                </c:ext>
              </c:extLst>
            </c:dLbl>
            <c:dLbl>
              <c:idx val="5"/>
              <c:tx>
                <c:rich>
                  <a:bodyPr/>
                  <a:lstStyle/>
                  <a:p>
                    <a:fld id="{5947835D-2CD4-4DFF-BC64-45F77FD0F88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17-4F11-BAC5-7BA1F1DD7D9F}"/>
                </c:ext>
              </c:extLst>
            </c:dLbl>
            <c:dLbl>
              <c:idx val="6"/>
              <c:tx>
                <c:rich>
                  <a:bodyPr/>
                  <a:lstStyle/>
                  <a:p>
                    <a:fld id="{52049E1F-F3E6-430C-AD4C-7504BB5ABB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17-4F11-BAC5-7BA1F1DD7D9F}"/>
                </c:ext>
              </c:extLst>
            </c:dLbl>
            <c:dLbl>
              <c:idx val="7"/>
              <c:tx>
                <c:rich>
                  <a:bodyPr/>
                  <a:lstStyle/>
                  <a:p>
                    <a:fld id="{EFD07103-F02D-40DF-92C7-414533F835F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17-4F11-BAC5-7BA1F1DD7D9F}"/>
                </c:ext>
              </c:extLst>
            </c:dLbl>
            <c:dLbl>
              <c:idx val="8"/>
              <c:tx>
                <c:rich>
                  <a:bodyPr/>
                  <a:lstStyle/>
                  <a:p>
                    <a:fld id="{8D9C4F3B-D655-4FC5-A40C-231B90085D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17-4F11-BAC5-7BA1F1DD7D9F}"/>
                </c:ext>
              </c:extLst>
            </c:dLbl>
            <c:dLbl>
              <c:idx val="9"/>
              <c:tx>
                <c:rich>
                  <a:bodyPr/>
                  <a:lstStyle/>
                  <a:p>
                    <a:fld id="{5C0CDC46-A759-4ED3-A91F-E795A25EAC5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17-4F11-BAC5-7BA1F1DD7D9F}"/>
                </c:ext>
              </c:extLst>
            </c:dLbl>
            <c:dLbl>
              <c:idx val="10"/>
              <c:tx>
                <c:rich>
                  <a:bodyPr/>
                  <a:lstStyle/>
                  <a:p>
                    <a:fld id="{1DA2A256-7981-40DD-B0CD-1B491907602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17-4F11-BAC5-7BA1F1DD7D9F}"/>
                </c:ext>
              </c:extLst>
            </c:dLbl>
            <c:dLbl>
              <c:idx val="11"/>
              <c:tx>
                <c:rich>
                  <a:bodyPr/>
                  <a:lstStyle/>
                  <a:p>
                    <a:fld id="{52AFE0E4-2604-44D2-A878-1E251E0083B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17-4F11-BAC5-7BA1F1DD7D9F}"/>
                </c:ext>
              </c:extLst>
            </c:dLbl>
            <c:dLbl>
              <c:idx val="12"/>
              <c:tx>
                <c:rich>
                  <a:bodyPr/>
                  <a:lstStyle/>
                  <a:p>
                    <a:fld id="{AEFD0834-552C-445A-84EF-D2E10976A9C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17-4F11-BAC5-7BA1F1DD7D9F}"/>
                </c:ext>
              </c:extLst>
            </c:dLbl>
            <c:dLbl>
              <c:idx val="13"/>
              <c:tx>
                <c:rich>
                  <a:bodyPr/>
                  <a:lstStyle/>
                  <a:p>
                    <a:fld id="{25901E1D-616C-4851-B06C-C50099DBE4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17-4F11-BAC5-7BA1F1DD7D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Resumen!$B$43:$B$56</c:f>
              <c:strCache>
                <c:ptCount val="14"/>
                <c:pt idx="0">
                  <c:v>Recursos propios</c:v>
                </c:pt>
                <c:pt idx="1">
                  <c:v>SGP educación</c:v>
                </c:pt>
                <c:pt idx="2">
                  <c:v>SGP salud</c:v>
                </c:pt>
                <c:pt idx="3">
                  <c:v>SGP deporte</c:v>
                </c:pt>
                <c:pt idx="4">
                  <c:v>SGP cultura</c:v>
                </c:pt>
                <c:pt idx="5">
                  <c:v>SGP libre inversión</c:v>
                </c:pt>
                <c:pt idx="6">
                  <c:v>SGP libre destinación</c:v>
                </c:pt>
                <c:pt idx="7">
                  <c:v>SGP alimentación escolar</c:v>
                </c:pt>
                <c:pt idx="8">
                  <c:v>SGP municipios Rio Magdalena</c:v>
                </c:pt>
                <c:pt idx="9">
                  <c:v>SGP APSB</c:v>
                </c:pt>
                <c:pt idx="10">
                  <c:v>Crédito</c:v>
                </c:pt>
                <c:pt idx="11">
                  <c:v>Transf. capital - Cof. departamento</c:v>
                </c:pt>
                <c:pt idx="12">
                  <c:v>Transf. capital - Cof. Nación</c:v>
                </c:pt>
                <c:pt idx="13">
                  <c:v>Otros</c:v>
                </c:pt>
              </c:strCache>
            </c:strRef>
          </c:cat>
          <c:val>
            <c:numRef>
              <c:f>Resumen!$H$43:$H$56</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5="http://schemas.microsoft.com/office/drawing/2012/chart" uri="{02D57815-91ED-43cb-92C2-25804820EDAC}">
              <c15:datalabelsRange>
                <c15:f>Resumen!$I$43:$I$56</c15:f>
                <c15:dlblRangeCache>
                  <c:ptCount val="14"/>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15:dlblRangeCache>
              </c15:datalabelsRange>
            </c:ext>
            <c:ext xmlns:c16="http://schemas.microsoft.com/office/drawing/2014/chart" uri="{C3380CC4-5D6E-409C-BE32-E72D297353CC}">
              <c16:uniqueId val="{00000000-2975-4577-BF15-5AE863F38509}"/>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ODS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30024638334349618"/>
          <c:y val="0.11659932659932661"/>
          <c:w val="0.64307378244386126"/>
          <c:h val="0.81071263819295314"/>
        </c:manualLayout>
      </c:layout>
      <c:barChart>
        <c:barDir val="bar"/>
        <c:grouping val="clustered"/>
        <c:varyColors val="0"/>
        <c:ser>
          <c:idx val="0"/>
          <c:order val="0"/>
          <c:spPr>
            <a:solidFill>
              <a:srgbClr val="E5243B"/>
            </a:solidFill>
            <a:ln>
              <a:noFill/>
            </a:ln>
            <a:effectLst/>
          </c:spPr>
          <c:invertIfNegative val="0"/>
          <c:dPt>
            <c:idx val="1"/>
            <c:invertIfNegative val="0"/>
            <c:bubble3D val="0"/>
            <c:spPr>
              <a:solidFill>
                <a:srgbClr val="DDA83A"/>
              </a:solidFill>
              <a:ln>
                <a:noFill/>
              </a:ln>
              <a:effectLst/>
            </c:spPr>
            <c:extLst>
              <c:ext xmlns:c16="http://schemas.microsoft.com/office/drawing/2014/chart" uri="{C3380CC4-5D6E-409C-BE32-E72D297353CC}">
                <c16:uniqueId val="{00000001-53F3-4BB8-BEDE-49888A2550F4}"/>
              </c:ext>
            </c:extLst>
          </c:dPt>
          <c:dPt>
            <c:idx val="2"/>
            <c:invertIfNegative val="0"/>
            <c:bubble3D val="0"/>
            <c:spPr>
              <a:solidFill>
                <a:srgbClr val="4C9F38"/>
              </a:solidFill>
              <a:ln>
                <a:noFill/>
              </a:ln>
              <a:effectLst/>
            </c:spPr>
            <c:extLst>
              <c:ext xmlns:c16="http://schemas.microsoft.com/office/drawing/2014/chart" uri="{C3380CC4-5D6E-409C-BE32-E72D297353CC}">
                <c16:uniqueId val="{00000002-53F3-4BB8-BEDE-49888A2550F4}"/>
              </c:ext>
            </c:extLst>
          </c:dPt>
          <c:dPt>
            <c:idx val="3"/>
            <c:invertIfNegative val="0"/>
            <c:bubble3D val="0"/>
            <c:spPr>
              <a:solidFill>
                <a:srgbClr val="C5192D"/>
              </a:solidFill>
              <a:ln>
                <a:noFill/>
              </a:ln>
              <a:effectLst/>
            </c:spPr>
            <c:extLst>
              <c:ext xmlns:c16="http://schemas.microsoft.com/office/drawing/2014/chart" uri="{C3380CC4-5D6E-409C-BE32-E72D297353CC}">
                <c16:uniqueId val="{00000003-53F3-4BB8-BEDE-49888A2550F4}"/>
              </c:ext>
            </c:extLst>
          </c:dPt>
          <c:dPt>
            <c:idx val="4"/>
            <c:invertIfNegative val="0"/>
            <c:bubble3D val="0"/>
            <c:spPr>
              <a:solidFill>
                <a:srgbClr val="FF3A21"/>
              </a:solidFill>
              <a:ln>
                <a:noFill/>
              </a:ln>
              <a:effectLst/>
            </c:spPr>
            <c:extLst>
              <c:ext xmlns:c16="http://schemas.microsoft.com/office/drawing/2014/chart" uri="{C3380CC4-5D6E-409C-BE32-E72D297353CC}">
                <c16:uniqueId val="{00000004-53F3-4BB8-BEDE-49888A2550F4}"/>
              </c:ext>
            </c:extLst>
          </c:dPt>
          <c:dPt>
            <c:idx val="5"/>
            <c:invertIfNegative val="0"/>
            <c:bubble3D val="0"/>
            <c:spPr>
              <a:solidFill>
                <a:srgbClr val="26BDE2"/>
              </a:solidFill>
              <a:ln>
                <a:noFill/>
              </a:ln>
              <a:effectLst/>
            </c:spPr>
            <c:extLst>
              <c:ext xmlns:c16="http://schemas.microsoft.com/office/drawing/2014/chart" uri="{C3380CC4-5D6E-409C-BE32-E72D297353CC}">
                <c16:uniqueId val="{00000005-53F3-4BB8-BEDE-49888A2550F4}"/>
              </c:ext>
            </c:extLst>
          </c:dPt>
          <c:dPt>
            <c:idx val="6"/>
            <c:invertIfNegative val="0"/>
            <c:bubble3D val="0"/>
            <c:spPr>
              <a:solidFill>
                <a:srgbClr val="FCC30B"/>
              </a:solidFill>
              <a:ln>
                <a:noFill/>
              </a:ln>
              <a:effectLst/>
            </c:spPr>
            <c:extLst>
              <c:ext xmlns:c16="http://schemas.microsoft.com/office/drawing/2014/chart" uri="{C3380CC4-5D6E-409C-BE32-E72D297353CC}">
                <c16:uniqueId val="{00000006-53F3-4BB8-BEDE-49888A2550F4}"/>
              </c:ext>
            </c:extLst>
          </c:dPt>
          <c:dPt>
            <c:idx val="7"/>
            <c:invertIfNegative val="0"/>
            <c:bubble3D val="0"/>
            <c:spPr>
              <a:solidFill>
                <a:srgbClr val="A21942"/>
              </a:solidFill>
              <a:ln>
                <a:noFill/>
              </a:ln>
              <a:effectLst/>
            </c:spPr>
            <c:extLst>
              <c:ext xmlns:c16="http://schemas.microsoft.com/office/drawing/2014/chart" uri="{C3380CC4-5D6E-409C-BE32-E72D297353CC}">
                <c16:uniqueId val="{00000007-53F3-4BB8-BEDE-49888A2550F4}"/>
              </c:ext>
            </c:extLst>
          </c:dPt>
          <c:dPt>
            <c:idx val="8"/>
            <c:invertIfNegative val="0"/>
            <c:bubble3D val="0"/>
            <c:spPr>
              <a:solidFill>
                <a:srgbClr val="FD6925"/>
              </a:solidFill>
              <a:ln>
                <a:noFill/>
              </a:ln>
              <a:effectLst/>
            </c:spPr>
            <c:extLst>
              <c:ext xmlns:c16="http://schemas.microsoft.com/office/drawing/2014/chart" uri="{C3380CC4-5D6E-409C-BE32-E72D297353CC}">
                <c16:uniqueId val="{00000008-53F3-4BB8-BEDE-49888A2550F4}"/>
              </c:ext>
            </c:extLst>
          </c:dPt>
          <c:dPt>
            <c:idx val="9"/>
            <c:invertIfNegative val="0"/>
            <c:bubble3D val="0"/>
            <c:spPr>
              <a:solidFill>
                <a:srgbClr val="DD1367"/>
              </a:solidFill>
              <a:ln>
                <a:noFill/>
              </a:ln>
              <a:effectLst/>
            </c:spPr>
            <c:extLst>
              <c:ext xmlns:c16="http://schemas.microsoft.com/office/drawing/2014/chart" uri="{C3380CC4-5D6E-409C-BE32-E72D297353CC}">
                <c16:uniqueId val="{00000009-53F3-4BB8-BEDE-49888A2550F4}"/>
              </c:ext>
            </c:extLst>
          </c:dPt>
          <c:dPt>
            <c:idx val="10"/>
            <c:invertIfNegative val="0"/>
            <c:bubble3D val="0"/>
            <c:spPr>
              <a:solidFill>
                <a:srgbClr val="FD9D24"/>
              </a:solidFill>
              <a:ln>
                <a:noFill/>
              </a:ln>
              <a:effectLst/>
            </c:spPr>
            <c:extLst>
              <c:ext xmlns:c16="http://schemas.microsoft.com/office/drawing/2014/chart" uri="{C3380CC4-5D6E-409C-BE32-E72D297353CC}">
                <c16:uniqueId val="{0000000A-53F3-4BB8-BEDE-49888A2550F4}"/>
              </c:ext>
            </c:extLst>
          </c:dPt>
          <c:dPt>
            <c:idx val="11"/>
            <c:invertIfNegative val="0"/>
            <c:bubble3D val="0"/>
            <c:spPr>
              <a:solidFill>
                <a:srgbClr val="BF8B2E"/>
              </a:solidFill>
              <a:ln>
                <a:noFill/>
              </a:ln>
              <a:effectLst/>
            </c:spPr>
            <c:extLst>
              <c:ext xmlns:c16="http://schemas.microsoft.com/office/drawing/2014/chart" uri="{C3380CC4-5D6E-409C-BE32-E72D297353CC}">
                <c16:uniqueId val="{0000000B-53F3-4BB8-BEDE-49888A2550F4}"/>
              </c:ext>
            </c:extLst>
          </c:dPt>
          <c:dPt>
            <c:idx val="12"/>
            <c:invertIfNegative val="0"/>
            <c:bubble3D val="0"/>
            <c:spPr>
              <a:solidFill>
                <a:srgbClr val="3F7E44"/>
              </a:solidFill>
              <a:ln>
                <a:noFill/>
              </a:ln>
              <a:effectLst/>
            </c:spPr>
            <c:extLst>
              <c:ext xmlns:c16="http://schemas.microsoft.com/office/drawing/2014/chart" uri="{C3380CC4-5D6E-409C-BE32-E72D297353CC}">
                <c16:uniqueId val="{0000000C-53F3-4BB8-BEDE-49888A2550F4}"/>
              </c:ext>
            </c:extLst>
          </c:dPt>
          <c:dPt>
            <c:idx val="13"/>
            <c:invertIfNegative val="0"/>
            <c:bubble3D val="0"/>
            <c:spPr>
              <a:solidFill>
                <a:srgbClr val="0A97D9"/>
              </a:solidFill>
              <a:ln>
                <a:noFill/>
              </a:ln>
              <a:effectLst/>
            </c:spPr>
            <c:extLst>
              <c:ext xmlns:c16="http://schemas.microsoft.com/office/drawing/2014/chart" uri="{C3380CC4-5D6E-409C-BE32-E72D297353CC}">
                <c16:uniqueId val="{0000000D-53F3-4BB8-BEDE-49888A2550F4}"/>
              </c:ext>
            </c:extLst>
          </c:dPt>
          <c:dPt>
            <c:idx val="14"/>
            <c:invertIfNegative val="0"/>
            <c:bubble3D val="0"/>
            <c:spPr>
              <a:solidFill>
                <a:srgbClr val="56C02B"/>
              </a:solidFill>
              <a:ln>
                <a:noFill/>
              </a:ln>
              <a:effectLst/>
            </c:spPr>
            <c:extLst>
              <c:ext xmlns:c16="http://schemas.microsoft.com/office/drawing/2014/chart" uri="{C3380CC4-5D6E-409C-BE32-E72D297353CC}">
                <c16:uniqueId val="{0000000E-53F3-4BB8-BEDE-49888A2550F4}"/>
              </c:ext>
            </c:extLst>
          </c:dPt>
          <c:dPt>
            <c:idx val="15"/>
            <c:invertIfNegative val="0"/>
            <c:bubble3D val="0"/>
            <c:spPr>
              <a:solidFill>
                <a:srgbClr val="00689D"/>
              </a:solidFill>
              <a:ln>
                <a:noFill/>
              </a:ln>
              <a:effectLst/>
            </c:spPr>
            <c:extLst>
              <c:ext xmlns:c16="http://schemas.microsoft.com/office/drawing/2014/chart" uri="{C3380CC4-5D6E-409C-BE32-E72D297353CC}">
                <c16:uniqueId val="{0000000F-53F3-4BB8-BEDE-49888A2550F4}"/>
              </c:ext>
            </c:extLst>
          </c:dPt>
          <c:dPt>
            <c:idx val="16"/>
            <c:invertIfNegative val="0"/>
            <c:bubble3D val="0"/>
            <c:spPr>
              <a:solidFill>
                <a:srgbClr val="19486A"/>
              </a:solidFill>
              <a:ln>
                <a:noFill/>
              </a:ln>
              <a:effectLst/>
            </c:spPr>
            <c:extLst>
              <c:ext xmlns:c16="http://schemas.microsoft.com/office/drawing/2014/chart" uri="{C3380CC4-5D6E-409C-BE32-E72D297353CC}">
                <c16:uniqueId val="{00000010-53F3-4BB8-BEDE-49888A2550F4}"/>
              </c:ext>
            </c:extLst>
          </c:dPt>
          <c:dLbls>
            <c:dLbl>
              <c:idx val="0"/>
              <c:tx>
                <c:rich>
                  <a:bodyPr/>
                  <a:lstStyle/>
                  <a:p>
                    <a:fld id="{95F31C71-4B0F-44BE-A7A2-79BFF34C705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BBC-46F3-A28A-52E739701722}"/>
                </c:ext>
              </c:extLst>
            </c:dLbl>
            <c:dLbl>
              <c:idx val="1"/>
              <c:tx>
                <c:rich>
                  <a:bodyPr/>
                  <a:lstStyle/>
                  <a:p>
                    <a:fld id="{4543A26A-DD93-4AE9-B989-8EA46ECEE43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F3-4BB8-BEDE-49888A2550F4}"/>
                </c:ext>
              </c:extLst>
            </c:dLbl>
            <c:dLbl>
              <c:idx val="2"/>
              <c:tx>
                <c:rich>
                  <a:bodyPr/>
                  <a:lstStyle/>
                  <a:p>
                    <a:fld id="{87A535A8-5761-43E1-B6E0-9EA25E7B8F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F3-4BB8-BEDE-49888A2550F4}"/>
                </c:ext>
              </c:extLst>
            </c:dLbl>
            <c:dLbl>
              <c:idx val="3"/>
              <c:tx>
                <c:rich>
                  <a:bodyPr/>
                  <a:lstStyle/>
                  <a:p>
                    <a:fld id="{B9C2BA72-5580-45B0-8CE4-7E2D896CE42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F3-4BB8-BEDE-49888A2550F4}"/>
                </c:ext>
              </c:extLst>
            </c:dLbl>
            <c:dLbl>
              <c:idx val="4"/>
              <c:tx>
                <c:rich>
                  <a:bodyPr/>
                  <a:lstStyle/>
                  <a:p>
                    <a:fld id="{D9951E17-7184-41F5-8859-B856DFC7389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F3-4BB8-BEDE-49888A2550F4}"/>
                </c:ext>
              </c:extLst>
            </c:dLbl>
            <c:dLbl>
              <c:idx val="5"/>
              <c:tx>
                <c:rich>
                  <a:bodyPr/>
                  <a:lstStyle/>
                  <a:p>
                    <a:fld id="{0791B2CB-C2DC-4BCB-9A09-90D145631D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F3-4BB8-BEDE-49888A2550F4}"/>
                </c:ext>
              </c:extLst>
            </c:dLbl>
            <c:dLbl>
              <c:idx val="6"/>
              <c:tx>
                <c:rich>
                  <a:bodyPr/>
                  <a:lstStyle/>
                  <a:p>
                    <a:fld id="{7F6CE039-90F7-471C-9102-3B58031251D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F3-4BB8-BEDE-49888A2550F4}"/>
                </c:ext>
              </c:extLst>
            </c:dLbl>
            <c:dLbl>
              <c:idx val="7"/>
              <c:tx>
                <c:rich>
                  <a:bodyPr/>
                  <a:lstStyle/>
                  <a:p>
                    <a:fld id="{E1E466B3-A6F8-46A9-8271-B2855043A5A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F3-4BB8-BEDE-49888A2550F4}"/>
                </c:ext>
              </c:extLst>
            </c:dLbl>
            <c:dLbl>
              <c:idx val="8"/>
              <c:tx>
                <c:rich>
                  <a:bodyPr/>
                  <a:lstStyle/>
                  <a:p>
                    <a:fld id="{27836B91-7814-48CE-8062-A6EF713AC21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F3-4BB8-BEDE-49888A2550F4}"/>
                </c:ext>
              </c:extLst>
            </c:dLbl>
            <c:dLbl>
              <c:idx val="9"/>
              <c:tx>
                <c:rich>
                  <a:bodyPr/>
                  <a:lstStyle/>
                  <a:p>
                    <a:fld id="{2183AA1C-B8ED-4273-BBAC-88BDCAE4EC8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F3-4BB8-BEDE-49888A2550F4}"/>
                </c:ext>
              </c:extLst>
            </c:dLbl>
            <c:dLbl>
              <c:idx val="10"/>
              <c:tx>
                <c:rich>
                  <a:bodyPr/>
                  <a:lstStyle/>
                  <a:p>
                    <a:fld id="{381D3F61-5D17-48B1-8110-EDB4FC3A8F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F3-4BB8-BEDE-49888A2550F4}"/>
                </c:ext>
              </c:extLst>
            </c:dLbl>
            <c:dLbl>
              <c:idx val="11"/>
              <c:tx>
                <c:rich>
                  <a:bodyPr/>
                  <a:lstStyle/>
                  <a:p>
                    <a:fld id="{E2C84284-2FA7-4373-85D0-589B521ADF6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F3-4BB8-BEDE-49888A2550F4}"/>
                </c:ext>
              </c:extLst>
            </c:dLbl>
            <c:dLbl>
              <c:idx val="12"/>
              <c:tx>
                <c:rich>
                  <a:bodyPr/>
                  <a:lstStyle/>
                  <a:p>
                    <a:fld id="{236AD458-E866-4359-8F6D-A09CD15AD8E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F3-4BB8-BEDE-49888A2550F4}"/>
                </c:ext>
              </c:extLst>
            </c:dLbl>
            <c:dLbl>
              <c:idx val="13"/>
              <c:tx>
                <c:rich>
                  <a:bodyPr/>
                  <a:lstStyle/>
                  <a:p>
                    <a:fld id="{E89234FE-5B6A-4C7D-B29E-452F182B50B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F3-4BB8-BEDE-49888A2550F4}"/>
                </c:ext>
              </c:extLst>
            </c:dLbl>
            <c:dLbl>
              <c:idx val="14"/>
              <c:tx>
                <c:rich>
                  <a:bodyPr/>
                  <a:lstStyle/>
                  <a:p>
                    <a:fld id="{64806DC4-E469-4B7B-9803-714270098FA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F3-4BB8-BEDE-49888A2550F4}"/>
                </c:ext>
              </c:extLst>
            </c:dLbl>
            <c:dLbl>
              <c:idx val="15"/>
              <c:tx>
                <c:rich>
                  <a:bodyPr/>
                  <a:lstStyle/>
                  <a:p>
                    <a:fld id="{621E1A9D-54EA-4323-A6BB-446764CDD87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3F3-4BB8-BEDE-49888A2550F4}"/>
                </c:ext>
              </c:extLst>
            </c:dLbl>
            <c:dLbl>
              <c:idx val="16"/>
              <c:tx>
                <c:rich>
                  <a:bodyPr/>
                  <a:lstStyle/>
                  <a:p>
                    <a:fld id="{B76DF89F-72E3-4BA4-8D08-089348A021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F3-4BB8-BEDE-49888A2550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Resumen!$B$57:$B$73</c:f>
              <c:strCache>
                <c:ptCount val="17"/>
                <c:pt idx="0">
                  <c:v>1. Fin de la pobreza</c:v>
                </c:pt>
                <c:pt idx="1">
                  <c:v>2. Hambre cero</c:v>
                </c:pt>
                <c:pt idx="2">
                  <c:v>3. Salud y bienestar</c:v>
                </c:pt>
                <c:pt idx="3">
                  <c:v>4. Educación de calidad</c:v>
                </c:pt>
                <c:pt idx="4">
                  <c:v>5. Igualdad de género</c:v>
                </c:pt>
                <c:pt idx="5">
                  <c:v>6. Agua limpia y saneamiento</c:v>
                </c:pt>
                <c:pt idx="6">
                  <c:v>7. Energía asequible y no contaminante</c:v>
                </c:pt>
                <c:pt idx="7">
                  <c:v>8. Trabajo decente y crecimiento económico</c:v>
                </c:pt>
                <c:pt idx="8">
                  <c:v>9. Industria, innovación e infraestructura</c:v>
                </c:pt>
                <c:pt idx="9">
                  <c:v>10. Reducción de las desigualdades</c:v>
                </c:pt>
                <c:pt idx="10">
                  <c:v>11. Ciudades y comunidades sostenibles</c:v>
                </c:pt>
                <c:pt idx="11">
                  <c:v>12. Producción y consumo responsables</c:v>
                </c:pt>
                <c:pt idx="12">
                  <c:v>13. Acción por el clima</c:v>
                </c:pt>
                <c:pt idx="13">
                  <c:v>14. Vida submarina</c:v>
                </c:pt>
                <c:pt idx="14">
                  <c:v>15. Vida de ecosistemas terrestres</c:v>
                </c:pt>
                <c:pt idx="15">
                  <c:v>16. Paz, justicia e instituciones sólidas</c:v>
                </c:pt>
                <c:pt idx="16">
                  <c:v>17. Alianzas para lograr los objetivos</c:v>
                </c:pt>
              </c:strCache>
            </c:strRef>
          </c:cat>
          <c:val>
            <c:numRef>
              <c:f>Resumen!$H$57:$H$73</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5="http://schemas.microsoft.com/office/drawing/2012/chart" uri="{02D57815-91ED-43cb-92C2-25804820EDAC}">
              <c15:datalabelsRange>
                <c15:f>Resumen!$I$57:$I$73</c15:f>
                <c15:dlblRangeCache>
                  <c:ptCount val="17"/>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15:dlblRangeCache>
              </c15:datalabelsRange>
            </c:ext>
            <c:ext xmlns:c16="http://schemas.microsoft.com/office/drawing/2014/chart" uri="{C3380CC4-5D6E-409C-BE32-E72D297353CC}">
              <c16:uniqueId val="{00000000-53F3-4BB8-BEDE-49888A2550F4}"/>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línea estratégica*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7898671917919748"/>
          <c:y val="0.11659932659932661"/>
          <c:w val="0.66433337949485105"/>
          <c:h val="0.83710667416572926"/>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9A901A0-6390-4DDB-B0B9-E75752929833}" type="CELLRANGE">
                      <a:rPr lang="en-US"/>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3F4-43EE-A6A9-753ABBA3EE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[0]!nombreslineasest</c:f>
              <c:strCache>
                <c:ptCount val="1"/>
                <c:pt idx="0">
                  <c:v>NA</c:v>
                </c:pt>
              </c:strCache>
            </c:strRef>
          </c:cat>
          <c:val>
            <c:numRef>
              <c:f>[0]!valoreslineasest</c:f>
              <c:numCache>
                <c:formatCode>#,##0</c:formatCode>
                <c:ptCount val="1"/>
                <c:pt idx="0">
                  <c:v>0</c:v>
                </c:pt>
              </c:numCache>
            </c:numRef>
          </c:val>
          <c:extLst>
            <c:ext xmlns:c15="http://schemas.microsoft.com/office/drawing/2012/chart" uri="{02D57815-91ED-43cb-92C2-25804820EDAC}">
              <c15:datalabelsRange>
                <c15:f>Resumen!$W$7:$W$75</c15:f>
                <c15:dlblRangeCache>
                  <c:ptCount val="69"/>
                </c15:dlblRangeCache>
              </c15:datalabelsRange>
            </c:ext>
            <c:ext xmlns:c16="http://schemas.microsoft.com/office/drawing/2014/chart" uri="{C3380CC4-5D6E-409C-BE32-E72D297353CC}">
              <c16:uniqueId val="{00000020-EAAB-468A-8713-3B6913F63213}"/>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0"/>
    <c:dispBlanksAs val="gap"/>
    <c:showDLblsOverMax val="0"/>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0018957477453"/>
          <c:y val="1.4814814814814815E-2"/>
          <c:w val="0.38169262531008191"/>
          <c:h val="0.96296296296296291"/>
        </c:manualLayout>
      </c:layout>
      <c:pieChart>
        <c:varyColors val="1"/>
        <c:ser>
          <c:idx val="0"/>
          <c:order val="0"/>
          <c:spPr>
            <a:solidFill>
              <a:srgbClr val="C373B6"/>
            </a:solidFill>
            <a:ln>
              <a:noFill/>
            </a:ln>
          </c:spPr>
          <c:dPt>
            <c:idx val="0"/>
            <c:bubble3D val="0"/>
            <c:spPr>
              <a:solidFill>
                <a:srgbClr val="A65CC4"/>
              </a:solidFill>
              <a:ln w="19050">
                <a:noFill/>
              </a:ln>
              <a:effectLst/>
            </c:spPr>
            <c:extLst>
              <c:ext xmlns:c16="http://schemas.microsoft.com/office/drawing/2014/chart" uri="{C3380CC4-5D6E-409C-BE32-E72D297353CC}">
                <c16:uniqueId val="{00000001-772A-4EA5-895F-383FD42FDA66}"/>
              </c:ext>
            </c:extLst>
          </c:dPt>
          <c:dPt>
            <c:idx val="1"/>
            <c:bubble3D val="0"/>
            <c:spPr>
              <a:solidFill>
                <a:srgbClr val="D165AA"/>
              </a:solidFill>
              <a:ln w="19050">
                <a:noFill/>
              </a:ln>
              <a:effectLst/>
            </c:spPr>
            <c:extLst>
              <c:ext xmlns:c16="http://schemas.microsoft.com/office/drawing/2014/chart" uri="{C3380CC4-5D6E-409C-BE32-E72D297353CC}">
                <c16:uniqueId val="{00000003-772A-4EA5-895F-383FD42FDA66}"/>
              </c:ext>
            </c:extLst>
          </c:dPt>
          <c:dPt>
            <c:idx val="2"/>
            <c:bubble3D val="0"/>
            <c:spPr>
              <a:solidFill>
                <a:srgbClr val="E68297"/>
              </a:solidFill>
              <a:ln w="19050">
                <a:noFill/>
              </a:ln>
              <a:effectLst/>
            </c:spPr>
            <c:extLst>
              <c:ext xmlns:c16="http://schemas.microsoft.com/office/drawing/2014/chart" uri="{C3380CC4-5D6E-409C-BE32-E72D297353CC}">
                <c16:uniqueId val="{00000005-772A-4EA5-895F-383FD42FDA66}"/>
              </c:ext>
            </c:extLst>
          </c:dPt>
          <c:dPt>
            <c:idx val="3"/>
            <c:bubble3D val="0"/>
            <c:spPr>
              <a:solidFill>
                <a:srgbClr val="F8A39A"/>
              </a:solidFill>
              <a:ln w="19050">
                <a:noFill/>
              </a:ln>
              <a:effectLst/>
            </c:spPr>
            <c:extLst>
              <c:ext xmlns:c16="http://schemas.microsoft.com/office/drawing/2014/chart" uri="{C3380CC4-5D6E-409C-BE32-E72D297353CC}">
                <c16:uniqueId val="{00000007-772A-4EA5-895F-383FD42FDA66}"/>
              </c:ext>
            </c:extLst>
          </c:dPt>
          <c:dPt>
            <c:idx val="4"/>
            <c:bubble3D val="0"/>
            <c:spPr>
              <a:solidFill>
                <a:srgbClr val="FBC997"/>
              </a:solidFill>
              <a:ln w="19050">
                <a:noFill/>
              </a:ln>
              <a:effectLst/>
            </c:spPr>
            <c:extLst>
              <c:ext xmlns:c16="http://schemas.microsoft.com/office/drawing/2014/chart" uri="{C3380CC4-5D6E-409C-BE32-E72D297353CC}">
                <c16:uniqueId val="{00000009-772A-4EA5-895F-383FD42FDA66}"/>
              </c:ext>
            </c:extLst>
          </c:dPt>
          <c:dPt>
            <c:idx val="5"/>
            <c:bubble3D val="0"/>
            <c:spPr>
              <a:solidFill>
                <a:srgbClr val="ADEC9E"/>
              </a:solidFill>
              <a:ln w="19050">
                <a:noFill/>
              </a:ln>
              <a:effectLst/>
            </c:spPr>
            <c:extLst>
              <c:ext xmlns:c16="http://schemas.microsoft.com/office/drawing/2014/chart" uri="{C3380CC4-5D6E-409C-BE32-E72D297353CC}">
                <c16:uniqueId val="{0000000B-9686-43CC-A90F-CD97B669F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Resumen!$B$95:$B$100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772A-4EA5-895F-383FD42FDA6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249554</xdr:colOff>
      <xdr:row>0</xdr:row>
      <xdr:rowOff>171450</xdr:rowOff>
    </xdr:from>
    <xdr:to>
      <xdr:col>2</xdr:col>
      <xdr:colOff>373379</xdr:colOff>
      <xdr:row>1</xdr:row>
      <xdr:rowOff>22025</xdr:rowOff>
    </xdr:to>
    <xdr:pic>
      <xdr:nvPicPr>
        <xdr:cNvPr id="9" name="Imagen 8">
          <a:extLst>
            <a:ext uri="{FF2B5EF4-FFF2-40B4-BE49-F238E27FC236}">
              <a16:creationId xmlns:a16="http://schemas.microsoft.com/office/drawing/2014/main" id="{429447C4-62D8-7086-51BB-9F33F393A8DD}"/>
            </a:ext>
          </a:extLst>
        </xdr:cNvPr>
        <xdr:cNvPicPr>
          <a:picLocks noChangeAspect="1"/>
        </xdr:cNvPicPr>
      </xdr:nvPicPr>
      <xdr:blipFill>
        <a:blip xmlns:r="http://schemas.openxmlformats.org/officeDocument/2006/relationships" r:embed="rId1"/>
        <a:stretch>
          <a:fillRect/>
        </a:stretch>
      </xdr:blipFill>
      <xdr:spPr>
        <a:xfrm>
          <a:off x="249554" y="171450"/>
          <a:ext cx="1716405" cy="810695"/>
        </a:xfrm>
        <a:prstGeom prst="rect">
          <a:avLst/>
        </a:prstGeom>
      </xdr:spPr>
    </xdr:pic>
    <xdr:clientData/>
  </xdr:twoCellAnchor>
  <xdr:twoCellAnchor editAs="absolute">
    <xdr:from>
      <xdr:col>1</xdr:col>
      <xdr:colOff>0</xdr:colOff>
      <xdr:row>46</xdr:row>
      <xdr:rowOff>0</xdr:rowOff>
    </xdr:from>
    <xdr:to>
      <xdr:col>7</xdr:col>
      <xdr:colOff>0</xdr:colOff>
      <xdr:row>74</xdr:row>
      <xdr:rowOff>0</xdr:rowOff>
    </xdr:to>
    <xdr:graphicFrame macro="">
      <xdr:nvGraphicFramePr>
        <xdr:cNvPr id="10" name="Gráfico 9">
          <a:extLst>
            <a:ext uri="{FF2B5EF4-FFF2-40B4-BE49-F238E27FC236}">
              <a16:creationId xmlns:a16="http://schemas.microsoft.com/office/drawing/2014/main" id="{0E6B3274-7F69-07E7-C2ED-13BBD9E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0</xdr:colOff>
      <xdr:row>46</xdr:row>
      <xdr:rowOff>0</xdr:rowOff>
    </xdr:from>
    <xdr:to>
      <xdr:col>13</xdr:col>
      <xdr:colOff>0</xdr:colOff>
      <xdr:row>74</xdr:row>
      <xdr:rowOff>0</xdr:rowOff>
    </xdr:to>
    <xdr:graphicFrame macro="">
      <xdr:nvGraphicFramePr>
        <xdr:cNvPr id="11" name="Gráfico 10">
          <a:extLst>
            <a:ext uri="{FF2B5EF4-FFF2-40B4-BE49-F238E27FC236}">
              <a16:creationId xmlns:a16="http://schemas.microsoft.com/office/drawing/2014/main" id="{DDD922E9-F3B1-4056-AD1E-D584EDB0B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0</xdr:colOff>
      <xdr:row>17</xdr:row>
      <xdr:rowOff>0</xdr:rowOff>
    </xdr:from>
    <xdr:to>
      <xdr:col>13</xdr:col>
      <xdr:colOff>0</xdr:colOff>
      <xdr:row>46</xdr:row>
      <xdr:rowOff>0</xdr:rowOff>
    </xdr:to>
    <xdr:graphicFrame macro="">
      <xdr:nvGraphicFramePr>
        <xdr:cNvPr id="29" name="Gráfico 28">
          <a:extLst>
            <a:ext uri="{FF2B5EF4-FFF2-40B4-BE49-F238E27FC236}">
              <a16:creationId xmlns:a16="http://schemas.microsoft.com/office/drawing/2014/main" id="{F900B710-7DA2-43DD-BF7C-83ADE202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18</xdr:row>
      <xdr:rowOff>0</xdr:rowOff>
    </xdr:from>
    <xdr:to>
      <xdr:col>7</xdr:col>
      <xdr:colOff>0</xdr:colOff>
      <xdr:row>43</xdr:row>
      <xdr:rowOff>0</xdr:rowOff>
    </xdr:to>
    <xdr:graphicFrame macro="">
      <xdr:nvGraphicFramePr>
        <xdr:cNvPr id="30" name="Gráfico 29">
          <a:extLst>
            <a:ext uri="{FF2B5EF4-FFF2-40B4-BE49-F238E27FC236}">
              <a16:creationId xmlns:a16="http://schemas.microsoft.com/office/drawing/2014/main" id="{F5C341FE-74B7-4B89-8812-8722A34F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93</xdr:row>
      <xdr:rowOff>0</xdr:rowOff>
    </xdr:from>
    <xdr:to>
      <xdr:col>13</xdr:col>
      <xdr:colOff>0</xdr:colOff>
      <xdr:row>101</xdr:row>
      <xdr:rowOff>0</xdr:rowOff>
    </xdr:to>
    <xdr:graphicFrame macro="">
      <xdr:nvGraphicFramePr>
        <xdr:cNvPr id="3" name="Gráfico 2">
          <a:extLst>
            <a:ext uri="{FF2B5EF4-FFF2-40B4-BE49-F238E27FC236}">
              <a16:creationId xmlns:a16="http://schemas.microsoft.com/office/drawing/2014/main" id="{E951E863-527F-4EC4-B409-F5B02057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0</xdr:colOff>
      <xdr:row>112</xdr:row>
      <xdr:rowOff>0</xdr:rowOff>
    </xdr:from>
    <xdr:to>
      <xdr:col>9</xdr:col>
      <xdr:colOff>0</xdr:colOff>
      <xdr:row>120</xdr:row>
      <xdr:rowOff>0</xdr:rowOff>
    </xdr:to>
    <xdr:grpSp>
      <xdr:nvGrpSpPr>
        <xdr:cNvPr id="4" name="Grupo 3">
          <a:extLst>
            <a:ext uri="{FF2B5EF4-FFF2-40B4-BE49-F238E27FC236}">
              <a16:creationId xmlns:a16="http://schemas.microsoft.com/office/drawing/2014/main" id="{80528A17-19CF-4C80-8F40-C3938E99294E}"/>
            </a:ext>
          </a:extLst>
        </xdr:cNvPr>
        <xdr:cNvGrpSpPr>
          <a:grpSpLocks noChangeAspect="1"/>
        </xdr:cNvGrpSpPr>
      </xdr:nvGrpSpPr>
      <xdr:grpSpPr>
        <a:xfrm>
          <a:off x="4650441" y="22860000"/>
          <a:ext cx="4123765" cy="1524000"/>
          <a:chOff x="6902824" y="29619388"/>
          <a:chExt cx="3270325" cy="2006526"/>
        </a:xfrm>
      </xdr:grpSpPr>
      <xdr:sp macro="" textlink="$R$110">
        <xdr:nvSpPr>
          <xdr:cNvPr id="5" name="Forma libre: forma 4">
            <a:extLst>
              <a:ext uri="{FF2B5EF4-FFF2-40B4-BE49-F238E27FC236}">
                <a16:creationId xmlns:a16="http://schemas.microsoft.com/office/drawing/2014/main" id="{E52B1A9E-CA54-4AB7-7433-644E9F541614}"/>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379054B-11B5-42D2-A69C-E3DE5BC30DC8}" type="TxLink">
              <a:rPr lang="en-US" sz="1400" b="0" i="0" u="none" strike="noStrike">
                <a:solidFill>
                  <a:srgbClr val="000000"/>
                </a:solidFill>
                <a:latin typeface="+mn-lt"/>
                <a:ea typeface="Verdana"/>
              </a:rPr>
              <a:pPr algn="ctr"/>
              <a:t>0 coincidencias</a:t>
            </a:fld>
            <a:endParaRPr lang="en-US" sz="1400">
              <a:latin typeface="+mn-lt"/>
            </a:endParaRPr>
          </a:p>
        </xdr:txBody>
      </xdr:sp>
      <xdr:sp macro="" textlink="$Q$109">
        <xdr:nvSpPr>
          <xdr:cNvPr id="6" name="Forma libre: forma 5">
            <a:extLst>
              <a:ext uri="{FF2B5EF4-FFF2-40B4-BE49-F238E27FC236}">
                <a16:creationId xmlns:a16="http://schemas.microsoft.com/office/drawing/2014/main" id="{7B6FDB5E-EF03-F8BE-D836-B39A11E8C503}"/>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08795D3-8938-4287-88D2-820E25FB89B4}" type="TxLink">
              <a:rPr lang="en-US" sz="1400" b="0" i="0" u="none" strike="noStrike">
                <a:solidFill>
                  <a:srgbClr val="000000"/>
                </a:solidFill>
                <a:latin typeface="+mn-lt"/>
                <a:ea typeface="Verdana"/>
              </a:rPr>
              <a:pPr algn="ctr"/>
              <a:t>0</a:t>
            </a:fld>
            <a:endParaRPr lang="en-US" sz="1400">
              <a:latin typeface="+mn-lt"/>
            </a:endParaRPr>
          </a:p>
        </xdr:txBody>
      </xdr:sp>
      <xdr:sp macro="" textlink="$Q$111">
        <xdr:nvSpPr>
          <xdr:cNvPr id="8" name="Forma libre: forma 7">
            <a:extLst>
              <a:ext uri="{FF2B5EF4-FFF2-40B4-BE49-F238E27FC236}">
                <a16:creationId xmlns:a16="http://schemas.microsoft.com/office/drawing/2014/main" id="{E5122033-FB52-1742-0D32-AABD621BFC67}"/>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C6624074-2077-4ED6-960C-0C5783F361EB}"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2" name="Elipse 11">
            <a:extLst>
              <a:ext uri="{FF2B5EF4-FFF2-40B4-BE49-F238E27FC236}">
                <a16:creationId xmlns:a16="http://schemas.microsoft.com/office/drawing/2014/main" id="{B394540E-B2D4-8E32-0D03-75E3A50C1C70}"/>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3" name="Elipse 12">
            <a:extLst>
              <a:ext uri="{FF2B5EF4-FFF2-40B4-BE49-F238E27FC236}">
                <a16:creationId xmlns:a16="http://schemas.microsoft.com/office/drawing/2014/main" id="{ADC1EE1E-0A1F-0360-A947-DA330CCCF791}"/>
              </a:ext>
            </a:extLst>
          </xdr:cNvPr>
          <xdr:cNvSpPr/>
        </xdr:nvSpPr>
        <xdr:spPr>
          <a:xfrm>
            <a:off x="7931971" y="29619389"/>
            <a:ext cx="2241177" cy="2006525"/>
          </a:xfrm>
          <a:prstGeom prst="ellipse">
            <a:avLst/>
          </a:prstGeom>
          <a:noFill/>
          <a:ln>
            <a:solidFill>
              <a:srgbClr val="AFA927">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5</xdr:col>
      <xdr:colOff>0</xdr:colOff>
      <xdr:row>82</xdr:row>
      <xdr:rowOff>0</xdr:rowOff>
    </xdr:from>
    <xdr:to>
      <xdr:col>9</xdr:col>
      <xdr:colOff>0</xdr:colOff>
      <xdr:row>90</xdr:row>
      <xdr:rowOff>0</xdr:rowOff>
    </xdr:to>
    <xdr:grpSp>
      <xdr:nvGrpSpPr>
        <xdr:cNvPr id="2" name="Grupo 1">
          <a:extLst>
            <a:ext uri="{FF2B5EF4-FFF2-40B4-BE49-F238E27FC236}">
              <a16:creationId xmlns:a16="http://schemas.microsoft.com/office/drawing/2014/main" id="{8F678206-92CC-46F4-A511-C844D62EAFB7}"/>
            </a:ext>
          </a:extLst>
        </xdr:cNvPr>
        <xdr:cNvGrpSpPr>
          <a:grpSpLocks noChangeAspect="1"/>
        </xdr:cNvGrpSpPr>
      </xdr:nvGrpSpPr>
      <xdr:grpSpPr>
        <a:xfrm>
          <a:off x="4650441" y="17111382"/>
          <a:ext cx="4123765" cy="1524000"/>
          <a:chOff x="6902824" y="29619388"/>
          <a:chExt cx="3270325" cy="2006526"/>
        </a:xfrm>
      </xdr:grpSpPr>
      <xdr:sp macro="" textlink="$R$93">
        <xdr:nvSpPr>
          <xdr:cNvPr id="14" name="Forma libre: forma 13">
            <a:extLst>
              <a:ext uri="{FF2B5EF4-FFF2-40B4-BE49-F238E27FC236}">
                <a16:creationId xmlns:a16="http://schemas.microsoft.com/office/drawing/2014/main" id="{6B786AE8-2ACB-26E4-90D6-ABB60D0553F0}"/>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fld id="{042FA624-CE2C-4285-95D0-E93D82F1F817}" type="TxLink">
              <a:rPr lang="en-US" sz="1400" b="0" i="0" u="none" strike="noStrike">
                <a:solidFill>
                  <a:srgbClr val="000000"/>
                </a:solidFill>
                <a:latin typeface="Calibri"/>
                <a:ea typeface="Calibri"/>
                <a:cs typeface="Calibri"/>
              </a:rPr>
              <a:pPr algn="ctr"/>
              <a:t>0 coincidencias</a:t>
            </a:fld>
            <a:endParaRPr lang="en-US" sz="1400">
              <a:latin typeface="+mn-lt"/>
            </a:endParaRPr>
          </a:p>
        </xdr:txBody>
      </xdr:sp>
      <xdr:sp macro="" textlink="$Q$92">
        <xdr:nvSpPr>
          <xdr:cNvPr id="15" name="Forma libre: forma 14">
            <a:extLst>
              <a:ext uri="{FF2B5EF4-FFF2-40B4-BE49-F238E27FC236}">
                <a16:creationId xmlns:a16="http://schemas.microsoft.com/office/drawing/2014/main" id="{B22F5328-AB0F-050A-2DE1-EB10E804ABC9}"/>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EEFE0424-834C-48B2-ABE1-292AEFB58B6E}" type="TxLink">
              <a:rPr lang="en-US" sz="1400" b="0" i="0" u="none" strike="noStrike">
                <a:solidFill>
                  <a:srgbClr val="000000"/>
                </a:solidFill>
                <a:latin typeface="+mn-lt"/>
                <a:ea typeface="Verdana"/>
              </a:rPr>
              <a:pPr algn="ctr"/>
              <a:t>0</a:t>
            </a:fld>
            <a:endParaRPr lang="en-US" sz="1400">
              <a:latin typeface="+mn-lt"/>
            </a:endParaRPr>
          </a:p>
        </xdr:txBody>
      </xdr:sp>
      <xdr:sp macro="" textlink="$Q$94">
        <xdr:nvSpPr>
          <xdr:cNvPr id="16" name="Forma libre: forma 15">
            <a:extLst>
              <a:ext uri="{FF2B5EF4-FFF2-40B4-BE49-F238E27FC236}">
                <a16:creationId xmlns:a16="http://schemas.microsoft.com/office/drawing/2014/main" id="{3695FD02-B6AD-5344-8F70-C380438A91F6}"/>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5D5CE236-CC04-44F4-8E4F-8203FD51087E}"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7" name="Elipse 16">
            <a:extLst>
              <a:ext uri="{FF2B5EF4-FFF2-40B4-BE49-F238E27FC236}">
                <a16:creationId xmlns:a16="http://schemas.microsoft.com/office/drawing/2014/main" id="{E992395C-DA69-DEBA-6374-EAF453941EF4}"/>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8" name="Elipse 17">
            <a:extLst>
              <a:ext uri="{FF2B5EF4-FFF2-40B4-BE49-F238E27FC236}">
                <a16:creationId xmlns:a16="http://schemas.microsoft.com/office/drawing/2014/main" id="{579E954C-2A7C-837B-ED34-247BE398BD67}"/>
              </a:ext>
            </a:extLst>
          </xdr:cNvPr>
          <xdr:cNvSpPr/>
        </xdr:nvSpPr>
        <xdr:spPr>
          <a:xfrm>
            <a:off x="7931971" y="29619389"/>
            <a:ext cx="2241177" cy="2006525"/>
          </a:xfrm>
          <a:prstGeom prst="ellipse">
            <a:avLst/>
          </a:prstGeom>
          <a:noFill/>
          <a:ln>
            <a:solidFill>
              <a:srgbClr val="786256">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11</xdr:col>
      <xdr:colOff>152401</xdr:colOff>
      <xdr:row>0</xdr:row>
      <xdr:rowOff>295836</xdr:rowOff>
    </xdr:from>
    <xdr:to>
      <xdr:col>12</xdr:col>
      <xdr:colOff>1184014</xdr:colOff>
      <xdr:row>0</xdr:row>
      <xdr:rowOff>889160</xdr:rowOff>
    </xdr:to>
    <xdr:pic>
      <xdr:nvPicPr>
        <xdr:cNvPr id="19" name="Gráfico 18">
          <a:extLst>
            <a:ext uri="{FF2B5EF4-FFF2-40B4-BE49-F238E27FC236}">
              <a16:creationId xmlns:a16="http://schemas.microsoft.com/office/drawing/2014/main" id="{3747326D-EBAD-46C7-A748-B1D2C2844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68636" y="295836"/>
          <a:ext cx="2089449" cy="593324"/>
        </a:xfrm>
        <a:prstGeom prst="rect">
          <a:avLst/>
        </a:prstGeom>
      </xdr:spPr>
    </xdr:pic>
    <xdr:clientData/>
  </xdr:twoCellAnchor>
  <xdr:twoCellAnchor editAs="absolute">
    <xdr:from>
      <xdr:col>1</xdr:col>
      <xdr:colOff>818029</xdr:colOff>
      <xdr:row>133</xdr:row>
      <xdr:rowOff>123264</xdr:rowOff>
    </xdr:from>
    <xdr:to>
      <xdr:col>5</xdr:col>
      <xdr:colOff>851647</xdr:colOff>
      <xdr:row>150</xdr:row>
      <xdr:rowOff>123263</xdr:rowOff>
    </xdr:to>
    <xdr:grpSp>
      <xdr:nvGrpSpPr>
        <xdr:cNvPr id="42" name="Grupo 41">
          <a:extLst>
            <a:ext uri="{FF2B5EF4-FFF2-40B4-BE49-F238E27FC236}">
              <a16:creationId xmlns:a16="http://schemas.microsoft.com/office/drawing/2014/main" id="{DC9A9036-9FAA-1CC4-59B2-63A29C5EFD5E}"/>
            </a:ext>
          </a:extLst>
        </xdr:cNvPr>
        <xdr:cNvGrpSpPr/>
      </xdr:nvGrpSpPr>
      <xdr:grpSpPr>
        <a:xfrm>
          <a:off x="1143000" y="27006176"/>
          <a:ext cx="4359088" cy="3238499"/>
          <a:chOff x="1467970" y="26737235"/>
          <a:chExt cx="4235824" cy="3238499"/>
        </a:xfrm>
      </xdr:grpSpPr>
      <xdr:grpSp>
        <xdr:nvGrpSpPr>
          <xdr:cNvPr id="21" name="Grupo 20">
            <a:extLst>
              <a:ext uri="{FF2B5EF4-FFF2-40B4-BE49-F238E27FC236}">
                <a16:creationId xmlns:a16="http://schemas.microsoft.com/office/drawing/2014/main" id="{CA32201B-FF8D-3BE4-78C7-6E6672A40871}"/>
              </a:ext>
            </a:extLst>
          </xdr:cNvPr>
          <xdr:cNvGrpSpPr/>
        </xdr:nvGrpSpPr>
        <xdr:grpSpPr>
          <a:xfrm>
            <a:off x="1467970" y="26737235"/>
            <a:ext cx="4235824" cy="3238499"/>
            <a:chOff x="3575352" y="239547"/>
            <a:chExt cx="5084165" cy="4634459"/>
          </a:xfrm>
        </xdr:grpSpPr>
        <xdr:grpSp>
          <xdr:nvGrpSpPr>
            <xdr:cNvPr id="22" name="Grupo 21">
              <a:extLst>
                <a:ext uri="{FF2B5EF4-FFF2-40B4-BE49-F238E27FC236}">
                  <a16:creationId xmlns:a16="http://schemas.microsoft.com/office/drawing/2014/main" id="{EC8CEA55-0D96-5FA0-5420-F8BEDA7A4B2F}"/>
                </a:ext>
              </a:extLst>
            </xdr:cNvPr>
            <xdr:cNvGrpSpPr/>
          </xdr:nvGrpSpPr>
          <xdr:grpSpPr>
            <a:xfrm>
              <a:off x="3575352" y="239547"/>
              <a:ext cx="5084165" cy="4634459"/>
              <a:chOff x="6627099" y="239547"/>
              <a:chExt cx="5084165" cy="4634459"/>
            </a:xfrm>
          </xdr:grpSpPr>
          <xdr:sp macro="" textlink="">
            <xdr:nvSpPr>
              <xdr:cNvPr id="27" name="Forma libre: forma 26">
                <a:extLst>
                  <a:ext uri="{FF2B5EF4-FFF2-40B4-BE49-F238E27FC236}">
                    <a16:creationId xmlns:a16="http://schemas.microsoft.com/office/drawing/2014/main" id="{81A819C1-C771-06A5-DFFD-8EBB17E79FD5}"/>
                  </a:ext>
                </a:extLst>
              </xdr:cNvPr>
              <xdr:cNvSpPr/>
            </xdr:nvSpPr>
            <xdr:spPr>
              <a:xfrm>
                <a:off x="8159645" y="402360"/>
                <a:ext cx="2019073" cy="1466782"/>
              </a:xfrm>
              <a:custGeom>
                <a:avLst/>
                <a:gdLst>
                  <a:gd name="connsiteX0" fmla="*/ 1009536 w 2019073"/>
                  <a:gd name="connsiteY0" fmla="*/ 0 h 1466782"/>
                  <a:gd name="connsiteX1" fmla="*/ 1090496 w 2019073"/>
                  <a:gd name="connsiteY1" fmla="*/ 36203 h 1466782"/>
                  <a:gd name="connsiteX2" fmla="*/ 2010953 w 2019073"/>
                  <a:gd name="connsiteY2" fmla="*/ 1317513 h 1466782"/>
                  <a:gd name="connsiteX3" fmla="*/ 2019073 w 2019073"/>
                  <a:gd name="connsiteY3" fmla="*/ 1466781 h 1466782"/>
                  <a:gd name="connsiteX4" fmla="*/ 2002703 w 2019073"/>
                  <a:gd name="connsiteY4" fmla="*/ 1455418 h 1466782"/>
                  <a:gd name="connsiteX5" fmla="*/ 1009537 w 2019073"/>
                  <a:gd name="connsiteY5" fmla="*/ 1173809 h 1466782"/>
                  <a:gd name="connsiteX6" fmla="*/ 16371 w 2019073"/>
                  <a:gd name="connsiteY6" fmla="*/ 1455418 h 1466782"/>
                  <a:gd name="connsiteX7" fmla="*/ 0 w 2019073"/>
                  <a:gd name="connsiteY7" fmla="*/ 1466782 h 1466782"/>
                  <a:gd name="connsiteX8" fmla="*/ 8120 w 2019073"/>
                  <a:gd name="connsiteY8" fmla="*/ 1317513 h 1466782"/>
                  <a:gd name="connsiteX9" fmla="*/ 928577 w 2019073"/>
                  <a:gd name="connsiteY9" fmla="*/ 36203 h 1466782"/>
                  <a:gd name="connsiteX10" fmla="*/ 1009536 w 2019073"/>
                  <a:gd name="connsiteY10" fmla="*/ 0 h 1466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19073" h="1466782">
                    <a:moveTo>
                      <a:pt x="1009536" y="0"/>
                    </a:moveTo>
                    <a:lnTo>
                      <a:pt x="1090496" y="36203"/>
                    </a:lnTo>
                    <a:cubicBezTo>
                      <a:pt x="1593885" y="290045"/>
                      <a:pt x="1950309" y="763195"/>
                      <a:pt x="2010953" y="1317513"/>
                    </a:cubicBezTo>
                    <a:lnTo>
                      <a:pt x="2019073" y="1466781"/>
                    </a:lnTo>
                    <a:lnTo>
                      <a:pt x="2002703" y="1455418"/>
                    </a:lnTo>
                    <a:cubicBezTo>
                      <a:pt x="1719198" y="1277625"/>
                      <a:pt x="1377428" y="1173809"/>
                      <a:pt x="1009537" y="1173809"/>
                    </a:cubicBezTo>
                    <a:cubicBezTo>
                      <a:pt x="641646" y="1173809"/>
                      <a:pt x="299876" y="1277625"/>
                      <a:pt x="16371" y="1455418"/>
                    </a:cubicBezTo>
                    <a:lnTo>
                      <a:pt x="0" y="1466782"/>
                    </a:lnTo>
                    <a:lnTo>
                      <a:pt x="8120" y="1317513"/>
                    </a:lnTo>
                    <a:cubicBezTo>
                      <a:pt x="68764" y="763195"/>
                      <a:pt x="425188" y="290045"/>
                      <a:pt x="928577" y="36203"/>
                    </a:cubicBezTo>
                    <a:lnTo>
                      <a:pt x="1009536"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8" name="Forma libre: forma 27">
                <a:extLst>
                  <a:ext uri="{FF2B5EF4-FFF2-40B4-BE49-F238E27FC236}">
                    <a16:creationId xmlns:a16="http://schemas.microsoft.com/office/drawing/2014/main" id="{675AB424-9C3B-21C5-A1F2-D284DD473788}"/>
                  </a:ext>
                </a:extLst>
              </xdr:cNvPr>
              <xdr:cNvSpPr/>
            </xdr:nvSpPr>
            <xdr:spPr>
              <a:xfrm>
                <a:off x="9169181" y="1869141"/>
                <a:ext cx="1776336" cy="1668242"/>
              </a:xfrm>
              <a:custGeom>
                <a:avLst/>
                <a:gdLst>
                  <a:gd name="connsiteX0" fmla="*/ 1009537 w 1776336"/>
                  <a:gd name="connsiteY0" fmla="*/ 0 h 1668242"/>
                  <a:gd name="connsiteX1" fmla="*/ 1129915 w 1776336"/>
                  <a:gd name="connsiteY1" fmla="*/ 83561 h 1668242"/>
                  <a:gd name="connsiteX2" fmla="*/ 1776336 w 1776336"/>
                  <a:gd name="connsiteY2" fmla="*/ 1355946 h 1668242"/>
                  <a:gd name="connsiteX3" fmla="*/ 1775285 w 1776336"/>
                  <a:gd name="connsiteY3" fmla="*/ 1375269 h 1668242"/>
                  <a:gd name="connsiteX4" fmla="*/ 1758914 w 1776336"/>
                  <a:gd name="connsiteY4" fmla="*/ 1386633 h 1668242"/>
                  <a:gd name="connsiteX5" fmla="*/ 765748 w 1776336"/>
                  <a:gd name="connsiteY5" fmla="*/ 1668242 h 1668242"/>
                  <a:gd name="connsiteX6" fmla="*/ 74318 w 1776336"/>
                  <a:gd name="connsiteY6" fmla="*/ 1538662 h 1668242"/>
                  <a:gd name="connsiteX7" fmla="*/ 0 w 1776336"/>
                  <a:gd name="connsiteY7" fmla="*/ 1505429 h 1668242"/>
                  <a:gd name="connsiteX8" fmla="*/ 80960 w 1776336"/>
                  <a:gd name="connsiteY8" fmla="*/ 1469226 h 1668242"/>
                  <a:gd name="connsiteX9" fmla="*/ 1010588 w 1776336"/>
                  <a:gd name="connsiteY9" fmla="*/ 19324 h 1668242"/>
                  <a:gd name="connsiteX10" fmla="*/ 1009537 w 1776336"/>
                  <a:gd name="connsiteY10" fmla="*/ 0 h 16682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6" h="1668242">
                    <a:moveTo>
                      <a:pt x="1009537" y="0"/>
                    </a:moveTo>
                    <a:lnTo>
                      <a:pt x="1129915" y="83561"/>
                    </a:lnTo>
                    <a:cubicBezTo>
                      <a:pt x="1524701" y="385997"/>
                      <a:pt x="1776336" y="843693"/>
                      <a:pt x="1776336" y="1355946"/>
                    </a:cubicBezTo>
                    <a:lnTo>
                      <a:pt x="1775285" y="1375269"/>
                    </a:lnTo>
                    <a:lnTo>
                      <a:pt x="1758914" y="1386633"/>
                    </a:lnTo>
                    <a:cubicBezTo>
                      <a:pt x="1475409" y="1564426"/>
                      <a:pt x="1133639" y="1668242"/>
                      <a:pt x="765748" y="1668242"/>
                    </a:cubicBezTo>
                    <a:cubicBezTo>
                      <a:pt x="520487" y="1668242"/>
                      <a:pt x="286836" y="1622102"/>
                      <a:pt x="74318" y="1538662"/>
                    </a:cubicBezTo>
                    <a:lnTo>
                      <a:pt x="0" y="1505429"/>
                    </a:lnTo>
                    <a:lnTo>
                      <a:pt x="80960" y="1469226"/>
                    </a:lnTo>
                    <a:cubicBezTo>
                      <a:pt x="634688" y="1190000"/>
                      <a:pt x="1010588" y="645411"/>
                      <a:pt x="1010588" y="19324"/>
                    </a:cubicBezTo>
                    <a:lnTo>
                      <a:pt x="1009537" y="0"/>
                    </a:lnTo>
                    <a:close/>
                  </a:path>
                </a:pathLst>
              </a:custGeom>
              <a:solidFill>
                <a:srgbClr val="D6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1" name="Forma libre: forma 30">
                <a:extLst>
                  <a:ext uri="{FF2B5EF4-FFF2-40B4-BE49-F238E27FC236}">
                    <a16:creationId xmlns:a16="http://schemas.microsoft.com/office/drawing/2014/main" id="{D33F7ACE-6593-8449-0D8B-106D7FD70C55}"/>
                  </a:ext>
                </a:extLst>
              </xdr:cNvPr>
              <xdr:cNvSpPr/>
            </xdr:nvSpPr>
            <xdr:spPr>
              <a:xfrm>
                <a:off x="7392847" y="1869143"/>
                <a:ext cx="1776334" cy="1668241"/>
              </a:xfrm>
              <a:custGeom>
                <a:avLst/>
                <a:gdLst>
                  <a:gd name="connsiteX0" fmla="*/ 766798 w 1776334"/>
                  <a:gd name="connsiteY0" fmla="*/ 0 h 1668241"/>
                  <a:gd name="connsiteX1" fmla="*/ 765747 w 1776334"/>
                  <a:gd name="connsiteY1" fmla="*/ 19323 h 1668241"/>
                  <a:gd name="connsiteX2" fmla="*/ 1695375 w 1776334"/>
                  <a:gd name="connsiteY2" fmla="*/ 1469225 h 1668241"/>
                  <a:gd name="connsiteX3" fmla="*/ 1776334 w 1776334"/>
                  <a:gd name="connsiteY3" fmla="*/ 1505428 h 1668241"/>
                  <a:gd name="connsiteX4" fmla="*/ 1702017 w 1776334"/>
                  <a:gd name="connsiteY4" fmla="*/ 1538661 h 1668241"/>
                  <a:gd name="connsiteX5" fmla="*/ 1010587 w 1776334"/>
                  <a:gd name="connsiteY5" fmla="*/ 1668241 h 1668241"/>
                  <a:gd name="connsiteX6" fmla="*/ 17421 w 1776334"/>
                  <a:gd name="connsiteY6" fmla="*/ 1386632 h 1668241"/>
                  <a:gd name="connsiteX7" fmla="*/ 1051 w 1776334"/>
                  <a:gd name="connsiteY7" fmla="*/ 1375269 h 1668241"/>
                  <a:gd name="connsiteX8" fmla="*/ 0 w 1776334"/>
                  <a:gd name="connsiteY8" fmla="*/ 1355945 h 1668241"/>
                  <a:gd name="connsiteX9" fmla="*/ 646421 w 1776334"/>
                  <a:gd name="connsiteY9" fmla="*/ 83560 h 1668241"/>
                  <a:gd name="connsiteX10" fmla="*/ 766798 w 1776334"/>
                  <a:gd name="connsiteY10" fmla="*/ 0 h 16682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4" h="1668241">
                    <a:moveTo>
                      <a:pt x="766798" y="0"/>
                    </a:moveTo>
                    <a:lnTo>
                      <a:pt x="765747" y="19323"/>
                    </a:lnTo>
                    <a:cubicBezTo>
                      <a:pt x="765747" y="645410"/>
                      <a:pt x="1141647" y="1189999"/>
                      <a:pt x="1695375" y="1469225"/>
                    </a:cubicBezTo>
                    <a:lnTo>
                      <a:pt x="1776334" y="1505428"/>
                    </a:lnTo>
                    <a:lnTo>
                      <a:pt x="1702017" y="1538661"/>
                    </a:lnTo>
                    <a:cubicBezTo>
                      <a:pt x="1489499" y="1622101"/>
                      <a:pt x="1255848" y="1668241"/>
                      <a:pt x="1010587" y="1668241"/>
                    </a:cubicBezTo>
                    <a:cubicBezTo>
                      <a:pt x="642696" y="1668241"/>
                      <a:pt x="300926" y="1564425"/>
                      <a:pt x="17421" y="1386632"/>
                    </a:cubicBezTo>
                    <a:lnTo>
                      <a:pt x="1051" y="1375269"/>
                    </a:lnTo>
                    <a:lnTo>
                      <a:pt x="0" y="1355945"/>
                    </a:lnTo>
                    <a:cubicBezTo>
                      <a:pt x="0" y="843692"/>
                      <a:pt x="251636" y="385996"/>
                      <a:pt x="646421" y="83560"/>
                    </a:cubicBezTo>
                    <a:lnTo>
                      <a:pt x="766798"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sz="1200"/>
              </a:p>
            </xdr:txBody>
          </xdr:sp>
          <xdr:sp macro="" textlink="">
            <xdr:nvSpPr>
              <xdr:cNvPr id="32" name="Forma libre: forma 31">
                <a:extLst>
                  <a:ext uri="{FF2B5EF4-FFF2-40B4-BE49-F238E27FC236}">
                    <a16:creationId xmlns:a16="http://schemas.microsoft.com/office/drawing/2014/main" id="{D0F2E677-18B6-50F5-EE1F-C9A53F3D4454}"/>
                  </a:ext>
                </a:extLst>
              </xdr:cNvPr>
              <xdr:cNvSpPr/>
            </xdr:nvSpPr>
            <xdr:spPr>
              <a:xfrm>
                <a:off x="6627099" y="239547"/>
                <a:ext cx="2542082" cy="3004864"/>
              </a:xfrm>
              <a:custGeom>
                <a:avLst/>
                <a:gdLst>
                  <a:gd name="connsiteX0" fmla="*/ 1776335 w 2542082"/>
                  <a:gd name="connsiteY0" fmla="*/ 0 h 3004864"/>
                  <a:gd name="connsiteX1" fmla="*/ 2467765 w 2542082"/>
                  <a:gd name="connsiteY1" fmla="*/ 129580 h 3004864"/>
                  <a:gd name="connsiteX2" fmla="*/ 2542082 w 2542082"/>
                  <a:gd name="connsiteY2" fmla="*/ 162813 h 3004864"/>
                  <a:gd name="connsiteX3" fmla="*/ 2461123 w 2542082"/>
                  <a:gd name="connsiteY3" fmla="*/ 199016 h 3004864"/>
                  <a:gd name="connsiteX4" fmla="*/ 1540666 w 2542082"/>
                  <a:gd name="connsiteY4" fmla="*/ 1480326 h 3004864"/>
                  <a:gd name="connsiteX5" fmla="*/ 1532546 w 2542082"/>
                  <a:gd name="connsiteY5" fmla="*/ 1629595 h 3004864"/>
                  <a:gd name="connsiteX6" fmla="*/ 1412169 w 2542082"/>
                  <a:gd name="connsiteY6" fmla="*/ 1713155 h 3004864"/>
                  <a:gd name="connsiteX7" fmla="*/ 765748 w 2542082"/>
                  <a:gd name="connsiteY7" fmla="*/ 2985540 h 3004864"/>
                  <a:gd name="connsiteX8" fmla="*/ 766799 w 2542082"/>
                  <a:gd name="connsiteY8" fmla="*/ 3004864 h 3004864"/>
                  <a:gd name="connsiteX9" fmla="*/ 646421 w 2542082"/>
                  <a:gd name="connsiteY9" fmla="*/ 2921303 h 3004864"/>
                  <a:gd name="connsiteX10" fmla="*/ 0 w 2542082"/>
                  <a:gd name="connsiteY10" fmla="*/ 1648918 h 3004864"/>
                  <a:gd name="connsiteX11" fmla="*/ 1776335 w 2542082"/>
                  <a:gd name="connsiteY11" fmla="*/ 0 h 3004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2" h="3004864">
                    <a:moveTo>
                      <a:pt x="1776335" y="0"/>
                    </a:moveTo>
                    <a:cubicBezTo>
                      <a:pt x="2021596" y="0"/>
                      <a:pt x="2255247" y="46140"/>
                      <a:pt x="2467765" y="129580"/>
                    </a:cubicBezTo>
                    <a:lnTo>
                      <a:pt x="2542082" y="162813"/>
                    </a:lnTo>
                    <a:lnTo>
                      <a:pt x="2461123" y="199016"/>
                    </a:lnTo>
                    <a:cubicBezTo>
                      <a:pt x="1957734" y="452858"/>
                      <a:pt x="1601310" y="926008"/>
                      <a:pt x="1540666" y="1480326"/>
                    </a:cubicBezTo>
                    <a:lnTo>
                      <a:pt x="1532546" y="1629595"/>
                    </a:lnTo>
                    <a:lnTo>
                      <a:pt x="1412169" y="1713155"/>
                    </a:lnTo>
                    <a:cubicBezTo>
                      <a:pt x="1017384" y="2015591"/>
                      <a:pt x="765748" y="2473287"/>
                      <a:pt x="765748" y="2985540"/>
                    </a:cubicBezTo>
                    <a:lnTo>
                      <a:pt x="766799" y="3004864"/>
                    </a:lnTo>
                    <a:lnTo>
                      <a:pt x="646421" y="2921303"/>
                    </a:lnTo>
                    <a:cubicBezTo>
                      <a:pt x="251636" y="2618867"/>
                      <a:pt x="0" y="2161171"/>
                      <a:pt x="0" y="1648918"/>
                    </a:cubicBezTo>
                    <a:cubicBezTo>
                      <a:pt x="0" y="738246"/>
                      <a:pt x="795292" y="0"/>
                      <a:pt x="1776335"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3" name="Forma libre: forma 32">
                <a:extLst>
                  <a:ext uri="{FF2B5EF4-FFF2-40B4-BE49-F238E27FC236}">
                    <a16:creationId xmlns:a16="http://schemas.microsoft.com/office/drawing/2014/main" id="{15581FA3-A38C-2C58-3648-4ECC92677BB2}"/>
                  </a:ext>
                </a:extLst>
              </xdr:cNvPr>
              <xdr:cNvSpPr/>
            </xdr:nvSpPr>
            <xdr:spPr>
              <a:xfrm>
                <a:off x="9169181" y="239548"/>
                <a:ext cx="2542083" cy="3004863"/>
              </a:xfrm>
              <a:custGeom>
                <a:avLst/>
                <a:gdLst>
                  <a:gd name="connsiteX0" fmla="*/ 765748 w 2542083"/>
                  <a:gd name="connsiteY0" fmla="*/ 0 h 3004863"/>
                  <a:gd name="connsiteX1" fmla="*/ 2542083 w 2542083"/>
                  <a:gd name="connsiteY1" fmla="*/ 1648918 h 3004863"/>
                  <a:gd name="connsiteX2" fmla="*/ 1895662 w 2542083"/>
                  <a:gd name="connsiteY2" fmla="*/ 2921303 h 3004863"/>
                  <a:gd name="connsiteX3" fmla="*/ 1775285 w 2542083"/>
                  <a:gd name="connsiteY3" fmla="*/ 3004863 h 3004863"/>
                  <a:gd name="connsiteX4" fmla="*/ 1776336 w 2542083"/>
                  <a:gd name="connsiteY4" fmla="*/ 2985540 h 3004863"/>
                  <a:gd name="connsiteX5" fmla="*/ 1129915 w 2542083"/>
                  <a:gd name="connsiteY5" fmla="*/ 1713155 h 3004863"/>
                  <a:gd name="connsiteX6" fmla="*/ 1009537 w 2542083"/>
                  <a:gd name="connsiteY6" fmla="*/ 1629594 h 3004863"/>
                  <a:gd name="connsiteX7" fmla="*/ 1001417 w 2542083"/>
                  <a:gd name="connsiteY7" fmla="*/ 1480326 h 3004863"/>
                  <a:gd name="connsiteX8" fmla="*/ 80960 w 2542083"/>
                  <a:gd name="connsiteY8" fmla="*/ 199016 h 3004863"/>
                  <a:gd name="connsiteX9" fmla="*/ 0 w 2542083"/>
                  <a:gd name="connsiteY9" fmla="*/ 162813 h 3004863"/>
                  <a:gd name="connsiteX10" fmla="*/ 74318 w 2542083"/>
                  <a:gd name="connsiteY10" fmla="*/ 129580 h 3004863"/>
                  <a:gd name="connsiteX11" fmla="*/ 765748 w 2542083"/>
                  <a:gd name="connsiteY11" fmla="*/ 0 h 30048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3" h="3004863">
                    <a:moveTo>
                      <a:pt x="765748" y="0"/>
                    </a:moveTo>
                    <a:cubicBezTo>
                      <a:pt x="1746791" y="0"/>
                      <a:pt x="2542083" y="738246"/>
                      <a:pt x="2542083" y="1648918"/>
                    </a:cubicBezTo>
                    <a:cubicBezTo>
                      <a:pt x="2542083" y="2161171"/>
                      <a:pt x="2290448" y="2618867"/>
                      <a:pt x="1895662" y="2921303"/>
                    </a:cubicBezTo>
                    <a:lnTo>
                      <a:pt x="1775285" y="3004863"/>
                    </a:lnTo>
                    <a:lnTo>
                      <a:pt x="1776336" y="2985540"/>
                    </a:lnTo>
                    <a:cubicBezTo>
                      <a:pt x="1776336" y="2473287"/>
                      <a:pt x="1524701" y="2015591"/>
                      <a:pt x="1129915" y="1713155"/>
                    </a:cubicBezTo>
                    <a:lnTo>
                      <a:pt x="1009537" y="1629594"/>
                    </a:lnTo>
                    <a:lnTo>
                      <a:pt x="1001417" y="1480326"/>
                    </a:lnTo>
                    <a:cubicBezTo>
                      <a:pt x="940773" y="926008"/>
                      <a:pt x="584349" y="452858"/>
                      <a:pt x="80960" y="199016"/>
                    </a:cubicBezTo>
                    <a:lnTo>
                      <a:pt x="0" y="162813"/>
                    </a:lnTo>
                    <a:lnTo>
                      <a:pt x="74318" y="129580"/>
                    </a:lnTo>
                    <a:cubicBezTo>
                      <a:pt x="286836" y="46140"/>
                      <a:pt x="520487" y="0"/>
                      <a:pt x="765748"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4" name="Forma libre: forma 33">
                <a:extLst>
                  <a:ext uri="{FF2B5EF4-FFF2-40B4-BE49-F238E27FC236}">
                    <a16:creationId xmlns:a16="http://schemas.microsoft.com/office/drawing/2014/main" id="{568F44BD-5506-FAC7-DBE3-BD730422540A}"/>
                  </a:ext>
                </a:extLst>
              </xdr:cNvPr>
              <xdr:cNvSpPr/>
            </xdr:nvSpPr>
            <xdr:spPr>
              <a:xfrm>
                <a:off x="8158594" y="1576170"/>
                <a:ext cx="2021175" cy="1798401"/>
              </a:xfrm>
              <a:custGeom>
                <a:avLst/>
                <a:gdLst>
                  <a:gd name="connsiteX0" fmla="*/ 1010588 w 2021175"/>
                  <a:gd name="connsiteY0" fmla="*/ 0 h 1798401"/>
                  <a:gd name="connsiteX1" fmla="*/ 2003754 w 2021175"/>
                  <a:gd name="connsiteY1" fmla="*/ 281609 h 1798401"/>
                  <a:gd name="connsiteX2" fmla="*/ 2020124 w 2021175"/>
                  <a:gd name="connsiteY2" fmla="*/ 292972 h 1798401"/>
                  <a:gd name="connsiteX3" fmla="*/ 2021175 w 2021175"/>
                  <a:gd name="connsiteY3" fmla="*/ 312296 h 1798401"/>
                  <a:gd name="connsiteX4" fmla="*/ 1091547 w 2021175"/>
                  <a:gd name="connsiteY4" fmla="*/ 1762198 h 1798401"/>
                  <a:gd name="connsiteX5" fmla="*/ 1010587 w 2021175"/>
                  <a:gd name="connsiteY5" fmla="*/ 1798401 h 1798401"/>
                  <a:gd name="connsiteX6" fmla="*/ 929628 w 2021175"/>
                  <a:gd name="connsiteY6" fmla="*/ 1762198 h 1798401"/>
                  <a:gd name="connsiteX7" fmla="*/ 0 w 2021175"/>
                  <a:gd name="connsiteY7" fmla="*/ 312296 h 1798401"/>
                  <a:gd name="connsiteX8" fmla="*/ 1051 w 2021175"/>
                  <a:gd name="connsiteY8" fmla="*/ 292973 h 1798401"/>
                  <a:gd name="connsiteX9" fmla="*/ 17422 w 2021175"/>
                  <a:gd name="connsiteY9" fmla="*/ 281609 h 1798401"/>
                  <a:gd name="connsiteX10" fmla="*/ 1010588 w 2021175"/>
                  <a:gd name="connsiteY10" fmla="*/ 0 h 1798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21175" h="1798401">
                    <a:moveTo>
                      <a:pt x="1010588" y="0"/>
                    </a:moveTo>
                    <a:cubicBezTo>
                      <a:pt x="1378479" y="0"/>
                      <a:pt x="1720249" y="103816"/>
                      <a:pt x="2003754" y="281609"/>
                    </a:cubicBezTo>
                    <a:lnTo>
                      <a:pt x="2020124" y="292972"/>
                    </a:lnTo>
                    <a:lnTo>
                      <a:pt x="2021175" y="312296"/>
                    </a:lnTo>
                    <a:cubicBezTo>
                      <a:pt x="2021175" y="938383"/>
                      <a:pt x="1645275" y="1482972"/>
                      <a:pt x="1091547" y="1762198"/>
                    </a:cubicBezTo>
                    <a:lnTo>
                      <a:pt x="1010587" y="1798401"/>
                    </a:lnTo>
                    <a:lnTo>
                      <a:pt x="929628" y="1762198"/>
                    </a:lnTo>
                    <a:cubicBezTo>
                      <a:pt x="375900" y="1482972"/>
                      <a:pt x="0" y="938383"/>
                      <a:pt x="0" y="312296"/>
                    </a:cubicBezTo>
                    <a:lnTo>
                      <a:pt x="1051" y="292973"/>
                    </a:lnTo>
                    <a:lnTo>
                      <a:pt x="17422" y="281609"/>
                    </a:lnTo>
                    <a:cubicBezTo>
                      <a:pt x="300927" y="103816"/>
                      <a:pt x="642697" y="0"/>
                      <a:pt x="1010588" y="0"/>
                    </a:cubicBezTo>
                    <a:close/>
                  </a:path>
                </a:pathLst>
              </a:custGeom>
              <a:solidFill>
                <a:srgbClr val="BECA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5" name="Forma libre: forma 34">
                <a:extLst>
                  <a:ext uri="{FF2B5EF4-FFF2-40B4-BE49-F238E27FC236}">
                    <a16:creationId xmlns:a16="http://schemas.microsoft.com/office/drawing/2014/main" id="{BF6EF3CF-08B7-B377-9C5D-FD1128F221A1}"/>
                  </a:ext>
                </a:extLst>
              </xdr:cNvPr>
              <xdr:cNvSpPr/>
            </xdr:nvSpPr>
            <xdr:spPr>
              <a:xfrm>
                <a:off x="7393898" y="3244411"/>
                <a:ext cx="3550568" cy="1629595"/>
              </a:xfrm>
              <a:custGeom>
                <a:avLst/>
                <a:gdLst>
                  <a:gd name="connsiteX0" fmla="*/ 3550568 w 3550568"/>
                  <a:gd name="connsiteY0" fmla="*/ 0 h 1629595"/>
                  <a:gd name="connsiteX1" fmla="*/ 3542448 w 3550568"/>
                  <a:gd name="connsiteY1" fmla="*/ 149269 h 1629595"/>
                  <a:gd name="connsiteX2" fmla="*/ 1775284 w 3550568"/>
                  <a:gd name="connsiteY2" fmla="*/ 1629595 h 1629595"/>
                  <a:gd name="connsiteX3" fmla="*/ 8120 w 3550568"/>
                  <a:gd name="connsiteY3" fmla="*/ 149269 h 1629595"/>
                  <a:gd name="connsiteX4" fmla="*/ 0 w 3550568"/>
                  <a:gd name="connsiteY4" fmla="*/ 1 h 1629595"/>
                  <a:gd name="connsiteX5" fmla="*/ 16370 w 3550568"/>
                  <a:gd name="connsiteY5" fmla="*/ 11364 h 1629595"/>
                  <a:gd name="connsiteX6" fmla="*/ 1009536 w 3550568"/>
                  <a:gd name="connsiteY6" fmla="*/ 292973 h 1629595"/>
                  <a:gd name="connsiteX7" fmla="*/ 1700966 w 3550568"/>
                  <a:gd name="connsiteY7" fmla="*/ 163393 h 1629595"/>
                  <a:gd name="connsiteX8" fmla="*/ 1775283 w 3550568"/>
                  <a:gd name="connsiteY8" fmla="*/ 130160 h 1629595"/>
                  <a:gd name="connsiteX9" fmla="*/ 1849601 w 3550568"/>
                  <a:gd name="connsiteY9" fmla="*/ 163393 h 1629595"/>
                  <a:gd name="connsiteX10" fmla="*/ 2541031 w 3550568"/>
                  <a:gd name="connsiteY10" fmla="*/ 292973 h 1629595"/>
                  <a:gd name="connsiteX11" fmla="*/ 3534197 w 3550568"/>
                  <a:gd name="connsiteY11" fmla="*/ 11364 h 1629595"/>
                  <a:gd name="connsiteX12" fmla="*/ 3550568 w 3550568"/>
                  <a:gd name="connsiteY12" fmla="*/ 0 h 1629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550568" h="1629595">
                    <a:moveTo>
                      <a:pt x="3550568" y="0"/>
                    </a:moveTo>
                    <a:lnTo>
                      <a:pt x="3542448" y="149269"/>
                    </a:lnTo>
                    <a:cubicBezTo>
                      <a:pt x="3451482" y="980746"/>
                      <a:pt x="2695012" y="1629595"/>
                      <a:pt x="1775284" y="1629595"/>
                    </a:cubicBezTo>
                    <a:cubicBezTo>
                      <a:pt x="855556" y="1629595"/>
                      <a:pt x="99086" y="980746"/>
                      <a:pt x="8120" y="149269"/>
                    </a:cubicBezTo>
                    <a:lnTo>
                      <a:pt x="0" y="1"/>
                    </a:lnTo>
                    <a:lnTo>
                      <a:pt x="16370" y="11364"/>
                    </a:lnTo>
                    <a:cubicBezTo>
                      <a:pt x="299875" y="189157"/>
                      <a:pt x="641645" y="292973"/>
                      <a:pt x="1009536" y="292973"/>
                    </a:cubicBezTo>
                    <a:cubicBezTo>
                      <a:pt x="1254797" y="292973"/>
                      <a:pt x="1488448" y="246833"/>
                      <a:pt x="1700966" y="163393"/>
                    </a:cubicBezTo>
                    <a:lnTo>
                      <a:pt x="1775283" y="130160"/>
                    </a:lnTo>
                    <a:lnTo>
                      <a:pt x="1849601" y="163393"/>
                    </a:lnTo>
                    <a:cubicBezTo>
                      <a:pt x="2062119" y="246833"/>
                      <a:pt x="2295770" y="292973"/>
                      <a:pt x="2541031" y="292973"/>
                    </a:cubicBezTo>
                    <a:cubicBezTo>
                      <a:pt x="2908922" y="292973"/>
                      <a:pt x="3250692" y="189157"/>
                      <a:pt x="3534197" y="11364"/>
                    </a:cubicBezTo>
                    <a:lnTo>
                      <a:pt x="3550568" y="0"/>
                    </a:ln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nvGrpSpPr>
            <xdr:cNvPr id="23" name="Grupo 22">
              <a:extLst>
                <a:ext uri="{FF2B5EF4-FFF2-40B4-BE49-F238E27FC236}">
                  <a16:creationId xmlns:a16="http://schemas.microsoft.com/office/drawing/2014/main" id="{DD4AEF0C-B10C-A8B9-D991-9529A1F6DE6D}"/>
                </a:ext>
              </a:extLst>
            </xdr:cNvPr>
            <xdr:cNvGrpSpPr/>
          </xdr:nvGrpSpPr>
          <xdr:grpSpPr>
            <a:xfrm>
              <a:off x="3575352" y="239547"/>
              <a:ext cx="5084164" cy="4634458"/>
              <a:chOff x="523604" y="239547"/>
              <a:chExt cx="5084164" cy="4634458"/>
            </a:xfrm>
          </xdr:grpSpPr>
          <xdr:sp macro="" textlink="">
            <xdr:nvSpPr>
              <xdr:cNvPr id="24" name="Elipse 23">
                <a:extLst>
                  <a:ext uri="{FF2B5EF4-FFF2-40B4-BE49-F238E27FC236}">
                    <a16:creationId xmlns:a16="http://schemas.microsoft.com/office/drawing/2014/main" id="{4E3DBF42-5E40-C347-B854-BB453442E205}"/>
                  </a:ext>
                </a:extLst>
              </xdr:cNvPr>
              <xdr:cNvSpPr/>
            </xdr:nvSpPr>
            <xdr:spPr>
              <a:xfrm>
                <a:off x="523604" y="239547"/>
                <a:ext cx="3552669" cy="3297836"/>
              </a:xfrm>
              <a:prstGeom prst="ellipse">
                <a:avLst/>
              </a:prstGeom>
              <a:noFill/>
              <a:ln w="19050">
                <a:solidFill>
                  <a:srgbClr val="4D947B">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5" name="Elipse 24">
                <a:extLst>
                  <a:ext uri="{FF2B5EF4-FFF2-40B4-BE49-F238E27FC236}">
                    <a16:creationId xmlns:a16="http://schemas.microsoft.com/office/drawing/2014/main" id="{06DC2029-39D5-DE35-7B99-7F42D9089A99}"/>
                  </a:ext>
                </a:extLst>
              </xdr:cNvPr>
              <xdr:cNvSpPr/>
            </xdr:nvSpPr>
            <xdr:spPr>
              <a:xfrm>
                <a:off x="2055099" y="239547"/>
                <a:ext cx="3552669" cy="3297836"/>
              </a:xfrm>
              <a:prstGeom prst="ellipse">
                <a:avLst/>
              </a:prstGeom>
              <a:noFill/>
              <a:ln>
                <a:solidFill>
                  <a:srgbClr val="AFA927">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6" name="Elipse 25">
                <a:extLst>
                  <a:ext uri="{FF2B5EF4-FFF2-40B4-BE49-F238E27FC236}">
                    <a16:creationId xmlns:a16="http://schemas.microsoft.com/office/drawing/2014/main" id="{F44A9F4F-1E37-30A8-7FDB-DE0B3B675F16}"/>
                  </a:ext>
                </a:extLst>
              </xdr:cNvPr>
              <xdr:cNvSpPr/>
            </xdr:nvSpPr>
            <xdr:spPr>
              <a:xfrm>
                <a:off x="1289352" y="1576169"/>
                <a:ext cx="3552669" cy="3297836"/>
              </a:xfrm>
              <a:prstGeom prst="ellipse">
                <a:avLst/>
              </a:prstGeom>
              <a:noFill/>
              <a:ln>
                <a:solidFill>
                  <a:srgbClr val="786256">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sp macro="" textlink="$Q$137">
        <xdr:nvSpPr>
          <xdr:cNvPr id="20" name="Rectángulo 19">
            <a:extLst>
              <a:ext uri="{FF2B5EF4-FFF2-40B4-BE49-F238E27FC236}">
                <a16:creationId xmlns:a16="http://schemas.microsoft.com/office/drawing/2014/main" id="{CA9E4E4C-FD8F-19A1-79EE-CD7DDFC8E7BB}"/>
              </a:ext>
            </a:extLst>
          </xdr:cNvPr>
          <xdr:cNvSpPr/>
        </xdr:nvSpPr>
        <xdr:spPr>
          <a:xfrm>
            <a:off x="1748117"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AB5FD-64A0-451F-810B-6A268EF63418}"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9">
        <xdr:nvSpPr>
          <xdr:cNvPr id="36" name="Rectángulo 35">
            <a:extLst>
              <a:ext uri="{FF2B5EF4-FFF2-40B4-BE49-F238E27FC236}">
                <a16:creationId xmlns:a16="http://schemas.microsoft.com/office/drawing/2014/main" id="{66BB8732-B4F8-4CFE-BFAF-78E35FFEAC23}"/>
              </a:ext>
            </a:extLst>
          </xdr:cNvPr>
          <xdr:cNvSpPr/>
        </xdr:nvSpPr>
        <xdr:spPr>
          <a:xfrm>
            <a:off x="3036794" y="2696807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A99A5-4A81-43B1-A827-47FE10D7AC2A}"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5">
        <xdr:nvSpPr>
          <xdr:cNvPr id="37" name="Rectángulo 36">
            <a:extLst>
              <a:ext uri="{FF2B5EF4-FFF2-40B4-BE49-F238E27FC236}">
                <a16:creationId xmlns:a16="http://schemas.microsoft.com/office/drawing/2014/main" id="{8FF6CEF4-E796-4858-923B-674928982723}"/>
              </a:ext>
            </a:extLst>
          </xdr:cNvPr>
          <xdr:cNvSpPr/>
        </xdr:nvSpPr>
        <xdr:spPr>
          <a:xfrm>
            <a:off x="4428564"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8655-7CBE-4D83-9B86-321BEDABEDAE}"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1">
        <xdr:nvSpPr>
          <xdr:cNvPr id="38" name="Rectángulo 37">
            <a:extLst>
              <a:ext uri="{FF2B5EF4-FFF2-40B4-BE49-F238E27FC236}">
                <a16:creationId xmlns:a16="http://schemas.microsoft.com/office/drawing/2014/main" id="{CCE9E713-D289-4FB6-B50C-F828877A3731}"/>
              </a:ext>
            </a:extLst>
          </xdr:cNvPr>
          <xdr:cNvSpPr/>
        </xdr:nvSpPr>
        <xdr:spPr>
          <a:xfrm>
            <a:off x="3036794" y="2786678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86150-E99F-4EDF-8AF4-A42A480808FB}"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6">
        <xdr:nvSpPr>
          <xdr:cNvPr id="39" name="Rectángulo 38">
            <a:extLst>
              <a:ext uri="{FF2B5EF4-FFF2-40B4-BE49-F238E27FC236}">
                <a16:creationId xmlns:a16="http://schemas.microsoft.com/office/drawing/2014/main" id="{D7022232-7633-470D-AC59-79A9CAAB76C7}"/>
              </a:ext>
            </a:extLst>
          </xdr:cNvPr>
          <xdr:cNvSpPr/>
        </xdr:nvSpPr>
        <xdr:spPr>
          <a:xfrm>
            <a:off x="3036794" y="29128568"/>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4954D-3CC5-4A0F-A86A-F886C203DAB3}"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0">
        <xdr:nvSpPr>
          <xdr:cNvPr id="40" name="Rectángulo 39">
            <a:extLst>
              <a:ext uri="{FF2B5EF4-FFF2-40B4-BE49-F238E27FC236}">
                <a16:creationId xmlns:a16="http://schemas.microsoft.com/office/drawing/2014/main" id="{DE3B68EA-F957-4994-8F5B-A4DD4203C160}"/>
              </a:ext>
            </a:extLst>
          </xdr:cNvPr>
          <xdr:cNvSpPr/>
        </xdr:nvSpPr>
        <xdr:spPr>
          <a:xfrm>
            <a:off x="2073088"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A8EE-E92F-471A-BEAE-4AF2F38805C6}"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8">
        <xdr:nvSpPr>
          <xdr:cNvPr id="41" name="Rectángulo 40">
            <a:extLst>
              <a:ext uri="{FF2B5EF4-FFF2-40B4-BE49-F238E27FC236}">
                <a16:creationId xmlns:a16="http://schemas.microsoft.com/office/drawing/2014/main" id="{73989F5C-EDDA-43C6-AF67-C23AA72543D0}"/>
              </a:ext>
            </a:extLst>
          </xdr:cNvPr>
          <xdr:cNvSpPr/>
        </xdr:nvSpPr>
        <xdr:spPr>
          <a:xfrm>
            <a:off x="3973606"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AD7A93-3181-4FBC-A018-1EE8993B2BA1}"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grpSp>
    <xdr:clientData/>
  </xdr:twoCellAnchor>
  <xdr:twoCellAnchor editAs="absolute">
    <xdr:from>
      <xdr:col>1</xdr:col>
      <xdr:colOff>-1</xdr:colOff>
      <xdr:row>43</xdr:row>
      <xdr:rowOff>0</xdr:rowOff>
    </xdr:from>
    <xdr:to>
      <xdr:col>7</xdr:col>
      <xdr:colOff>-1</xdr:colOff>
      <xdr:row>46</xdr:row>
      <xdr:rowOff>0</xdr:rowOff>
    </xdr:to>
    <xdr:sp macro="" textlink="$X$2">
      <xdr:nvSpPr>
        <xdr:cNvPr id="43" name="Rectángulo 42">
          <a:extLst>
            <a:ext uri="{FF2B5EF4-FFF2-40B4-BE49-F238E27FC236}">
              <a16:creationId xmlns:a16="http://schemas.microsoft.com/office/drawing/2014/main" id="{3C1E4657-30A1-326E-2163-CAB5CD55B74B}"/>
            </a:ext>
          </a:extLst>
        </xdr:cNvPr>
        <xdr:cNvSpPr/>
      </xdr:nvSpPr>
      <xdr:spPr>
        <a:xfrm>
          <a:off x="324970" y="9648265"/>
          <a:ext cx="6387353" cy="571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D56F34-9384-41CE-B1E3-FAE1552480EE}" type="TxLink">
            <a:rPr lang="en-US" sz="1100" b="0" i="0" u="none" strike="noStrike">
              <a:solidFill>
                <a:srgbClr val="FF0000"/>
              </a:solidFill>
              <a:latin typeface="+mj-lt"/>
              <a:ea typeface="Calibri"/>
              <a:cs typeface="Calibri"/>
            </a:rPr>
            <a:pPr algn="l"/>
            <a:t> </a:t>
          </a:fld>
          <a:endParaRPr lang="es-CO" sz="1100">
            <a:solidFill>
              <a:srgbClr val="FF0000"/>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id="1" name="seguim_fciero" displayName="seguim_fciero" ref="A7:X275" totalsRowCount="0" totalsRowShown="0">
  <autoFilter ref="A7:X275"/>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323" totalsRowCount="0" totalsRowShown="0">
  <autoFilter ref="A7:W323"/>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tabSelected="1" zoomScale="85" zoomScaleNormal="85" workbookViewId="0">
      <selection activeCell="D16" sqref="D16:E16"/>
    </sheetView>
  </sheetViews>
  <sheetFormatPr baseColWidth="10" defaultColWidth="0" defaultRowHeight="15" zeroHeight="1" x14ac:dyDescent="0.25"/>
  <cols>
    <col min="1" max="1" width="4.85546875" style="1" customWidth="1"/>
    <col min="2" max="2" width="18.42578125" style="1" customWidth="1"/>
    <col min="3" max="12" width="15.42578125" style="1" customWidth="1"/>
    <col min="13" max="13" width="18.42578125" style="1" customWidth="1"/>
    <col min="14" max="14" width="4.85546875" style="1" customWidth="1"/>
    <col min="15" max="15" width="14.28515625" style="1" hidden="1"/>
    <col min="16" max="23" width="11.5703125" style="1" hidden="1"/>
    <col min="24" max="27" width="8" style="1" hidden="1"/>
    <col min="28" max="16384" width="11.5703125" style="1" hidden="1"/>
  </cols>
  <sheetData>
    <row r="1" spans="2:28" ht="75.599999999999994" customHeight="1" x14ac:dyDescent="0.25">
      <c r="D1" s="80" t="str">
        <f>CONCATENATE("Informe de Seguimiento al PDT
Vigencia ",X1)</f>
        <v>Informe de Seguimiento al PDT
Vigencia (Dar clic en Habilitar Edición)</v>
      </c>
      <c r="E1" s="80"/>
      <c r="F1" s="80"/>
      <c r="G1" s="80"/>
      <c r="H1" s="80"/>
      <c r="I1" s="80"/>
      <c r="J1" s="80"/>
      <c r="K1" s="80"/>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2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00000000000001" customHeight="1" x14ac:dyDescent="0.3">
      <c r="B3" s="4"/>
      <c r="C3" s="78" t="inlineStr">
        <is>
          <t>CAJICA IDEAL</t>
        </is>
      </c>
      <c r="D3" s="78"/>
      <c r="E3" s="78"/>
      <c r="F3" s="78"/>
      <c r="G3" s="78"/>
      <c r="H3" s="78"/>
      <c r="I3" s="78"/>
      <c r="J3" s="78"/>
      <c r="K3" s="78"/>
      <c r="L3" s="78"/>
      <c r="M3" s="4"/>
      <c r="Q3" s="1" t="s">
        <v>52</v>
      </c>
      <c r="S3" s="1" t="str">
        <f>IF(S2=".",",",".")</f>
        <v>,</v>
      </c>
      <c r="U3" s="1" t="str">
        <f>_xlfn.CONCAT("#",$S$3,"##0",$S$2,"0")</f>
        <v>#,##0.0</v>
      </c>
      <c r="X3" s="1">
        <f>IFERROR(INDEX(X5:AB5,MATCH($D$16,$C$23:$G$23,0)),0)</f>
        <v>0</v>
      </c>
    </row>
    <row r="4" spans="2:28" ht="18.600000000000001" customHeight="1" x14ac:dyDescent="0.3">
      <c r="B4" s="4"/>
      <c r="C4" s="78"/>
      <c r="D4" s="78"/>
      <c r="E4" s="78"/>
      <c r="F4" s="78"/>
      <c r="G4" s="78"/>
      <c r="H4" s="78"/>
      <c r="I4" s="78"/>
      <c r="J4" s="78"/>
      <c r="K4" s="78"/>
      <c r="L4" s="78"/>
      <c r="M4" s="4"/>
      <c r="Q4" s="1" t="s">
        <v>53</v>
      </c>
      <c r="X4" s="1">
        <v>2024</v>
      </c>
      <c r="Y4" s="1">
        <v>2025</v>
      </c>
      <c r="Z4" s="1">
        <v>2026</v>
      </c>
      <c r="AA4" s="1">
        <v>2027</v>
      </c>
      <c r="AB4" s="1" t="s">
        <v>6</v>
      </c>
    </row>
    <row r="5" spans="2:28" ht="25.5" x14ac:dyDescent="0.5">
      <c r="B5" s="79" t="inlineStr">
        <is>
          <t>Cajicá, Cundinamarca</t>
        </is>
      </c>
      <c r="C5" s="79"/>
      <c r="D5" s="79"/>
      <c r="E5" s="79"/>
      <c r="F5" s="79"/>
      <c r="G5" s="79"/>
      <c r="H5" s="79"/>
      <c r="I5" s="79"/>
      <c r="J5" s="79"/>
      <c r="K5" s="79"/>
      <c r="L5" s="79"/>
      <c r="M5" s="79"/>
      <c r="Q5" s="2" t="s">
        <v>6</v>
      </c>
      <c r="X5" s="1">
        <v>0</v>
      </c>
      <c r="Y5" s="1">
        <v>0</v>
      </c>
      <c r="Z5" s="1">
        <v>0</v>
      </c>
      <c r="AA5" s="1">
        <v>0</v>
      </c>
      <c r="AB5" s="1">
        <f>IFERROR(SUM(X5:AA5),0)</f>
        <v>0</v>
      </c>
    </row>
    <row r="6" spans="2:28" x14ac:dyDescent="0.25">
      <c r="P6" t="inlineStr">
        <is>
          <t>LineaEstrategica</t>
        </is>
      </c>
      <c r="Q6" t="inlineStr">
        <is>
          <t>2024</t>
        </is>
      </c>
      <c r="R6" t="inlineStr">
        <is>
          <t>2025</t>
        </is>
      </c>
      <c r="S6" t="inlineStr">
        <is>
          <t>2026</t>
        </is>
      </c>
      <c r="T6" t="inlineStr">
        <is>
          <t>2027</t>
        </is>
      </c>
    </row>
    <row r="7" spans="2:28" x14ac:dyDescent="0.25">
      <c r="E7" s="28"/>
      <c r="F7" s="28"/>
      <c r="G7" s="28"/>
      <c r="H7" s="30" t="s">
        <v>49</v>
      </c>
      <c r="I7" s="22" t="inlineStr">
        <is>
          <t>31 de diciembre de 2025</t>
        </is>
      </c>
      <c r="J7" s="28"/>
      <c r="O7" s="5"/>
      <c r="P7" s="6" t="inlineStr">
        <is>
          <t>Cajicá Desarrollo Social ideal</t>
        </is>
      </c>
      <c r="Q7" s="6">
        <v>39697.95269288</v>
      </c>
      <c r="R7" s="6">
        <v>82242.57708108</v>
      </c>
      <c r="S7" s="6">
        <v>49198.0199367039</v>
      </c>
      <c r="T7" s="6">
        <v>50673.9605348049</v>
      </c>
      <c r="U7" s="7">
        <f t="shared" ref="U7" si="0">SUM(Q7:T7)</f>
        <v>0</v>
      </c>
      <c r="V7" s="8">
        <f t="shared" ref="V7:V70" si="1">IF(P7="","",INDEX(Q7:U7,MATCH($D$16,$C$23:$G$23,0)))</f>
        <v>0</v>
      </c>
      <c r="W7" s="42" t="str">
        <f>IFERROR(IF(P7="","",CONCATENATE(TEXT(V7,$U$2)," (",TEXT(V7*100/$I$23,$U$3),"%)")),"")</f>
      </c>
    </row>
    <row r="8" spans="2:28" x14ac:dyDescent="0.25">
      <c r="P8" s="6" t="inlineStr">
        <is>
          <t>Cajicá Ideal Ambiental Y Sostenible</t>
        </is>
      </c>
      <c r="Q8" s="6">
        <v>33383.9957371</v>
      </c>
      <c r="R8" s="6">
        <v>32077.12922432</v>
      </c>
      <c r="S8" s="6">
        <v>14493.2817339556</v>
      </c>
      <c r="T8" s="6">
        <v>14928.0801859742</v>
      </c>
      <c r="U8" s="7">
        <f t="shared" ref="U8" si="2">SUM(Q8:T8)</f>
        <v>0</v>
      </c>
      <c r="V8" s="8" t="str">
        <f t="shared" si="1"/>
      </c>
      <c r="W8" s="42" t="str">
        <f t="shared" ref="W8:W71" si="3">IFERROR(IF(P8="","",CONCATENATE(TEXT(V8,$U$2)," (",TEXT(V8*100/$I$23,$U$3),"%)")),"")</f>
      </c>
    </row>
    <row r="9" spans="2:28" ht="30" customHeight="1" x14ac:dyDescent="0.25">
      <c r="B9" s="77" t="s">
        <v>128</v>
      </c>
      <c r="C9" s="77"/>
      <c r="D9" s="77"/>
      <c r="E9" s="77"/>
      <c r="F9" s="77"/>
      <c r="G9" s="77"/>
      <c r="H9" s="77"/>
      <c r="I9" s="77"/>
      <c r="J9" s="77"/>
      <c r="K9" s="77"/>
      <c r="L9" s="77"/>
      <c r="M9" s="77"/>
      <c r="P9" s="6" t="inlineStr">
        <is>
          <t>Cajicá Ideal Productiva e innovadora</t>
        </is>
      </c>
      <c r="Q9" s="6">
        <v>3431.9877</v>
      </c>
      <c r="R9" s="6">
        <v>4033.15933147</v>
      </c>
      <c r="S9" s="6">
        <v>1988.537231954</v>
      </c>
      <c r="T9" s="6">
        <v>2048.1933489126</v>
      </c>
      <c r="U9" s="7">
        <f t="shared" ref="U9:U40" si="4">SUM(Q9:T9)</f>
        <v>0</v>
      </c>
      <c r="V9" s="8" t="str">
        <f t="shared" si="1"/>
      </c>
      <c r="W9" s="42" t="str">
        <f t="shared" si="3"/>
      </c>
    </row>
    <row r="10" spans="2:28" ht="30" customHeight="1" x14ac:dyDescent="0.25">
      <c r="B10" s="77"/>
      <c r="C10" s="77"/>
      <c r="D10" s="77"/>
      <c r="E10" s="77"/>
      <c r="F10" s="77"/>
      <c r="G10" s="77"/>
      <c r="H10" s="77"/>
      <c r="I10" s="77"/>
      <c r="J10" s="77"/>
      <c r="K10" s="77"/>
      <c r="L10" s="77"/>
      <c r="M10" s="77"/>
      <c r="P10" s="6" t="inlineStr">
        <is>
          <t>Cajicá Ideal en Cultura Ciudadana, Gobernanza y Cercanía</t>
        </is>
      </c>
      <c r="Q10" s="6">
        <v>30977.96964394</v>
      </c>
      <c r="R10" s="6">
        <v>33787.88079265</v>
      </c>
      <c r="S10" s="6">
        <v>27224.5952853945</v>
      </c>
      <c r="T10" s="6">
        <v>28041.3331439564</v>
      </c>
      <c r="U10" s="7">
        <f t="shared" si="4"/>
        <v>0</v>
      </c>
      <c r="V10" s="8" t="str">
        <f t="shared" si="1"/>
      </c>
      <c r="W10" s="42" t="str">
        <f t="shared" si="3"/>
      </c>
    </row>
    <row r="11" spans="2:28" x14ac:dyDescent="0.25">
      <c r="P11" s="6" t="inlineStr">
        <is>
          <t>Cajicá Territorio Ideal de Movilidad</t>
        </is>
      </c>
      <c r="Q11" s="6">
        <v>4791.367049</v>
      </c>
      <c r="R11" s="6">
        <v>21533.81569102</v>
      </c>
      <c r="S11" s="6">
        <v>3547.8140107792</v>
      </c>
      <c r="T11" s="6">
        <v>3654.2484311025</v>
      </c>
      <c r="U11" s="7">
        <f t="shared" si="4"/>
        <v>0</v>
      </c>
      <c r="V11" s="8" t="str">
        <f t="shared" si="1"/>
      </c>
      <c r="W11" s="42" t="str">
        <f t="shared" si="3"/>
      </c>
    </row>
    <row r="12" spans="2:28" ht="17.25" x14ac:dyDescent="0.3">
      <c r="B12" s="11" t="s">
        <v>105</v>
      </c>
      <c r="C12" s="12"/>
      <c r="D12" s="12"/>
      <c r="E12" s="12"/>
      <c r="F12" s="12"/>
      <c r="G12" s="12"/>
      <c r="H12" s="12"/>
      <c r="I12" s="12"/>
      <c r="J12" s="12"/>
      <c r="K12" s="12"/>
      <c r="L12" s="12"/>
      <c r="M12" s="12"/>
      <c r="P12" s="6"/>
      <c r="Q12" s="6"/>
      <c r="R12" s="6"/>
      <c r="S12" s="6"/>
      <c r="T12" s="6"/>
      <c r="U12" s="7">
        <f t="shared" si="4"/>
        <v>0</v>
      </c>
      <c r="V12" s="8" t="str">
        <f t="shared" si="1"/>
      </c>
      <c r="W12" s="42" t="str">
        <f t="shared" si="3"/>
      </c>
    </row>
    <row r="13" spans="2:28" x14ac:dyDescent="0.25">
      <c r="P13" s="6"/>
      <c r="Q13" s="6"/>
      <c r="R13" s="6"/>
      <c r="S13" s="6"/>
      <c r="T13" s="6"/>
      <c r="U13" s="7">
        <f t="shared" si="4"/>
        <v>0</v>
      </c>
      <c r="V13" s="8" t="str">
        <f t="shared" si="1"/>
      </c>
      <c r="W13" s="42" t="str">
        <f t="shared" si="3"/>
      </c>
    </row>
    <row r="14" spans="2:28" x14ac:dyDescent="0.25">
      <c r="B14" s="28" t="s">
        <v>4</v>
      </c>
      <c r="C14" s="28"/>
      <c r="D14" s="28"/>
      <c r="E14" s="28"/>
      <c r="F14" s="28"/>
      <c r="G14" s="28"/>
      <c r="H14" s="28"/>
      <c r="I14" s="28"/>
      <c r="U14" s="7">
        <f t="shared" si="4"/>
        <v>0</v>
      </c>
      <c r="V14" s="8" t="str">
        <f t="shared" si="1"/>
      </c>
      <c r="W14" s="42" t="str">
        <f t="shared" si="3"/>
      </c>
    </row>
    <row r="15" spans="2:28" x14ac:dyDescent="0.25">
      <c r="B15" s="28"/>
      <c r="C15" s="29"/>
      <c r="D15" s="28"/>
      <c r="E15" s="28"/>
      <c r="F15" s="28"/>
      <c r="G15" s="28"/>
      <c r="H15" s="35"/>
      <c r="I15" s="35"/>
      <c r="J15" s="3"/>
      <c r="U15" s="7">
        <f t="shared" si="4"/>
        <v>0</v>
      </c>
      <c r="V15" s="8" t="str">
        <f t="shared" si="1"/>
      </c>
      <c r="W15" s="42" t="str">
        <f t="shared" si="3"/>
      </c>
    </row>
    <row r="16" spans="2:28" x14ac:dyDescent="0.25">
      <c r="B16" s="81" t="s">
        <v>5</v>
      </c>
      <c r="C16" s="81"/>
      <c r="D16" s="82" t="s">
        <v>6</v>
      </c>
      <c r="E16" s="83"/>
      <c r="F16" s="28"/>
      <c r="G16" s="28"/>
      <c r="H16" s="35"/>
      <c r="I16" s="35"/>
      <c r="J16" s="3"/>
      <c r="U16" s="7">
        <f t="shared" si="4"/>
        <v>0</v>
      </c>
      <c r="V16" s="8" t="str">
        <f t="shared" si="1"/>
      </c>
      <c r="W16" s="42" t="str">
        <f t="shared" si="3"/>
      </c>
    </row>
    <row r="17" spans="1:23" x14ac:dyDescent="0.25">
      <c r="B17" s="28"/>
      <c r="C17" s="28"/>
      <c r="D17" s="28"/>
      <c r="E17" s="28"/>
      <c r="F17" s="28"/>
      <c r="G17" s="28"/>
      <c r="H17" s="35"/>
      <c r="I17" s="35"/>
      <c r="J17" s="3"/>
      <c r="U17" s="7">
        <f t="shared" si="4"/>
        <v>0</v>
      </c>
      <c r="V17" s="8" t="str">
        <f t="shared" si="1"/>
      </c>
      <c r="W17" s="42" t="str">
        <f t="shared" si="3"/>
      </c>
    </row>
    <row r="18" spans="1:23" ht="21" customHeight="1" x14ac:dyDescent="0.25">
      <c r="B18" s="76" t="str">
        <f>CONCATENATE("Monto total programado ",D16," (en millones de pesos): ",TEXT(I23,$U$2))</f>
        <v>Monto total programado Total Cuatrienio (en millones de pesos): 0</v>
      </c>
      <c r="C18" s="76"/>
      <c r="D18" s="76"/>
      <c r="E18" s="76"/>
      <c r="F18" s="76"/>
      <c r="G18" s="76"/>
      <c r="H18" s="35"/>
      <c r="I18" s="35"/>
      <c r="J18" s="3"/>
      <c r="U18" s="7">
        <f t="shared" si="4"/>
        <v>0</v>
      </c>
      <c r="V18" s="8" t="str">
        <f t="shared" si="1"/>
      </c>
      <c r="W18" s="42" t="str">
        <f t="shared" si="3"/>
      </c>
    </row>
    <row r="19" spans="1:23" x14ac:dyDescent="0.25">
      <c r="A19" s="3"/>
      <c r="B19" s="36"/>
      <c r="C19" s="36"/>
      <c r="D19" s="36"/>
      <c r="E19" s="3"/>
      <c r="F19" s="3"/>
      <c r="G19" s="3"/>
      <c r="H19" s="3"/>
      <c r="I19" s="3"/>
      <c r="J19" s="3"/>
      <c r="U19" s="7">
        <f t="shared" si="4"/>
        <v>0</v>
      </c>
      <c r="V19" s="8" t="str">
        <f t="shared" si="1"/>
      </c>
      <c r="W19" s="42" t="str">
        <f t="shared" si="3"/>
      </c>
    </row>
    <row r="20" spans="1:23" x14ac:dyDescent="0.25">
      <c r="A20" s="3"/>
      <c r="B20" s="36"/>
      <c r="C20" s="36"/>
      <c r="D20" s="36"/>
      <c r="E20" s="3"/>
      <c r="F20" s="3"/>
      <c r="G20" s="3"/>
      <c r="H20" s="3"/>
      <c r="I20" s="3"/>
      <c r="J20" s="3"/>
      <c r="U20" s="7">
        <f t="shared" si="4"/>
        <v>0</v>
      </c>
      <c r="V20" s="8" t="str">
        <f t="shared" si="1"/>
      </c>
      <c r="W20" s="42" t="str">
        <f t="shared" si="3"/>
      </c>
    </row>
    <row r="21" spans="1:23" x14ac:dyDescent="0.25">
      <c r="A21" s="3"/>
      <c r="B21" s="3"/>
      <c r="C21" s="3"/>
      <c r="D21" s="3"/>
      <c r="E21" s="3"/>
      <c r="F21" s="3"/>
      <c r="G21" s="3"/>
      <c r="H21" s="3"/>
      <c r="I21" s="3"/>
      <c r="J21" s="3"/>
      <c r="U21" s="7">
        <f t="shared" si="4"/>
        <v>0</v>
      </c>
      <c r="V21" s="8" t="str">
        <f t="shared" si="1"/>
      </c>
      <c r="W21" s="42" t="str">
        <f t="shared" si="3"/>
      </c>
    </row>
    <row r="22" spans="1:23" x14ac:dyDescent="0.2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2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25">
      <c r="A24" s="9"/>
      <c r="B24" s="9" t="inlineStr">
        <is>
          <t xml:space="preserve">Agricultura y desarrollo rural
</t>
        </is>
      </c>
      <c r="C24" s="9">
        <v>228.281898</v>
      </c>
      <c r="D24" s="14">
        <v>401.5</v>
      </c>
      <c r="E24" s="14">
        <v>201.571</v>
      </c>
      <c r="F24" s="14">
        <v>207.61813</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25">
      <c r="A25" s="9"/>
      <c r="B25" s="9" t="inlineStr">
        <is>
          <t>Ambiente y desarrollo sostenible</t>
        </is>
      </c>
      <c r="C25" s="9">
        <v>6078.756855</v>
      </c>
      <c r="D25" s="14">
        <v>2194.43536131</v>
      </c>
      <c r="E25" s="14">
        <v>1889.6332221493</v>
      </c>
      <c r="F25" s="14">
        <v>1946.3222188138</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25">
      <c r="A26" s="9"/>
      <c r="B26" s="9" t="inlineStr">
        <is>
          <t xml:space="preserve">Ciencia, tecnología e innovación
</t>
        </is>
      </c>
      <c r="C26" s="9">
        <v>173.916765</v>
      </c>
      <c r="D26" s="14">
        <v>207.5525</v>
      </c>
      <c r="E26" s="14">
        <v>169.744</v>
      </c>
      <c r="F26" s="14">
        <v>174.83632</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25">
      <c r="A27" s="9"/>
      <c r="B27" s="9" t="inlineStr">
        <is>
          <t>Comercio, industria y turismo</t>
        </is>
      </c>
      <c r="C27" s="9">
        <v>2915.317483</v>
      </c>
      <c r="D27" s="9">
        <v>3123.92982667</v>
      </c>
      <c r="E27" s="9">
        <v>1124.554</v>
      </c>
      <c r="F27" s="9">
        <v>1158.29062</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25">
      <c r="A28" s="9"/>
      <c r="B28" s="9" t="inlineStr">
        <is>
          <t>Cultura</t>
        </is>
      </c>
      <c r="C28" s="9">
        <v>3880.6918756</v>
      </c>
      <c r="D28" s="9">
        <v>11020.8651994</v>
      </c>
      <c r="E28" s="9">
        <v>4741.7894218399</v>
      </c>
      <c r="F28" s="9">
        <v>4884.043104495</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2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25">
      <c r="A30" s="9"/>
      <c r="B30" s="9" t="inlineStr">
        <is>
          <t>Deporte y Recreación</t>
        </is>
      </c>
      <c r="C30" s="9">
        <v>5917.522766</v>
      </c>
      <c r="D30" s="9">
        <v>12452.65702552</v>
      </c>
      <c r="E30" s="9">
        <v>5710.7113789056</v>
      </c>
      <c r="F30" s="9">
        <v>5882.0327202728</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25">
      <c r="A31" s="9"/>
      <c r="B31" s="9" t="inlineStr">
        <is>
          <t>Educación</t>
        </is>
      </c>
      <c r="C31" s="9">
        <v>4052.95121413</v>
      </c>
      <c r="D31" s="9">
        <v>8013.4360653</v>
      </c>
      <c r="E31" s="9">
        <v>4545.2625737972</v>
      </c>
      <c r="F31" s="9">
        <v>4681.6204510111</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25">
      <c r="A32" s="9"/>
      <c r="B32" s="9" t="inlineStr">
        <is>
          <t>Gobierno Territorial</t>
        </is>
      </c>
      <c r="C32" s="9">
        <v>25072.26930242</v>
      </c>
      <c r="D32" s="9">
        <v>24885.26528885</v>
      </c>
      <c r="E32" s="9">
        <v>20090.0427853945</v>
      </c>
      <c r="F32" s="9">
        <v>20692.7440689564</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25">
      <c r="A33" s="9"/>
      <c r="B33" s="9" t="inlineStr">
        <is>
          <t xml:space="preserve">Inclusión social y reconciliación </t>
        </is>
      </c>
      <c r="C33" s="9">
        <v>7809.39613513</v>
      </c>
      <c r="D33" s="9">
        <v>22577.69712904</v>
      </c>
      <c r="E33" s="9">
        <v>7121.8115398328</v>
      </c>
      <c r="F33" s="9">
        <v>7335.4658860278</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25">
      <c r="A34" s="9"/>
      <c r="B34" s="9" t="inlineStr">
        <is>
          <t>Información Estadística</t>
        </is>
      </c>
      <c r="C34" s="9">
        <v>1800</v>
      </c>
      <c r="D34" s="9">
        <v>721</v>
      </c>
      <c r="E34" s="9">
        <v>742.63</v>
      </c>
      <c r="F34" s="9">
        <v>764.9089</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25">
      <c r="A35" s="9"/>
      <c r="B35" s="9" t="inlineStr">
        <is>
          <t>Justicia y del derecho</t>
        </is>
      </c>
      <c r="C35" s="9">
        <v>2826.35542052</v>
      </c>
      <c r="D35" s="9">
        <v>5588.45575107</v>
      </c>
      <c r="E35" s="9">
        <v>4455.78</v>
      </c>
      <c r="F35" s="9">
        <v>4589.4534</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25">
      <c r="A36" s="9"/>
      <c r="B36" s="9" t="inlineStr">
        <is>
          <t>Minas y Energía</t>
        </is>
      </c>
      <c r="C36" s="9">
        <v>2718.887144</v>
      </c>
      <c r="D36" s="9">
        <v>6886.72348489</v>
      </c>
      <c r="E36" s="9">
        <v>5158.6418187075</v>
      </c>
      <c r="F36" s="9">
        <v>5313.4010732687</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25">
      <c r="A37" s="9"/>
      <c r="B37" s="9" t="inlineStr">
        <is>
          <t>Organismos de Control</t>
        </is>
      </c>
      <c r="C37" s="9">
        <v>200.755418</v>
      </c>
      <c r="D37" s="9">
        <v>371.630667</v>
      </c>
      <c r="E37" s="9">
        <v>270.5295</v>
      </c>
      <c r="F37" s="9">
        <v>278.645385</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25">
      <c r="A38" s="9"/>
      <c r="B38" s="9" t="inlineStr">
        <is>
          <t>Salud y protección social</t>
        </is>
      </c>
      <c r="C38" s="9">
        <v>18037.39070202</v>
      </c>
      <c r="D38" s="9">
        <v>28177.92166182</v>
      </c>
      <c r="E38" s="9">
        <v>27078.4450223284</v>
      </c>
      <c r="F38" s="9">
        <v>27890.7983729982</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25">
      <c r="A39" s="9"/>
      <c r="B39" s="9" t="inlineStr">
        <is>
          <t>Tecnologías de la información y las comunicaciones</t>
        </is>
      </c>
      <c r="C39" s="9">
        <v>1078.589503</v>
      </c>
      <c r="D39" s="9">
        <v>2221.52908573</v>
      </c>
      <c r="E39" s="9">
        <v>1665.613</v>
      </c>
      <c r="F39" s="9">
        <v>1715.58139</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25">
      <c r="A40" s="9"/>
      <c r="B40" s="9" t="inlineStr">
        <is>
          <t>Trabajo</t>
        </is>
      </c>
      <c r="C40" s="9">
        <v>114.471554</v>
      </c>
      <c r="D40" s="9">
        <v>300.1770048</v>
      </c>
      <c r="E40" s="9">
        <v>492.668231954</v>
      </c>
      <c r="F40" s="9">
        <v>507.4482789126</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25">
      <c r="A41" s="9"/>
      <c r="B41" s="9" t="inlineStr">
        <is>
          <t>Transporte</t>
        </is>
      </c>
      <c r="C41" s="9">
        <v>4791.367049</v>
      </c>
      <c r="D41" s="9">
        <v>21533.81569102</v>
      </c>
      <c r="E41" s="9">
        <v>3547.8140107792</v>
      </c>
      <c r="F41" s="9">
        <v>3654.2484311025</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25">
      <c r="A42" s="9"/>
      <c r="B42" s="9" t="inlineStr">
        <is>
          <t>Vivienda, ciudad y territorio</t>
        </is>
      </c>
      <c r="C42" s="9">
        <v>24586.3517381</v>
      </c>
      <c r="D42" s="9">
        <v>22995.97037812</v>
      </c>
      <c r="E42" s="9">
        <v>7445.0066930988</v>
      </c>
      <c r="F42" s="9">
        <v>7668.3568938917</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25">
      <c r="A43" s="9"/>
      <c r="B43" s="9" t="inlineStr">
        <is>
          <t>Recursos Propios</t>
        </is>
      </c>
      <c r="C43" s="9">
        <v>86379.29858392</v>
      </c>
      <c r="D43" s="9">
        <v>112008.84262435</v>
      </c>
      <c r="E43" s="9">
        <v>65336.2100449108</v>
      </c>
      <c r="F43" s="9">
        <v>67296.2963462581</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25">
      <c r="A44" s="9"/>
      <c r="B44" s="9" t="inlineStr">
        <is>
          <t>SGP Educación</t>
        </is>
      </c>
      <c r="C44" s="9">
        <v>247.821961</v>
      </c>
      <c r="D44" s="9">
        <v>1687.92995123</v>
      </c>
      <c r="E44" s="9">
        <v>1222.2019359905</v>
      </c>
      <c r="F44" s="9">
        <v>1258.8679940702</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25">
      <c r="A45" s="9"/>
      <c r="B45" s="9" t="inlineStr">
        <is>
          <t>SGP Salud</t>
        </is>
      </c>
      <c r="C45" s="9">
        <v>4788.5447882</v>
      </c>
      <c r="D45" s="9">
        <v>19177.49239656</v>
      </c>
      <c r="E45" s="9">
        <v>9612.6365478574</v>
      </c>
      <c r="F45" s="9">
        <v>9901.0156442931</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25">
      <c r="A46" s="9"/>
      <c r="B46" s="9" t="inlineStr">
        <is>
          <t>SGP Deporte</t>
        </is>
      </c>
      <c r="C46" s="9">
        <v>412.867332</v>
      </c>
      <c r="D46" s="9">
        <v>475.25335196</v>
      </c>
      <c r="E46" s="9">
        <v>438.0109525188</v>
      </c>
      <c r="F46" s="9">
        <v>451.1512810944</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25">
      <c r="A47" s="9"/>
      <c r="B47" s="9" t="inlineStr">
        <is>
          <t>SGP Cultura</t>
        </is>
      </c>
      <c r="C47" s="9">
        <v>562.390254</v>
      </c>
      <c r="D47" s="9">
        <v>478.352443</v>
      </c>
      <c r="E47" s="9">
        <v>328.5082133282</v>
      </c>
      <c r="F47" s="9">
        <v>338.363459728</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25">
      <c r="A48" s="9"/>
      <c r="B48" s="9" t="inlineStr">
        <is>
          <t>SGP Libre Inversión</t>
        </is>
      </c>
      <c r="C48" s="9">
        <v>4077.709234</v>
      </c>
      <c r="D48" s="9">
        <v>5160.54800979</v>
      </c>
      <c r="E48" s="9">
        <v>4161.1040436241</v>
      </c>
      <c r="F48" s="9">
        <v>4285.9371649328</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25">
      <c r="A49" s="9"/>
      <c r="B49" s="9" t="inlineStr">
        <is>
          <t>SGP Libre Destinación</t>
        </is>
      </c>
      <c r="C49" s="9">
        <v>0</v>
      </c>
      <c r="D49" s="9">
        <v>0</v>
      </c>
      <c r="E49" s="9">
        <v>0</v>
      </c>
      <c r="F49" s="9">
        <v>0</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25">
      <c r="A50" s="9"/>
      <c r="B50" s="9" t="inlineStr">
        <is>
          <t>SGP Alimentación Escolar</t>
        </is>
      </c>
      <c r="C50" s="9">
        <v>379.56098113</v>
      </c>
      <c r="D50" s="9">
        <v>293.05365961</v>
      </c>
      <c r="E50" s="9">
        <v>107.1067273067</v>
      </c>
      <c r="F50" s="9">
        <v>110.3199291259</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2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25">
      <c r="A52" s="9"/>
      <c r="B52" s="9" t="inlineStr">
        <is>
          <t>SGP APSB</t>
        </is>
      </c>
      <c r="C52" s="9">
        <v>2398.489499</v>
      </c>
      <c r="D52" s="9">
        <v>2971.67865572</v>
      </c>
      <c r="E52" s="9">
        <v>1638.127126992</v>
      </c>
      <c r="F52" s="9">
        <v>1687.2709408017</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25">
      <c r="A53" s="9"/>
      <c r="B53" s="9" t="inlineStr">
        <is>
          <t>Crédito</t>
        </is>
      </c>
      <c r="C53" s="9">
        <v>0</v>
      </c>
      <c r="D53" s="9">
        <v>10246.133169</v>
      </c>
      <c r="E53" s="9">
        <v>0</v>
      </c>
      <c r="F53" s="9">
        <v>0</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25">
      <c r="A54" s="9"/>
      <c r="B54" s="9" t="inlineStr">
        <is>
          <t>Transf. capital - Cof. Territorial</t>
        </is>
      </c>
      <c r="C54" s="9">
        <v>2527.73873657</v>
      </c>
      <c r="D54" s="9">
        <v>20499.841932</v>
      </c>
      <c r="E54" s="9">
        <v>4708.1908087512</v>
      </c>
      <c r="F54" s="9">
        <v>4849.4365330137</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25">
      <c r="A55" s="9"/>
      <c r="B55" s="9" t="inlineStr">
        <is>
          <t>Transf. capital - Cof. Nación</t>
        </is>
      </c>
      <c r="C55" s="9">
        <v>0</v>
      </c>
      <c r="D55" s="9">
        <v>0</v>
      </c>
      <c r="E55" s="9">
        <v>0</v>
      </c>
      <c r="F55" s="9">
        <v>0</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25">
      <c r="A56" s="9"/>
      <c r="B56" s="9" t="inlineStr">
        <is>
          <t>Otros</t>
        </is>
      </c>
      <c r="C56" s="9">
        <v>10508.8514531</v>
      </c>
      <c r="D56" s="9">
        <v>675.43592732</v>
      </c>
      <c r="E56" s="9">
        <v>8900.1517975075</v>
      </c>
      <c r="F56" s="9">
        <v>9167.1563514327</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25">
      <c r="A57" s="9"/>
      <c r="B57" s="9" t="inlineStr">
        <is>
          <t>1. Fin de la pobreza</t>
        </is>
      </c>
      <c r="C57" s="9">
        <v>4879.0206028</v>
      </c>
      <c r="D57" s="9">
        <v>13278.6380249</v>
      </c>
      <c r="E57" s="9">
        <v>4175.9163135106</v>
      </c>
      <c r="F57" s="9">
        <v>4301.1938029159</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25">
      <c r="A58" s="9"/>
      <c r="B58" s="9" t="inlineStr">
        <is>
          <t>2. Hambre cero</t>
        </is>
      </c>
      <c r="C58" s="9">
        <v>2170.42767</v>
      </c>
      <c r="D58" s="9">
        <v>961.5</v>
      </c>
      <c r="E58" s="9">
        <v>74.263</v>
      </c>
      <c r="F58" s="9">
        <v>76.49089</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25">
      <c r="A59" s="9"/>
      <c r="B59" s="9" t="inlineStr">
        <is>
          <t>3. Salud y bienestar</t>
        </is>
      </c>
      <c r="C59" s="9">
        <v>21545.75177177</v>
      </c>
      <c r="D59" s="9">
        <v>30308.09469793</v>
      </c>
      <c r="E59" s="9">
        <v>29128.9479136217</v>
      </c>
      <c r="F59" s="9">
        <v>30002.8163510303</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25">
      <c r="A60" s="9"/>
      <c r="B60" s="9" t="inlineStr">
        <is>
          <t>4. Educación de calidad</t>
        </is>
      </c>
      <c r="C60" s="9">
        <v>6120.56920533</v>
      </c>
      <c r="D60" s="9">
        <v>11809.62063142</v>
      </c>
      <c r="E60" s="9">
        <v>8428.0393114593</v>
      </c>
      <c r="F60" s="9">
        <v>8680.880490803</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25">
      <c r="A61" s="9"/>
      <c r="B61" s="9" t="inlineStr">
        <is>
          <t>5. Igualdad de género</t>
        </is>
      </c>
      <c r="C61" s="9">
        <v>0</v>
      </c>
      <c r="D61" s="9">
        <v>0</v>
      </c>
      <c r="E61" s="9">
        <v>0</v>
      </c>
      <c r="F61" s="9">
        <v>0</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25">
      <c r="A62" s="9"/>
      <c r="B62" s="9" t="inlineStr">
        <is>
          <t>6. Agua limpia y saneamiento</t>
        </is>
      </c>
      <c r="C62" s="9">
        <v>17222.090941</v>
      </c>
      <c r="D62" s="9">
        <v>8127.11106863</v>
      </c>
      <c r="E62" s="9">
        <v>4279.234169636</v>
      </c>
      <c r="F62" s="9">
        <v>4407.611194725</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25">
      <c r="A63" s="9"/>
      <c r="B63" s="9" t="inlineStr">
        <is>
          <t>7. Energía asequible y no contaminante</t>
        </is>
      </c>
      <c r="C63" s="9">
        <v>2718.887144</v>
      </c>
      <c r="D63" s="9">
        <v>6886.72348489</v>
      </c>
      <c r="E63" s="9">
        <v>5158.6418187075</v>
      </c>
      <c r="F63" s="9">
        <v>5313.4010732687</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25">
      <c r="A64" s="9"/>
      <c r="B64" s="9" t="inlineStr">
        <is>
          <t>8. Trabajo decente y crecimiento económico</t>
        </is>
      </c>
      <c r="C64" s="9">
        <v>639.96224433</v>
      </c>
      <c r="D64" s="9">
        <v>1317.3020048</v>
      </c>
      <c r="E64" s="9">
        <v>1373.215231954</v>
      </c>
      <c r="F64" s="9">
        <v>1414.4116889126</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25">
      <c r="A65" s="9"/>
      <c r="B65" s="9" t="inlineStr">
        <is>
          <t>9. Industria, innovación e infraestructura</t>
        </is>
      </c>
      <c r="C65" s="9">
        <v>4048.754814</v>
      </c>
      <c r="D65" s="9">
        <v>20857.14419659</v>
      </c>
      <c r="E65" s="9">
        <v>3441.7240107792</v>
      </c>
      <c r="F65" s="9">
        <v>3544.9757311025</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25">
      <c r="A66" s="9"/>
      <c r="B66" s="9" t="inlineStr">
        <is>
          <t>10. Reducción de las desigualdades</t>
        </is>
      </c>
      <c r="C66" s="9">
        <v>632.946853</v>
      </c>
      <c r="D66" s="9">
        <v>6002.72001991</v>
      </c>
      <c r="E66" s="9">
        <v>151.7087</v>
      </c>
      <c r="F66" s="9">
        <v>156.259961</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25">
      <c r="A67" s="9"/>
      <c r="B67" s="9" t="inlineStr">
        <is>
          <t>11. Ciudades y comunidades sostenibles</t>
        </is>
      </c>
      <c r="C67" s="9">
        <v>14210.0396405</v>
      </c>
      <c r="D67" s="9">
        <v>33514.20398336</v>
      </c>
      <c r="E67" s="9">
        <v>7455.6712497538</v>
      </c>
      <c r="F67" s="9">
        <v>7679.3413872464</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25">
      <c r="A68" s="9"/>
      <c r="B68" s="9" t="inlineStr">
        <is>
          <t>12. Producción y consumo responsables</t>
        </is>
      </c>
      <c r="C68" s="9">
        <v>60</v>
      </c>
      <c r="D68" s="9">
        <v>142.34</v>
      </c>
      <c r="E68" s="9">
        <v>63.654</v>
      </c>
      <c r="F68" s="9">
        <v>65.56362</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25">
      <c r="A69" s="9"/>
      <c r="B69" s="9" t="inlineStr">
        <is>
          <t>13. Acción por el clima</t>
        </is>
      </c>
      <c r="C69" s="9">
        <v>0</v>
      </c>
      <c r="D69" s="9">
        <v>11.32</v>
      </c>
      <c r="E69" s="9">
        <v>10.609</v>
      </c>
      <c r="F69" s="9">
        <v>10.92727</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2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25">
      <c r="A71" s="9"/>
      <c r="B71" s="9" t="inlineStr">
        <is>
          <t>15. Vida de ecosistemas terrestres</t>
        </is>
      </c>
      <c r="C71" s="9">
        <v>5870.729225</v>
      </c>
      <c r="D71" s="9">
        <v>2453.71091807</v>
      </c>
      <c r="E71" s="9">
        <v>1679.7187656121</v>
      </c>
      <c r="F71" s="9">
        <v>1730.1103285805</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25">
      <c r="A72" s="9"/>
      <c r="B72" s="9" t="inlineStr">
        <is>
          <t>16. Paz, justicia e instituciones sólidas</t>
        </is>
      </c>
      <c r="C72" s="9">
        <v>31805.32371119</v>
      </c>
      <c r="D72" s="9">
        <v>37858.08775604</v>
      </c>
      <c r="E72" s="9">
        <v>30723.243713753</v>
      </c>
      <c r="F72" s="9">
        <v>31644.9410251657</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25">
      <c r="A73" s="9"/>
      <c r="B73" s="9" t="inlineStr">
        <is>
          <t>17. Alianzas para lograr los objetivos</t>
        </is>
      </c>
      <c r="C73" s="9">
        <v>358.769</v>
      </c>
      <c r="D73" s="9">
        <v>146.045334</v>
      </c>
      <c r="E73" s="9">
        <v>307.661</v>
      </c>
      <c r="F73" s="9">
        <v>316.89083</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2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25">
      <c r="K75" s="3"/>
      <c r="U75" s="7">
        <f t="shared" si="16"/>
        <v>0</v>
      </c>
      <c r="V75" s="8" t="str">
        <f t="shared" si="13"/>
      </c>
      <c r="W75" s="42" t="str">
        <f t="shared" si="15"/>
      </c>
    </row>
    <row r="76" spans="1:23" ht="17.25" x14ac:dyDescent="0.3">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25"/>
    <row r="78" spans="1:23" x14ac:dyDescent="0.2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 customHeight="1" x14ac:dyDescent="0.25">
      <c r="B79" s="70"/>
      <c r="C79" s="70"/>
      <c r="D79" s="70"/>
      <c r="E79" s="70"/>
      <c r="F79" s="70"/>
      <c r="G79" s="70"/>
      <c r="H79" s="70"/>
      <c r="I79" s="70"/>
      <c r="J79" s="70"/>
      <c r="K79" s="70"/>
      <c r="L79" s="70"/>
      <c r="M79" s="70"/>
    </row>
    <row r="80" spans="1:23" ht="15.6" customHeight="1" x14ac:dyDescent="0.2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 customHeight="1" x14ac:dyDescent="0.25">
      <c r="B81" s="70"/>
      <c r="C81" s="70"/>
      <c r="D81" s="70"/>
      <c r="E81" s="70"/>
      <c r="F81" s="70"/>
      <c r="G81" s="70"/>
      <c r="H81" s="70"/>
      <c r="I81" s="70"/>
      <c r="J81" s="70"/>
      <c r="K81" s="70"/>
      <c r="L81" s="70"/>
      <c r="M81" s="70"/>
    </row>
    <row r="82" spans="2:20" ht="15.6" customHeight="1" x14ac:dyDescent="0.25">
      <c r="F82" s="10"/>
      <c r="G82" s="10"/>
      <c r="H82" s="10"/>
      <c r="I82" s="10"/>
      <c r="J82" s="10"/>
      <c r="K82" s="10"/>
      <c r="L82" s="10"/>
      <c r="M82" s="10"/>
    </row>
    <row r="83" spans="2:20" ht="15.6" customHeight="1" x14ac:dyDescent="0.25">
      <c r="F83" s="10"/>
      <c r="G83" s="10"/>
      <c r="H83" s="10"/>
      <c r="I83" s="10"/>
      <c r="J83" s="10"/>
      <c r="K83" s="10"/>
      <c r="L83" s="10"/>
      <c r="M83" s="10"/>
    </row>
    <row r="84" spans="2:20" ht="15.6" customHeight="1" x14ac:dyDescent="0.25">
      <c r="D84" s="71" t="s">
        <v>82</v>
      </c>
      <c r="E84" s="71"/>
      <c r="F84" s="33"/>
      <c r="G84" s="33"/>
      <c r="H84" s="33"/>
      <c r="I84" s="34"/>
      <c r="J84" s="74" t="s">
        <v>88</v>
      </c>
      <c r="K84" s="74"/>
      <c r="L84" s="10"/>
      <c r="M84" s="10"/>
    </row>
    <row r="85" spans="2:20" ht="15.6" customHeight="1" x14ac:dyDescent="0.25">
      <c r="D85" s="68" t="str">
        <f>CONCATENATE(SUM(Q92:Q93)," combinaciones BPIN-Ind. Producto-Tipo Acumulación")</f>
        <v>0 combinaciones BPIN-Ind. Producto-Tipo Acumulación</v>
      </c>
      <c r="E85" s="68"/>
      <c r="F85" s="33"/>
      <c r="G85" s="33"/>
      <c r="H85" s="33"/>
      <c r="I85" s="34"/>
      <c r="J85" s="68" t="str">
        <f>CONCATENATE(SUM(Q93:Q94)," combinaciones BPIN-Ind. Producto-Tipo Acumulación")</f>
        <v>0 combinaciones BPIN-Ind. Producto-Tipo Acumulación</v>
      </c>
      <c r="K85" s="68"/>
      <c r="L85" s="10"/>
      <c r="M85" s="10"/>
    </row>
    <row r="86" spans="2:20" ht="15.6" customHeight="1" x14ac:dyDescent="0.25">
      <c r="D86" s="68"/>
      <c r="E86" s="68"/>
      <c r="F86" s="33"/>
      <c r="G86" s="33"/>
      <c r="H86" s="33"/>
      <c r="I86" s="34"/>
      <c r="J86" s="68"/>
      <c r="K86" s="68"/>
      <c r="L86" s="10"/>
      <c r="M86" s="10"/>
    </row>
    <row r="87" spans="2:20" ht="15.6" customHeight="1" x14ac:dyDescent="0.3">
      <c r="D87" s="68"/>
      <c r="E87" s="68"/>
      <c r="F87" s="33"/>
      <c r="G87" s="33"/>
      <c r="H87" s="33"/>
      <c r="I87" s="34"/>
      <c r="J87" s="68"/>
      <c r="K87" s="68"/>
      <c r="L87" s="10"/>
      <c r="M87" s="10"/>
      <c r="T87" s="49"/>
    </row>
    <row r="88" spans="2:20" ht="15.6" customHeight="1" x14ac:dyDescent="0.25">
      <c r="D88" s="15"/>
      <c r="E88" s="10"/>
      <c r="F88" s="10"/>
      <c r="G88" s="10"/>
      <c r="H88" s="10"/>
      <c r="J88" s="10"/>
      <c r="K88" s="10"/>
      <c r="L88" s="10"/>
      <c r="M88" s="10"/>
    </row>
    <row r="89" spans="2:20" ht="15.6" customHeight="1" x14ac:dyDescent="0.25">
      <c r="D89" s="15"/>
      <c r="E89" s="10"/>
      <c r="F89" s="10"/>
      <c r="G89" s="10"/>
      <c r="H89" s="10"/>
      <c r="J89" s="10"/>
      <c r="K89" s="10"/>
      <c r="L89" s="10"/>
      <c r="M89" s="10"/>
    </row>
    <row r="90" spans="2:20" ht="15.6" customHeight="1" x14ac:dyDescent="0.25">
      <c r="D90" s="10"/>
      <c r="E90" s="10"/>
      <c r="F90" s="10"/>
      <c r="G90" s="10"/>
      <c r="H90" s="10"/>
      <c r="I90" s="2"/>
      <c r="J90" s="10"/>
      <c r="K90" s="10"/>
      <c r="L90" s="10"/>
      <c r="M90" s="10"/>
    </row>
    <row r="91" spans="2:20" ht="15.6" customHeight="1" x14ac:dyDescent="0.25">
      <c r="B91" s="62"/>
      <c r="C91" s="63"/>
      <c r="F91" s="10"/>
      <c r="G91" s="10"/>
      <c r="H91" s="10"/>
      <c r="I91" s="2"/>
      <c r="J91" s="10"/>
      <c r="K91" s="10"/>
      <c r="L91" s="10"/>
      <c r="M91" s="10"/>
    </row>
    <row r="92" spans="2:20" ht="15.6" customHeight="1" x14ac:dyDescent="0.25">
      <c r="B92" s="75"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75"/>
      <c r="D92" s="75"/>
      <c r="E92" s="75"/>
      <c r="F92" s="75"/>
      <c r="G92" s="75"/>
      <c r="H92" s="75"/>
      <c r="I92" s="75"/>
      <c r="J92" s="75"/>
      <c r="K92" s="75"/>
      <c r="L92" s="75"/>
      <c r="M92" s="75"/>
      <c r="P92" s="1" t="s">
        <v>79</v>
      </c>
      <c r="Q92" s="1">
        <f>SUM(B95:B99)</f>
        <v>0</v>
      </c>
    </row>
    <row r="93" spans="2:20" ht="15.6" customHeight="1" x14ac:dyDescent="0.25">
      <c r="B93" s="75"/>
      <c r="C93" s="75"/>
      <c r="D93" s="75"/>
      <c r="E93" s="75"/>
      <c r="F93" s="75"/>
      <c r="G93" s="75"/>
      <c r="H93" s="75"/>
      <c r="I93" s="75"/>
      <c r="J93" s="75"/>
      <c r="K93" s="75"/>
      <c r="L93" s="75"/>
      <c r="M93" s="75"/>
      <c r="P93" s="1" t="s">
        <v>80</v>
      </c>
      <c r="Q93" s="1">
        <f>B100</f>
        <v>0</v>
      </c>
      <c r="R93" s="1" t="str">
        <f>IF(Q93=1,CONCATENATE(Q93," coincidencia"),CONCATENATE(Q93," coincidencias"))</f>
        <v>0 coincidencias</v>
      </c>
    </row>
    <row r="94" spans="2:20" ht="15.6" customHeight="1" x14ac:dyDescent="0.25">
      <c r="B94" s="17"/>
      <c r="C94" s="10"/>
      <c r="L94" s="10"/>
      <c r="M94" s="10"/>
      <c r="P94" s="1" t="s">
        <v>89</v>
      </c>
      <c r="Q94" s="1">
        <f>B101</f>
        <v>0</v>
      </c>
    </row>
    <row r="95" spans="2:20" ht="15.6" customHeight="1" x14ac:dyDescent="0.25">
      <c r="B95" s="21">
        <v>1</v>
      </c>
      <c r="C95" s="22" t="s">
        <v>76</v>
      </c>
      <c r="L95" s="10"/>
      <c r="M95" s="10"/>
    </row>
    <row r="96" spans="2:20" ht="15.6" customHeight="1" x14ac:dyDescent="0.25">
      <c r="B96" s="23">
        <v>12</v>
      </c>
      <c r="C96" s="22" t="s">
        <v>77</v>
      </c>
    </row>
    <row r="97" spans="2:18" ht="15.6" customHeight="1" x14ac:dyDescent="0.25">
      <c r="B97" s="24">
        <v>96</v>
      </c>
      <c r="C97" s="22" t="s">
        <v>87</v>
      </c>
    </row>
    <row r="98" spans="2:18" ht="15.6" customHeight="1" x14ac:dyDescent="0.25">
      <c r="B98" s="25">
        <v>0</v>
      </c>
      <c r="C98" s="22" t="s">
        <v>91</v>
      </c>
      <c r="D98" s="10"/>
      <c r="E98" s="10"/>
      <c r="F98" s="10"/>
      <c r="G98" s="10"/>
      <c r="H98" s="10"/>
      <c r="I98" s="2"/>
      <c r="J98" s="10"/>
      <c r="K98" s="10"/>
      <c r="L98" s="10"/>
      <c r="M98" s="10"/>
    </row>
    <row r="99" spans="2:18" ht="15.6" customHeight="1" x14ac:dyDescent="0.25">
      <c r="B99" s="26">
        <v>22</v>
      </c>
      <c r="C99" s="22" t="s">
        <v>78</v>
      </c>
      <c r="D99" s="10"/>
      <c r="E99" s="10"/>
      <c r="F99" s="10"/>
      <c r="G99" s="10"/>
      <c r="H99" s="10"/>
      <c r="I99" s="2"/>
      <c r="J99" s="10"/>
      <c r="K99" s="10"/>
      <c r="L99" s="10"/>
      <c r="M99" s="10"/>
    </row>
    <row r="100" spans="2:18" ht="15.6" customHeight="1" x14ac:dyDescent="0.25">
      <c r="B100" s="27">
        <v>185</v>
      </c>
      <c r="C100" s="22" t="s">
        <v>92</v>
      </c>
      <c r="D100" s="56"/>
      <c r="E100" s="56"/>
      <c r="F100" s="56"/>
      <c r="G100" s="56"/>
      <c r="H100" s="56"/>
      <c r="I100" s="56"/>
      <c r="J100" s="56"/>
      <c r="K100" s="56"/>
      <c r="L100" s="56"/>
      <c r="M100" s="56"/>
    </row>
    <row r="101" spans="2:18" ht="15.6" customHeight="1" x14ac:dyDescent="0.25">
      <c r="B101" s="17">
        <v>331</v>
      </c>
      <c r="C101" s="63"/>
    </row>
    <row r="102" spans="2:18" ht="15.6" customHeight="1" x14ac:dyDescent="0.25">
      <c r="B102" s="75" t="s">
        <v>130</v>
      </c>
      <c r="C102" s="75"/>
      <c r="D102" s="75"/>
      <c r="E102" s="75"/>
      <c r="F102" s="75"/>
      <c r="G102" s="75"/>
      <c r="H102" s="75"/>
      <c r="I102" s="75"/>
      <c r="J102" s="75"/>
      <c r="K102" s="75"/>
      <c r="L102" s="75"/>
      <c r="M102" s="75"/>
    </row>
    <row r="103" spans="2:18" ht="15.6" customHeight="1" x14ac:dyDescent="0.25">
      <c r="B103" s="75"/>
      <c r="C103" s="75"/>
      <c r="D103" s="75"/>
      <c r="E103" s="75"/>
      <c r="F103" s="75"/>
      <c r="G103" s="75"/>
      <c r="H103" s="75"/>
      <c r="I103" s="75"/>
      <c r="J103" s="75"/>
      <c r="K103" s="75"/>
      <c r="L103" s="75"/>
      <c r="M103" s="75"/>
    </row>
    <row r="104" spans="2:18" ht="15.6" customHeight="1" x14ac:dyDescent="0.25">
      <c r="B104" s="10"/>
      <c r="C104" s="10"/>
      <c r="D104" s="10"/>
      <c r="E104" s="10"/>
      <c r="F104" s="10"/>
      <c r="G104" s="10"/>
      <c r="H104" s="10"/>
      <c r="I104" s="10"/>
      <c r="J104" s="10"/>
      <c r="K104" s="10"/>
      <c r="L104" s="10"/>
      <c r="M104" s="10"/>
    </row>
    <row r="105" spans="2:18" x14ac:dyDescent="0.25"/>
    <row r="106" spans="2:18" ht="17.25" x14ac:dyDescent="0.3">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25"/>
    <row r="108" spans="2:18" x14ac:dyDescent="0.2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25">
      <c r="B109" s="70"/>
      <c r="C109" s="70"/>
      <c r="D109" s="70"/>
      <c r="E109" s="70"/>
      <c r="F109" s="70"/>
      <c r="G109" s="70"/>
      <c r="H109" s="70"/>
      <c r="I109" s="70"/>
      <c r="J109" s="70"/>
      <c r="K109" s="70"/>
      <c r="L109" s="70"/>
      <c r="M109" s="70"/>
      <c r="P109" s="1" t="s">
        <v>79</v>
      </c>
      <c r="Q109" s="1">
        <v>86</v>
      </c>
    </row>
    <row r="110" spans="2:18" x14ac:dyDescent="0.2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182</v>
      </c>
      <c r="R110" s="1" t="str">
        <f>IF(Q110=1,CONCATENATE(Q110," coincidencia"),CONCATENATE(Q110," coincidencias"))</f>
        <v>0 coincidencias</v>
      </c>
    </row>
    <row r="111" spans="2:18" x14ac:dyDescent="0.25">
      <c r="B111" s="70"/>
      <c r="C111" s="70"/>
      <c r="D111" s="70"/>
      <c r="E111" s="70"/>
      <c r="F111" s="70"/>
      <c r="G111" s="70"/>
      <c r="H111" s="70"/>
      <c r="I111" s="70"/>
      <c r="J111" s="70"/>
      <c r="K111" s="70"/>
      <c r="L111" s="70"/>
      <c r="M111" s="70"/>
      <c r="P111" s="1" t="s">
        <v>81</v>
      </c>
      <c r="Q111" s="1">
        <v>103</v>
      </c>
    </row>
    <row r="112" spans="2:18" x14ac:dyDescent="0.25"/>
    <row r="113" spans="2:13" x14ac:dyDescent="0.25"/>
    <row r="114" spans="2:13" x14ac:dyDescent="0.25">
      <c r="D114" s="71" t="s">
        <v>82</v>
      </c>
      <c r="E114" s="71"/>
      <c r="F114" s="32"/>
      <c r="G114" s="32"/>
      <c r="H114" s="32"/>
      <c r="I114" s="32"/>
      <c r="J114" s="73" t="s">
        <v>83</v>
      </c>
      <c r="K114" s="73"/>
    </row>
    <row r="115" spans="2:13" x14ac:dyDescent="0.25">
      <c r="D115" s="72" t="str">
        <f>CONCATENATE(SUM(Q109:Q110)," combinaciones BPIN-Producto")</f>
        <v>0 combinaciones BPIN-Producto</v>
      </c>
      <c r="E115" s="72"/>
      <c r="F115" s="32"/>
      <c r="G115" s="32"/>
      <c r="H115" s="32"/>
      <c r="I115" s="32"/>
      <c r="J115" s="72" t="str">
        <f>CONCATENATE(SUM(Q110:Q111)," combinaciones BPIN-Producto")</f>
        <v>0 combinaciones BPIN-Producto</v>
      </c>
      <c r="K115" s="72"/>
    </row>
    <row r="116" spans="2:13" x14ac:dyDescent="0.25">
      <c r="D116" s="72"/>
      <c r="E116" s="72"/>
      <c r="F116" s="32"/>
      <c r="G116" s="32"/>
      <c r="H116" s="32"/>
      <c r="I116" s="32"/>
      <c r="J116" s="72"/>
      <c r="K116" s="72"/>
    </row>
    <row r="117" spans="2:13" x14ac:dyDescent="0.25"/>
    <row r="118" spans="2:13" x14ac:dyDescent="0.25"/>
    <row r="119" spans="2:13" x14ac:dyDescent="0.25"/>
    <row r="120" spans="2:13" x14ac:dyDescent="0.25"/>
    <row r="121" spans="2:13" x14ac:dyDescent="0.25"/>
    <row r="122" spans="2:13" x14ac:dyDescent="0.25"/>
    <row r="123" spans="2:13" x14ac:dyDescent="0.25">
      <c r="B123" s="69" t="s">
        <v>90</v>
      </c>
      <c r="C123" s="69"/>
      <c r="D123" s="69"/>
      <c r="E123" s="69"/>
      <c r="F123" s="69"/>
      <c r="G123" s="69"/>
      <c r="H123" s="69"/>
      <c r="I123" s="69"/>
      <c r="J123" s="69"/>
      <c r="K123" s="69"/>
      <c r="L123" s="69"/>
      <c r="M123" s="69"/>
    </row>
    <row r="124" spans="2:13" x14ac:dyDescent="0.25">
      <c r="B124" s="69"/>
      <c r="C124" s="69"/>
      <c r="D124" s="69"/>
      <c r="E124" s="69"/>
      <c r="F124" s="69"/>
      <c r="G124" s="69"/>
      <c r="H124" s="69"/>
      <c r="I124" s="69"/>
      <c r="J124" s="69"/>
      <c r="K124" s="69"/>
      <c r="L124" s="69"/>
      <c r="M124" s="69"/>
    </row>
    <row r="125" spans="2:13" ht="14.45" customHeight="1" x14ac:dyDescent="0.25">
      <c r="B125" s="56"/>
      <c r="C125" s="56"/>
      <c r="D125" s="56"/>
      <c r="E125" s="56"/>
      <c r="F125" s="56"/>
      <c r="G125" s="56"/>
      <c r="H125" s="56"/>
      <c r="I125" s="56"/>
      <c r="J125" s="56"/>
      <c r="K125" s="56"/>
      <c r="L125" s="56"/>
      <c r="M125" s="56"/>
    </row>
    <row r="126" spans="2:13" x14ac:dyDescent="0.25">
      <c r="B126" s="75" t="s">
        <v>129</v>
      </c>
      <c r="C126" s="75"/>
      <c r="D126" s="75"/>
      <c r="E126" s="75"/>
      <c r="F126" s="75"/>
      <c r="G126" s="75"/>
      <c r="H126" s="75"/>
      <c r="I126" s="75"/>
      <c r="J126" s="75"/>
      <c r="K126" s="75"/>
      <c r="L126" s="75"/>
      <c r="M126" s="75"/>
    </row>
    <row r="127" spans="2:13" x14ac:dyDescent="0.25">
      <c r="B127" s="75"/>
      <c r="C127" s="75"/>
      <c r="D127" s="75"/>
      <c r="E127" s="75"/>
      <c r="F127" s="75"/>
      <c r="G127" s="75"/>
      <c r="H127" s="75"/>
      <c r="I127" s="75"/>
      <c r="J127" s="75"/>
      <c r="K127" s="75"/>
      <c r="L127" s="75"/>
      <c r="M127" s="75"/>
    </row>
    <row r="128" spans="2:13" x14ac:dyDescent="0.25"/>
    <row r="129" spans="1:17" x14ac:dyDescent="0.25"/>
    <row r="130" spans="1:17" ht="17.25" x14ac:dyDescent="0.3">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25"/>
    <row r="132" spans="1:17" x14ac:dyDescent="0.25">
      <c r="B132" s="70" t="s">
        <v>93</v>
      </c>
      <c r="C132" s="70"/>
      <c r="D132" s="70"/>
      <c r="E132" s="70"/>
      <c r="F132" s="70"/>
      <c r="G132" s="70"/>
      <c r="H132" s="70"/>
      <c r="I132" s="70"/>
      <c r="J132" s="70"/>
      <c r="K132" s="70"/>
      <c r="L132" s="70"/>
      <c r="M132" s="70"/>
    </row>
    <row r="133" spans="1:17" x14ac:dyDescent="0.25">
      <c r="B133" s="70"/>
      <c r="C133" s="70"/>
      <c r="D133" s="70"/>
      <c r="E133" s="70"/>
      <c r="F133" s="70"/>
      <c r="G133" s="70"/>
      <c r="H133" s="70"/>
      <c r="I133" s="70"/>
      <c r="J133" s="70"/>
      <c r="K133" s="70"/>
      <c r="L133" s="70"/>
      <c r="M133" s="70"/>
    </row>
    <row r="134" spans="1:17" x14ac:dyDescent="0.25"/>
    <row r="135" spans="1:17" x14ac:dyDescent="0.25">
      <c r="B135" s="39" t="s">
        <v>82</v>
      </c>
      <c r="C135" s="44"/>
      <c r="G135" s="40" t="s">
        <v>83</v>
      </c>
      <c r="I135" s="70" t="s">
        <v>94</v>
      </c>
      <c r="J135" s="70"/>
      <c r="K135" s="70"/>
      <c r="L135" s="70"/>
      <c r="M135" s="84">
        <f>SUM(Q135:Q141)</f>
        <v>0</v>
      </c>
      <c r="P135" s="1" t="s">
        <v>97</v>
      </c>
      <c r="Q135">
        <v>87</v>
      </c>
    </row>
    <row r="136" spans="1:17" x14ac:dyDescent="0.25">
      <c r="B136" s="45">
        <f>Q137+Q139+Q140+Q141</f>
        <v>0</v>
      </c>
      <c r="G136" s="45">
        <f>Q135+Q138+Q139+Q141</f>
        <v>0</v>
      </c>
      <c r="I136" s="70"/>
      <c r="J136" s="70"/>
      <c r="K136" s="70"/>
      <c r="L136" s="70"/>
      <c r="M136" s="85"/>
      <c r="P136" s="1" t="s">
        <v>98</v>
      </c>
      <c r="Q136">
        <v>157</v>
      </c>
    </row>
    <row r="137" spans="1:17" x14ac:dyDescent="0.25">
      <c r="I137" s="28"/>
      <c r="J137" s="28"/>
      <c r="K137" s="28"/>
      <c r="L137" s="28"/>
      <c r="M137" s="28"/>
      <c r="P137" s="1" t="s">
        <v>99</v>
      </c>
      <c r="Q137">
        <v>21</v>
      </c>
    </row>
    <row r="138" spans="1:17" x14ac:dyDescent="0.25">
      <c r="I138" s="70" t="s">
        <v>95</v>
      </c>
      <c r="J138" s="70"/>
      <c r="K138" s="70"/>
      <c r="L138" s="70"/>
      <c r="M138" s="84">
        <f>Q141</f>
        <v>0</v>
      </c>
      <c r="P138" s="1" t="s">
        <v>100</v>
      </c>
      <c r="Q138">
        <v>16</v>
      </c>
    </row>
    <row r="139" spans="1:17" x14ac:dyDescent="0.25">
      <c r="I139" s="70"/>
      <c r="J139" s="70"/>
      <c r="K139" s="70"/>
      <c r="L139" s="70"/>
      <c r="M139" s="85"/>
      <c r="P139" s="1" t="s">
        <v>101</v>
      </c>
      <c r="Q139">
        <v>8</v>
      </c>
    </row>
    <row r="140" spans="1:17" x14ac:dyDescent="0.25">
      <c r="I140" s="28"/>
      <c r="J140" s="28"/>
      <c r="K140" s="28"/>
      <c r="L140" s="28"/>
      <c r="M140" s="28"/>
      <c r="P140" s="1" t="s">
        <v>102</v>
      </c>
      <c r="Q140">
        <v>65</v>
      </c>
    </row>
    <row r="141" spans="1:17" x14ac:dyDescent="0.25">
      <c r="I141" s="70" t="s">
        <v>96</v>
      </c>
      <c r="J141" s="70"/>
      <c r="K141" s="70"/>
      <c r="L141" s="70"/>
      <c r="M141" s="86" t="str">
        <f>IFERROR(M138/M135,"-")</f>
        <v>-</v>
      </c>
      <c r="P141" s="1" t="s">
        <v>103</v>
      </c>
      <c r="Q141">
        <v>174</v>
      </c>
    </row>
    <row r="142" spans="1:17" x14ac:dyDescent="0.25">
      <c r="I142" s="70"/>
      <c r="J142" s="70"/>
      <c r="K142" s="70"/>
      <c r="L142" s="70"/>
      <c r="M142" s="87"/>
    </row>
    <row r="143" spans="1:17" x14ac:dyDescent="0.25"/>
    <row r="144" spans="1:17" x14ac:dyDescent="0.2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25">
      <c r="H145" s="69"/>
      <c r="I145" s="69"/>
      <c r="J145" s="69"/>
      <c r="K145" s="69"/>
      <c r="L145" s="69"/>
      <c r="M145" s="69"/>
    </row>
    <row r="146" spans="1:13" x14ac:dyDescent="0.25">
      <c r="H146" s="69"/>
      <c r="I146" s="69"/>
      <c r="J146" s="69"/>
      <c r="K146" s="69"/>
      <c r="L146" s="69"/>
      <c r="M146" s="69"/>
    </row>
    <row r="147" spans="1:13" x14ac:dyDescent="0.25">
      <c r="H147" s="69"/>
      <c r="I147" s="69"/>
      <c r="J147" s="69"/>
      <c r="K147" s="69"/>
      <c r="L147" s="69"/>
      <c r="M147" s="69"/>
    </row>
    <row r="148" spans="1:13" x14ac:dyDescent="0.25">
      <c r="H148" s="69"/>
      <c r="I148" s="69"/>
      <c r="J148" s="69"/>
      <c r="K148" s="69"/>
      <c r="L148" s="69"/>
      <c r="M148" s="69"/>
    </row>
    <row r="149" spans="1:13" x14ac:dyDescent="0.25">
      <c r="B149" s="41" t="s">
        <v>88</v>
      </c>
    </row>
    <row r="150" spans="1:13" x14ac:dyDescent="0.25">
      <c r="B150" s="45">
        <f>Q136+Q138+Q140+Q141</f>
        <v>0</v>
      </c>
    </row>
    <row r="151" spans="1:13" x14ac:dyDescent="0.25"/>
    <row r="152" spans="1:13" x14ac:dyDescent="0.25"/>
    <row r="153" spans="1:13" x14ac:dyDescent="0.25"/>
    <row r="154" spans="1:13" x14ac:dyDescent="0.25">
      <c r="A154" s="9" t="s">
        <v>104</v>
      </c>
    </row>
  </sheetData>
  <sheetProtection sheet="1" objects="1" scenarios="1" selectLockedCells="1"/>
  <mergeCells count="31">
    <mergeCell ref="B126:M127"/>
    <mergeCell ref="H144:M148"/>
    <mergeCell ref="B132:M133"/>
    <mergeCell ref="I135:L136"/>
    <mergeCell ref="I138:L139"/>
    <mergeCell ref="I141:L142"/>
    <mergeCell ref="M135:M136"/>
    <mergeCell ref="M138:M139"/>
    <mergeCell ref="M141:M142"/>
    <mergeCell ref="B18:G18"/>
    <mergeCell ref="B9:M10"/>
    <mergeCell ref="C3:L4"/>
    <mergeCell ref="B5:M5"/>
    <mergeCell ref="D1:K1"/>
    <mergeCell ref="B16:C16"/>
    <mergeCell ref="D16:E16"/>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276"/>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9.28515625" customWidth="1"/>
    <col min="8" max="8" width="23.140625" customWidth="1"/>
    <col min="9" max="9" width="17.7109375" customWidth="1"/>
    <col min="10" max="10" width="13.7109375" customWidth="1"/>
    <col min="11" max="14" width="16" style="37" customWidth="1"/>
    <col min="15" max="17" width="14.5703125" style="37" customWidth="1"/>
    <col min="18" max="18" width="16" style="38" customWidth="1"/>
    <col min="19" max="19" width="27.5703125" customWidth="1"/>
    <col min="20" max="22" width="14.5703125" customWidth="1"/>
    <col min="23" max="23" width="16" customWidth="1"/>
    <col min="24" max="24" width="27.5703125" customWidth="1"/>
  </cols>
  <sheetData>
    <row r="1" spans="1:24" s="20" ht="26.25" customFormat="1" x14ac:dyDescent="0.3">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3">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3">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3">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3">
      <c r="A5" s="46"/>
      <c r="B5" s="46"/>
      <c r="C5" s="46"/>
      <c r="D5" s="46"/>
      <c r="E5" s="46"/>
      <c r="F5" s="46"/>
      <c r="G5" s="46"/>
      <c r="H5" s="46"/>
      <c r="I5" s="46"/>
      <c r="J5" s="46"/>
      <c r="K5" s="46"/>
      <c r="L5" s="46"/>
      <c r="M5" s="46"/>
      <c r="N5" s="46"/>
      <c r="O5" s="18"/>
      <c r="P5" s="18"/>
      <c r="Q5" s="18"/>
      <c r="R5" s="19"/>
      <c r="S5" s="4"/>
      <c r="T5" s="4"/>
      <c r="U5" s="4"/>
      <c r="V5" s="4"/>
      <c r="W5" s="4"/>
      <c r="X5" s="4"/>
    </row>
    <row r="6" spans="1:24" s="20" ht="20.45" customFormat="1" customHeight="1" x14ac:dyDescent="0.3">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IP-1, IP-10, IP-11</t>
        </is>
      </c>
      <c r="B8" t="inlineStr">
        <is>
          <t>32</t>
        </is>
      </c>
      <c r="C8" t="inlineStr">
        <is>
          <t>Ambiente y desarrollo sostenible</t>
        </is>
      </c>
      <c r="D8" t="inlineStr">
        <is>
          <t>3202</t>
        </is>
      </c>
      <c r="E8" t="inlineStr">
        <is>
          <t>Conservación de la biodiversidad y sus servicios ecosistémicos</t>
        </is>
      </c>
      <c r="F8" t="inlineStr">
        <is>
          <t>3202001</t>
        </is>
      </c>
      <c r="G8" t="inlineStr">
        <is>
          <t>Documentos de lineamientos técnicos para la conservación de la biodiversidad y sus servicios eco sistémicos</t>
        </is>
      </c>
      <c r="H8" t="inlineStr">
        <is>
          <t>Documentos cuyo objetivo es brindar directrices para la conservación de una o varias especies (terrestres, dulceacuícolas o marinas) y de ecosistemas de importancia estratégica para el país.</t>
        </is>
      </c>
      <c r="I8" t="inlineStr">
        <is>
          <t>2024251260047</t>
        </is>
      </c>
      <c r="J8" s="99">
        <v>8562386984.0626</v>
      </c>
      <c r="K8" s="99">
        <v>4910740758</v>
      </c>
      <c r="L8" s="99">
        <v>1169168918.07</v>
      </c>
      <c r="M8" s="99">
        <v>1222895225.6121</v>
      </c>
      <c r="N8" s="99">
        <v>1259582082.3805</v>
      </c>
      <c r="O8" s="99">
        <v>19416667</v>
      </c>
      <c r="P8" s="99">
        <v>19416667</v>
      </c>
      <c r="Q8" s="99">
        <v>19416667</v>
      </c>
      <c r="R8" s="100">
        <v>0.00395391814735255</v>
      </c>
      <c r="S8" t="inlineStr">
        <is>
          <t>Lo obligado está por debajo de lo programado en la vigencia</t>
        </is>
      </c>
      <c r="T8" s="101">
        <v>545085057</v>
      </c>
      <c r="U8" s="101">
        <v>372450499</v>
      </c>
      <c r="V8" s="101">
        <v>361327499</v>
      </c>
      <c r="W8" s="102">
        <v>0.318560041447921</v>
      </c>
      <c r="X8" t="inlineStr">
        <is>
          <t>Lo obligado está por debajo de lo programado en la vigencia</t>
        </is>
      </c>
    </row>
    <row r="9">
      <c r="A9" t="inlineStr">
        <is>
          <t>IP-2, IP-7</t>
        </is>
      </c>
      <c r="B9" t="inlineStr">
        <is>
          <t>32</t>
        </is>
      </c>
      <c r="C9" t="inlineStr">
        <is>
          <t>Ambiente y desarrollo sostenible</t>
        </is>
      </c>
      <c r="D9" t="inlineStr">
        <is>
          <t>3202</t>
        </is>
      </c>
      <c r="E9" t="inlineStr">
        <is>
          <t>Conservación de la biodiversidad y sus servicios ecosistémicos</t>
        </is>
      </c>
      <c r="F9" t="inlineStr">
        <is>
          <t>3202002</t>
        </is>
      </c>
      <c r="G9" t="inlineStr">
        <is>
          <t>Documentos de planeación para la conservación de la biodiversidad y sus servicios eco sistémicos</t>
        </is>
      </c>
      <c r="H9" t="inlineStr">
        <is>
          <t>Documentos cuyo objetivo es plasmar una visión de futuro a nivel país, entidad territorial, comunidad, sector, región, entidad o cualquier nivel de desagregación que se requiera. Incluye objetivos, estrategias, metas e indicadores</t>
        </is>
      </c>
      <c r="I9" t="inlineStr">
        <is>
          <t>2024251260047</t>
        </is>
      </c>
      <c r="J9" s="99">
        <v>78714716.2</v>
      </c>
      <c r="K9" s="99">
        <v>24200000</v>
      </c>
      <c r="L9" s="99">
        <v>10150000</v>
      </c>
      <c r="M9" s="99">
        <v>21854540</v>
      </c>
      <c r="N9" s="99">
        <v>22510176.2</v>
      </c>
      <c r="O9" s="99">
        <v>26518471</v>
      </c>
      <c r="P9" s="99">
        <v>26518471</v>
      </c>
      <c r="Q9" s="99">
        <v>26518471</v>
      </c>
      <c r="R9" s="100">
        <v>1.09580458677686</v>
      </c>
      <c r="S9" t="inlineStr">
        <is>
          <t>Hubo ejecución por encima de lo programado en SisPT</t>
        </is>
      </c>
      <c r="T9" s="101" t="inlineStr">
        <is>
          <t xml:space="preserve"> </t>
        </is>
      </c>
      <c r="U9" s="101" t="inlineStr">
        <is>
          <t xml:space="preserve"> </t>
        </is>
      </c>
      <c r="V9" s="101" t="inlineStr">
        <is>
          <t xml:space="preserve"> </t>
        </is>
      </c>
      <c r="W9" s="102" t="inlineStr">
        <is>
          <t xml:space="preserve"> </t>
        </is>
      </c>
      <c r="X9" t="inlineStr">
        <is>
          <t>No se encontró ejecución en CUIPO</t>
        </is>
      </c>
    </row>
    <row r="10">
      <c r="A10" t="inlineStr">
        <is>
          <t>IP-3</t>
        </is>
      </c>
      <c r="B10" t="inlineStr">
        <is>
          <t>32</t>
        </is>
      </c>
      <c r="C10" t="inlineStr">
        <is>
          <t>Ambiente y desarrollo sostenible</t>
        </is>
      </c>
      <c r="D10" t="inlineStr">
        <is>
          <t>3203</t>
        </is>
      </c>
      <c r="E10" t="inlineStr">
        <is>
          <t>Gestión integral del recurso hídrico</t>
        </is>
      </c>
      <c r="F10" t="inlineStr">
        <is>
          <t>3203050</t>
        </is>
      </c>
      <c r="G10" t="inlineStr">
        <is>
          <t>Servicio de protección del recurso hídrico</t>
        </is>
      </c>
      <c r="H10" t="inlineStr">
        <is>
          <t>Incluye acciones orientadas a la administración y manejo de áreas de reserva hídrica o zonas de reserva natural para la protección de las fuentes hídricas.</t>
        </is>
      </c>
      <c r="I10" t="inlineStr">
        <is>
          <t>2024251260003</t>
        </is>
      </c>
      <c r="J10" s="99">
        <v>12792000</v>
      </c>
      <c r="K10" s="99">
        <v>0</v>
      </c>
      <c r="L10" s="99">
        <v>12792000</v>
      </c>
      <c r="M10" s="99">
        <v>0</v>
      </c>
      <c r="N10" s="99">
        <v>0</v>
      </c>
      <c r="O10" s="99" t="inlineStr">
        <is>
          <t xml:space="preserve"> </t>
        </is>
      </c>
      <c r="P10" s="99" t="inlineStr">
        <is>
          <t xml:space="preserve"> </t>
        </is>
      </c>
      <c r="Q10" s="99" t="inlineStr">
        <is>
          <t xml:space="preserve"> </t>
        </is>
      </c>
      <c r="R10" s="100" t="inlineStr">
        <is>
          <t xml:space="preserve"> </t>
        </is>
      </c>
      <c r="S10" t="inlineStr">
        <is>
          <t>No se encontró ejecución en CUIPO</t>
        </is>
      </c>
      <c r="T10" s="101">
        <v>12792000</v>
      </c>
      <c r="U10" s="101">
        <v>8214560</v>
      </c>
      <c r="V10" s="101">
        <v>6214560</v>
      </c>
      <c r="W10" s="102">
        <v>0.642163852407755</v>
      </c>
      <c r="X10" t="inlineStr">
        <is>
          <t>Lo obligado está por debajo de lo programado en la vigencia</t>
        </is>
      </c>
    </row>
    <row r="11">
      <c r="A11" t="inlineStr">
        <is>
          <t>IP-4</t>
        </is>
      </c>
      <c r="B11" t="inlineStr">
        <is>
          <t>32</t>
        </is>
      </c>
      <c r="C11" t="inlineStr">
        <is>
          <t>Ambiente y desarrollo sostenible</t>
        </is>
      </c>
      <c r="D11" t="inlineStr">
        <is>
          <t>3203</t>
        </is>
      </c>
      <c r="E11" t="inlineStr">
        <is>
          <t>Gestión integral del recurso hídrico</t>
        </is>
      </c>
      <c r="F11" t="inlineStr">
        <is>
          <t>3203002</t>
        </is>
      </c>
      <c r="G11" t="inlineStr">
        <is>
          <t>Documentos de planeación para la gestión integral del recurso hídrico</t>
        </is>
      </c>
      <c r="H11" t="inlineStr">
        <is>
          <t>Documentos cuyo objetivo es plasmar una visión de futuro a nivel país, entidad territorial, comunidad, sector, región, entidad o cualquier nivel de desagregación que se requiera. Incluye objetivos, estrategias, metas e indicadores</t>
        </is>
      </c>
      <c r="I11" t="inlineStr">
        <is>
          <t>2024251260003</t>
        </is>
      </c>
      <c r="J11" s="99">
        <v>458443240.0105</v>
      </c>
      <c r="K11" s="99">
        <v>178715420</v>
      </c>
      <c r="L11" s="99">
        <v>90500443.24</v>
      </c>
      <c r="M11" s="99">
        <v>93215456.5372</v>
      </c>
      <c r="N11" s="99">
        <v>96011920.2333</v>
      </c>
      <c r="O11" s="99" t="inlineStr">
        <is>
          <t xml:space="preserve"> </t>
        </is>
      </c>
      <c r="P11" s="99" t="inlineStr">
        <is>
          <t xml:space="preserve"> </t>
        </is>
      </c>
      <c r="Q11" s="99" t="inlineStr">
        <is>
          <t xml:space="preserve"> </t>
        </is>
      </c>
      <c r="R11" s="100" t="inlineStr">
        <is>
          <t xml:space="preserve"> </t>
        </is>
      </c>
      <c r="S11" t="inlineStr">
        <is>
          <t>No se encontró ejecución en CUIPO</t>
        </is>
      </c>
      <c r="T11" s="101">
        <v>12792000</v>
      </c>
      <c r="U11" s="101">
        <v>9442720</v>
      </c>
      <c r="V11" s="101">
        <v>8442720</v>
      </c>
      <c r="W11" s="102">
        <v>0.104338936495136</v>
      </c>
      <c r="X11" t="inlineStr">
        <is>
          <t>Lo obligado está por debajo de lo programado en la vigencia</t>
        </is>
      </c>
    </row>
    <row r="12">
      <c r="A12" t="inlineStr">
        <is>
          <t>IP-5, IP-8</t>
        </is>
      </c>
      <c r="B12" t="inlineStr">
        <is>
          <t>32</t>
        </is>
      </c>
      <c r="C12" t="inlineStr">
        <is>
          <t>Ambiente y desarrollo sostenible</t>
        </is>
      </c>
      <c r="D12" t="inlineStr">
        <is>
          <t>3202</t>
        </is>
      </c>
      <c r="E12" t="inlineStr">
        <is>
          <t>Conservación de la biodiversidad y sus servicios ecosistémicos</t>
        </is>
      </c>
      <c r="F12" t="inlineStr">
        <is>
          <t>3202014</t>
        </is>
      </c>
      <c r="G12" t="inlineStr">
        <is>
          <t>Servicio de educación informal en el marco de la conservación de la biodiversidad y los Servicio ecostémicos</t>
        </is>
      </c>
      <c r="H12" t="inlineStr">
        <is>
          <t xml:space="preserve">Corresponde a las capacitaciones destinadas a los agentes ambientales en el marco de la conservación de la biodiversidad y los Servicio ecosistemicos.  </t>
        </is>
      </c>
      <c r="I12" t="inlineStr">
        <is>
          <t>2024251260047</t>
        </is>
      </c>
      <c r="J12" s="99">
        <v>63156270</v>
      </c>
      <c r="K12" s="99">
        <v>10000000</v>
      </c>
      <c r="L12" s="99">
        <v>31620000</v>
      </c>
      <c r="M12" s="99">
        <v>10609000</v>
      </c>
      <c r="N12" s="99">
        <v>10927270</v>
      </c>
      <c r="O12" s="99" t="inlineStr">
        <is>
          <t xml:space="preserve"> </t>
        </is>
      </c>
      <c r="P12" s="99" t="inlineStr">
        <is>
          <t xml:space="preserve"> </t>
        </is>
      </c>
      <c r="Q12" s="99" t="inlineStr">
        <is>
          <t xml:space="preserve"> </t>
        </is>
      </c>
      <c r="R12" s="100" t="inlineStr">
        <is>
          <t xml:space="preserve"> </t>
        </is>
      </c>
      <c r="S12" t="inlineStr">
        <is>
          <t>No se encontró ejecución en CUIPO</t>
        </is>
      </c>
      <c r="T12" s="101">
        <v>30736000</v>
      </c>
      <c r="U12" s="101">
        <v>25216986</v>
      </c>
      <c r="V12" s="101">
        <v>22584986</v>
      </c>
      <c r="W12" s="102">
        <v>0.797501138519924</v>
      </c>
      <c r="X12" t="inlineStr">
        <is>
          <t>Lo obligado está por debajo de lo programado en la vigencia</t>
        </is>
      </c>
    </row>
    <row r="13">
      <c r="A13" t="inlineStr">
        <is>
          <t>IP-6</t>
        </is>
      </c>
      <c r="B13" t="inlineStr">
        <is>
          <t>32</t>
        </is>
      </c>
      <c r="C13" t="inlineStr">
        <is>
          <t>Ambiente y desarrollo sostenible</t>
        </is>
      </c>
      <c r="D13" t="inlineStr">
        <is>
          <t>3201</t>
        </is>
      </c>
      <c r="E13" t="inlineStr">
        <is>
          <t>Fortalecimiento del desempeño ambiental de los sectores productivos</t>
        </is>
      </c>
      <c r="F13" t="inlineStr">
        <is>
          <t>3201021</t>
        </is>
      </c>
      <c r="G13" t="inlineStr">
        <is>
          <t>Documentos de instrumentos técnicos de evaluación y seguimiento ambiental</t>
        </is>
      </c>
      <c r="H13" t="inlineStr">
        <is>
          <t xml:space="preserve">Herramientas de gestión y generación de información ambiental asociada a la evaluación y seguimiento de licencias, permisos y trámites ambientales </t>
        </is>
      </c>
      <c r="I13" t="inlineStr">
        <is>
          <t>2024251260089</t>
        </is>
      </c>
      <c r="J13" s="99">
        <v>23042000</v>
      </c>
      <c r="K13" s="99">
        <v>10250000</v>
      </c>
      <c r="L13" s="99">
        <v>12792000</v>
      </c>
      <c r="M13" s="99">
        <v>0</v>
      </c>
      <c r="N13" s="99">
        <v>0</v>
      </c>
      <c r="O13" s="99">
        <v>10250000</v>
      </c>
      <c r="P13" s="99">
        <v>10250000</v>
      </c>
      <c r="Q13" s="99">
        <v>10250000</v>
      </c>
      <c r="R13" s="100">
        <v>1</v>
      </c>
      <c r="S13" t="inlineStr">
        <is>
          <t>Se ejecutó el 100% de lo programado en la vigencia</t>
        </is>
      </c>
      <c r="T13" s="101">
        <v>12792000</v>
      </c>
      <c r="U13" s="101">
        <v>10873200</v>
      </c>
      <c r="V13" s="101">
        <v>9274200</v>
      </c>
      <c r="W13" s="102">
        <v>0.85</v>
      </c>
      <c r="X13" t="inlineStr">
        <is>
          <t>Lo obligado está por debajo de lo programado en la vigencia</t>
        </is>
      </c>
    </row>
    <row r="14">
      <c r="A14" t="inlineStr">
        <is>
          <t>IP-9</t>
        </is>
      </c>
      <c r="B14" t="inlineStr">
        <is>
          <t>32</t>
        </is>
      </c>
      <c r="C14" t="inlineStr">
        <is>
          <t>Ambiente y desarrollo sostenible</t>
        </is>
      </c>
      <c r="D14" t="inlineStr">
        <is>
          <t>3201</t>
        </is>
      </c>
      <c r="E14" t="inlineStr">
        <is>
          <t>Fortalecimiento del desempeño ambiental de los sectores productivos</t>
        </is>
      </c>
      <c r="F14" t="inlineStr">
        <is>
          <t>3201002</t>
        </is>
      </c>
      <c r="G14" t="inlineStr">
        <is>
          <t>Documentos de lineamientos técnicos para el fortalecimiento del desempeño ambiental de los sectores productivos</t>
        </is>
      </c>
      <c r="H14" t="inlineStr">
        <is>
          <t>Documentos cuyo objetivo es describir y explicar instrumentos, estándares, requisitos y condiciones necesarias para llevar a cabo un proceso o actividad</t>
        </is>
      </c>
      <c r="I14" t="inlineStr">
        <is>
          <t>2024251260089</t>
        </is>
      </c>
      <c r="J14" s="99">
        <v>0</v>
      </c>
      <c r="K14" s="99">
        <v>0</v>
      </c>
      <c r="L14" s="99">
        <v>0</v>
      </c>
      <c r="M14" s="99">
        <v>0</v>
      </c>
      <c r="N14" s="99">
        <v>0</v>
      </c>
      <c r="O14" s="99" t="inlineStr">
        <is>
          <t xml:space="preserve"> </t>
        </is>
      </c>
      <c r="P14" s="99" t="inlineStr">
        <is>
          <t xml:space="preserve"> </t>
        </is>
      </c>
      <c r="Q14" s="99" t="inlineStr">
        <is>
          <t xml:space="preserve"> </t>
        </is>
      </c>
      <c r="R14" s="100" t="inlineStr">
        <is>
          <t xml:space="preserve"> </t>
        </is>
      </c>
      <c r="S14" t="inlineStr">
        <is>
          <t>No se encontró ejecución en CUIPO</t>
        </is>
      </c>
      <c r="T14" s="101">
        <v>21320000</v>
      </c>
      <c r="U14" s="101">
        <v>16274266</v>
      </c>
      <c r="V14" s="101">
        <v>14142266</v>
      </c>
      <c r="W14" s="102" t="inlineStr">
        <is>
          <t xml:space="preserve"> </t>
        </is>
      </c>
      <c r="X14" t="inlineStr">
        <is>
          <t>Se ejecutó un producto no programado en la vigencia</t>
        </is>
      </c>
    </row>
    <row r="15">
      <c r="A15" t="inlineStr">
        <is>
          <t>IP-12</t>
        </is>
      </c>
      <c r="B15" t="inlineStr">
        <is>
          <t>32</t>
        </is>
      </c>
      <c r="C15" t="inlineStr">
        <is>
          <t>Ambiente y desarrollo sostenible</t>
        </is>
      </c>
      <c r="D15" t="inlineStr">
        <is>
          <t>3203</t>
        </is>
      </c>
      <c r="E15" t="inlineStr">
        <is>
          <t>Gestión integral del recurso hídrico</t>
        </is>
      </c>
      <c r="F15" t="inlineStr">
        <is>
          <t>3203001</t>
        </is>
      </c>
      <c r="G15" t="inlineStr">
        <is>
          <t>Documentos de lineamientos técnicos para la gestión integral del recurso hídrico</t>
        </is>
      </c>
      <c r="H15" t="inlineStr">
        <is>
          <t>Documentos con directrices en el manejo y planificación del recurso hídrico para la implementación de la Política Nacional de Gestión integral del Recurso Hídrico</t>
        </is>
      </c>
      <c r="I15" t="inlineStr">
        <is>
          <t>2024251260003</t>
        </is>
      </c>
      <c r="J15" s="99">
        <v>200000000</v>
      </c>
      <c r="K15" s="99">
        <v>200000000</v>
      </c>
      <c r="L15" s="99">
        <v>0</v>
      </c>
      <c r="M15" s="99">
        <v>0</v>
      </c>
      <c r="N15" s="99">
        <v>0</v>
      </c>
      <c r="O15" s="99">
        <v>200000000</v>
      </c>
      <c r="P15" s="99">
        <v>80000000</v>
      </c>
      <c r="Q15" s="99">
        <v>80000000</v>
      </c>
      <c r="R15" s="100">
        <v>0.4</v>
      </c>
      <c r="S15" t="inlineStr">
        <is>
          <t>Lo obligado está por debajo de lo programado en la vigencia</t>
        </is>
      </c>
      <c r="T15" s="101">
        <v>151257739</v>
      </c>
      <c r="U15" s="101">
        <v>103569077</v>
      </c>
      <c r="V15" s="101">
        <v>96237077</v>
      </c>
      <c r="W15" s="102" t="inlineStr">
        <is>
          <t xml:space="preserve"> </t>
        </is>
      </c>
      <c r="X15" t="inlineStr">
        <is>
          <t>Se ejecutó un producto no programado en la vigencia</t>
        </is>
      </c>
    </row>
    <row r="16">
      <c r="A16" t="inlineStr">
        <is>
          <t>IP-13</t>
        </is>
      </c>
      <c r="B16" t="inlineStr">
        <is>
          <t>32</t>
        </is>
      </c>
      <c r="C16" t="inlineStr">
        <is>
          <t>Ambiente y desarrollo sostenible</t>
        </is>
      </c>
      <c r="D16" t="inlineStr">
        <is>
          <t>3203</t>
        </is>
      </c>
      <c r="E16" t="inlineStr">
        <is>
          <t>Gestión integral del recurso hídrico</t>
        </is>
      </c>
      <c r="F16" t="inlineStr">
        <is>
          <t>3203033</t>
        </is>
      </c>
      <c r="G16" t="inlineStr">
        <is>
          <t>Servicio de asistencia técnica para la promoción del uso eficiente y ahorro del agua</t>
        </is>
      </c>
      <c r="H16" t="inlineStr">
        <is>
          <t> Acciones enfocadas a definir y promover la implementación de programas y mecanismos a los diferentes usuarios del agua que permita crear un habito sostenible en el uso del agua</t>
        </is>
      </c>
      <c r="I16" t="inlineStr">
        <is>
          <t>2024251260003</t>
        </is>
      </c>
      <c r="J16" s="99">
        <v>1188588100</v>
      </c>
      <c r="K16" s="99">
        <v>0</v>
      </c>
      <c r="L16" s="99">
        <v>542500000</v>
      </c>
      <c r="M16" s="99">
        <v>318270000</v>
      </c>
      <c r="N16" s="99">
        <v>327818100</v>
      </c>
      <c r="O16" s="99" t="inlineStr">
        <is>
          <t xml:space="preserve"> </t>
        </is>
      </c>
      <c r="P16" s="99" t="inlineStr">
        <is>
          <t xml:space="preserve"> </t>
        </is>
      </c>
      <c r="Q16" s="99" t="inlineStr">
        <is>
          <t xml:space="preserve"> </t>
        </is>
      </c>
      <c r="R16" s="100" t="inlineStr">
        <is>
          <t xml:space="preserve"> </t>
        </is>
      </c>
      <c r="S16" t="inlineStr">
        <is>
          <t>No se encontró ejecución en CUIPO</t>
        </is>
      </c>
      <c r="T16" s="101">
        <v>542499999</v>
      </c>
      <c r="U16" s="101">
        <v>337989999</v>
      </c>
      <c r="V16" s="101">
        <v>335539999</v>
      </c>
      <c r="W16" s="102">
        <v>0.623023039631336</v>
      </c>
      <c r="X16" t="inlineStr">
        <is>
          <t>Lo obligado está por debajo de lo programado en la vigencia</t>
        </is>
      </c>
    </row>
    <row r="17">
      <c r="A17" t="inlineStr">
        <is>
          <t>IP-14</t>
        </is>
      </c>
      <c r="B17" t="inlineStr">
        <is>
          <t>32</t>
        </is>
      </c>
      <c r="C17" t="inlineStr">
        <is>
          <t>Ambiente y desarrollo sostenible</t>
        </is>
      </c>
      <c r="D17" t="inlineStr">
        <is>
          <t>3202</t>
        </is>
      </c>
      <c r="E17" t="inlineStr">
        <is>
          <t>Conservación de la biodiversidad y sus servicios ecosistémicos</t>
        </is>
      </c>
      <c r="F17" t="inlineStr">
        <is>
          <t>3202048</t>
        </is>
      </c>
      <c r="G17" t="inlineStr">
        <is>
          <t>Documentos de lineamientos técnicos con acuerdos de uso, ocupación y tenencia en áreas protegidas no vinculadas al Sistema Nacional de Áreas Protegidas</t>
        </is>
      </c>
      <c r="H17" t="inlineStr">
        <is>
          <t>Incluye la realización de los documentos técnicos orientados a  conservación de la biodiversidad y sus servicios eco sistémicos por medios de acuerdos orientados a resolver la problemática de uso, ocupación y tenencia en áreas protegidas locales (municipales o distritales) que no hacen  parte del Sistema Nacional de Áreas Protegidas.</t>
        </is>
      </c>
      <c r="I17" t="inlineStr">
        <is>
          <t>2024251260047</t>
        </is>
      </c>
      <c r="J17" s="99">
        <v>121512810</v>
      </c>
      <c r="K17" s="99">
        <v>10000000</v>
      </c>
      <c r="L17" s="99">
        <v>46904000</v>
      </c>
      <c r="M17" s="99">
        <v>31827000</v>
      </c>
      <c r="N17" s="99">
        <v>32781810</v>
      </c>
      <c r="O17" s="99">
        <v>9990000</v>
      </c>
      <c r="P17" s="99">
        <v>9990000</v>
      </c>
      <c r="Q17" s="99">
        <v>9990000</v>
      </c>
      <c r="R17" s="100">
        <v>0.999</v>
      </c>
      <c r="S17" t="inlineStr">
        <is>
          <t>Lo obligado está por debajo de lo programado en la vigencia</t>
        </is>
      </c>
      <c r="T17" s="101">
        <v>27272842</v>
      </c>
      <c r="U17" s="101">
        <v>17636666</v>
      </c>
      <c r="V17" s="101">
        <v>16570666</v>
      </c>
      <c r="W17" s="102">
        <v>0.376016245949173</v>
      </c>
      <c r="X17" t="inlineStr">
        <is>
          <t>Lo obligado está por debajo de lo programado en la vigencia</t>
        </is>
      </c>
    </row>
    <row r="18">
      <c r="A18" t="inlineStr">
        <is>
          <t>IP-15</t>
        </is>
      </c>
      <c r="B18" t="inlineStr">
        <is>
          <t>32</t>
        </is>
      </c>
      <c r="C18" t="inlineStr">
        <is>
          <t>Ambiente y desarrollo sostenible</t>
        </is>
      </c>
      <c r="D18" t="inlineStr">
        <is>
          <t>3202</t>
        </is>
      </c>
      <c r="E18" t="inlineStr">
        <is>
          <t>Conservación de la biodiversidad y sus servicios ecosistémicos</t>
        </is>
      </c>
      <c r="F18" t="inlineStr">
        <is>
          <t>3202002</t>
        </is>
      </c>
      <c r="G18" t="inlineStr">
        <is>
          <t>Documentos de planeación para la conservación de la biodiversidad y sus servicios eco sistémicos</t>
        </is>
      </c>
      <c r="H18" t="inlineStr">
        <is>
          <t>Documentos cuyo objetivo es plasmar una visión de futuro a nivel país, entidad territorial, comunidad, sector, región, entidad o cualquier nivel de desagregación que se requiera. Incluye objetivos, estrategias, metas e indicadores</t>
        </is>
      </c>
      <c r="I18" t="inlineStr">
        <is>
          <t>2024251260004</t>
        </is>
      </c>
      <c r="J18" s="99">
        <v>93493140</v>
      </c>
      <c r="K18" s="99">
        <v>3300330</v>
      </c>
      <c r="L18" s="99">
        <v>25584000</v>
      </c>
      <c r="M18" s="99">
        <v>31827000</v>
      </c>
      <c r="N18" s="99">
        <v>32781810</v>
      </c>
      <c r="O18" s="99">
        <v>3300330</v>
      </c>
      <c r="P18" s="99">
        <v>3300330</v>
      </c>
      <c r="Q18" s="99">
        <v>3300330</v>
      </c>
      <c r="R18" s="100">
        <v>1</v>
      </c>
      <c r="S18" t="inlineStr">
        <is>
          <t>Se ejecutó el 100% de lo programado en la vigencia</t>
        </is>
      </c>
      <c r="T18" s="101">
        <v>12792000</v>
      </c>
      <c r="U18" s="101">
        <v>10873200</v>
      </c>
      <c r="V18" s="101">
        <v>9274200</v>
      </c>
      <c r="W18" s="102">
        <v>0.425</v>
      </c>
      <c r="X18" t="inlineStr">
        <is>
          <t>Lo obligado está por debajo de lo programado en la vigencia</t>
        </is>
      </c>
    </row>
    <row r="19">
      <c r="A19" t="inlineStr">
        <is>
          <t>IP-16</t>
        </is>
      </c>
      <c r="B19" t="inlineStr">
        <is>
          <t>32</t>
        </is>
      </c>
      <c r="C19" t="inlineStr">
        <is>
          <t>Ambiente y desarrollo sostenible</t>
        </is>
      </c>
      <c r="D19" t="inlineStr">
        <is>
          <t>3201</t>
        </is>
      </c>
      <c r="E19" t="inlineStr">
        <is>
          <t>Fortalecimiento del desempeño ambiental de los sectores productivos</t>
        </is>
      </c>
      <c r="F19" t="inlineStr">
        <is>
          <t>3201009</t>
        </is>
      </c>
      <c r="G19" t="inlineStr">
        <is>
          <t>Servicio de seguimiento y evaluación de los programas de recolección de residuos pos consumo</t>
        </is>
      </c>
      <c r="H19" t="inlineStr">
        <is>
          <t>Seguimiento y evaluación realizada a programas que sean sometidos a sistemas de gestión diferencial y evitar que la disposición final se realice de manera conjunta con los residuos de origen doméstico.</t>
        </is>
      </c>
      <c r="I19" t="inlineStr">
        <is>
          <t>2024251260005</t>
        </is>
      </c>
      <c r="J19" s="99">
        <v>125508810</v>
      </c>
      <c r="K19" s="99">
        <v>30000000</v>
      </c>
      <c r="L19" s="99">
        <v>30900000</v>
      </c>
      <c r="M19" s="99">
        <v>31827000</v>
      </c>
      <c r="N19" s="99">
        <v>32781810</v>
      </c>
      <c r="O19" s="99" t="inlineStr">
        <is>
          <t xml:space="preserve"> </t>
        </is>
      </c>
      <c r="P19" s="99" t="inlineStr">
        <is>
          <t xml:space="preserve"> </t>
        </is>
      </c>
      <c r="Q19" s="99" t="inlineStr">
        <is>
          <t xml:space="preserve"> </t>
        </is>
      </c>
      <c r="R19" s="100" t="inlineStr">
        <is>
          <t xml:space="preserve"> </t>
        </is>
      </c>
      <c r="S19" t="inlineStr">
        <is>
          <t>No se encontró ejecución en CUIPO</t>
        </is>
      </c>
      <c r="T19" s="101">
        <v>19649494</v>
      </c>
      <c r="U19" s="101">
        <v>18282699</v>
      </c>
      <c r="V19" s="101">
        <v>17216699</v>
      </c>
      <c r="W19" s="102">
        <v>0.591673106796117</v>
      </c>
      <c r="X19" t="inlineStr">
        <is>
          <t>Lo obligado está por debajo de lo programado en la vigencia</t>
        </is>
      </c>
    </row>
    <row r="20">
      <c r="A20" t="inlineStr">
        <is>
          <t>IP-17</t>
        </is>
      </c>
      <c r="B20" t="inlineStr">
        <is>
          <t>32</t>
        </is>
      </c>
      <c r="C20" t="inlineStr">
        <is>
          <t>Ambiente y desarrollo sostenible</t>
        </is>
      </c>
      <c r="D20" t="inlineStr">
        <is>
          <t>3201</t>
        </is>
      </c>
      <c r="E20" t="inlineStr">
        <is>
          <t>Fortalecimiento del desempeño ambiental de los sectores productivos</t>
        </is>
      </c>
      <c r="F20" t="inlineStr">
        <is>
          <t>3201002</t>
        </is>
      </c>
      <c r="G20" t="inlineStr">
        <is>
          <t>Documentos de lineamientos técnicos para el fortalecimiento del desempeño ambiental de los sectores productivos</t>
        </is>
      </c>
      <c r="H20" t="inlineStr">
        <is>
          <t>Documentos cuyo objetivo es describir y explicar instrumentos, estándares, requisitos y condiciones necesarias para llevar a cabo un proceso o actividad</t>
        </is>
      </c>
      <c r="I20" t="inlineStr">
        <is>
          <t>2024251260005</t>
        </is>
      </c>
      <c r="J20" s="99">
        <v>548117690</v>
      </c>
      <c r="K20" s="99">
        <v>229754990</v>
      </c>
      <c r="L20" s="99">
        <v>103000000</v>
      </c>
      <c r="M20" s="99">
        <v>106090000</v>
      </c>
      <c r="N20" s="99">
        <v>109272700</v>
      </c>
      <c r="O20" s="99" t="inlineStr">
        <is>
          <t xml:space="preserve"> </t>
        </is>
      </c>
      <c r="P20" s="99" t="inlineStr">
        <is>
          <t xml:space="preserve"> </t>
        </is>
      </c>
      <c r="Q20" s="99" t="inlineStr">
        <is>
          <t xml:space="preserve"> </t>
        </is>
      </c>
      <c r="R20" s="100" t="inlineStr">
        <is>
          <t xml:space="preserve"> </t>
        </is>
      </c>
      <c r="S20" t="inlineStr">
        <is>
          <t>No se encontró ejecución en CUIPO</t>
        </is>
      </c>
      <c r="T20" s="101" t="inlineStr">
        <is>
          <t xml:space="preserve"> </t>
        </is>
      </c>
      <c r="U20" s="101" t="inlineStr">
        <is>
          <t xml:space="preserve"> </t>
        </is>
      </c>
      <c r="V20" s="101" t="inlineStr">
        <is>
          <t xml:space="preserve"> </t>
        </is>
      </c>
      <c r="W20" s="102" t="inlineStr">
        <is>
          <t xml:space="preserve"> </t>
        </is>
      </c>
      <c r="X20" t="inlineStr">
        <is>
          <t>No se encontró ejecución en CUIPO</t>
        </is>
      </c>
    </row>
    <row r="21">
      <c r="A21" t="inlineStr">
        <is>
          <t>IP-18</t>
        </is>
      </c>
      <c r="B21" t="inlineStr">
        <is>
          <t>32</t>
        </is>
      </c>
      <c r="C21" t="inlineStr">
        <is>
          <t>Ambiente y desarrollo sostenible</t>
        </is>
      </c>
      <c r="D21" t="inlineStr">
        <is>
          <t>3202</t>
        </is>
      </c>
      <c r="E21" t="inlineStr">
        <is>
          <t>Conservación de la biodiversidad y sus servicios ecosistémicos</t>
        </is>
      </c>
      <c r="F21" t="inlineStr">
        <is>
          <t>3202068</t>
        </is>
      </c>
      <c r="G21" t="inlineStr">
        <is>
          <t>Servicio de promoción a la participación ciudadana</t>
        </is>
      </c>
      <c r="H21" t="inlineStr">
        <is>
          <t>Corresponde al diseño e implementación de acciones y estrategias que promuevan el ejercicio de la participación ciudadana.</t>
        </is>
      </c>
      <c r="I21" t="inlineStr">
        <is>
          <t>2024251260004</t>
        </is>
      </c>
      <c r="J21" s="99">
        <v>41836270</v>
      </c>
      <c r="K21" s="99">
        <v>10000000</v>
      </c>
      <c r="L21" s="99">
        <v>10300000</v>
      </c>
      <c r="M21" s="99">
        <v>10609000</v>
      </c>
      <c r="N21" s="99">
        <v>10927270</v>
      </c>
      <c r="O21" s="99" t="inlineStr">
        <is>
          <t xml:space="preserve"> </t>
        </is>
      </c>
      <c r="P21" s="99" t="inlineStr">
        <is>
          <t xml:space="preserve"> </t>
        </is>
      </c>
      <c r="Q21" s="99" t="inlineStr">
        <is>
          <t xml:space="preserve"> </t>
        </is>
      </c>
      <c r="R21" s="100" t="inlineStr">
        <is>
          <t xml:space="preserve"> </t>
        </is>
      </c>
      <c r="S21" t="inlineStr">
        <is>
          <t>No se encontró ejecución en CUIPO</t>
        </is>
      </c>
      <c r="T21" s="101" t="inlineStr">
        <is>
          <t xml:space="preserve"> </t>
        </is>
      </c>
      <c r="U21" s="101" t="inlineStr">
        <is>
          <t xml:space="preserve"> </t>
        </is>
      </c>
      <c r="V21" s="101" t="inlineStr">
        <is>
          <t xml:space="preserve"> </t>
        </is>
      </c>
      <c r="W21" s="102" t="inlineStr">
        <is>
          <t xml:space="preserve"> </t>
        </is>
      </c>
      <c r="X21" t="inlineStr">
        <is>
          <t>No se encontró ejecución en CUIPO</t>
        </is>
      </c>
    </row>
    <row r="22">
      <c r="A22" t="inlineStr">
        <is>
          <t>IP-19</t>
        </is>
      </c>
      <c r="B22" t="inlineStr">
        <is>
          <t>32</t>
        </is>
      </c>
      <c r="C22" t="inlineStr">
        <is>
          <t>Ambiente y desarrollo sostenible</t>
        </is>
      </c>
      <c r="D22" t="inlineStr">
        <is>
          <t>3201</t>
        </is>
      </c>
      <c r="E22" t="inlineStr">
        <is>
          <t>Fortalecimiento del desempeño ambiental de los sectores productivos</t>
        </is>
      </c>
      <c r="F22" t="inlineStr">
        <is>
          <t>3201003</t>
        </is>
      </c>
      <c r="G22" t="inlineStr">
        <is>
          <t>Servicio de asistencia técnica para la consolidación de negocios verdes</t>
        </is>
      </c>
      <c r="H22" t="inlineStr">
        <is>
          <t>Incluye la verificación y asesoría técnica en la consolidación de negocios verdes </t>
        </is>
      </c>
      <c r="I22" t="inlineStr">
        <is>
          <t>2024251260005</t>
        </is>
      </c>
      <c r="J22" s="99">
        <v>0</v>
      </c>
      <c r="K22" s="99">
        <v>0</v>
      </c>
      <c r="L22" s="99">
        <v>0</v>
      </c>
      <c r="M22" s="99">
        <v>0</v>
      </c>
      <c r="N22" s="99">
        <v>0</v>
      </c>
      <c r="O22" s="99" t="inlineStr">
        <is>
          <t xml:space="preserve"> </t>
        </is>
      </c>
      <c r="P22" s="99" t="inlineStr">
        <is>
          <t xml:space="preserve"> </t>
        </is>
      </c>
      <c r="Q22" s="99" t="inlineStr">
        <is>
          <t xml:space="preserve"> </t>
        </is>
      </c>
      <c r="R22" s="100" t="inlineStr">
        <is>
          <t xml:space="preserve"> </t>
        </is>
      </c>
      <c r="S22" t="inlineStr">
        <is>
          <t>No se encontró ejecución en CUIPO</t>
        </is>
      </c>
      <c r="T22" s="101" t="inlineStr">
        <is>
          <t xml:space="preserve"> </t>
        </is>
      </c>
      <c r="U22" s="101" t="inlineStr">
        <is>
          <t xml:space="preserve"> </t>
        </is>
      </c>
      <c r="V22" s="101" t="inlineStr">
        <is>
          <t xml:space="preserve"> </t>
        </is>
      </c>
      <c r="W22" s="102" t="inlineStr">
        <is>
          <t xml:space="preserve"> </t>
        </is>
      </c>
      <c r="X22" t="inlineStr">
        <is>
          <t>No se encontró ejecución en CUIPO</t>
        </is>
      </c>
    </row>
    <row r="23">
      <c r="A23" t="inlineStr">
        <is>
          <t>IP-20</t>
        </is>
      </c>
      <c r="B23" t="inlineStr">
        <is>
          <t>32</t>
        </is>
      </c>
      <c r="C23" t="inlineStr">
        <is>
          <t>Ambiente y desarrollo sostenible</t>
        </is>
      </c>
      <c r="D23" t="inlineStr">
        <is>
          <t>3206</t>
        </is>
      </c>
      <c r="E23" t="inlineStr">
        <is>
          <t>Gestión del cambio climático para un desarrollo bajo en carbono y resiliente al clima</t>
        </is>
      </c>
      <c r="F23" t="inlineStr">
        <is>
          <t>3206002</t>
        </is>
      </c>
      <c r="G23" t="inlineStr">
        <is>
          <t>Documentos de lineamientos técnicos para la gestión del cambio climático y un desarrollo bajo en carbono y resiliente al clima</t>
        </is>
      </c>
      <c r="H23" t="inlineStr">
        <is>
          <t>Documentos cuyo objetivo es describir y explicar instrumentos, estándares, requisitos y condiciones necesarias para llevar a cabo un proceso o actividad</t>
        </is>
      </c>
      <c r="I23" t="inlineStr">
        <is>
          <t>2024251260006</t>
        </is>
      </c>
      <c r="J23" s="99">
        <v>32856270</v>
      </c>
      <c r="K23" s="99">
        <v>0</v>
      </c>
      <c r="L23" s="99">
        <v>11320000</v>
      </c>
      <c r="M23" s="99">
        <v>10609000</v>
      </c>
      <c r="N23" s="99">
        <v>10927270</v>
      </c>
      <c r="O23" s="99" t="inlineStr">
        <is>
          <t xml:space="preserve"> </t>
        </is>
      </c>
      <c r="P23" s="99" t="inlineStr">
        <is>
          <t xml:space="preserve"> </t>
        </is>
      </c>
      <c r="Q23" s="99" t="inlineStr">
        <is>
          <t xml:space="preserve"> </t>
        </is>
      </c>
      <c r="R23" s="100" t="inlineStr">
        <is>
          <t xml:space="preserve"> </t>
        </is>
      </c>
      <c r="S23" t="inlineStr">
        <is>
          <t>No se encontró ejecución en CUIPO</t>
        </is>
      </c>
      <c r="T23" s="101">
        <v>11320000</v>
      </c>
      <c r="U23" s="101">
        <v>10086400</v>
      </c>
      <c r="V23" s="101">
        <v>9058400</v>
      </c>
      <c r="W23" s="102">
        <v>0.891024734982332</v>
      </c>
      <c r="X23" t="inlineStr">
        <is>
          <t>Lo obligado está por debajo de lo programado en la vigencia</t>
        </is>
      </c>
    </row>
    <row r="24">
      <c r="A24" t="inlineStr">
        <is>
          <t>IP-21</t>
        </is>
      </c>
      <c r="B24" t="inlineStr">
        <is>
          <t>32</t>
        </is>
      </c>
      <c r="C24" t="inlineStr">
        <is>
          <t>Ambiente y desarrollo sostenible</t>
        </is>
      </c>
      <c r="D24" t="inlineStr">
        <is>
          <t>3202</t>
        </is>
      </c>
      <c r="E24" t="inlineStr">
        <is>
          <t>Conservación de la biodiversidad y sus servicios ecosistémicos</t>
        </is>
      </c>
      <c r="F24" t="inlineStr">
        <is>
          <t>3202006</t>
        </is>
      </c>
      <c r="G24" t="inlineStr">
        <is>
          <t>Servicio de reforestación de ecosistemas</t>
        </is>
      </c>
      <c r="H24" t="inlineStr">
        <is>
          <t>Acciones orientadas a la siembra, mantenimiento y monitoreo de especies vegetales que cumplen una función especifica en el área, sin buscar el restablecimiento del ecosistema inicial. </t>
        </is>
      </c>
      <c r="I24" t="inlineStr">
        <is>
          <t>2024251260047</t>
        </is>
      </c>
      <c r="J24" s="99">
        <v>146404000</v>
      </c>
      <c r="K24" s="99">
        <v>49500000</v>
      </c>
      <c r="L24" s="99">
        <v>96904000</v>
      </c>
      <c r="M24" s="99">
        <v>0</v>
      </c>
      <c r="N24" s="99">
        <v>0</v>
      </c>
      <c r="O24" s="99" t="inlineStr">
        <is>
          <t xml:space="preserve"> </t>
        </is>
      </c>
      <c r="P24" s="99" t="inlineStr">
        <is>
          <t xml:space="preserve"> </t>
        </is>
      </c>
      <c r="Q24" s="99" t="inlineStr">
        <is>
          <t xml:space="preserve"> </t>
        </is>
      </c>
      <c r="R24" s="100" t="inlineStr">
        <is>
          <t xml:space="preserve"> </t>
        </is>
      </c>
      <c r="S24" t="inlineStr">
        <is>
          <t>No se encontró ejecución en CUIPO</t>
        </is>
      </c>
      <c r="T24" s="101" t="inlineStr">
        <is>
          <t xml:space="preserve"> </t>
        </is>
      </c>
      <c r="U24" s="101" t="inlineStr">
        <is>
          <t xml:space="preserve"> </t>
        </is>
      </c>
      <c r="V24" s="101" t="inlineStr">
        <is>
          <t xml:space="preserve"> </t>
        </is>
      </c>
      <c r="W24" s="102" t="inlineStr">
        <is>
          <t xml:space="preserve"> </t>
        </is>
      </c>
      <c r="X24" t="inlineStr">
        <is>
          <t>No se encontró ejecución en CUIPO</t>
        </is>
      </c>
    </row>
    <row r="25">
      <c r="A25" t="inlineStr">
        <is>
          <t>IP-22</t>
        </is>
      </c>
      <c r="B25" t="inlineStr">
        <is>
          <t>32</t>
        </is>
      </c>
      <c r="C25" t="inlineStr">
        <is>
          <t>Ambiente y desarrollo sostenible</t>
        </is>
      </c>
      <c r="D25" t="inlineStr">
        <is>
          <t>3206</t>
        </is>
      </c>
      <c r="E25" t="inlineStr">
        <is>
          <t>Gestión del cambio climático para un desarrollo bajo en carbono y resiliente al clima</t>
        </is>
      </c>
      <c r="F25" t="inlineStr">
        <is>
          <t>3206004</t>
        </is>
      </c>
      <c r="G25" t="inlineStr">
        <is>
          <t>Servicio de educación informal en gestión del cambio climático para un desarrollo bajo en carbono y resiliente al clima</t>
        </is>
      </c>
      <c r="H25" t="inlineStr">
        <is>
          <t xml:space="preserve">Incluye la realización de jornadas de educación, información, y sensibilización dirigidos a diferentes públicos. </t>
        </is>
      </c>
      <c r="I25" t="inlineStr">
        <is>
          <t>2024251260006</t>
        </is>
      </c>
      <c r="J25" s="99">
        <v>0</v>
      </c>
      <c r="K25" s="99">
        <v>0</v>
      </c>
      <c r="L25" s="99">
        <v>0</v>
      </c>
      <c r="M25" s="99">
        <v>0</v>
      </c>
      <c r="N25" s="99">
        <v>0</v>
      </c>
      <c r="O25" s="99" t="inlineStr">
        <is>
          <t xml:space="preserve"> </t>
        </is>
      </c>
      <c r="P25" s="99" t="inlineStr">
        <is>
          <t xml:space="preserve"> </t>
        </is>
      </c>
      <c r="Q25" s="99" t="inlineStr">
        <is>
          <t xml:space="preserve"> </t>
        </is>
      </c>
      <c r="R25" s="100" t="inlineStr">
        <is>
          <t xml:space="preserve"> </t>
        </is>
      </c>
      <c r="S25" t="inlineStr">
        <is>
          <t>No se encontró ejecución en CUIPO</t>
        </is>
      </c>
      <c r="T25" s="101" t="inlineStr">
        <is>
          <t xml:space="preserve"> </t>
        </is>
      </c>
      <c r="U25" s="101" t="inlineStr">
        <is>
          <t xml:space="preserve"> </t>
        </is>
      </c>
      <c r="V25" s="101" t="inlineStr">
        <is>
          <t xml:space="preserve"> </t>
        </is>
      </c>
      <c r="W25" s="102" t="inlineStr">
        <is>
          <t xml:space="preserve"> </t>
        </is>
      </c>
      <c r="X25" t="inlineStr">
        <is>
          <t>No se encontró ejecución en CUIPO</t>
        </is>
      </c>
    </row>
    <row r="26">
      <c r="A26" t="inlineStr">
        <is>
          <t>IP-23</t>
        </is>
      </c>
      <c r="B26" t="inlineStr">
        <is>
          <t>32</t>
        </is>
      </c>
      <c r="C26" t="inlineStr">
        <is>
          <t>Ambiente y desarrollo sostenible</t>
        </is>
      </c>
      <c r="D26" t="inlineStr">
        <is>
          <t>3202</t>
        </is>
      </c>
      <c r="E26" t="inlineStr">
        <is>
          <t>Conservación de la biodiversidad y sus servicios ecosistémicos</t>
        </is>
      </c>
      <c r="F26" t="inlineStr">
        <is>
          <t>3202033</t>
        </is>
      </c>
      <c r="G26" t="inlineStr">
        <is>
          <t>Infraestructura ecoturística construida</t>
        </is>
      </c>
      <c r="H26" t="inlineStr">
        <is>
          <t>Incluye el diseño y construcción de la infraestructura para el ecoturismo</t>
        </is>
      </c>
      <c r="I26" t="inlineStr">
        <is>
          <t>2024251260007</t>
        </is>
      </c>
      <c r="J26" s="99">
        <v>412295357</v>
      </c>
      <c r="K26" s="99">
        <v>412295357</v>
      </c>
      <c r="L26" s="99">
        <v>0</v>
      </c>
      <c r="M26" s="99">
        <v>0</v>
      </c>
      <c r="N26" s="99">
        <v>0</v>
      </c>
      <c r="O26" s="99">
        <v>412295357</v>
      </c>
      <c r="P26" s="99">
        <v>123688607</v>
      </c>
      <c r="Q26" s="99">
        <v>123688607</v>
      </c>
      <c r="R26" s="100">
        <v>0.299999999757455</v>
      </c>
      <c r="S26" t="inlineStr">
        <is>
          <t>Lo obligado está por debajo de lo programado en la vigencia</t>
        </is>
      </c>
      <c r="T26" s="101" t="inlineStr">
        <is>
          <t xml:space="preserve"> </t>
        </is>
      </c>
      <c r="U26" s="101" t="inlineStr">
        <is>
          <t xml:space="preserve"> </t>
        </is>
      </c>
      <c r="V26" s="101" t="inlineStr">
        <is>
          <t xml:space="preserve"> </t>
        </is>
      </c>
      <c r="W26" s="102" t="inlineStr">
        <is>
          <t xml:space="preserve"> </t>
        </is>
      </c>
      <c r="X26" t="inlineStr">
        <is>
          <t>No se encontró ejecución en CUIPO</t>
        </is>
      </c>
    </row>
    <row r="27">
      <c r="A27" t="inlineStr">
        <is>
          <t>IP-24</t>
        </is>
      </c>
      <c r="B27" t="inlineStr">
        <is>
          <t>40</t>
        </is>
      </c>
      <c r="C27" t="inlineStr">
        <is>
          <t>Vivienda, ciudad y territorio</t>
        </is>
      </c>
      <c r="D27" t="inlineStr">
        <is>
          <t>4003</t>
        </is>
      </c>
      <c r="E27" t="inlineStr">
        <is>
          <t>Acceso de la población a los servicios de agua potable y saneamiento básico</t>
        </is>
      </c>
      <c r="F27" t="inlineStr">
        <is>
          <t>4003008</t>
        </is>
      </c>
      <c r="G27" t="inlineStr">
        <is>
          <t>Servicio de apoyo financiero a los planes, programas y proyectos de Agua Potable y Saneamiento Básico</t>
        </is>
      </c>
      <c r="H27" t="inlineStr">
        <is>
          <t>Financiación o Cofinanciación a planes, programas y proyectos relacionados con Agua Potable y Saneamiento Básico</t>
        </is>
      </c>
      <c r="I27" t="inlineStr">
        <is>
          <t>2024251260012</t>
        </is>
      </c>
      <c r="J27" s="99">
        <v>6928239079.4756</v>
      </c>
      <c r="K27" s="99">
        <v>2005312078</v>
      </c>
      <c r="L27" s="99">
        <v>2437396221.72</v>
      </c>
      <c r="M27" s="99">
        <v>1224399398.8944</v>
      </c>
      <c r="N27" s="99">
        <v>1261131380.8612</v>
      </c>
      <c r="O27" s="99">
        <v>1000437889</v>
      </c>
      <c r="P27" s="99">
        <v>1000437889</v>
      </c>
      <c r="Q27" s="99">
        <v>1000437889</v>
      </c>
      <c r="R27" s="100">
        <v>0.498893862943162</v>
      </c>
      <c r="S27" t="inlineStr">
        <is>
          <t>Lo obligado está por debajo de lo programado en la vigencia</t>
        </is>
      </c>
      <c r="T27" s="101">
        <v>1531984694</v>
      </c>
      <c r="U27" s="101">
        <v>1109774935</v>
      </c>
      <c r="V27" s="101">
        <v>1109774935</v>
      </c>
      <c r="W27" s="102">
        <v>0.455311666240651</v>
      </c>
      <c r="X27" t="inlineStr">
        <is>
          <t>Lo obligado está por debajo de lo programado en la vigencia</t>
        </is>
      </c>
    </row>
    <row r="28">
      <c r="A28" t="inlineStr">
        <is>
          <t>IP-25, IP-35, IP-42</t>
        </is>
      </c>
      <c r="B28" t="inlineStr">
        <is>
          <t>40</t>
        </is>
      </c>
      <c r="C28" t="inlineStr">
        <is>
          <t>Vivienda, ciudad y territorio</t>
        </is>
      </c>
      <c r="D28" t="inlineStr">
        <is>
          <t>4003</t>
        </is>
      </c>
      <c r="E28" t="inlineStr">
        <is>
          <t>Acceso de la población a los servicios de agua potable y saneamiento básico</t>
        </is>
      </c>
      <c r="F28" t="inlineStr">
        <is>
          <t>4003047</t>
        </is>
      </c>
      <c r="G28" t="inlineStr">
        <is>
          <t>Servicio de apoyo financiero para subsidios al consumo en los servicios públicos domiciliarios</t>
        </is>
      </c>
      <c r="H28" t="inlineStr">
        <is>
          <t>Los subsidios al consumo están destinados a satisfacer necesidades básicas de los usuarios de los estratos 1, 2 y 3 en el servicio público domiciliario de acueducto, alcantarillado y aseo.</t>
        </is>
      </c>
      <c r="I28" t="inlineStr">
        <is>
          <t>2024251260012</t>
        </is>
      </c>
      <c r="J28" s="99">
        <v>839924757</v>
      </c>
      <c r="K28" s="99">
        <v>203199357</v>
      </c>
      <c r="L28" s="99">
        <v>206000000</v>
      </c>
      <c r="M28" s="99">
        <v>212180000</v>
      </c>
      <c r="N28" s="99">
        <v>218545400</v>
      </c>
      <c r="O28" s="99" t="inlineStr">
        <is>
          <t xml:space="preserve"> </t>
        </is>
      </c>
      <c r="P28" s="99" t="inlineStr">
        <is>
          <t xml:space="preserve"> </t>
        </is>
      </c>
      <c r="Q28" s="99" t="inlineStr">
        <is>
          <t xml:space="preserve"> </t>
        </is>
      </c>
      <c r="R28" s="100" t="inlineStr">
        <is>
          <t xml:space="preserve"> </t>
        </is>
      </c>
      <c r="S28" t="inlineStr">
        <is>
          <t>No se encontró ejecución en CUIPO</t>
        </is>
      </c>
      <c r="T28" s="101" t="inlineStr">
        <is>
          <t xml:space="preserve"> </t>
        </is>
      </c>
      <c r="U28" s="101" t="inlineStr">
        <is>
          <t xml:space="preserve"> </t>
        </is>
      </c>
      <c r="V28" s="101" t="inlineStr">
        <is>
          <t xml:space="preserve"> </t>
        </is>
      </c>
      <c r="W28" s="102" t="inlineStr">
        <is>
          <t xml:space="preserve"> </t>
        </is>
      </c>
      <c r="X28" t="inlineStr">
        <is>
          <t>No se encontró ejecución en CUIPO</t>
        </is>
      </c>
    </row>
    <row r="29">
      <c r="A29" t="inlineStr">
        <is>
          <t>IP-26</t>
        </is>
      </c>
      <c r="B29" t="inlineStr">
        <is>
          <t>40</t>
        </is>
      </c>
      <c r="C29" t="inlineStr">
        <is>
          <t>Vivienda, ciudad y territorio</t>
        </is>
      </c>
      <c r="D29" t="inlineStr">
        <is>
          <t>4003</t>
        </is>
      </c>
      <c r="E29" t="inlineStr">
        <is>
          <t>Acceso de la población a los servicios de agua potable y saneamiento básico</t>
        </is>
      </c>
      <c r="F29" t="inlineStr">
        <is>
          <t>4003047</t>
        </is>
      </c>
      <c r="G29" t="inlineStr">
        <is>
          <t>Servicio de apoyo financiero para subsidios al consumo en los servicios públicos domiciliarios</t>
        </is>
      </c>
      <c r="H29" t="inlineStr">
        <is>
          <t>Los subsidios al consumo están destinados a satisfacer necesidades básicas de los usuarios de los estratos 1, 2 y 3 en el servicio público domiciliario de acueducto, alcantarillado y aseo.</t>
        </is>
      </c>
      <c r="I29" t="inlineStr">
        <is>
          <t>2024251260008</t>
        </is>
      </c>
      <c r="J29" s="99">
        <v>6906818326.2398</v>
      </c>
      <c r="K29" s="99">
        <v>4131455877</v>
      </c>
      <c r="L29" s="99">
        <v>897914021.56</v>
      </c>
      <c r="M29" s="99">
        <v>924851442.2068</v>
      </c>
      <c r="N29" s="99">
        <v>952596985.473</v>
      </c>
      <c r="O29" s="99" t="inlineStr">
        <is>
          <t xml:space="preserve"> </t>
        </is>
      </c>
      <c r="P29" s="99" t="inlineStr">
        <is>
          <t xml:space="preserve"> </t>
        </is>
      </c>
      <c r="Q29" s="99" t="inlineStr">
        <is>
          <t xml:space="preserve"> </t>
        </is>
      </c>
      <c r="R29" s="100" t="inlineStr">
        <is>
          <t xml:space="preserve"> </t>
        </is>
      </c>
      <c r="S29" t="inlineStr">
        <is>
          <t>No se encontró ejecución en CUIPO</t>
        </is>
      </c>
      <c r="T29" s="101" t="inlineStr">
        <is>
          <t xml:space="preserve"> </t>
        </is>
      </c>
      <c r="U29" s="101" t="inlineStr">
        <is>
          <t xml:space="preserve"> </t>
        </is>
      </c>
      <c r="V29" s="101" t="inlineStr">
        <is>
          <t xml:space="preserve"> </t>
        </is>
      </c>
      <c r="W29" s="102" t="inlineStr">
        <is>
          <t xml:space="preserve"> </t>
        </is>
      </c>
      <c r="X29" t="inlineStr">
        <is>
          <t>No se encontró ejecución en CUIPO</t>
        </is>
      </c>
    </row>
    <row r="30">
      <c r="A30" t="inlineStr">
        <is>
          <t>IP-27</t>
        </is>
      </c>
      <c r="B30" t="inlineStr">
        <is>
          <t>40</t>
        </is>
      </c>
      <c r="C30" t="inlineStr">
        <is>
          <t>Vivienda, ciudad y territorio</t>
        </is>
      </c>
      <c r="D30" t="inlineStr">
        <is>
          <t>4003</t>
        </is>
      </c>
      <c r="E30" t="inlineStr">
        <is>
          <t>Acceso de la población a los servicios de agua potable y saneamiento básico</t>
        </is>
      </c>
      <c r="F30" t="inlineStr">
        <is>
          <t>4003006</t>
        </is>
      </c>
      <c r="G30" t="inlineStr">
        <is>
          <t>Documentos de planeación</t>
        </is>
      </c>
      <c r="H30" t="inlineStr">
        <is>
          <t>Documentos cuyo objetivo es plasmar una visión de futuro a nivel país, entidad territorial, comunidad, sector, región, entidad o cualquier nivel de desagregación que se requiera. Incluye objetivos, estrategias, metas e indicadores</t>
        </is>
      </c>
      <c r="I30" t="inlineStr">
        <is>
          <t>2024251260008</t>
        </is>
      </c>
      <c r="J30" s="99">
        <v>5471146347.67</v>
      </c>
      <c r="K30" s="99">
        <v>4200000000</v>
      </c>
      <c r="L30" s="99">
        <v>1271146347.67</v>
      </c>
      <c r="M30" s="99">
        <v>0</v>
      </c>
      <c r="N30" s="99">
        <v>0</v>
      </c>
      <c r="O30" s="99">
        <v>4192061980</v>
      </c>
      <c r="P30" s="99">
        <v>4192061980</v>
      </c>
      <c r="Q30" s="99">
        <v>4192061980</v>
      </c>
      <c r="R30" s="100">
        <v>0.998109995238095</v>
      </c>
      <c r="S30" t="inlineStr">
        <is>
          <t>Lo obligado está por debajo de lo programado en la vigencia</t>
        </is>
      </c>
      <c r="T30" s="101">
        <v>870000000</v>
      </c>
      <c r="U30" s="101">
        <v>870000000</v>
      </c>
      <c r="V30" s="101">
        <v>870000000</v>
      </c>
      <c r="W30" s="102">
        <v>0.684421586542496</v>
      </c>
      <c r="X30" t="inlineStr">
        <is>
          <t>Lo obligado está por debajo de lo programado en la vigencia</t>
        </is>
      </c>
    </row>
    <row r="31">
      <c r="A31" t="inlineStr">
        <is>
          <t>IP-28</t>
        </is>
      </c>
      <c r="B31" t="inlineStr">
        <is>
          <t>40</t>
        </is>
      </c>
      <c r="C31" t="inlineStr">
        <is>
          <t>Vivienda, ciudad y territorio</t>
        </is>
      </c>
      <c r="D31" t="inlineStr">
        <is>
          <t>4003</t>
        </is>
      </c>
      <c r="E31" t="inlineStr">
        <is>
          <t>Acceso de la población a los servicios de agua potable y saneamiento básico</t>
        </is>
      </c>
      <c r="F31" t="inlineStr">
        <is>
          <t>4003027</t>
        </is>
      </c>
      <c r="G31" t="inlineStr">
        <is>
          <t>Servicios de apoyo financiero para proyectos de conexiones intradomiciliarias y/o agua y saneamiento en casa</t>
        </is>
      </c>
      <c r="H31" t="inlineStr">
        <is>
          <t>Financiación o cofinanciación para fomentar el acceso a los servicios públicos domiciliarios de acueducto y alcantarillado, mediante la construcción o mejoramiento de las conexiones intradomiciliarias y domiciliarias.</t>
        </is>
      </c>
      <c r="I31" t="inlineStr">
        <is>
          <t>2024251260008</t>
        </is>
      </c>
      <c r="J31" s="99">
        <v>0</v>
      </c>
      <c r="K31" s="99">
        <v>0</v>
      </c>
      <c r="L31" s="99">
        <v>0</v>
      </c>
      <c r="M31" s="99">
        <v>0</v>
      </c>
      <c r="N31" s="99">
        <v>0</v>
      </c>
      <c r="O31" s="99" t="inlineStr">
        <is>
          <t xml:space="preserve"> </t>
        </is>
      </c>
      <c r="P31" s="99" t="inlineStr">
        <is>
          <t xml:space="preserve"> </t>
        </is>
      </c>
      <c r="Q31" s="99" t="inlineStr">
        <is>
          <t xml:space="preserve"> </t>
        </is>
      </c>
      <c r="R31" s="100" t="inlineStr">
        <is>
          <t xml:space="preserve"> </t>
        </is>
      </c>
      <c r="S31" t="inlineStr">
        <is>
          <t>No se encontró ejecución en CUIPO</t>
        </is>
      </c>
      <c r="T31" s="101" t="inlineStr">
        <is>
          <t xml:space="preserve"> </t>
        </is>
      </c>
      <c r="U31" s="101" t="inlineStr">
        <is>
          <t xml:space="preserve"> </t>
        </is>
      </c>
      <c r="V31" s="101" t="inlineStr">
        <is>
          <t xml:space="preserve"> </t>
        </is>
      </c>
      <c r="W31" s="102" t="inlineStr">
        <is>
          <t xml:space="preserve"> </t>
        </is>
      </c>
      <c r="X31" t="inlineStr">
        <is>
          <t>No se encontró ejecución en CUIPO</t>
        </is>
      </c>
    </row>
    <row r="32">
      <c r="A32" t="inlineStr">
        <is>
          <t>IP-29, IP-31</t>
        </is>
      </c>
      <c r="B32" t="inlineStr">
        <is>
          <t>40</t>
        </is>
      </c>
      <c r="C32" t="inlineStr">
        <is>
          <t>Vivienda, ciudad y territorio</t>
        </is>
      </c>
      <c r="D32" t="inlineStr">
        <is>
          <t>4003</t>
        </is>
      </c>
      <c r="E32" t="inlineStr">
        <is>
          <t>Acceso de la población a los servicios de agua potable y saneamiento básico</t>
        </is>
      </c>
      <c r="F32" t="inlineStr">
        <is>
          <t>4003016</t>
        </is>
      </c>
      <c r="G32" t="inlineStr">
        <is>
          <t>Acueductos ampliados</t>
        </is>
      </c>
      <c r="H32" t="inlineStr">
        <is>
          <t>Conjunto de acciones y obras requeridas para aumentar la capacidad del acueducto en una misma área de cobertura.</t>
        </is>
      </c>
      <c r="I32" t="inlineStr">
        <is>
          <t>2024251260082</t>
        </is>
      </c>
      <c r="J32" s="99">
        <v>2855394904.44</v>
      </c>
      <c r="K32" s="99">
        <v>1796000000</v>
      </c>
      <c r="L32" s="99">
        <v>1059394904.44</v>
      </c>
      <c r="M32" s="99">
        <v>0</v>
      </c>
      <c r="N32" s="99">
        <v>0</v>
      </c>
      <c r="O32" s="99">
        <v>3081190079</v>
      </c>
      <c r="P32" s="99">
        <v>3081190079</v>
      </c>
      <c r="Q32" s="99">
        <v>3081190079</v>
      </c>
      <c r="R32" s="100">
        <v>1.71558467650334</v>
      </c>
      <c r="S32" t="inlineStr">
        <is>
          <t>Hubo ejecución por encima de lo programado en SisPT</t>
        </is>
      </c>
      <c r="T32" s="101">
        <v>1256347827</v>
      </c>
      <c r="U32" s="101">
        <v>1256347827</v>
      </c>
      <c r="V32" s="101">
        <v>1256347827</v>
      </c>
      <c r="W32" s="102">
        <v>1.18591077013355</v>
      </c>
      <c r="X32" t="inlineStr">
        <is>
          <t>Hubo ejecución por encima de lo programado en SisPT</t>
        </is>
      </c>
    </row>
    <row r="33">
      <c r="A33" t="inlineStr">
        <is>
          <t>IP-30</t>
        </is>
      </c>
      <c r="B33" t="inlineStr">
        <is>
          <t>40</t>
        </is>
      </c>
      <c r="C33" t="inlineStr">
        <is>
          <t>Vivienda, ciudad y territorio</t>
        </is>
      </c>
      <c r="D33" t="inlineStr">
        <is>
          <t>4003</t>
        </is>
      </c>
      <c r="E33" t="inlineStr">
        <is>
          <t>Acceso de la población a los servicios de agua potable y saneamiento básico</t>
        </is>
      </c>
      <c r="F33" t="inlineStr">
        <is>
          <t>4003015</t>
        </is>
      </c>
      <c r="G33" t="inlineStr">
        <is>
          <t>Acueductos construidos</t>
        </is>
      </c>
      <c r="H33" t="inlineStr">
        <is>
          <t>Conjunto de acciones y obras para la implementación de sistemas de acueducto nuevos.</t>
        </is>
      </c>
      <c r="I33" t="inlineStr">
        <is>
          <t>2024251260082</t>
        </is>
      </c>
      <c r="J33" s="99">
        <v>0</v>
      </c>
      <c r="K33" s="99">
        <v>0</v>
      </c>
      <c r="L33" s="99">
        <v>0</v>
      </c>
      <c r="M33" s="99">
        <v>0</v>
      </c>
      <c r="N33" s="99">
        <v>0</v>
      </c>
      <c r="O33" s="99" t="inlineStr">
        <is>
          <t xml:space="preserve"> </t>
        </is>
      </c>
      <c r="P33" s="99" t="inlineStr">
        <is>
          <t xml:space="preserve"> </t>
        </is>
      </c>
      <c r="Q33" s="99" t="inlineStr">
        <is>
          <t xml:space="preserve"> </t>
        </is>
      </c>
      <c r="R33" s="100" t="inlineStr">
        <is>
          <t xml:space="preserve"> </t>
        </is>
      </c>
      <c r="S33" t="inlineStr">
        <is>
          <t>No se encontró ejecución en CUIPO</t>
        </is>
      </c>
      <c r="T33" s="101" t="inlineStr">
        <is>
          <t xml:space="preserve"> </t>
        </is>
      </c>
      <c r="U33" s="101" t="inlineStr">
        <is>
          <t xml:space="preserve"> </t>
        </is>
      </c>
      <c r="V33" s="101" t="inlineStr">
        <is>
          <t xml:space="preserve"> </t>
        </is>
      </c>
      <c r="W33" s="102" t="inlineStr">
        <is>
          <t xml:space="preserve"> </t>
        </is>
      </c>
      <c r="X33" t="inlineStr">
        <is>
          <t>No se encontró ejecución en CUIPO</t>
        </is>
      </c>
    </row>
    <row r="34">
      <c r="A34" t="inlineStr">
        <is>
          <t>IP-32</t>
        </is>
      </c>
      <c r="B34" t="inlineStr">
        <is>
          <t>40</t>
        </is>
      </c>
      <c r="C34" t="inlineStr">
        <is>
          <t>Vivienda, ciudad y territorio</t>
        </is>
      </c>
      <c r="D34" t="inlineStr">
        <is>
          <t>4003</t>
        </is>
      </c>
      <c r="E34" t="inlineStr">
        <is>
          <t>Acceso de la población a los servicios de agua potable y saneamiento básico</t>
        </is>
      </c>
      <c r="F34" t="inlineStr">
        <is>
          <t>4003017</t>
        </is>
      </c>
      <c r="G34" t="inlineStr">
        <is>
          <t>Acueductos optimizados</t>
        </is>
      </c>
      <c r="H34" t="inlineStr">
        <is>
          <t>Conjunto de acciones encaminadas a mejorar la capacidad, eficiencia y eficacia de la infraestructura componente del sistema de acueducto mediante su intervención parcial o total.</t>
        </is>
      </c>
      <c r="I34" t="inlineStr">
        <is>
          <t>2024251260008</t>
        </is>
      </c>
      <c r="J34" s="99">
        <v>660000000</v>
      </c>
      <c r="K34" s="99">
        <v>660000000</v>
      </c>
      <c r="L34" s="99">
        <v>0</v>
      </c>
      <c r="M34" s="99">
        <v>0</v>
      </c>
      <c r="N34" s="99">
        <v>0</v>
      </c>
      <c r="O34" s="99">
        <v>659843100</v>
      </c>
      <c r="P34" s="99">
        <v>659843100</v>
      </c>
      <c r="Q34" s="99">
        <v>659843100</v>
      </c>
      <c r="R34" s="100">
        <v>0.999762272727273</v>
      </c>
      <c r="S34" t="inlineStr">
        <is>
          <t>Lo obligado está por debajo de lo programado en la vigencia</t>
        </is>
      </c>
      <c r="T34" s="101" t="inlineStr">
        <is>
          <t xml:space="preserve"> </t>
        </is>
      </c>
      <c r="U34" s="101" t="inlineStr">
        <is>
          <t xml:space="preserve"> </t>
        </is>
      </c>
      <c r="V34" s="101" t="inlineStr">
        <is>
          <t xml:space="preserve"> </t>
        </is>
      </c>
      <c r="W34" s="102" t="inlineStr">
        <is>
          <t xml:space="preserve"> </t>
        </is>
      </c>
      <c r="X34" t="inlineStr">
        <is>
          <t>No se encontró ejecución en CUIPO</t>
        </is>
      </c>
    </row>
    <row r="35">
      <c r="A35" t="inlineStr">
        <is>
          <t>IP-33</t>
        </is>
      </c>
      <c r="B35" t="inlineStr">
        <is>
          <t>40</t>
        </is>
      </c>
      <c r="C35" t="inlineStr">
        <is>
          <t>Vivienda, ciudad y territorio</t>
        </is>
      </c>
      <c r="D35" t="inlineStr">
        <is>
          <t>4003</t>
        </is>
      </c>
      <c r="E35" t="inlineStr">
        <is>
          <t>Acceso de la población a los servicios de agua potable y saneamiento básico</t>
        </is>
      </c>
      <c r="F35" t="inlineStr">
        <is>
          <t>4003049</t>
        </is>
      </c>
      <c r="G35" t="inlineStr">
        <is>
          <t>Servicios de información implementados</t>
        </is>
      </c>
      <c r="H35" t="inlineStr">
        <is>
          <t>Corresponde al proceso que asegura la disposición de la información de manera accesible, confiable y oportuna.</t>
        </is>
      </c>
      <c r="I35" t="inlineStr">
        <is>
          <t>2024251260012</t>
        </is>
      </c>
      <c r="J35" s="99">
        <v>120919845</v>
      </c>
      <c r="K35" s="99">
        <v>3900000</v>
      </c>
      <c r="L35" s="99">
        <v>41642900</v>
      </c>
      <c r="M35" s="99">
        <v>37131500</v>
      </c>
      <c r="N35" s="99">
        <v>38245445</v>
      </c>
      <c r="O35" s="99">
        <v>3900000</v>
      </c>
      <c r="P35" s="99">
        <v>3900000</v>
      </c>
      <c r="Q35" s="99">
        <v>3900000</v>
      </c>
      <c r="R35" s="100">
        <v>1</v>
      </c>
      <c r="S35" t="inlineStr">
        <is>
          <t>Se ejecutó el 100% de lo programado en la vigencia</t>
        </is>
      </c>
      <c r="T35" s="101">
        <v>41642900</v>
      </c>
      <c r="U35" s="101">
        <v>27583400</v>
      </c>
      <c r="V35" s="101">
        <v>27583400</v>
      </c>
      <c r="W35" s="102">
        <v>0.662379421221865</v>
      </c>
      <c r="X35" t="inlineStr">
        <is>
          <t>Lo obligado está por debajo de lo programado en la vigencia</t>
        </is>
      </c>
    </row>
    <row r="36">
      <c r="A36" t="inlineStr">
        <is>
          <t>IP-34</t>
        </is>
      </c>
      <c r="B36" t="inlineStr">
        <is>
          <t>40</t>
        </is>
      </c>
      <c r="C36" t="inlineStr">
        <is>
          <t>Vivienda, ciudad y territorio</t>
        </is>
      </c>
      <c r="D36" t="inlineStr">
        <is>
          <t>4003</t>
        </is>
      </c>
      <c r="E36" t="inlineStr">
        <is>
          <t>Acceso de la población a los servicios de agua potable y saneamiento básico</t>
        </is>
      </c>
      <c r="F36" t="inlineStr">
        <is>
          <t>4003050</t>
        </is>
      </c>
      <c r="G36" t="inlineStr">
        <is>
          <t>Servicios de  Información actualizados</t>
        </is>
      </c>
      <c r="H36" t="inlineStr">
        <is>
          <t>Corresponde al proceso que mejora en la disposición de la información para asegurar que sea accesible, confiable y oportuna.</t>
        </is>
      </c>
      <c r="I36" t="inlineStr">
        <is>
          <t>2024251260008</t>
        </is>
      </c>
      <c r="J36" s="99">
        <v>0</v>
      </c>
      <c r="K36" s="99">
        <v>0</v>
      </c>
      <c r="L36" s="99">
        <v>0</v>
      </c>
      <c r="M36" s="99">
        <v>0</v>
      </c>
      <c r="N36" s="99">
        <v>0</v>
      </c>
      <c r="O36" s="99" t="inlineStr">
        <is>
          <t xml:space="preserve"> </t>
        </is>
      </c>
      <c r="P36" s="99" t="inlineStr">
        <is>
          <t xml:space="preserve"> </t>
        </is>
      </c>
      <c r="Q36" s="99" t="inlineStr">
        <is>
          <t xml:space="preserve"> </t>
        </is>
      </c>
      <c r="R36" s="100" t="inlineStr">
        <is>
          <t xml:space="preserve"> </t>
        </is>
      </c>
      <c r="S36" t="inlineStr">
        <is>
          <t>No se encontró ejecución en CUIPO</t>
        </is>
      </c>
      <c r="T36" s="101" t="inlineStr">
        <is>
          <t xml:space="preserve"> </t>
        </is>
      </c>
      <c r="U36" s="101" t="inlineStr">
        <is>
          <t xml:space="preserve"> </t>
        </is>
      </c>
      <c r="V36" s="101" t="inlineStr">
        <is>
          <t xml:space="preserve"> </t>
        </is>
      </c>
      <c r="W36" s="102" t="inlineStr">
        <is>
          <t xml:space="preserve"> </t>
        </is>
      </c>
      <c r="X36" t="inlineStr">
        <is>
          <t>No se encontró ejecución en CUIPO</t>
        </is>
      </c>
    </row>
    <row r="37">
      <c r="A37" t="inlineStr">
        <is>
          <t>IP-36, IP-41</t>
        </is>
      </c>
      <c r="B37" t="inlineStr">
        <is>
          <t>40</t>
        </is>
      </c>
      <c r="C37" t="inlineStr">
        <is>
          <t>Vivienda, ciudad y territorio</t>
        </is>
      </c>
      <c r="D37" t="inlineStr">
        <is>
          <t>4003</t>
        </is>
      </c>
      <c r="E37" t="inlineStr">
        <is>
          <t>Acceso de la población a los servicios de agua potable y saneamiento básico</t>
        </is>
      </c>
      <c r="F37" t="inlineStr">
        <is>
          <t>4003020</t>
        </is>
      </c>
      <c r="G37" t="inlineStr">
        <is>
          <t>Alcantarillados optimizados</t>
        </is>
      </c>
      <c r="H37" t="inlineStr">
        <is>
          <t>Conjunto de acciones encaminadas a mejorar la capacidad, eficiencia y eficacia de la infraestructura componente del sistema de alcantarillado mediante su intervención parcial o total.</t>
        </is>
      </c>
      <c r="I37" t="inlineStr">
        <is>
          <t>2024251260009</t>
        </is>
      </c>
      <c r="J37" s="99">
        <v>1103686828</v>
      </c>
      <c r="K37" s="99">
        <v>548600000</v>
      </c>
      <c r="L37" s="99">
        <v>555086828</v>
      </c>
      <c r="M37" s="99">
        <v>0</v>
      </c>
      <c r="N37" s="99">
        <v>0</v>
      </c>
      <c r="O37" s="99">
        <v>548600000</v>
      </c>
      <c r="P37" s="99">
        <v>548600000</v>
      </c>
      <c r="Q37" s="99">
        <v>548600000</v>
      </c>
      <c r="R37" s="100">
        <v>1</v>
      </c>
      <c r="S37" t="inlineStr">
        <is>
          <t>Se ejecutó el 100% de lo programado en la vigencia</t>
        </is>
      </c>
      <c r="T37" s="101">
        <v>555086828</v>
      </c>
      <c r="U37" s="101">
        <v>555086828</v>
      </c>
      <c r="V37" s="101">
        <v>555086828</v>
      </c>
      <c r="W37" s="102">
        <v>1</v>
      </c>
      <c r="X37" t="inlineStr">
        <is>
          <t>Se ejecutó el 100% de lo programado en la vigencia</t>
        </is>
      </c>
    </row>
    <row r="38">
      <c r="A38" t="inlineStr">
        <is>
          <t>IP-37</t>
        </is>
      </c>
      <c r="B38" t="inlineStr">
        <is>
          <t>40</t>
        </is>
      </c>
      <c r="C38" t="inlineStr">
        <is>
          <t>Vivienda, ciudad y territorio</t>
        </is>
      </c>
      <c r="D38" t="inlineStr">
        <is>
          <t>4003</t>
        </is>
      </c>
      <c r="E38" t="inlineStr">
        <is>
          <t>Acceso de la población a los servicios de agua potable y saneamiento básico</t>
        </is>
      </c>
      <c r="F38" t="inlineStr">
        <is>
          <t>4003019</t>
        </is>
      </c>
      <c r="G38" t="inlineStr">
        <is>
          <t>Alcantarillados ampliados</t>
        </is>
      </c>
      <c r="H38" t="inlineStr">
        <is>
          <t>Conjunto de acciones y obras requeridas para aumentar la capacidad del alcantarillado en una misma área de cobertura.</t>
        </is>
      </c>
      <c r="I38" t="inlineStr">
        <is>
          <t>2024251260009</t>
        </is>
      </c>
      <c r="J38" s="99">
        <v>0</v>
      </c>
      <c r="K38" s="99">
        <v>0</v>
      </c>
      <c r="L38" s="99">
        <v>0</v>
      </c>
      <c r="M38" s="99">
        <v>0</v>
      </c>
      <c r="N38" s="99">
        <v>0</v>
      </c>
      <c r="O38" s="99" t="inlineStr">
        <is>
          <t xml:space="preserve"> </t>
        </is>
      </c>
      <c r="P38" s="99" t="inlineStr">
        <is>
          <t xml:space="preserve"> </t>
        </is>
      </c>
      <c r="Q38" s="99" t="inlineStr">
        <is>
          <t xml:space="preserve"> </t>
        </is>
      </c>
      <c r="R38" s="100" t="inlineStr">
        <is>
          <t xml:space="preserve"> </t>
        </is>
      </c>
      <c r="S38" t="inlineStr">
        <is>
          <t>No se encontró ejecución en CUIPO</t>
        </is>
      </c>
      <c r="T38" s="101" t="inlineStr">
        <is>
          <t xml:space="preserve"> </t>
        </is>
      </c>
      <c r="U38" s="101" t="inlineStr">
        <is>
          <t xml:space="preserve"> </t>
        </is>
      </c>
      <c r="V38" s="101" t="inlineStr">
        <is>
          <t xml:space="preserve"> </t>
        </is>
      </c>
      <c r="W38" s="102" t="inlineStr">
        <is>
          <t xml:space="preserve"> </t>
        </is>
      </c>
      <c r="X38" t="inlineStr">
        <is>
          <t>No se encontró ejecución en CUIPO</t>
        </is>
      </c>
    </row>
    <row r="39">
      <c r="A39" t="inlineStr">
        <is>
          <t>IP-38</t>
        </is>
      </c>
      <c r="B39" t="inlineStr">
        <is>
          <t>40</t>
        </is>
      </c>
      <c r="C39" t="inlineStr">
        <is>
          <t>Vivienda, ciudad y territorio</t>
        </is>
      </c>
      <c r="D39" t="inlineStr">
        <is>
          <t>4003</t>
        </is>
      </c>
      <c r="E39" t="inlineStr">
        <is>
          <t>Acceso de la población a los servicios de agua potable y saneamiento básico</t>
        </is>
      </c>
      <c r="F39" t="inlineStr">
        <is>
          <t>4003018</t>
        </is>
      </c>
      <c r="G39" t="inlineStr">
        <is>
          <t>Alcantarillados construidos</t>
        </is>
      </c>
      <c r="H39" t="inlineStr">
        <is>
          <t>Conjunto de acciones y obras para la implementación de sistemas de alcantarillado nuevos.</t>
        </is>
      </c>
      <c r="I39" t="inlineStr">
        <is>
          <t>2024251260060</t>
        </is>
      </c>
      <c r="J39" s="99">
        <v>599119952.0381</v>
      </c>
      <c r="K39" s="99">
        <v>189978064</v>
      </c>
      <c r="L39" s="99">
        <v>0</v>
      </c>
      <c r="M39" s="99">
        <v>201547728.0976</v>
      </c>
      <c r="N39" s="99">
        <v>207594159.9405</v>
      </c>
      <c r="O39" s="99" t="inlineStr">
        <is>
          <t xml:space="preserve"> </t>
        </is>
      </c>
      <c r="P39" s="99" t="inlineStr">
        <is>
          <t xml:space="preserve"> </t>
        </is>
      </c>
      <c r="Q39" s="99" t="inlineStr">
        <is>
          <t xml:space="preserve"> </t>
        </is>
      </c>
      <c r="R39" s="100" t="inlineStr">
        <is>
          <t xml:space="preserve"> </t>
        </is>
      </c>
      <c r="S39" t="inlineStr">
        <is>
          <t>No se encontró ejecución en CUIPO</t>
        </is>
      </c>
      <c r="T39" s="101" t="inlineStr">
        <is>
          <t xml:space="preserve"> </t>
        </is>
      </c>
      <c r="U39" s="101" t="inlineStr">
        <is>
          <t xml:space="preserve"> </t>
        </is>
      </c>
      <c r="V39" s="101" t="inlineStr">
        <is>
          <t xml:space="preserve"> </t>
        </is>
      </c>
      <c r="W39" s="102" t="inlineStr">
        <is>
          <t xml:space="preserve"> </t>
        </is>
      </c>
      <c r="X39" t="inlineStr">
        <is>
          <t>No se encontró ejecución en CUIPO</t>
        </is>
      </c>
    </row>
    <row r="40">
      <c r="A40" t="inlineStr">
        <is>
          <t>IP-39</t>
        </is>
      </c>
      <c r="B40" t="inlineStr">
        <is>
          <t>40</t>
        </is>
      </c>
      <c r="C40" t="inlineStr">
        <is>
          <t>Vivienda, ciudad y territorio</t>
        </is>
      </c>
      <c r="D40" t="inlineStr">
        <is>
          <t>4003</t>
        </is>
      </c>
      <c r="E40" t="inlineStr">
        <is>
          <t>Acceso de la población a los servicios de agua potable y saneamiento básico</t>
        </is>
      </c>
      <c r="F40" t="inlineStr">
        <is>
          <t>4003020</t>
        </is>
      </c>
      <c r="G40" t="inlineStr">
        <is>
          <t>Alcantarillados optimizados</t>
        </is>
      </c>
      <c r="H40" t="inlineStr">
        <is>
          <t>Conjunto de acciones encaminadas a mejorar la capacidad, eficiencia y eficacia de la infraestructura componente del sistema de alcantarillado mediante su intervención parcial o total.</t>
        </is>
      </c>
      <c r="I40" t="inlineStr">
        <is>
          <t>2024251260060</t>
        </is>
      </c>
      <c r="J40" s="99">
        <v>2378959145</v>
      </c>
      <c r="K40" s="99">
        <v>2178959145</v>
      </c>
      <c r="L40" s="99">
        <v>200000000</v>
      </c>
      <c r="M40" s="99">
        <v>0</v>
      </c>
      <c r="N40" s="99">
        <v>0</v>
      </c>
      <c r="O40" s="99">
        <v>1178959145</v>
      </c>
      <c r="P40" s="99">
        <v>0</v>
      </c>
      <c r="Q40" s="99">
        <v>0</v>
      </c>
      <c r="R40" s="100">
        <v>0</v>
      </c>
      <c r="S40" t="inlineStr">
        <is>
          <t>No se ejecutó en la vigencia</t>
        </is>
      </c>
      <c r="T40" s="101">
        <v>200000000</v>
      </c>
      <c r="U40" s="101">
        <v>0</v>
      </c>
      <c r="V40" s="101">
        <v>0</v>
      </c>
      <c r="W40" s="102">
        <v>0</v>
      </c>
      <c r="X40" t="inlineStr">
        <is>
          <t>No se ejecutó en la vigencia</t>
        </is>
      </c>
    </row>
    <row r="41">
      <c r="A41" t="inlineStr">
        <is>
          <t>IP-40</t>
        </is>
      </c>
      <c r="B41" t="inlineStr">
        <is>
          <t>40</t>
        </is>
      </c>
      <c r="C41" t="inlineStr">
        <is>
          <t>Vivienda, ciudad y territorio</t>
        </is>
      </c>
      <c r="D41" t="inlineStr">
        <is>
          <t>4003</t>
        </is>
      </c>
      <c r="E41" t="inlineStr">
        <is>
          <t>Acceso de la población a los servicios de agua potable y saneamiento básico</t>
        </is>
      </c>
      <c r="F41" t="inlineStr">
        <is>
          <t>4003006</t>
        </is>
      </c>
      <c r="G41" t="inlineStr">
        <is>
          <t>Documentos de planeación</t>
        </is>
      </c>
      <c r="H41" t="inlineStr">
        <is>
          <t>Documentos cuyo objetivo es plasmar una visión de futuro a nivel país, entidad territorial, comunidad, sector, región, entidad o cualquier nivel de desagregación que se requiera. Incluye objetivos, estrategias, metas e indicadores</t>
        </is>
      </c>
      <c r="I41" t="inlineStr">
        <is>
          <t>2024251260060</t>
        </is>
      </c>
      <c r="J41" s="99">
        <v>1156363972</v>
      </c>
      <c r="K41" s="99">
        <v>0</v>
      </c>
      <c r="L41" s="99">
        <v>294913172</v>
      </c>
      <c r="M41" s="99">
        <v>424360000</v>
      </c>
      <c r="N41" s="99">
        <v>437090800</v>
      </c>
      <c r="O41" s="99" t="inlineStr">
        <is>
          <t xml:space="preserve"> </t>
        </is>
      </c>
      <c r="P41" s="99" t="inlineStr">
        <is>
          <t xml:space="preserve"> </t>
        </is>
      </c>
      <c r="Q41" s="99" t="inlineStr">
        <is>
          <t xml:space="preserve"> </t>
        </is>
      </c>
      <c r="R41" s="100" t="inlineStr">
        <is>
          <t xml:space="preserve"> </t>
        </is>
      </c>
      <c r="S41" t="inlineStr">
        <is>
          <t>No se encontró ejecución en CUIPO</t>
        </is>
      </c>
      <c r="T41" s="101">
        <v>294913172</v>
      </c>
      <c r="U41" s="101">
        <v>206439220</v>
      </c>
      <c r="V41" s="101">
        <v>0</v>
      </c>
      <c r="W41" s="102">
        <v>0.699999998643669</v>
      </c>
      <c r="X41" t="inlineStr">
        <is>
          <t>Lo obligado está por debajo de lo programado en la vigencia</t>
        </is>
      </c>
    </row>
    <row r="42">
      <c r="A42" t="inlineStr">
        <is>
          <t>IP-43</t>
        </is>
      </c>
      <c r="B42" t="inlineStr">
        <is>
          <t>40</t>
        </is>
      </c>
      <c r="C42" t="inlineStr">
        <is>
          <t>Vivienda, ciudad y territorio</t>
        </is>
      </c>
      <c r="D42" t="inlineStr">
        <is>
          <t>4003</t>
        </is>
      </c>
      <c r="E42" t="inlineStr">
        <is>
          <t>Acceso de la población a los servicios de agua potable y saneamiento básico</t>
        </is>
      </c>
      <c r="F42" t="inlineStr">
        <is>
          <t>4003006</t>
        </is>
      </c>
      <c r="G42" t="inlineStr">
        <is>
          <t>Documentos de planeación</t>
        </is>
      </c>
      <c r="H42" t="inlineStr">
        <is>
          <t>Documentos cuyo objetivo es plasmar una visión de futuro a nivel país, entidad territorial, comunidad, sector, región, entidad o cualquier nivel de desagregación que se requiera. Incluye objetivos, estrategias, metas e indicadores</t>
        </is>
      </c>
      <c r="I42" t="inlineStr">
        <is>
          <t>2024251260011</t>
        </is>
      </c>
      <c r="J42" s="99">
        <v>4380554506.517</v>
      </c>
      <c r="K42" s="99">
        <v>1047071000</v>
      </c>
      <c r="L42" s="99">
        <v>1078483130</v>
      </c>
      <c r="M42" s="99">
        <v>1110837623.9</v>
      </c>
      <c r="N42" s="99">
        <v>1144162752.617</v>
      </c>
      <c r="O42" s="99">
        <v>79188888</v>
      </c>
      <c r="P42" s="99">
        <v>79188888</v>
      </c>
      <c r="Q42" s="99">
        <v>79188888</v>
      </c>
      <c r="R42" s="100">
        <v>0.0756289573486421</v>
      </c>
      <c r="S42" t="inlineStr">
        <is>
          <t>Lo obligado está por debajo de lo programado en la vigencia</t>
        </is>
      </c>
      <c r="T42" s="101">
        <v>980000000</v>
      </c>
      <c r="U42" s="101">
        <v>957771467</v>
      </c>
      <c r="V42" s="101">
        <v>948507467</v>
      </c>
      <c r="W42" s="102">
        <v>0.888072738791936</v>
      </c>
      <c r="X42" t="inlineStr">
        <is>
          <t>Lo obligado está por debajo de lo programado en la vigencia</t>
        </is>
      </c>
    </row>
    <row r="43">
      <c r="A43" t="inlineStr">
        <is>
          <t>IP-44, IP-45, IP-46</t>
        </is>
      </c>
      <c r="B43" t="inlineStr">
        <is>
          <t>40</t>
        </is>
      </c>
      <c r="C43" t="inlineStr">
        <is>
          <t>Vivienda, ciudad y territorio</t>
        </is>
      </c>
      <c r="D43" t="inlineStr">
        <is>
          <t>4002</t>
        </is>
      </c>
      <c r="E43" t="inlineStr">
        <is>
          <t>Ordenamiento territorial y desarrollo urbano</t>
        </is>
      </c>
      <c r="F43" t="inlineStr">
        <is>
          <t>4002016</t>
        </is>
      </c>
      <c r="G43" t="inlineStr">
        <is>
          <t>Documentos de planeación</t>
        </is>
      </c>
      <c r="H43" t="inlineStr">
        <is>
          <t>Documentos cuyo objetivo es plasmar una visión de futuro a nivel país, entidad territorial, comunidad, sector, región, entidad o cualquier nivel de desagregación que se requiera. Incluye objetivos, estrategias, metas e indicadores</t>
        </is>
      </c>
      <c r="I43" t="inlineStr">
        <is>
          <t>2024251260013</t>
        </is>
      </c>
      <c r="J43" s="99">
        <v>2220691020</v>
      </c>
      <c r="K43" s="99">
        <v>505278035</v>
      </c>
      <c r="L43" s="99">
        <v>520150000</v>
      </c>
      <c r="M43" s="99">
        <v>588799500</v>
      </c>
      <c r="N43" s="99">
        <v>606463485</v>
      </c>
      <c r="O43" s="99">
        <v>307983056</v>
      </c>
      <c r="P43" s="99">
        <v>233667266</v>
      </c>
      <c r="Q43" s="99">
        <v>233667266</v>
      </c>
      <c r="R43" s="100">
        <v>0.462452847371448</v>
      </c>
      <c r="S43" t="inlineStr">
        <is>
          <t>Lo obligado está por debajo de lo programado en la vigencia</t>
        </is>
      </c>
      <c r="T43" s="101">
        <v>641815007</v>
      </c>
      <c r="U43" s="101">
        <v>376222079</v>
      </c>
      <c r="V43" s="101">
        <v>359057078</v>
      </c>
      <c r="W43" s="102">
        <v>0.723295355186004</v>
      </c>
      <c r="X43" t="inlineStr">
        <is>
          <t>Lo obligado está por debajo de lo programado en la vigencia</t>
        </is>
      </c>
    </row>
    <row r="44">
      <c r="A44" t="inlineStr">
        <is>
          <t>IP-47</t>
        </is>
      </c>
      <c r="B44" t="inlineStr">
        <is>
          <t>40</t>
        </is>
      </c>
      <c r="C44" t="inlineStr">
        <is>
          <t>Vivienda, ciudad y territorio</t>
        </is>
      </c>
      <c r="D44" t="inlineStr">
        <is>
          <t>4002</t>
        </is>
      </c>
      <c r="E44" t="inlineStr">
        <is>
          <t>Ordenamiento territorial y desarrollo urbano</t>
        </is>
      </c>
      <c r="F44" t="inlineStr">
        <is>
          <t>4002034</t>
        </is>
      </c>
      <c r="G44" t="inlineStr">
        <is>
          <t>Estudios de pre inversión e inversión</t>
        </is>
      </c>
      <c r="H44" t="inlineStr">
        <is>
          <t>Incluye la realización de estudios de pre factibilidad, factibilidad o definitivos para la ejecución de proyectos</t>
        </is>
      </c>
      <c r="I44" t="inlineStr">
        <is>
          <t>2024251260013</t>
        </is>
      </c>
      <c r="J44" s="99">
        <v>0</v>
      </c>
      <c r="K44" s="99">
        <v>0</v>
      </c>
      <c r="L44" s="99">
        <v>0</v>
      </c>
      <c r="M44" s="99">
        <v>0</v>
      </c>
      <c r="N44" s="99">
        <v>0</v>
      </c>
      <c r="O44" s="99" t="inlineStr">
        <is>
          <t xml:space="preserve"> </t>
        </is>
      </c>
      <c r="P44" s="99" t="inlineStr">
        <is>
          <t xml:space="preserve"> </t>
        </is>
      </c>
      <c r="Q44" s="99" t="inlineStr">
        <is>
          <t xml:space="preserve"> </t>
        </is>
      </c>
      <c r="R44" s="100" t="inlineStr">
        <is>
          <t xml:space="preserve"> </t>
        </is>
      </c>
      <c r="S44" t="inlineStr">
        <is>
          <t>No se encontró ejecución en CUIPO</t>
        </is>
      </c>
      <c r="T44" s="101" t="inlineStr">
        <is>
          <t xml:space="preserve"> </t>
        </is>
      </c>
      <c r="U44" s="101" t="inlineStr">
        <is>
          <t xml:space="preserve"> </t>
        </is>
      </c>
      <c r="V44" s="101" t="inlineStr">
        <is>
          <t xml:space="preserve"> </t>
        </is>
      </c>
      <c r="W44" s="102" t="inlineStr">
        <is>
          <t xml:space="preserve"> </t>
        </is>
      </c>
      <c r="X44" t="inlineStr">
        <is>
          <t>No se encontró ejecución en CUIPO</t>
        </is>
      </c>
    </row>
    <row r="45">
      <c r="A45" t="inlineStr">
        <is>
          <t>IP-48</t>
        </is>
      </c>
      <c r="B45" t="inlineStr">
        <is>
          <t>40</t>
        </is>
      </c>
      <c r="C45" t="inlineStr">
        <is>
          <t>Vivienda, ciudad y territorio</t>
        </is>
      </c>
      <c r="D45" t="inlineStr">
        <is>
          <t>4001</t>
        </is>
      </c>
      <c r="E45" t="inlineStr">
        <is>
          <t>Acceso a soluciones de vivienda</t>
        </is>
      </c>
      <c r="F45" t="inlineStr">
        <is>
          <t>4001004</t>
        </is>
      </c>
      <c r="G45" t="inlineStr">
        <is>
          <t>Documentos de planeación</t>
        </is>
      </c>
      <c r="H45" t="inlineStr">
        <is>
          <t>Documentos cuyo objetivo es plasmar una visión de futuro a nivel país, entidad territorial, comunidad, sector, región, entidad o cualquier nivel de desagregación que se requiera. Incluye objetivos, estrategias, metas e indicadores</t>
        </is>
      </c>
      <c r="I45" t="inlineStr">
        <is>
          <t>2024251260014</t>
        </is>
      </c>
      <c r="J45" s="99">
        <v>418362700</v>
      </c>
      <c r="K45" s="99">
        <v>100000000</v>
      </c>
      <c r="L45" s="99">
        <v>103000000</v>
      </c>
      <c r="M45" s="99">
        <v>106090000</v>
      </c>
      <c r="N45" s="99">
        <v>109272700</v>
      </c>
      <c r="O45" s="99">
        <v>24603000</v>
      </c>
      <c r="P45" s="99">
        <v>24603000</v>
      </c>
      <c r="Q45" s="99">
        <v>24603000</v>
      </c>
      <c r="R45" s="100">
        <v>0.24603</v>
      </c>
      <c r="S45" t="inlineStr">
        <is>
          <t>Lo obligado está por debajo de lo programado en la vigencia</t>
        </is>
      </c>
      <c r="T45" s="101">
        <v>97570828</v>
      </c>
      <c r="U45" s="101">
        <v>52446034</v>
      </c>
      <c r="V45" s="101">
        <v>52446034</v>
      </c>
      <c r="W45" s="102">
        <v>0.509184796116505</v>
      </c>
      <c r="X45" t="inlineStr">
        <is>
          <t>Lo obligado está por debajo de lo programado en la vigencia</t>
        </is>
      </c>
    </row>
    <row r="46">
      <c r="A46" t="inlineStr">
        <is>
          <t>IP-49</t>
        </is>
      </c>
      <c r="B46" t="inlineStr">
        <is>
          <t>40</t>
        </is>
      </c>
      <c r="C46" t="inlineStr">
        <is>
          <t>Vivienda, ciudad y territorio</t>
        </is>
      </c>
      <c r="D46" t="inlineStr">
        <is>
          <t>4001</t>
        </is>
      </c>
      <c r="E46" t="inlineStr">
        <is>
          <t>Acceso a soluciones de vivienda</t>
        </is>
      </c>
      <c r="F46" t="inlineStr">
        <is>
          <t>4001039</t>
        </is>
      </c>
      <c r="G46" t="inlineStr">
        <is>
          <t>Vivienda de Interés Prioritario construidas</t>
        </is>
      </c>
      <c r="H46" t="inlineStr">
        <is>
          <t>Corresponde a la solución de vivienda de interés prioritaria nueva construida y entregada por el estado al hogar que le fue asignado el subsidio familiar de vivienda de interés prioritaria para la adquisición de una vivienda nueva.</t>
        </is>
      </c>
      <c r="I46" t="inlineStr">
        <is>
          <t>2024251260084</t>
        </is>
      </c>
      <c r="J46" s="99">
        <v>9940764600</v>
      </c>
      <c r="K46" s="99">
        <v>0</v>
      </c>
      <c r="L46" s="99">
        <v>9940764600</v>
      </c>
      <c r="M46" s="99">
        <v>0</v>
      </c>
      <c r="N46" s="99">
        <v>0</v>
      </c>
      <c r="O46" s="99" t="inlineStr">
        <is>
          <t xml:space="preserve"> </t>
        </is>
      </c>
      <c r="P46" s="99" t="inlineStr">
        <is>
          <t xml:space="preserve"> </t>
        </is>
      </c>
      <c r="Q46" s="99" t="inlineStr">
        <is>
          <t xml:space="preserve"> </t>
        </is>
      </c>
      <c r="R46" s="100" t="inlineStr">
        <is>
          <t xml:space="preserve"> </t>
        </is>
      </c>
      <c r="S46" t="inlineStr">
        <is>
          <t>No se encontró ejecución en CUIPO</t>
        </is>
      </c>
      <c r="T46" s="101">
        <v>9940764600</v>
      </c>
      <c r="U46" s="101">
        <v>9940764600</v>
      </c>
      <c r="V46" s="101">
        <v>9940764600</v>
      </c>
      <c r="W46" s="102">
        <v>1</v>
      </c>
      <c r="X46" t="inlineStr">
        <is>
          <t>Se ejecutó el 100% de lo programado en la vigencia</t>
        </is>
      </c>
    </row>
    <row r="47">
      <c r="A47" t="inlineStr">
        <is>
          <t>IP-50</t>
        </is>
      </c>
      <c r="B47" t="inlineStr">
        <is>
          <t>40</t>
        </is>
      </c>
      <c r="C47" t="inlineStr">
        <is>
          <t>Vivienda, ciudad y territorio</t>
        </is>
      </c>
      <c r="D47" t="inlineStr">
        <is>
          <t>4001</t>
        </is>
      </c>
      <c r="E47" t="inlineStr">
        <is>
          <t>Acceso a soluciones de vivienda</t>
        </is>
      </c>
      <c r="F47" t="inlineStr">
        <is>
          <t>4001042</t>
        </is>
      </c>
      <c r="G47" t="inlineStr">
        <is>
          <t>Vivienda de Interés Social construidas</t>
        </is>
      </c>
      <c r="H47" t="inlineStr">
        <is>
          <t>Corresponde a la solución de vivienda de interés social nueva construida y entregada por el estado al hogar que le fue asignado el subsidio familiar de vivienda de interés social para la adquisición de una vivienda nueva.</t>
        </is>
      </c>
      <c r="I47" t="inlineStr">
        <is>
          <t>2024251260081</t>
        </is>
      </c>
      <c r="J47" s="99">
        <v>128590350</v>
      </c>
      <c r="K47" s="99">
        <v>0</v>
      </c>
      <c r="L47" s="99">
        <v>0</v>
      </c>
      <c r="M47" s="99">
        <v>63345000</v>
      </c>
      <c r="N47" s="99">
        <v>65245350</v>
      </c>
      <c r="O47" s="99" t="inlineStr">
        <is>
          <t xml:space="preserve"> </t>
        </is>
      </c>
      <c r="P47" s="99" t="inlineStr">
        <is>
          <t xml:space="preserve"> </t>
        </is>
      </c>
      <c r="Q47" s="99" t="inlineStr">
        <is>
          <t xml:space="preserve"> </t>
        </is>
      </c>
      <c r="R47" s="100" t="inlineStr">
        <is>
          <t xml:space="preserve"> </t>
        </is>
      </c>
      <c r="S47" t="inlineStr">
        <is>
          <t>No se encontró ejecución en CUIPO</t>
        </is>
      </c>
      <c r="T47" s="101" t="inlineStr">
        <is>
          <t xml:space="preserve"> </t>
        </is>
      </c>
      <c r="U47" s="101" t="inlineStr">
        <is>
          <t xml:space="preserve"> </t>
        </is>
      </c>
      <c r="V47" s="101" t="inlineStr">
        <is>
          <t xml:space="preserve"> </t>
        </is>
      </c>
      <c r="W47" s="102" t="inlineStr">
        <is>
          <t xml:space="preserve"> </t>
        </is>
      </c>
      <c r="X47" t="inlineStr">
        <is>
          <t>No se encontró ejecución en CUIPO</t>
        </is>
      </c>
    </row>
    <row r="48">
      <c r="A48" t="inlineStr">
        <is>
          <t>IP-51</t>
        </is>
      </c>
      <c r="B48" t="inlineStr">
        <is>
          <t>40</t>
        </is>
      </c>
      <c r="C48" t="inlineStr">
        <is>
          <t>Vivienda, ciudad y territorio</t>
        </is>
      </c>
      <c r="D48" t="inlineStr">
        <is>
          <t>4001</t>
        </is>
      </c>
      <c r="E48" t="inlineStr">
        <is>
          <t>Acceso a soluciones de vivienda</t>
        </is>
      </c>
      <c r="F48" t="inlineStr">
        <is>
          <t>4001031</t>
        </is>
      </c>
      <c r="G48" t="inlineStr">
        <is>
          <t>Servicio de apoyo financiero para adquisición de vivienda</t>
        </is>
      </c>
      <c r="H48" t="inlineStr">
        <is>
          <t>Corresponde al apoyo financiero a través de la asignación de un subsidio familiar de vivienda de interés social para la adquisición de una vivienda nueva y usada.</t>
        </is>
      </c>
      <c r="I48" t="inlineStr">
        <is>
          <t>2024251260014</t>
        </is>
      </c>
      <c r="J48" s="99">
        <v>20000000</v>
      </c>
      <c r="K48" s="99">
        <v>0</v>
      </c>
      <c r="L48" s="99">
        <v>20000000</v>
      </c>
      <c r="M48" s="99">
        <v>0</v>
      </c>
      <c r="N48" s="99">
        <v>0</v>
      </c>
      <c r="O48" s="99" t="inlineStr">
        <is>
          <t xml:space="preserve"> </t>
        </is>
      </c>
      <c r="P48" s="99" t="inlineStr">
        <is>
          <t xml:space="preserve"> </t>
        </is>
      </c>
      <c r="Q48" s="99" t="inlineStr">
        <is>
          <t xml:space="preserve"> </t>
        </is>
      </c>
      <c r="R48" s="100" t="inlineStr">
        <is>
          <t xml:space="preserve"> </t>
        </is>
      </c>
      <c r="S48" t="inlineStr">
        <is>
          <t>No se encontró ejecución en CUIPO</t>
        </is>
      </c>
      <c r="T48" s="101" t="inlineStr">
        <is>
          <t xml:space="preserve"> </t>
        </is>
      </c>
      <c r="U48" s="101" t="inlineStr">
        <is>
          <t xml:space="preserve"> </t>
        </is>
      </c>
      <c r="V48" s="101" t="inlineStr">
        <is>
          <t xml:space="preserve"> </t>
        </is>
      </c>
      <c r="W48" s="102" t="inlineStr">
        <is>
          <t xml:space="preserve"> </t>
        </is>
      </c>
      <c r="X48" t="inlineStr">
        <is>
          <t>No se encontró ejecución en CUIPO</t>
        </is>
      </c>
    </row>
    <row r="49">
      <c r="A49" t="inlineStr">
        <is>
          <t>IP-52</t>
        </is>
      </c>
      <c r="B49" t="inlineStr">
        <is>
          <t>40</t>
        </is>
      </c>
      <c r="C49" t="inlineStr">
        <is>
          <t>Vivienda, ciudad y territorio</t>
        </is>
      </c>
      <c r="D49" t="inlineStr">
        <is>
          <t>4001</t>
        </is>
      </c>
      <c r="E49" t="inlineStr">
        <is>
          <t>Acceso a soluciones de vivienda</t>
        </is>
      </c>
      <c r="F49" t="inlineStr">
        <is>
          <t>4001001</t>
        </is>
      </c>
      <c r="G49" t="inlineStr">
        <is>
          <t>Servicio de asistencia técnica y jurídica en saneamiento y titulación de predios</t>
        </is>
      </c>
      <c r="H49" t="inlineStr">
        <is>
          <t>Corresponde al conjunto de acciones de acompañamiento, asesoría, apoyo técnico y jurídico que se deben adelantar para la procesos de saneamiento, titulación  y legalización urbanística de cuerdo establecido en la normativa vigente</t>
        </is>
      </c>
      <c r="I49" t="inlineStr">
        <is>
          <t>2024251260014</t>
        </is>
      </c>
      <c r="J49" s="99">
        <v>342853890</v>
      </c>
      <c r="K49" s="99">
        <v>120000000</v>
      </c>
      <c r="L49" s="99">
        <v>72100000</v>
      </c>
      <c r="M49" s="99">
        <v>74263000</v>
      </c>
      <c r="N49" s="99">
        <v>76490890</v>
      </c>
      <c r="O49" s="99">
        <v>50000000</v>
      </c>
      <c r="P49" s="99">
        <v>50000000</v>
      </c>
      <c r="Q49" s="99">
        <v>50000000</v>
      </c>
      <c r="R49" s="100">
        <v>0.416666666666667</v>
      </c>
      <c r="S49" t="inlineStr">
        <is>
          <t>Lo obligado está por debajo de lo programado en la vigencia</t>
        </is>
      </c>
      <c r="T49" s="101">
        <v>37389000</v>
      </c>
      <c r="U49" s="101">
        <v>20400000</v>
      </c>
      <c r="V49" s="101">
        <v>20400000</v>
      </c>
      <c r="W49" s="102">
        <v>0.282940360610264</v>
      </c>
      <c r="X49" t="inlineStr">
        <is>
          <t>Lo obligado está por debajo de lo programado en la vigencia</t>
        </is>
      </c>
    </row>
    <row r="50">
      <c r="A50" t="inlineStr">
        <is>
          <t>IP-53</t>
        </is>
      </c>
      <c r="B50" t="inlineStr">
        <is>
          <t>40</t>
        </is>
      </c>
      <c r="C50" t="inlineStr">
        <is>
          <t>Vivienda, ciudad y territorio</t>
        </is>
      </c>
      <c r="D50" t="inlineStr">
        <is>
          <t>4001</t>
        </is>
      </c>
      <c r="E50" t="inlineStr">
        <is>
          <t>Acceso a soluciones de vivienda</t>
        </is>
      </c>
      <c r="F50" t="inlineStr">
        <is>
          <t>4001046</t>
        </is>
      </c>
      <c r="G50" t="inlineStr">
        <is>
          <t>Servicios de  información actualizados</t>
        </is>
      </c>
      <c r="H50" t="inlineStr">
        <is>
          <t>Corresponde al proceso que mejora en la disposición de la información para asegurar que sea accesible, confiable y oportuna.</t>
        </is>
      </c>
      <c r="I50" t="inlineStr">
        <is>
          <t>2024251260014</t>
        </is>
      </c>
      <c r="J50" s="99">
        <v>448065935</v>
      </c>
      <c r="K50" s="99">
        <v>83000000</v>
      </c>
      <c r="L50" s="99">
        <v>182007640</v>
      </c>
      <c r="M50" s="99">
        <v>90176500</v>
      </c>
      <c r="N50" s="99">
        <v>92881795</v>
      </c>
      <c r="O50" s="99">
        <v>83000000</v>
      </c>
      <c r="P50" s="99">
        <v>83000000</v>
      </c>
      <c r="Q50" s="99">
        <v>83000000</v>
      </c>
      <c r="R50" s="100">
        <v>1</v>
      </c>
      <c r="S50" t="inlineStr">
        <is>
          <t>Se ejecutó el 100% de lo programado en la vigencia</t>
        </is>
      </c>
      <c r="T50" s="101">
        <v>173244032</v>
      </c>
      <c r="U50" s="101">
        <v>113065752</v>
      </c>
      <c r="V50" s="101">
        <v>113065752</v>
      </c>
      <c r="W50" s="102">
        <v>0.621214318256091</v>
      </c>
      <c r="X50" t="inlineStr">
        <is>
          <t>Lo obligado está por debajo de lo programado en la vigencia</t>
        </is>
      </c>
    </row>
    <row r="51">
      <c r="A51" t="inlineStr">
        <is>
          <t>IP-54</t>
        </is>
      </c>
      <c r="B51" t="inlineStr">
        <is>
          <t>40</t>
        </is>
      </c>
      <c r="C51" t="inlineStr">
        <is>
          <t>Vivienda, ciudad y territorio</t>
        </is>
      </c>
      <c r="D51" t="inlineStr">
        <is>
          <t>4001</t>
        </is>
      </c>
      <c r="E51" t="inlineStr">
        <is>
          <t>Acceso a soluciones de vivienda</t>
        </is>
      </c>
      <c r="F51" t="inlineStr">
        <is>
          <t>4001034</t>
        </is>
      </c>
      <c r="G51" t="inlineStr">
        <is>
          <t>Servicio de apoyo financiero para construcción de vivienda en sitio propio</t>
        </is>
      </c>
      <c r="H51" t="inlineStr">
        <is>
          <t>Corresponde al apoyo financiero a través de la asignación de un subsidio familiar de vivienda de interés  social o interés prioritario para construcción  en sitio propio.</t>
        </is>
      </c>
      <c r="I51" t="inlineStr">
        <is>
          <t>2024251260014</t>
        </is>
      </c>
      <c r="J51" s="99">
        <v>5663815720.83</v>
      </c>
      <c r="K51" s="99">
        <v>4363577056.1</v>
      </c>
      <c r="L51" s="99">
        <v>1300238664.73</v>
      </c>
      <c r="M51" s="99">
        <v>0</v>
      </c>
      <c r="N51" s="99">
        <v>0</v>
      </c>
      <c r="O51" s="99">
        <v>1294826969</v>
      </c>
      <c r="P51" s="99">
        <v>1294826969</v>
      </c>
      <c r="Q51" s="99">
        <v>1294826969</v>
      </c>
      <c r="R51" s="100">
        <v>0.29673521341623</v>
      </c>
      <c r="S51" t="inlineStr">
        <is>
          <t>Lo obligado está por debajo de lo programado en la vigencia</t>
        </is>
      </c>
      <c r="T51" s="101">
        <v>641424038</v>
      </c>
      <c r="U51" s="101">
        <v>641424038</v>
      </c>
      <c r="V51" s="101">
        <v>641424038</v>
      </c>
      <c r="W51" s="102">
        <v>0.49331253976607</v>
      </c>
      <c r="X51" t="inlineStr">
        <is>
          <t>Lo obligado está por debajo de lo programado en la vigencia</t>
        </is>
      </c>
    </row>
    <row r="52">
      <c r="A52" t="inlineStr">
        <is>
          <t>IP-55</t>
        </is>
      </c>
      <c r="B52" t="inlineStr">
        <is>
          <t>40</t>
        </is>
      </c>
      <c r="C52" t="inlineStr">
        <is>
          <t>Vivienda, ciudad y territorio</t>
        </is>
      </c>
      <c r="D52" t="inlineStr">
        <is>
          <t>4001</t>
        </is>
      </c>
      <c r="E52" t="inlineStr">
        <is>
          <t>Acceso a soluciones de vivienda</t>
        </is>
      </c>
      <c r="F52" t="inlineStr">
        <is>
          <t>4001032</t>
        </is>
      </c>
      <c r="G52" t="inlineStr">
        <is>
          <t>Servicio de apoyo financiero para mejoramiento de vivienda</t>
        </is>
      </c>
      <c r="H52" t="inlineStr">
        <is>
          <t>Corresponde al apoyo financiero a través de la asignación de un subsidio familiar de vivienda de interés social para mejoramiento, reparación y/o reconstrucción.</t>
        </is>
      </c>
      <c r="I52" t="inlineStr">
        <is>
          <t>2024251260014</t>
        </is>
      </c>
      <c r="J52" s="99">
        <v>2397075513</v>
      </c>
      <c r="K52" s="99">
        <v>330000000</v>
      </c>
      <c r="L52" s="99">
        <v>990262013</v>
      </c>
      <c r="M52" s="99">
        <v>530450000</v>
      </c>
      <c r="N52" s="99">
        <v>546363500</v>
      </c>
      <c r="O52" s="99">
        <v>330000000</v>
      </c>
      <c r="P52" s="99">
        <v>330000000</v>
      </c>
      <c r="Q52" s="99">
        <v>330000000</v>
      </c>
      <c r="R52" s="100">
        <v>1</v>
      </c>
      <c r="S52" t="inlineStr">
        <is>
          <t>Se ejecutó el 100% de lo programado en la vigencia</t>
        </is>
      </c>
      <c r="T52" s="101">
        <v>808220000</v>
      </c>
      <c r="U52" s="101">
        <v>807879682</v>
      </c>
      <c r="V52" s="101">
        <v>807879682</v>
      </c>
      <c r="W52" s="102">
        <v>0.815824167133835</v>
      </c>
      <c r="X52" t="inlineStr">
        <is>
          <t>Lo obligado está por debajo de lo programado en la vigencia</t>
        </is>
      </c>
    </row>
    <row r="53">
      <c r="A53" t="inlineStr">
        <is>
          <t>IP-56</t>
        </is>
      </c>
      <c r="B53" t="inlineStr">
        <is>
          <t>40</t>
        </is>
      </c>
      <c r="C53" t="inlineStr">
        <is>
          <t>Vivienda, ciudad y territorio</t>
        </is>
      </c>
      <c r="D53" t="inlineStr">
        <is>
          <t>4001</t>
        </is>
      </c>
      <c r="E53" t="inlineStr">
        <is>
          <t>Acceso a soluciones de vivienda</t>
        </is>
      </c>
      <c r="F53" t="inlineStr">
        <is>
          <t>4001002</t>
        </is>
      </c>
      <c r="G53" t="inlineStr">
        <is>
          <t>Servicio de asistencia técnica en proyectos de Vivienda</t>
        </is>
      </c>
      <c r="H53" t="inlineStr">
        <is>
          <t/>
        </is>
      </c>
      <c r="I53" t="inlineStr">
        <is>
          <t>2024251260014</t>
        </is>
      </c>
      <c r="J53" s="99">
        <v>243231316</v>
      </c>
      <c r="K53" s="99">
        <v>190431316</v>
      </c>
      <c r="L53" s="99">
        <v>52800000</v>
      </c>
      <c r="M53" s="99">
        <v>0</v>
      </c>
      <c r="N53" s="99">
        <v>0</v>
      </c>
      <c r="O53" s="99">
        <v>190431316</v>
      </c>
      <c r="P53" s="99">
        <v>190431316</v>
      </c>
      <c r="Q53" s="99">
        <v>190431316</v>
      </c>
      <c r="R53" s="100">
        <v>1</v>
      </c>
      <c r="S53" t="inlineStr">
        <is>
          <t>Se ejecutó el 100% de lo programado en la vigencia</t>
        </is>
      </c>
      <c r="T53" s="101">
        <v>52800000</v>
      </c>
      <c r="U53" s="101">
        <v>36640000</v>
      </c>
      <c r="V53" s="101">
        <v>36640000</v>
      </c>
      <c r="W53" s="102">
        <v>0.693939393939394</v>
      </c>
      <c r="X53" t="inlineStr">
        <is>
          <t>Lo obligado está por debajo de lo programado en la vigencia</t>
        </is>
      </c>
    </row>
    <row r="54">
      <c r="A54" t="inlineStr">
        <is>
          <t>IP-57</t>
        </is>
      </c>
      <c r="B54" t="inlineStr">
        <is>
          <t>40</t>
        </is>
      </c>
      <c r="C54" t="inlineStr">
        <is>
          <t>Vivienda, ciudad y territorio</t>
        </is>
      </c>
      <c r="D54" t="inlineStr">
        <is>
          <t>4002</t>
        </is>
      </c>
      <c r="E54" t="inlineStr">
        <is>
          <t>Ordenamiento territorial y desarrollo urbano</t>
        </is>
      </c>
      <c r="F54" t="inlineStr">
        <is>
          <t>4002020</t>
        </is>
      </c>
      <c r="G54" t="inlineStr">
        <is>
          <t>Espacio publico adecuado</t>
        </is>
      </c>
      <c r="H54" t="inlineStr">
        <is>
          <t>Mejoramiento, ampliación y/o mantenimiento de los elementos constitutivos y complementarios del espacio público contenidos en el Decreto 1504 de 1998</t>
        </is>
      </c>
      <c r="I54" t="inlineStr">
        <is>
          <t>2024251260013</t>
        </is>
      </c>
      <c r="J54" s="99">
        <v>638406750</v>
      </c>
      <c r="K54" s="99">
        <v>100000000</v>
      </c>
      <c r="L54" s="99">
        <v>0</v>
      </c>
      <c r="M54" s="99">
        <v>265225000</v>
      </c>
      <c r="N54" s="99">
        <v>273181750</v>
      </c>
      <c r="O54" s="99" t="inlineStr">
        <is>
          <t xml:space="preserve"> </t>
        </is>
      </c>
      <c r="P54" s="99" t="inlineStr">
        <is>
          <t xml:space="preserve"> </t>
        </is>
      </c>
      <c r="Q54" s="99" t="inlineStr">
        <is>
          <t xml:space="preserve"> </t>
        </is>
      </c>
      <c r="R54" s="100" t="inlineStr">
        <is>
          <t xml:space="preserve"> </t>
        </is>
      </c>
      <c r="S54" t="inlineStr">
        <is>
          <t>No se encontró ejecución en CUIPO</t>
        </is>
      </c>
      <c r="T54" s="101" t="inlineStr">
        <is>
          <t xml:space="preserve"> </t>
        </is>
      </c>
      <c r="U54" s="101" t="inlineStr">
        <is>
          <t xml:space="preserve"> </t>
        </is>
      </c>
      <c r="V54" s="101" t="inlineStr">
        <is>
          <t xml:space="preserve"> </t>
        </is>
      </c>
      <c r="W54" s="102" t="inlineStr">
        <is>
          <t xml:space="preserve"> </t>
        </is>
      </c>
      <c r="X54" t="inlineStr">
        <is>
          <t>No se encontró ejecución en CUIPO</t>
        </is>
      </c>
    </row>
    <row r="55">
      <c r="A55" t="inlineStr">
        <is>
          <t>IP-58</t>
        </is>
      </c>
      <c r="B55" t="inlineStr">
        <is>
          <t>40</t>
        </is>
      </c>
      <c r="C55" t="inlineStr">
        <is>
          <t>Vivienda, ciudad y territorio</t>
        </is>
      </c>
      <c r="D55" t="inlineStr">
        <is>
          <t>4002</t>
        </is>
      </c>
      <c r="E55" t="inlineStr">
        <is>
          <t>Ordenamiento territorial y desarrollo urbano</t>
        </is>
      </c>
      <c r="F55" t="inlineStr">
        <is>
          <t>4002019</t>
        </is>
      </c>
      <c r="G55" t="inlineStr">
        <is>
          <t>Espacio publico construido</t>
        </is>
      </c>
      <c r="H55" t="inlineStr">
        <is>
          <t>Construcción de obras de infraestructura que intervienen los elementos constitutivos y complementarios del espacio público contenidos en el Decreto 1504 de 1998</t>
        </is>
      </c>
      <c r="I55" t="inlineStr">
        <is>
          <t>2024251260015</t>
        </is>
      </c>
      <c r="J55" s="99">
        <v>6197700245</v>
      </c>
      <c r="K55" s="99">
        <v>1194589810</v>
      </c>
      <c r="L55" s="99">
        <v>1772669935</v>
      </c>
      <c r="M55" s="99">
        <v>1591350000</v>
      </c>
      <c r="N55" s="99">
        <v>1639090500</v>
      </c>
      <c r="O55" s="99">
        <v>847507008</v>
      </c>
      <c r="P55" s="99">
        <v>138799991</v>
      </c>
      <c r="Q55" s="99">
        <v>138799991</v>
      </c>
      <c r="R55" s="100">
        <v>0.116190503081556</v>
      </c>
      <c r="S55" t="inlineStr">
        <is>
          <t>Lo obligado está por debajo de lo programado en la vigencia</t>
        </is>
      </c>
      <c r="T55" s="101">
        <v>1601652146</v>
      </c>
      <c r="U55" s="101">
        <v>1568932146</v>
      </c>
      <c r="V55" s="101">
        <v>1561232146</v>
      </c>
      <c r="W55" s="102">
        <v>0.885067273395146</v>
      </c>
      <c r="X55" t="inlineStr">
        <is>
          <t>Lo obligado está por debajo de lo programado en la vigencia</t>
        </is>
      </c>
    </row>
    <row r="56">
      <c r="A56" t="inlineStr">
        <is>
          <t>IP-59</t>
        </is>
      </c>
      <c r="B56" t="inlineStr">
        <is>
          <t>40</t>
        </is>
      </c>
      <c r="C56" t="inlineStr">
        <is>
          <t>Vivienda, ciudad y territorio</t>
        </is>
      </c>
      <c r="D56" t="inlineStr">
        <is>
          <t>4002</t>
        </is>
      </c>
      <c r="E56" t="inlineStr">
        <is>
          <t>Ordenamiento territorial y desarrollo urbano</t>
        </is>
      </c>
      <c r="F56" t="inlineStr">
        <is>
          <t>4002021</t>
        </is>
      </c>
      <c r="G56" t="inlineStr">
        <is>
          <t>Parques construidos</t>
        </is>
      </c>
      <c r="H56" t="inlineStr">
        <is>
          <t/>
        </is>
      </c>
      <c r="I56" t="inlineStr">
        <is>
          <t>2024251260017</t>
        </is>
      </c>
      <c r="J56" s="99">
        <v>635000000</v>
      </c>
      <c r="K56" s="99">
        <v>635000000</v>
      </c>
      <c r="L56" s="99">
        <v>0</v>
      </c>
      <c r="M56" s="99">
        <v>0</v>
      </c>
      <c r="N56" s="99">
        <v>0</v>
      </c>
      <c r="O56" s="99" t="inlineStr">
        <is>
          <t xml:space="preserve"> </t>
        </is>
      </c>
      <c r="P56" s="99" t="inlineStr">
        <is>
          <t xml:space="preserve"> </t>
        </is>
      </c>
      <c r="Q56" s="99" t="inlineStr">
        <is>
          <t xml:space="preserve"> </t>
        </is>
      </c>
      <c r="R56" s="100" t="inlineStr">
        <is>
          <t xml:space="preserve"> </t>
        </is>
      </c>
      <c r="S56" t="inlineStr">
        <is>
          <t>No se encontró ejecución en CUIPO</t>
        </is>
      </c>
      <c r="T56" s="101" t="inlineStr">
        <is>
          <t xml:space="preserve"> </t>
        </is>
      </c>
      <c r="U56" s="101" t="inlineStr">
        <is>
          <t xml:space="preserve"> </t>
        </is>
      </c>
      <c r="V56" s="101" t="inlineStr">
        <is>
          <t xml:space="preserve"> </t>
        </is>
      </c>
      <c r="W56" s="102" t="inlineStr">
        <is>
          <t xml:space="preserve"> </t>
        </is>
      </c>
      <c r="X56" t="inlineStr">
        <is>
          <t>No se encontró ejecución en CUIPO</t>
        </is>
      </c>
    </row>
    <row r="57">
      <c r="A57" t="inlineStr">
        <is>
          <t>IP-60</t>
        </is>
      </c>
      <c r="B57" t="inlineStr">
        <is>
          <t>21</t>
        </is>
      </c>
      <c r="C57" t="inlineStr">
        <is>
          <t>Minas y Energía</t>
        </is>
      </c>
      <c r="D57" t="inlineStr">
        <is>
          <t>2102</t>
        </is>
      </c>
      <c r="E57" t="inlineStr">
        <is>
          <t>Consolidación productiva del sector de energía eléctrica</t>
        </is>
      </c>
      <c r="F57" t="inlineStr">
        <is>
          <t>2102011</t>
        </is>
      </c>
      <c r="G57" t="inlineStr">
        <is>
          <t>Redes de alumbrado público con mantenimiento</t>
        </is>
      </c>
      <c r="H57" t="inlineStr">
        <is>
          <t>Mantenimiento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is>
      </c>
      <c r="I57" t="inlineStr">
        <is>
          <t>2024251260018</t>
        </is>
      </c>
      <c r="J57" s="99">
        <v>19919972170.8662</v>
      </c>
      <c r="K57" s="99">
        <v>2668887144</v>
      </c>
      <c r="L57" s="99">
        <v>6886723484.89</v>
      </c>
      <c r="M57" s="99">
        <v>5105596818.7075</v>
      </c>
      <c r="N57" s="99">
        <v>5258764723.2687</v>
      </c>
      <c r="O57" s="99">
        <v>4754520790</v>
      </c>
      <c r="P57" s="99">
        <v>4754520790</v>
      </c>
      <c r="Q57" s="99">
        <v>4604226421</v>
      </c>
      <c r="R57" s="100">
        <v>1.78146191032797</v>
      </c>
      <c r="S57" t="inlineStr">
        <is>
          <t>Hubo ejecución por encima de lo programado en SisPT</t>
        </is>
      </c>
      <c r="T57" s="101">
        <v>1944374130</v>
      </c>
      <c r="U57" s="101">
        <v>1944374130</v>
      </c>
      <c r="V57" s="101">
        <v>1944374130</v>
      </c>
      <c r="W57" s="102">
        <v>0.282336605247199</v>
      </c>
      <c r="X57" t="inlineStr">
        <is>
          <t>Lo obligado está por debajo de lo programado en la vigencia</t>
        </is>
      </c>
    </row>
    <row r="58">
      <c r="A58" t="inlineStr">
        <is>
          <t>IP-61</t>
        </is>
      </c>
      <c r="B58" t="inlineStr">
        <is>
          <t>21</t>
        </is>
      </c>
      <c r="C58" t="inlineStr">
        <is>
          <t>Minas y Energía</t>
        </is>
      </c>
      <c r="D58" t="inlineStr">
        <is>
          <t>2102</t>
        </is>
      </c>
      <c r="E58" t="inlineStr">
        <is>
          <t>Consolidación productiva del sector de energía eléctrica</t>
        </is>
      </c>
      <c r="F58" t="inlineStr">
        <is>
          <t>2102010</t>
        </is>
      </c>
      <c r="G58" t="inlineStr">
        <is>
          <t>Redes de alumbrado público ampliadas</t>
        </is>
      </c>
      <c r="H58" t="inlineStr">
        <is>
          <t>Ampliación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is>
      </c>
      <c r="I58" t="inlineStr">
        <is>
          <t>2024251260018</t>
        </is>
      </c>
      <c r="J58" s="99">
        <v>0</v>
      </c>
      <c r="K58" s="99">
        <v>0</v>
      </c>
      <c r="L58" s="99">
        <v>0</v>
      </c>
      <c r="M58" s="99">
        <v>0</v>
      </c>
      <c r="N58" s="99">
        <v>0</v>
      </c>
      <c r="O58" s="99" t="inlineStr">
        <is>
          <t xml:space="preserve"> </t>
        </is>
      </c>
      <c r="P58" s="99" t="inlineStr">
        <is>
          <t xml:space="preserve"> </t>
        </is>
      </c>
      <c r="Q58" s="99" t="inlineStr">
        <is>
          <t xml:space="preserve"> </t>
        </is>
      </c>
      <c r="R58" s="100" t="inlineStr">
        <is>
          <t xml:space="preserve"> </t>
        </is>
      </c>
      <c r="S58" t="inlineStr">
        <is>
          <t>No se encontró ejecución en CUIPO</t>
        </is>
      </c>
      <c r="T58" s="101" t="inlineStr">
        <is>
          <t xml:space="preserve"> </t>
        </is>
      </c>
      <c r="U58" s="101" t="inlineStr">
        <is>
          <t xml:space="preserve"> </t>
        </is>
      </c>
      <c r="V58" s="101" t="inlineStr">
        <is>
          <t xml:space="preserve"> </t>
        </is>
      </c>
      <c r="W58" s="102" t="inlineStr">
        <is>
          <t xml:space="preserve"> </t>
        </is>
      </c>
      <c r="X58" t="inlineStr">
        <is>
          <t>No se encontró ejecución en CUIPO</t>
        </is>
      </c>
    </row>
    <row r="59">
      <c r="A59" t="inlineStr">
        <is>
          <t>IP-62</t>
        </is>
      </c>
      <c r="B59" t="inlineStr">
        <is>
          <t>21</t>
        </is>
      </c>
      <c r="C59" t="inlineStr">
        <is>
          <t>Minas y Energía</t>
        </is>
      </c>
      <c r="D59" t="inlineStr">
        <is>
          <t>2102</t>
        </is>
      </c>
      <c r="E59" t="inlineStr">
        <is>
          <t>Consolidación productiva del sector de energía eléctrica</t>
        </is>
      </c>
      <c r="F59" t="inlineStr">
        <is>
          <t>2102063</t>
        </is>
      </c>
      <c r="G59" t="inlineStr">
        <is>
          <t>Servicios de apoyo a la implementacion de medidas de eficiencia energética</t>
        </is>
      </c>
      <c r="H59" t="inlineStr">
        <is>
          <t xml:space="preserve">Recursos destinados  de acuerdo con los objetivos y principios  del FENOGE a apoyar planes, programas, proyectos o actividades que promuevan, estimulen y fomenten  la gestión eficiente de la energía, mejorando la eficiencia energética, desarrollando mecanismo de respuesta a la demanda, implementación de buenas prácticas, reconversión tecnológica y sustitución de combustibles en cualquier actividad de producción, transporte, distribución y consumo de las diferentes formas de energía. </t>
        </is>
      </c>
      <c r="I59" t="inlineStr">
        <is>
          <t>2024251260018</t>
        </is>
      </c>
      <c r="J59" s="99">
        <v>0</v>
      </c>
      <c r="K59" s="99">
        <v>0</v>
      </c>
      <c r="L59" s="99">
        <v>0</v>
      </c>
      <c r="M59" s="99">
        <v>0</v>
      </c>
      <c r="N59" s="99">
        <v>0</v>
      </c>
      <c r="O59" s="99" t="inlineStr">
        <is>
          <t xml:space="preserve"> </t>
        </is>
      </c>
      <c r="P59" s="99" t="inlineStr">
        <is>
          <t xml:space="preserve"> </t>
        </is>
      </c>
      <c r="Q59" s="99" t="inlineStr">
        <is>
          <t xml:space="preserve"> </t>
        </is>
      </c>
      <c r="R59" s="100" t="inlineStr">
        <is>
          <t xml:space="preserve"> </t>
        </is>
      </c>
      <c r="S59" t="inlineStr">
        <is>
          <t>No se encontró ejecución en CUIPO</t>
        </is>
      </c>
      <c r="T59" s="101" t="inlineStr">
        <is>
          <t xml:space="preserve"> </t>
        </is>
      </c>
      <c r="U59" s="101" t="inlineStr">
        <is>
          <t xml:space="preserve"> </t>
        </is>
      </c>
      <c r="V59" s="101" t="inlineStr">
        <is>
          <t xml:space="preserve"> </t>
        </is>
      </c>
      <c r="W59" s="102" t="inlineStr">
        <is>
          <t xml:space="preserve"> </t>
        </is>
      </c>
      <c r="X59" t="inlineStr">
        <is>
          <t>No se encontró ejecución en CUIPO</t>
        </is>
      </c>
    </row>
    <row r="60">
      <c r="A60" t="inlineStr">
        <is>
          <t>IP-63</t>
        </is>
      </c>
      <c r="B60" t="inlineStr">
        <is>
          <t>21</t>
        </is>
      </c>
      <c r="C60" t="inlineStr">
        <is>
          <t>Minas y Energía</t>
        </is>
      </c>
      <c r="D60" t="inlineStr">
        <is>
          <t>2102</t>
        </is>
      </c>
      <c r="E60" t="inlineStr">
        <is>
          <t>Consolidación productiva del sector de energía eléctrica</t>
        </is>
      </c>
      <c r="F60" t="inlineStr">
        <is>
          <t>2102015</t>
        </is>
      </c>
      <c r="G60" t="inlineStr">
        <is>
          <t>Redes del sistema de distribución local construida</t>
        </is>
      </c>
      <c r="H60" t="inlineStr">
        <is>
          <t>Corresponde a la construcción a las redes de baja tensión para la distribución de energía, junto con los equipos y obras de infraestructura conexa que la hacen funcional.</t>
        </is>
      </c>
      <c r="I60" t="inlineStr">
        <is>
          <t>2024251260018</t>
        </is>
      </c>
      <c r="J60" s="99">
        <v>157681350</v>
      </c>
      <c r="K60" s="99">
        <v>50000000</v>
      </c>
      <c r="L60" s="99">
        <v>0</v>
      </c>
      <c r="M60" s="99">
        <v>53045000</v>
      </c>
      <c r="N60" s="99">
        <v>54636350</v>
      </c>
      <c r="O60" s="99" t="inlineStr">
        <is>
          <t xml:space="preserve"> </t>
        </is>
      </c>
      <c r="P60" s="99" t="inlineStr">
        <is>
          <t xml:space="preserve"> </t>
        </is>
      </c>
      <c r="Q60" s="99" t="inlineStr">
        <is>
          <t xml:space="preserve"> </t>
        </is>
      </c>
      <c r="R60" s="100" t="inlineStr">
        <is>
          <t xml:space="preserve"> </t>
        </is>
      </c>
      <c r="S60" t="inlineStr">
        <is>
          <t>No se encontró ejecución en CUIPO</t>
        </is>
      </c>
      <c r="T60" s="101" t="inlineStr">
        <is>
          <t xml:space="preserve"> </t>
        </is>
      </c>
      <c r="U60" s="101" t="inlineStr">
        <is>
          <t xml:space="preserve"> </t>
        </is>
      </c>
      <c r="V60" s="101" t="inlineStr">
        <is>
          <t xml:space="preserve"> </t>
        </is>
      </c>
      <c r="W60" s="102" t="inlineStr">
        <is>
          <t xml:space="preserve"> </t>
        </is>
      </c>
      <c r="X60" t="inlineStr">
        <is>
          <t>No se encontró ejecución en CUIPO</t>
        </is>
      </c>
    </row>
    <row r="61">
      <c r="A61" t="inlineStr">
        <is>
          <t>IP-64</t>
        </is>
      </c>
      <c r="B61" t="inlineStr">
        <is>
          <t>41</t>
        </is>
      </c>
      <c r="C61" t="inlineStr">
        <is>
          <t xml:space="preserve">Inclusión social y reconciliación </t>
        </is>
      </c>
      <c r="D61" t="inlineStr">
        <is>
          <t>4102</t>
        </is>
      </c>
      <c r="E61" t="inlineStr">
        <is>
          <t>Desarrollo integral de la primera infancia a la juventud, y fortalecimiento de las capacidades de las familias de niñas, niños y adolescentes</t>
        </is>
      </c>
      <c r="F61" t="inlineStr">
        <is>
          <t>4102035</t>
        </is>
      </c>
      <c r="G61" t="inlineStr">
        <is>
          <t>Documentos de lineamientos técnicos</t>
        </is>
      </c>
      <c r="H61" t="inlineStr">
        <is>
          <t>Documentos cuyo objetivo es describir y explicar instrumentos, estándares, requisitos y condiciones necesarias para llevar a cabo un proceso o actividad</t>
        </is>
      </c>
      <c r="I61" t="inlineStr">
        <is>
          <t>2024251260019</t>
        </is>
      </c>
      <c r="J61" s="99">
        <v>84057372.23</v>
      </c>
      <c r="K61" s="99">
        <v>3660</v>
      </c>
      <c r="L61" s="99">
        <v>19444902.23</v>
      </c>
      <c r="M61" s="99">
        <v>31827000</v>
      </c>
      <c r="N61" s="99">
        <v>32781810</v>
      </c>
      <c r="O61" s="99" t="inlineStr">
        <is>
          <t xml:space="preserve"> </t>
        </is>
      </c>
      <c r="P61" s="99" t="inlineStr">
        <is>
          <t xml:space="preserve"> </t>
        </is>
      </c>
      <c r="Q61" s="99" t="inlineStr">
        <is>
          <t xml:space="preserve"> </t>
        </is>
      </c>
      <c r="R61" s="100" t="inlineStr">
        <is>
          <t xml:space="preserve"> </t>
        </is>
      </c>
      <c r="S61" t="inlineStr">
        <is>
          <t>No se encontró ejecución en CUIPO</t>
        </is>
      </c>
      <c r="T61" s="101">
        <v>19000000</v>
      </c>
      <c r="U61" s="101">
        <v>10450000</v>
      </c>
      <c r="V61" s="101">
        <v>10450000</v>
      </c>
      <c r="W61" s="102">
        <v>0.5374159189074</v>
      </c>
      <c r="X61" t="inlineStr">
        <is>
          <t>Lo obligado está por debajo de lo programado en la vigencia</t>
        </is>
      </c>
    </row>
    <row r="62">
      <c r="A62" t="inlineStr">
        <is>
          <t>IP-65, IP-67, IP-68</t>
        </is>
      </c>
      <c r="B62" t="inlineStr">
        <is>
          <t>41</t>
        </is>
      </c>
      <c r="C62" t="inlineStr">
        <is>
          <t xml:space="preserve">Inclusión social y reconciliación </t>
        </is>
      </c>
      <c r="D62" t="inlineStr">
        <is>
          <t>4102</t>
        </is>
      </c>
      <c r="E62" t="inlineStr">
        <is>
          <t>Desarrollo integral de la primera infancia a la juventud, y fortalecimiento de las capacidades de las familias de niñas, niños y adolescentes</t>
        </is>
      </c>
      <c r="F62" t="inlineStr">
        <is>
          <t>4102001</t>
        </is>
      </c>
      <c r="G62" t="inlineStr">
        <is>
          <t>Servicio de atención integral a la primera infancia</t>
        </is>
      </c>
      <c r="H62" t="inlineStr">
        <is>
          <t xml:space="preserve">
Servicio dispuestos para atender a los niños y niñas en primera infancia, con el fin de promover su desarrollo integral a través de la atención en educación inicial, cuidado calificado, salud, nutrición, protección y acompañamiento familiar.
</t>
        </is>
      </c>
      <c r="I62" t="inlineStr">
        <is>
          <t>2024251260019</t>
        </is>
      </c>
      <c r="J62" s="99">
        <v>209181350</v>
      </c>
      <c r="K62" s="99">
        <v>50000000</v>
      </c>
      <c r="L62" s="99">
        <v>51500000</v>
      </c>
      <c r="M62" s="99">
        <v>53045000</v>
      </c>
      <c r="N62" s="99">
        <v>54636350</v>
      </c>
      <c r="O62" s="99" t="inlineStr">
        <is>
          <t xml:space="preserve"> </t>
        </is>
      </c>
      <c r="P62" s="99" t="inlineStr">
        <is>
          <t xml:space="preserve"> </t>
        </is>
      </c>
      <c r="Q62" s="99" t="inlineStr">
        <is>
          <t xml:space="preserve"> </t>
        </is>
      </c>
      <c r="R62" s="100" t="inlineStr">
        <is>
          <t xml:space="preserve"> </t>
        </is>
      </c>
      <c r="S62" t="inlineStr">
        <is>
          <t>No se encontró ejecución en CUIPO</t>
        </is>
      </c>
      <c r="T62" s="101" t="inlineStr">
        <is>
          <t xml:space="preserve"> </t>
        </is>
      </c>
      <c r="U62" s="101" t="inlineStr">
        <is>
          <t xml:space="preserve"> </t>
        </is>
      </c>
      <c r="V62" s="101" t="inlineStr">
        <is>
          <t xml:space="preserve"> </t>
        </is>
      </c>
      <c r="W62" s="102" t="inlineStr">
        <is>
          <t xml:space="preserve"> </t>
        </is>
      </c>
      <c r="X62" t="inlineStr">
        <is>
          <t>No se encontró ejecución en CUIPO</t>
        </is>
      </c>
    </row>
    <row r="63">
      <c r="A63" t="inlineStr">
        <is>
          <t>IP-66</t>
        </is>
      </c>
      <c r="B63" t="inlineStr">
        <is>
          <t>41</t>
        </is>
      </c>
      <c r="C63" t="inlineStr">
        <is>
          <t xml:space="preserve">Inclusión social y reconciliación </t>
        </is>
      </c>
      <c r="D63" t="inlineStr">
        <is>
          <t>4102</t>
        </is>
      </c>
      <c r="E63" t="inlineStr">
        <is>
          <t>Desarrollo integral de la primera infancia a la juventud, y fortalecimiento de las capacidades de las familias de niñas, niños y adolescentes</t>
        </is>
      </c>
      <c r="F63" t="inlineStr">
        <is>
          <t>4102002</t>
        </is>
      </c>
      <c r="G63" t="inlineStr">
        <is>
          <t>Servicio de atención tradicional a la primera infancia</t>
        </is>
      </c>
      <c r="H63" t="inlineStr">
        <is>
          <t xml:space="preserve">
Servicio dispuestos para atender a los niños y niñas en primera infancia, en los Hogares Comunitarios que brindan  cuidado, nutrición y protección.</t>
        </is>
      </c>
      <c r="I63" t="inlineStr">
        <is>
          <t>2024251260019</t>
        </is>
      </c>
      <c r="J63" s="99">
        <v>5964445294.4341</v>
      </c>
      <c r="K63" s="99">
        <v>980000000</v>
      </c>
      <c r="L63" s="99">
        <v>1843072006</v>
      </c>
      <c r="M63" s="99">
        <v>1547474526.3222</v>
      </c>
      <c r="N63" s="99">
        <v>1593898762.1119</v>
      </c>
      <c r="O63" s="99">
        <v>951807277</v>
      </c>
      <c r="P63" s="99">
        <v>919255236</v>
      </c>
      <c r="Q63" s="99">
        <v>782855236</v>
      </c>
      <c r="R63" s="100">
        <v>0.938015546938776</v>
      </c>
      <c r="S63" t="inlineStr">
        <is>
          <t>Lo obligado está por debajo de lo programado en la vigencia</t>
        </is>
      </c>
      <c r="T63" s="101">
        <v>1428446400</v>
      </c>
      <c r="U63" s="101">
        <v>858606543</v>
      </c>
      <c r="V63" s="101">
        <v>858606543</v>
      </c>
      <c r="W63" s="102">
        <v>0.465856211914056</v>
      </c>
      <c r="X63" t="inlineStr">
        <is>
          <t>Lo obligado está por debajo de lo programado en la vigencia</t>
        </is>
      </c>
    </row>
    <row r="64">
      <c r="A64" t="inlineStr">
        <is>
          <t>IP-69</t>
        </is>
      </c>
      <c r="B64" t="inlineStr">
        <is>
          <t>41</t>
        </is>
      </c>
      <c r="C64" t="inlineStr">
        <is>
          <t xml:space="preserve">Inclusión social y reconciliación </t>
        </is>
      </c>
      <c r="D64" t="inlineStr">
        <is>
          <t>4102</t>
        </is>
      </c>
      <c r="E64" t="inlineStr">
        <is>
          <t>Desarrollo integral de la primera infancia a la juventud, y fortalecimiento de las capacidades de las familias de niñas, niños y adolescentes</t>
        </is>
      </c>
      <c r="F64" t="inlineStr">
        <is>
          <t>4102035</t>
        </is>
      </c>
      <c r="G64" t="inlineStr">
        <is>
          <t>Documentos de lineamientos técnicos</t>
        </is>
      </c>
      <c r="H64" t="inlineStr">
        <is>
          <t>Documentos cuyo objetivo es describir y explicar instrumentos, estándares, requisitos y condiciones necesarias para llevar a cabo un proceso o actividad</t>
        </is>
      </c>
      <c r="I64" t="inlineStr">
        <is>
          <t>2024251260020</t>
        </is>
      </c>
      <c r="J64" s="99">
        <v>41836270</v>
      </c>
      <c r="K64" s="99">
        <v>10000000</v>
      </c>
      <c r="L64" s="99">
        <v>10300000</v>
      </c>
      <c r="M64" s="99">
        <v>10609000</v>
      </c>
      <c r="N64" s="99">
        <v>10927270</v>
      </c>
      <c r="O64" s="99" t="inlineStr">
        <is>
          <t xml:space="preserve"> </t>
        </is>
      </c>
      <c r="P64" s="99" t="inlineStr">
        <is>
          <t xml:space="preserve"> </t>
        </is>
      </c>
      <c r="Q64" s="99" t="inlineStr">
        <is>
          <t xml:space="preserve"> </t>
        </is>
      </c>
      <c r="R64" s="100" t="inlineStr">
        <is>
          <t xml:space="preserve"> </t>
        </is>
      </c>
      <c r="S64" t="inlineStr">
        <is>
          <t>No se encontró ejecución en CUIPO</t>
        </is>
      </c>
      <c r="T64" s="101" t="inlineStr">
        <is>
          <t xml:space="preserve"> </t>
        </is>
      </c>
      <c r="U64" s="101" t="inlineStr">
        <is>
          <t xml:space="preserve"> </t>
        </is>
      </c>
      <c r="V64" s="101" t="inlineStr">
        <is>
          <t xml:space="preserve"> </t>
        </is>
      </c>
      <c r="W64" s="102" t="inlineStr">
        <is>
          <t xml:space="preserve"> </t>
        </is>
      </c>
      <c r="X64" t="inlineStr">
        <is>
          <t>No se encontró ejecución en CUIPO</t>
        </is>
      </c>
    </row>
    <row r="65">
      <c r="A65" t="inlineStr">
        <is>
          <t>IP-70, IP-71, IP-72</t>
        </is>
      </c>
      <c r="B65" t="inlineStr">
        <is>
          <t>41</t>
        </is>
      </c>
      <c r="C65" t="inlineStr">
        <is>
          <t xml:space="preserve">Inclusión social y reconciliación </t>
        </is>
      </c>
      <c r="D65" t="inlineStr">
        <is>
          <t>4102</t>
        </is>
      </c>
      <c r="E65" t="inlineStr">
        <is>
          <t>Desarrollo integral de la primera infancia a la juventud, y fortalecimiento de las capacidades de las familias de niñas, niños y adolescentes</t>
        </is>
      </c>
      <c r="F65" t="inlineStr">
        <is>
          <t>4102052</t>
        </is>
      </c>
      <c r="G65" t="inlineStr">
        <is>
          <t>Servicio de protección integral a niños, niñas, adolescentes y jóvenes</t>
        </is>
      </c>
      <c r="H65" t="inlineStr">
        <is>
          <t>Servicios enfocados a garantizar los derechos fundamentales , la prevención de amenazas o vulneración y restablecimiento de derechos.</t>
        </is>
      </c>
      <c r="I65" t="inlineStr">
        <is>
          <t>2024251260020</t>
        </is>
      </c>
      <c r="J65" s="99">
        <v>645413175</v>
      </c>
      <c r="K65" s="99">
        <v>55000000</v>
      </c>
      <c r="L65" s="99">
        <v>321209800</v>
      </c>
      <c r="M65" s="99">
        <v>132612500</v>
      </c>
      <c r="N65" s="99">
        <v>136590875</v>
      </c>
      <c r="O65" s="99">
        <v>49144245</v>
      </c>
      <c r="P65" s="99">
        <v>30783229</v>
      </c>
      <c r="Q65" s="99">
        <v>30783229</v>
      </c>
      <c r="R65" s="100">
        <v>0.559695072727273</v>
      </c>
      <c r="S65" t="inlineStr">
        <is>
          <t>Lo obligado está por debajo de lo programado en la vigencia</t>
        </is>
      </c>
      <c r="T65" s="101">
        <v>271209800</v>
      </c>
      <c r="U65" s="101">
        <v>171097600</v>
      </c>
      <c r="V65" s="101">
        <v>171097600</v>
      </c>
      <c r="W65" s="102">
        <v>0.532666188889629</v>
      </c>
      <c r="X65" t="inlineStr">
        <is>
          <t>Lo obligado está por debajo de lo programado en la vigencia</t>
        </is>
      </c>
    </row>
    <row r="66">
      <c r="A66" t="inlineStr">
        <is>
          <t>IP-73, IP-74</t>
        </is>
      </c>
      <c r="B66" t="inlineStr">
        <is>
          <t>41</t>
        </is>
      </c>
      <c r="C66" t="inlineStr">
        <is>
          <t xml:space="preserve">Inclusión social y reconciliación </t>
        </is>
      </c>
      <c r="D66" t="inlineStr">
        <is>
          <t>4102</t>
        </is>
      </c>
      <c r="E66" t="inlineStr">
        <is>
          <t>Desarrollo integral de la primera infancia a la juventud, y fortalecimiento de las capacidades de las familias de niñas, niños y adolescentes</t>
        </is>
      </c>
      <c r="F66" t="inlineStr">
        <is>
          <t>4102042</t>
        </is>
      </c>
      <c r="G66" t="inlineStr">
        <is>
          <t>Servicio de asistencia técnica a comunidades en temas de fortalecimiento del tejido social y construcción de escenarios comunitarios protectores de derechos</t>
        </is>
      </c>
      <c r="H66" t="inlineStr">
        <is>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is>
      </c>
      <c r="I66" t="inlineStr">
        <is>
          <t>2024251260020</t>
        </is>
      </c>
      <c r="J66" s="99">
        <v>753052860</v>
      </c>
      <c r="K66" s="99">
        <v>180000000</v>
      </c>
      <c r="L66" s="99">
        <v>185400000</v>
      </c>
      <c r="M66" s="99">
        <v>190962000</v>
      </c>
      <c r="N66" s="99">
        <v>196690860</v>
      </c>
      <c r="O66" s="99">
        <v>47005476</v>
      </c>
      <c r="P66" s="99">
        <v>47005476</v>
      </c>
      <c r="Q66" s="99">
        <v>47005476</v>
      </c>
      <c r="R66" s="100">
        <v>0.261141533333333</v>
      </c>
      <c r="S66" t="inlineStr">
        <is>
          <t>Lo obligado está por debajo de lo programado en la vigencia</t>
        </is>
      </c>
      <c r="T66" s="101">
        <v>174379090</v>
      </c>
      <c r="U66" s="101">
        <v>79518264</v>
      </c>
      <c r="V66" s="101">
        <v>79518264</v>
      </c>
      <c r="W66" s="102">
        <v>0.428901100323625</v>
      </c>
      <c r="X66" t="inlineStr">
        <is>
          <t>Lo obligado está por debajo de lo programado en la vigencia</t>
        </is>
      </c>
    </row>
    <row r="67">
      <c r="A67" t="inlineStr">
        <is>
          <t>IP-75, IP-77</t>
        </is>
      </c>
      <c r="B67" t="inlineStr">
        <is>
          <t>41</t>
        </is>
      </c>
      <c r="C67" t="inlineStr">
        <is>
          <t xml:space="preserve">Inclusión social y reconciliación </t>
        </is>
      </c>
      <c r="D67" t="inlineStr">
        <is>
          <t>4102</t>
        </is>
      </c>
      <c r="E67" t="inlineStr">
        <is>
          <t>Desarrollo integral de la primera infancia a la juventud, y fortalecimiento de las capacidades de las familias de niñas, niños y adolescentes</t>
        </is>
      </c>
      <c r="F67" t="inlineStr">
        <is>
          <t>4102045</t>
        </is>
      </c>
      <c r="G67" t="inlineStr">
        <is>
          <t>Servicios de educación informal a niños, niñas, adolescentes  y jóvenes para el reconocimiento de sus derechos</t>
        </is>
      </c>
      <c r="H67" t="inlineStr">
        <is>
          <t>Servicios mediante los cuales se socializan a los niños, niñas, adolescentes y jóvenes;  al igual que a sus padres, madres, cuidadores y docentes, los temas relacionados con el reconocimiento de los derechos de la niñez, la adolescencia y la juventud.</t>
        </is>
      </c>
      <c r="I67" t="inlineStr">
        <is>
          <t>2024251260020</t>
        </is>
      </c>
      <c r="J67" s="99">
        <v>584690160</v>
      </c>
      <c r="K67" s="99">
        <v>330000000</v>
      </c>
      <c r="L67" s="99">
        <v>82400000</v>
      </c>
      <c r="M67" s="99">
        <v>84872000</v>
      </c>
      <c r="N67" s="99">
        <v>87418160</v>
      </c>
      <c r="O67" s="99">
        <v>232007050</v>
      </c>
      <c r="P67" s="99">
        <v>232007050</v>
      </c>
      <c r="Q67" s="99">
        <v>232007050</v>
      </c>
      <c r="R67" s="100">
        <v>0.703051666666667</v>
      </c>
      <c r="S67" t="inlineStr">
        <is>
          <t>Lo obligado está por debajo de lo programado en la vigencia</t>
        </is>
      </c>
      <c r="T67" s="101">
        <v>310296124</v>
      </c>
      <c r="U67" s="101">
        <v>223597809</v>
      </c>
      <c r="V67" s="101">
        <v>223597809</v>
      </c>
      <c r="W67" s="102">
        <v>2.71356564320388</v>
      </c>
      <c r="X67" t="inlineStr">
        <is>
          <t>Hubo ejecución por encima de lo programado en SisPT</t>
        </is>
      </c>
    </row>
    <row r="68">
      <c r="A68" t="inlineStr">
        <is>
          <t>IP-76</t>
        </is>
      </c>
      <c r="B68" t="inlineStr">
        <is>
          <t>41</t>
        </is>
      </c>
      <c r="C68" t="inlineStr">
        <is>
          <t xml:space="preserve">Inclusión social y reconciliación </t>
        </is>
      </c>
      <c r="D68" t="inlineStr">
        <is>
          <t>4102</t>
        </is>
      </c>
      <c r="E68" t="inlineStr">
        <is>
          <t>Desarrollo integral de la primera infancia a la juventud, y fortalecimiento de las capacidades de las familias de niñas, niños y adolescentes</t>
        </is>
      </c>
      <c r="F68" t="inlineStr">
        <is>
          <t>4102043</t>
        </is>
      </c>
      <c r="G68" t="inlineStr">
        <is>
          <t>Servicio de promoción de temas de dinámica relacional y desarrollo autónomo</t>
        </is>
      </c>
      <c r="H68" t="inlineStr">
        <is>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is>
      </c>
      <c r="I68" t="inlineStr">
        <is>
          <t>2024251260020</t>
        </is>
      </c>
      <c r="J68" s="99">
        <v>14460881</v>
      </c>
      <c r="K68" s="99">
        <v>3000000</v>
      </c>
      <c r="L68" s="99">
        <v>5000000</v>
      </c>
      <c r="M68" s="99">
        <v>3182700</v>
      </c>
      <c r="N68" s="99">
        <v>3278181</v>
      </c>
      <c r="O68" s="99">
        <v>2586486</v>
      </c>
      <c r="P68" s="99">
        <v>2586486</v>
      </c>
      <c r="Q68" s="99">
        <v>2586486</v>
      </c>
      <c r="R68" s="100">
        <v>0.862162</v>
      </c>
      <c r="S68" t="inlineStr">
        <is>
          <t>Lo obligado está por debajo de lo programado en la vigencia</t>
        </is>
      </c>
      <c r="T68" s="101">
        <v>5000000</v>
      </c>
      <c r="U68" s="101">
        <v>0</v>
      </c>
      <c r="V68" s="101">
        <v>0</v>
      </c>
      <c r="W68" s="102">
        <v>0</v>
      </c>
      <c r="X68" t="inlineStr">
        <is>
          <t>No se ejecutó en la vigencia</t>
        </is>
      </c>
    </row>
    <row r="69">
      <c r="A69" t="inlineStr">
        <is>
          <t>IP-78</t>
        </is>
      </c>
      <c r="B69" t="inlineStr">
        <is>
          <t>41</t>
        </is>
      </c>
      <c r="C69" t="inlineStr">
        <is>
          <t xml:space="preserve">Inclusión social y reconciliación </t>
        </is>
      </c>
      <c r="D69" t="inlineStr">
        <is>
          <t>4102</t>
        </is>
      </c>
      <c r="E69" t="inlineStr">
        <is>
          <t>Desarrollo integral de la primera infancia a la juventud, y fortalecimiento de las capacidades de las familias de niñas, niños y adolescentes</t>
        </is>
      </c>
      <c r="F69" t="inlineStr">
        <is>
          <t>4102028</t>
        </is>
      </c>
      <c r="G69" t="inlineStr">
        <is>
          <t>Centros de Atención Especializada - CAE para el restablecimiento de derechos dotados</t>
        </is>
      </c>
      <c r="H69" t="inlineStr">
        <is>
          <t>Dotación de centros que brindan atención a los adolescentes vinculados al Sistema de Responsabilidad Penal para Adolescentes brindándoles atención con Servicio de salud, educación, deporte, cultura, recreación y la restauración de los vínculos familiares.</t>
        </is>
      </c>
      <c r="I69" t="inlineStr">
        <is>
          <t>2024251260020</t>
        </is>
      </c>
      <c r="J69" s="99">
        <v>102744257</v>
      </c>
      <c r="K69" s="99">
        <v>0</v>
      </c>
      <c r="L69" s="99">
        <v>81207987</v>
      </c>
      <c r="M69" s="99">
        <v>10609000</v>
      </c>
      <c r="N69" s="99">
        <v>10927270</v>
      </c>
      <c r="O69" s="99" t="inlineStr">
        <is>
          <t xml:space="preserve"> </t>
        </is>
      </c>
      <c r="P69" s="99" t="inlineStr">
        <is>
          <t xml:space="preserve"> </t>
        </is>
      </c>
      <c r="Q69" s="99" t="inlineStr">
        <is>
          <t xml:space="preserve"> </t>
        </is>
      </c>
      <c r="R69" s="100" t="inlineStr">
        <is>
          <t xml:space="preserve"> </t>
        </is>
      </c>
      <c r="S69" t="inlineStr">
        <is>
          <t>No se encontró ejecución en CUIPO</t>
        </is>
      </c>
      <c r="T69" s="101">
        <v>81207987</v>
      </c>
      <c r="U69" s="101">
        <v>81207987</v>
      </c>
      <c r="V69" s="101">
        <v>81207987</v>
      </c>
      <c r="W69" s="102">
        <v>1</v>
      </c>
      <c r="X69" t="inlineStr">
        <is>
          <t>Se ejecutó el 100% de lo programado en la vigencia</t>
        </is>
      </c>
    </row>
    <row r="70">
      <c r="A70" t="inlineStr">
        <is>
          <t>IP-79</t>
        </is>
      </c>
      <c r="B70" t="inlineStr">
        <is>
          <t>41</t>
        </is>
      </c>
      <c r="C70" t="inlineStr">
        <is>
          <t xml:space="preserve">Inclusión social y reconciliación </t>
        </is>
      </c>
      <c r="D70" t="inlineStr">
        <is>
          <t>4102</t>
        </is>
      </c>
      <c r="E70" t="inlineStr">
        <is>
          <t>Desarrollo integral de la primera infancia a la juventud, y fortalecimiento de las capacidades de las familias de niñas, niños y adolescentes</t>
        </is>
      </c>
      <c r="F70" t="inlineStr">
        <is>
          <t>4102051</t>
        </is>
      </c>
      <c r="G70" t="inlineStr">
        <is>
          <t>Documentos de planeación</t>
        </is>
      </c>
      <c r="H70"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70" t="inlineStr">
        <is>
          <t>2024251260021</t>
        </is>
      </c>
      <c r="J70" s="99">
        <v>31536270</v>
      </c>
      <c r="K70" s="99">
        <v>0</v>
      </c>
      <c r="L70" s="99">
        <v>10000000</v>
      </c>
      <c r="M70" s="99">
        <v>10609000</v>
      </c>
      <c r="N70" s="99">
        <v>10927270</v>
      </c>
      <c r="O70" s="99" t="inlineStr">
        <is>
          <t xml:space="preserve"> </t>
        </is>
      </c>
      <c r="P70" s="99" t="inlineStr">
        <is>
          <t xml:space="preserve"> </t>
        </is>
      </c>
      <c r="Q70" s="99" t="inlineStr">
        <is>
          <t xml:space="preserve"> </t>
        </is>
      </c>
      <c r="R70" s="100" t="inlineStr">
        <is>
          <t xml:space="preserve"> </t>
        </is>
      </c>
      <c r="S70" t="inlineStr">
        <is>
          <t>No se encontró ejecución en CUIPO</t>
        </is>
      </c>
      <c r="T70" s="101">
        <v>10000000</v>
      </c>
      <c r="U70" s="101">
        <v>10000000</v>
      </c>
      <c r="V70" s="101">
        <v>10000000</v>
      </c>
      <c r="W70" s="102">
        <v>1</v>
      </c>
      <c r="X70" t="inlineStr">
        <is>
          <t>Se ejecutó el 100% de lo programado en la vigencia</t>
        </is>
      </c>
    </row>
    <row r="71">
      <c r="A71" t="inlineStr">
        <is>
          <t>IP-80, IP-89</t>
        </is>
      </c>
      <c r="B71" t="inlineStr">
        <is>
          <t>41</t>
        </is>
      </c>
      <c r="C71" t="inlineStr">
        <is>
          <t xml:space="preserve">Inclusión social y reconciliación </t>
        </is>
      </c>
      <c r="D71" t="inlineStr">
        <is>
          <t>4102</t>
        </is>
      </c>
      <c r="E71" t="inlineStr">
        <is>
          <t>Desarrollo integral de la primera infancia a la juventud, y fortalecimiento de las capacidades de las familias de niñas, niños y adolescentes</t>
        </is>
      </c>
      <c r="F71" t="inlineStr">
        <is>
          <t>4102042</t>
        </is>
      </c>
      <c r="G71" t="inlineStr">
        <is>
          <t>Servicio de asistencia técnica a comunidades en temas de fortalecimiento del tejido social y construcción de escenarios comunitarios protectores de derechos</t>
        </is>
      </c>
      <c r="H71" t="inlineStr">
        <is>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is>
      </c>
      <c r="I71" t="inlineStr">
        <is>
          <t>2024251260021</t>
        </is>
      </c>
      <c r="J71" s="99">
        <v>41956270</v>
      </c>
      <c r="K71" s="99">
        <v>10420000</v>
      </c>
      <c r="L71" s="99">
        <v>10000000</v>
      </c>
      <c r="M71" s="99">
        <v>10609000</v>
      </c>
      <c r="N71" s="99">
        <v>10927270</v>
      </c>
      <c r="O71" s="99">
        <v>10082675</v>
      </c>
      <c r="P71" s="99">
        <v>10082675</v>
      </c>
      <c r="Q71" s="99">
        <v>10082675</v>
      </c>
      <c r="R71" s="100">
        <v>0.967627159309021</v>
      </c>
      <c r="S71" t="inlineStr">
        <is>
          <t>Lo obligado está por debajo de lo programado en la vigencia</t>
        </is>
      </c>
      <c r="T71" s="101">
        <v>9924202</v>
      </c>
      <c r="U71" s="101">
        <v>2</v>
      </c>
      <c r="V71" s="101">
        <v>2</v>
      </c>
      <c r="W71" s="102">
        <v>0.0000002</v>
      </c>
      <c r="X71" t="inlineStr">
        <is>
          <t>Lo obligado está por debajo de lo programado en la vigencia</t>
        </is>
      </c>
    </row>
    <row r="72">
      <c r="A72" t="inlineStr">
        <is>
          <t>IP-81, IP-82, IP-84, IP-85</t>
        </is>
      </c>
      <c r="B72" t="inlineStr">
        <is>
          <t>41</t>
        </is>
      </c>
      <c r="C72" t="inlineStr">
        <is>
          <t xml:space="preserve">Inclusión social y reconciliación </t>
        </is>
      </c>
      <c r="D72" t="inlineStr">
        <is>
          <t>4102</t>
        </is>
      </c>
      <c r="E72" t="inlineStr">
        <is>
          <t>Desarrollo integral de la primera infancia a la juventud, y fortalecimiento de las capacidades de las familias de niñas, niños y adolescentes</t>
        </is>
      </c>
      <c r="F72" t="inlineStr">
        <is>
          <t>4102045</t>
        </is>
      </c>
      <c r="G72" t="inlineStr">
        <is>
          <t>Servicios de educación informal a niños, niñas, adolescentes  y jóvenes para el reconocimiento de sus derechos</t>
        </is>
      </c>
      <c r="H72" t="inlineStr">
        <is>
          <t>Servicios mediante los cuales se socializan a los niños, niñas, adolescentes y jóvenes;  al igual que a sus padres, madres, cuidadores y docentes, los temas relacionados con el reconocimiento de los derechos de la niñez, la adolescencia y la juventud.</t>
        </is>
      </c>
      <c r="I72" t="inlineStr">
        <is>
          <t>2024251260021</t>
        </is>
      </c>
      <c r="J72" s="99">
        <v>460198970</v>
      </c>
      <c r="K72" s="99">
        <v>110000000</v>
      </c>
      <c r="L72" s="99">
        <v>113300000</v>
      </c>
      <c r="M72" s="99">
        <v>116699000</v>
      </c>
      <c r="N72" s="99">
        <v>120199970</v>
      </c>
      <c r="O72" s="99">
        <v>157408489</v>
      </c>
      <c r="P72" s="99">
        <v>157408489</v>
      </c>
      <c r="Q72" s="99">
        <v>128112889</v>
      </c>
      <c r="R72" s="100">
        <v>1.43098626363636</v>
      </c>
      <c r="S72" t="inlineStr">
        <is>
          <t>Hubo ejecución por encima de lo programado en SisPT</t>
        </is>
      </c>
      <c r="T72" s="101">
        <v>184680146</v>
      </c>
      <c r="U72" s="101">
        <v>144452660</v>
      </c>
      <c r="V72" s="101">
        <v>144452660</v>
      </c>
      <c r="W72" s="102">
        <v>1.2749572815534</v>
      </c>
      <c r="X72" t="inlineStr">
        <is>
          <t>Hubo ejecución por encima de lo programado en SisPT</t>
        </is>
      </c>
    </row>
    <row r="73">
      <c r="A73" t="inlineStr">
        <is>
          <t>IP-83</t>
        </is>
      </c>
      <c r="B73" t="inlineStr">
        <is>
          <t>41</t>
        </is>
      </c>
      <c r="C73" t="inlineStr">
        <is>
          <t xml:space="preserve">Inclusión social y reconciliación </t>
        </is>
      </c>
      <c r="D73" t="inlineStr">
        <is>
          <t>4102</t>
        </is>
      </c>
      <c r="E73" t="inlineStr">
        <is>
          <t>Desarrollo integral de la primera infancia a la juventud, y fortalecimiento de las capacidades de las familias de niñas, niños y adolescentes</t>
        </is>
      </c>
      <c r="F73" t="inlineStr">
        <is>
          <t>4102049</t>
        </is>
      </c>
      <c r="G73" t="inlineStr">
        <is>
          <t>Edificaciones de atención a la adolescencia y juventud adecuadas</t>
        </is>
      </c>
      <c r="H73" t="inlineStr">
        <is>
          <t>Adecuación  de infraestructuras dirigidas  específicamente  a prestar servicio de atención a adolescencia y juventud.</t>
        </is>
      </c>
      <c r="I73" t="inlineStr">
        <is>
          <t>2024251260021</t>
        </is>
      </c>
      <c r="J73" s="99">
        <v>30000000</v>
      </c>
      <c r="K73" s="99">
        <v>10000000</v>
      </c>
      <c r="L73" s="99">
        <v>20000000</v>
      </c>
      <c r="M73" s="99">
        <v>0</v>
      </c>
      <c r="N73" s="99">
        <v>0</v>
      </c>
      <c r="O73" s="99">
        <v>10000000</v>
      </c>
      <c r="P73" s="99">
        <v>10000000</v>
      </c>
      <c r="Q73" s="99">
        <v>0</v>
      </c>
      <c r="R73" s="100">
        <v>1</v>
      </c>
      <c r="S73" t="inlineStr">
        <is>
          <t>Se ejecutó el 100% de lo programado en la vigencia</t>
        </is>
      </c>
      <c r="T73" s="101">
        <v>19837753</v>
      </c>
      <c r="U73" s="101">
        <v>19837752</v>
      </c>
      <c r="V73" s="101">
        <v>19837752</v>
      </c>
      <c r="W73" s="102">
        <v>0.9918876</v>
      </c>
      <c r="X73" t="inlineStr">
        <is>
          <t>Lo obligado está por debajo de lo programado en la vigencia</t>
        </is>
      </c>
    </row>
    <row r="74">
      <c r="A74" t="inlineStr">
        <is>
          <t>IP-86</t>
        </is>
      </c>
      <c r="B74" t="inlineStr">
        <is>
          <t>41</t>
        </is>
      </c>
      <c r="C74" t="inlineStr">
        <is>
          <t xml:space="preserve">Inclusión social y reconciliación </t>
        </is>
      </c>
      <c r="D74" t="inlineStr">
        <is>
          <t>4103</t>
        </is>
      </c>
      <c r="E74" t="inlineStr">
        <is>
          <t>Inclusión social y productiva para la población en situación de vulnerabilidad</t>
        </is>
      </c>
      <c r="F74" t="inlineStr">
        <is>
          <t>4103005</t>
        </is>
      </c>
      <c r="G74" t="inlineStr">
        <is>
          <t>Servicio de asistencia técnica para el emprendimiento</t>
        </is>
      </c>
      <c r="H74" t="inlineStr">
        <is>
          <t>Orientada a generar oportunidades y desarrollar capacidades para la creación y/o desarrollo de proyectos productivos, que se conviertan en un medio para la generación de ingresos.</t>
        </is>
      </c>
      <c r="I74" t="inlineStr">
        <is>
          <t>2024251260022</t>
        </is>
      </c>
      <c r="J74" s="99">
        <v>517864383.33</v>
      </c>
      <c r="K74" s="99">
        <v>45695333.33</v>
      </c>
      <c r="L74" s="99">
        <v>149125000</v>
      </c>
      <c r="M74" s="99">
        <v>159135000</v>
      </c>
      <c r="N74" s="99">
        <v>163909050</v>
      </c>
      <c r="O74" s="99">
        <v>44228666</v>
      </c>
      <c r="P74" s="99">
        <v>44228666</v>
      </c>
      <c r="Q74" s="99">
        <v>39782666</v>
      </c>
      <c r="R74" s="100">
        <v>0.967903345415863</v>
      </c>
      <c r="S74" t="inlineStr">
        <is>
          <t>Lo obligado está por debajo de lo programado en la vigencia</t>
        </is>
      </c>
      <c r="T74" s="101">
        <v>144440000</v>
      </c>
      <c r="U74" s="101">
        <v>93050000</v>
      </c>
      <c r="V74" s="101">
        <v>93050000</v>
      </c>
      <c r="W74" s="102">
        <v>0.623973176865046</v>
      </c>
      <c r="X74" t="inlineStr">
        <is>
          <t>Lo obligado está por debajo de lo programado en la vigencia</t>
        </is>
      </c>
    </row>
    <row r="75">
      <c r="A75" t="inlineStr">
        <is>
          <t>IP-87</t>
        </is>
      </c>
      <c r="B75" t="inlineStr">
        <is>
          <t>41</t>
        </is>
      </c>
      <c r="C75" t="inlineStr">
        <is>
          <t xml:space="preserve">Inclusión social y reconciliación </t>
        </is>
      </c>
      <c r="D75" t="inlineStr">
        <is>
          <t>4102</t>
        </is>
      </c>
      <c r="E75" t="inlineStr">
        <is>
          <t>Desarrollo integral de la primera infancia a la juventud, y fortalecimiento de las capacidades de las familias de niñas, niños y adolescentes</t>
        </is>
      </c>
      <c r="F75" t="inlineStr">
        <is>
          <t>4102040</t>
        </is>
      </c>
      <c r="G75" t="inlineStr">
        <is>
          <t>Documentos metodológicos</t>
        </is>
      </c>
      <c r="H75" t="inlineStr">
        <is>
          <t>Documentos que describen y explican métodos, herramientas analíticas o procesos que determinan la forma de realizar un análisis en particular.</t>
        </is>
      </c>
      <c r="I75" t="inlineStr">
        <is>
          <t>2024251260021</t>
        </is>
      </c>
      <c r="J75" s="99">
        <v>20768135</v>
      </c>
      <c r="K75" s="99">
        <v>5000000</v>
      </c>
      <c r="L75" s="99">
        <v>5000000</v>
      </c>
      <c r="M75" s="99">
        <v>5304500</v>
      </c>
      <c r="N75" s="99">
        <v>5463635</v>
      </c>
      <c r="O75" s="99">
        <v>4974746</v>
      </c>
      <c r="P75" s="99">
        <v>4974746</v>
      </c>
      <c r="Q75" s="99">
        <v>4974746</v>
      </c>
      <c r="R75" s="100">
        <v>0.9949492</v>
      </c>
      <c r="S75" t="inlineStr">
        <is>
          <t>Lo obligado está por debajo de lo programado en la vigencia</t>
        </is>
      </c>
      <c r="T75" s="101">
        <v>4946250</v>
      </c>
      <c r="U75" s="101">
        <v>0</v>
      </c>
      <c r="V75" s="101">
        <v>0</v>
      </c>
      <c r="W75" s="102">
        <v>0</v>
      </c>
      <c r="X75" t="inlineStr">
        <is>
          <t>No se ejecutó en la vigencia</t>
        </is>
      </c>
    </row>
    <row r="76">
      <c r="A76" t="inlineStr">
        <is>
          <t>IP-88</t>
        </is>
      </c>
      <c r="B76" t="inlineStr">
        <is>
          <t>41</t>
        </is>
      </c>
      <c r="C76" t="inlineStr">
        <is>
          <t xml:space="preserve">Inclusión social y reconciliación </t>
        </is>
      </c>
      <c r="D76" t="inlineStr">
        <is>
          <t>4103</t>
        </is>
      </c>
      <c r="E76" t="inlineStr">
        <is>
          <t>Inclusión social y productiva para la población en situación de vulnerabilidad</t>
        </is>
      </c>
      <c r="F76" t="inlineStr">
        <is>
          <t>4103061</t>
        </is>
      </c>
      <c r="G76" t="inlineStr">
        <is>
          <t>Servicio de apoyo financiero para la entrega de transferencias monetarias no condicionadas</t>
        </is>
      </c>
      <c r="H76" t="inlineStr">
        <is>
          <t>Corresponde al apoyo financiero otorgado a la población en situación de vulnerabilidad o pobreza, con el fin de ser un complemento a los ingresos de dicha población.</t>
        </is>
      </c>
      <c r="I76" t="inlineStr">
        <is>
          <t>2024251260022</t>
        </is>
      </c>
      <c r="J76" s="99">
        <v>0</v>
      </c>
      <c r="K76" s="99">
        <v>0</v>
      </c>
      <c r="L76" s="99">
        <v>0</v>
      </c>
      <c r="M76" s="99">
        <v>0</v>
      </c>
      <c r="N76" s="99">
        <v>0</v>
      </c>
      <c r="O76" s="99" t="inlineStr">
        <is>
          <t xml:space="preserve"> </t>
        </is>
      </c>
      <c r="P76" s="99" t="inlineStr">
        <is>
          <t xml:space="preserve"> </t>
        </is>
      </c>
      <c r="Q76" s="99" t="inlineStr">
        <is>
          <t xml:space="preserve"> </t>
        </is>
      </c>
      <c r="R76" s="100" t="inlineStr">
        <is>
          <t xml:space="preserve"> </t>
        </is>
      </c>
      <c r="S76" t="inlineStr">
        <is>
          <t>No se encontró ejecución en CUIPO</t>
        </is>
      </c>
      <c r="T76" s="101" t="inlineStr">
        <is>
          <t xml:space="preserve"> </t>
        </is>
      </c>
      <c r="U76" s="101" t="inlineStr">
        <is>
          <t xml:space="preserve"> </t>
        </is>
      </c>
      <c r="V76" s="101" t="inlineStr">
        <is>
          <t xml:space="preserve"> </t>
        </is>
      </c>
      <c r="W76" s="102" t="inlineStr">
        <is>
          <t xml:space="preserve"> </t>
        </is>
      </c>
      <c r="X76" t="inlineStr">
        <is>
          <t>No se encontró ejecución en CUIPO</t>
        </is>
      </c>
    </row>
    <row r="77">
      <c r="A77" t="inlineStr">
        <is>
          <t>IP-90</t>
        </is>
      </c>
      <c r="B77" t="inlineStr">
        <is>
          <t>41</t>
        </is>
      </c>
      <c r="C77" t="inlineStr">
        <is>
          <t xml:space="preserve">Inclusión social y reconciliación </t>
        </is>
      </c>
      <c r="D77" t="inlineStr">
        <is>
          <t>4103</t>
        </is>
      </c>
      <c r="E77" t="inlineStr">
        <is>
          <t>Inclusión social y productiva para la población en situación de vulnerabilidad</t>
        </is>
      </c>
      <c r="F77" t="inlineStr">
        <is>
          <t>4103053</t>
        </is>
      </c>
      <c r="G77" t="inlineStr">
        <is>
          <t>Servicio de asistencia técnica para el mejoramiento de hábitos alimentarios</t>
        </is>
      </c>
      <c r="H77" t="inlineStr">
        <is>
          <t>Mediante los cuales se realiza educación nutricional y alimentaria a las familias, con el objeto de lograr el cambio favorable de los hábitos, costumbres, tradiciones, creencias y prácticas de la comunidad sobre aspectos de nutrición y alimentación.</t>
        </is>
      </c>
      <c r="I77" t="inlineStr">
        <is>
          <t>2024251260055</t>
        </is>
      </c>
      <c r="J77" s="99">
        <v>0</v>
      </c>
      <c r="K77" s="99">
        <v>0</v>
      </c>
      <c r="L77" s="99">
        <v>0</v>
      </c>
      <c r="M77" s="99">
        <v>0</v>
      </c>
      <c r="N77" s="99">
        <v>0</v>
      </c>
      <c r="O77" s="99" t="inlineStr">
        <is>
          <t xml:space="preserve"> </t>
        </is>
      </c>
      <c r="P77" s="99" t="inlineStr">
        <is>
          <t xml:space="preserve"> </t>
        </is>
      </c>
      <c r="Q77" s="99" t="inlineStr">
        <is>
          <t xml:space="preserve"> </t>
        </is>
      </c>
      <c r="R77" s="100" t="inlineStr">
        <is>
          <t xml:space="preserve"> </t>
        </is>
      </c>
      <c r="S77" t="inlineStr">
        <is>
          <t>No se encontró ejecución en CUIPO</t>
        </is>
      </c>
      <c r="T77" s="101" t="inlineStr">
        <is>
          <t xml:space="preserve"> </t>
        </is>
      </c>
      <c r="U77" s="101" t="inlineStr">
        <is>
          <t xml:space="preserve"> </t>
        </is>
      </c>
      <c r="V77" s="101" t="inlineStr">
        <is>
          <t xml:space="preserve"> </t>
        </is>
      </c>
      <c r="W77" s="102" t="inlineStr">
        <is>
          <t xml:space="preserve"> </t>
        </is>
      </c>
      <c r="X77" t="inlineStr">
        <is>
          <t>No se encontró ejecución en CUIPO</t>
        </is>
      </c>
    </row>
    <row r="78">
      <c r="A78" t="inlineStr">
        <is>
          <t>IP-91</t>
        </is>
      </c>
      <c r="B78" t="inlineStr">
        <is>
          <t>41</t>
        </is>
      </c>
      <c r="C78" t="inlineStr">
        <is>
          <t xml:space="preserve">Inclusión social y reconciliación </t>
        </is>
      </c>
      <c r="D78" t="inlineStr">
        <is>
          <t>4103</t>
        </is>
      </c>
      <c r="E78" t="inlineStr">
        <is>
          <t>Inclusión social y productiva para la población en situación de vulnerabilidad</t>
        </is>
      </c>
      <c r="F78" t="inlineStr">
        <is>
          <t>4103060</t>
        </is>
      </c>
      <c r="G78" t="inlineStr">
        <is>
          <t>Documento de lineamientos técnicos</t>
        </is>
      </c>
      <c r="H78" t="inlineStr">
        <is>
          <t>Documentos cuyo objetivo es describir y explicar instrumentos, estándares, requisitos y condiciones necesarias para llevar a cabo un proceso o actividad.</t>
        </is>
      </c>
      <c r="I78" t="inlineStr">
        <is>
          <t>2024251260055</t>
        </is>
      </c>
      <c r="J78" s="99">
        <v>174670374</v>
      </c>
      <c r="K78" s="99">
        <v>22000000</v>
      </c>
      <c r="L78" s="99">
        <v>29600000</v>
      </c>
      <c r="M78" s="99">
        <v>60625800</v>
      </c>
      <c r="N78" s="99">
        <v>62444574</v>
      </c>
      <c r="O78" s="99">
        <v>18833000</v>
      </c>
      <c r="P78" s="99">
        <v>18833000</v>
      </c>
      <c r="Q78" s="99">
        <v>18833000</v>
      </c>
      <c r="R78" s="100">
        <v>0.856045454545455</v>
      </c>
      <c r="S78" t="inlineStr">
        <is>
          <t>Lo obligado está por debajo de lo programado en la vigencia</t>
        </is>
      </c>
      <c r="T78" s="101">
        <v>29600000</v>
      </c>
      <c r="U78" s="101">
        <v>15786666</v>
      </c>
      <c r="V78" s="101">
        <v>10853333</v>
      </c>
      <c r="W78" s="102">
        <v>0.533333310810811</v>
      </c>
      <c r="X78" t="inlineStr">
        <is>
          <t>Lo obligado está por debajo de lo programado en la vigencia</t>
        </is>
      </c>
    </row>
    <row r="79">
      <c r="A79" t="inlineStr">
        <is>
          <t>IP-92, IP-93, IP-94, IP-95, IP-98</t>
        </is>
      </c>
      <c r="B79" t="inlineStr">
        <is>
          <t>41</t>
        </is>
      </c>
      <c r="C79" t="inlineStr">
        <is>
          <t xml:space="preserve">Inclusión social y reconciliación </t>
        </is>
      </c>
      <c r="D79" t="inlineStr">
        <is>
          <t>4104</t>
        </is>
      </c>
      <c r="E79" t="inlineStr">
        <is>
          <t>Atención integral de población en situación permanente de desprotección social y/o familiar</t>
        </is>
      </c>
      <c r="F79" t="inlineStr">
        <is>
          <t>4104008</t>
        </is>
      </c>
      <c r="G79" t="inlineStr">
        <is>
          <t>Servicio de atención y protección integral al adulto mayor</t>
        </is>
      </c>
      <c r="H79" t="inlineStr">
        <is>
          <t>Servicios integrales que incluyen aspectos relacionados con protección a la salud y bienestar social, educación, cultura, recreación, entorno físico y social favorable, productividad para los adultos mayores.</t>
        </is>
      </c>
      <c r="I79" t="inlineStr">
        <is>
          <t>2024251260023</t>
        </is>
      </c>
      <c r="J79" s="99">
        <v>16257163825.86</v>
      </c>
      <c r="K79" s="99">
        <v>2222643821.78</v>
      </c>
      <c r="L79" s="99">
        <v>9167322984.08</v>
      </c>
      <c r="M79" s="99">
        <v>2397634000</v>
      </c>
      <c r="N79" s="99">
        <v>2469563020</v>
      </c>
      <c r="O79" s="99">
        <v>2177164985</v>
      </c>
      <c r="P79" s="99">
        <v>1652311209</v>
      </c>
      <c r="Q79" s="99">
        <v>1560079025</v>
      </c>
      <c r="R79" s="100">
        <v>0.743399006538416</v>
      </c>
      <c r="S79" t="inlineStr">
        <is>
          <t>Lo obligado está por debajo de lo programado en la vigencia</t>
        </is>
      </c>
      <c r="T79" s="101">
        <v>6069275743</v>
      </c>
      <c r="U79" s="101">
        <v>3443202886</v>
      </c>
      <c r="V79" s="101">
        <v>3393912886</v>
      </c>
      <c r="W79" s="102">
        <v>0.375595241051229</v>
      </c>
      <c r="X79" t="inlineStr">
        <is>
          <t>Lo obligado está por debajo de lo programado en la vigencia</t>
        </is>
      </c>
    </row>
    <row r="80">
      <c r="A80" t="inlineStr">
        <is>
          <t>IP-96</t>
        </is>
      </c>
      <c r="B80" t="inlineStr">
        <is>
          <t>41</t>
        </is>
      </c>
      <c r="C80" t="inlineStr">
        <is>
          <t xml:space="preserve">Inclusión social y reconciliación </t>
        </is>
      </c>
      <c r="D80" t="inlineStr">
        <is>
          <t>4104</t>
        </is>
      </c>
      <c r="E80" t="inlineStr">
        <is>
          <t>Atención integral de población en situación permanente de desprotección social y/o familiar</t>
        </is>
      </c>
      <c r="F80" t="inlineStr">
        <is>
          <t>4104007</t>
        </is>
      </c>
      <c r="G80" t="inlineStr">
        <is>
          <t>Centros de protección social para el adulto mayor dotados</t>
        </is>
      </c>
      <c r="H80" t="inlineStr">
        <is>
          <t>Corresponde a la dotación destinada al ofrecimiento de servicios de hospedaje, bienestar social y cuidado integral de manera permanente o temporal a los adultos mayores en condicionesde descuido, abandono o víctimas de violencia intrafamiliar.</t>
        </is>
      </c>
      <c r="I80" t="inlineStr">
        <is>
          <t>2024251260023</t>
        </is>
      </c>
      <c r="J80" s="99">
        <v>300000000</v>
      </c>
      <c r="K80" s="99">
        <v>300000000</v>
      </c>
      <c r="L80" s="99">
        <v>0</v>
      </c>
      <c r="M80" s="99">
        <v>0</v>
      </c>
      <c r="N80" s="99">
        <v>0</v>
      </c>
      <c r="O80" s="99" t="inlineStr">
        <is>
          <t xml:space="preserve"> </t>
        </is>
      </c>
      <c r="P80" s="99" t="inlineStr">
        <is>
          <t xml:space="preserve"> </t>
        </is>
      </c>
      <c r="Q80" s="99" t="inlineStr">
        <is>
          <t xml:space="preserve"> </t>
        </is>
      </c>
      <c r="R80" s="100" t="inlineStr">
        <is>
          <t xml:space="preserve"> </t>
        </is>
      </c>
      <c r="S80" t="inlineStr">
        <is>
          <t>No se encontró ejecución en CUIPO</t>
        </is>
      </c>
      <c r="T80" s="101" t="inlineStr">
        <is>
          <t xml:space="preserve"> </t>
        </is>
      </c>
      <c r="U80" s="101" t="inlineStr">
        <is>
          <t xml:space="preserve"> </t>
        </is>
      </c>
      <c r="V80" s="101" t="inlineStr">
        <is>
          <t xml:space="preserve"> </t>
        </is>
      </c>
      <c r="W80" s="102" t="inlineStr">
        <is>
          <t xml:space="preserve"> </t>
        </is>
      </c>
      <c r="X80" t="inlineStr">
        <is>
          <t>No se encontró ejecución en CUIPO</t>
        </is>
      </c>
    </row>
    <row r="81">
      <c r="A81" t="inlineStr">
        <is>
          <t>IP-97</t>
        </is>
      </c>
      <c r="B81" t="inlineStr">
        <is>
          <t>41</t>
        </is>
      </c>
      <c r="C81" t="inlineStr">
        <is>
          <t xml:space="preserve">Inclusión social y reconciliación </t>
        </is>
      </c>
      <c r="D81" t="inlineStr">
        <is>
          <t>4104</t>
        </is>
      </c>
      <c r="E81" t="inlineStr">
        <is>
          <t>Atención integral de población en situación permanente de desprotección social y/o familiar</t>
        </is>
      </c>
      <c r="F81" t="inlineStr">
        <is>
          <t>4104015</t>
        </is>
      </c>
      <c r="G81" t="inlineStr">
        <is>
          <t>Centros de protección social de día para el adulto mayor construidos y dotados</t>
        </is>
      </c>
      <c r="H81" t="inlineStr">
        <is>
          <t>Corresponde a la construcción y dotación de infraestructura destinada a brindar servicios diurnos para el cuidado, bienestar integral y asistencia social de los adultos mayores en condicionesde descuido, abandono o víctimas de violencia intrafamiliar.</t>
        </is>
      </c>
      <c r="I81" t="inlineStr">
        <is>
          <t>2024251260023</t>
        </is>
      </c>
      <c r="J81" s="99">
        <v>1750755561.02</v>
      </c>
      <c r="K81" s="99">
        <v>848614715.02</v>
      </c>
      <c r="L81" s="99">
        <v>902140846</v>
      </c>
      <c r="M81" s="99">
        <v>0</v>
      </c>
      <c r="N81" s="99">
        <v>0</v>
      </c>
      <c r="O81" s="99">
        <v>848614715</v>
      </c>
      <c r="P81" s="99">
        <v>0</v>
      </c>
      <c r="Q81" s="99">
        <v>0</v>
      </c>
      <c r="R81" s="100">
        <v>0</v>
      </c>
      <c r="S81" t="inlineStr">
        <is>
          <t>No se ejecutó en la vigencia</t>
        </is>
      </c>
      <c r="T81" s="101">
        <v>902000000</v>
      </c>
      <c r="U81" s="101">
        <v>0</v>
      </c>
      <c r="V81" s="101">
        <v>0</v>
      </c>
      <c r="W81" s="102">
        <v>0</v>
      </c>
      <c r="X81" t="inlineStr">
        <is>
          <t>No se ejecutó en la vigencia</t>
        </is>
      </c>
    </row>
    <row r="82">
      <c r="A82" t="inlineStr">
        <is>
          <t>IP-99</t>
        </is>
      </c>
      <c r="B82" t="inlineStr">
        <is>
          <t>41</t>
        </is>
      </c>
      <c r="C82" t="inlineStr">
        <is>
          <t xml:space="preserve">Inclusión social y reconciliación </t>
        </is>
      </c>
      <c r="D82" t="inlineStr">
        <is>
          <t>4101</t>
        </is>
      </c>
      <c r="E82" t="inlineStr">
        <is>
          <t>Atención, asistencia y reparación integral a las víctimas</t>
        </is>
      </c>
      <c r="F82" t="inlineStr">
        <is>
          <t>4101103</t>
        </is>
      </c>
      <c r="G82" t="inlineStr">
        <is>
          <t>Documentos de planeación</t>
        </is>
      </c>
      <c r="H82"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82" t="inlineStr">
        <is>
          <t>2024251260024</t>
        </is>
      </c>
      <c r="J82" s="99">
        <v>542790160</v>
      </c>
      <c r="K82" s="99">
        <v>70000000</v>
      </c>
      <c r="L82" s="99">
        <v>300500000</v>
      </c>
      <c r="M82" s="99">
        <v>84872000</v>
      </c>
      <c r="N82" s="99">
        <v>87418160</v>
      </c>
      <c r="O82" s="99">
        <v>69967155</v>
      </c>
      <c r="P82" s="99">
        <v>69967155</v>
      </c>
      <c r="Q82" s="99">
        <v>69967155</v>
      </c>
      <c r="R82" s="100">
        <v>0.999530785714286</v>
      </c>
      <c r="S82" t="inlineStr">
        <is>
          <t>Lo obligado está por debajo de lo programado en la vigencia</t>
        </is>
      </c>
      <c r="T82" s="101">
        <v>278000000</v>
      </c>
      <c r="U82" s="101">
        <v>57474406</v>
      </c>
      <c r="V82" s="101">
        <v>57474406</v>
      </c>
      <c r="W82" s="102">
        <v>0.191262582362729</v>
      </c>
      <c r="X82" t="inlineStr">
        <is>
          <t>Lo obligado está por debajo de lo programado en la vigencia</t>
        </is>
      </c>
    </row>
    <row r="83">
      <c r="A83" t="inlineStr">
        <is>
          <t>IP-100</t>
        </is>
      </c>
      <c r="B83" t="inlineStr">
        <is>
          <t>41</t>
        </is>
      </c>
      <c r="C83" t="inlineStr">
        <is>
          <t xml:space="preserve">Inclusión social y reconciliación </t>
        </is>
      </c>
      <c r="D83" t="inlineStr">
        <is>
          <t>4101</t>
        </is>
      </c>
      <c r="E83" t="inlineStr">
        <is>
          <t>Atención, asistencia y reparación integral a las víctimas</t>
        </is>
      </c>
      <c r="F83" t="inlineStr">
        <is>
          <t>4101046</t>
        </is>
      </c>
      <c r="G83" t="inlineStr">
        <is>
          <t>Documentos de diagnóstico y/o caracterización del daño colectivo</t>
        </is>
      </c>
      <c r="H83" t="inlineStr">
        <is>
          <t xml:space="preserve">Consiste en  identificar con precisión los hechos ocurridos, los posibles patrones de victimización, los derechos vulnerados y las afectaciones sufridas en todas las posibles dimensiones del daño (social, económico, cultural, político, psicosocial, institucional, territorial, ambiental) </t>
        </is>
      </c>
      <c r="I83" t="inlineStr">
        <is>
          <t>2024251260024</t>
        </is>
      </c>
      <c r="J83" s="99">
        <v>1035949114</v>
      </c>
      <c r="K83" s="99">
        <v>392542364</v>
      </c>
      <c r="L83" s="99">
        <v>105000000</v>
      </c>
      <c r="M83" s="99">
        <v>265225000</v>
      </c>
      <c r="N83" s="99">
        <v>273181750</v>
      </c>
      <c r="O83" s="99">
        <v>129609871</v>
      </c>
      <c r="P83" s="99">
        <v>129609871</v>
      </c>
      <c r="Q83" s="99">
        <v>129609871</v>
      </c>
      <c r="R83" s="100">
        <v>0.330180594214794</v>
      </c>
      <c r="S83" t="inlineStr">
        <is>
          <t>Lo obligado está por debajo de lo programado en la vigencia</t>
        </is>
      </c>
      <c r="T83" s="101">
        <v>88825000</v>
      </c>
      <c r="U83" s="101">
        <v>46245320</v>
      </c>
      <c r="V83" s="101">
        <v>46245320</v>
      </c>
      <c r="W83" s="102">
        <v>0.440431619047619</v>
      </c>
      <c r="X83" t="inlineStr">
        <is>
          <t>Lo obligado está por debajo de lo programado en la vigencia</t>
        </is>
      </c>
    </row>
    <row r="84">
      <c r="A84" t="inlineStr">
        <is>
          <t>IP-101</t>
        </is>
      </c>
      <c r="B84" t="inlineStr">
        <is>
          <t>41</t>
        </is>
      </c>
      <c r="C84" t="inlineStr">
        <is>
          <t xml:space="preserve">Inclusión social y reconciliación </t>
        </is>
      </c>
      <c r="D84" t="inlineStr">
        <is>
          <t>4101</t>
        </is>
      </c>
      <c r="E84" t="inlineStr">
        <is>
          <t>Atención, asistencia y reparación integral a las víctimas</t>
        </is>
      </c>
      <c r="F84" t="inlineStr">
        <is>
          <t>4101014</t>
        </is>
      </c>
      <c r="G84" t="inlineStr">
        <is>
          <t>Servicio de caracterización de la población víctima para su posterior atención, asistencia y reparación integral</t>
        </is>
      </c>
      <c r="H84" t="inlineStr">
        <is>
          <t xml:space="preserve">Mediante los cuales se caracteriza y se hace levantamiento de información individual de cada víctima y su hogar para la Asistencia Atención y Reparación Integral  </t>
        </is>
      </c>
      <c r="I84" t="inlineStr">
        <is>
          <t>2024251260024</t>
        </is>
      </c>
      <c r="J84" s="99">
        <v>0</v>
      </c>
      <c r="K84" s="99">
        <v>0</v>
      </c>
      <c r="L84" s="99">
        <v>0</v>
      </c>
      <c r="M84" s="99">
        <v>0</v>
      </c>
      <c r="N84" s="99">
        <v>0</v>
      </c>
      <c r="O84" s="99" t="inlineStr">
        <is>
          <t xml:space="preserve"> </t>
        </is>
      </c>
      <c r="P84" s="99" t="inlineStr">
        <is>
          <t xml:space="preserve"> </t>
        </is>
      </c>
      <c r="Q84" s="99" t="inlineStr">
        <is>
          <t xml:space="preserve"> </t>
        </is>
      </c>
      <c r="R84" s="100" t="inlineStr">
        <is>
          <t xml:space="preserve"> </t>
        </is>
      </c>
      <c r="S84" t="inlineStr">
        <is>
          <t>No se encontró ejecución en CUIPO</t>
        </is>
      </c>
      <c r="T84" s="101" t="inlineStr">
        <is>
          <t xml:space="preserve"> </t>
        </is>
      </c>
      <c r="U84" s="101" t="inlineStr">
        <is>
          <t xml:space="preserve"> </t>
        </is>
      </c>
      <c r="V84" s="101" t="inlineStr">
        <is>
          <t xml:space="preserve"> </t>
        </is>
      </c>
      <c r="W84" s="102" t="inlineStr">
        <is>
          <t xml:space="preserve"> </t>
        </is>
      </c>
      <c r="X84" t="inlineStr">
        <is>
          <t>No se encontró ejecución en CUIPO</t>
        </is>
      </c>
    </row>
    <row r="85">
      <c r="A85" t="inlineStr">
        <is>
          <t>IP-102, IP-103, IP-104, IP-105</t>
        </is>
      </c>
      <c r="B85" t="inlineStr">
        <is>
          <t>41</t>
        </is>
      </c>
      <c r="C85" t="inlineStr">
        <is>
          <t xml:space="preserve">Inclusión social y reconciliación </t>
        </is>
      </c>
      <c r="D85" t="inlineStr">
        <is>
          <t>4103</t>
        </is>
      </c>
      <c r="E85" t="inlineStr">
        <is>
          <t>Inclusión social y productiva para la población en situación de vulnerabilidad</t>
        </is>
      </c>
      <c r="F85" t="inlineStr">
        <is>
          <t>4103052</t>
        </is>
      </c>
      <c r="G85" t="inlineStr">
        <is>
          <t>Servicio de gestión de oferta social para la población vulnerable</t>
        </is>
      </c>
      <c r="H85" t="inlineStr">
        <is>
          <t>Incluye el desarrollo de acciones encaminadas a generar dinámicas de atención conjunta, articulada y eficiente entre las instituciones del estado hacia la población vulnerable.</t>
        </is>
      </c>
      <c r="I85" t="inlineStr">
        <is>
          <t>2024251260025</t>
        </is>
      </c>
      <c r="J85" s="99">
        <v>230482167</v>
      </c>
      <c r="K85" s="99">
        <v>40000000</v>
      </c>
      <c r="L85" s="99">
        <v>145256000</v>
      </c>
      <c r="M85" s="99">
        <v>22278900</v>
      </c>
      <c r="N85" s="99">
        <v>22947267</v>
      </c>
      <c r="O85" s="99">
        <v>40000000</v>
      </c>
      <c r="P85" s="99">
        <v>40000000</v>
      </c>
      <c r="Q85" s="99">
        <v>40000000</v>
      </c>
      <c r="R85" s="100">
        <v>1</v>
      </c>
      <c r="S85" t="inlineStr">
        <is>
          <t>Se ejecutó el 100% de lo programado en la vigencia</t>
        </is>
      </c>
      <c r="T85" s="101">
        <v>138795079</v>
      </c>
      <c r="U85" s="101">
        <v>23968070</v>
      </c>
      <c r="V85" s="101">
        <v>23968070</v>
      </c>
      <c r="W85" s="102">
        <v>0.165005714049678</v>
      </c>
      <c r="X85" t="inlineStr">
        <is>
          <t>Lo obligado está por debajo de lo programado en la vigencia</t>
        </is>
      </c>
    </row>
    <row r="86">
      <c r="A86" t="inlineStr">
        <is>
          <t>IP-106</t>
        </is>
      </c>
      <c r="B86" t="inlineStr">
        <is>
          <t>41</t>
        </is>
      </c>
      <c r="C86" t="inlineStr">
        <is>
          <t xml:space="preserve">Inclusión social y reconciliación </t>
        </is>
      </c>
      <c r="D86" t="inlineStr">
        <is>
          <t>4103</t>
        </is>
      </c>
      <c r="E86" t="inlineStr">
        <is>
          <t>Inclusión social y productiva para la población en situación de vulnerabilidad</t>
        </is>
      </c>
      <c r="F86" t="inlineStr">
        <is>
          <t>4103025</t>
        </is>
      </c>
      <c r="G86" t="inlineStr">
        <is>
          <t>Centros comunitarios construidos</t>
        </is>
      </c>
      <c r="H86" t="inlineStr">
        <is>
          <t xml:space="preserve">Construcción de infraestructura dispuesta a la comunidad para que pueda desarrollar actividades culturales, sociales y de formación. </t>
        </is>
      </c>
      <c r="I86" t="inlineStr">
        <is>
          <t>2024251260001</t>
        </is>
      </c>
      <c r="J86" s="99">
        <v>5795005019.91</v>
      </c>
      <c r="K86" s="99">
        <v>0</v>
      </c>
      <c r="L86" s="99">
        <v>5795005019.91</v>
      </c>
      <c r="M86" s="99">
        <v>0</v>
      </c>
      <c r="N86" s="99">
        <v>0</v>
      </c>
      <c r="O86" s="99" t="inlineStr">
        <is>
          <t xml:space="preserve"> </t>
        </is>
      </c>
      <c r="P86" s="99" t="inlineStr">
        <is>
          <t xml:space="preserve"> </t>
        </is>
      </c>
      <c r="Q86" s="99" t="inlineStr">
        <is>
          <t xml:space="preserve"> </t>
        </is>
      </c>
      <c r="R86" s="100" t="inlineStr">
        <is>
          <t xml:space="preserve"> </t>
        </is>
      </c>
      <c r="S86" t="inlineStr">
        <is>
          <t>No se encontró ejecución en CUIPO</t>
        </is>
      </c>
      <c r="T86" s="101">
        <v>106972781</v>
      </c>
      <c r="U86" s="101">
        <v>7500000</v>
      </c>
      <c r="V86" s="101">
        <v>7500000</v>
      </c>
      <c r="W86" s="102">
        <v>0.00129421803332907</v>
      </c>
      <c r="X86" t="inlineStr">
        <is>
          <t>Lo obligado está por debajo de lo programado en la vigencia</t>
        </is>
      </c>
    </row>
    <row r="87">
      <c r="A87" t="inlineStr">
        <is>
          <t>IP-107</t>
        </is>
      </c>
      <c r="B87" t="inlineStr">
        <is>
          <t>41</t>
        </is>
      </c>
      <c r="C87" t="inlineStr">
        <is>
          <t xml:space="preserve">Inclusión social y reconciliación </t>
        </is>
      </c>
      <c r="D87" t="inlineStr">
        <is>
          <t>4103</t>
        </is>
      </c>
      <c r="E87" t="inlineStr">
        <is>
          <t>Inclusión social y productiva para la población en situación de vulnerabilidad</t>
        </is>
      </c>
      <c r="F87" t="inlineStr">
        <is>
          <t>4103064</t>
        </is>
      </c>
      <c r="G87" t="inlineStr">
        <is>
          <t>Documentos de evaluación</t>
        </is>
      </c>
      <c r="H87" t="inlineStr">
        <is>
          <t>Hace referencia al proceso de evaluación en el diseño, implementación y seguimiento de las recomendaciones de las evaluaciones de políticas, planes y programas en materia de inclusión social y productiva para la población en situación de vulnerabilidad, orientando las acciones de política y la toma de decisiones estratégicas, articuladas y pertinentes.</t>
        </is>
      </c>
      <c r="I87" t="inlineStr">
        <is>
          <t>2024251260025</t>
        </is>
      </c>
      <c r="J87" s="99">
        <v>41836270</v>
      </c>
      <c r="K87" s="99">
        <v>10000000</v>
      </c>
      <c r="L87" s="99">
        <v>10300000</v>
      </c>
      <c r="M87" s="99">
        <v>10609000</v>
      </c>
      <c r="N87" s="99">
        <v>10927270</v>
      </c>
      <c r="O87" s="99">
        <v>1131265</v>
      </c>
      <c r="P87" s="99">
        <v>1131265</v>
      </c>
      <c r="Q87" s="99">
        <v>1131265</v>
      </c>
      <c r="R87" s="100">
        <v>0.1131265</v>
      </c>
      <c r="S87" t="inlineStr">
        <is>
          <t>Lo obligado está por debajo de lo programado en la vigencia</t>
        </is>
      </c>
      <c r="T87" s="101">
        <v>17980207</v>
      </c>
      <c r="U87" s="101">
        <v>17527140</v>
      </c>
      <c r="V87" s="101">
        <v>17527140</v>
      </c>
      <c r="W87" s="102">
        <v>1.7016640776699</v>
      </c>
      <c r="X87" t="inlineStr">
        <is>
          <t>Hubo ejecución por encima de lo programado en SisPT</t>
        </is>
      </c>
    </row>
    <row r="88">
      <c r="A88" t="inlineStr">
        <is>
          <t>IP-108</t>
        </is>
      </c>
      <c r="B88" t="inlineStr">
        <is>
          <t>41</t>
        </is>
      </c>
      <c r="C88" t="inlineStr">
        <is>
          <t xml:space="preserve">Inclusión social y reconciliación </t>
        </is>
      </c>
      <c r="D88" t="inlineStr">
        <is>
          <t>4103</t>
        </is>
      </c>
      <c r="E88" t="inlineStr">
        <is>
          <t>Inclusión social y productiva para la población en situación de vulnerabilidad</t>
        </is>
      </c>
      <c r="F88" t="inlineStr">
        <is>
          <t>4103064</t>
        </is>
      </c>
      <c r="G88" t="inlineStr">
        <is>
          <t>Documentos de evaluación</t>
        </is>
      </c>
      <c r="H88" t="inlineStr">
        <is>
          <t>Hace referencia al proceso de evaluación en el diseño, implementación y seguimiento de las recomendaciones de las evaluaciones de políticas, planes y programas en materia de inclusión social y productiva para la población en situación de vulnerabilidad, orientando las acciones de política y la toma de decisiones estratégicas, articuladas y pertinentes.</t>
        </is>
      </c>
      <c r="I88" t="inlineStr">
        <is>
          <t>2024251260026</t>
        </is>
      </c>
      <c r="J88" s="99">
        <v>90786270</v>
      </c>
      <c r="K88" s="99">
        <v>21750000</v>
      </c>
      <c r="L88" s="99">
        <v>47500000</v>
      </c>
      <c r="M88" s="99">
        <v>10609000</v>
      </c>
      <c r="N88" s="99">
        <v>10927270</v>
      </c>
      <c r="O88" s="99">
        <v>20250000</v>
      </c>
      <c r="P88" s="99">
        <v>20250000</v>
      </c>
      <c r="Q88" s="99">
        <v>20250000</v>
      </c>
      <c r="R88" s="100">
        <v>0.931034482758621</v>
      </c>
      <c r="S88" t="inlineStr">
        <is>
          <t>Lo obligado está por debajo de lo programado en la vigencia</t>
        </is>
      </c>
      <c r="T88" s="101">
        <v>44600807</v>
      </c>
      <c r="U88" s="101">
        <v>37334005</v>
      </c>
      <c r="V88" s="101">
        <v>31300403</v>
      </c>
      <c r="W88" s="102">
        <v>0.785979052631579</v>
      </c>
      <c r="X88" t="inlineStr">
        <is>
          <t>Lo obligado está por debajo de lo programado en la vigencia</t>
        </is>
      </c>
    </row>
    <row r="89">
      <c r="A89" t="inlineStr">
        <is>
          <t>IP-109</t>
        </is>
      </c>
      <c r="B89" t="inlineStr">
        <is>
          <t>41</t>
        </is>
      </c>
      <c r="C89" t="inlineStr">
        <is>
          <t xml:space="preserve">Inclusión social y reconciliación </t>
        </is>
      </c>
      <c r="D89" t="inlineStr">
        <is>
          <t>4102</t>
        </is>
      </c>
      <c r="E89" t="inlineStr">
        <is>
          <t>Desarrollo integral de la primera infancia a la juventud, y fortalecimiento de las capacidades de las familias de niñas, niños y adolescentes</t>
        </is>
      </c>
      <c r="F89" t="inlineStr">
        <is>
          <t>4102042</t>
        </is>
      </c>
      <c r="G89" t="inlineStr">
        <is>
          <t>Servicio de asistencia técnica a comunidades en temas de fortalecimiento del tejido social y construcción de escenarios comunitarios protectores de derechos</t>
        </is>
      </c>
      <c r="H89" t="inlineStr">
        <is>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is>
      </c>
      <c r="I89" t="inlineStr">
        <is>
          <t>2024251260027</t>
        </is>
      </c>
      <c r="J89" s="99">
        <v>41836270</v>
      </c>
      <c r="K89" s="99">
        <v>10000000</v>
      </c>
      <c r="L89" s="99">
        <v>10300000</v>
      </c>
      <c r="M89" s="99">
        <v>10609000</v>
      </c>
      <c r="N89" s="99">
        <v>10927270</v>
      </c>
      <c r="O89" s="99">
        <v>5850000</v>
      </c>
      <c r="P89" s="99">
        <v>5850000</v>
      </c>
      <c r="Q89" s="99">
        <v>5850000</v>
      </c>
      <c r="R89" s="100">
        <v>0.585</v>
      </c>
      <c r="S89" t="inlineStr">
        <is>
          <t>Lo obligado está por debajo de lo programado en la vigencia</t>
        </is>
      </c>
      <c r="T89" s="101">
        <v>24960000</v>
      </c>
      <c r="U89" s="101">
        <v>18200000</v>
      </c>
      <c r="V89" s="101">
        <v>18200000</v>
      </c>
      <c r="W89" s="102">
        <v>1.76699029126214</v>
      </c>
      <c r="X89" t="inlineStr">
        <is>
          <t>Hubo ejecución por encima de lo programado en SisPT</t>
        </is>
      </c>
    </row>
    <row r="90">
      <c r="A90" t="inlineStr">
        <is>
          <t>IP-110</t>
        </is>
      </c>
      <c r="B90" t="inlineStr">
        <is>
          <t>41</t>
        </is>
      </c>
      <c r="C90" t="inlineStr">
        <is>
          <t xml:space="preserve">Inclusión social y reconciliación </t>
        </is>
      </c>
      <c r="D90" t="inlineStr">
        <is>
          <t>4102</t>
        </is>
      </c>
      <c r="E90" t="inlineStr">
        <is>
          <t>Desarrollo integral de la primera infancia a la juventud, y fortalecimiento de las capacidades de las familias de niñas, niños y adolescentes</t>
        </is>
      </c>
      <c r="F90" t="inlineStr">
        <is>
          <t>4102043</t>
        </is>
      </c>
      <c r="G90" t="inlineStr">
        <is>
          <t>Servicio de promoción de temas de dinámica relacional y desarrollo autónomo</t>
        </is>
      </c>
      <c r="H90" t="inlineStr">
        <is>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is>
      </c>
      <c r="I90" t="inlineStr">
        <is>
          <t>2024251260027</t>
        </is>
      </c>
      <c r="J90" s="99">
        <v>142431350</v>
      </c>
      <c r="K90" s="99">
        <v>9750000</v>
      </c>
      <c r="L90" s="99">
        <v>25000000</v>
      </c>
      <c r="M90" s="99">
        <v>53045000</v>
      </c>
      <c r="N90" s="99">
        <v>54636350</v>
      </c>
      <c r="O90" s="99">
        <v>2816667</v>
      </c>
      <c r="P90" s="99">
        <v>2816667</v>
      </c>
      <c r="Q90" s="99">
        <v>2816667</v>
      </c>
      <c r="R90" s="100">
        <v>0.288888923076923</v>
      </c>
      <c r="S90" t="inlineStr">
        <is>
          <t>Lo obligado está por debajo de lo programado en la vigencia</t>
        </is>
      </c>
      <c r="T90" s="101">
        <v>25000000</v>
      </c>
      <c r="U90" s="101">
        <v>14969010</v>
      </c>
      <c r="V90" s="101">
        <v>14969010</v>
      </c>
      <c r="W90" s="102">
        <v>0.5987604</v>
      </c>
      <c r="X90" t="inlineStr">
        <is>
          <t>Lo obligado está por debajo de lo programado en la vigencia</t>
        </is>
      </c>
    </row>
    <row r="91">
      <c r="A91" t="inlineStr">
        <is>
          <t>IP-111</t>
        </is>
      </c>
      <c r="B91" t="inlineStr">
        <is>
          <t>41</t>
        </is>
      </c>
      <c r="C91" t="inlineStr">
        <is>
          <t xml:space="preserve">Inclusión social y reconciliación </t>
        </is>
      </c>
      <c r="D91" t="inlineStr">
        <is>
          <t>4103</t>
        </is>
      </c>
      <c r="E91" t="inlineStr">
        <is>
          <t>Inclusión social y productiva para la población en situación de vulnerabilidad</t>
        </is>
      </c>
      <c r="F91" t="inlineStr">
        <is>
          <t>4103061</t>
        </is>
      </c>
      <c r="G91" t="inlineStr">
        <is>
          <t>Servicio de apoyo financiero para la entrega de transferencias monetarias no condicionadas</t>
        </is>
      </c>
      <c r="H91" t="inlineStr">
        <is>
          <t>Corresponde al apoyo financiero otorgado a la población en situación de vulnerabilidad o pobreza, con el fin de ser un complemento a los ingresos de dicha población.</t>
        </is>
      </c>
      <c r="I91" t="inlineStr">
        <is>
          <t>2024251260026</t>
        </is>
      </c>
      <c r="J91" s="99">
        <v>369893700</v>
      </c>
      <c r="K91" s="99">
        <v>38763000</v>
      </c>
      <c r="L91" s="99">
        <v>115768000</v>
      </c>
      <c r="M91" s="99">
        <v>106090000</v>
      </c>
      <c r="N91" s="99">
        <v>109272700</v>
      </c>
      <c r="O91" s="99">
        <v>38139000</v>
      </c>
      <c r="P91" s="99">
        <v>38139000</v>
      </c>
      <c r="Q91" s="99">
        <v>38139000</v>
      </c>
      <c r="R91" s="100">
        <v>0.983902174754276</v>
      </c>
      <c r="S91" t="inlineStr">
        <is>
          <t>Lo obligado está por debajo de lo programado en la vigencia</t>
        </is>
      </c>
      <c r="T91" s="101">
        <v>115768000</v>
      </c>
      <c r="U91" s="101">
        <v>82992000</v>
      </c>
      <c r="V91" s="101">
        <v>74712000</v>
      </c>
      <c r="W91" s="102">
        <v>0.716882039941953</v>
      </c>
      <c r="X91" t="inlineStr">
        <is>
          <t>Lo obligado está por debajo de lo programado en la vigencia</t>
        </is>
      </c>
    </row>
    <row r="92">
      <c r="A92" t="inlineStr">
        <is>
          <t>IP-112</t>
        </is>
      </c>
      <c r="B92" t="inlineStr">
        <is>
          <t>41</t>
        </is>
      </c>
      <c r="C92" t="inlineStr">
        <is>
          <t xml:space="preserve">Inclusión social y reconciliación </t>
        </is>
      </c>
      <c r="D92" t="inlineStr">
        <is>
          <t>4103</t>
        </is>
      </c>
      <c r="E92" t="inlineStr">
        <is>
          <t>Inclusión social y productiva para la población en situación de vulnerabilidad</t>
        </is>
      </c>
      <c r="F92" t="inlineStr">
        <is>
          <t>4103052</t>
        </is>
      </c>
      <c r="G92" t="inlineStr">
        <is>
          <t>Servicio de gestión de oferta social para la población vulnerable</t>
        </is>
      </c>
      <c r="H92" t="inlineStr">
        <is>
          <t>Incluye el desarrollo de acciones encaminadas a generar dinámicas de atención conjunta, articulada y eficiente entre las instituciones del estado hacia la población vulnerable.</t>
        </is>
      </c>
      <c r="I92" t="inlineStr">
        <is>
          <t>2024251260026</t>
        </is>
      </c>
      <c r="J92" s="99">
        <v>200000000</v>
      </c>
      <c r="K92" s="99">
        <v>200000000</v>
      </c>
      <c r="L92" s="99">
        <v>0</v>
      </c>
      <c r="M92" s="99">
        <v>0</v>
      </c>
      <c r="N92" s="99">
        <v>0</v>
      </c>
      <c r="O92" s="99">
        <v>200000000</v>
      </c>
      <c r="P92" s="99">
        <v>200000000</v>
      </c>
      <c r="Q92" s="99">
        <v>200000000</v>
      </c>
      <c r="R92" s="100">
        <v>1</v>
      </c>
      <c r="S92" t="inlineStr">
        <is>
          <t>Se ejecutó el 100% de lo programado en la vigencia</t>
        </is>
      </c>
      <c r="T92" s="101">
        <v>220378476</v>
      </c>
      <c r="U92" s="101">
        <v>0</v>
      </c>
      <c r="V92" s="101">
        <v>0</v>
      </c>
      <c r="W92" s="102" t="inlineStr">
        <is>
          <t xml:space="preserve"> </t>
        </is>
      </c>
      <c r="X92" t="inlineStr">
        <is>
          <t>No se programó ni ejecutó en la vigencia</t>
        </is>
      </c>
    </row>
    <row r="93">
      <c r="A93" t="inlineStr">
        <is>
          <t>IP-113</t>
        </is>
      </c>
      <c r="B93" t="inlineStr">
        <is>
          <t>41</t>
        </is>
      </c>
      <c r="C93" t="inlineStr">
        <is>
          <t xml:space="preserve">Inclusión social y reconciliación </t>
        </is>
      </c>
      <c r="D93" t="inlineStr">
        <is>
          <t>4103</t>
        </is>
      </c>
      <c r="E93" t="inlineStr">
        <is>
          <t>Inclusión social y productiva para la población en situación de vulnerabilidad</t>
        </is>
      </c>
      <c r="F93" t="inlineStr">
        <is>
          <t>4103070</t>
        </is>
      </c>
      <c r="G93" t="inlineStr">
        <is>
          <t>Documentos de estudios técnicos</t>
        </is>
      </c>
      <c r="H93" t="inlineStr">
        <is>
          <t>Documentos cuyo objetivo es la elaboración de informes de base que analizan situaciones, estudios de caso y de una temática específica.</t>
        </is>
      </c>
      <c r="I93" t="inlineStr">
        <is>
          <t>2024251260026</t>
        </is>
      </c>
      <c r="J93" s="99">
        <v>185414683</v>
      </c>
      <c r="K93" s="99">
        <v>28333333</v>
      </c>
      <c r="L93" s="99">
        <v>49400000</v>
      </c>
      <c r="M93" s="99">
        <v>53045000</v>
      </c>
      <c r="N93" s="99">
        <v>54636350</v>
      </c>
      <c r="O93" s="99">
        <v>26150610</v>
      </c>
      <c r="P93" s="99">
        <v>26150610</v>
      </c>
      <c r="Q93" s="99">
        <v>26150610</v>
      </c>
      <c r="R93" s="100">
        <v>0.922962716740738</v>
      </c>
      <c r="S93" t="inlineStr">
        <is>
          <t>Lo obligado está por debajo de lo programado en la vigencia</t>
        </is>
      </c>
      <c r="T93" s="101">
        <v>32800000</v>
      </c>
      <c r="U93" s="101">
        <v>31160000</v>
      </c>
      <c r="V93" s="101">
        <v>27060000</v>
      </c>
      <c r="W93" s="102">
        <v>0.630769230769231</v>
      </c>
      <c r="X93" t="inlineStr">
        <is>
          <t>Lo obligado está por debajo de lo programado en la vigencia</t>
        </is>
      </c>
    </row>
    <row r="94">
      <c r="A94" t="inlineStr">
        <is>
          <t>IP-114</t>
        </is>
      </c>
      <c r="B94" t="inlineStr">
        <is>
          <t>41</t>
        </is>
      </c>
      <c r="C94" t="inlineStr">
        <is>
          <t xml:space="preserve">Inclusión social y reconciliación </t>
        </is>
      </c>
      <c r="D94" t="inlineStr">
        <is>
          <t>4103</t>
        </is>
      </c>
      <c r="E94" t="inlineStr">
        <is>
          <t>Inclusión social y productiva para la población en situación de vulnerabilidad</t>
        </is>
      </c>
      <c r="F94" t="inlineStr">
        <is>
          <t>4103050</t>
        </is>
      </c>
      <c r="G94" t="inlineStr">
        <is>
          <t>Servicio de acompañamiento familiar y comunitario para la superación de la pobreza</t>
        </is>
      </c>
      <c r="H94" t="inlineStr">
        <is>
          <t>Incluye el desarrollo de acciones mediante las cuales se busca fortalecer la capacidad de autogestión y el tejido social en los hogares que se encuentran en situación de pobreza y en las comunidades focalizadas, para mejorar sus condiciones de vida. Tiene componentes de acompañamiento familiar y comunitario y de gestión de oferta institucional.</t>
        </is>
      </c>
      <c r="I94" t="inlineStr">
        <is>
          <t>2024251260026</t>
        </is>
      </c>
      <c r="J94" s="99">
        <v>496740873.5836</v>
      </c>
      <c r="K94" s="99">
        <v>180033042</v>
      </c>
      <c r="L94" s="99">
        <v>102464599.82</v>
      </c>
      <c r="M94" s="99">
        <v>105538537.8146</v>
      </c>
      <c r="N94" s="99">
        <v>108704693.949</v>
      </c>
      <c r="O94" s="99">
        <v>77528748</v>
      </c>
      <c r="P94" s="99">
        <v>77528748</v>
      </c>
      <c r="Q94" s="99">
        <v>77528748</v>
      </c>
      <c r="R94" s="100">
        <v>0.430636216211911</v>
      </c>
      <c r="S94" t="inlineStr">
        <is>
          <t>Lo obligado está por debajo de lo programado en la vigencia</t>
        </is>
      </c>
      <c r="T94" s="101">
        <v>586401699</v>
      </c>
      <c r="U94" s="101">
        <v>338072130</v>
      </c>
      <c r="V94" s="101">
        <v>194741730</v>
      </c>
      <c r="W94" s="102">
        <v>3.29940419026564</v>
      </c>
      <c r="X94" t="inlineStr">
        <is>
          <t>Hubo ejecución por encima de lo programado en SisPT</t>
        </is>
      </c>
    </row>
    <row r="95">
      <c r="A95" t="inlineStr">
        <is>
          <t>IP-115</t>
        </is>
      </c>
      <c r="B95" t="inlineStr">
        <is>
          <t>41</t>
        </is>
      </c>
      <c r="C95" t="inlineStr">
        <is>
          <t xml:space="preserve">Inclusión social y reconciliación </t>
        </is>
      </c>
      <c r="D95" t="inlineStr">
        <is>
          <t>4103</t>
        </is>
      </c>
      <c r="E95" t="inlineStr">
        <is>
          <t>Inclusión social y productiva para la población en situación de vulnerabilidad</t>
        </is>
      </c>
      <c r="F95" t="inlineStr">
        <is>
          <t>4103068</t>
        </is>
      </c>
      <c r="G95" t="inlineStr">
        <is>
          <t>Documentos metodológicos</t>
        </is>
      </c>
      <c r="H95" t="inlineStr">
        <is>
          <t>Documentos cuyo objetivo es describir y explicar métodos, herramientas analíticas, o procesos que determinan un camino o forma de realizar un análisis en particular.</t>
        </is>
      </c>
      <c r="I95" t="inlineStr">
        <is>
          <t>2024251260028</t>
        </is>
      </c>
      <c r="J95" s="99">
        <v>149075657</v>
      </c>
      <c r="K95" s="99">
        <v>27960000</v>
      </c>
      <c r="L95" s="99">
        <v>99579387</v>
      </c>
      <c r="M95" s="99">
        <v>10609000</v>
      </c>
      <c r="N95" s="99">
        <v>10927270</v>
      </c>
      <c r="O95" s="99">
        <v>26920000</v>
      </c>
      <c r="P95" s="99">
        <v>26920000</v>
      </c>
      <c r="Q95" s="99">
        <v>26920000</v>
      </c>
      <c r="R95" s="100">
        <v>0.962804005722461</v>
      </c>
      <c r="S95" t="inlineStr">
        <is>
          <t>Lo obligado está por debajo de lo programado en la vigencia</t>
        </is>
      </c>
      <c r="T95" s="101">
        <v>91574797</v>
      </c>
      <c r="U95" s="101">
        <v>14460000</v>
      </c>
      <c r="V95" s="101">
        <v>12900000</v>
      </c>
      <c r="W95" s="102">
        <v>0.145210775398728</v>
      </c>
      <c r="X95" t="inlineStr">
        <is>
          <t>Lo obligado está por debajo de lo programado en la vigencia</t>
        </is>
      </c>
    </row>
    <row r="96">
      <c r="A96" t="inlineStr">
        <is>
          <t>IP-116</t>
        </is>
      </c>
      <c r="B96" t="inlineStr">
        <is>
          <t>41</t>
        </is>
      </c>
      <c r="C96" t="inlineStr">
        <is>
          <t xml:space="preserve">Inclusión social y reconciliación </t>
        </is>
      </c>
      <c r="D96" t="inlineStr">
        <is>
          <t>4103</t>
        </is>
      </c>
      <c r="E96" t="inlineStr">
        <is>
          <t>Inclusión social y productiva para la población en situación de vulnerabilidad</t>
        </is>
      </c>
      <c r="F96" t="inlineStr">
        <is>
          <t>4103052</t>
        </is>
      </c>
      <c r="G96" t="inlineStr">
        <is>
          <t>Servicio de gestión de oferta social para la población vulnerable</t>
        </is>
      </c>
      <c r="H96" t="inlineStr">
        <is>
          <t>Incluye el desarrollo de acciones encaminadas a generar dinámicas de atención conjunta, articulada y eficiente entre las instituciones del estado hacia la población vulnerable.</t>
        </is>
      </c>
      <c r="I96" t="inlineStr">
        <is>
          <t>2024251260028</t>
        </is>
      </c>
      <c r="J96" s="99">
        <v>0</v>
      </c>
      <c r="K96" s="99">
        <v>0</v>
      </c>
      <c r="L96" s="99">
        <v>0</v>
      </c>
      <c r="M96" s="99">
        <v>0</v>
      </c>
      <c r="N96" s="99">
        <v>0</v>
      </c>
      <c r="O96" s="99" t="inlineStr">
        <is>
          <t xml:space="preserve"> </t>
        </is>
      </c>
      <c r="P96" s="99" t="inlineStr">
        <is>
          <t xml:space="preserve"> </t>
        </is>
      </c>
      <c r="Q96" s="99" t="inlineStr">
        <is>
          <t xml:space="preserve"> </t>
        </is>
      </c>
      <c r="R96" s="100" t="inlineStr">
        <is>
          <t xml:space="preserve"> </t>
        </is>
      </c>
      <c r="S96" t="inlineStr">
        <is>
          <t>No se encontró ejecución en CUIPO</t>
        </is>
      </c>
      <c r="T96" s="101" t="inlineStr">
        <is>
          <t xml:space="preserve"> </t>
        </is>
      </c>
      <c r="U96" s="101" t="inlineStr">
        <is>
          <t xml:space="preserve"> </t>
        </is>
      </c>
      <c r="V96" s="101" t="inlineStr">
        <is>
          <t xml:space="preserve"> </t>
        </is>
      </c>
      <c r="W96" s="102" t="inlineStr">
        <is>
          <t xml:space="preserve"> </t>
        </is>
      </c>
      <c r="X96" t="inlineStr">
        <is>
          <t>No se encontró ejecución en CUIPO</t>
        </is>
      </c>
    </row>
    <row r="97">
      <c r="A97" t="inlineStr">
        <is>
          <t>IP-117, IP-120</t>
        </is>
      </c>
      <c r="B97" t="inlineStr">
        <is>
          <t>41</t>
        </is>
      </c>
      <c r="C97" t="inlineStr">
        <is>
          <t xml:space="preserve">Inclusión social y reconciliación </t>
        </is>
      </c>
      <c r="D97" t="inlineStr">
        <is>
          <t>4104</t>
        </is>
      </c>
      <c r="E97" t="inlineStr">
        <is>
          <t>Atención integral de población en situación permanente de desprotección social y/o familiar</t>
        </is>
      </c>
      <c r="F97" t="inlineStr">
        <is>
          <t>4104020</t>
        </is>
      </c>
      <c r="G97" t="inlineStr">
        <is>
          <t>Servicio de atención integral a población en condición de discapacidad</t>
        </is>
      </c>
      <c r="H97" t="inlineStr">
        <is>
          <t>Servicios integrales que incluyen aspectos relacionados con atención en salud, cuidado, alimentación, hospedaje, formación para el trabajo, inclusión productiva, recreación, entre otros, para población en condición de discapacidad.</t>
        </is>
      </c>
      <c r="I97" t="inlineStr">
        <is>
          <t>2024251260029</t>
        </is>
      </c>
      <c r="J97" s="99">
        <v>5430853256.5899</v>
      </c>
      <c r="K97" s="99">
        <v>702585126</v>
      </c>
      <c r="L97" s="99">
        <v>2301943625</v>
      </c>
      <c r="M97" s="99">
        <v>1195233746.596</v>
      </c>
      <c r="N97" s="99">
        <v>1231090758.9939</v>
      </c>
      <c r="O97" s="99">
        <v>678359101</v>
      </c>
      <c r="P97" s="99">
        <v>628944351</v>
      </c>
      <c r="Q97" s="99">
        <v>573643425</v>
      </c>
      <c r="R97" s="100">
        <v>0.895185974944764</v>
      </c>
      <c r="S97" t="inlineStr">
        <is>
          <t>Lo obligado está por debajo de lo programado en la vigencia</t>
        </is>
      </c>
      <c r="T97" s="101">
        <v>1457652576</v>
      </c>
      <c r="U97" s="101">
        <v>1096683192</v>
      </c>
      <c r="V97" s="101">
        <v>1096683192</v>
      </c>
      <c r="W97" s="102">
        <v>0.476416181564829</v>
      </c>
      <c r="X97" t="inlineStr">
        <is>
          <t>Lo obligado está por debajo de lo programado en la vigencia</t>
        </is>
      </c>
    </row>
    <row r="98">
      <c r="A98" t="inlineStr">
        <is>
          <t>IP-118</t>
        </is>
      </c>
      <c r="B98" t="inlineStr">
        <is>
          <t>41</t>
        </is>
      </c>
      <c r="C98" t="inlineStr">
        <is>
          <t xml:space="preserve">Inclusión social y reconciliación </t>
        </is>
      </c>
      <c r="D98" t="inlineStr">
        <is>
          <t>4103</t>
        </is>
      </c>
      <c r="E98" t="inlineStr">
        <is>
          <t>Inclusión social y productiva para la población en situación de vulnerabilidad</t>
        </is>
      </c>
      <c r="F98" t="inlineStr">
        <is>
          <t>4103070</t>
        </is>
      </c>
      <c r="G98" t="inlineStr">
        <is>
          <t>Documentos de estudios técnicos</t>
        </is>
      </c>
      <c r="H98" t="inlineStr">
        <is>
          <t>Documentos cuyo objetivo es la elaboración de informes de base que analizan situaciones, estudios de caso y de una temática específica.</t>
        </is>
      </c>
      <c r="I98" t="inlineStr">
        <is>
          <t>2024251260028</t>
        </is>
      </c>
      <c r="J98" s="99">
        <v>0</v>
      </c>
      <c r="K98" s="99">
        <v>0</v>
      </c>
      <c r="L98" s="99">
        <v>0</v>
      </c>
      <c r="M98" s="99">
        <v>0</v>
      </c>
      <c r="N98" s="99">
        <v>0</v>
      </c>
      <c r="O98" s="99" t="inlineStr">
        <is>
          <t xml:space="preserve"> </t>
        </is>
      </c>
      <c r="P98" s="99" t="inlineStr">
        <is>
          <t xml:space="preserve"> </t>
        </is>
      </c>
      <c r="Q98" s="99" t="inlineStr">
        <is>
          <t xml:space="preserve"> </t>
        </is>
      </c>
      <c r="R98" s="100" t="inlineStr">
        <is>
          <t xml:space="preserve"> </t>
        </is>
      </c>
      <c r="S98" t="inlineStr">
        <is>
          <t>No se encontró ejecución en CUIPO</t>
        </is>
      </c>
      <c r="T98" s="101" t="inlineStr">
        <is>
          <t xml:space="preserve"> </t>
        </is>
      </c>
      <c r="U98" s="101" t="inlineStr">
        <is>
          <t xml:space="preserve"> </t>
        </is>
      </c>
      <c r="V98" s="101" t="inlineStr">
        <is>
          <t xml:space="preserve"> </t>
        </is>
      </c>
      <c r="W98" s="102" t="inlineStr">
        <is>
          <t xml:space="preserve"> </t>
        </is>
      </c>
      <c r="X98" t="inlineStr">
        <is>
          <t>No se encontró ejecución en CUIPO</t>
        </is>
      </c>
    </row>
    <row r="99">
      <c r="A99" t="inlineStr">
        <is>
          <t>IP-119</t>
        </is>
      </c>
      <c r="B99" t="inlineStr">
        <is>
          <t>41</t>
        </is>
      </c>
      <c r="C99" t="inlineStr">
        <is>
          <t xml:space="preserve">Inclusión social y reconciliación </t>
        </is>
      </c>
      <c r="D99" t="inlineStr">
        <is>
          <t>4103</t>
        </is>
      </c>
      <c r="E99" t="inlineStr">
        <is>
          <t>Inclusión social y productiva para la población en situación de vulnerabilidad</t>
        </is>
      </c>
      <c r="F99" t="inlineStr">
        <is>
          <t>4103050</t>
        </is>
      </c>
      <c r="G99" t="inlineStr">
        <is>
          <t>Servicio de acompañamiento familiar y comunitario para la superación de la pobreza</t>
        </is>
      </c>
      <c r="H99" t="inlineStr">
        <is>
          <t>Incluye el desarrollo de acciones mediante las cuales se busca fortalecer la capacidad de autogestión y el tejido social en los hogares que se encuentran en situación de pobreza y en las comunidades focalizadas, para mejorar sus condiciones de vida. Tiene componentes de acompañamiento familiar y comunitario y de gestión de oferta institucional.</t>
        </is>
      </c>
      <c r="I99" t="inlineStr">
        <is>
          <t>2024251260028</t>
        </is>
      </c>
      <c r="J99" s="99">
        <v>786936055.073</v>
      </c>
      <c r="K99" s="99">
        <v>188099000</v>
      </c>
      <c r="L99" s="99">
        <v>193741970</v>
      </c>
      <c r="M99" s="99">
        <v>199554229.1</v>
      </c>
      <c r="N99" s="99">
        <v>205540855.973</v>
      </c>
      <c r="O99" s="99">
        <v>158600000</v>
      </c>
      <c r="P99" s="99">
        <v>158600000</v>
      </c>
      <c r="Q99" s="99">
        <v>158600000</v>
      </c>
      <c r="R99" s="100">
        <v>0.843173009957522</v>
      </c>
      <c r="S99" t="inlineStr">
        <is>
          <t>Lo obligado está por debajo de lo programado en la vigencia</t>
        </is>
      </c>
      <c r="T99" s="101">
        <v>141098750</v>
      </c>
      <c r="U99" s="101">
        <v>141098750</v>
      </c>
      <c r="V99" s="101">
        <v>108537500</v>
      </c>
      <c r="W99" s="102">
        <v>0.728281796659753</v>
      </c>
      <c r="X99" t="inlineStr">
        <is>
          <t>Lo obligado está por debajo de lo programado en la vigencia</t>
        </is>
      </c>
    </row>
    <row r="100">
      <c r="A100" t="inlineStr">
        <is>
          <t>IP-121, IP-122, IP-123</t>
        </is>
      </c>
      <c r="B100" t="inlineStr">
        <is>
          <t>41</t>
        </is>
      </c>
      <c r="C100" t="inlineStr">
        <is>
          <t xml:space="preserve">Inclusión social y reconciliación </t>
        </is>
      </c>
      <c r="D100" t="inlineStr">
        <is>
          <t>4104</t>
        </is>
      </c>
      <c r="E100" t="inlineStr">
        <is>
          <t>Atención integral de población en situación permanente de desprotección social y/o familiar</t>
        </is>
      </c>
      <c r="F100" t="inlineStr">
        <is>
          <t>4104037</t>
        </is>
      </c>
      <c r="G100" t="inlineStr">
        <is>
          <t>Centros de atención integral para personas con discapacidad adecuados</t>
        </is>
      </c>
      <c r="H100" t="inlineStr">
        <is>
          <t>Corresponde a la adecuación de infraestructura destinada al ofrecimiento de servicios de atención integral para población en condición de discapacidad.</t>
        </is>
      </c>
      <c r="I100" t="inlineStr">
        <is>
          <t>2024251260029</t>
        </is>
      </c>
      <c r="J100" s="99">
        <v>498692688</v>
      </c>
      <c r="K100" s="99">
        <v>122946853</v>
      </c>
      <c r="L100" s="99">
        <v>149615000</v>
      </c>
      <c r="M100" s="99">
        <v>111394500</v>
      </c>
      <c r="N100" s="99">
        <v>114736335</v>
      </c>
      <c r="O100" s="99">
        <v>67382959</v>
      </c>
      <c r="P100" s="99">
        <v>67382959</v>
      </c>
      <c r="Q100" s="99">
        <v>67382959</v>
      </c>
      <c r="R100" s="100">
        <v>0.548065748376658</v>
      </c>
      <c r="S100" t="inlineStr">
        <is>
          <t>Lo obligado está por debajo de lo programado en la vigencia</t>
        </is>
      </c>
      <c r="T100" s="101">
        <v>109920000</v>
      </c>
      <c r="U100" s="101">
        <v>99615000</v>
      </c>
      <c r="V100" s="101">
        <v>0</v>
      </c>
      <c r="W100" s="102">
        <v>0.665808909534472</v>
      </c>
      <c r="X100" t="inlineStr">
        <is>
          <t>Lo obligado está por debajo de lo programado en la vigencia</t>
        </is>
      </c>
    </row>
    <row r="101">
      <c r="A101" t="inlineStr">
        <is>
          <t>IP-124</t>
        </is>
      </c>
      <c r="B101" t="inlineStr">
        <is>
          <t>41</t>
        </is>
      </c>
      <c r="C101" t="inlineStr">
        <is>
          <t xml:space="preserve">Inclusión social y reconciliación </t>
        </is>
      </c>
      <c r="D101" t="inlineStr">
        <is>
          <t>4103</t>
        </is>
      </c>
      <c r="E101" t="inlineStr">
        <is>
          <t>Inclusión social y productiva para la población en situación de vulnerabilidad</t>
        </is>
      </c>
      <c r="F101" t="inlineStr">
        <is>
          <t>4103063</t>
        </is>
      </c>
      <c r="G101" t="inlineStr">
        <is>
          <t>Documentos de investigación</t>
        </is>
      </c>
      <c r="H101" t="inlineStr">
        <is>
          <t>Hace referencia a investigaciones, estudios y otras herramientas de conocimiento en temas relacionados con la inclusión social y productiva para la población en situación de vulnerabilidad así como los efectos de las acciones de política pública (planes, programas y estrategias) dirigidas a los grupos de valor de la entidad.</t>
        </is>
      </c>
      <c r="I101" t="inlineStr">
        <is>
          <t>2024251260028</t>
        </is>
      </c>
      <c r="J101" s="99">
        <v>10768135</v>
      </c>
      <c r="K101" s="99">
        <v>0</v>
      </c>
      <c r="L101" s="99">
        <v>0</v>
      </c>
      <c r="M101" s="99">
        <v>5304500</v>
      </c>
      <c r="N101" s="99">
        <v>5463635</v>
      </c>
      <c r="O101" s="99" t="inlineStr">
        <is>
          <t xml:space="preserve"> </t>
        </is>
      </c>
      <c r="P101" s="99" t="inlineStr">
        <is>
          <t xml:space="preserve"> </t>
        </is>
      </c>
      <c r="Q101" s="99" t="inlineStr">
        <is>
          <t xml:space="preserve"> </t>
        </is>
      </c>
      <c r="R101" s="100" t="inlineStr">
        <is>
          <t xml:space="preserve"> </t>
        </is>
      </c>
      <c r="S101" t="inlineStr">
        <is>
          <t>No se encontró ejecución en CUIPO</t>
        </is>
      </c>
      <c r="T101" s="101" t="inlineStr">
        <is>
          <t xml:space="preserve"> </t>
        </is>
      </c>
      <c r="U101" s="101" t="inlineStr">
        <is>
          <t xml:space="preserve"> </t>
        </is>
      </c>
      <c r="V101" s="101" t="inlineStr">
        <is>
          <t xml:space="preserve"> </t>
        </is>
      </c>
      <c r="W101" s="102" t="inlineStr">
        <is>
          <t xml:space="preserve"> </t>
        </is>
      </c>
      <c r="X101" t="inlineStr">
        <is>
          <t>No se encontró ejecución en CUIPO</t>
        </is>
      </c>
    </row>
    <row r="102">
      <c r="A102" t="inlineStr">
        <is>
          <t>IP-125</t>
        </is>
      </c>
      <c r="B102" t="inlineStr">
        <is>
          <t>41</t>
        </is>
      </c>
      <c r="C102" t="inlineStr">
        <is>
          <t xml:space="preserve">Inclusión social y reconciliación </t>
        </is>
      </c>
      <c r="D102" t="inlineStr">
        <is>
          <t>4104</t>
        </is>
      </c>
      <c r="E102" t="inlineStr">
        <is>
          <t>Atención integral de población en situación permanente de desprotección social y/o familiar</t>
        </is>
      </c>
      <c r="F102" t="inlineStr">
        <is>
          <t>4104042</t>
        </is>
      </c>
      <c r="G102" t="inlineStr">
        <is>
          <t>Centros de atención integral para personas con discapacidad dotados</t>
        </is>
      </c>
      <c r="H102" t="inlineStr">
        <is>
          <t>Corresponde a la dotación destinada al ofrecimiento de servicios de atención integral para población en condición de discapacidad.</t>
        </is>
      </c>
      <c r="I102" t="inlineStr">
        <is>
          <t>2024251260029</t>
        </is>
      </c>
      <c r="J102" s="99">
        <v>500000000</v>
      </c>
      <c r="K102" s="99">
        <v>500000000</v>
      </c>
      <c r="L102" s="99">
        <v>0</v>
      </c>
      <c r="M102" s="99">
        <v>0</v>
      </c>
      <c r="N102" s="99">
        <v>0</v>
      </c>
      <c r="O102" s="99" t="inlineStr">
        <is>
          <t xml:space="preserve"> </t>
        </is>
      </c>
      <c r="P102" s="99" t="inlineStr">
        <is>
          <t xml:space="preserve"> </t>
        </is>
      </c>
      <c r="Q102" s="99" t="inlineStr">
        <is>
          <t xml:space="preserve"> </t>
        </is>
      </c>
      <c r="R102" s="100" t="inlineStr">
        <is>
          <t xml:space="preserve"> </t>
        </is>
      </c>
      <c r="S102" t="inlineStr">
        <is>
          <t>No se encontró ejecución en CUIPO</t>
        </is>
      </c>
      <c r="T102" s="101" t="inlineStr">
        <is>
          <t xml:space="preserve"> </t>
        </is>
      </c>
      <c r="U102" s="101" t="inlineStr">
        <is>
          <t xml:space="preserve"> </t>
        </is>
      </c>
      <c r="V102" s="101" t="inlineStr">
        <is>
          <t xml:space="preserve"> </t>
        </is>
      </c>
      <c r="W102" s="102" t="inlineStr">
        <is>
          <t xml:space="preserve"> </t>
        </is>
      </c>
      <c r="X102" t="inlineStr">
        <is>
          <t>No se encontró ejecución en CUIPO</t>
        </is>
      </c>
    </row>
    <row r="103">
      <c r="A103" t="inlineStr">
        <is>
          <t>IP-126</t>
        </is>
      </c>
      <c r="B103" t="inlineStr">
        <is>
          <t>41</t>
        </is>
      </c>
      <c r="C103" t="inlineStr">
        <is>
          <t xml:space="preserve">Inclusión social y reconciliación </t>
        </is>
      </c>
      <c r="D103" t="inlineStr">
        <is>
          <t>4101</t>
        </is>
      </c>
      <c r="E103" t="inlineStr">
        <is>
          <t>Atención, asistencia y reparación integral a las víctimas</t>
        </is>
      </c>
      <c r="F103" t="inlineStr">
        <is>
          <t>4101079</t>
        </is>
      </c>
      <c r="G103" t="inlineStr">
        <is>
          <t>Servicio de asistencia técnica a comunidades en temas de fortalecimiento del tejido social y construcción de escenarios comunitarios protectores de derechos</t>
        </is>
      </c>
      <c r="H103" t="inlineStr">
        <is>
          <t>Incluye el desarrollo de acciones de intervención comunitaria,  transmisión de saberes intergeneracionales y acciones de formación comunitaria con enfoque diferencial, que fortalezcan la activación de la reconstrucción del tejido social y la participación ciudadana.</t>
        </is>
      </c>
      <c r="I103" t="inlineStr">
        <is>
          <t>2024251260030</t>
        </is>
      </c>
      <c r="J103" s="99">
        <v>0</v>
      </c>
      <c r="K103" s="99">
        <v>0</v>
      </c>
      <c r="L103" s="99">
        <v>0</v>
      </c>
      <c r="M103" s="99">
        <v>0</v>
      </c>
      <c r="N103" s="99">
        <v>0</v>
      </c>
      <c r="O103" s="99" t="inlineStr">
        <is>
          <t xml:space="preserve"> </t>
        </is>
      </c>
      <c r="P103" s="99" t="inlineStr">
        <is>
          <t xml:space="preserve"> </t>
        </is>
      </c>
      <c r="Q103" s="99" t="inlineStr">
        <is>
          <t xml:space="preserve"> </t>
        </is>
      </c>
      <c r="R103" s="100" t="inlineStr">
        <is>
          <t xml:space="preserve"> </t>
        </is>
      </c>
      <c r="S103" t="inlineStr">
        <is>
          <t>No se encontró ejecución en CUIPO</t>
        </is>
      </c>
      <c r="T103" s="101" t="inlineStr">
        <is>
          <t xml:space="preserve"> </t>
        </is>
      </c>
      <c r="U103" s="101" t="inlineStr">
        <is>
          <t xml:space="preserve"> </t>
        </is>
      </c>
      <c r="V103" s="101" t="inlineStr">
        <is>
          <t xml:space="preserve"> </t>
        </is>
      </c>
      <c r="W103" s="102" t="inlineStr">
        <is>
          <t xml:space="preserve"> </t>
        </is>
      </c>
      <c r="X103" t="inlineStr">
        <is>
          <t>No se encontró ejecución en CUIPO</t>
        </is>
      </c>
    </row>
    <row r="104">
      <c r="A104" t="inlineStr">
        <is>
          <t>IP-127</t>
        </is>
      </c>
      <c r="B104" t="inlineStr">
        <is>
          <t>41</t>
        </is>
      </c>
      <c r="C104" t="inlineStr">
        <is>
          <t xml:space="preserve">Inclusión social y reconciliación </t>
        </is>
      </c>
      <c r="D104" t="inlineStr">
        <is>
          <t>4101</t>
        </is>
      </c>
      <c r="E104" t="inlineStr">
        <is>
          <t>Atención, asistencia y reparación integral a las víctimas</t>
        </is>
      </c>
      <c r="F104" t="inlineStr">
        <is>
          <t>4101025</t>
        </is>
      </c>
      <c r="G104" t="inlineStr">
        <is>
          <t>Servicio de ayuda y atención humanitaria</t>
        </is>
      </c>
      <c r="H104" t="inlineStr">
        <is>
          <t>Mediante los cuales se entrega ayuda y atención humanitaria a las víctimas del conflicto armado. La ayuda humanitaria se entrega a las víctimas de otros hechos diferentes al desplazamiento forzado y la atención humanitaria a víctimas de desplazamiento forzado.</t>
        </is>
      </c>
      <c r="I104" t="inlineStr">
        <is>
          <t>2024251260030</t>
        </is>
      </c>
      <c r="J104" s="99">
        <v>94379794</v>
      </c>
      <c r="K104" s="99">
        <v>22000000</v>
      </c>
      <c r="L104" s="99">
        <v>25000000</v>
      </c>
      <c r="M104" s="99">
        <v>23339800</v>
      </c>
      <c r="N104" s="99">
        <v>24039994</v>
      </c>
      <c r="O104" s="99">
        <v>21984625</v>
      </c>
      <c r="P104" s="99">
        <v>21984625</v>
      </c>
      <c r="Q104" s="99">
        <v>21984625</v>
      </c>
      <c r="R104" s="100">
        <v>0.999301136363636</v>
      </c>
      <c r="S104" t="inlineStr">
        <is>
          <t>Lo obligado está por debajo de lo programado en la vigencia</t>
        </is>
      </c>
      <c r="T104" s="101">
        <v>24993930</v>
      </c>
      <c r="U104" s="101">
        <v>24993930</v>
      </c>
      <c r="V104" s="101">
        <v>24993930</v>
      </c>
      <c r="W104" s="102">
        <v>0.9997572</v>
      </c>
      <c r="X104" t="inlineStr">
        <is>
          <t>Lo obligado está por debajo de lo programado en la vigencia</t>
        </is>
      </c>
    </row>
    <row r="105">
      <c r="A105" t="inlineStr">
        <is>
          <t>IP-128</t>
        </is>
      </c>
      <c r="B105" t="inlineStr">
        <is>
          <t>41</t>
        </is>
      </c>
      <c r="C105" t="inlineStr">
        <is>
          <t xml:space="preserve">Inclusión social y reconciliación </t>
        </is>
      </c>
      <c r="D105" t="inlineStr">
        <is>
          <t>4101</t>
        </is>
      </c>
      <c r="E105" t="inlineStr">
        <is>
          <t>Atención, asistencia y reparación integral a las víctimas</t>
        </is>
      </c>
      <c r="F105" t="inlineStr">
        <is>
          <t>4101027</t>
        </is>
      </c>
      <c r="G105" t="inlineStr">
        <is>
          <t>Servicio de asistencia funeraria</t>
        </is>
      </c>
      <c r="H105" t="inlineStr">
        <is>
          <t>La asistencia funeraria se entrega a los familiares de las víctimas de desaparición forzada y homicidio  en el marco de un proceso de entrega de cuerpos o restos óseos.</t>
        </is>
      </c>
      <c r="I105" t="inlineStr">
        <is>
          <t>2024251260030</t>
        </is>
      </c>
      <c r="J105" s="99">
        <v>4153627</v>
      </c>
      <c r="K105" s="99">
        <v>1000000</v>
      </c>
      <c r="L105" s="99">
        <v>1000000</v>
      </c>
      <c r="M105" s="99">
        <v>1060900</v>
      </c>
      <c r="N105" s="99">
        <v>1092727</v>
      </c>
      <c r="O105" s="99" t="inlineStr">
        <is>
          <t xml:space="preserve"> </t>
        </is>
      </c>
      <c r="P105" s="99" t="inlineStr">
        <is>
          <t xml:space="preserve"> </t>
        </is>
      </c>
      <c r="Q105" s="99" t="inlineStr">
        <is>
          <t xml:space="preserve"> </t>
        </is>
      </c>
      <c r="R105" s="100" t="inlineStr">
        <is>
          <t xml:space="preserve"> </t>
        </is>
      </c>
      <c r="S105" t="inlineStr">
        <is>
          <t>No se encontró ejecución en CUIPO</t>
        </is>
      </c>
      <c r="T105" s="101" t="inlineStr">
        <is>
          <t xml:space="preserve"> </t>
        </is>
      </c>
      <c r="U105" s="101" t="inlineStr">
        <is>
          <t xml:space="preserve"> </t>
        </is>
      </c>
      <c r="V105" s="101" t="inlineStr">
        <is>
          <t xml:space="preserve"> </t>
        </is>
      </c>
      <c r="W105" s="102" t="inlineStr">
        <is>
          <t xml:space="preserve"> </t>
        </is>
      </c>
      <c r="X105" t="inlineStr">
        <is>
          <t>No se encontró ejecución en CUIPO</t>
        </is>
      </c>
    </row>
    <row r="106">
      <c r="A106" t="inlineStr">
        <is>
          <t>IP-129</t>
        </is>
      </c>
      <c r="B106" t="inlineStr">
        <is>
          <t>41</t>
        </is>
      </c>
      <c r="C106" t="inlineStr">
        <is>
          <t xml:space="preserve">Inclusión social y reconciliación </t>
        </is>
      </c>
      <c r="D106" t="inlineStr">
        <is>
          <t>4101</t>
        </is>
      </c>
      <c r="E106" t="inlineStr">
        <is>
          <t>Atención, asistencia y reparación integral a las víctimas</t>
        </is>
      </c>
      <c r="F106" t="inlineStr">
        <is>
          <t>4101045</t>
        </is>
      </c>
      <c r="G106" t="inlineStr">
        <is>
          <t>Servicio de asistencia técnica para la formulación de planes y proyectos de reparación colectiva</t>
        </is>
      </c>
      <c r="H106" t="inlineStr">
        <is>
          <t>El diseño y la formulación de planes y proyectos  permite la identificación de actividades o acciones que a juicio del sujeto repararían el daño causado, buscando la proporcionalidad con las medidas  que conducen a la superación y resarcimiento del daño.</t>
        </is>
      </c>
      <c r="I106" t="inlineStr">
        <is>
          <t>2024251260030</t>
        </is>
      </c>
      <c r="J106" s="99">
        <v>47869603</v>
      </c>
      <c r="K106" s="99">
        <v>17000000</v>
      </c>
      <c r="L106" s="99">
        <v>9333333</v>
      </c>
      <c r="M106" s="99">
        <v>10609000</v>
      </c>
      <c r="N106" s="99">
        <v>10927270</v>
      </c>
      <c r="O106" s="99">
        <v>17000000</v>
      </c>
      <c r="P106" s="99">
        <v>0</v>
      </c>
      <c r="Q106" s="99">
        <v>0</v>
      </c>
      <c r="R106" s="100">
        <v>0</v>
      </c>
      <c r="S106" t="inlineStr">
        <is>
          <t>No se ejecutó en la vigencia</t>
        </is>
      </c>
      <c r="T106" s="101" t="inlineStr">
        <is>
          <t xml:space="preserve"> </t>
        </is>
      </c>
      <c r="U106" s="101" t="inlineStr">
        <is>
          <t xml:space="preserve"> </t>
        </is>
      </c>
      <c r="V106" s="101" t="inlineStr">
        <is>
          <t xml:space="preserve"> </t>
        </is>
      </c>
      <c r="W106" s="102" t="inlineStr">
        <is>
          <t xml:space="preserve"> </t>
        </is>
      </c>
      <c r="X106" t="inlineStr">
        <is>
          <t>No se encontró ejecución en CUIPO</t>
        </is>
      </c>
    </row>
    <row r="107">
      <c r="A107" t="inlineStr">
        <is>
          <t>IP-130</t>
        </is>
      </c>
      <c r="B107" t="inlineStr">
        <is>
          <t>41</t>
        </is>
      </c>
      <c r="C107" t="inlineStr">
        <is>
          <t xml:space="preserve">Inclusión social y reconciliación </t>
        </is>
      </c>
      <c r="D107" t="inlineStr">
        <is>
          <t>4101</t>
        </is>
      </c>
      <c r="E107" t="inlineStr">
        <is>
          <t>Atención, asistencia y reparación integral a las víctimas</t>
        </is>
      </c>
      <c r="F107" t="inlineStr">
        <is>
          <t>4101014</t>
        </is>
      </c>
      <c r="G107" t="inlineStr">
        <is>
          <t>Servicio de caracterización de la población víctima para su posterior atención, asistencia y reparación integral</t>
        </is>
      </c>
      <c r="H107" t="inlineStr">
        <is>
          <t xml:space="preserve">Mediante los cuales se caracteriza y se hace levantamiento de información individual de cada víctima y su hogar para la Asistencia Atención y Reparación Integral  </t>
        </is>
      </c>
      <c r="I107" t="inlineStr">
        <is>
          <t>2024251260030</t>
        </is>
      </c>
      <c r="J107" s="99">
        <v>0</v>
      </c>
      <c r="K107" s="99">
        <v>0</v>
      </c>
      <c r="L107" s="99">
        <v>0</v>
      </c>
      <c r="M107" s="99">
        <v>0</v>
      </c>
      <c r="N107" s="99">
        <v>0</v>
      </c>
      <c r="O107" s="99" t="inlineStr">
        <is>
          <t xml:space="preserve"> </t>
        </is>
      </c>
      <c r="P107" s="99" t="inlineStr">
        <is>
          <t xml:space="preserve"> </t>
        </is>
      </c>
      <c r="Q107" s="99" t="inlineStr">
        <is>
          <t xml:space="preserve"> </t>
        </is>
      </c>
      <c r="R107" s="100" t="inlineStr">
        <is>
          <t xml:space="preserve"> </t>
        </is>
      </c>
      <c r="S107" t="inlineStr">
        <is>
          <t>No se encontró ejecución en CUIPO</t>
        </is>
      </c>
      <c r="T107" s="101" t="inlineStr">
        <is>
          <t xml:space="preserve"> </t>
        </is>
      </c>
      <c r="U107" s="101" t="inlineStr">
        <is>
          <t xml:space="preserve"> </t>
        </is>
      </c>
      <c r="V107" s="101" t="inlineStr">
        <is>
          <t xml:space="preserve"> </t>
        </is>
      </c>
      <c r="W107" s="102" t="inlineStr">
        <is>
          <t xml:space="preserve"> </t>
        </is>
      </c>
      <c r="X107" t="inlineStr">
        <is>
          <t>No se encontró ejecución en CUIPO</t>
        </is>
      </c>
    </row>
    <row r="108">
      <c r="A108" t="inlineStr">
        <is>
          <t>IP-131</t>
        </is>
      </c>
      <c r="B108" t="inlineStr">
        <is>
          <t>41</t>
        </is>
      </c>
      <c r="C108" t="inlineStr">
        <is>
          <t xml:space="preserve">Inclusión social y reconciliación </t>
        </is>
      </c>
      <c r="D108" t="inlineStr">
        <is>
          <t>4101</t>
        </is>
      </c>
      <c r="E108" t="inlineStr">
        <is>
          <t>Atención, asistencia y reparación integral a las víctimas</t>
        </is>
      </c>
      <c r="F108" t="inlineStr">
        <is>
          <t>4101063</t>
        </is>
      </c>
      <c r="G108" t="inlineStr">
        <is>
          <t>Servicios de asistencia técnica para la articulación interinstitucional en la implementación de la polìtica pública para las víctimas</t>
        </is>
      </c>
      <c r="H108" t="inlineStr">
        <is>
          <t>Corresponde a los planes de acción de los subcomités y plan marco de implementación de los acuerdos que respondan al cumplimiento de la ley de víctimas</t>
        </is>
      </c>
      <c r="I108" t="inlineStr">
        <is>
          <t>2024251260030</t>
        </is>
      </c>
      <c r="J108" s="99">
        <v>118722556</v>
      </c>
      <c r="K108" s="99">
        <v>39255887</v>
      </c>
      <c r="L108" s="99">
        <v>79466669</v>
      </c>
      <c r="M108" s="99">
        <v>0</v>
      </c>
      <c r="N108" s="99">
        <v>0</v>
      </c>
      <c r="O108" s="99">
        <v>35375278</v>
      </c>
      <c r="P108" s="99">
        <v>26205648</v>
      </c>
      <c r="Q108" s="99">
        <v>21210000</v>
      </c>
      <c r="R108" s="100">
        <v>0.667559696205565</v>
      </c>
      <c r="S108" t="inlineStr">
        <is>
          <t>Lo obligado está por debajo de lo programado en la vigencia</t>
        </is>
      </c>
      <c r="T108" s="101">
        <v>42000000</v>
      </c>
      <c r="U108" s="101">
        <v>27466667</v>
      </c>
      <c r="V108" s="101">
        <v>27466667</v>
      </c>
      <c r="W108" s="102">
        <v>0.345637577938494</v>
      </c>
      <c r="X108" t="inlineStr">
        <is>
          <t>Lo obligado está por debajo de lo programado en la vigencia</t>
        </is>
      </c>
    </row>
    <row r="109">
      <c r="A109" t="inlineStr">
        <is>
          <t>IP-132</t>
        </is>
      </c>
      <c r="B109" t="inlineStr">
        <is>
          <t>41</t>
        </is>
      </c>
      <c r="C109" t="inlineStr">
        <is>
          <t xml:space="preserve">Inclusión social y reconciliación </t>
        </is>
      </c>
      <c r="D109" t="inlineStr">
        <is>
          <t>4101</t>
        </is>
      </c>
      <c r="E109" t="inlineStr">
        <is>
          <t>Atención, asistencia y reparación integral a las víctimas</t>
        </is>
      </c>
      <c r="F109" t="inlineStr">
        <is>
          <t>4101023</t>
        </is>
      </c>
      <c r="G109" t="inlineStr">
        <is>
          <t>Servicio de orientación y comunicación a las víctimas</t>
        </is>
      </c>
      <c r="H109" t="inlineStr">
        <is>
          <t>Servicio desarrollados para brindar atención, comunicación y orientación a las víctimas a través de los diferentes canales que dispone la Unidad para la Atención a las victimas.</t>
        </is>
      </c>
      <c r="I109" t="inlineStr">
        <is>
          <t>2024251260030</t>
        </is>
      </c>
      <c r="J109" s="99">
        <v>21268135</v>
      </c>
      <c r="K109" s="99">
        <v>5000000</v>
      </c>
      <c r="L109" s="99">
        <v>5500000</v>
      </c>
      <c r="M109" s="99">
        <v>5304500</v>
      </c>
      <c r="N109" s="99">
        <v>5463635</v>
      </c>
      <c r="O109" s="99">
        <v>5000000</v>
      </c>
      <c r="P109" s="99">
        <v>0</v>
      </c>
      <c r="Q109" s="99">
        <v>0</v>
      </c>
      <c r="R109" s="100">
        <v>0</v>
      </c>
      <c r="S109" t="inlineStr">
        <is>
          <t>No se ejecutó en la vigencia</t>
        </is>
      </c>
      <c r="T109" s="101" t="inlineStr">
        <is>
          <t xml:space="preserve"> </t>
        </is>
      </c>
      <c r="U109" s="101" t="inlineStr">
        <is>
          <t xml:space="preserve"> </t>
        </is>
      </c>
      <c r="V109" s="101" t="inlineStr">
        <is>
          <t xml:space="preserve"> </t>
        </is>
      </c>
      <c r="W109" s="102" t="inlineStr">
        <is>
          <t xml:space="preserve"> </t>
        </is>
      </c>
      <c r="X109" t="inlineStr">
        <is>
          <t>No se encontró ejecución en CUIPO</t>
        </is>
      </c>
    </row>
    <row r="110">
      <c r="A110" t="inlineStr">
        <is>
          <t>IP-133, IP-134, IP-135</t>
        </is>
      </c>
      <c r="B110" t="inlineStr">
        <is>
          <t>41</t>
        </is>
      </c>
      <c r="C110" t="inlineStr">
        <is>
          <t xml:space="preserve">Inclusión social y reconciliación </t>
        </is>
      </c>
      <c r="D110" t="inlineStr">
        <is>
          <t>4103</t>
        </is>
      </c>
      <c r="E110" t="inlineStr">
        <is>
          <t>Inclusión social y productiva para la población en situación de vulnerabilidad</t>
        </is>
      </c>
      <c r="F110" t="inlineStr">
        <is>
          <t>4103052</t>
        </is>
      </c>
      <c r="G110" t="inlineStr">
        <is>
          <t>Servicio de gestión de oferta social para la población vulnerable</t>
        </is>
      </c>
      <c r="H110" t="inlineStr">
        <is>
          <t>Incluye el desarrollo de acciones encaminadas a generar dinámicas de atención conjunta, articulada y eficiente entre las instituciones del estado hacia la población vulnerable.</t>
        </is>
      </c>
      <c r="I110" t="inlineStr">
        <is>
          <t>2024251260031</t>
        </is>
      </c>
      <c r="J110" s="99">
        <v>23689897</v>
      </c>
      <c r="K110" s="99">
        <v>0</v>
      </c>
      <c r="L110" s="99">
        <v>0</v>
      </c>
      <c r="M110" s="99">
        <v>11669900</v>
      </c>
      <c r="N110" s="99">
        <v>12019997</v>
      </c>
      <c r="O110" s="99" t="inlineStr">
        <is>
          <t xml:space="preserve"> </t>
        </is>
      </c>
      <c r="P110" s="99" t="inlineStr">
        <is>
          <t xml:space="preserve"> </t>
        </is>
      </c>
      <c r="Q110" s="99" t="inlineStr">
        <is>
          <t xml:space="preserve"> </t>
        </is>
      </c>
      <c r="R110" s="100" t="inlineStr">
        <is>
          <t xml:space="preserve"> </t>
        </is>
      </c>
      <c r="S110" t="inlineStr">
        <is>
          <t>No se encontró ejecución en CUIPO</t>
        </is>
      </c>
      <c r="T110" s="101" t="inlineStr">
        <is>
          <t xml:space="preserve"> </t>
        </is>
      </c>
      <c r="U110" s="101" t="inlineStr">
        <is>
          <t xml:space="preserve"> </t>
        </is>
      </c>
      <c r="V110" s="101" t="inlineStr">
        <is>
          <t xml:space="preserve"> </t>
        </is>
      </c>
      <c r="W110" s="102" t="inlineStr">
        <is>
          <t xml:space="preserve"> </t>
        </is>
      </c>
      <c r="X110" t="inlineStr">
        <is>
          <t>No se encontró ejecución en CUIPO</t>
        </is>
      </c>
    </row>
    <row r="111">
      <c r="A111" t="inlineStr">
        <is>
          <t>IP-136</t>
        </is>
      </c>
      <c r="B111" t="inlineStr">
        <is>
          <t>22</t>
        </is>
      </c>
      <c r="C111" t="inlineStr">
        <is>
          <t>Educación</t>
        </is>
      </c>
      <c r="D111" t="inlineStr">
        <is>
          <t>2201</t>
        </is>
      </c>
      <c r="E111" t="inlineStr">
        <is>
          <t>Calidad, cobertura y fortalecimiento de la educación inicial, prescolar, básica y media</t>
        </is>
      </c>
      <c r="F111" t="inlineStr">
        <is>
          <t>2201052</t>
        </is>
      </c>
      <c r="G111" t="inlineStr">
        <is>
          <t>Infraestructura educativa mejorada</t>
        </is>
      </c>
      <c r="H111" t="inlineStr">
        <is>
          <t>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is>
      </c>
      <c r="I111" t="inlineStr">
        <is>
          <t>2024251260032</t>
        </is>
      </c>
      <c r="J111" s="99">
        <v>3108017689.0906</v>
      </c>
      <c r="K111" s="99">
        <v>183780733</v>
      </c>
      <c r="L111" s="99">
        <v>1454299694.35</v>
      </c>
      <c r="M111" s="99">
        <v>724107025.488</v>
      </c>
      <c r="N111" s="99">
        <v>745830236.2526</v>
      </c>
      <c r="O111" s="99">
        <v>183780733</v>
      </c>
      <c r="P111" s="99">
        <v>0</v>
      </c>
      <c r="Q111" s="99">
        <v>0</v>
      </c>
      <c r="R111" s="100">
        <v>0</v>
      </c>
      <c r="S111" t="inlineStr">
        <is>
          <t>No se ejecutó en la vigencia</t>
        </is>
      </c>
      <c r="T111" s="101">
        <v>1134002670</v>
      </c>
      <c r="U111" s="101">
        <v>1088724263</v>
      </c>
      <c r="V111" s="101">
        <v>1088724263</v>
      </c>
      <c r="W111" s="102">
        <v>0.748624418494845</v>
      </c>
      <c r="X111" t="inlineStr">
        <is>
          <t>Lo obligado está por debajo de lo programado en la vigencia</t>
        </is>
      </c>
    </row>
    <row r="112">
      <c r="A112" t="inlineStr">
        <is>
          <t>IP-137</t>
        </is>
      </c>
      <c r="B112" t="inlineStr">
        <is>
          <t>22</t>
        </is>
      </c>
      <c r="C112" t="inlineStr">
        <is>
          <t>Educación</t>
        </is>
      </c>
      <c r="D112" t="inlineStr">
        <is>
          <t>2201</t>
        </is>
      </c>
      <c r="E112" t="inlineStr">
        <is>
          <t>Calidad, cobertura y fortalecimiento de la educación inicial, prescolar, básica y media</t>
        </is>
      </c>
      <c r="F112" t="inlineStr">
        <is>
          <t>2201051</t>
        </is>
      </c>
      <c r="G112" t="inlineStr">
        <is>
          <t>Infraestructura educativa construida</t>
        </is>
      </c>
      <c r="H112" t="inlineStr">
        <is>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is>
      </c>
      <c r="I112" t="inlineStr">
        <is>
          <t>2024251260032</t>
        </is>
      </c>
      <c r="J112" s="99">
        <v>690000000</v>
      </c>
      <c r="K112" s="99">
        <v>500000000</v>
      </c>
      <c r="L112" s="99">
        <v>190000000</v>
      </c>
      <c r="M112" s="99">
        <v>0</v>
      </c>
      <c r="N112" s="99">
        <v>0</v>
      </c>
      <c r="O112" s="99" t="inlineStr">
        <is>
          <t xml:space="preserve"> </t>
        </is>
      </c>
      <c r="P112" s="99" t="inlineStr">
        <is>
          <t xml:space="preserve"> </t>
        </is>
      </c>
      <c r="Q112" s="99" t="inlineStr">
        <is>
          <t xml:space="preserve"> </t>
        </is>
      </c>
      <c r="R112" s="100" t="inlineStr">
        <is>
          <t xml:space="preserve"> </t>
        </is>
      </c>
      <c r="S112" t="inlineStr">
        <is>
          <t>No se encontró ejecución en CUIPO</t>
        </is>
      </c>
      <c r="T112" s="101" t="inlineStr">
        <is>
          <t xml:space="preserve"> </t>
        </is>
      </c>
      <c r="U112" s="101" t="inlineStr">
        <is>
          <t xml:space="preserve"> </t>
        </is>
      </c>
      <c r="V112" s="101" t="inlineStr">
        <is>
          <t xml:space="preserve"> </t>
        </is>
      </c>
      <c r="W112" s="102" t="inlineStr">
        <is>
          <t xml:space="preserve"> </t>
        </is>
      </c>
      <c r="X112" t="inlineStr">
        <is>
          <t>No se encontró ejecución en CUIPO</t>
        </is>
      </c>
    </row>
    <row r="113">
      <c r="A113" t="inlineStr">
        <is>
          <t>IP-138</t>
        </is>
      </c>
      <c r="B113" t="inlineStr">
        <is>
          <t>22</t>
        </is>
      </c>
      <c r="C113" t="inlineStr">
        <is>
          <t>Educación</t>
        </is>
      </c>
      <c r="D113" t="inlineStr">
        <is>
          <t>2201</t>
        </is>
      </c>
      <c r="E113" t="inlineStr">
        <is>
          <t>Calidad, cobertura y fortalecimiento de la educación inicial, prescolar, básica y media</t>
        </is>
      </c>
      <c r="F113" t="inlineStr">
        <is>
          <t>2201051</t>
        </is>
      </c>
      <c r="G113" t="inlineStr">
        <is>
          <t>Infraestructura educativa construida</t>
        </is>
      </c>
      <c r="H113" t="inlineStr">
        <is>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is>
      </c>
      <c r="I113" t="inlineStr">
        <is>
          <t>2024251260085</t>
        </is>
      </c>
      <c r="J113" s="99">
        <v>0</v>
      </c>
      <c r="K113" s="99">
        <v>0</v>
      </c>
      <c r="L113" s="99">
        <v>0</v>
      </c>
      <c r="M113" s="99">
        <v>0</v>
      </c>
      <c r="N113" s="99">
        <v>0</v>
      </c>
      <c r="O113" s="99" t="inlineStr">
        <is>
          <t xml:space="preserve"> </t>
        </is>
      </c>
      <c r="P113" s="99" t="inlineStr">
        <is>
          <t xml:space="preserve"> </t>
        </is>
      </c>
      <c r="Q113" s="99" t="inlineStr">
        <is>
          <t xml:space="preserve"> </t>
        </is>
      </c>
      <c r="R113" s="100" t="inlineStr">
        <is>
          <t xml:space="preserve"> </t>
        </is>
      </c>
      <c r="S113" t="inlineStr">
        <is>
          <t>No se encontró ejecución en CUIPO</t>
        </is>
      </c>
      <c r="T113" s="101" t="inlineStr">
        <is>
          <t xml:space="preserve"> </t>
        </is>
      </c>
      <c r="U113" s="101" t="inlineStr">
        <is>
          <t xml:space="preserve"> </t>
        </is>
      </c>
      <c r="V113" s="101" t="inlineStr">
        <is>
          <t xml:space="preserve"> </t>
        </is>
      </c>
      <c r="W113" s="102" t="inlineStr">
        <is>
          <t xml:space="preserve"> </t>
        </is>
      </c>
      <c r="X113" t="inlineStr">
        <is>
          <t>No se encontró ejecución en CUIPO</t>
        </is>
      </c>
    </row>
    <row r="114">
      <c r="A114" t="inlineStr">
        <is>
          <t>IP-139</t>
        </is>
      </c>
      <c r="B114" t="inlineStr">
        <is>
          <t>22</t>
        </is>
      </c>
      <c r="C114" t="inlineStr">
        <is>
          <t>Educación</t>
        </is>
      </c>
      <c r="D114" t="inlineStr">
        <is>
          <t>2201</t>
        </is>
      </c>
      <c r="E114" t="inlineStr">
        <is>
          <t>Calidad, cobertura y fortalecimiento de la educación inicial, prescolar, básica y media</t>
        </is>
      </c>
      <c r="F114" t="inlineStr">
        <is>
          <t>2201052</t>
        </is>
      </c>
      <c r="G114" t="inlineStr">
        <is>
          <t>Infraestructura educativa mejorada</t>
        </is>
      </c>
      <c r="H114" t="inlineStr">
        <is>
          <t>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is>
      </c>
      <c r="I114" t="inlineStr">
        <is>
          <t>2024251260033</t>
        </is>
      </c>
      <c r="J114" s="99">
        <v>300000000</v>
      </c>
      <c r="K114" s="99">
        <v>300000000</v>
      </c>
      <c r="L114" s="99">
        <v>0</v>
      </c>
      <c r="M114" s="99">
        <v>0</v>
      </c>
      <c r="N114" s="99">
        <v>0</v>
      </c>
      <c r="O114" s="99">
        <v>10000000</v>
      </c>
      <c r="P114" s="99">
        <v>0</v>
      </c>
      <c r="Q114" s="99">
        <v>0</v>
      </c>
      <c r="R114" s="100">
        <v>0</v>
      </c>
      <c r="S114" t="inlineStr">
        <is>
          <t>No se ejecutó en la vigencia</t>
        </is>
      </c>
      <c r="T114" s="101" t="inlineStr">
        <is>
          <t xml:space="preserve"> </t>
        </is>
      </c>
      <c r="U114" s="101" t="inlineStr">
        <is>
          <t xml:space="preserve"> </t>
        </is>
      </c>
      <c r="V114" s="101" t="inlineStr">
        <is>
          <t xml:space="preserve"> </t>
        </is>
      </c>
      <c r="W114" s="102" t="inlineStr">
        <is>
          <t xml:space="preserve"> </t>
        </is>
      </c>
      <c r="X114" t="inlineStr">
        <is>
          <t>No se encontró ejecución en CUIPO</t>
        </is>
      </c>
    </row>
    <row r="115">
      <c r="A115" t="inlineStr">
        <is>
          <t>IP-140, IP-153, IP-154</t>
        </is>
      </c>
      <c r="B115" t="inlineStr">
        <is>
          <t>22</t>
        </is>
      </c>
      <c r="C115" t="inlineStr">
        <is>
          <t>Educación</t>
        </is>
      </c>
      <c r="D115" t="inlineStr">
        <is>
          <t>2201</t>
        </is>
      </c>
      <c r="E115" t="inlineStr">
        <is>
          <t>Calidad, cobertura y fortalecimiento de la educación inicial, prescolar, básica y media</t>
        </is>
      </c>
      <c r="F115" t="inlineStr">
        <is>
          <t>2201006</t>
        </is>
      </c>
      <c r="G115" t="inlineStr">
        <is>
          <t>Servicio de asistencia técnica en educación inicial, preescolar, básica y media</t>
        </is>
      </c>
      <c r="H115" t="inlineStr">
        <is>
          <t>Incluyen los servicio de asesoría y orientación técnica prestados a las Secretarías de Educación o por estas en los temas relacionados con la política educativa y aquellos definidos para la prestación del servicio educativo. Así mismo, incorpora acciones de  acompañamiento para la implementación de planes de mejoramiento en los establecimientos educativos  oficiales de preescolar, básica y medial.</t>
        </is>
      </c>
      <c r="I115" t="inlineStr">
        <is>
          <t>2024251260034</t>
        </is>
      </c>
      <c r="J115" s="99">
        <v>1631691278.655</v>
      </c>
      <c r="K115" s="99">
        <v>98521449</v>
      </c>
      <c r="L115" s="99">
        <v>772196497.34</v>
      </c>
      <c r="M115" s="99">
        <v>374863710.5</v>
      </c>
      <c r="N115" s="99">
        <v>386109621.815</v>
      </c>
      <c r="O115" s="99">
        <v>72418667</v>
      </c>
      <c r="P115" s="99">
        <v>70039667</v>
      </c>
      <c r="Q115" s="99">
        <v>70039667</v>
      </c>
      <c r="R115" s="100">
        <v>0.7109078044518</v>
      </c>
      <c r="S115" t="inlineStr">
        <is>
          <t>Lo obligado está por debajo de lo programado en la vigencia</t>
        </is>
      </c>
      <c r="T115" s="101">
        <v>357662987</v>
      </c>
      <c r="U115" s="101">
        <v>261364997</v>
      </c>
      <c r="V115" s="101">
        <v>261364997</v>
      </c>
      <c r="W115" s="102">
        <v>0.338469544863683</v>
      </c>
      <c r="X115" t="inlineStr">
        <is>
          <t>Lo obligado está por debajo de lo programado en la vigencia</t>
        </is>
      </c>
    </row>
    <row r="116">
      <c r="A116" t="inlineStr">
        <is>
          <t>IP-141, IP-144, IP-148</t>
        </is>
      </c>
      <c r="B116" t="inlineStr">
        <is>
          <t>22</t>
        </is>
      </c>
      <c r="C116" t="inlineStr">
        <is>
          <t>Educación</t>
        </is>
      </c>
      <c r="D116" t="inlineStr">
        <is>
          <t>2201</t>
        </is>
      </c>
      <c r="E116" t="inlineStr">
        <is>
          <t>Calidad, cobertura y fortalecimiento de la educación inicial, prescolar, básica y media</t>
        </is>
      </c>
      <c r="F116" t="inlineStr">
        <is>
          <t>2201005</t>
        </is>
      </c>
      <c r="G116" t="inlineStr">
        <is>
          <t>Documentos de lineamientos técnicos</t>
        </is>
      </c>
      <c r="H116" t="inlineStr">
        <is>
          <t>Documentos cuyo objetivo es describir y explicar instrumentos, estándares, requisitos y condiciones necesarias para llevar a cabo un proceso o actividad</t>
        </is>
      </c>
      <c r="I116" t="inlineStr">
        <is>
          <t>2024251260034</t>
        </is>
      </c>
      <c r="J116" s="99">
        <v>147614483</v>
      </c>
      <c r="K116" s="99">
        <v>0</v>
      </c>
      <c r="L116" s="99">
        <v>39933133</v>
      </c>
      <c r="M116" s="99">
        <v>53045000</v>
      </c>
      <c r="N116" s="99">
        <v>54636350</v>
      </c>
      <c r="O116" s="99" t="inlineStr">
        <is>
          <t xml:space="preserve"> </t>
        </is>
      </c>
      <c r="P116" s="99" t="inlineStr">
        <is>
          <t xml:space="preserve"> </t>
        </is>
      </c>
      <c r="Q116" s="99" t="inlineStr">
        <is>
          <t xml:space="preserve"> </t>
        </is>
      </c>
      <c r="R116" s="100" t="inlineStr">
        <is>
          <t xml:space="preserve"> </t>
        </is>
      </c>
      <c r="S116" t="inlineStr">
        <is>
          <t>No se encontró ejecución en CUIPO</t>
        </is>
      </c>
      <c r="T116" s="101">
        <v>35937133</v>
      </c>
      <c r="U116" s="101">
        <v>15343733</v>
      </c>
      <c r="V116" s="101">
        <v>15343733</v>
      </c>
      <c r="W116" s="102">
        <v>0.384235642117036</v>
      </c>
      <c r="X116" t="inlineStr">
        <is>
          <t>Lo obligado está por debajo de lo programado en la vigencia</t>
        </is>
      </c>
    </row>
    <row r="117">
      <c r="A117" t="inlineStr">
        <is>
          <t>IP-142</t>
        </is>
      </c>
      <c r="B117" t="inlineStr">
        <is>
          <t>22</t>
        </is>
      </c>
      <c r="C117" t="inlineStr">
        <is>
          <t>Educación</t>
        </is>
      </c>
      <c r="D117" t="inlineStr">
        <is>
          <t>2201</t>
        </is>
      </c>
      <c r="E117" t="inlineStr">
        <is>
          <t>Calidad, cobertura y fortalecimiento de la educación inicial, prescolar, básica y media</t>
        </is>
      </c>
      <c r="F117" t="inlineStr">
        <is>
          <t>2201071</t>
        </is>
      </c>
      <c r="G117" t="inlineStr">
        <is>
          <t>Servicio educativo</t>
        </is>
      </c>
      <c r="H117" t="inlineStr">
        <is>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is>
      </c>
      <c r="I117" t="inlineStr">
        <is>
          <t>2024251260034</t>
        </is>
      </c>
      <c r="J117" s="99">
        <v>2771687528.3201</v>
      </c>
      <c r="K117" s="99">
        <v>157938076</v>
      </c>
      <c r="L117" s="99">
        <v>1171891384</v>
      </c>
      <c r="M117" s="99">
        <v>710274910.5025</v>
      </c>
      <c r="N117" s="99">
        <v>731583157.8176</v>
      </c>
      <c r="O117" s="99">
        <v>157938076</v>
      </c>
      <c r="P117" s="99">
        <v>157938076</v>
      </c>
      <c r="Q117" s="99">
        <v>157938076</v>
      </c>
      <c r="R117" s="100">
        <v>1</v>
      </c>
      <c r="S117" t="inlineStr">
        <is>
          <t>Se ejecutó el 100% de lo programado en la vigencia</t>
        </is>
      </c>
      <c r="T117" s="101">
        <v>1171891384</v>
      </c>
      <c r="U117" s="101">
        <v>1171891384</v>
      </c>
      <c r="V117" s="101">
        <v>1171891384</v>
      </c>
      <c r="W117" s="102">
        <v>1</v>
      </c>
      <c r="X117" t="inlineStr">
        <is>
          <t>Se ejecutó el 100% de lo programado en la vigencia</t>
        </is>
      </c>
    </row>
    <row r="118">
      <c r="A118" t="inlineStr">
        <is>
          <t>IP-143</t>
        </is>
      </c>
      <c r="B118" t="inlineStr">
        <is>
          <t>22</t>
        </is>
      </c>
      <c r="C118" t="inlineStr">
        <is>
          <t>Educación</t>
        </is>
      </c>
      <c r="D118" t="inlineStr">
        <is>
          <t>2201</t>
        </is>
      </c>
      <c r="E118" t="inlineStr">
        <is>
          <t>Calidad, cobertura y fortalecimiento de la educación inicial, prescolar, básica y media</t>
        </is>
      </c>
      <c r="F118" t="inlineStr">
        <is>
          <t>2201028</t>
        </is>
      </c>
      <c r="G118" t="inlineStr">
        <is>
          <t>Servicio de apoyo a la permanencia con alimentación escolar</t>
        </is>
      </c>
      <c r="H118" t="inlineStr">
        <is>
          <t>Incluye la implementación de estrategias de alimentación escolar para fortalecer las acciones de retención estudiantil.</t>
        </is>
      </c>
      <c r="I118" t="inlineStr">
        <is>
          <t>2024251260034</t>
        </is>
      </c>
      <c r="J118" s="99">
        <v>981556503.1726</v>
      </c>
      <c r="K118" s="99">
        <v>92189352.13</v>
      </c>
      <c r="L118" s="99">
        <v>671940494.61</v>
      </c>
      <c r="M118" s="99">
        <v>107106727.3067</v>
      </c>
      <c r="N118" s="99">
        <v>110319929.1259</v>
      </c>
      <c r="O118" s="99">
        <v>392104987</v>
      </c>
      <c r="P118" s="99">
        <v>392104987</v>
      </c>
      <c r="Q118" s="99">
        <v>392104987</v>
      </c>
      <c r="R118" s="100">
        <v>4.25325678010056</v>
      </c>
      <c r="S118" t="inlineStr">
        <is>
          <t>Hubo ejecución por encima de lo programado en SisPT</t>
        </is>
      </c>
      <c r="T118" s="101">
        <v>788852972</v>
      </c>
      <c r="U118" s="101">
        <v>567050333</v>
      </c>
      <c r="V118" s="101">
        <v>567050333</v>
      </c>
      <c r="W118" s="102">
        <v>0.843899627345902</v>
      </c>
      <c r="X118" t="inlineStr">
        <is>
          <t>Lo obligado está por debajo de lo programado en la vigencia</t>
        </is>
      </c>
    </row>
    <row r="119">
      <c r="A119" t="inlineStr">
        <is>
          <t>IP-145</t>
        </is>
      </c>
      <c r="B119" t="inlineStr">
        <is>
          <t>22</t>
        </is>
      </c>
      <c r="C119" t="inlineStr">
        <is>
          <t>Educación</t>
        </is>
      </c>
      <c r="D119" t="inlineStr">
        <is>
          <t>2201</t>
        </is>
      </c>
      <c r="E119" t="inlineStr">
        <is>
          <t>Calidad, cobertura y fortalecimiento de la educación inicial, prescolar, básica y media</t>
        </is>
      </c>
      <c r="F119" t="inlineStr">
        <is>
          <t>2201029</t>
        </is>
      </c>
      <c r="G119" t="inlineStr">
        <is>
          <t>Servicio de apoyo a la permanencia con transporte escolar</t>
        </is>
      </c>
      <c r="H119" t="inlineStr">
        <is>
          <t>Incluye la implementación de estrategias de transporte escolar para fortalecer las acciones de retención estudiantil</t>
        </is>
      </c>
      <c r="I119" t="inlineStr">
        <is>
          <t>2024251260034</t>
        </is>
      </c>
      <c r="J119" s="99">
        <v>1289353890</v>
      </c>
      <c r="K119" s="99">
        <v>1000000000</v>
      </c>
      <c r="L119" s="99">
        <v>138600000</v>
      </c>
      <c r="M119" s="99">
        <v>74263000</v>
      </c>
      <c r="N119" s="99">
        <v>76490890</v>
      </c>
      <c r="O119" s="99">
        <v>846365463</v>
      </c>
      <c r="P119" s="99">
        <v>846365463</v>
      </c>
      <c r="Q119" s="99">
        <v>0</v>
      </c>
      <c r="R119" s="100">
        <v>0.846365463</v>
      </c>
      <c r="S119" t="inlineStr">
        <is>
          <t>Lo obligado está por debajo de lo programado en la vigencia</t>
        </is>
      </c>
      <c r="T119" s="101" t="inlineStr">
        <is>
          <t xml:space="preserve"> </t>
        </is>
      </c>
      <c r="U119" s="101" t="inlineStr">
        <is>
          <t xml:space="preserve"> </t>
        </is>
      </c>
      <c r="V119" s="101" t="inlineStr">
        <is>
          <t xml:space="preserve"> </t>
        </is>
      </c>
      <c r="W119" s="102" t="inlineStr">
        <is>
          <t xml:space="preserve"> </t>
        </is>
      </c>
      <c r="X119" t="inlineStr">
        <is>
          <t>No se encontró ejecución en CUIPO</t>
        </is>
      </c>
    </row>
    <row r="120">
      <c r="A120" t="inlineStr">
        <is>
          <t>IP-146</t>
        </is>
      </c>
      <c r="B120" t="inlineStr">
        <is>
          <t>22</t>
        </is>
      </c>
      <c r="C120" t="inlineStr">
        <is>
          <t>Educación</t>
        </is>
      </c>
      <c r="D120" t="inlineStr">
        <is>
          <t>2201</t>
        </is>
      </c>
      <c r="E120" t="inlineStr">
        <is>
          <t>Calidad, cobertura y fortalecimiento de la educación inicial, prescolar, básica y media</t>
        </is>
      </c>
      <c r="F120" t="inlineStr">
        <is>
          <t>2201030</t>
        </is>
      </c>
      <c r="G120" t="inlineStr">
        <is>
          <t>Servicio educación formal por modelos educativos flexibles</t>
        </is>
      </c>
      <c r="H120" t="inlineStr">
        <is>
          <t>Incluye la puesta en marcha de  propuestas de educación formal que permiten atender a poblaciones diversas o en condiciones de vulnerabilidad, que presentan dificultades para participar en la oferta educativa tradicional.</t>
        </is>
      </c>
      <c r="I120" t="inlineStr">
        <is>
          <t>2024251260034</t>
        </is>
      </c>
      <c r="J120" s="99">
        <v>1047244576</v>
      </c>
      <c r="K120" s="99">
        <v>7000000</v>
      </c>
      <c r="L120" s="99">
        <v>420000000</v>
      </c>
      <c r="M120" s="99">
        <v>305539200</v>
      </c>
      <c r="N120" s="99">
        <v>314705376</v>
      </c>
      <c r="O120" s="99">
        <v>4983334</v>
      </c>
      <c r="P120" s="99">
        <v>4983334</v>
      </c>
      <c r="Q120" s="99">
        <v>4983334</v>
      </c>
      <c r="R120" s="100">
        <v>0.711904857142857</v>
      </c>
      <c r="S120" t="inlineStr">
        <is>
          <t>Lo obligado está por debajo de lo programado en la vigencia</t>
        </is>
      </c>
      <c r="T120" s="101">
        <v>404776070</v>
      </c>
      <c r="U120" s="101">
        <v>278631039</v>
      </c>
      <c r="V120" s="101">
        <v>278631039</v>
      </c>
      <c r="W120" s="102">
        <v>0.663407235714286</v>
      </c>
      <c r="X120" t="inlineStr">
        <is>
          <t>Lo obligado está por debajo de lo programado en la vigencia</t>
        </is>
      </c>
    </row>
    <row r="121">
      <c r="A121" t="inlineStr">
        <is>
          <t>IP-147</t>
        </is>
      </c>
      <c r="B121" t="inlineStr">
        <is>
          <t>22</t>
        </is>
      </c>
      <c r="C121" t="inlineStr">
        <is>
          <t>Educación</t>
        </is>
      </c>
      <c r="D121" t="inlineStr">
        <is>
          <t>2201</t>
        </is>
      </c>
      <c r="E121" t="inlineStr">
        <is>
          <t>Calidad, cobertura y fortalecimiento de la educación inicial, prescolar, básica y media</t>
        </is>
      </c>
      <c r="F121" t="inlineStr">
        <is>
          <t>2201070</t>
        </is>
      </c>
      <c r="G121" t="inlineStr">
        <is>
          <t>Ambientes de aprendizaje para la educación inicial preescolar, básica y media dotados</t>
        </is>
      </c>
      <c r="H121" t="inlineStr">
        <is>
          <t>Incluye la disposición de material didáctico, pedagógico, tecnológico o de mobiliario en espacios estructurados para el aprendizaje significativo.</t>
        </is>
      </c>
      <c r="I121" t="inlineStr">
        <is>
          <t>2024251260034</t>
        </is>
      </c>
      <c r="J121" s="99">
        <v>759733676</v>
      </c>
      <c r="K121" s="99">
        <v>342371629</v>
      </c>
      <c r="L121" s="99">
        <v>201999347</v>
      </c>
      <c r="M121" s="99">
        <v>106090000</v>
      </c>
      <c r="N121" s="99">
        <v>109272700</v>
      </c>
      <c r="O121" s="99">
        <v>45000000</v>
      </c>
      <c r="P121" s="99">
        <v>45000000</v>
      </c>
      <c r="Q121" s="99">
        <v>45000000</v>
      </c>
      <c r="R121" s="100">
        <v>0.131436124340782</v>
      </c>
      <c r="S121" t="inlineStr">
        <is>
          <t>Lo obligado está por debajo de lo programado en la vigencia</t>
        </is>
      </c>
      <c r="T121" s="101">
        <v>15980391</v>
      </c>
      <c r="U121" s="101">
        <v>0</v>
      </c>
      <c r="V121" s="101">
        <v>0</v>
      </c>
      <c r="W121" s="102">
        <v>0</v>
      </c>
      <c r="X121" t="inlineStr">
        <is>
          <t>No se ejecutó en la vigencia</t>
        </is>
      </c>
    </row>
    <row r="122">
      <c r="A122" t="inlineStr">
        <is>
          <t>IP-149</t>
        </is>
      </c>
      <c r="B122" t="inlineStr">
        <is>
          <t>22</t>
        </is>
      </c>
      <c r="C122" t="inlineStr">
        <is>
          <t>Educación</t>
        </is>
      </c>
      <c r="D122" t="inlineStr">
        <is>
          <t>2201</t>
        </is>
      </c>
      <c r="E122" t="inlineStr">
        <is>
          <t>Calidad, cobertura y fortalecimiento de la educación inicial, prescolar, básica y media</t>
        </is>
      </c>
      <c r="F122" t="inlineStr">
        <is>
          <t>2201073</t>
        </is>
      </c>
      <c r="G122" t="inlineStr">
        <is>
          <t>Servicio de evaluación de la calidad de la educación inicial, preescolar, básica y media</t>
        </is>
      </c>
      <c r="H122" t="inlineStr">
        <is>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is>
      </c>
      <c r="I122" t="inlineStr">
        <is>
          <t>2024251260034</t>
        </is>
      </c>
      <c r="J122" s="99">
        <v>1826352745</v>
      </c>
      <c r="K122" s="99">
        <v>250000000</v>
      </c>
      <c r="L122" s="99">
        <v>499539245</v>
      </c>
      <c r="M122" s="99">
        <v>530450000</v>
      </c>
      <c r="N122" s="99">
        <v>546363500</v>
      </c>
      <c r="O122" s="99" t="inlineStr">
        <is>
          <t xml:space="preserve"> </t>
        </is>
      </c>
      <c r="P122" s="99" t="inlineStr">
        <is>
          <t xml:space="preserve"> </t>
        </is>
      </c>
      <c r="Q122" s="99" t="inlineStr">
        <is>
          <t xml:space="preserve"> </t>
        </is>
      </c>
      <c r="R122" s="100" t="inlineStr">
        <is>
          <t xml:space="preserve"> </t>
        </is>
      </c>
      <c r="S122" t="inlineStr">
        <is>
          <t>No se encontró ejecución en CUIPO</t>
        </is>
      </c>
      <c r="T122" s="101">
        <v>499539245</v>
      </c>
      <c r="U122" s="101">
        <v>499539245</v>
      </c>
      <c r="V122" s="101">
        <v>499539245</v>
      </c>
      <c r="W122" s="102">
        <v>1</v>
      </c>
      <c r="X122" t="inlineStr">
        <is>
          <t>Se ejecutó el 100% de lo programado en la vigencia</t>
        </is>
      </c>
    </row>
    <row r="123">
      <c r="A123" t="inlineStr">
        <is>
          <t>IP-150</t>
        </is>
      </c>
      <c r="B123" t="inlineStr">
        <is>
          <t>22</t>
        </is>
      </c>
      <c r="C123" t="inlineStr">
        <is>
          <t>Educación</t>
        </is>
      </c>
      <c r="D123" t="inlineStr">
        <is>
          <t>2201</t>
        </is>
      </c>
      <c r="E123" t="inlineStr">
        <is>
          <t>Calidad, cobertura y fortalecimiento de la educación inicial, prescolar, básica y media</t>
        </is>
      </c>
      <c r="F123" t="inlineStr">
        <is>
          <t>2201076</t>
        </is>
      </c>
      <c r="G123" t="inlineStr">
        <is>
          <t>Servicio de asistencia técnica a comunidades en fortalecimiento del tejido social y construcción de escenarios comunitarios protectores de derechos</t>
        </is>
      </c>
      <c r="H123" t="inlineStr">
        <is>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is>
      </c>
      <c r="I123" t="inlineStr">
        <is>
          <t>2024251260034</t>
        </is>
      </c>
      <c r="J123" s="99">
        <v>1262817680</v>
      </c>
      <c r="K123" s="99">
        <v>37408333</v>
      </c>
      <c r="L123" s="99">
        <v>493176167</v>
      </c>
      <c r="M123" s="99">
        <v>360706000</v>
      </c>
      <c r="N123" s="99">
        <v>371527180</v>
      </c>
      <c r="O123" s="99">
        <v>37408332</v>
      </c>
      <c r="P123" s="99">
        <v>37408332</v>
      </c>
      <c r="Q123" s="99">
        <v>37408332</v>
      </c>
      <c r="R123" s="100">
        <v>0.999999973267988</v>
      </c>
      <c r="S123" t="inlineStr">
        <is>
          <t>Lo obligado está por debajo de lo programado en la vigencia</t>
        </is>
      </c>
      <c r="T123" s="101">
        <v>490721333</v>
      </c>
      <c r="U123" s="101">
        <v>318465246</v>
      </c>
      <c r="V123" s="101">
        <v>318130496</v>
      </c>
      <c r="W123" s="102">
        <v>0.645743381999236</v>
      </c>
      <c r="X123" t="inlineStr">
        <is>
          <t>Lo obligado está por debajo de lo programado en la vigencia</t>
        </is>
      </c>
    </row>
    <row r="124">
      <c r="A124" t="inlineStr">
        <is>
          <t>IP-151</t>
        </is>
      </c>
      <c r="B124" t="inlineStr">
        <is>
          <t>22</t>
        </is>
      </c>
      <c r="C124" t="inlineStr">
        <is>
          <t>Educación</t>
        </is>
      </c>
      <c r="D124" t="inlineStr">
        <is>
          <t>2201</t>
        </is>
      </c>
      <c r="E124" t="inlineStr">
        <is>
          <t>Calidad, cobertura y fortalecimiento de la educación inicial, prescolar, básica y media</t>
        </is>
      </c>
      <c r="F124" t="inlineStr">
        <is>
          <t>2201084</t>
        </is>
      </c>
      <c r="G124" t="inlineStr">
        <is>
          <t>Servicio de apoyo pedagógico para  la oferta de educación inclusiva para preescolar, básica y media</t>
        </is>
      </c>
      <c r="H124" t="inlineStr">
        <is>
          <t>Corresponde a la aplicación de recursos adicionales asignados a las entidades territoriales certificadas para fortalecer la atención de alumnos que requieran procesos  de atención especial relacionadas con limitaciones /capacidades o talentos excepcionales conforme al Decreto 1075/2015.</t>
        </is>
      </c>
      <c r="I124" t="inlineStr">
        <is>
          <t>2024251260034</t>
        </is>
      </c>
      <c r="J124" s="99">
        <v>859285835</v>
      </c>
      <c r="K124" s="99">
        <v>42276642</v>
      </c>
      <c r="L124" s="99">
        <v>450892603</v>
      </c>
      <c r="M124" s="99">
        <v>180353000</v>
      </c>
      <c r="N124" s="99">
        <v>185763590</v>
      </c>
      <c r="O124" s="99">
        <v>36400001</v>
      </c>
      <c r="P124" s="99">
        <v>36400001</v>
      </c>
      <c r="Q124" s="99">
        <v>36400001</v>
      </c>
      <c r="R124" s="100">
        <v>0.86099555872957</v>
      </c>
      <c r="S124" t="inlineStr">
        <is>
          <t>Lo obligado está por debajo de lo programado en la vigencia</t>
        </is>
      </c>
      <c r="T124" s="101">
        <v>450892603</v>
      </c>
      <c r="U124" s="101">
        <v>293994217</v>
      </c>
      <c r="V124" s="101">
        <v>293994217</v>
      </c>
      <c r="W124" s="102">
        <v>0.652027145807934</v>
      </c>
      <c r="X124" t="inlineStr">
        <is>
          <t>Lo obligado está por debajo de lo programado en la vigencia</t>
        </is>
      </c>
    </row>
    <row r="125">
      <c r="A125" t="inlineStr">
        <is>
          <t>IP-152</t>
        </is>
      </c>
      <c r="B125" t="inlineStr">
        <is>
          <t>22</t>
        </is>
      </c>
      <c r="C125" t="inlineStr">
        <is>
          <t>Educación</t>
        </is>
      </c>
      <c r="D125" t="inlineStr">
        <is>
          <t>2201</t>
        </is>
      </c>
      <c r="E125" t="inlineStr">
        <is>
          <t>Calidad, cobertura y fortalecimiento de la educación inicial, prescolar, básica y media</t>
        </is>
      </c>
      <c r="F125" t="inlineStr">
        <is>
          <t>2201034</t>
        </is>
      </c>
      <c r="G125" t="inlineStr">
        <is>
          <t>Servicio educativos de promoción del bilingüismo</t>
        </is>
      </c>
      <c r="H125" t="inlineStr">
        <is>
          <t xml:space="preserve">Procesos de formación para el desarrollo de competencias en un segundo idioma </t>
        </is>
      </c>
      <c r="I125" t="inlineStr">
        <is>
          <t>2024251260034</t>
        </is>
      </c>
      <c r="J125" s="99">
        <v>1146088100</v>
      </c>
      <c r="K125" s="99">
        <v>200000000</v>
      </c>
      <c r="L125" s="99">
        <v>300000000</v>
      </c>
      <c r="M125" s="99">
        <v>318270000</v>
      </c>
      <c r="N125" s="99">
        <v>327818100</v>
      </c>
      <c r="O125" s="99">
        <v>200000000</v>
      </c>
      <c r="P125" s="99">
        <v>200000000</v>
      </c>
      <c r="Q125" s="99">
        <v>200000000</v>
      </c>
      <c r="R125" s="100">
        <v>1</v>
      </c>
      <c r="S125" t="inlineStr">
        <is>
          <t>Se ejecutó el 100% de lo programado en la vigencia</t>
        </is>
      </c>
      <c r="T125" s="101">
        <v>300000000</v>
      </c>
      <c r="U125" s="101">
        <v>210000000</v>
      </c>
      <c r="V125" s="101">
        <v>210000000</v>
      </c>
      <c r="W125" s="102">
        <v>0.7</v>
      </c>
      <c r="X125" t="inlineStr">
        <is>
          <t>Lo obligado está por debajo de lo programado en la vigencia</t>
        </is>
      </c>
    </row>
    <row r="126">
      <c r="A126" t="inlineStr">
        <is>
          <t>IP-155</t>
        </is>
      </c>
      <c r="B126" t="inlineStr">
        <is>
          <t>22</t>
        </is>
      </c>
      <c r="C126" t="inlineStr">
        <is>
          <t>Educación</t>
        </is>
      </c>
      <c r="D126" t="inlineStr">
        <is>
          <t>2201</t>
        </is>
      </c>
      <c r="E126" t="inlineStr">
        <is>
          <t>Calidad, cobertura y fortalecimiento de la educación inicial, prescolar, básica y media</t>
        </is>
      </c>
      <c r="F126" t="inlineStr">
        <is>
          <t>2201069</t>
        </is>
      </c>
      <c r="G126" t="inlineStr">
        <is>
          <t>Infraestructura educativa dotada</t>
        </is>
      </c>
      <c r="H126" t="inlineStr">
        <is>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is>
      </c>
      <c r="I126" t="inlineStr">
        <is>
          <t>2024251260034</t>
        </is>
      </c>
      <c r="J126" s="99">
        <v>456898970</v>
      </c>
      <c r="K126" s="99">
        <v>50000000</v>
      </c>
      <c r="L126" s="99">
        <v>170000000</v>
      </c>
      <c r="M126" s="99">
        <v>116699000</v>
      </c>
      <c r="N126" s="99">
        <v>120199970</v>
      </c>
      <c r="O126" s="99">
        <v>49998168</v>
      </c>
      <c r="P126" s="99">
        <v>49998168</v>
      </c>
      <c r="Q126" s="99">
        <v>49998168</v>
      </c>
      <c r="R126" s="100">
        <v>0.99996336</v>
      </c>
      <c r="S126" t="inlineStr">
        <is>
          <t>Lo obligado está por debajo de lo programado en la vigencia</t>
        </is>
      </c>
      <c r="T126" s="101">
        <v>159693331</v>
      </c>
      <c r="U126" s="101">
        <v>98018536</v>
      </c>
      <c r="V126" s="101">
        <v>98018536</v>
      </c>
      <c r="W126" s="102">
        <v>0.576579623529412</v>
      </c>
      <c r="X126" t="inlineStr">
        <is>
          <t>Lo obligado está por debajo de lo programado en la vigencia</t>
        </is>
      </c>
    </row>
    <row r="127">
      <c r="A127" t="inlineStr">
        <is>
          <t>IP-156</t>
        </is>
      </c>
      <c r="B127" t="inlineStr">
        <is>
          <t>22</t>
        </is>
      </c>
      <c r="C127" t="inlineStr">
        <is>
          <t>Educación</t>
        </is>
      </c>
      <c r="D127" t="inlineStr">
        <is>
          <t>2202</t>
        </is>
      </c>
      <c r="E127" t="inlineStr">
        <is>
          <t>Calidad y fomento de la educación superior</t>
        </is>
      </c>
      <c r="F127" t="inlineStr">
        <is>
          <t>2202067</t>
        </is>
      </c>
      <c r="G127" t="inlineStr">
        <is>
          <t>Servicio de articulación entre la educación superior  y el sector productivo.</t>
        </is>
      </c>
      <c r="H127" t="inlineStr">
        <is>
          <t>Incluye el desarrollo de estrategias que vinculen la educación superior y/ con el sector productivo, que promuevan la pertinencia en la educación</t>
        </is>
      </c>
      <c r="I127" t="inlineStr">
        <is>
          <t>2024251260035</t>
        </is>
      </c>
      <c r="J127" s="99">
        <v>47092500</v>
      </c>
      <c r="K127" s="99">
        <v>8125000</v>
      </c>
      <c r="L127" s="99">
        <v>38967500</v>
      </c>
      <c r="M127" s="99">
        <v>0</v>
      </c>
      <c r="N127" s="99">
        <v>0</v>
      </c>
      <c r="O127" s="99">
        <v>8125000</v>
      </c>
      <c r="P127" s="99">
        <v>8125000</v>
      </c>
      <c r="Q127" s="99">
        <v>8125000</v>
      </c>
      <c r="R127" s="100">
        <v>1</v>
      </c>
      <c r="S127" t="inlineStr">
        <is>
          <t>Se ejecutó el 100% de lo programado en la vigencia</t>
        </is>
      </c>
      <c r="T127" s="101">
        <v>38967500</v>
      </c>
      <c r="U127" s="101">
        <v>25151750</v>
      </c>
      <c r="V127" s="101">
        <v>25151750</v>
      </c>
      <c r="W127" s="102">
        <v>0.645454545454546</v>
      </c>
      <c r="X127" t="inlineStr">
        <is>
          <t>Lo obligado está por debajo de lo programado en la vigencia</t>
        </is>
      </c>
    </row>
    <row r="128">
      <c r="A128" t="inlineStr">
        <is>
          <t>IP-157</t>
        </is>
      </c>
      <c r="B128" t="inlineStr">
        <is>
          <t>22</t>
        </is>
      </c>
      <c r="C128" t="inlineStr">
        <is>
          <t>Educación</t>
        </is>
      </c>
      <c r="D128" t="inlineStr">
        <is>
          <t>2202</t>
        </is>
      </c>
      <c r="E128" t="inlineStr">
        <is>
          <t>Calidad y fomento de la educación superior</t>
        </is>
      </c>
      <c r="F128" t="inlineStr">
        <is>
          <t>2202062</t>
        </is>
      </c>
      <c r="G128" t="inlineStr">
        <is>
          <t xml:space="preserve">Servicio de fomento para el acceso a la educación superior </t>
        </is>
      </c>
      <c r="H128" t="inlineStr">
        <is>
          <t xml:space="preserve">Incluye el desarrollo de estrategias diferentes a las de apoyo financiero para el acceso a educación superior
</t>
        </is>
      </c>
      <c r="I128" t="inlineStr">
        <is>
          <t>2024251260035</t>
        </is>
      </c>
      <c r="J128" s="99">
        <v>2667834850</v>
      </c>
      <c r="K128" s="99">
        <v>483340000</v>
      </c>
      <c r="L128" s="99">
        <v>1000000000</v>
      </c>
      <c r="M128" s="99">
        <v>583495000</v>
      </c>
      <c r="N128" s="99">
        <v>600999850</v>
      </c>
      <c r="O128" s="99">
        <v>483340000</v>
      </c>
      <c r="P128" s="99">
        <v>483340000</v>
      </c>
      <c r="Q128" s="99">
        <v>483340000</v>
      </c>
      <c r="R128" s="100">
        <v>1</v>
      </c>
      <c r="S128" t="inlineStr">
        <is>
          <t>Se ejecutó el 100% de lo programado en la vigencia</t>
        </is>
      </c>
      <c r="T128" s="101">
        <v>486979350</v>
      </c>
      <c r="U128" s="101">
        <v>486979350</v>
      </c>
      <c r="V128" s="101">
        <v>486979350</v>
      </c>
      <c r="W128" s="102">
        <v>0.48697935</v>
      </c>
      <c r="X128" t="inlineStr">
        <is>
          <t>Lo obligado está por debajo de lo programado en la vigencia</t>
        </is>
      </c>
    </row>
    <row r="129">
      <c r="A129" t="inlineStr">
        <is>
          <t>IP-158</t>
        </is>
      </c>
      <c r="B129" t="inlineStr">
        <is>
          <t>22</t>
        </is>
      </c>
      <c r="C129" t="inlineStr">
        <is>
          <t>Educación</t>
        </is>
      </c>
      <c r="D129" t="inlineStr">
        <is>
          <t>2202</t>
        </is>
      </c>
      <c r="E129" t="inlineStr">
        <is>
          <t>Calidad y fomento de la educación superior</t>
        </is>
      </c>
      <c r="F129" t="inlineStr">
        <is>
          <t>2202063</t>
        </is>
      </c>
      <c r="G129" t="inlineStr">
        <is>
          <t>Servicio de apoyo financiero para el acceso a la educación superior</t>
        </is>
      </c>
      <c r="H129" t="inlineStr">
        <is>
          <t>Incluye becas y créditos en todas sus modalidades</t>
        </is>
      </c>
      <c r="I129" t="inlineStr">
        <is>
          <t>2024251260035</t>
        </is>
      </c>
      <c r="J129" s="99">
        <v>300000000</v>
      </c>
      <c r="K129" s="99">
        <v>300000000</v>
      </c>
      <c r="L129" s="99">
        <v>0</v>
      </c>
      <c r="M129" s="99">
        <v>0</v>
      </c>
      <c r="N129" s="99">
        <v>0</v>
      </c>
      <c r="O129" s="99">
        <v>300000000</v>
      </c>
      <c r="P129" s="99">
        <v>300000000</v>
      </c>
      <c r="Q129" s="99">
        <v>300000000</v>
      </c>
      <c r="R129" s="100">
        <v>1</v>
      </c>
      <c r="S129" t="inlineStr">
        <is>
          <t>Se ejecutó el 100% de lo programado en la vigencia</t>
        </is>
      </c>
      <c r="T129" s="101" t="inlineStr">
        <is>
          <t xml:space="preserve"> </t>
        </is>
      </c>
      <c r="U129" s="101" t="inlineStr">
        <is>
          <t xml:space="preserve"> </t>
        </is>
      </c>
      <c r="V129" s="101" t="inlineStr">
        <is>
          <t xml:space="preserve"> </t>
        </is>
      </c>
      <c r="W129" s="102" t="inlineStr">
        <is>
          <t xml:space="preserve"> </t>
        </is>
      </c>
      <c r="X129" t="inlineStr">
        <is>
          <t>No se encontró ejecución en CUIPO</t>
        </is>
      </c>
    </row>
    <row r="130">
      <c r="A130" t="inlineStr">
        <is>
          <t>IP-159, IP-187</t>
        </is>
      </c>
      <c r="B130" t="inlineStr">
        <is>
          <t>19</t>
        </is>
      </c>
      <c r="C130" t="inlineStr">
        <is>
          <t>Salud y protección social</t>
        </is>
      </c>
      <c r="D130" t="inlineStr">
        <is>
          <t>1903</t>
        </is>
      </c>
      <c r="E130" t="inlineStr">
        <is>
          <t>Inspección, vigilancia y control</t>
        </is>
      </c>
      <c r="F130" t="inlineStr">
        <is>
          <t>1903025</t>
        </is>
      </c>
      <c r="G130" t="inlineStr">
        <is>
          <t>Servicio de implementación de estrategias para el fortalecimiento del control social en salud</t>
        </is>
      </c>
      <c r="H130" t="inlineStr">
        <is>
          <t xml:space="preserve">Este servicio permite obtener estrategias para el fortalecimiento del control social en salud </t>
        </is>
      </c>
      <c r="I130" t="inlineStr">
        <is>
          <t>2024251260038</t>
        </is>
      </c>
      <c r="J130" s="99">
        <v>8981477687.223</v>
      </c>
      <c r="K130" s="99">
        <v>1476366696</v>
      </c>
      <c r="L130" s="99">
        <v>2270811995.65</v>
      </c>
      <c r="M130" s="99">
        <v>2578472411.6123</v>
      </c>
      <c r="N130" s="99">
        <v>2655826583.9607</v>
      </c>
      <c r="O130" s="99">
        <v>958442463</v>
      </c>
      <c r="P130" s="99">
        <v>958442463</v>
      </c>
      <c r="Q130" s="99">
        <v>816971809</v>
      </c>
      <c r="R130" s="100">
        <v>0.649189978070326</v>
      </c>
      <c r="S130" t="inlineStr">
        <is>
          <t>Lo obligado está por debajo de lo programado en la vigencia</t>
        </is>
      </c>
      <c r="T130" s="101">
        <v>1330667578</v>
      </c>
      <c r="U130" s="101">
        <v>1330667578</v>
      </c>
      <c r="V130" s="101">
        <v>1297720278</v>
      </c>
      <c r="W130" s="102">
        <v>0.585987558877197</v>
      </c>
      <c r="X130" t="inlineStr">
        <is>
          <t>Lo obligado está por debajo de lo programado en la vigencia</t>
        </is>
      </c>
    </row>
    <row r="131">
      <c r="A131" t="inlineStr">
        <is>
          <t>IP-160</t>
        </is>
      </c>
      <c r="B131" t="inlineStr">
        <is>
          <t>19</t>
        </is>
      </c>
      <c r="C131" t="inlineStr">
        <is>
          <t>Salud y protección social</t>
        </is>
      </c>
      <c r="D131" t="inlineStr">
        <is>
          <t>1906</t>
        </is>
      </c>
      <c r="E131" t="inlineStr">
        <is>
          <t>Aseguramiento y prestación integral de servicios de salud</t>
        </is>
      </c>
      <c r="F131" t="inlineStr">
        <is>
          <t>1906044</t>
        </is>
      </c>
      <c r="G131" t="inlineStr">
        <is>
          <t>Servicio de afiliaciones al régimen subsidiado del Sistema General de Seguridad Social</t>
        </is>
      </c>
      <c r="H131" t="inlineStr">
        <is>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is>
      </c>
      <c r="I131" t="inlineStr">
        <is>
          <t>2024251260036</t>
        </is>
      </c>
      <c r="J131" s="99">
        <v>83570194684.9888</v>
      </c>
      <c r="K131" s="99">
        <v>14687624267.57</v>
      </c>
      <c r="L131" s="99">
        <v>22909236602.84</v>
      </c>
      <c r="M131" s="99">
        <v>22646962470.2359</v>
      </c>
      <c r="N131" s="99">
        <v>23326371344.3429</v>
      </c>
      <c r="O131" s="99">
        <v>10540307131</v>
      </c>
      <c r="P131" s="99">
        <v>10540307131</v>
      </c>
      <c r="Q131" s="99">
        <v>10540307131</v>
      </c>
      <c r="R131" s="100">
        <v>0.717631860604768</v>
      </c>
      <c r="S131" t="inlineStr">
        <is>
          <t>Lo obligado está por debajo de lo programado en la vigencia</t>
        </is>
      </c>
      <c r="T131" s="101">
        <v>17245934532</v>
      </c>
      <c r="U131" s="101">
        <v>17245934532</v>
      </c>
      <c r="V131" s="101">
        <v>17245934532</v>
      </c>
      <c r="W131" s="102">
        <v>0.752793942067108</v>
      </c>
      <c r="X131" t="inlineStr">
        <is>
          <t>Lo obligado está por debajo de lo programado en la vigencia</t>
        </is>
      </c>
    </row>
    <row r="132">
      <c r="A132" t="inlineStr">
        <is>
          <t>IP-161</t>
        </is>
      </c>
      <c r="B132" t="inlineStr">
        <is>
          <t>19</t>
        </is>
      </c>
      <c r="C132" t="inlineStr">
        <is>
          <t>Salud y protección social</t>
        </is>
      </c>
      <c r="D132" t="inlineStr">
        <is>
          <t>1906</t>
        </is>
      </c>
      <c r="E132" t="inlineStr">
        <is>
          <t>Aseguramiento y prestación integral de servicios de salud</t>
        </is>
      </c>
      <c r="F132" t="inlineStr">
        <is>
          <t>1906004</t>
        </is>
      </c>
      <c r="G132" t="inlineStr">
        <is>
          <t>Servicio de atención en salud a la población</t>
        </is>
      </c>
      <c r="H132" t="inlineStr">
        <is>
          <t>Incluye el servicio de atención en salud a la población dentro del Sistema General de Seguridad Social en Salud y los servicios de atención en urgencias a la población migrante no afiliada dentro del Sistema General de Seguridad Social en Salud.</t>
        </is>
      </c>
      <c r="I132" t="inlineStr">
        <is>
          <t>2024251260036</t>
        </is>
      </c>
      <c r="J132" s="99">
        <v>91272540</v>
      </c>
      <c r="K132" s="99">
        <v>27600000</v>
      </c>
      <c r="L132" s="99">
        <v>20600000</v>
      </c>
      <c r="M132" s="99">
        <v>21218000</v>
      </c>
      <c r="N132" s="99">
        <v>21854540</v>
      </c>
      <c r="O132" s="99" t="inlineStr">
        <is>
          <t xml:space="preserve"> </t>
        </is>
      </c>
      <c r="P132" s="99" t="inlineStr">
        <is>
          <t xml:space="preserve"> </t>
        </is>
      </c>
      <c r="Q132" s="99" t="inlineStr">
        <is>
          <t xml:space="preserve"> </t>
        </is>
      </c>
      <c r="R132" s="100" t="inlineStr">
        <is>
          <t xml:space="preserve"> </t>
        </is>
      </c>
      <c r="S132" t="inlineStr">
        <is>
          <t>No se encontró ejecución en CUIPO</t>
        </is>
      </c>
      <c r="T132" s="101">
        <v>4000000</v>
      </c>
      <c r="U132" s="101">
        <v>0</v>
      </c>
      <c r="V132" s="101">
        <v>0</v>
      </c>
      <c r="W132" s="102">
        <v>0</v>
      </c>
      <c r="X132" t="inlineStr">
        <is>
          <t>No se ejecutó en la vigencia</t>
        </is>
      </c>
    </row>
    <row r="133">
      <c r="A133" t="inlineStr">
        <is>
          <t>IP-162, IP-165</t>
        </is>
      </c>
      <c r="B133" t="inlineStr">
        <is>
          <t>19</t>
        </is>
      </c>
      <c r="C133" t="inlineStr">
        <is>
          <t>Salud y protección social</t>
        </is>
      </c>
      <c r="D133" t="inlineStr">
        <is>
          <t>1906</t>
        </is>
      </c>
      <c r="E133" t="inlineStr">
        <is>
          <t>Aseguramiento y prestación integral de servicios de salud</t>
        </is>
      </c>
      <c r="F133" t="inlineStr">
        <is>
          <t>1906035</t>
        </is>
      </c>
      <c r="G133" t="inlineStr">
        <is>
          <t>Servicio de apoyo financiero para la atención en salud a la población</t>
        </is>
      </c>
      <c r="H133" t="inlineStr">
        <is>
          <t>Corresponde a la entrega de recursos monetarios a las empresas sociales del estado o a terceros que administran infraestructura pública para la atención en salud a la población.  Incluye a las empresas sociales del estado o a terceros que administran infraestructura pública ubicada en zonas alejadas o de difícil acceso que sean monopolio en servicios trazadores y no sostenibles por venta de servicios para la operación de la prestación de los servicios y tecnologías en salud.</t>
        </is>
      </c>
      <c r="I133" t="inlineStr">
        <is>
          <t>2024251260036</t>
        </is>
      </c>
      <c r="J133" s="99">
        <v>962759338</v>
      </c>
      <c r="K133" s="99">
        <v>142993509</v>
      </c>
      <c r="L133" s="99">
        <v>819765829</v>
      </c>
      <c r="M133" s="99">
        <v>0</v>
      </c>
      <c r="N133" s="99">
        <v>0</v>
      </c>
      <c r="O133" s="99">
        <v>2342993508</v>
      </c>
      <c r="P133" s="99">
        <v>2342993508</v>
      </c>
      <c r="Q133" s="99">
        <v>2342993508</v>
      </c>
      <c r="R133" s="100">
        <v>16.3853137417587</v>
      </c>
      <c r="S133" t="inlineStr">
        <is>
          <t>Hubo ejecución por encima de lo programado en SisPT</t>
        </is>
      </c>
      <c r="T133" s="101">
        <v>1404315829</v>
      </c>
      <c r="U133" s="101">
        <v>1197819142</v>
      </c>
      <c r="V133" s="101">
        <v>1197819142</v>
      </c>
      <c r="W133" s="102">
        <v>1.46117232461516</v>
      </c>
      <c r="X133" t="inlineStr">
        <is>
          <t>Hubo ejecución por encima de lo programado en SisPT</t>
        </is>
      </c>
    </row>
    <row r="134">
      <c r="A134" t="inlineStr">
        <is>
          <t>IP-163</t>
        </is>
      </c>
      <c r="B134" t="inlineStr">
        <is>
          <t>19</t>
        </is>
      </c>
      <c r="C134" t="inlineStr">
        <is>
          <t>Salud y protección social</t>
        </is>
      </c>
      <c r="D134" t="inlineStr">
        <is>
          <t>1905</t>
        </is>
      </c>
      <c r="E134" t="inlineStr">
        <is>
          <t>Salud pública</t>
        </is>
      </c>
      <c r="F134" t="inlineStr">
        <is>
          <t>1905040</t>
        </is>
      </c>
      <c r="G134" t="inlineStr">
        <is>
          <t>Servicio de certificación de discapacidad para las personas con discapacidad</t>
        </is>
      </c>
      <c r="H134" t="inlineStr">
        <is>
          <t>Corresponde a las acciones para la valoración clínica multidisciplinaria simultánea para identificar la condición de discapacidad, registro de localización y caracterización de las personas con discapacidad y generación del certificado de discapacidad.</t>
        </is>
      </c>
      <c r="I134" t="inlineStr">
        <is>
          <t>2024251260037</t>
        </is>
      </c>
      <c r="J134" s="99">
        <v>119937826</v>
      </c>
      <c r="K134" s="99">
        <v>0</v>
      </c>
      <c r="L134" s="99">
        <v>38100000</v>
      </c>
      <c r="M134" s="99">
        <v>40314200</v>
      </c>
      <c r="N134" s="99">
        <v>41523626</v>
      </c>
      <c r="O134" s="99" t="inlineStr">
        <is>
          <t xml:space="preserve"> </t>
        </is>
      </c>
      <c r="P134" s="99" t="inlineStr">
        <is>
          <t xml:space="preserve"> </t>
        </is>
      </c>
      <c r="Q134" s="99" t="inlineStr">
        <is>
          <t xml:space="preserve"> </t>
        </is>
      </c>
      <c r="R134" s="100" t="inlineStr">
        <is>
          <t xml:space="preserve"> </t>
        </is>
      </c>
      <c r="S134" t="inlineStr">
        <is>
          <t>No se encontró ejecución en CUIPO</t>
        </is>
      </c>
      <c r="T134" s="101">
        <v>29867912</v>
      </c>
      <c r="U134" s="101">
        <v>12961000</v>
      </c>
      <c r="V134" s="101">
        <v>12961000</v>
      </c>
      <c r="W134" s="102">
        <v>0.340183727034121</v>
      </c>
      <c r="X134" t="inlineStr">
        <is>
          <t>Lo obligado está por debajo de lo programado en la vigencia</t>
        </is>
      </c>
    </row>
    <row r="135">
      <c r="A135" t="inlineStr">
        <is>
          <t>IP-164</t>
        </is>
      </c>
      <c r="B135" t="inlineStr">
        <is>
          <t>19</t>
        </is>
      </c>
      <c r="C135" t="inlineStr">
        <is>
          <t>Salud y protección social</t>
        </is>
      </c>
      <c r="D135" t="inlineStr">
        <is>
          <t>1905</t>
        </is>
      </c>
      <c r="E135" t="inlineStr">
        <is>
          <t>Salud pública</t>
        </is>
      </c>
      <c r="F135" t="inlineStr">
        <is>
          <t>1905054</t>
        </is>
      </c>
      <c r="G135" t="inlineStr">
        <is>
          <t>Servicio de promoción de la salud</t>
        </is>
      </c>
      <c r="H135" t="inlineStr">
        <is>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is>
      </c>
      <c r="I135" t="inlineStr">
        <is>
          <t>2024251260037</t>
        </is>
      </c>
      <c r="J135" s="99">
        <v>843660412.8</v>
      </c>
      <c r="K135" s="99">
        <v>66400000</v>
      </c>
      <c r="L135" s="99">
        <v>634259580</v>
      </c>
      <c r="M135" s="99">
        <v>70443760</v>
      </c>
      <c r="N135" s="99">
        <v>72557072.8</v>
      </c>
      <c r="O135" s="99">
        <v>31050000</v>
      </c>
      <c r="P135" s="99">
        <v>31050000</v>
      </c>
      <c r="Q135" s="99">
        <v>21800000</v>
      </c>
      <c r="R135" s="100">
        <v>0.467620481927711</v>
      </c>
      <c r="S135" t="inlineStr">
        <is>
          <t>Lo obligado está por debajo de lo programado en la vigencia</t>
        </is>
      </c>
      <c r="T135" s="101">
        <v>79057497</v>
      </c>
      <c r="U135" s="101">
        <v>34630000</v>
      </c>
      <c r="V135" s="101">
        <v>34630000</v>
      </c>
      <c r="W135" s="102">
        <v>0.0545990964771868</v>
      </c>
      <c r="X135" t="inlineStr">
        <is>
          <t>Lo obligado está por debajo de lo programado en la vigencia</t>
        </is>
      </c>
    </row>
    <row r="136">
      <c r="A136" t="inlineStr">
        <is>
          <t>IP-166, IP-171</t>
        </is>
      </c>
      <c r="B136" t="inlineStr">
        <is>
          <t>19</t>
        </is>
      </c>
      <c r="C136" t="inlineStr">
        <is>
          <t>Salud y protección social</t>
        </is>
      </c>
      <c r="D136" t="inlineStr">
        <is>
          <t>1905</t>
        </is>
      </c>
      <c r="E136" t="inlineStr">
        <is>
          <t>Salud pública</t>
        </is>
      </c>
      <c r="F136" t="inlineStr">
        <is>
          <t>1905026</t>
        </is>
      </c>
      <c r="G136" t="inlineStr">
        <is>
          <t>Servicio de gestión del riesgo para enfermedades emergentes, reemergentes y desatendidas</t>
        </is>
      </c>
      <c r="H136" t="inlineStr">
        <is>
          <t xml:space="preserve">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t>
        </is>
      </c>
      <c r="I136" t="inlineStr">
        <is>
          <t>2024251260037</t>
        </is>
      </c>
      <c r="J136" s="99">
        <v>436343973.683</v>
      </c>
      <c r="K136" s="99">
        <v>105529000</v>
      </c>
      <c r="L136" s="99">
        <v>103544870</v>
      </c>
      <c r="M136" s="99">
        <v>111955716.1</v>
      </c>
      <c r="N136" s="99">
        <v>115314387.583</v>
      </c>
      <c r="O136" s="99">
        <v>27268658</v>
      </c>
      <c r="P136" s="99">
        <v>27268658</v>
      </c>
      <c r="Q136" s="99">
        <v>27268658</v>
      </c>
      <c r="R136" s="100">
        <v>0.258399662651972</v>
      </c>
      <c r="S136" t="inlineStr">
        <is>
          <t>Lo obligado está por debajo de lo programado en la vigencia</t>
        </is>
      </c>
      <c r="T136" s="101" t="inlineStr">
        <is>
          <t xml:space="preserve"> </t>
        </is>
      </c>
      <c r="U136" s="101" t="inlineStr">
        <is>
          <t xml:space="preserve"> </t>
        </is>
      </c>
      <c r="V136" s="101" t="inlineStr">
        <is>
          <t xml:space="preserve"> </t>
        </is>
      </c>
      <c r="W136" s="102" t="inlineStr">
        <is>
          <t xml:space="preserve"> </t>
        </is>
      </c>
      <c r="X136" t="inlineStr">
        <is>
          <t>No se encontró ejecución en CUIPO</t>
        </is>
      </c>
    </row>
    <row r="137">
      <c r="A137" t="inlineStr">
        <is>
          <t>IP-167, IP-175, IP-176</t>
        </is>
      </c>
      <c r="B137" t="inlineStr">
        <is>
          <t>19</t>
        </is>
      </c>
      <c r="C137" t="inlineStr">
        <is>
          <t>Salud y protección social</t>
        </is>
      </c>
      <c r="D137" t="inlineStr">
        <is>
          <t>1905</t>
        </is>
      </c>
      <c r="E137" t="inlineStr">
        <is>
          <t>Salud pública</t>
        </is>
      </c>
      <c r="F137" t="inlineStr">
        <is>
          <t>1905023</t>
        </is>
      </c>
      <c r="G137" t="inlineStr">
        <is>
          <t>Servicio de gestión del riesgo para abordar condiciones crónicas prevalentes</t>
        </is>
      </c>
      <c r="H137" t="inlineStr">
        <is>
          <t>Acciones para garantizar la prevención y el abordaje de enfermedades no transmisibles y de alteraciones de la salud bucal, visual y auditiva, gestión del riesgo disminución de la enfermedad y la discapacidad evitable.</t>
        </is>
      </c>
      <c r="I137" t="inlineStr">
        <is>
          <t>2024251260037</t>
        </is>
      </c>
      <c r="J137" s="99">
        <v>1945100857.022</v>
      </c>
      <c r="K137" s="99">
        <v>592166000</v>
      </c>
      <c r="L137" s="99">
        <v>79310000</v>
      </c>
      <c r="M137" s="99">
        <v>627401407.4</v>
      </c>
      <c r="N137" s="99">
        <v>646223449.622</v>
      </c>
      <c r="O137" s="99">
        <v>364731809</v>
      </c>
      <c r="P137" s="99">
        <v>360225142</v>
      </c>
      <c r="Q137" s="99">
        <v>360225142</v>
      </c>
      <c r="R137" s="100">
        <v>0.60831783993002</v>
      </c>
      <c r="S137" t="inlineStr">
        <is>
          <t>Lo obligado está por debajo de lo programado en la vigencia</t>
        </is>
      </c>
      <c r="T137" s="101">
        <v>833844522</v>
      </c>
      <c r="U137" s="101">
        <v>535307830</v>
      </c>
      <c r="V137" s="101">
        <v>535307830</v>
      </c>
      <c r="W137" s="102">
        <v>6.74956285462111</v>
      </c>
      <c r="X137" t="inlineStr">
        <is>
          <t>Hubo ejecución por encima de lo programado en SisPT</t>
        </is>
      </c>
    </row>
    <row r="138">
      <c r="A138" t="inlineStr">
        <is>
          <t>IP-168, IP-172, IP-173, IP-174, IP-178</t>
        </is>
      </c>
      <c r="B138" t="inlineStr">
        <is>
          <t>19</t>
        </is>
      </c>
      <c r="C138" t="inlineStr">
        <is>
          <t>Salud y protección social</t>
        </is>
      </c>
      <c r="D138" t="inlineStr">
        <is>
          <t>1905</t>
        </is>
      </c>
      <c r="E138" t="inlineStr">
        <is>
          <t>Salud pública</t>
        </is>
      </c>
      <c r="F138" t="inlineStr">
        <is>
          <t>1905015</t>
        </is>
      </c>
      <c r="G138" t="inlineStr">
        <is>
          <t>Documentos de planeación</t>
        </is>
      </c>
      <c r="H138" t="inlineStr">
        <is>
          <t>Documentos cuyo objetivo es plasmar una visión de futuro a nivel país, entidad territorial, comunidad, sector, región, entidad o cualquier nivel de desagregación que se requiera. Incluye objetivos, estrategias, metas e indicadores.</t>
        </is>
      </c>
      <c r="I138" t="inlineStr">
        <is>
          <t>2024251260037</t>
        </is>
      </c>
      <c r="J138" s="99">
        <v>812288152.27</v>
      </c>
      <c r="K138" s="99">
        <v>168033000</v>
      </c>
      <c r="L138" s="99">
        <v>229035866.67</v>
      </c>
      <c r="M138" s="99">
        <v>204541520</v>
      </c>
      <c r="N138" s="99">
        <v>210677765.6</v>
      </c>
      <c r="O138" s="99">
        <v>44023000</v>
      </c>
      <c r="P138" s="99">
        <v>44023000</v>
      </c>
      <c r="Q138" s="99">
        <v>44023000</v>
      </c>
      <c r="R138" s="100">
        <v>0.261990204305107</v>
      </c>
      <c r="S138" t="inlineStr">
        <is>
          <t>Lo obligado está por debajo de lo programado en la vigencia</t>
        </is>
      </c>
      <c r="T138" s="101" t="inlineStr">
        <is>
          <t xml:space="preserve"> </t>
        </is>
      </c>
      <c r="U138" s="101" t="inlineStr">
        <is>
          <t xml:space="preserve"> </t>
        </is>
      </c>
      <c r="V138" s="101" t="inlineStr">
        <is>
          <t xml:space="preserve"> </t>
        </is>
      </c>
      <c r="W138" s="102" t="inlineStr">
        <is>
          <t xml:space="preserve"> </t>
        </is>
      </c>
      <c r="X138" t="inlineStr">
        <is>
          <t>No se encontró ejecución en CUIPO</t>
        </is>
      </c>
    </row>
    <row r="139">
      <c r="A139" t="inlineStr">
        <is>
          <t>IP-169</t>
        </is>
      </c>
      <c r="B139" t="inlineStr">
        <is>
          <t>19</t>
        </is>
      </c>
      <c r="C139" t="inlineStr">
        <is>
          <t>Salud y protección social</t>
        </is>
      </c>
      <c r="D139" t="inlineStr">
        <is>
          <t>1905</t>
        </is>
      </c>
      <c r="E139" t="inlineStr">
        <is>
          <t>Salud pública</t>
        </is>
      </c>
      <c r="F139" t="inlineStr">
        <is>
          <t>1905014</t>
        </is>
      </c>
      <c r="G139" t="inlineStr">
        <is>
          <t>Documentos de lineamientos técnicos</t>
        </is>
      </c>
      <c r="H139" t="inlineStr">
        <is>
          <t xml:space="preserve">Documentos cuyo objetivo es describir y explicar instrumentos, estándares, requisitos y condiciones necesarias para llevar a cabo un proceso o actividad. </t>
        </is>
      </c>
      <c r="I139" t="inlineStr">
        <is>
          <t>2024251260037</t>
        </is>
      </c>
      <c r="J139" s="99">
        <v>127690424.26</v>
      </c>
      <c r="K139" s="99">
        <v>17293000</v>
      </c>
      <c r="L139" s="99">
        <v>52249495.26</v>
      </c>
      <c r="M139" s="99">
        <v>28644300</v>
      </c>
      <c r="N139" s="99">
        <v>29503629</v>
      </c>
      <c r="O139" s="99">
        <v>7100000</v>
      </c>
      <c r="P139" s="99">
        <v>7100000</v>
      </c>
      <c r="Q139" s="99">
        <v>7100000</v>
      </c>
      <c r="R139" s="100">
        <v>0.410570751170994</v>
      </c>
      <c r="S139" t="inlineStr">
        <is>
          <t>Lo obligado está por debajo de lo programado en la vigencia</t>
        </is>
      </c>
      <c r="T139" s="101">
        <v>313899101</v>
      </c>
      <c r="U139" s="101">
        <v>182101612</v>
      </c>
      <c r="V139" s="101">
        <v>182101612</v>
      </c>
      <c r="W139" s="102">
        <v>3.48523198346395</v>
      </c>
      <c r="X139" t="inlineStr">
        <is>
          <t>Hubo ejecución por encima de lo programado en SisPT</t>
        </is>
      </c>
    </row>
    <row r="140">
      <c r="A140" t="inlineStr">
        <is>
          <t>IP-170</t>
        </is>
      </c>
      <c r="B140" t="inlineStr">
        <is>
          <t>19</t>
        </is>
      </c>
      <c r="C140" t="inlineStr">
        <is>
          <t>Salud y protección social</t>
        </is>
      </c>
      <c r="D140" t="inlineStr">
        <is>
          <t>1905</t>
        </is>
      </c>
      <c r="E140" t="inlineStr">
        <is>
          <t>Salud pública</t>
        </is>
      </c>
      <c r="F140" t="inlineStr">
        <is>
          <t>1905027</t>
        </is>
      </c>
      <c r="G140" t="inlineStr">
        <is>
          <t>Servicio de gestión del riesgo para enfermedades inmunoprevenibles</t>
        </is>
      </c>
      <c r="H140" t="inlineStr">
        <is>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is>
      </c>
      <c r="I140" t="inlineStr">
        <is>
          <t>2024251260037</t>
        </is>
      </c>
      <c r="J140" s="99">
        <v>84120322.6</v>
      </c>
      <c r="K140" s="99">
        <v>23800000</v>
      </c>
      <c r="L140" s="99">
        <v>9064000</v>
      </c>
      <c r="M140" s="99">
        <v>25249420</v>
      </c>
      <c r="N140" s="99">
        <v>26006902.6</v>
      </c>
      <c r="O140" s="99">
        <v>5460000</v>
      </c>
      <c r="P140" s="99">
        <v>5460000</v>
      </c>
      <c r="Q140" s="99">
        <v>5460000</v>
      </c>
      <c r="R140" s="100">
        <v>0.229411764705882</v>
      </c>
      <c r="S140" t="inlineStr">
        <is>
          <t>Lo obligado está por debajo de lo programado en la vigencia</t>
        </is>
      </c>
      <c r="T140" s="101" t="inlineStr">
        <is>
          <t xml:space="preserve"> </t>
        </is>
      </c>
      <c r="U140" s="101" t="inlineStr">
        <is>
          <t xml:space="preserve"> </t>
        </is>
      </c>
      <c r="V140" s="101" t="inlineStr">
        <is>
          <t xml:space="preserve"> </t>
        </is>
      </c>
      <c r="W140" s="102" t="inlineStr">
        <is>
          <t xml:space="preserve"> </t>
        </is>
      </c>
      <c r="X140" t="inlineStr">
        <is>
          <t>No se encontró ejecución en CUIPO</t>
        </is>
      </c>
    </row>
    <row r="141">
      <c r="A141" t="inlineStr">
        <is>
          <t>IP-177</t>
        </is>
      </c>
      <c r="B141" t="inlineStr">
        <is>
          <t>19</t>
        </is>
      </c>
      <c r="C141" t="inlineStr">
        <is>
          <t>Salud y protección social</t>
        </is>
      </c>
      <c r="D141" t="inlineStr">
        <is>
          <t>1905</t>
        </is>
      </c>
      <c r="E141" t="inlineStr">
        <is>
          <t>Salud pública</t>
        </is>
      </c>
      <c r="F141" t="inlineStr">
        <is>
          <t>1905037</t>
        </is>
      </c>
      <c r="G141" t="inlineStr">
        <is>
          <t>Documentos de investigación</t>
        </is>
      </c>
      <c r="H141" t="inlineStr">
        <is>
          <t>Acciones orientadas a la recolección, análisis y procesamiento de la información.</t>
        </is>
      </c>
      <c r="I141" t="inlineStr">
        <is>
          <t>2024251260037</t>
        </is>
      </c>
      <c r="J141" s="99">
        <v>789833220.5</v>
      </c>
      <c r="K141" s="99">
        <v>349650000</v>
      </c>
      <c r="L141" s="99">
        <v>135445000</v>
      </c>
      <c r="M141" s="99">
        <v>150117350</v>
      </c>
      <c r="N141" s="99">
        <v>154620870.5</v>
      </c>
      <c r="O141" s="99" t="inlineStr">
        <is>
          <t xml:space="preserve"> </t>
        </is>
      </c>
      <c r="P141" s="99" t="inlineStr">
        <is>
          <t xml:space="preserve"> </t>
        </is>
      </c>
      <c r="Q141" s="99" t="inlineStr">
        <is>
          <t xml:space="preserve"> </t>
        </is>
      </c>
      <c r="R141" s="100" t="inlineStr">
        <is>
          <t xml:space="preserve"> </t>
        </is>
      </c>
      <c r="S141" t="inlineStr">
        <is>
          <t>No se encontró ejecución en CUIPO</t>
        </is>
      </c>
      <c r="T141" s="101">
        <v>392636337</v>
      </c>
      <c r="U141" s="101">
        <v>258381332</v>
      </c>
      <c r="V141" s="101">
        <v>258381332</v>
      </c>
      <c r="W141" s="102">
        <v>1.90764762080549</v>
      </c>
      <c r="X141" t="inlineStr">
        <is>
          <t>Hubo ejecución por encima de lo programado en SisPT</t>
        </is>
      </c>
    </row>
    <row r="142">
      <c r="A142" t="inlineStr">
        <is>
          <t>IP-179, IP-182</t>
        </is>
      </c>
      <c r="B142" t="inlineStr">
        <is>
          <t>19</t>
        </is>
      </c>
      <c r="C142" t="inlineStr">
        <is>
          <t>Salud y protección social</t>
        </is>
      </c>
      <c r="D142" t="inlineStr">
        <is>
          <t>1905</t>
        </is>
      </c>
      <c r="E142" t="inlineStr">
        <is>
          <t>Salud pública</t>
        </is>
      </c>
      <c r="F142" t="inlineStr">
        <is>
          <t>1905050</t>
        </is>
      </c>
      <c r="G142" t="inlineStr">
        <is>
          <t>Servicio de asistencia técnica</t>
        </is>
      </c>
      <c r="H142"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142" t="inlineStr">
        <is>
          <t>2024251260037</t>
        </is>
      </c>
      <c r="J142" s="99">
        <v>559192310.7</v>
      </c>
      <c r="K142" s="99">
        <v>114900000</v>
      </c>
      <c r="L142" s="99">
        <v>259855694.42</v>
      </c>
      <c r="M142" s="99">
        <v>90855476</v>
      </c>
      <c r="N142" s="99">
        <v>93581140.28</v>
      </c>
      <c r="O142" s="99">
        <v>2404717</v>
      </c>
      <c r="P142" s="99">
        <v>2404717</v>
      </c>
      <c r="Q142" s="99">
        <v>2404717</v>
      </c>
      <c r="R142" s="100">
        <v>0.0209287815491732</v>
      </c>
      <c r="S142" t="inlineStr">
        <is>
          <t>Lo obligado está por debajo de lo programado en la vigencia</t>
        </is>
      </c>
      <c r="T142" s="101">
        <v>174977645</v>
      </c>
      <c r="U142" s="101">
        <v>137622642</v>
      </c>
      <c r="V142" s="101">
        <v>137622642</v>
      </c>
      <c r="W142" s="102">
        <v>0.529611799761305</v>
      </c>
      <c r="X142" t="inlineStr">
        <is>
          <t>Lo obligado está por debajo de lo programado en la vigencia</t>
        </is>
      </c>
    </row>
    <row r="143">
      <c r="A143" t="inlineStr">
        <is>
          <t>IP-180, IP-181</t>
        </is>
      </c>
      <c r="B143" t="inlineStr">
        <is>
          <t>19</t>
        </is>
      </c>
      <c r="C143" t="inlineStr">
        <is>
          <t>Salud y protección social</t>
        </is>
      </c>
      <c r="D143" t="inlineStr">
        <is>
          <t>1905</t>
        </is>
      </c>
      <c r="E143" t="inlineStr">
        <is>
          <t>Salud pública</t>
        </is>
      </c>
      <c r="F143" t="inlineStr">
        <is>
          <t>1905049</t>
        </is>
      </c>
      <c r="G143" t="inlineStr">
        <is>
          <t>Servicio de promoción de la participación social en salud</t>
        </is>
      </c>
      <c r="H143" t="inlineStr">
        <is>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is>
      </c>
      <c r="I143" t="inlineStr">
        <is>
          <t>2024251260037</t>
        </is>
      </c>
      <c r="J143" s="99">
        <v>275265307.69</v>
      </c>
      <c r="K143" s="99">
        <v>22000000.25</v>
      </c>
      <c r="L143" s="99">
        <v>200932171.34</v>
      </c>
      <c r="M143" s="99">
        <v>25779870</v>
      </c>
      <c r="N143" s="99">
        <v>26553266.1</v>
      </c>
      <c r="O143" s="99">
        <v>42125942</v>
      </c>
      <c r="P143" s="99">
        <v>42125942</v>
      </c>
      <c r="Q143" s="99">
        <v>25600602</v>
      </c>
      <c r="R143" s="100">
        <v>1.91481552369528</v>
      </c>
      <c r="S143" t="inlineStr">
        <is>
          <t>Hubo ejecución por encima de lo programado en SisPT</t>
        </is>
      </c>
      <c r="T143" s="101">
        <v>30537000</v>
      </c>
      <c r="U143" s="101">
        <v>18369000</v>
      </c>
      <c r="V143" s="101">
        <v>18369000</v>
      </c>
      <c r="W143" s="102">
        <v>0.0914189095628573</v>
      </c>
      <c r="X143" t="inlineStr">
        <is>
          <t>Lo obligado está por debajo de lo programado en la vigencia</t>
        </is>
      </c>
    </row>
    <row r="144">
      <c r="A144" t="inlineStr">
        <is>
          <t>IP-183</t>
        </is>
      </c>
      <c r="B144" t="inlineStr">
        <is>
          <t>19</t>
        </is>
      </c>
      <c r="C144" t="inlineStr">
        <is>
          <t>Salud y protección social</t>
        </is>
      </c>
      <c r="D144" t="inlineStr">
        <is>
          <t>1903</t>
        </is>
      </c>
      <c r="E144" t="inlineStr">
        <is>
          <t>Inspección, vigilancia y control</t>
        </is>
      </c>
      <c r="F144" t="inlineStr">
        <is>
          <t>1903040</t>
        </is>
      </c>
      <c r="G144" t="inlineStr">
        <is>
          <t>Servicio de vigilancia de calidad del agua para consumo humano, recolección, transporte y disposición final de residuos sólidos; manejo y disposición final de radiaciones ionizantes, excretas, residuos líquidos y aguas servidas y calidad del aire.</t>
        </is>
      </c>
      <c r="H144" t="inlineStr">
        <is>
          <t>El servicio de vigilancia de calidad  permite a las entidades contar con vigilancia de calidad del agua para consumo humano, incluye también la vigilancia de calidad de los temas de recolección, transporte y disposición final de residuos sólidos; manejo y disposición final de radiaciones ionizantes, excretas, residuos líquidos y aguas servidas y calidad del aire.</t>
        </is>
      </c>
      <c r="I144" t="inlineStr">
        <is>
          <t>2024251260038</t>
        </is>
      </c>
      <c r="J144" s="99">
        <v>284604315.6</v>
      </c>
      <c r="K144" s="99">
        <v>82800000</v>
      </c>
      <c r="L144" s="99">
        <v>23484000</v>
      </c>
      <c r="M144" s="99">
        <v>87842520</v>
      </c>
      <c r="N144" s="99">
        <v>90477795.6</v>
      </c>
      <c r="O144" s="99">
        <v>25402493</v>
      </c>
      <c r="P144" s="99">
        <v>25402493</v>
      </c>
      <c r="Q144" s="99">
        <v>25402493</v>
      </c>
      <c r="R144" s="100">
        <v>0.306793393719807</v>
      </c>
      <c r="S144" t="inlineStr">
        <is>
          <t>Lo obligado está por debajo de lo programado en la vigencia</t>
        </is>
      </c>
      <c r="T144" s="101">
        <v>70268763</v>
      </c>
      <c r="U144" s="101">
        <v>46023475</v>
      </c>
      <c r="V144" s="101">
        <v>46023475</v>
      </c>
      <c r="W144" s="102">
        <v>1.95978006302163</v>
      </c>
      <c r="X144" t="inlineStr">
        <is>
          <t>Hubo ejecución por encima de lo programado en SisPT</t>
        </is>
      </c>
    </row>
    <row r="145">
      <c r="A145" t="inlineStr">
        <is>
          <t>IP-184</t>
        </is>
      </c>
      <c r="B145" t="inlineStr">
        <is>
          <t>19</t>
        </is>
      </c>
      <c r="C145" t="inlineStr">
        <is>
          <t>Salud y protección social</t>
        </is>
      </c>
      <c r="D145" t="inlineStr">
        <is>
          <t>1903</t>
        </is>
      </c>
      <c r="E145" t="inlineStr">
        <is>
          <t>Inspección, vigilancia y control</t>
        </is>
      </c>
      <c r="F145" t="inlineStr">
        <is>
          <t>1903020</t>
        </is>
      </c>
      <c r="G145" t="inlineStr">
        <is>
          <t>Servicio de diseño de metodologías, instrumentos y estrategias de inspección, vigilancia y control</t>
        </is>
      </c>
      <c r="H145" t="inlineStr">
        <is>
          <t xml:space="preserve">este servicio permite definir el diseño de metodologías, instrumentos y estrategias  de Inspección Vigilancia y Control </t>
        </is>
      </c>
      <c r="I145" t="inlineStr">
        <is>
          <t>2024251260038</t>
        </is>
      </c>
      <c r="J145" s="99">
        <v>751294979.3798</v>
      </c>
      <c r="K145" s="99">
        <v>28885229.2</v>
      </c>
      <c r="L145" s="99">
        <v>256936056.64</v>
      </c>
      <c r="M145" s="99">
        <v>229297385.9802</v>
      </c>
      <c r="N145" s="99">
        <v>236176307.5596</v>
      </c>
      <c r="O145" s="99">
        <v>28873942</v>
      </c>
      <c r="P145" s="99">
        <v>28873942</v>
      </c>
      <c r="Q145" s="99">
        <v>28873942</v>
      </c>
      <c r="R145" s="100">
        <v>0.999609239728657</v>
      </c>
      <c r="S145" t="inlineStr">
        <is>
          <t>Lo obligado está por debajo de lo programado en la vigencia</t>
        </is>
      </c>
      <c r="T145" s="101">
        <v>218114216</v>
      </c>
      <c r="U145" s="101">
        <v>137543835</v>
      </c>
      <c r="V145" s="101">
        <v>137543835</v>
      </c>
      <c r="W145" s="102">
        <v>0.53532321153631</v>
      </c>
      <c r="X145" t="inlineStr">
        <is>
          <t>Lo obligado está por debajo de lo programado en la vigencia</t>
        </is>
      </c>
    </row>
    <row r="146">
      <c r="A146" t="inlineStr">
        <is>
          <t>IP-185</t>
        </is>
      </c>
      <c r="B146" t="inlineStr">
        <is>
          <t>19</t>
        </is>
      </c>
      <c r="C146" t="inlineStr">
        <is>
          <t>Salud y protección social</t>
        </is>
      </c>
      <c r="D146" t="inlineStr">
        <is>
          <t>1903</t>
        </is>
      </c>
      <c r="E146" t="inlineStr">
        <is>
          <t>Inspección, vigilancia y control</t>
        </is>
      </c>
      <c r="F146" t="inlineStr">
        <is>
          <t>1903034</t>
        </is>
      </c>
      <c r="G146" t="inlineStr">
        <is>
          <t>Servicio deasistencia técnica</t>
        </is>
      </c>
      <c r="H146" t="inlineStr">
        <is>
          <t xml:space="preserve"> Este servicio Asistencias técnicas en técnicas de análisis </t>
        </is>
      </c>
      <c r="I146" t="inlineStr">
        <is>
          <t>2024251260038</t>
        </is>
      </c>
      <c r="J146" s="99">
        <v>365858181.15</v>
      </c>
      <c r="K146" s="99">
        <v>87450000</v>
      </c>
      <c r="L146" s="99">
        <v>90073500</v>
      </c>
      <c r="M146" s="99">
        <v>92775705</v>
      </c>
      <c r="N146" s="99">
        <v>95558976.15</v>
      </c>
      <c r="O146" s="99">
        <v>47041576</v>
      </c>
      <c r="P146" s="99">
        <v>47041576</v>
      </c>
      <c r="Q146" s="99">
        <v>47041576</v>
      </c>
      <c r="R146" s="100">
        <v>0.537925397369926</v>
      </c>
      <c r="S146" t="inlineStr">
        <is>
          <t>Lo obligado está por debajo de lo programado en la vigencia</t>
        </is>
      </c>
      <c r="T146" s="101">
        <v>93941222</v>
      </c>
      <c r="U146" s="101">
        <v>61232399</v>
      </c>
      <c r="V146" s="101">
        <v>61232399</v>
      </c>
      <c r="W146" s="102">
        <v>0.679804814956674</v>
      </c>
      <c r="X146" t="inlineStr">
        <is>
          <t>Lo obligado está por debajo de lo programado en la vigencia</t>
        </is>
      </c>
    </row>
    <row r="147">
      <c r="A147" t="inlineStr">
        <is>
          <t>IP-186</t>
        </is>
      </c>
      <c r="B147" t="inlineStr">
        <is>
          <t>19</t>
        </is>
      </c>
      <c r="C147" t="inlineStr">
        <is>
          <t>Salud y protección social</t>
        </is>
      </c>
      <c r="D147" t="inlineStr">
        <is>
          <t>1903</t>
        </is>
      </c>
      <c r="E147" t="inlineStr">
        <is>
          <t>Inspección, vigilancia y control</t>
        </is>
      </c>
      <c r="F147" t="inlineStr">
        <is>
          <t>1903016</t>
        </is>
      </c>
      <c r="G147" t="inlineStr">
        <is>
          <t>Servicio de auditoría y visitas inspectivas</t>
        </is>
      </c>
      <c r="H147" t="inlineStr">
        <is>
          <t>el servicio de auditoría y visitas inspectivas realizada para verificar el cumplimiento de los estándares y normatividad vigente.</t>
        </is>
      </c>
      <c r="I147" t="inlineStr">
        <is>
          <t>2024251260038</t>
        </is>
      </c>
      <c r="J147" s="99">
        <v>183661225.3</v>
      </c>
      <c r="K147" s="99">
        <v>43900000</v>
      </c>
      <c r="L147" s="99">
        <v>45217000</v>
      </c>
      <c r="M147" s="99">
        <v>46573510</v>
      </c>
      <c r="N147" s="99">
        <v>47970715.3</v>
      </c>
      <c r="O147" s="99">
        <v>37203940</v>
      </c>
      <c r="P147" s="99">
        <v>37203940</v>
      </c>
      <c r="Q147" s="99">
        <v>37203940</v>
      </c>
      <c r="R147" s="100">
        <v>0.847470159453303</v>
      </c>
      <c r="S147" t="inlineStr">
        <is>
          <t>Lo obligado está por debajo de lo programado en la vigencia</t>
        </is>
      </c>
      <c r="T147" s="101">
        <v>86360149</v>
      </c>
      <c r="U147" s="101">
        <v>49442567</v>
      </c>
      <c r="V147" s="101">
        <v>49442567</v>
      </c>
      <c r="W147" s="102">
        <v>1.09345084813234</v>
      </c>
      <c r="X147" t="inlineStr">
        <is>
          <t>Hubo ejecución por encima de lo programado en SisPT</t>
        </is>
      </c>
    </row>
    <row r="148">
      <c r="A148" t="inlineStr">
        <is>
          <t>IP-188</t>
        </is>
      </c>
      <c r="B148" t="inlineStr">
        <is>
          <t>33</t>
        </is>
      </c>
      <c r="C148" t="inlineStr">
        <is>
          <t>Cultura</t>
        </is>
      </c>
      <c r="D148" t="inlineStr">
        <is>
          <t>3301</t>
        </is>
      </c>
      <c r="E148" t="inlineStr">
        <is>
          <t>Promoción y acceso efectivo a procesos culturales y artísticos</t>
        </is>
      </c>
      <c r="F148" t="inlineStr">
        <is>
          <t>3301070</t>
        </is>
      </c>
      <c r="G148" t="inlineStr">
        <is>
          <t>Documentos de lineamientos técnicos</t>
        </is>
      </c>
      <c r="H148" t="inlineStr">
        <is>
          <t>Corresponde a los lineamientos técnicos para la creación, dotación, organización, administración, funcionamiento, gestión y prestación de servicios en el sector cultural y artístico</t>
        </is>
      </c>
      <c r="I148" t="inlineStr">
        <is>
          <t>2024251260039</t>
        </is>
      </c>
      <c r="J148" s="99">
        <v>21536270</v>
      </c>
      <c r="K148" s="99">
        <v>0</v>
      </c>
      <c r="L148" s="99">
        <v>0</v>
      </c>
      <c r="M148" s="99">
        <v>10609000</v>
      </c>
      <c r="N148" s="99">
        <v>10927270</v>
      </c>
      <c r="O148" s="99" t="inlineStr">
        <is>
          <t xml:space="preserve"> </t>
        </is>
      </c>
      <c r="P148" s="99" t="inlineStr">
        <is>
          <t xml:space="preserve"> </t>
        </is>
      </c>
      <c r="Q148" s="99" t="inlineStr">
        <is>
          <t xml:space="preserve"> </t>
        </is>
      </c>
      <c r="R148" s="100" t="inlineStr">
        <is>
          <t xml:space="preserve"> </t>
        </is>
      </c>
      <c r="S148" t="inlineStr">
        <is>
          <t>No se encontró ejecución en CUIPO</t>
        </is>
      </c>
      <c r="T148" s="101" t="inlineStr">
        <is>
          <t xml:space="preserve"> </t>
        </is>
      </c>
      <c r="U148" s="101" t="inlineStr">
        <is>
          <t xml:space="preserve"> </t>
        </is>
      </c>
      <c r="V148" s="101" t="inlineStr">
        <is>
          <t xml:space="preserve"> </t>
        </is>
      </c>
      <c r="W148" s="102" t="inlineStr">
        <is>
          <t xml:space="preserve"> </t>
        </is>
      </c>
      <c r="X148" t="inlineStr">
        <is>
          <t>No se encontró ejecución en CUIPO</t>
        </is>
      </c>
    </row>
    <row r="149">
      <c r="A149" t="inlineStr">
        <is>
          <t>IP-189</t>
        </is>
      </c>
      <c r="B149" t="inlineStr">
        <is>
          <t>33</t>
        </is>
      </c>
      <c r="C149" t="inlineStr">
        <is>
          <t>Cultura</t>
        </is>
      </c>
      <c r="D149" t="inlineStr">
        <is>
          <t>3301</t>
        </is>
      </c>
      <c r="E149" t="inlineStr">
        <is>
          <t>Promoción y acceso efectivo a procesos culturales y artísticos</t>
        </is>
      </c>
      <c r="F149" t="inlineStr">
        <is>
          <t>3301126</t>
        </is>
      </c>
      <c r="G149" t="inlineStr">
        <is>
          <t>Servicio de apoyo al proceso de formación artística y cultural</t>
        </is>
      </c>
      <c r="H149" t="inlineStr">
        <is>
          <t xml:space="preserve">Este servicio está orientado apoyar el proceso de formación artística y cultural a través del equipamiento de instrumentos y elementos propios de cada área (música, teatro, danzas y/o artes plásticas y visuales). </t>
        </is>
      </c>
      <c r="I149" t="inlineStr">
        <is>
          <t>2024251260039</t>
        </is>
      </c>
      <c r="J149" s="99">
        <v>10205708057.6349</v>
      </c>
      <c r="K149" s="99">
        <v>1109650498</v>
      </c>
      <c r="L149" s="99">
        <v>2797578748.3</v>
      </c>
      <c r="M149" s="99">
        <v>3102698921.8399</v>
      </c>
      <c r="N149" s="99">
        <v>3195779889.495</v>
      </c>
      <c r="O149" s="99">
        <v>800000000</v>
      </c>
      <c r="P149" s="99">
        <v>800000000</v>
      </c>
      <c r="Q149" s="99">
        <v>800000000</v>
      </c>
      <c r="R149" s="100">
        <v>0.720947723127143</v>
      </c>
      <c r="S149" t="inlineStr">
        <is>
          <t>Lo obligado está por debajo de lo programado en la vigencia</t>
        </is>
      </c>
      <c r="T149" s="101">
        <v>1774620139</v>
      </c>
      <c r="U149" s="101">
        <v>1774620139</v>
      </c>
      <c r="V149" s="101">
        <v>1774620139</v>
      </c>
      <c r="W149" s="102">
        <v>0.634341442605818</v>
      </c>
      <c r="X149" t="inlineStr">
        <is>
          <t>Lo obligado está por debajo de lo programado en la vigencia</t>
        </is>
      </c>
    </row>
    <row r="150">
      <c r="A150" t="inlineStr">
        <is>
          <t>IP-190</t>
        </is>
      </c>
      <c r="B150" t="inlineStr">
        <is>
          <t>33</t>
        </is>
      </c>
      <c r="C150" t="inlineStr">
        <is>
          <t>Cultura</t>
        </is>
      </c>
      <c r="D150" t="inlineStr">
        <is>
          <t>3301</t>
        </is>
      </c>
      <c r="E150" t="inlineStr">
        <is>
          <t>Promoción y acceso efectivo a procesos culturales y artísticos</t>
        </is>
      </c>
      <c r="F150" t="inlineStr">
        <is>
          <t>3301073</t>
        </is>
      </c>
      <c r="G150" t="inlineStr">
        <is>
          <t>Servicio de circulación artística y cultural</t>
        </is>
      </c>
      <c r="H150" t="inlineStr">
        <is>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is>
      </c>
      <c r="I150" t="inlineStr">
        <is>
          <t>2024251260039</t>
        </is>
      </c>
      <c r="J150" s="99">
        <v>2318428638</v>
      </c>
      <c r="K150" s="99">
        <v>341615138</v>
      </c>
      <c r="L150" s="99">
        <v>900000000</v>
      </c>
      <c r="M150" s="99">
        <v>530450000</v>
      </c>
      <c r="N150" s="99">
        <v>546363500</v>
      </c>
      <c r="O150" s="99">
        <v>341615138</v>
      </c>
      <c r="P150" s="99">
        <v>341615138</v>
      </c>
      <c r="Q150" s="99">
        <v>341615138</v>
      </c>
      <c r="R150" s="100">
        <v>1</v>
      </c>
      <c r="S150" t="inlineStr">
        <is>
          <t>Se ejecutó el 100% de lo programado en la vigencia</t>
        </is>
      </c>
      <c r="T150" s="101">
        <v>900000000</v>
      </c>
      <c r="U150" s="101">
        <v>900000000</v>
      </c>
      <c r="V150" s="101">
        <v>900000000</v>
      </c>
      <c r="W150" s="102">
        <v>1</v>
      </c>
      <c r="X150" t="inlineStr">
        <is>
          <t>Se ejecutó el 100% de lo programado en la vigencia</t>
        </is>
      </c>
    </row>
    <row r="151">
      <c r="A151" t="inlineStr">
        <is>
          <t>IP-191, IP-196</t>
        </is>
      </c>
      <c r="B151" t="inlineStr">
        <is>
          <t>33</t>
        </is>
      </c>
      <c r="C151" t="inlineStr">
        <is>
          <t>Cultura</t>
        </is>
      </c>
      <c r="D151" t="inlineStr">
        <is>
          <t>3301</t>
        </is>
      </c>
      <c r="E151" t="inlineStr">
        <is>
          <t>Promoción y acceso efectivo a procesos culturales y artísticos</t>
        </is>
      </c>
      <c r="F151" t="inlineStr">
        <is>
          <t>3301053</t>
        </is>
      </c>
      <c r="G151" t="inlineStr">
        <is>
          <t>Servicio de promoción de actividades culturales</t>
        </is>
      </c>
      <c r="H151" t="inlineStr">
        <is>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is>
      </c>
      <c r="I151" t="inlineStr">
        <is>
          <t>2024251260039</t>
        </is>
      </c>
      <c r="J151" s="99">
        <v>6047696388.48</v>
      </c>
      <c r="K151" s="99">
        <v>1036703849.2</v>
      </c>
      <c r="L151" s="99">
        <v>3460381099.28</v>
      </c>
      <c r="M151" s="99">
        <v>763848000</v>
      </c>
      <c r="N151" s="99">
        <v>786763440</v>
      </c>
      <c r="O151" s="99">
        <v>1036703849</v>
      </c>
      <c r="P151" s="99">
        <v>1036703849</v>
      </c>
      <c r="Q151" s="99">
        <v>1036703849</v>
      </c>
      <c r="R151" s="100">
        <v>0.999999999807081</v>
      </c>
      <c r="S151" t="inlineStr">
        <is>
          <t>Lo obligado está por debajo de lo programado en la vigencia</t>
        </is>
      </c>
      <c r="T151" s="101">
        <v>2972083523</v>
      </c>
      <c r="U151" s="101">
        <v>2972083523</v>
      </c>
      <c r="V151" s="101">
        <v>2972083523</v>
      </c>
      <c r="W151" s="102">
        <v>0.858889075431143</v>
      </c>
      <c r="X151" t="inlineStr">
        <is>
          <t>Lo obligado está por debajo de lo programado en la vigencia</t>
        </is>
      </c>
    </row>
    <row r="152">
      <c r="A152" t="inlineStr">
        <is>
          <t>IP-192</t>
        </is>
      </c>
      <c r="B152" t="inlineStr">
        <is>
          <t>33</t>
        </is>
      </c>
      <c r="C152" t="inlineStr">
        <is>
          <t>Cultura</t>
        </is>
      </c>
      <c r="D152" t="inlineStr">
        <is>
          <t>3301</t>
        </is>
      </c>
      <c r="E152" t="inlineStr">
        <is>
          <t>Promoción y acceso efectivo a procesos culturales y artísticos</t>
        </is>
      </c>
      <c r="F152" t="inlineStr">
        <is>
          <t>3301054</t>
        </is>
      </c>
      <c r="G152" t="inlineStr">
        <is>
          <t>Servicio de apoyo financiero al sector artístico y cultural</t>
        </is>
      </c>
      <c r="H152"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152" t="inlineStr">
        <is>
          <t>2024251260039</t>
        </is>
      </c>
      <c r="J152" s="99">
        <v>322362700</v>
      </c>
      <c r="K152" s="99">
        <v>47000000</v>
      </c>
      <c r="L152" s="99">
        <v>60000000</v>
      </c>
      <c r="M152" s="99">
        <v>106090000</v>
      </c>
      <c r="N152" s="99">
        <v>109272700</v>
      </c>
      <c r="O152" s="99">
        <v>47000000</v>
      </c>
      <c r="P152" s="99">
        <v>47000000</v>
      </c>
      <c r="Q152" s="99">
        <v>47000000</v>
      </c>
      <c r="R152" s="100">
        <v>1</v>
      </c>
      <c r="S152" t="inlineStr">
        <is>
          <t>Se ejecutó el 100% de lo programado en la vigencia</t>
        </is>
      </c>
      <c r="T152" s="101">
        <v>60000000</v>
      </c>
      <c r="U152" s="101">
        <v>60000000</v>
      </c>
      <c r="V152" s="101">
        <v>60000000</v>
      </c>
      <c r="W152" s="102">
        <v>1</v>
      </c>
      <c r="X152" t="inlineStr">
        <is>
          <t>Se ejecutó el 100% de lo programado en la vigencia</t>
        </is>
      </c>
    </row>
    <row r="153">
      <c r="A153" t="inlineStr">
        <is>
          <t>IP-193</t>
        </is>
      </c>
      <c r="B153" t="inlineStr">
        <is>
          <t>33</t>
        </is>
      </c>
      <c r="C153" t="inlineStr">
        <is>
          <t>Cultura</t>
        </is>
      </c>
      <c r="D153" t="inlineStr">
        <is>
          <t>3301</t>
        </is>
      </c>
      <c r="E153" t="inlineStr">
        <is>
          <t>Promoción y acceso efectivo a procesos culturales y artísticos</t>
        </is>
      </c>
      <c r="F153" t="inlineStr">
        <is>
          <t>3301128</t>
        </is>
      </c>
      <c r="G153" t="inlineStr">
        <is>
          <t>Servicio de apoyo financiero para creadores y gestores culturales</t>
        </is>
      </c>
      <c r="H153" t="inlineStr">
        <is>
          <t>Corresponde al beneficio económico periódico entregado a los creadores y gestores culturales, para garantizar una renta vitalicia a estos agentes.</t>
        </is>
      </c>
      <c r="I153" t="inlineStr">
        <is>
          <t>2024251260039</t>
        </is>
      </c>
      <c r="J153" s="99">
        <v>440562186.36</v>
      </c>
      <c r="K153" s="99">
        <v>100939962.2</v>
      </c>
      <c r="L153" s="99">
        <v>210404604.16</v>
      </c>
      <c r="M153" s="99">
        <v>63654000</v>
      </c>
      <c r="N153" s="99">
        <v>65563620</v>
      </c>
      <c r="O153" s="99">
        <v>100939962</v>
      </c>
      <c r="P153" s="99">
        <v>100939962</v>
      </c>
      <c r="Q153" s="99">
        <v>100939962</v>
      </c>
      <c r="R153" s="100">
        <v>0.999999998018624</v>
      </c>
      <c r="S153" t="inlineStr">
        <is>
          <t>Lo obligado está por debajo de lo programado en la vigencia</t>
        </is>
      </c>
      <c r="T153" s="101">
        <v>138099117</v>
      </c>
      <c r="U153" s="101">
        <v>138099117</v>
      </c>
      <c r="V153" s="101">
        <v>138099117</v>
      </c>
      <c r="W153" s="102">
        <v>0.656350261684312</v>
      </c>
      <c r="X153" t="inlineStr">
        <is>
          <t>Lo obligado está por debajo de lo programado en la vigencia</t>
        </is>
      </c>
    </row>
    <row r="154">
      <c r="A154" t="inlineStr">
        <is>
          <t>IP-194, IP-195</t>
        </is>
      </c>
      <c r="B154" t="inlineStr">
        <is>
          <t>33</t>
        </is>
      </c>
      <c r="C154" t="inlineStr">
        <is>
          <t>Cultura</t>
        </is>
      </c>
      <c r="D154" t="inlineStr">
        <is>
          <t>3301</t>
        </is>
      </c>
      <c r="E154" t="inlineStr">
        <is>
          <t>Promoción y acceso efectivo a procesos culturales y artísticos</t>
        </is>
      </c>
      <c r="F154" t="inlineStr">
        <is>
          <t>3301074</t>
        </is>
      </c>
      <c r="G154" t="inlineStr">
        <is>
          <t>Servicio de apoyo para la organización y la participación del sector artístico, cultural y la ciudadanía</t>
        </is>
      </c>
      <c r="H154" t="inlineStr">
        <is>
          <t>Generar los mecanismos para la participación de los agentes culturales, artísticos y la ciudadanía en las instancias de participación en cultura (Encuentros Sectoriales, Consejos de Áreas Artísticas y Consejos Nacionales de Cultura) para que hagan parte de los procesos de orientación, construcción y evaluación de políticas y organización sectorial.</t>
        </is>
      </c>
      <c r="I154" t="inlineStr">
        <is>
          <t>2024251260039</t>
        </is>
      </c>
      <c r="J154" s="99">
        <v>1220068740</v>
      </c>
      <c r="K154" s="99">
        <v>60000000</v>
      </c>
      <c r="L154" s="99">
        <v>1127764335</v>
      </c>
      <c r="M154" s="99">
        <v>15913500</v>
      </c>
      <c r="N154" s="99">
        <v>16390905</v>
      </c>
      <c r="O154" s="99">
        <v>60000000</v>
      </c>
      <c r="P154" s="99">
        <v>60000000</v>
      </c>
      <c r="Q154" s="99">
        <v>60000000</v>
      </c>
      <c r="R154" s="100">
        <v>1</v>
      </c>
      <c r="S154" t="inlineStr">
        <is>
          <t>Se ejecutó el 100% de lo programado en la vigencia</t>
        </is>
      </c>
      <c r="T154" s="101">
        <v>981849298</v>
      </c>
      <c r="U154" s="101">
        <v>981849298</v>
      </c>
      <c r="V154" s="101">
        <v>981849298</v>
      </c>
      <c r="W154" s="102">
        <v>0.870615666348413</v>
      </c>
      <c r="X154" t="inlineStr">
        <is>
          <t>Lo obligado está por debajo de lo programado en la vigencia</t>
        </is>
      </c>
    </row>
    <row r="155">
      <c r="A155" t="inlineStr">
        <is>
          <t>IP-197</t>
        </is>
      </c>
      <c r="B155" t="inlineStr">
        <is>
          <t>33</t>
        </is>
      </c>
      <c r="C155" t="inlineStr">
        <is>
          <t>Cultura</t>
        </is>
      </c>
      <c r="D155" t="inlineStr">
        <is>
          <t>3301</t>
        </is>
      </c>
      <c r="E155" t="inlineStr">
        <is>
          <t>Promoción y acceso efectivo a procesos culturales y artísticos</t>
        </is>
      </c>
      <c r="F155" t="inlineStr">
        <is>
          <t>3301068</t>
        </is>
      </c>
      <c r="G155" t="inlineStr">
        <is>
          <t>Servicio de mantenimiento de infraestructura cultural</t>
        </is>
      </c>
      <c r="H155" t="inlineStr">
        <is>
          <t>Ajuste o adaptación de una Infraestructura Cultural en la cual ya se estén desarrollando prácticas culturales, se busca garantizar la permanencia del inmueble original con las especificaciones requeridas. Este proceso puede o no tener reforzamiento estructural.</t>
        </is>
      </c>
      <c r="I155" t="inlineStr">
        <is>
          <t>2024251260040</t>
        </is>
      </c>
      <c r="J155" s="99">
        <v>2999841932</v>
      </c>
      <c r="K155" s="99">
        <v>1000000000</v>
      </c>
      <c r="L155" s="99">
        <v>1999841932</v>
      </c>
      <c r="M155" s="99">
        <v>0</v>
      </c>
      <c r="N155" s="99">
        <v>0</v>
      </c>
      <c r="O155" s="99">
        <v>1000000000</v>
      </c>
      <c r="P155" s="99">
        <v>1000000000</v>
      </c>
      <c r="Q155" s="99">
        <v>1000000000</v>
      </c>
      <c r="R155" s="100">
        <v>1</v>
      </c>
      <c r="S155" t="inlineStr">
        <is>
          <t>Se ejecutó el 100% de lo programado en la vigencia</t>
        </is>
      </c>
      <c r="T155" s="101" t="inlineStr">
        <is>
          <t xml:space="preserve"> </t>
        </is>
      </c>
      <c r="U155" s="101" t="inlineStr">
        <is>
          <t xml:space="preserve"> </t>
        </is>
      </c>
      <c r="V155" s="101" t="inlineStr">
        <is>
          <t xml:space="preserve"> </t>
        </is>
      </c>
      <c r="W155" s="102" t="inlineStr">
        <is>
          <t xml:space="preserve"> </t>
        </is>
      </c>
      <c r="X155" t="inlineStr">
        <is>
          <t>No se encontró ejecución en CUIPO</t>
        </is>
      </c>
    </row>
    <row r="156">
      <c r="A156" t="inlineStr">
        <is>
          <t>IP-198</t>
        </is>
      </c>
      <c r="B156" t="inlineStr">
        <is>
          <t>33</t>
        </is>
      </c>
      <c r="C156" t="inlineStr">
        <is>
          <t>Cultura</t>
        </is>
      </c>
      <c r="D156" t="inlineStr">
        <is>
          <t>3301</t>
        </is>
      </c>
      <c r="E156" t="inlineStr">
        <is>
          <t>Promoción y acceso efectivo a procesos culturales y artísticos</t>
        </is>
      </c>
      <c r="F156" t="inlineStr">
        <is>
          <t>3301078</t>
        </is>
      </c>
      <c r="G156" t="inlineStr">
        <is>
          <t>Casas de la cultura construidas y dotadas</t>
        </is>
      </c>
      <c r="H156" t="inlineStr">
        <is>
          <t xml:space="preserve">Son todas aquellas infraestructuras culturales que se construyan en un predio o terreno donde no existen elementos o construcciones previstas. 
</t>
        </is>
      </c>
      <c r="I156" t="inlineStr">
        <is>
          <t>2024251260040</t>
        </is>
      </c>
      <c r="J156" s="99">
        <v>256823301.5</v>
      </c>
      <c r="K156" s="99">
        <v>67580153</v>
      </c>
      <c r="L156" s="99">
        <v>189243148.5</v>
      </c>
      <c r="M156" s="99">
        <v>0</v>
      </c>
      <c r="N156" s="99">
        <v>0</v>
      </c>
      <c r="O156" s="99" t="inlineStr">
        <is>
          <t xml:space="preserve"> </t>
        </is>
      </c>
      <c r="P156" s="99" t="inlineStr">
        <is>
          <t xml:space="preserve"> </t>
        </is>
      </c>
      <c r="Q156" s="99" t="inlineStr">
        <is>
          <t xml:space="preserve"> </t>
        </is>
      </c>
      <c r="R156" s="100" t="inlineStr">
        <is>
          <t xml:space="preserve"> </t>
        </is>
      </c>
      <c r="S156" t="inlineStr">
        <is>
          <t>No se encontró ejecución en CUIPO</t>
        </is>
      </c>
      <c r="T156" s="101">
        <v>54459</v>
      </c>
      <c r="U156" s="101">
        <v>54459</v>
      </c>
      <c r="V156" s="101">
        <v>54459</v>
      </c>
      <c r="W156" s="102">
        <v>0.000287772637644527</v>
      </c>
      <c r="X156" t="inlineStr">
        <is>
          <t>Lo obligado está por debajo de lo programado en la vigencia</t>
        </is>
      </c>
    </row>
    <row r="157">
      <c r="A157" t="inlineStr">
        <is>
          <t>IP-199</t>
        </is>
      </c>
      <c r="B157" t="inlineStr">
        <is>
          <t>33</t>
        </is>
      </c>
      <c r="C157" t="inlineStr">
        <is>
          <t>Cultura</t>
        </is>
      </c>
      <c r="D157" t="inlineStr">
        <is>
          <t>3302</t>
        </is>
      </c>
      <c r="E157" t="inlineStr">
        <is>
          <t>Gestión, protección y salvaguardia del patrimonio cultural colombiano</t>
        </is>
      </c>
      <c r="F157" t="inlineStr">
        <is>
          <t>3302049</t>
        </is>
      </c>
      <c r="G157" t="inlineStr">
        <is>
          <t>Servicio de salvaguardia al patrimonio inmaterial</t>
        </is>
      </c>
      <c r="H157" t="inlineStr">
        <is>
          <t>Hace referencia a las estrategias orientadas a promover medidas efectivas para garantizar la viabilidad del patrimonio cultural inmaterial, comprendidas la identificación, documentación, investigación, recuperación, preservación, protección, promoción, valoración, transmisión y revitalización integral del mismo</t>
        </is>
      </c>
      <c r="I157" t="inlineStr">
        <is>
          <t>2024251260041</t>
        </is>
      </c>
      <c r="J157" s="99">
        <v>120181350</v>
      </c>
      <c r="K157" s="99">
        <v>12500000</v>
      </c>
      <c r="L157" s="99">
        <v>0</v>
      </c>
      <c r="M157" s="99">
        <v>53045000</v>
      </c>
      <c r="N157" s="99">
        <v>54636350</v>
      </c>
      <c r="O157" s="99" t="inlineStr">
        <is>
          <t xml:space="preserve"> </t>
        </is>
      </c>
      <c r="P157" s="99" t="inlineStr">
        <is>
          <t xml:space="preserve"> </t>
        </is>
      </c>
      <c r="Q157" s="99" t="inlineStr">
        <is>
          <t xml:space="preserve"> </t>
        </is>
      </c>
      <c r="R157" s="100" t="inlineStr">
        <is>
          <t xml:space="preserve"> </t>
        </is>
      </c>
      <c r="S157" t="inlineStr">
        <is>
          <t>No se encontró ejecución en CUIPO</t>
        </is>
      </c>
      <c r="T157" s="101" t="inlineStr">
        <is>
          <t xml:space="preserve"> </t>
        </is>
      </c>
      <c r="U157" s="101" t="inlineStr">
        <is>
          <t xml:space="preserve"> </t>
        </is>
      </c>
      <c r="V157" s="101" t="inlineStr">
        <is>
          <t xml:space="preserve"> </t>
        </is>
      </c>
      <c r="W157" s="102" t="inlineStr">
        <is>
          <t xml:space="preserve"> </t>
        </is>
      </c>
      <c r="X157" t="inlineStr">
        <is>
          <t>No se encontró ejecución en CUIPO</t>
        </is>
      </c>
    </row>
    <row r="158">
      <c r="A158" t="inlineStr">
        <is>
          <t>IP-200</t>
        </is>
      </c>
      <c r="B158" t="inlineStr">
        <is>
          <t>33</t>
        </is>
      </c>
      <c r="C158" t="inlineStr">
        <is>
          <t>Cultura</t>
        </is>
      </c>
      <c r="D158" t="inlineStr">
        <is>
          <t>3301</t>
        </is>
      </c>
      <c r="E158" t="inlineStr">
        <is>
          <t>Promoción y acceso efectivo a procesos culturales y artísticos</t>
        </is>
      </c>
      <c r="F158" t="inlineStr">
        <is>
          <t>3301085</t>
        </is>
      </c>
      <c r="G158" t="inlineStr">
        <is>
          <t>Servicios bibliotecarios</t>
        </is>
      </c>
      <c r="H158" t="inlineStr">
        <is>
          <t>Conjunto de actividades desarrolladas en una biblioteca, con el fin de facilitar y promover la disponibilidad y el acceso a la información y a la cultura con estándares de calidad, pertinencia y oportunidad.   </t>
        </is>
      </c>
      <c r="I158" t="inlineStr">
        <is>
          <t>2024251260039</t>
        </is>
      </c>
      <c r="J158" s="99">
        <v>469571227.36</v>
      </c>
      <c r="K158" s="99">
        <v>104702275.2</v>
      </c>
      <c r="L158" s="99">
        <v>235651332.16</v>
      </c>
      <c r="M158" s="99">
        <v>63654000</v>
      </c>
      <c r="N158" s="99">
        <v>65563620</v>
      </c>
      <c r="O158" s="99">
        <v>104702275</v>
      </c>
      <c r="P158" s="99">
        <v>104702275</v>
      </c>
      <c r="Q158" s="99">
        <v>104702275</v>
      </c>
      <c r="R158" s="100">
        <v>0.999999998089822</v>
      </c>
      <c r="S158" t="inlineStr">
        <is>
          <t>Lo obligado está por debajo de lo programado en la vigencia</t>
        </is>
      </c>
      <c r="T158" s="101">
        <v>182049414</v>
      </c>
      <c r="U158" s="101">
        <v>182049414</v>
      </c>
      <c r="V158" s="101">
        <v>182049414</v>
      </c>
      <c r="W158" s="102">
        <v>0.772537173167322</v>
      </c>
      <c r="X158" t="inlineStr">
        <is>
          <t>Lo obligado está por debajo de lo programado en la vigencia</t>
        </is>
      </c>
    </row>
    <row r="159">
      <c r="A159" t="inlineStr">
        <is>
          <t>IP-201</t>
        </is>
      </c>
      <c r="B159" t="inlineStr">
        <is>
          <t>33</t>
        </is>
      </c>
      <c r="C159" t="inlineStr">
        <is>
          <t>Cultura</t>
        </is>
      </c>
      <c r="D159" t="inlineStr">
        <is>
          <t>3301</t>
        </is>
      </c>
      <c r="E159" t="inlineStr">
        <is>
          <t>Promoción y acceso efectivo a procesos culturales y artísticos</t>
        </is>
      </c>
      <c r="F159" t="inlineStr">
        <is>
          <t>3301098</t>
        </is>
      </c>
      <c r="G159" t="inlineStr">
        <is>
          <t>Servicio de acceso a materiales de lectura</t>
        </is>
      </c>
      <c r="H159" t="inlineStr">
        <is>
          <t>Dotación de las bibliotecas públicas con actualizaciones, suscripciones a periódicos y revistas, publicaciones digitales, entre otros materiales de lectura adquiridos para el acceso del público.</t>
        </is>
      </c>
      <c r="I159" t="inlineStr">
        <is>
          <t>2024251260039</t>
        </is>
      </c>
      <c r="J159" s="99">
        <v>104608810</v>
      </c>
      <c r="K159" s="99">
        <v>0</v>
      </c>
      <c r="L159" s="99">
        <v>40000000</v>
      </c>
      <c r="M159" s="99">
        <v>31827000</v>
      </c>
      <c r="N159" s="99">
        <v>32781810</v>
      </c>
      <c r="O159" s="99" t="inlineStr">
        <is>
          <t xml:space="preserve"> </t>
        </is>
      </c>
      <c r="P159" s="99" t="inlineStr">
        <is>
          <t xml:space="preserve"> </t>
        </is>
      </c>
      <c r="Q159" s="99" t="inlineStr">
        <is>
          <t xml:space="preserve"> </t>
        </is>
      </c>
      <c r="R159" s="100" t="inlineStr">
        <is>
          <t xml:space="preserve"> </t>
        </is>
      </c>
      <c r="S159" t="inlineStr">
        <is>
          <t>No se encontró ejecución en CUIPO</t>
        </is>
      </c>
      <c r="T159" s="101" t="inlineStr">
        <is>
          <t xml:space="preserve"> </t>
        </is>
      </c>
      <c r="U159" s="101" t="inlineStr">
        <is>
          <t xml:space="preserve"> </t>
        </is>
      </c>
      <c r="V159" s="101" t="inlineStr">
        <is>
          <t xml:space="preserve"> </t>
        </is>
      </c>
      <c r="W159" s="102" t="inlineStr">
        <is>
          <t xml:space="preserve"> </t>
        </is>
      </c>
      <c r="X159" t="inlineStr">
        <is>
          <t>No se encontró ejecución en CUIPO</t>
        </is>
      </c>
    </row>
    <row r="160">
      <c r="A160" t="inlineStr">
        <is>
          <t>IP-202</t>
        </is>
      </c>
      <c r="B160" t="inlineStr">
        <is>
          <t>43</t>
        </is>
      </c>
      <c r="C160" t="inlineStr">
        <is>
          <t>Deporte y Recreación</t>
        </is>
      </c>
      <c r="D160" t="inlineStr">
        <is>
          <t>4301</t>
        </is>
      </c>
      <c r="E160" t="inlineStr">
        <is>
          <t>Fomento a la recreación, la actividad física y el deporte para desarrollar entornos de convivencia y paz</t>
        </is>
      </c>
      <c r="F160" t="inlineStr">
        <is>
          <t>4301006</t>
        </is>
      </c>
      <c r="G160" t="inlineStr">
        <is>
          <t>Documentos normativos</t>
        </is>
      </c>
      <c r="H160" t="inlineStr">
        <is>
          <t>Corresponde a la formulación o reformulación de políticas públicas o normatividad concerniente a la práctica de la actividad física, de la recreación y el deporte.</t>
        </is>
      </c>
      <c r="I160" t="inlineStr">
        <is>
          <t>2024251260042</t>
        </is>
      </c>
      <c r="J160" s="99">
        <v>21536270</v>
      </c>
      <c r="K160" s="99">
        <v>0</v>
      </c>
      <c r="L160" s="99">
        <v>0</v>
      </c>
      <c r="M160" s="99">
        <v>10609000</v>
      </c>
      <c r="N160" s="99">
        <v>10927270</v>
      </c>
      <c r="O160" s="99" t="inlineStr">
        <is>
          <t xml:space="preserve"> </t>
        </is>
      </c>
      <c r="P160" s="99" t="inlineStr">
        <is>
          <t xml:space="preserve"> </t>
        </is>
      </c>
      <c r="Q160" s="99" t="inlineStr">
        <is>
          <t xml:space="preserve"> </t>
        </is>
      </c>
      <c r="R160" s="100" t="inlineStr">
        <is>
          <t xml:space="preserve"> </t>
        </is>
      </c>
      <c r="S160" t="inlineStr">
        <is>
          <t>No se encontró ejecución en CUIPO</t>
        </is>
      </c>
      <c r="T160" s="101" t="inlineStr">
        <is>
          <t xml:space="preserve"> </t>
        </is>
      </c>
      <c r="U160" s="101" t="inlineStr">
        <is>
          <t xml:space="preserve"> </t>
        </is>
      </c>
      <c r="V160" s="101" t="inlineStr">
        <is>
          <t xml:space="preserve"> </t>
        </is>
      </c>
      <c r="W160" s="102" t="inlineStr">
        <is>
          <t xml:space="preserve"> </t>
        </is>
      </c>
      <c r="X160" t="inlineStr">
        <is>
          <t>No se encontró ejecución en CUIPO</t>
        </is>
      </c>
    </row>
    <row r="161">
      <c r="A161" t="inlineStr">
        <is>
          <t>IP-203</t>
        </is>
      </c>
      <c r="B161" t="inlineStr">
        <is>
          <t>43</t>
        </is>
      </c>
      <c r="C161" t="inlineStr">
        <is>
          <t>Deporte y Recreación</t>
        </is>
      </c>
      <c r="D161" t="inlineStr">
        <is>
          <t>4301</t>
        </is>
      </c>
      <c r="E161" t="inlineStr">
        <is>
          <t>Fomento a la recreación, la actividad física y el deporte para desarrollar entornos de convivencia y paz</t>
        </is>
      </c>
      <c r="F161" t="inlineStr">
        <is>
          <t>4301007</t>
        </is>
      </c>
      <c r="G161" t="inlineStr">
        <is>
          <t>Servicio de Escuelas Deportivas</t>
        </is>
      </c>
      <c r="H161" t="inlineStr">
        <is>
          <t>Corresponde a los procesos de iniciación, fundamentación y perfeccionamiento deportivos a partir de  las clases donde se practica la actividad física, la recreación y/o el deporte.</t>
        </is>
      </c>
      <c r="I161" t="inlineStr">
        <is>
          <t>2024251260042</t>
        </is>
      </c>
      <c r="J161" s="99">
        <v>14091671414.6984</v>
      </c>
      <c r="K161" s="99">
        <v>3608327766</v>
      </c>
      <c r="L161" s="99">
        <v>3391679979.52</v>
      </c>
      <c r="M161" s="99">
        <v>3493430378.9056</v>
      </c>
      <c r="N161" s="99">
        <v>3598233290.2728</v>
      </c>
      <c r="O161" s="99">
        <v>385489163</v>
      </c>
      <c r="P161" s="99">
        <v>385489163</v>
      </c>
      <c r="Q161" s="99">
        <v>385489163</v>
      </c>
      <c r="R161" s="100">
        <v>0.106833189221979</v>
      </c>
      <c r="S161" t="inlineStr">
        <is>
          <t>Lo obligado está por debajo de lo programado en la vigencia</t>
        </is>
      </c>
      <c r="T161" s="101" t="inlineStr">
        <is>
          <t xml:space="preserve"> </t>
        </is>
      </c>
      <c r="U161" s="101" t="inlineStr">
        <is>
          <t xml:space="preserve"> </t>
        </is>
      </c>
      <c r="V161" s="101" t="inlineStr">
        <is>
          <t xml:space="preserve"> </t>
        </is>
      </c>
      <c r="W161" s="102" t="inlineStr">
        <is>
          <t xml:space="preserve"> </t>
        </is>
      </c>
      <c r="X161" t="inlineStr">
        <is>
          <t>No se encontró ejecución en CUIPO</t>
        </is>
      </c>
    </row>
    <row r="162">
      <c r="A162" t="inlineStr">
        <is>
          <t>IP-204</t>
        </is>
      </c>
      <c r="B162" t="inlineStr">
        <is>
          <t>43</t>
        </is>
      </c>
      <c r="C162" t="inlineStr">
        <is>
          <t>Deporte y Recreación</t>
        </is>
      </c>
      <c r="D162" t="inlineStr">
        <is>
          <t>4302</t>
        </is>
      </c>
      <c r="E162" t="inlineStr">
        <is>
          <t>Formación y preparación de deportistas</t>
        </is>
      </c>
      <c r="F162" t="inlineStr">
        <is>
          <t>4302006</t>
        </is>
      </c>
      <c r="G162" t="inlineStr">
        <is>
          <t>Documentos de planeación</t>
        </is>
      </c>
      <c r="H162" t="inlineStr">
        <is>
          <t>Documentos cuyo objetivo es plasmar una visión de futuro a nivel país, entidad territorial, comunidad, sector, región, entidad o cualquier nivel de desagregación que se requiera. Incluye objetivos, estrategias, metas e indicadores</t>
        </is>
      </c>
      <c r="I162" t="inlineStr">
        <is>
          <t>2024251260042</t>
        </is>
      </c>
      <c r="J162" s="99">
        <v>5270352400</v>
      </c>
      <c r="K162" s="99">
        <v>1450000000</v>
      </c>
      <c r="L162" s="99">
        <v>1236000000</v>
      </c>
      <c r="M162" s="99">
        <v>1273080000</v>
      </c>
      <c r="N162" s="99">
        <v>1311272400</v>
      </c>
      <c r="O162" s="99" t="inlineStr">
        <is>
          <t xml:space="preserve"> </t>
        </is>
      </c>
      <c r="P162" s="99" t="inlineStr">
        <is>
          <t xml:space="preserve"> </t>
        </is>
      </c>
      <c r="Q162" s="99" t="inlineStr">
        <is>
          <t xml:space="preserve"> </t>
        </is>
      </c>
      <c r="R162" s="100" t="inlineStr">
        <is>
          <t xml:space="preserve"> </t>
        </is>
      </c>
      <c r="S162" t="inlineStr">
        <is>
          <t>No se encontró ejecución en CUIPO</t>
        </is>
      </c>
      <c r="T162" s="101" t="inlineStr">
        <is>
          <t xml:space="preserve"> </t>
        </is>
      </c>
      <c r="U162" s="101" t="inlineStr">
        <is>
          <t xml:space="preserve"> </t>
        </is>
      </c>
      <c r="V162" s="101" t="inlineStr">
        <is>
          <t xml:space="preserve"> </t>
        </is>
      </c>
      <c r="W162" s="102" t="inlineStr">
        <is>
          <t xml:space="preserve"> </t>
        </is>
      </c>
      <c r="X162" t="inlineStr">
        <is>
          <t>No se encontró ejecución en CUIPO</t>
        </is>
      </c>
    </row>
    <row r="163">
      <c r="A163" t="inlineStr">
        <is>
          <t>IP-205, IP-206</t>
        </is>
      </c>
      <c r="B163" t="inlineStr">
        <is>
          <t>43</t>
        </is>
      </c>
      <c r="C163" t="inlineStr">
        <is>
          <t>Deporte y Recreación</t>
        </is>
      </c>
      <c r="D163" t="inlineStr">
        <is>
          <t>4301</t>
        </is>
      </c>
      <c r="E163" t="inlineStr">
        <is>
          <t>Fomento a la recreación, la actividad física y el deporte para desarrollar entornos de convivencia y paz</t>
        </is>
      </c>
      <c r="F163" t="inlineStr">
        <is>
          <t>4301001</t>
        </is>
      </c>
      <c r="G163" t="inlineStr">
        <is>
          <t>Servicio de apoyo a la actividad física, la recreación y el deporte</t>
        </is>
      </c>
      <c r="H163" t="inlineStr">
        <is>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is>
      </c>
      <c r="I163" t="inlineStr">
        <is>
          <t>2024251260042</t>
        </is>
      </c>
      <c r="J163" s="99">
        <v>1405504949</v>
      </c>
      <c r="K163" s="99">
        <v>209195000</v>
      </c>
      <c r="L163" s="99">
        <v>593294389</v>
      </c>
      <c r="M163" s="99">
        <v>297052000</v>
      </c>
      <c r="N163" s="99">
        <v>305963560</v>
      </c>
      <c r="O163" s="99">
        <v>1194581617</v>
      </c>
      <c r="P163" s="99">
        <v>1194581617</v>
      </c>
      <c r="Q163" s="99">
        <v>1194581617</v>
      </c>
      <c r="R163" s="100">
        <v>5.71037365615813</v>
      </c>
      <c r="S163" t="inlineStr">
        <is>
          <t>Hubo ejecución por encima de lo programado en SisPT</t>
        </is>
      </c>
      <c r="T163" s="101">
        <v>2296626548</v>
      </c>
      <c r="U163" s="101">
        <v>1810903339</v>
      </c>
      <c r="V163" s="101">
        <v>1810903339</v>
      </c>
      <c r="W163" s="102">
        <v>3.05228462054442</v>
      </c>
      <c r="X163" t="inlineStr">
        <is>
          <t>Hubo ejecución por encima de lo programado en SisPT</t>
        </is>
      </c>
    </row>
    <row r="164">
      <c r="A164" t="inlineStr">
        <is>
          <t>IP-207, IP-208</t>
        </is>
      </c>
      <c r="B164" t="inlineStr">
        <is>
          <t>43</t>
        </is>
      </c>
      <c r="C164" t="inlineStr">
        <is>
          <t>Deporte y Recreación</t>
        </is>
      </c>
      <c r="D164" t="inlineStr">
        <is>
          <t>4301</t>
        </is>
      </c>
      <c r="E164" t="inlineStr">
        <is>
          <t>Fomento a la recreación, la actividad física y el deporte para desarrollar entornos de convivencia y paz</t>
        </is>
      </c>
      <c r="F164" t="inlineStr">
        <is>
          <t>4301037</t>
        </is>
      </c>
      <c r="G164" t="inlineStr">
        <is>
          <t>Servicio de promoción de la actividad física, la recreación y el deporte</t>
        </is>
      </c>
      <c r="H164"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164" t="inlineStr">
        <is>
          <t>2024251260042</t>
        </is>
      </c>
      <c r="J164" s="99">
        <v>468362700</v>
      </c>
      <c r="K164" s="99">
        <v>150000000</v>
      </c>
      <c r="L164" s="99">
        <v>103000000</v>
      </c>
      <c r="M164" s="99">
        <v>106090000</v>
      </c>
      <c r="N164" s="99">
        <v>109272700</v>
      </c>
      <c r="O164" s="99" t="inlineStr">
        <is>
          <t xml:space="preserve"> </t>
        </is>
      </c>
      <c r="P164" s="99" t="inlineStr">
        <is>
          <t xml:space="preserve"> </t>
        </is>
      </c>
      <c r="Q164" s="99" t="inlineStr">
        <is>
          <t xml:space="preserve"> </t>
        </is>
      </c>
      <c r="R164" s="100" t="inlineStr">
        <is>
          <t xml:space="preserve"> </t>
        </is>
      </c>
      <c r="S164" t="inlineStr">
        <is>
          <t>No se encontró ejecución en CUIPO</t>
        </is>
      </c>
      <c r="T164" s="101">
        <v>493993337</v>
      </c>
      <c r="U164" s="101">
        <v>485793337</v>
      </c>
      <c r="V164" s="101">
        <v>485793337</v>
      </c>
      <c r="W164" s="102">
        <v>4.71644016504854</v>
      </c>
      <c r="X164" t="inlineStr">
        <is>
          <t>Hubo ejecución por encima de lo programado en SisPT</t>
        </is>
      </c>
    </row>
    <row r="165">
      <c r="A165" t="inlineStr">
        <is>
          <t>IP-209</t>
        </is>
      </c>
      <c r="B165" t="inlineStr">
        <is>
          <t>43</t>
        </is>
      </c>
      <c r="C165" t="inlineStr">
        <is>
          <t>Deporte y Recreación</t>
        </is>
      </c>
      <c r="D165" t="inlineStr">
        <is>
          <t>4301</t>
        </is>
      </c>
      <c r="E165" t="inlineStr">
        <is>
          <t>Fomento a la recreación, la actividad física y el deporte para desarrollar entornos de convivencia y paz</t>
        </is>
      </c>
      <c r="F165" t="inlineStr">
        <is>
          <t>4301004</t>
        </is>
      </c>
      <c r="G165" t="inlineStr">
        <is>
          <t>Servicio de mantenimiento a la infraestructura deportiva</t>
        </is>
      </c>
      <c r="H165" t="inlineStr">
        <is>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is>
      </c>
      <c r="I165" t="inlineStr">
        <is>
          <t>2024251260043</t>
        </is>
      </c>
      <c r="J165" s="99">
        <v>8705496157</v>
      </c>
      <c r="K165" s="99">
        <v>500000000</v>
      </c>
      <c r="L165" s="99">
        <v>7128682657</v>
      </c>
      <c r="M165" s="99">
        <v>530450000</v>
      </c>
      <c r="N165" s="99">
        <v>546363500</v>
      </c>
      <c r="O165" s="99">
        <v>500000000</v>
      </c>
      <c r="P165" s="99">
        <v>0</v>
      </c>
      <c r="Q165" s="99">
        <v>0</v>
      </c>
      <c r="R165" s="100">
        <v>0</v>
      </c>
      <c r="S165" t="inlineStr">
        <is>
          <t>No se ejecutó en la vigencia</t>
        </is>
      </c>
      <c r="T165" s="101">
        <v>575333352</v>
      </c>
      <c r="U165" s="101">
        <v>144640832</v>
      </c>
      <c r="V165" s="101">
        <v>135640832</v>
      </c>
      <c r="W165" s="102">
        <v>0.0202899804858013</v>
      </c>
      <c r="X165" t="inlineStr">
        <is>
          <t>Lo obligado está por debajo de lo programado en la vigencia</t>
        </is>
      </c>
    </row>
    <row r="166">
      <c r="A166" t="inlineStr">
        <is>
          <t>IP-210</t>
        </is>
      </c>
      <c r="B166" t="inlineStr">
        <is>
          <t>35</t>
        </is>
      </c>
      <c r="C166" t="inlineStr">
        <is>
          <t>Comercio, industria y turismo</t>
        </is>
      </c>
      <c r="D166" t="inlineStr">
        <is>
          <t>3502</t>
        </is>
      </c>
      <c r="E166" t="inlineStr">
        <is>
          <t>Productividad y competitividad de las empresas colombianas</t>
        </is>
      </c>
      <c r="F166" t="inlineStr">
        <is>
          <t>3502096</t>
        </is>
      </c>
      <c r="G166" t="inlineStr">
        <is>
          <t>Servicios de apoyo financiero para la gestión del uso eficiente de los recursos y aumento de la productividad</t>
        </is>
      </c>
      <c r="H166" t="inlineStr">
        <is>
          <t>Con este servicio se busca financiar y/o cofinanciar  proyectos para promover programas o proyectos de gestión  de recursos (agua y/o energía) en las empresas.</t>
        </is>
      </c>
      <c r="I166" t="inlineStr">
        <is>
          <t>2024251260044</t>
        </is>
      </c>
      <c r="J166" s="99">
        <v>268401350</v>
      </c>
      <c r="K166" s="99">
        <v>50000000</v>
      </c>
      <c r="L166" s="99">
        <v>110720000</v>
      </c>
      <c r="M166" s="99">
        <v>53045000</v>
      </c>
      <c r="N166" s="99">
        <v>54636350</v>
      </c>
      <c r="O166" s="99">
        <v>50000000</v>
      </c>
      <c r="P166" s="99">
        <v>50000000</v>
      </c>
      <c r="Q166" s="99">
        <v>50000000</v>
      </c>
      <c r="R166" s="100">
        <v>1</v>
      </c>
      <c r="S166" t="inlineStr">
        <is>
          <t>Se ejecutó el 100% de lo programado en la vigencia</t>
        </is>
      </c>
      <c r="T166" s="101" t="inlineStr">
        <is>
          <t xml:space="preserve"> </t>
        </is>
      </c>
      <c r="U166" s="101" t="inlineStr">
        <is>
          <t xml:space="preserve"> </t>
        </is>
      </c>
      <c r="V166" s="101" t="inlineStr">
        <is>
          <t xml:space="preserve"> </t>
        </is>
      </c>
      <c r="W166" s="102" t="inlineStr">
        <is>
          <t xml:space="preserve"> </t>
        </is>
      </c>
      <c r="X166" t="inlineStr">
        <is>
          <t>No se encontró ejecución en CUIPO</t>
        </is>
      </c>
    </row>
    <row r="167">
      <c r="A167" t="inlineStr">
        <is>
          <t>IP-211</t>
        </is>
      </c>
      <c r="B167" t="inlineStr">
        <is>
          <t>35</t>
        </is>
      </c>
      <c r="C167" t="inlineStr">
        <is>
          <t>Comercio, industria y turismo</t>
        </is>
      </c>
      <c r="D167" t="inlineStr">
        <is>
          <t>3502</t>
        </is>
      </c>
      <c r="E167" t="inlineStr">
        <is>
          <t>Productividad y competitividad de las empresas colombianas</t>
        </is>
      </c>
      <c r="F167" t="inlineStr">
        <is>
          <t>3502009</t>
        </is>
      </c>
      <c r="G167" t="inlineStr">
        <is>
          <t>Servicio de apoyo para la transferencia y/o implementación de metodologías de aumento de la productividad</t>
        </is>
      </c>
      <c r="H167" t="inlineStr">
        <is>
          <t>Corresponde a la asistencia técnica que se les ofrece a las unidades productivas con el fin de alcanzar mayores niveles de productividad, a través de intervenciones en ejes tales como gestión de la calidad, logística, sostenibilidad ambiental, productividad operacional, transformación digital, eficiencia energética, productividad laboral, desarrollo y sofisticación de productos, gestión comercial, entre otros. Cada intervención incluye un diagnóstico, un plan de acción y una medición final.</t>
        </is>
      </c>
      <c r="I167" t="inlineStr">
        <is>
          <t>2024251260044</t>
        </is>
      </c>
      <c r="J167" s="99">
        <v>0</v>
      </c>
      <c r="K167" s="99">
        <v>0</v>
      </c>
      <c r="L167" s="99">
        <v>0</v>
      </c>
      <c r="M167" s="99">
        <v>0</v>
      </c>
      <c r="N167" s="99">
        <v>0</v>
      </c>
      <c r="O167" s="99" t="inlineStr">
        <is>
          <t xml:space="preserve"> </t>
        </is>
      </c>
      <c r="P167" s="99" t="inlineStr">
        <is>
          <t xml:space="preserve"> </t>
        </is>
      </c>
      <c r="Q167" s="99" t="inlineStr">
        <is>
          <t xml:space="preserve"> </t>
        </is>
      </c>
      <c r="R167" s="100" t="inlineStr">
        <is>
          <t xml:space="preserve"> </t>
        </is>
      </c>
      <c r="S167" t="inlineStr">
        <is>
          <t>No se encontró ejecución en CUIPO</t>
        </is>
      </c>
      <c r="T167" s="101" t="inlineStr">
        <is>
          <t xml:space="preserve"> </t>
        </is>
      </c>
      <c r="U167" s="101" t="inlineStr">
        <is>
          <t xml:space="preserve"> </t>
        </is>
      </c>
      <c r="V167" s="101" t="inlineStr">
        <is>
          <t xml:space="preserve"> </t>
        </is>
      </c>
      <c r="W167" s="102" t="inlineStr">
        <is>
          <t xml:space="preserve"> </t>
        </is>
      </c>
      <c r="X167" t="inlineStr">
        <is>
          <t>No se encontró ejecución en CUIPO</t>
        </is>
      </c>
    </row>
    <row r="168">
      <c r="A168" t="inlineStr">
        <is>
          <t>IP-212, IP-218</t>
        </is>
      </c>
      <c r="B168" t="inlineStr">
        <is>
          <t>35</t>
        </is>
      </c>
      <c r="C168" t="inlineStr">
        <is>
          <t>Comercio, industria y turismo</t>
        </is>
      </c>
      <c r="D168" t="inlineStr">
        <is>
          <t>3502</t>
        </is>
      </c>
      <c r="E168" t="inlineStr">
        <is>
          <t>Productividad y competitividad de las empresas colombianas</t>
        </is>
      </c>
      <c r="F168" t="inlineStr">
        <is>
          <t>3502021</t>
        </is>
      </c>
      <c r="G168" t="inlineStr">
        <is>
          <t>Servicio de fortalecimiento y desarrollo de unidades productivas para la comercialización de productos agroindustriales</t>
        </is>
      </c>
      <c r="H168" t="inlineStr">
        <is>
          <t>Generación de encadenamientos productivos con procesos asociativos bajo el esquema de marca social jalonados por empresas ancla para impulsar la comercialización de la producción agrícola familiar</t>
        </is>
      </c>
      <c r="I168" t="inlineStr">
        <is>
          <t>2024251260044</t>
        </is>
      </c>
      <c r="J168" s="99">
        <v>43072540</v>
      </c>
      <c r="K168" s="99">
        <v>0</v>
      </c>
      <c r="L168" s="99">
        <v>0</v>
      </c>
      <c r="M168" s="99">
        <v>21218000</v>
      </c>
      <c r="N168" s="99">
        <v>21854540</v>
      </c>
      <c r="O168" s="99" t="inlineStr">
        <is>
          <t xml:space="preserve"> </t>
        </is>
      </c>
      <c r="P168" s="99" t="inlineStr">
        <is>
          <t xml:space="preserve"> </t>
        </is>
      </c>
      <c r="Q168" s="99" t="inlineStr">
        <is>
          <t xml:space="preserve"> </t>
        </is>
      </c>
      <c r="R168" s="100" t="inlineStr">
        <is>
          <t xml:space="preserve"> </t>
        </is>
      </c>
      <c r="S168" t="inlineStr">
        <is>
          <t>No se encontró ejecución en CUIPO</t>
        </is>
      </c>
      <c r="T168" s="101" t="inlineStr">
        <is>
          <t xml:space="preserve"> </t>
        </is>
      </c>
      <c r="U168" s="101" t="inlineStr">
        <is>
          <t xml:space="preserve"> </t>
        </is>
      </c>
      <c r="V168" s="101" t="inlineStr">
        <is>
          <t xml:space="preserve"> </t>
        </is>
      </c>
      <c r="W168" s="102" t="inlineStr">
        <is>
          <t xml:space="preserve"> </t>
        </is>
      </c>
      <c r="X168" t="inlineStr">
        <is>
          <t>No se encontró ejecución en CUIPO</t>
        </is>
      </c>
    </row>
    <row r="169">
      <c r="A169" t="inlineStr">
        <is>
          <t>IP-213</t>
        </is>
      </c>
      <c r="B169" t="inlineStr">
        <is>
          <t>35</t>
        </is>
      </c>
      <c r="C169" t="inlineStr">
        <is>
          <t>Comercio, industria y turismo</t>
        </is>
      </c>
      <c r="D169" t="inlineStr">
        <is>
          <t>3502</t>
        </is>
      </c>
      <c r="E169" t="inlineStr">
        <is>
          <t>Productividad y competitividad de las empresas colombianas</t>
        </is>
      </c>
      <c r="F169" t="inlineStr">
        <is>
          <t>3502039</t>
        </is>
      </c>
      <c r="G169" t="inlineStr">
        <is>
          <t>Servicio de asistencia técnica a los entes territoriales para el desarrollo turístico</t>
        </is>
      </c>
      <c r="H169" t="inlineStr">
        <is>
          <t>Asistencia y acompañamiento a los Entes Territoriales para la promoción y competitividad turística de sus regiones.</t>
        </is>
      </c>
      <c r="I169" t="inlineStr">
        <is>
          <t>2024251260044</t>
        </is>
      </c>
      <c r="J169" s="99">
        <v>2188216139.67</v>
      </c>
      <c r="K169" s="99">
        <v>671622213</v>
      </c>
      <c r="L169" s="99">
        <v>870505826.67</v>
      </c>
      <c r="M169" s="99">
        <v>318270000</v>
      </c>
      <c r="N169" s="99">
        <v>327818100</v>
      </c>
      <c r="O169" s="99">
        <v>671000120</v>
      </c>
      <c r="P169" s="99">
        <v>671000120</v>
      </c>
      <c r="Q169" s="99">
        <v>671000120</v>
      </c>
      <c r="R169" s="100">
        <v>0.999073745644562</v>
      </c>
      <c r="S169" t="inlineStr">
        <is>
          <t>Lo obligado está por debajo de lo programado en la vigencia</t>
        </is>
      </c>
      <c r="T169" s="101">
        <v>175155826</v>
      </c>
      <c r="U169" s="101">
        <v>136746220</v>
      </c>
      <c r="V169" s="101">
        <v>136746220</v>
      </c>
      <c r="W169" s="102">
        <v>0.15708823055568</v>
      </c>
      <c r="X169" t="inlineStr">
        <is>
          <t>Lo obligado está por debajo de lo programado en la vigencia</t>
        </is>
      </c>
    </row>
    <row r="170">
      <c r="A170" t="inlineStr">
        <is>
          <t>IP-214</t>
        </is>
      </c>
      <c r="B170" t="inlineStr">
        <is>
          <t>35</t>
        </is>
      </c>
      <c r="C170" t="inlineStr">
        <is>
          <t>Comercio, industria y turismo</t>
        </is>
      </c>
      <c r="D170" t="inlineStr">
        <is>
          <t>3502</t>
        </is>
      </c>
      <c r="E170" t="inlineStr">
        <is>
          <t>Productividad y competitividad de las empresas colombianas</t>
        </is>
      </c>
      <c r="F170" t="inlineStr">
        <is>
          <t>3502004</t>
        </is>
      </c>
      <c r="G170" t="inlineStr">
        <is>
          <t>Servicio de apoyo financiero para el mejoramiento de productos o procesos</t>
        </is>
      </c>
      <c r="H170" t="inlineStr">
        <is>
          <t>Con este servicio se busca financiar iniciativas de mejoramiento en la calidad de los productos y Servicio, así como en el mejoramiento de procesos productivos de las empresas nacionales.</t>
        </is>
      </c>
      <c r="I170" t="inlineStr">
        <is>
          <t>2024251260044</t>
        </is>
      </c>
      <c r="J170" s="99">
        <v>212556350</v>
      </c>
      <c r="K170" s="99">
        <v>20000000</v>
      </c>
      <c r="L170" s="99">
        <v>84875000</v>
      </c>
      <c r="M170" s="99">
        <v>53045000</v>
      </c>
      <c r="N170" s="99">
        <v>54636350</v>
      </c>
      <c r="O170" s="99">
        <v>18072109</v>
      </c>
      <c r="P170" s="99">
        <v>18072109</v>
      </c>
      <c r="Q170" s="99">
        <v>18072109</v>
      </c>
      <c r="R170" s="100">
        <v>0.90360545</v>
      </c>
      <c r="S170" t="inlineStr">
        <is>
          <t>Lo obligado está por debajo de lo programado en la vigencia</t>
        </is>
      </c>
      <c r="T170" s="101">
        <v>71166666</v>
      </c>
      <c r="U170" s="101">
        <v>51547863</v>
      </c>
      <c r="V170" s="101">
        <v>51547863</v>
      </c>
      <c r="W170" s="102">
        <v>0.607338592047128</v>
      </c>
      <c r="X170" t="inlineStr">
        <is>
          <t>Lo obligado está por debajo de lo programado en la vigencia</t>
        </is>
      </c>
    </row>
    <row r="171">
      <c r="A171" t="inlineStr">
        <is>
          <t>IP-215</t>
        </is>
      </c>
      <c r="B171" t="inlineStr">
        <is>
          <t>35</t>
        </is>
      </c>
      <c r="C171" t="inlineStr">
        <is>
          <t>Comercio, industria y turismo</t>
        </is>
      </c>
      <c r="D171" t="inlineStr">
        <is>
          <t>3502</t>
        </is>
      </c>
      <c r="E171" t="inlineStr">
        <is>
          <t>Productividad y competitividad de las empresas colombianas</t>
        </is>
      </c>
      <c r="F171" t="inlineStr">
        <is>
          <t>3502026</t>
        </is>
      </c>
      <c r="G171" t="inlineStr">
        <is>
          <t>Servicio de diseño y/o mejoramiento de productos artesanales</t>
        </is>
      </c>
      <c r="H171" t="inlineStr">
        <is>
          <t>Bajo la metodología de Artesanías de Colombia que retoma y fortalece los caracteres de identidad y cultura, se preservan y fortalecen las técnicas artesanales y se aplican los conceptos básicos de innovación de producto bajo la óptica de los modos de intervención en la artesanía que son: creación, diversificación, mejoramiento, rediseño y rescate.</t>
        </is>
      </c>
      <c r="I171" t="inlineStr">
        <is>
          <t>2024251260044</t>
        </is>
      </c>
      <c r="J171" s="99">
        <v>394046620</v>
      </c>
      <c r="K171" s="99">
        <v>50000000</v>
      </c>
      <c r="L171" s="99">
        <v>214829000</v>
      </c>
      <c r="M171" s="99">
        <v>63654000</v>
      </c>
      <c r="N171" s="99">
        <v>65563620</v>
      </c>
      <c r="O171" s="99">
        <v>49955761</v>
      </c>
      <c r="P171" s="99">
        <v>49955761</v>
      </c>
      <c r="Q171" s="99">
        <v>49955761</v>
      </c>
      <c r="R171" s="100">
        <v>0.99911522</v>
      </c>
      <c r="S171" t="inlineStr">
        <is>
          <t>Lo obligado está por debajo de lo programado en la vigencia</t>
        </is>
      </c>
      <c r="T171" s="101">
        <v>59829000</v>
      </c>
      <c r="U171" s="101">
        <v>22750000</v>
      </c>
      <c r="V171" s="101">
        <v>22750000</v>
      </c>
      <c r="W171" s="102">
        <v>0.105898179482286</v>
      </c>
      <c r="X171" t="inlineStr">
        <is>
          <t>Lo obligado está por debajo de lo programado en la vigencia</t>
        </is>
      </c>
    </row>
    <row r="172">
      <c r="A172" t="inlineStr">
        <is>
          <t>IP-216</t>
        </is>
      </c>
      <c r="B172" t="inlineStr">
        <is>
          <t>35</t>
        </is>
      </c>
      <c r="C172" t="inlineStr">
        <is>
          <t>Comercio, industria y turismo</t>
        </is>
      </c>
      <c r="D172" t="inlineStr">
        <is>
          <t>3502</t>
        </is>
      </c>
      <c r="E172" t="inlineStr">
        <is>
          <t>Productividad y competitividad de las empresas colombianas</t>
        </is>
      </c>
      <c r="F172" t="inlineStr">
        <is>
          <t>3502114</t>
        </is>
      </c>
      <c r="G172" t="inlineStr">
        <is>
          <t>Equipamientos turísticos dotados</t>
        </is>
      </c>
      <c r="H172" t="inlineStr">
        <is>
          <t>Corresponde a la dotación necesaria para que la infraestructura o espacios de uso público en los atractivos turísticos del territorio  puedan iniciar su funcionamiento y operación.</t>
        </is>
      </c>
      <c r="I172" t="inlineStr">
        <is>
          <t>2024251260045</t>
        </is>
      </c>
      <c r="J172" s="99">
        <v>1406450800</v>
      </c>
      <c r="K172" s="99">
        <v>0</v>
      </c>
      <c r="L172" s="99">
        <v>545000000</v>
      </c>
      <c r="M172" s="99">
        <v>424360000</v>
      </c>
      <c r="N172" s="99">
        <v>437090800</v>
      </c>
      <c r="O172" s="99" t="inlineStr">
        <is>
          <t xml:space="preserve"> </t>
        </is>
      </c>
      <c r="P172" s="99" t="inlineStr">
        <is>
          <t xml:space="preserve"> </t>
        </is>
      </c>
      <c r="Q172" s="99" t="inlineStr">
        <is>
          <t xml:space="preserve"> </t>
        </is>
      </c>
      <c r="R172" s="100" t="inlineStr">
        <is>
          <t xml:space="preserve"> </t>
        </is>
      </c>
      <c r="S172" t="inlineStr">
        <is>
          <t>No se encontró ejecución en CUIPO</t>
        </is>
      </c>
      <c r="T172" s="101">
        <v>400000000</v>
      </c>
      <c r="U172" s="101">
        <v>0</v>
      </c>
      <c r="V172" s="101">
        <v>0</v>
      </c>
      <c r="W172" s="102">
        <v>0</v>
      </c>
      <c r="X172" t="inlineStr">
        <is>
          <t>No se ejecutó en la vigencia</t>
        </is>
      </c>
    </row>
    <row r="173">
      <c r="A173" t="inlineStr">
        <is>
          <t>IP-217</t>
        </is>
      </c>
      <c r="B173" t="inlineStr">
        <is>
          <t>35</t>
        </is>
      </c>
      <c r="C173" t="inlineStr">
        <is>
          <t>Comercio, industria y turismo</t>
        </is>
      </c>
      <c r="D173" t="inlineStr">
        <is>
          <t>3502</t>
        </is>
      </c>
      <c r="E173" t="inlineStr">
        <is>
          <t>Productividad y competitividad de las empresas colombianas</t>
        </is>
      </c>
      <c r="F173" t="inlineStr">
        <is>
          <t>3502081</t>
        </is>
      </c>
      <c r="G173" t="inlineStr">
        <is>
          <t>Plazas de mercado construida</t>
        </is>
      </c>
      <c r="H173" t="inlineStr">
        <is>
          <t>Lugar con infraestructura  que acopia productores y comercializadores minoristas a  lo cuales el cliente final y/o consumidor  podrá tener acceso a los productos que se ofrecen.</t>
        </is>
      </c>
      <c r="I173" t="inlineStr">
        <is>
          <t>2024251260078</t>
        </is>
      </c>
      <c r="J173" s="99">
        <v>3010427670</v>
      </c>
      <c r="K173" s="99">
        <v>2100427670</v>
      </c>
      <c r="L173" s="99">
        <v>910000000</v>
      </c>
      <c r="M173" s="99">
        <v>0</v>
      </c>
      <c r="N173" s="99">
        <v>0</v>
      </c>
      <c r="O173" s="99">
        <v>2100373430</v>
      </c>
      <c r="P173" s="99">
        <v>0</v>
      </c>
      <c r="Q173" s="99">
        <v>0</v>
      </c>
      <c r="R173" s="100">
        <v>0</v>
      </c>
      <c r="S173" t="inlineStr">
        <is>
          <t>No se ejecutó en la vigencia</t>
        </is>
      </c>
      <c r="T173" s="101">
        <v>910000000</v>
      </c>
      <c r="U173" s="101">
        <v>0</v>
      </c>
      <c r="V173" s="101">
        <v>0</v>
      </c>
      <c r="W173" s="102">
        <v>0</v>
      </c>
      <c r="X173" t="inlineStr">
        <is>
          <t>No se ejecutó en la vigencia</t>
        </is>
      </c>
    </row>
    <row r="174">
      <c r="A174" t="inlineStr">
        <is>
          <t>IP-219</t>
        </is>
      </c>
      <c r="B174" t="inlineStr">
        <is>
          <t>35</t>
        </is>
      </c>
      <c r="C174" t="inlineStr">
        <is>
          <t>Comercio, industria y turismo</t>
        </is>
      </c>
      <c r="D174" t="inlineStr">
        <is>
          <t>3502</t>
        </is>
      </c>
      <c r="E174" t="inlineStr">
        <is>
          <t>Productividad y competitividad de las empresas colombianas</t>
        </is>
      </c>
      <c r="F174" t="inlineStr">
        <is>
          <t>3502002</t>
        </is>
      </c>
      <c r="G174" t="inlineStr">
        <is>
          <t>Documentos de lineamientos técnicos</t>
        </is>
      </c>
      <c r="H174" t="inlineStr">
        <is>
          <t>Documentos cuyo objetivo es describir y explicar instrumentos, estándares, requisitos y condiciones necesarias para llevar a cabo un proceso o actividad</t>
        </is>
      </c>
      <c r="I174" t="inlineStr">
        <is>
          <t>2024251260046</t>
        </is>
      </c>
      <c r="J174" s="99">
        <v>21536270</v>
      </c>
      <c r="K174" s="99">
        <v>0</v>
      </c>
      <c r="L174" s="99">
        <v>0</v>
      </c>
      <c r="M174" s="99">
        <v>10609000</v>
      </c>
      <c r="N174" s="99">
        <v>10927270</v>
      </c>
      <c r="O174" s="99" t="inlineStr">
        <is>
          <t xml:space="preserve"> </t>
        </is>
      </c>
      <c r="P174" s="99" t="inlineStr">
        <is>
          <t xml:space="preserve"> </t>
        </is>
      </c>
      <c r="Q174" s="99" t="inlineStr">
        <is>
          <t xml:space="preserve"> </t>
        </is>
      </c>
      <c r="R174" s="100" t="inlineStr">
        <is>
          <t xml:space="preserve"> </t>
        </is>
      </c>
      <c r="S174" t="inlineStr">
        <is>
          <t>No se encontró ejecución en CUIPO</t>
        </is>
      </c>
      <c r="T174" s="101" t="inlineStr">
        <is>
          <t xml:space="preserve"> </t>
        </is>
      </c>
      <c r="U174" s="101" t="inlineStr">
        <is>
          <t xml:space="preserve"> </t>
        </is>
      </c>
      <c r="V174" s="101" t="inlineStr">
        <is>
          <t xml:space="preserve"> </t>
        </is>
      </c>
      <c r="W174" s="102" t="inlineStr">
        <is>
          <t xml:space="preserve"> </t>
        </is>
      </c>
      <c r="X174" t="inlineStr">
        <is>
          <t>No se encontró ejecución en CUIPO</t>
        </is>
      </c>
    </row>
    <row r="175">
      <c r="A175" t="inlineStr">
        <is>
          <t>IP-220, IP-221</t>
        </is>
      </c>
      <c r="B175" t="inlineStr">
        <is>
          <t>35</t>
        </is>
      </c>
      <c r="C175" t="inlineStr">
        <is>
          <t>Comercio, industria y turismo</t>
        </is>
      </c>
      <c r="D175" t="inlineStr">
        <is>
          <t>3502</t>
        </is>
      </c>
      <c r="E175" t="inlineStr">
        <is>
          <t>Productividad y competitividad de las empresas colombianas</t>
        </is>
      </c>
      <c r="F175" t="inlineStr">
        <is>
          <t>3502046</t>
        </is>
      </c>
      <c r="G175" t="inlineStr">
        <is>
          <t>Servicio de promoción turística</t>
        </is>
      </c>
      <c r="H175" t="inlineStr">
        <is>
          <t>Corresponde a campañas de divulgación y promoción de los atractivos turísticos de la zonas, así como las actividades para el posicionamiento de las regiones, departamentos y municipios como destinos turísticos.</t>
        </is>
      </c>
      <c r="I175" t="inlineStr">
        <is>
          <t>2024251260046</t>
        </is>
      </c>
      <c r="J175" s="99">
        <v>541935240</v>
      </c>
      <c r="K175" s="99">
        <v>20500000</v>
      </c>
      <c r="L175" s="99">
        <v>263000000</v>
      </c>
      <c r="M175" s="99">
        <v>127308000</v>
      </c>
      <c r="N175" s="99">
        <v>131127240</v>
      </c>
      <c r="O175" s="99">
        <v>20500000</v>
      </c>
      <c r="P175" s="99">
        <v>20500000</v>
      </c>
      <c r="Q175" s="99">
        <v>20500000</v>
      </c>
      <c r="R175" s="100">
        <v>1</v>
      </c>
      <c r="S175" t="inlineStr">
        <is>
          <t>Se ejecutó el 100% de lo programado en la vigencia</t>
        </is>
      </c>
      <c r="T175" s="101" t="inlineStr">
        <is>
          <t xml:space="preserve"> </t>
        </is>
      </c>
      <c r="U175" s="101" t="inlineStr">
        <is>
          <t xml:space="preserve"> </t>
        </is>
      </c>
      <c r="V175" s="101" t="inlineStr">
        <is>
          <t xml:space="preserve"> </t>
        </is>
      </c>
      <c r="W175" s="102" t="inlineStr">
        <is>
          <t xml:space="preserve"> </t>
        </is>
      </c>
      <c r="X175" t="inlineStr">
        <is>
          <t>No se encontró ejecución en CUIPO</t>
        </is>
      </c>
    </row>
    <row r="176">
      <c r="A176" t="inlineStr">
        <is>
          <t>IP-222</t>
        </is>
      </c>
      <c r="B176" t="inlineStr">
        <is>
          <t>35</t>
        </is>
      </c>
      <c r="C176" t="inlineStr">
        <is>
          <t>Comercio, industria y turismo</t>
        </is>
      </c>
      <c r="D176" t="inlineStr">
        <is>
          <t>3502</t>
        </is>
      </c>
      <c r="E176" t="inlineStr">
        <is>
          <t>Productividad y competitividad de las empresas colombianas</t>
        </is>
      </c>
      <c r="F176" t="inlineStr">
        <is>
          <t>3502003</t>
        </is>
      </c>
      <c r="G176" t="inlineStr">
        <is>
          <t>Servicio de asistencia técnica para el fortalecimiento de capacidades gerenciales</t>
        </is>
      </c>
      <c r="H176" t="inlineStr">
        <is>
          <t>Acompañamiento técnico a las empresas para el desarrollo de capacidades gerenciales a través de programas de gestión empresarial, planes gerenciales, entre otros.</t>
        </is>
      </c>
      <c r="I176" t="inlineStr">
        <is>
          <t>2024251260046</t>
        </is>
      </c>
      <c r="J176" s="99">
        <v>107681350</v>
      </c>
      <c r="K176" s="99">
        <v>0</v>
      </c>
      <c r="L176" s="99">
        <v>0</v>
      </c>
      <c r="M176" s="99">
        <v>53045000</v>
      </c>
      <c r="N176" s="99">
        <v>54636350</v>
      </c>
      <c r="O176" s="99" t="inlineStr">
        <is>
          <t xml:space="preserve"> </t>
        </is>
      </c>
      <c r="P176" s="99" t="inlineStr">
        <is>
          <t xml:space="preserve"> </t>
        </is>
      </c>
      <c r="Q176" s="99" t="inlineStr">
        <is>
          <t xml:space="preserve"> </t>
        </is>
      </c>
      <c r="R176" s="100" t="inlineStr">
        <is>
          <t xml:space="preserve"> </t>
        </is>
      </c>
      <c r="S176" t="inlineStr">
        <is>
          <t>No se encontró ejecución en CUIPO</t>
        </is>
      </c>
      <c r="T176" s="101" t="inlineStr">
        <is>
          <t xml:space="preserve"> </t>
        </is>
      </c>
      <c r="U176" s="101" t="inlineStr">
        <is>
          <t xml:space="preserve"> </t>
        </is>
      </c>
      <c r="V176" s="101" t="inlineStr">
        <is>
          <t xml:space="preserve"> </t>
        </is>
      </c>
      <c r="W176" s="102" t="inlineStr">
        <is>
          <t xml:space="preserve"> </t>
        </is>
      </c>
      <c r="X176" t="inlineStr">
        <is>
          <t>No se encontró ejecución en CUIPO</t>
        </is>
      </c>
    </row>
    <row r="177">
      <c r="A177" t="inlineStr">
        <is>
          <t>IP-223</t>
        </is>
      </c>
      <c r="B177" t="inlineStr">
        <is>
          <t>35</t>
        </is>
      </c>
      <c r="C177" t="inlineStr">
        <is>
          <t>Comercio, industria y turismo</t>
        </is>
      </c>
      <c r="D177" t="inlineStr">
        <is>
          <t>3502</t>
        </is>
      </c>
      <c r="E177" t="inlineStr">
        <is>
          <t>Productividad y competitividad de las empresas colombianas</t>
        </is>
      </c>
      <c r="F177" t="inlineStr">
        <is>
          <t>3502045</t>
        </is>
      </c>
      <c r="G177" t="inlineStr">
        <is>
          <t>Servicio de educación informal en asuntos turísticos</t>
        </is>
      </c>
      <c r="H177" t="inlineStr">
        <is>
          <t>Consiste en la capacitación y entrenamiento a personas interesadas en trabajar en el sector turismo. Incluye fortalecimiento de atención al cliente, de conocimientos históricos, entre otros.</t>
        </is>
      </c>
      <c r="I177" t="inlineStr">
        <is>
          <t>2024251260046</t>
        </is>
      </c>
      <c r="J177" s="99">
        <v>0</v>
      </c>
      <c r="K177" s="99">
        <v>0</v>
      </c>
      <c r="L177" s="99">
        <v>0</v>
      </c>
      <c r="M177" s="99">
        <v>0</v>
      </c>
      <c r="N177" s="99">
        <v>0</v>
      </c>
      <c r="O177" s="99" t="inlineStr">
        <is>
          <t xml:space="preserve"> </t>
        </is>
      </c>
      <c r="P177" s="99" t="inlineStr">
        <is>
          <t xml:space="preserve"> </t>
        </is>
      </c>
      <c r="Q177" s="99" t="inlineStr">
        <is>
          <t xml:space="preserve"> </t>
        </is>
      </c>
      <c r="R177" s="100" t="inlineStr">
        <is>
          <t xml:space="preserve"> </t>
        </is>
      </c>
      <c r="S177" t="inlineStr">
        <is>
          <t>No se encontró ejecución en CUIPO</t>
        </is>
      </c>
      <c r="T177" s="101" t="inlineStr">
        <is>
          <t xml:space="preserve"> </t>
        </is>
      </c>
      <c r="U177" s="101" t="inlineStr">
        <is>
          <t xml:space="preserve"> </t>
        </is>
      </c>
      <c r="V177" s="101" t="inlineStr">
        <is>
          <t xml:space="preserve"> </t>
        </is>
      </c>
      <c r="W177" s="102" t="inlineStr">
        <is>
          <t xml:space="preserve"> </t>
        </is>
      </c>
      <c r="X177" t="inlineStr">
        <is>
          <t>No se encontró ejecución en CUIPO</t>
        </is>
      </c>
    </row>
    <row r="178">
      <c r="A178" t="inlineStr">
        <is>
          <t>IP-224</t>
        </is>
      </c>
      <c r="B178" t="inlineStr">
        <is>
          <t>35</t>
        </is>
      </c>
      <c r="C178" t="inlineStr">
        <is>
          <t>Comercio, industria y turismo</t>
        </is>
      </c>
      <c r="D178" t="inlineStr">
        <is>
          <t>3502</t>
        </is>
      </c>
      <c r="E178" t="inlineStr">
        <is>
          <t>Productividad y competitividad de las empresas colombianas</t>
        </is>
      </c>
      <c r="F178" t="inlineStr">
        <is>
          <t>3502039</t>
        </is>
      </c>
      <c r="G178" t="inlineStr">
        <is>
          <t>Servicio de asistencia técnica a los entes territoriales para el desarrollo turístico</t>
        </is>
      </c>
      <c r="H178" t="inlineStr">
        <is>
          <t>Asistencia y acompañamiento a los Entes Territoriales para la promoción y competitividad turística de sus regiones.</t>
        </is>
      </c>
      <c r="I178" t="inlineStr">
        <is>
          <t>2024251260046</t>
        </is>
      </c>
      <c r="J178" s="99">
        <v>127767600</v>
      </c>
      <c r="K178" s="99">
        <v>2767600</v>
      </c>
      <c r="L178" s="99">
        <v>125000000</v>
      </c>
      <c r="M178" s="99">
        <v>0</v>
      </c>
      <c r="N178" s="99">
        <v>0</v>
      </c>
      <c r="O178" s="99">
        <v>2767600</v>
      </c>
      <c r="P178" s="99">
        <v>2767600</v>
      </c>
      <c r="Q178" s="99">
        <v>2767600</v>
      </c>
      <c r="R178" s="100">
        <v>1</v>
      </c>
      <c r="S178" t="inlineStr">
        <is>
          <t>Se ejecutó el 100% de lo programado en la vigencia</t>
        </is>
      </c>
      <c r="T178" s="101">
        <v>92917200</v>
      </c>
      <c r="U178" s="101">
        <v>74059532</v>
      </c>
      <c r="V178" s="101">
        <v>74059532</v>
      </c>
      <c r="W178" s="102">
        <v>0.592476256</v>
      </c>
      <c r="X178" t="inlineStr">
        <is>
          <t>Lo obligado está por debajo de lo programado en la vigencia</t>
        </is>
      </c>
    </row>
    <row r="179">
      <c r="A179" t="inlineStr">
        <is>
          <t>IP-225</t>
        </is>
      </c>
      <c r="B179" t="inlineStr">
        <is>
          <t>36</t>
        </is>
      </c>
      <c r="C179" t="inlineStr">
        <is>
          <t>Trabajo</t>
        </is>
      </c>
      <c r="D179" t="inlineStr">
        <is>
          <t>3602</t>
        </is>
      </c>
      <c r="E179" t="inlineStr">
        <is>
          <t>Generación y formalización del empleo</t>
        </is>
      </c>
      <c r="F179" t="inlineStr">
        <is>
          <t>3602004</t>
        </is>
      </c>
      <c r="G179" t="inlineStr">
        <is>
          <t>Servicio de colocación laboral</t>
        </is>
      </c>
      <c r="H179" t="inlineStr">
        <is>
          <t>La colocación laboral es la que realiza actividades dirigidas a vincular buscadores de empleo y vacantes, brindando información para la mejor búsqueda.</t>
        </is>
      </c>
      <c r="I179" t="inlineStr">
        <is>
          <t>2024251260048</t>
        </is>
      </c>
      <c r="J179" s="99">
        <v>27733333</v>
      </c>
      <c r="K179" s="99">
        <v>0</v>
      </c>
      <c r="L179" s="99">
        <v>27733333</v>
      </c>
      <c r="M179" s="99">
        <v>0</v>
      </c>
      <c r="N179" s="99">
        <v>0</v>
      </c>
      <c r="O179" s="99" t="inlineStr">
        <is>
          <t xml:space="preserve"> </t>
        </is>
      </c>
      <c r="P179" s="99" t="inlineStr">
        <is>
          <t xml:space="preserve"> </t>
        </is>
      </c>
      <c r="Q179" s="99" t="inlineStr">
        <is>
          <t xml:space="preserve"> </t>
        </is>
      </c>
      <c r="R179" s="100" t="inlineStr">
        <is>
          <t xml:space="preserve"> </t>
        </is>
      </c>
      <c r="S179" t="inlineStr">
        <is>
          <t>No se encontró ejecución en CUIPO</t>
        </is>
      </c>
      <c r="T179" s="101">
        <v>27733333</v>
      </c>
      <c r="U179" s="101">
        <v>16358333</v>
      </c>
      <c r="V179" s="101">
        <v>16358333</v>
      </c>
      <c r="W179" s="102">
        <v>0.589843745070237</v>
      </c>
      <c r="X179" t="inlineStr">
        <is>
          <t>Lo obligado está por debajo de lo programado en la vigencia</t>
        </is>
      </c>
    </row>
    <row r="180">
      <c r="A180" t="inlineStr">
        <is>
          <t>IP-226</t>
        </is>
      </c>
      <c r="B180" t="inlineStr">
        <is>
          <t>36</t>
        </is>
      </c>
      <c r="C180" t="inlineStr">
        <is>
          <t>Trabajo</t>
        </is>
      </c>
      <c r="D180" t="inlineStr">
        <is>
          <t>3602</t>
        </is>
      </c>
      <c r="E180" t="inlineStr">
        <is>
          <t>Generación y formalización del empleo</t>
        </is>
      </c>
      <c r="F180" t="inlineStr">
        <is>
          <t>3602017</t>
        </is>
      </c>
      <c r="G180" t="inlineStr">
        <is>
          <t>Servicio de asistencia técnica para la generación y formalización de empresa</t>
        </is>
      </c>
      <c r="H180" t="inlineStr">
        <is>
          <t>Corresponde al servicio de asistencia brindado a los emprendedores Colombianos correspondiente al fortalecimiento de sus capacidades técnicas requeridas para formular un plan de negocio.</t>
        </is>
      </c>
      <c r="I180" t="inlineStr">
        <is>
          <t>2024251260048</t>
        </is>
      </c>
      <c r="J180" s="99">
        <v>902297594</v>
      </c>
      <c r="K180" s="99">
        <v>50084494</v>
      </c>
      <c r="L180" s="99">
        <v>206125000</v>
      </c>
      <c r="M180" s="99">
        <v>318270000</v>
      </c>
      <c r="N180" s="99">
        <v>327818100</v>
      </c>
      <c r="O180" s="99">
        <v>50084494</v>
      </c>
      <c r="P180" s="99">
        <v>50084494</v>
      </c>
      <c r="Q180" s="99">
        <v>50084494</v>
      </c>
      <c r="R180" s="100">
        <v>1</v>
      </c>
      <c r="S180" t="inlineStr">
        <is>
          <t>Se ejecutó el 100% de lo programado en la vigencia</t>
        </is>
      </c>
      <c r="T180" s="101">
        <v>131124998</v>
      </c>
      <c r="U180" s="101">
        <v>75749998</v>
      </c>
      <c r="V180" s="101">
        <v>75749998</v>
      </c>
      <c r="W180" s="102">
        <v>0.367495442086113</v>
      </c>
      <c r="X180" t="inlineStr">
        <is>
          <t>Lo obligado está por debajo de lo programado en la vigencia</t>
        </is>
      </c>
    </row>
    <row r="181">
      <c r="A181" t="inlineStr">
        <is>
          <t>IP-227</t>
        </is>
      </c>
      <c r="B181" t="inlineStr">
        <is>
          <t>36</t>
        </is>
      </c>
      <c r="C181" t="inlineStr">
        <is>
          <t>Trabajo</t>
        </is>
      </c>
      <c r="D181" t="inlineStr">
        <is>
          <t>3602</t>
        </is>
      </c>
      <c r="E181" t="inlineStr">
        <is>
          <t>Generación y formalización del empleo</t>
        </is>
      </c>
      <c r="F181" t="inlineStr">
        <is>
          <t>3602038</t>
        </is>
      </c>
      <c r="G181" t="inlineStr">
        <is>
          <t>Servicio de acompañamiento a planes de negocio</t>
        </is>
      </c>
      <c r="H181" t="inlineStr">
        <is>
          <t>Hace referencia al servicio de industria de soporte necesario para garantizar la ejecución de los planes de negocio y el aseguramiento de los recursos invertidos conforme a lo establecido a la reglamentación vigente de Fondo Emprender.</t>
        </is>
      </c>
      <c r="I181" t="inlineStr">
        <is>
          <t>2024251260048</t>
        </is>
      </c>
      <c r="J181" s="99">
        <v>215362700</v>
      </c>
      <c r="K181" s="99">
        <v>0</v>
      </c>
      <c r="L181" s="99">
        <v>0</v>
      </c>
      <c r="M181" s="99">
        <v>106090000</v>
      </c>
      <c r="N181" s="99">
        <v>109272700</v>
      </c>
      <c r="O181" s="99" t="inlineStr">
        <is>
          <t xml:space="preserve"> </t>
        </is>
      </c>
      <c r="P181" s="99" t="inlineStr">
        <is>
          <t xml:space="preserve"> </t>
        </is>
      </c>
      <c r="Q181" s="99" t="inlineStr">
        <is>
          <t xml:space="preserve"> </t>
        </is>
      </c>
      <c r="R181" s="100" t="inlineStr">
        <is>
          <t xml:space="preserve"> </t>
        </is>
      </c>
      <c r="S181" t="inlineStr">
        <is>
          <t>No se encontró ejecución en CUIPO</t>
        </is>
      </c>
      <c r="T181" s="101" t="inlineStr">
        <is>
          <t xml:space="preserve"> </t>
        </is>
      </c>
      <c r="U181" s="101" t="inlineStr">
        <is>
          <t xml:space="preserve"> </t>
        </is>
      </c>
      <c r="V181" s="101" t="inlineStr">
        <is>
          <t xml:space="preserve"> </t>
        </is>
      </c>
      <c r="W181" s="102" t="inlineStr">
        <is>
          <t xml:space="preserve"> </t>
        </is>
      </c>
      <c r="X181" t="inlineStr">
        <is>
          <t>No se encontró ejecución en CUIPO</t>
        </is>
      </c>
    </row>
    <row r="182">
      <c r="A182" t="inlineStr">
        <is>
          <t>IP-228</t>
        </is>
      </c>
      <c r="B182" t="inlineStr">
        <is>
          <t>36</t>
        </is>
      </c>
      <c r="C182" t="inlineStr">
        <is>
          <t>Trabajo</t>
        </is>
      </c>
      <c r="D182" t="inlineStr">
        <is>
          <t>3602</t>
        </is>
      </c>
      <c r="E182" t="inlineStr">
        <is>
          <t>Generación y formalización del empleo</t>
        </is>
      </c>
      <c r="F182" t="inlineStr">
        <is>
          <t>3602019</t>
        </is>
      </c>
      <c r="G182" t="inlineStr">
        <is>
          <t>Documentos normativos</t>
        </is>
      </c>
      <c r="H182" t="inlineStr">
        <is>
          <t>Hace referencia a las normas propuestas por el Sector Trabajo.</t>
        </is>
      </c>
      <c r="I182" t="inlineStr">
        <is>
          <t>2024251260048</t>
        </is>
      </c>
      <c r="J182" s="99">
        <v>269371442.6666</v>
      </c>
      <c r="K182" s="99">
        <v>64387060</v>
      </c>
      <c r="L182" s="99">
        <v>66318671.8</v>
      </c>
      <c r="M182" s="99">
        <v>68308231.954</v>
      </c>
      <c r="N182" s="99">
        <v>70357478.9126</v>
      </c>
      <c r="O182" s="99" t="inlineStr">
        <is>
          <t xml:space="preserve"> </t>
        </is>
      </c>
      <c r="P182" s="99" t="inlineStr">
        <is>
          <t xml:space="preserve"> </t>
        </is>
      </c>
      <c r="Q182" s="99" t="inlineStr">
        <is>
          <t xml:space="preserve"> </t>
        </is>
      </c>
      <c r="R182" s="100" t="inlineStr">
        <is>
          <t xml:space="preserve"> </t>
        </is>
      </c>
      <c r="S182" t="inlineStr">
        <is>
          <t>No se encontró ejecución en CUIPO</t>
        </is>
      </c>
      <c r="T182" s="101">
        <v>40000000</v>
      </c>
      <c r="U182" s="101">
        <v>0</v>
      </c>
      <c r="V182" s="101">
        <v>0</v>
      </c>
      <c r="W182" s="102">
        <v>0</v>
      </c>
      <c r="X182" t="inlineStr">
        <is>
          <t>No se ejecutó en la vigencia</t>
        </is>
      </c>
    </row>
    <row r="183">
      <c r="A183" t="inlineStr">
        <is>
          <t>IP-229</t>
        </is>
      </c>
      <c r="B183" t="inlineStr">
        <is>
          <t>39</t>
        </is>
      </c>
      <c r="C183" t="inlineStr">
        <is>
          <t xml:space="preserve">Ciencia, tecnología e innovación
</t>
        </is>
      </c>
      <c r="D183" t="inlineStr">
        <is>
          <t>3906</t>
        </is>
      </c>
      <c r="E183" t="inlineStr">
        <is>
          <t>Fomento a vocaciones y formación, generación, uso y apropiación social del conocimiento de la ciencia, tecnología e innovación</t>
        </is>
      </c>
      <c r="F183" t="inlineStr">
        <is>
          <t>3906010</t>
        </is>
      </c>
      <c r="G183" t="inlineStr">
        <is>
          <t>Servicios de apoyo financiero para programas y proyectos de apropiación social del conocimiento</t>
        </is>
      </c>
      <c r="H183" t="inlineStr">
        <is>
          <t>Servicio mediante el cual se realiza apoyo financiero a los programas y proyectos  de apropiación social del conocimiento del Sistema Nacional de Ciencia, Tecnología e Innovación.</t>
        </is>
      </c>
      <c r="I183" t="inlineStr">
        <is>
          <t>2024251260049</t>
        </is>
      </c>
      <c r="J183" s="99">
        <v>21536270</v>
      </c>
      <c r="K183" s="99">
        <v>0</v>
      </c>
      <c r="L183" s="99">
        <v>0</v>
      </c>
      <c r="M183" s="99">
        <v>10609000</v>
      </c>
      <c r="N183" s="99">
        <v>10927270</v>
      </c>
      <c r="O183" s="99" t="inlineStr">
        <is>
          <t xml:space="preserve"> </t>
        </is>
      </c>
      <c r="P183" s="99" t="inlineStr">
        <is>
          <t xml:space="preserve"> </t>
        </is>
      </c>
      <c r="Q183" s="99" t="inlineStr">
        <is>
          <t xml:space="preserve"> </t>
        </is>
      </c>
      <c r="R183" s="100" t="inlineStr">
        <is>
          <t xml:space="preserve"> </t>
        </is>
      </c>
      <c r="S183" t="inlineStr">
        <is>
          <t>No se encontró ejecución en CUIPO</t>
        </is>
      </c>
      <c r="T183" s="101" t="inlineStr">
        <is>
          <t xml:space="preserve"> </t>
        </is>
      </c>
      <c r="U183" s="101" t="inlineStr">
        <is>
          <t xml:space="preserve"> </t>
        </is>
      </c>
      <c r="V183" s="101" t="inlineStr">
        <is>
          <t xml:space="preserve"> </t>
        </is>
      </c>
      <c r="W183" s="102" t="inlineStr">
        <is>
          <t xml:space="preserve"> </t>
        </is>
      </c>
      <c r="X183" t="inlineStr">
        <is>
          <t>No se encontró ejecución en CUIPO</t>
        </is>
      </c>
    </row>
    <row r="184">
      <c r="A184" t="inlineStr">
        <is>
          <t>IP-230</t>
        </is>
      </c>
      <c r="B184" t="inlineStr">
        <is>
          <t>39</t>
        </is>
      </c>
      <c r="C184" t="inlineStr">
        <is>
          <t xml:space="preserve">Ciencia, tecnología e innovación
</t>
        </is>
      </c>
      <c r="D184" t="inlineStr">
        <is>
          <t>3906</t>
        </is>
      </c>
      <c r="E184" t="inlineStr">
        <is>
          <t>Fomento a vocaciones y formación, generación, uso y apropiación social del conocimiento de la ciencia, tecnología e innovación</t>
        </is>
      </c>
      <c r="F184" t="inlineStr">
        <is>
          <t>3906006</t>
        </is>
      </c>
      <c r="G184" t="inlineStr">
        <is>
          <t>Servicio de apoyo financiero para programas y proyectos de infraestructura científica y tecnológica</t>
        </is>
      </c>
      <c r="H184" t="inlineStr">
        <is>
          <t>Servicio mediante el cual se otorga apoyo financiero para adquisición, renovación y desarrollo de equipos, fortalecimiento de  laboratorios, centros de investigación y desarrollo,  parques tecnológicos, software especializado, centros de ciencia,  oficinas de transferencia (OTRIS) e incubadoras de empresa de base tecnológica. El producto incluye financiamiento basal para centros científicos y tecnológicos</t>
        </is>
      </c>
      <c r="I184" t="inlineStr">
        <is>
          <t>2024251260049</t>
        </is>
      </c>
      <c r="J184" s="99">
        <v>27552500</v>
      </c>
      <c r="K184" s="99">
        <v>0</v>
      </c>
      <c r="L184" s="99">
        <v>27552500</v>
      </c>
      <c r="M184" s="99">
        <v>0</v>
      </c>
      <c r="N184" s="99">
        <v>0</v>
      </c>
      <c r="O184" s="99" t="inlineStr">
        <is>
          <t xml:space="preserve"> </t>
        </is>
      </c>
      <c r="P184" s="99" t="inlineStr">
        <is>
          <t xml:space="preserve"> </t>
        </is>
      </c>
      <c r="Q184" s="99" t="inlineStr">
        <is>
          <t xml:space="preserve"> </t>
        </is>
      </c>
      <c r="R184" s="100" t="inlineStr">
        <is>
          <t xml:space="preserve"> </t>
        </is>
      </c>
      <c r="S184" t="inlineStr">
        <is>
          <t>No se encontró ejecución en CUIPO</t>
        </is>
      </c>
      <c r="T184" s="101">
        <v>27552500</v>
      </c>
      <c r="U184" s="101">
        <v>20943333</v>
      </c>
      <c r="V184" s="101">
        <v>18368333</v>
      </c>
      <c r="W184" s="102">
        <v>0.760124598493785</v>
      </c>
      <c r="X184" t="inlineStr">
        <is>
          <t>Lo obligado está por debajo de lo programado en la vigencia</t>
        </is>
      </c>
    </row>
    <row r="185">
      <c r="A185" t="inlineStr">
        <is>
          <t>IP-231</t>
        </is>
      </c>
      <c r="B185" t="inlineStr">
        <is>
          <t>39</t>
        </is>
      </c>
      <c r="C185" t="inlineStr">
        <is>
          <t xml:space="preserve">Ciencia, tecnología e innovación
</t>
        </is>
      </c>
      <c r="D185" t="inlineStr">
        <is>
          <t>3906</t>
        </is>
      </c>
      <c r="E185" t="inlineStr">
        <is>
          <t>Fomento a vocaciones y formación, generación, uso y apropiación social del conocimiento de la ciencia, tecnología e innovación</t>
        </is>
      </c>
      <c r="F185" t="inlineStr">
        <is>
          <t>3906017</t>
        </is>
      </c>
      <c r="G185" t="inlineStr">
        <is>
          <t>Servicios de apoyo para entrenamiento especializado en  I+D+i</t>
        </is>
      </c>
      <c r="H185" t="inlineStr">
        <is>
          <t>Busca promover el entrenamiento especializado para mejorar las competencias de desarrollo tecnológico e innovación, métodos y técnicas de investigación especializados y avanzados, así como los cursos de actualización científica para investigadores.</t>
        </is>
      </c>
      <c r="I185" t="inlineStr">
        <is>
          <t>2024251260049</t>
        </is>
      </c>
      <c r="J185" s="99">
        <v>107681350</v>
      </c>
      <c r="K185" s="99">
        <v>0</v>
      </c>
      <c r="L185" s="99">
        <v>0</v>
      </c>
      <c r="M185" s="99">
        <v>53045000</v>
      </c>
      <c r="N185" s="99">
        <v>54636350</v>
      </c>
      <c r="O185" s="99" t="inlineStr">
        <is>
          <t xml:space="preserve"> </t>
        </is>
      </c>
      <c r="P185" s="99" t="inlineStr">
        <is>
          <t xml:space="preserve"> </t>
        </is>
      </c>
      <c r="Q185" s="99" t="inlineStr">
        <is>
          <t xml:space="preserve"> </t>
        </is>
      </c>
      <c r="R185" s="100" t="inlineStr">
        <is>
          <t xml:space="preserve"> </t>
        </is>
      </c>
      <c r="S185" t="inlineStr">
        <is>
          <t>No se encontró ejecución en CUIPO</t>
        </is>
      </c>
      <c r="T185" s="101" t="inlineStr">
        <is>
          <t xml:space="preserve"> </t>
        </is>
      </c>
      <c r="U185" s="101" t="inlineStr">
        <is>
          <t xml:space="preserve"> </t>
        </is>
      </c>
      <c r="V185" s="101" t="inlineStr">
        <is>
          <t xml:space="preserve"> </t>
        </is>
      </c>
      <c r="W185" s="102" t="inlineStr">
        <is>
          <t xml:space="preserve"> </t>
        </is>
      </c>
      <c r="X185" t="inlineStr">
        <is>
          <t>No se encontró ejecución en CUIPO</t>
        </is>
      </c>
    </row>
    <row r="186">
      <c r="A186" t="inlineStr">
        <is>
          <t>IP-232</t>
        </is>
      </c>
      <c r="B186" t="inlineStr">
        <is>
          <t>39</t>
        </is>
      </c>
      <c r="C186" t="inlineStr">
        <is>
          <t xml:space="preserve">Ciencia, tecnología e innovación
</t>
        </is>
      </c>
      <c r="D186" t="inlineStr">
        <is>
          <t>3906</t>
        </is>
      </c>
      <c r="E186" t="inlineStr">
        <is>
          <t>Fomento a vocaciones y formación, generación, uso y apropiación social del conocimiento de la ciencia, tecnología e innovación</t>
        </is>
      </c>
      <c r="F186" t="inlineStr">
        <is>
          <t>3906011</t>
        </is>
      </c>
      <c r="G186" t="inlineStr">
        <is>
          <t>Servicio de apropiación social del conocimiento</t>
        </is>
      </c>
      <c r="H186" t="inlineStr">
        <is>
          <t>Servicio mediante el cual se realizan actividades que incluyen, entre otras:  estrategias necesarias para la sensibilización, socialización y apropiación social del conocimiento a nivel local, regional y nacional en temáticas especiales por medio de la implementación, seguimiento, acompañamiento y evaluación que promuevan el acceso a la información, fomenten la conciencia pública, la capacitación, la educación, la investigación y la participación.</t>
        </is>
      </c>
      <c r="I186" t="inlineStr">
        <is>
          <t>2024251260049</t>
        </is>
      </c>
      <c r="J186" s="99">
        <v>569279465</v>
      </c>
      <c r="K186" s="99">
        <v>173916765</v>
      </c>
      <c r="L186" s="99">
        <v>180000000</v>
      </c>
      <c r="M186" s="99">
        <v>106090000</v>
      </c>
      <c r="N186" s="99">
        <v>109272700</v>
      </c>
      <c r="O186" s="99">
        <v>173916764</v>
      </c>
      <c r="P186" s="99">
        <v>173916764</v>
      </c>
      <c r="Q186" s="99">
        <v>173916764</v>
      </c>
      <c r="R186" s="100">
        <v>0.999999994250123</v>
      </c>
      <c r="S186" t="inlineStr">
        <is>
          <t>Lo obligado está por debajo de lo programado en la vigencia</t>
        </is>
      </c>
      <c r="T186" s="101">
        <v>179990477</v>
      </c>
      <c r="U186" s="101">
        <v>179990477</v>
      </c>
      <c r="V186" s="101">
        <v>179990477</v>
      </c>
      <c r="W186" s="102">
        <v>0.999947094444444</v>
      </c>
      <c r="X186" t="inlineStr">
        <is>
          <t>Lo obligado está por debajo de lo programado en la vigencia</t>
        </is>
      </c>
    </row>
    <row r="187">
      <c r="A187" t="inlineStr">
        <is>
          <t>IP-233</t>
        </is>
      </c>
      <c r="B187" t="inlineStr">
        <is>
          <t>17</t>
        </is>
      </c>
      <c r="C187" t="inlineStr">
        <is>
          <t xml:space="preserve">Agricultura y desarrollo rural
</t>
        </is>
      </c>
      <c r="D187" t="inlineStr">
        <is>
          <t>1702</t>
        </is>
      </c>
      <c r="E187" t="inlineStr">
        <is>
          <t>Inclusión productiva de pequeños productores rurales</t>
        </is>
      </c>
      <c r="F187" t="inlineStr">
        <is>
          <t>1702018</t>
        </is>
      </c>
      <c r="G187" t="inlineStr">
        <is>
          <t>Documentos de lineamientos técnicos</t>
        </is>
      </c>
      <c r="H187" t="inlineStr">
        <is>
          <t>Documentos cuyo objetivo es describir y explicar instrumentos, estándares, requisitos y condiciones necesarias para llevar a cabo un proceso o actividad.</t>
        </is>
      </c>
      <c r="I187" t="inlineStr">
        <is>
          <t>2024251260050</t>
        </is>
      </c>
      <c r="J187" s="99">
        <v>788253408</v>
      </c>
      <c r="K187" s="99">
        <v>158281898</v>
      </c>
      <c r="L187" s="99">
        <v>350000000</v>
      </c>
      <c r="M187" s="99">
        <v>137917000</v>
      </c>
      <c r="N187" s="99">
        <v>142054510</v>
      </c>
      <c r="O187" s="99">
        <v>36900000</v>
      </c>
      <c r="P187" s="99">
        <v>36900000</v>
      </c>
      <c r="Q187" s="99">
        <v>36900000</v>
      </c>
      <c r="R187" s="100">
        <v>0.233128364432425</v>
      </c>
      <c r="S187" t="inlineStr">
        <is>
          <t>Lo obligado está por debajo de lo programado en la vigencia</t>
        </is>
      </c>
      <c r="T187" s="101">
        <v>211517990</v>
      </c>
      <c r="U187" s="101">
        <v>171550254</v>
      </c>
      <c r="V187" s="101">
        <v>160385254</v>
      </c>
      <c r="W187" s="102">
        <v>0.490143582857143</v>
      </c>
      <c r="X187" t="inlineStr">
        <is>
          <t>Lo obligado está por debajo de lo programado en la vigencia</t>
        </is>
      </c>
    </row>
    <row r="188">
      <c r="A188" t="inlineStr">
        <is>
          <t>IP-234</t>
        </is>
      </c>
      <c r="B188" t="inlineStr">
        <is>
          <t>17</t>
        </is>
      </c>
      <c r="C188" t="inlineStr">
        <is>
          <t xml:space="preserve">Agricultura y desarrollo rural
</t>
        </is>
      </c>
      <c r="D188" t="inlineStr">
        <is>
          <t>1702</t>
        </is>
      </c>
      <c r="E188" t="inlineStr">
        <is>
          <t>Inclusión productiva de pequeños productores rurales</t>
        </is>
      </c>
      <c r="F188" t="inlineStr">
        <is>
          <t>1702035</t>
        </is>
      </c>
      <c r="G188" t="inlineStr">
        <is>
          <t>Servicio de educación informal en Buenas Prácticas Agrícolas y producción sostenible</t>
        </is>
      </c>
      <c r="H188" t="inlineStr">
        <is>
          <t>Realizar capacitación a productores sobre implementación de Buenas Prácticas Agrícolas.</t>
        </is>
      </c>
      <c r="I188" t="inlineStr">
        <is>
          <t>2024251260050</t>
        </is>
      </c>
      <c r="J188" s="99">
        <v>0</v>
      </c>
      <c r="K188" s="99">
        <v>0</v>
      </c>
      <c r="L188" s="99">
        <v>0</v>
      </c>
      <c r="M188" s="99">
        <v>0</v>
      </c>
      <c r="N188" s="99">
        <v>0</v>
      </c>
      <c r="O188" s="99" t="inlineStr">
        <is>
          <t xml:space="preserve"> </t>
        </is>
      </c>
      <c r="P188" s="99" t="inlineStr">
        <is>
          <t xml:space="preserve"> </t>
        </is>
      </c>
      <c r="Q188" s="99" t="inlineStr">
        <is>
          <t xml:space="preserve"> </t>
        </is>
      </c>
      <c r="R188" s="100" t="inlineStr">
        <is>
          <t xml:space="preserve"> </t>
        </is>
      </c>
      <c r="S188" t="inlineStr">
        <is>
          <t>No se encontró ejecución en CUIPO</t>
        </is>
      </c>
      <c r="T188" s="101" t="inlineStr">
        <is>
          <t xml:space="preserve"> </t>
        </is>
      </c>
      <c r="U188" s="101" t="inlineStr">
        <is>
          <t xml:space="preserve"> </t>
        </is>
      </c>
      <c r="V188" s="101" t="inlineStr">
        <is>
          <t xml:space="preserve"> </t>
        </is>
      </c>
      <c r="W188" s="102" t="inlineStr">
        <is>
          <t xml:space="preserve"> </t>
        </is>
      </c>
      <c r="X188" t="inlineStr">
        <is>
          <t>No se encontró ejecución en CUIPO</t>
        </is>
      </c>
    </row>
    <row r="189">
      <c r="A189" t="inlineStr">
        <is>
          <t>IP-235</t>
        </is>
      </c>
      <c r="B189" t="inlineStr">
        <is>
          <t>17</t>
        </is>
      </c>
      <c r="C189" t="inlineStr">
        <is>
          <t xml:space="preserve">Agricultura y desarrollo rural
</t>
        </is>
      </c>
      <c r="D189" t="inlineStr">
        <is>
          <t>1702</t>
        </is>
      </c>
      <c r="E189" t="inlineStr">
        <is>
          <t>Inclusión productiva de pequeños productores rurales</t>
        </is>
      </c>
      <c r="F189" t="inlineStr">
        <is>
          <t>1702038</t>
        </is>
      </c>
      <c r="G189" t="inlineStr">
        <is>
          <t>Servicio de apoyo a la comercialización</t>
        </is>
      </c>
      <c r="H189" t="inlineStr">
        <is>
          <t>Consiste en el acompañamiento para la  identificación de apoyos específicos, la adquisición de competencias comerciales y  en casos requeridos, la inserción o consolidación en  encadenamientos comerciales.</t>
        </is>
      </c>
      <c r="I189" t="inlineStr">
        <is>
          <t>2024251260050</t>
        </is>
      </c>
      <c r="J189" s="99">
        <v>229181350</v>
      </c>
      <c r="K189" s="99">
        <v>70000000</v>
      </c>
      <c r="L189" s="99">
        <v>51500000</v>
      </c>
      <c r="M189" s="99">
        <v>53045000</v>
      </c>
      <c r="N189" s="99">
        <v>54636350</v>
      </c>
      <c r="O189" s="99" t="inlineStr">
        <is>
          <t xml:space="preserve"> </t>
        </is>
      </c>
      <c r="P189" s="99" t="inlineStr">
        <is>
          <t xml:space="preserve"> </t>
        </is>
      </c>
      <c r="Q189" s="99" t="inlineStr">
        <is>
          <t xml:space="preserve"> </t>
        </is>
      </c>
      <c r="R189" s="100" t="inlineStr">
        <is>
          <t xml:space="preserve"> </t>
        </is>
      </c>
      <c r="S189" t="inlineStr">
        <is>
          <t>No se encontró ejecución en CUIPO</t>
        </is>
      </c>
      <c r="T189" s="101" t="inlineStr">
        <is>
          <t xml:space="preserve"> </t>
        </is>
      </c>
      <c r="U189" s="101" t="inlineStr">
        <is>
          <t xml:space="preserve"> </t>
        </is>
      </c>
      <c r="V189" s="101" t="inlineStr">
        <is>
          <t xml:space="preserve"> </t>
        </is>
      </c>
      <c r="W189" s="102" t="inlineStr">
        <is>
          <t xml:space="preserve"> </t>
        </is>
      </c>
      <c r="X189" t="inlineStr">
        <is>
          <t>No se encontró ejecución en CUIPO</t>
        </is>
      </c>
    </row>
    <row r="190">
      <c r="A190" t="inlineStr">
        <is>
          <t>IP-236</t>
        </is>
      </c>
      <c r="B190" t="inlineStr">
        <is>
          <t>17</t>
        </is>
      </c>
      <c r="C190" t="inlineStr">
        <is>
          <t xml:space="preserve">Agricultura y desarrollo rural
</t>
        </is>
      </c>
      <c r="D190" t="inlineStr">
        <is>
          <t>1702</t>
        </is>
      </c>
      <c r="E190" t="inlineStr">
        <is>
          <t>Inclusión productiva de pequeños productores rurales</t>
        </is>
      </c>
      <c r="F190" t="inlineStr">
        <is>
          <t>1702041</t>
        </is>
      </c>
      <c r="G190" t="inlineStr">
        <is>
          <t>Documentos de evaluación</t>
        </is>
      </c>
      <c r="H190" t="inlineStr">
        <is>
          <t>Documentos técnicos mediante los cuales se realiza seguimiento y el análisis de resultados e impactos de una política pública  a través de indicadores,  índices y tasas y otras herramientas técnicas para la toma de decisiones.</t>
        </is>
      </c>
      <c r="I190" t="inlineStr">
        <is>
          <t>2024251260080</t>
        </is>
      </c>
      <c r="J190" s="99">
        <v>21536270</v>
      </c>
      <c r="K190" s="99">
        <v>0</v>
      </c>
      <c r="L190" s="99">
        <v>0</v>
      </c>
      <c r="M190" s="99">
        <v>10609000</v>
      </c>
      <c r="N190" s="99">
        <v>10927270</v>
      </c>
      <c r="O190" s="99" t="inlineStr">
        <is>
          <t xml:space="preserve"> </t>
        </is>
      </c>
      <c r="P190" s="99" t="inlineStr">
        <is>
          <t xml:space="preserve"> </t>
        </is>
      </c>
      <c r="Q190" s="99" t="inlineStr">
        <is>
          <t xml:space="preserve"> </t>
        </is>
      </c>
      <c r="R190" s="100" t="inlineStr">
        <is>
          <t xml:space="preserve"> </t>
        </is>
      </c>
      <c r="S190" t="inlineStr">
        <is>
          <t>No se encontró ejecución en CUIPO</t>
        </is>
      </c>
      <c r="T190" s="101" t="inlineStr">
        <is>
          <t xml:space="preserve"> </t>
        </is>
      </c>
      <c r="U190" s="101" t="inlineStr">
        <is>
          <t xml:space="preserve"> </t>
        </is>
      </c>
      <c r="V190" s="101" t="inlineStr">
        <is>
          <t xml:space="preserve"> </t>
        </is>
      </c>
      <c r="W190" s="102" t="inlineStr">
        <is>
          <t xml:space="preserve"> </t>
        </is>
      </c>
      <c r="X190" t="inlineStr">
        <is>
          <t>No se encontró ejecución en CUIPO</t>
        </is>
      </c>
    </row>
    <row r="191">
      <c r="A191" t="inlineStr">
        <is>
          <t>IP-237</t>
        </is>
      </c>
      <c r="B191" t="inlineStr">
        <is>
          <t>24</t>
        </is>
      </c>
      <c r="C191" t="inlineStr">
        <is>
          <t>Transporte</t>
        </is>
      </c>
      <c r="D191" t="inlineStr">
        <is>
          <t>2402</t>
        </is>
      </c>
      <c r="E191" t="inlineStr">
        <is>
          <t>Infraestructura red vial regional</t>
        </is>
      </c>
      <c r="F191" t="inlineStr">
        <is>
          <t>2402021</t>
        </is>
      </c>
      <c r="G191" t="inlineStr">
        <is>
          <t>Vía secundaria con mantenimiento periódico o rutinario</t>
        </is>
      </c>
      <c r="H191" t="inlineStr">
        <is>
          <t>Incluye las acciones de conservación periódica o rutinaria de las vías de la red vial secundaria con el fin de mantener las condiciones óptimas para el tránsito y  el uso adecuado de la infraestructura de transporte</t>
        </is>
      </c>
      <c r="I191" t="inlineStr">
        <is>
          <t>2024251260051</t>
        </is>
      </c>
      <c r="J191" s="99">
        <v>8260232156.7417</v>
      </c>
      <c r="K191" s="99">
        <v>1338567049</v>
      </c>
      <c r="L191" s="99">
        <v>2251159840.86</v>
      </c>
      <c r="M191" s="99">
        <v>2300741510.7792</v>
      </c>
      <c r="N191" s="99">
        <v>2369763756.1025</v>
      </c>
      <c r="O191" s="99">
        <v>1016296458</v>
      </c>
      <c r="P191" s="99">
        <v>816296458</v>
      </c>
      <c r="Q191" s="99">
        <v>718664143</v>
      </c>
      <c r="R191" s="100">
        <v>0.609828591410366</v>
      </c>
      <c r="S191" t="inlineStr">
        <is>
          <t>Lo obligado está por debajo de lo programado en la vigencia</t>
        </is>
      </c>
      <c r="T191" s="101">
        <v>1545136744</v>
      </c>
      <c r="U191" s="101">
        <v>1144183942</v>
      </c>
      <c r="V191" s="101">
        <v>1104505932</v>
      </c>
      <c r="W191" s="102">
        <v>0.508264193964518</v>
      </c>
      <c r="X191" t="inlineStr">
        <is>
          <t>Lo obligado está por debajo de lo programado en la vigencia</t>
        </is>
      </c>
    </row>
    <row r="192">
      <c r="A192" t="inlineStr">
        <is>
          <t>IP-238</t>
        </is>
      </c>
      <c r="B192" t="inlineStr">
        <is>
          <t>24</t>
        </is>
      </c>
      <c r="C192" t="inlineStr">
        <is>
          <t>Transporte</t>
        </is>
      </c>
      <c r="D192" t="inlineStr">
        <is>
          <t>2402</t>
        </is>
      </c>
      <c r="E192" t="inlineStr">
        <is>
          <t>Infraestructura red vial regional</t>
        </is>
      </c>
      <c r="F192" t="inlineStr">
        <is>
          <t>2402041</t>
        </is>
      </c>
      <c r="G192" t="inlineStr">
        <is>
          <t>Vía terciaria mejorada</t>
        </is>
      </c>
      <c r="H192" t="inlineStr">
        <is>
          <t>Incluye la construcción de obras de infraestructura vial en vías de la red vial terciaria que mejoren la prestación del servicio, así como los cambios en una infraestructura de transporte con el propósito de mejorar sus especificaciones técnicas iniciales</t>
        </is>
      </c>
      <c r="I192" t="inlineStr">
        <is>
          <t>2024251260051</t>
        </is>
      </c>
      <c r="J192" s="99">
        <v>16737460000</v>
      </c>
      <c r="K192" s="99">
        <v>489000000</v>
      </c>
      <c r="L192" s="99">
        <v>16248460000</v>
      </c>
      <c r="M192" s="99">
        <v>0</v>
      </c>
      <c r="N192" s="99">
        <v>0</v>
      </c>
      <c r="O192" s="99" t="inlineStr">
        <is>
          <t xml:space="preserve"> </t>
        </is>
      </c>
      <c r="P192" s="99" t="inlineStr">
        <is>
          <t xml:space="preserve"> </t>
        </is>
      </c>
      <c r="Q192" s="99" t="inlineStr">
        <is>
          <t xml:space="preserve"> </t>
        </is>
      </c>
      <c r="R192" s="100" t="inlineStr">
        <is>
          <t xml:space="preserve"> </t>
        </is>
      </c>
      <c r="S192" t="inlineStr">
        <is>
          <t>No se encontró ejecución en CUIPO</t>
        </is>
      </c>
      <c r="T192" s="101">
        <v>94285549</v>
      </c>
      <c r="U192" s="101">
        <v>61260000</v>
      </c>
      <c r="V192" s="101">
        <v>59060000</v>
      </c>
      <c r="W192" s="102">
        <v>0.00377020345312725</v>
      </c>
      <c r="X192" t="inlineStr">
        <is>
          <t>Lo obligado está por debajo de lo programado en la vigencia</t>
        </is>
      </c>
    </row>
    <row r="193">
      <c r="A193" t="inlineStr">
        <is>
          <t>IP-239</t>
        </is>
      </c>
      <c r="B193" t="inlineStr">
        <is>
          <t>24</t>
        </is>
      </c>
      <c r="C193" t="inlineStr">
        <is>
          <t>Transporte</t>
        </is>
      </c>
      <c r="D193" t="inlineStr">
        <is>
          <t>2402</t>
        </is>
      </c>
      <c r="E193" t="inlineStr">
        <is>
          <t>Infraestructura red vial regional</t>
        </is>
      </c>
      <c r="F193" t="inlineStr">
        <is>
          <t>2402114</t>
        </is>
      </c>
      <c r="G193" t="inlineStr">
        <is>
          <t>Vía urbana mejorada</t>
        </is>
      </c>
      <c r="H193" t="inlineStr">
        <is>
          <t>Incluye la construcción de obras de infraestructura vial en vías urbanas que mejoren la prestación del servicio, así como los cambios en una infraestructura de transporte con el propósito de mejorar sus especificaciones técnicas iniciales.</t>
        </is>
      </c>
      <c r="I193" t="inlineStr">
        <is>
          <t>2024251260051</t>
        </is>
      </c>
      <c r="J193" s="99">
        <v>1540526435</v>
      </c>
      <c r="K193" s="99">
        <v>811000000</v>
      </c>
      <c r="L193" s="99">
        <v>631567770</v>
      </c>
      <c r="M193" s="99">
        <v>48255500</v>
      </c>
      <c r="N193" s="99">
        <v>49703165</v>
      </c>
      <c r="O193" s="99">
        <v>811000000</v>
      </c>
      <c r="P193" s="99">
        <v>811000000</v>
      </c>
      <c r="Q193" s="99">
        <v>811000000</v>
      </c>
      <c r="R193" s="100">
        <v>1</v>
      </c>
      <c r="S193" t="inlineStr">
        <is>
          <t>Se ejecutó el 100% de lo programado en la vigencia</t>
        </is>
      </c>
      <c r="T193" s="101">
        <v>466470000</v>
      </c>
      <c r="U193" s="101">
        <v>452590000</v>
      </c>
      <c r="V193" s="101">
        <v>445840000</v>
      </c>
      <c r="W193" s="102">
        <v>0.716613515601026</v>
      </c>
      <c r="X193" t="inlineStr">
        <is>
          <t>Lo obligado está por debajo de lo programado en la vigencia</t>
        </is>
      </c>
    </row>
    <row r="194">
      <c r="A194" t="inlineStr">
        <is>
          <t>IP-240</t>
        </is>
      </c>
      <c r="B194" t="inlineStr">
        <is>
          <t>24</t>
        </is>
      </c>
      <c r="C194" t="inlineStr">
        <is>
          <t>Transporte</t>
        </is>
      </c>
      <c r="D194" t="inlineStr">
        <is>
          <t>2402</t>
        </is>
      </c>
      <c r="E194" t="inlineStr">
        <is>
          <t>Infraestructura red vial regional</t>
        </is>
      </c>
      <c r="F194" t="inlineStr">
        <is>
          <t>2402033</t>
        </is>
      </c>
      <c r="G194" t="inlineStr">
        <is>
          <t>Ciclo infraestructura construida en red vial secundaria</t>
        </is>
      </c>
      <c r="H194" t="inlineStr">
        <is>
          <t>Incluye la construcción de vías o secciones de la calzada destinada al tránsito de bicicletas en forma exclusiva</t>
        </is>
      </c>
      <c r="I194" t="inlineStr">
        <is>
          <t>2024251260052</t>
        </is>
      </c>
      <c r="J194" s="99">
        <v>2356780056.92</v>
      </c>
      <c r="K194" s="99">
        <v>500000000</v>
      </c>
      <c r="L194" s="99">
        <v>779966556.92</v>
      </c>
      <c r="M194" s="99">
        <v>530450000</v>
      </c>
      <c r="N194" s="99">
        <v>546363500</v>
      </c>
      <c r="O194" s="99">
        <v>500000000</v>
      </c>
      <c r="P194" s="99">
        <v>0</v>
      </c>
      <c r="Q194" s="99">
        <v>0</v>
      </c>
      <c r="R194" s="100">
        <v>0</v>
      </c>
      <c r="S194" t="inlineStr">
        <is>
          <t>No se ejecutó en la vigencia</t>
        </is>
      </c>
      <c r="T194" s="101">
        <v>764791556</v>
      </c>
      <c r="U194" s="101">
        <v>644069157</v>
      </c>
      <c r="V194" s="101">
        <v>644069157</v>
      </c>
      <c r="W194" s="102">
        <v>0.825765093753964</v>
      </c>
      <c r="X194" t="inlineStr">
        <is>
          <t>Lo obligado está por debajo de lo programado en la vigencia</t>
        </is>
      </c>
    </row>
    <row r="195">
      <c r="A195" t="inlineStr">
        <is>
          <t>IP-241</t>
        </is>
      </c>
      <c r="B195" t="inlineStr">
        <is>
          <t>24</t>
        </is>
      </c>
      <c r="C195" t="inlineStr">
        <is>
          <t>Transporte</t>
        </is>
      </c>
      <c r="D195" t="inlineStr">
        <is>
          <t>2402</t>
        </is>
      </c>
      <c r="E195" t="inlineStr">
        <is>
          <t>Infraestructura red vial regional</t>
        </is>
      </c>
      <c r="F195" t="inlineStr">
        <is>
          <t>2402034</t>
        </is>
      </c>
      <c r="G195" t="inlineStr">
        <is>
          <t>Ciclo infraestructura de la redsecundaria con mantenimiento</t>
        </is>
      </c>
      <c r="H195" t="inlineStr">
        <is>
          <t>Incluye el mantenimiento de las vías o secciones de la calzada destinadas al tránsito de bicicletas en forma exclusiva</t>
        </is>
      </c>
      <c r="I195" t="inlineStr">
        <is>
          <t>2024251260074</t>
        </is>
      </c>
      <c r="J195" s="99">
        <v>411362700</v>
      </c>
      <c r="K195" s="99">
        <v>100000000</v>
      </c>
      <c r="L195" s="99">
        <v>96000000</v>
      </c>
      <c r="M195" s="99">
        <v>106090000</v>
      </c>
      <c r="N195" s="99">
        <v>109272700</v>
      </c>
      <c r="O195" s="99" t="inlineStr">
        <is>
          <t xml:space="preserve"> </t>
        </is>
      </c>
      <c r="P195" s="99" t="inlineStr">
        <is>
          <t xml:space="preserve"> </t>
        </is>
      </c>
      <c r="Q195" s="99" t="inlineStr">
        <is>
          <t xml:space="preserve"> </t>
        </is>
      </c>
      <c r="R195" s="100" t="inlineStr">
        <is>
          <t xml:space="preserve"> </t>
        </is>
      </c>
      <c r="S195" t="inlineStr">
        <is>
          <t>No se encontró ejecución en CUIPO</t>
        </is>
      </c>
      <c r="T195" s="101">
        <v>86217248</v>
      </c>
      <c r="U195" s="101">
        <v>0</v>
      </c>
      <c r="V195" s="101">
        <v>0</v>
      </c>
      <c r="W195" s="102">
        <v>0</v>
      </c>
      <c r="X195" t="inlineStr">
        <is>
          <t>No se ejecutó en la vigencia</t>
        </is>
      </c>
    </row>
    <row r="196">
      <c r="A196" t="inlineStr">
        <is>
          <t>IP-242</t>
        </is>
      </c>
      <c r="B196" t="inlineStr">
        <is>
          <t>24</t>
        </is>
      </c>
      <c r="C196" t="inlineStr">
        <is>
          <t>Transporte</t>
        </is>
      </c>
      <c r="D196" t="inlineStr">
        <is>
          <t>2402</t>
        </is>
      </c>
      <c r="E196" t="inlineStr">
        <is>
          <t>Infraestructura red vial regional</t>
        </is>
      </c>
      <c r="F196" t="inlineStr">
        <is>
          <t>2402107</t>
        </is>
      </c>
      <c r="G196" t="inlineStr">
        <is>
          <t>Servicio de asistencia técnica en infraestructura y Servicio de la red vial regional</t>
        </is>
      </c>
      <c r="H196" t="inlineStr">
        <is>
          <t/>
        </is>
      </c>
      <c r="I196" t="inlineStr">
        <is>
          <t>2024251260086</t>
        </is>
      </c>
      <c r="J196" s="99">
        <v>0</v>
      </c>
      <c r="K196" s="99">
        <v>0</v>
      </c>
      <c r="L196" s="99">
        <v>0</v>
      </c>
      <c r="M196" s="99">
        <v>0</v>
      </c>
      <c r="N196" s="99">
        <v>0</v>
      </c>
      <c r="O196" s="99" t="inlineStr">
        <is>
          <t xml:space="preserve"> </t>
        </is>
      </c>
      <c r="P196" s="99" t="inlineStr">
        <is>
          <t xml:space="preserve"> </t>
        </is>
      </c>
      <c r="Q196" s="99" t="inlineStr">
        <is>
          <t xml:space="preserve"> </t>
        </is>
      </c>
      <c r="R196" s="100" t="inlineStr">
        <is>
          <t xml:space="preserve"> </t>
        </is>
      </c>
      <c r="S196" t="inlineStr">
        <is>
          <t>No se encontró ejecución en CUIPO</t>
        </is>
      </c>
      <c r="T196" s="101" t="inlineStr">
        <is>
          <t xml:space="preserve"> </t>
        </is>
      </c>
      <c r="U196" s="101" t="inlineStr">
        <is>
          <t xml:space="preserve"> </t>
        </is>
      </c>
      <c r="V196" s="101" t="inlineStr">
        <is>
          <t xml:space="preserve"> </t>
        </is>
      </c>
      <c r="W196" s="102" t="inlineStr">
        <is>
          <t xml:space="preserve"> </t>
        </is>
      </c>
      <c r="X196" t="inlineStr">
        <is>
          <t>No se encontró ejecución en CUIPO</t>
        </is>
      </c>
    </row>
    <row r="197">
      <c r="A197" t="inlineStr">
        <is>
          <t>IP-243, IP-250</t>
        </is>
      </c>
      <c r="B197" t="inlineStr">
        <is>
          <t>24</t>
        </is>
      </c>
      <c r="C197" t="inlineStr">
        <is>
          <t>Transporte</t>
        </is>
      </c>
      <c r="D197" t="inlineStr">
        <is>
          <t>2409</t>
        </is>
      </c>
      <c r="E197" t="inlineStr">
        <is>
          <t>Seguridad de transporte</t>
        </is>
      </c>
      <c r="F197" t="inlineStr">
        <is>
          <t>2409008</t>
        </is>
      </c>
      <c r="G197" t="inlineStr">
        <is>
          <t>Documentos de lineamientos técnicos</t>
        </is>
      </c>
      <c r="H197" t="inlineStr">
        <is>
          <t>Documentos cuyo objetivo es describir y explicar instrumentos, estándares, requisitos y condiciones necesarias para llevar a cabo un proceso o actividad</t>
        </is>
      </c>
      <c r="I197" t="inlineStr">
        <is>
          <t>2024251260064</t>
        </is>
      </c>
      <c r="J197" s="99">
        <v>1414002231</v>
      </c>
      <c r="K197" s="99">
        <v>330000000</v>
      </c>
      <c r="L197" s="99">
        <v>653276831</v>
      </c>
      <c r="M197" s="99">
        <v>212180000</v>
      </c>
      <c r="N197" s="99">
        <v>218545400</v>
      </c>
      <c r="O197" s="99">
        <v>164802329</v>
      </c>
      <c r="P197" s="99">
        <v>164802329</v>
      </c>
      <c r="Q197" s="99">
        <v>83203329</v>
      </c>
      <c r="R197" s="100">
        <v>0.499400996969697</v>
      </c>
      <c r="S197" t="inlineStr">
        <is>
          <t>Lo obligado está por debajo de lo programado en la vigencia</t>
        </is>
      </c>
      <c r="T197" s="101">
        <v>605323916</v>
      </c>
      <c r="U197" s="101">
        <v>412970392</v>
      </c>
      <c r="V197" s="101">
        <v>412970392</v>
      </c>
      <c r="W197" s="102">
        <v>0.632152209298235</v>
      </c>
      <c r="X197" t="inlineStr">
        <is>
          <t>Lo obligado está por debajo de lo programado en la vigencia</t>
        </is>
      </c>
    </row>
    <row r="198">
      <c r="A198" t="inlineStr">
        <is>
          <t>IP-244</t>
        </is>
      </c>
      <c r="B198" t="inlineStr">
        <is>
          <t>24</t>
        </is>
      </c>
      <c r="C198" t="inlineStr">
        <is>
          <t>Transporte</t>
        </is>
      </c>
      <c r="D198" t="inlineStr">
        <is>
          <t>2409</t>
        </is>
      </c>
      <c r="E198" t="inlineStr">
        <is>
          <t>Seguridad de transporte</t>
        </is>
      </c>
      <c r="F198" t="inlineStr">
        <is>
          <t>2409002</t>
        </is>
      </c>
      <c r="G198" t="inlineStr">
        <is>
          <t>Servicio de sensibilización a usuarios de los sistemas de transporte, en relación con la seguridad al desplazarse</t>
        </is>
      </c>
      <c r="H198" t="inlineStr">
        <is>
          <t xml:space="preserve">Incluye campañas dirigidas a los usuarios de los sistemas de transporte </t>
        </is>
      </c>
      <c r="I198" t="inlineStr">
        <is>
          <t>2024251260064</t>
        </is>
      </c>
      <c r="J198" s="99">
        <v>170196016</v>
      </c>
      <c r="K198" s="99">
        <v>20000000</v>
      </c>
      <c r="L198" s="99">
        <v>42514666</v>
      </c>
      <c r="M198" s="99">
        <v>53045000</v>
      </c>
      <c r="N198" s="99">
        <v>54636350</v>
      </c>
      <c r="O198" s="99">
        <v>19918165</v>
      </c>
      <c r="P198" s="99">
        <v>19918165</v>
      </c>
      <c r="Q198" s="99">
        <v>19918165</v>
      </c>
      <c r="R198" s="100">
        <v>0.99590825</v>
      </c>
      <c r="S198" t="inlineStr">
        <is>
          <t>Lo obligado está por debajo de lo programado en la vigencia</t>
        </is>
      </c>
      <c r="T198" s="101" t="inlineStr">
        <is>
          <t xml:space="preserve"> </t>
        </is>
      </c>
      <c r="U198" s="101" t="inlineStr">
        <is>
          <t xml:space="preserve"> </t>
        </is>
      </c>
      <c r="V198" s="101" t="inlineStr">
        <is>
          <t xml:space="preserve"> </t>
        </is>
      </c>
      <c r="W198" s="102" t="inlineStr">
        <is>
          <t xml:space="preserve"> </t>
        </is>
      </c>
      <c r="X198" t="inlineStr">
        <is>
          <t>No se encontró ejecución en CUIPO</t>
        </is>
      </c>
    </row>
    <row r="199">
      <c r="A199" t="inlineStr">
        <is>
          <t>IP-245, IP-251</t>
        </is>
      </c>
      <c r="B199" t="inlineStr">
        <is>
          <t>24</t>
        </is>
      </c>
      <c r="C199" t="inlineStr">
        <is>
          <t>Transporte</t>
        </is>
      </c>
      <c r="D199" t="inlineStr">
        <is>
          <t>2409</t>
        </is>
      </c>
      <c r="E199" t="inlineStr">
        <is>
          <t>Seguridad de transporte</t>
        </is>
      </c>
      <c r="F199" t="inlineStr">
        <is>
          <t>2409009</t>
        </is>
      </c>
      <c r="G199" t="inlineStr">
        <is>
          <t>Servicio de promoción y difusión para la seguridad de transporte</t>
        </is>
      </c>
      <c r="H199" t="inlineStr">
        <is>
          <t>Incluye el diseño e implementación de todo tipo de campañas y estrategias formativas e informativas visuales, auditivas y audiovisuales dirigidas a los actores viales.</t>
        </is>
      </c>
      <c r="I199" t="inlineStr">
        <is>
          <t>2024251260064</t>
        </is>
      </c>
      <c r="J199" s="99">
        <v>143911350</v>
      </c>
      <c r="K199" s="99">
        <v>0</v>
      </c>
      <c r="L199" s="99">
        <v>36230000</v>
      </c>
      <c r="M199" s="99">
        <v>53045000</v>
      </c>
      <c r="N199" s="99">
        <v>54636350</v>
      </c>
      <c r="O199" s="99" t="inlineStr">
        <is>
          <t xml:space="preserve"> </t>
        </is>
      </c>
      <c r="P199" s="99" t="inlineStr">
        <is>
          <t xml:space="preserve"> </t>
        </is>
      </c>
      <c r="Q199" s="99" t="inlineStr">
        <is>
          <t xml:space="preserve"> </t>
        </is>
      </c>
      <c r="R199" s="100" t="inlineStr">
        <is>
          <t xml:space="preserve"> </t>
        </is>
      </c>
      <c r="S199" t="inlineStr">
        <is>
          <t>No se encontró ejecución en CUIPO</t>
        </is>
      </c>
      <c r="T199" s="101" t="inlineStr">
        <is>
          <t xml:space="preserve"> </t>
        </is>
      </c>
      <c r="U199" s="101" t="inlineStr">
        <is>
          <t xml:space="preserve"> </t>
        </is>
      </c>
      <c r="V199" s="101" t="inlineStr">
        <is>
          <t xml:space="preserve"> </t>
        </is>
      </c>
      <c r="W199" s="102" t="inlineStr">
        <is>
          <t xml:space="preserve"> </t>
        </is>
      </c>
      <c r="X199" t="inlineStr">
        <is>
          <t>No se encontró ejecución en CUIPO</t>
        </is>
      </c>
    </row>
    <row r="200">
      <c r="A200" t="inlineStr">
        <is>
          <t>IP-246</t>
        </is>
      </c>
      <c r="B200" t="inlineStr">
        <is>
          <t>24</t>
        </is>
      </c>
      <c r="C200" t="inlineStr">
        <is>
          <t>Transporte</t>
        </is>
      </c>
      <c r="D200" t="inlineStr">
        <is>
          <t>2409</t>
        </is>
      </c>
      <c r="E200" t="inlineStr">
        <is>
          <t>Seguridad de transporte</t>
        </is>
      </c>
      <c r="F200" t="inlineStr">
        <is>
          <t>2409013</t>
        </is>
      </c>
      <c r="G200" t="inlineStr">
        <is>
          <t>Infraestructura de transporte para la seguridad vial</t>
        </is>
      </c>
      <c r="H200" t="inlineStr">
        <is>
          <t>Incluye la realización de obras físicas e instalación de señalización y de dispositivos para la seguridad vial.</t>
        </is>
      </c>
      <c r="I200" t="inlineStr">
        <is>
          <t>2024251260064</t>
        </is>
      </c>
      <c r="J200" s="99">
        <v>92945080</v>
      </c>
      <c r="K200" s="99">
        <v>6800000</v>
      </c>
      <c r="L200" s="99">
        <v>0</v>
      </c>
      <c r="M200" s="99">
        <v>42436000</v>
      </c>
      <c r="N200" s="99">
        <v>43709080</v>
      </c>
      <c r="O200" s="99">
        <v>6600000</v>
      </c>
      <c r="P200" s="99">
        <v>6600000</v>
      </c>
      <c r="Q200" s="99">
        <v>6600000</v>
      </c>
      <c r="R200" s="100">
        <v>0.970588235294118</v>
      </c>
      <c r="S200" t="inlineStr">
        <is>
          <t>Lo obligado está por debajo de lo programado en la vigencia</t>
        </is>
      </c>
      <c r="T200" s="101" t="inlineStr">
        <is>
          <t xml:space="preserve"> </t>
        </is>
      </c>
      <c r="U200" s="101" t="inlineStr">
        <is>
          <t xml:space="preserve"> </t>
        </is>
      </c>
      <c r="V200" s="101" t="inlineStr">
        <is>
          <t xml:space="preserve"> </t>
        </is>
      </c>
      <c r="W200" s="102" t="inlineStr">
        <is>
          <t xml:space="preserve"> </t>
        </is>
      </c>
      <c r="X200" t="inlineStr">
        <is>
          <t>No se encontró ejecución en CUIPO</t>
        </is>
      </c>
    </row>
    <row r="201">
      <c r="A201" t="inlineStr">
        <is>
          <t>IP-247</t>
        </is>
      </c>
      <c r="B201" t="inlineStr">
        <is>
          <t>24</t>
        </is>
      </c>
      <c r="C201" t="inlineStr">
        <is>
          <t>Transporte</t>
        </is>
      </c>
      <c r="D201" t="inlineStr">
        <is>
          <t>2409</t>
        </is>
      </c>
      <c r="E201" t="inlineStr">
        <is>
          <t>Seguridad de transporte</t>
        </is>
      </c>
      <c r="F201" t="inlineStr">
        <is>
          <t>2409025</t>
        </is>
      </c>
      <c r="G201" t="inlineStr">
        <is>
          <t>Documentos normativos</t>
        </is>
      </c>
      <c r="H201" t="inlineStr">
        <is>
          <t>Incluye la realización de los documentos de contenido normativo para la reglamentación de las diferentes lineas de acción del programa.</t>
        </is>
      </c>
      <c r="I201" t="inlineStr">
        <is>
          <t>2024251260064</t>
        </is>
      </c>
      <c r="J201" s="99">
        <v>150261350</v>
      </c>
      <c r="K201" s="99">
        <v>0</v>
      </c>
      <c r="L201" s="99">
        <v>42580000</v>
      </c>
      <c r="M201" s="99">
        <v>53045000</v>
      </c>
      <c r="N201" s="99">
        <v>54636350</v>
      </c>
      <c r="O201" s="99" t="inlineStr">
        <is>
          <t xml:space="preserve"> </t>
        </is>
      </c>
      <c r="P201" s="99" t="inlineStr">
        <is>
          <t xml:space="preserve"> </t>
        </is>
      </c>
      <c r="Q201" s="99" t="inlineStr">
        <is>
          <t xml:space="preserve"> </t>
        </is>
      </c>
      <c r="R201" s="100" t="inlineStr">
        <is>
          <t xml:space="preserve"> </t>
        </is>
      </c>
      <c r="S201" t="inlineStr">
        <is>
          <t>No se encontró ejecución en CUIPO</t>
        </is>
      </c>
      <c r="T201" s="101" t="inlineStr">
        <is>
          <t xml:space="preserve"> </t>
        </is>
      </c>
      <c r="U201" s="101" t="inlineStr">
        <is>
          <t xml:space="preserve"> </t>
        </is>
      </c>
      <c r="V201" s="101" t="inlineStr">
        <is>
          <t xml:space="preserve"> </t>
        </is>
      </c>
      <c r="W201" s="102" t="inlineStr">
        <is>
          <t xml:space="preserve"> </t>
        </is>
      </c>
      <c r="X201" t="inlineStr">
        <is>
          <t>No se encontró ejecución en CUIPO</t>
        </is>
      </c>
    </row>
    <row r="202">
      <c r="A202" t="inlineStr">
        <is>
          <t>IP-248</t>
        </is>
      </c>
      <c r="B202" t="inlineStr">
        <is>
          <t>24</t>
        </is>
      </c>
      <c r="C202" t="inlineStr">
        <is>
          <t>Transporte</t>
        </is>
      </c>
      <c r="D202" t="inlineStr">
        <is>
          <t>2409</t>
        </is>
      </c>
      <c r="E202" t="inlineStr">
        <is>
          <t>Seguridad de transporte</t>
        </is>
      </c>
      <c r="F202" t="inlineStr">
        <is>
          <t>2409011</t>
        </is>
      </c>
      <c r="G202" t="inlineStr">
        <is>
          <t>Servicio de control a la seguridad vial</t>
        </is>
      </c>
      <c r="H202" t="inlineStr">
        <is>
          <t/>
        </is>
      </c>
      <c r="I202" t="inlineStr">
        <is>
          <t>2024251260064</t>
        </is>
      </c>
      <c r="J202" s="99">
        <v>2249567806.24</v>
      </c>
      <c r="K202" s="99">
        <v>1196000000</v>
      </c>
      <c r="L202" s="99">
        <v>752060026.24</v>
      </c>
      <c r="M202" s="99">
        <v>148526000</v>
      </c>
      <c r="N202" s="99">
        <v>152981780</v>
      </c>
      <c r="O202" s="99">
        <v>768808332</v>
      </c>
      <c r="P202" s="99">
        <v>390629340</v>
      </c>
      <c r="Q202" s="99">
        <v>331669072</v>
      </c>
      <c r="R202" s="100">
        <v>0.326613160535117</v>
      </c>
      <c r="S202" t="inlineStr">
        <is>
          <t>Lo obligado está por debajo de lo programado en la vigencia</t>
        </is>
      </c>
      <c r="T202" s="101">
        <v>410986715</v>
      </c>
      <c r="U202" s="101">
        <v>202952054</v>
      </c>
      <c r="V202" s="101">
        <v>202952054</v>
      </c>
      <c r="W202" s="102">
        <v>0.269861509612044</v>
      </c>
      <c r="X202" t="inlineStr">
        <is>
          <t>Lo obligado está por debajo de lo programado en la vigencia</t>
        </is>
      </c>
    </row>
    <row r="203">
      <c r="A203" t="inlineStr">
        <is>
          <t>IP-249</t>
        </is>
      </c>
      <c r="B203" t="inlineStr">
        <is>
          <t>24</t>
        </is>
      </c>
      <c r="C203" t="inlineStr">
        <is>
          <t>Transporte</t>
        </is>
      </c>
      <c r="D203" t="inlineStr">
        <is>
          <t>2402</t>
        </is>
      </c>
      <c r="E203" t="inlineStr">
        <is>
          <t>Infraestructura red vial regional</t>
        </is>
      </c>
      <c r="F203" t="inlineStr">
        <is>
          <t>2402110</t>
        </is>
      </c>
      <c r="G203" t="inlineStr">
        <is>
          <t>Terminales de transporte construidas</t>
        </is>
      </c>
      <c r="H203" t="inlineStr">
        <is>
          <t/>
        </is>
      </c>
      <c r="I203" t="inlineStr">
        <is>
          <t>2024251260087</t>
        </is>
      </c>
      <c r="J203" s="99">
        <v>0</v>
      </c>
      <c r="K203" s="99">
        <v>0</v>
      </c>
      <c r="L203" s="99">
        <v>0</v>
      </c>
      <c r="M203" s="99">
        <v>0</v>
      </c>
      <c r="N203" s="99">
        <v>0</v>
      </c>
      <c r="O203" s="99" t="inlineStr">
        <is>
          <t xml:space="preserve"> </t>
        </is>
      </c>
      <c r="P203" s="99" t="inlineStr">
        <is>
          <t xml:space="preserve"> </t>
        </is>
      </c>
      <c r="Q203" s="99" t="inlineStr">
        <is>
          <t xml:space="preserve"> </t>
        </is>
      </c>
      <c r="R203" s="100" t="inlineStr">
        <is>
          <t xml:space="preserve"> </t>
        </is>
      </c>
      <c r="S203" t="inlineStr">
        <is>
          <t>No se encontró ejecución en CUIPO</t>
        </is>
      </c>
      <c r="T203" s="101" t="inlineStr">
        <is>
          <t xml:space="preserve"> </t>
        </is>
      </c>
      <c r="U203" s="101" t="inlineStr">
        <is>
          <t xml:space="preserve"> </t>
        </is>
      </c>
      <c r="V203" s="101" t="inlineStr">
        <is>
          <t xml:space="preserve"> </t>
        </is>
      </c>
      <c r="W203" s="102" t="inlineStr">
        <is>
          <t xml:space="preserve"> </t>
        </is>
      </c>
      <c r="X203" t="inlineStr">
        <is>
          <t>No se encontró ejecución en CUIPO</t>
        </is>
      </c>
    </row>
    <row r="204">
      <c r="A204" t="inlineStr">
        <is>
          <t>IP-252</t>
        </is>
      </c>
      <c r="B204" t="inlineStr">
        <is>
          <t>45</t>
        </is>
      </c>
      <c r="C204" t="inlineStr">
        <is>
          <t>Gobierno Territorial</t>
        </is>
      </c>
      <c r="D204" t="inlineStr">
        <is>
          <t>4599</t>
        </is>
      </c>
      <c r="E204" t="inlineStr">
        <is>
          <t>Fortalecimiento a la gestión y dirección de la administración pública territorial</t>
        </is>
      </c>
      <c r="F204" t="inlineStr">
        <is>
          <t>4599016</t>
        </is>
      </c>
      <c r="G204" t="inlineStr">
        <is>
          <t>Sedes mantenidas</t>
        </is>
      </c>
      <c r="H204" t="inlineStr">
        <is>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is>
      </c>
      <c r="I204" t="inlineStr">
        <is>
          <t>2024251260054</t>
        </is>
      </c>
      <c r="J204" s="99">
        <v>2554109500</v>
      </c>
      <c r="K204" s="99">
        <v>350000000</v>
      </c>
      <c r="L204" s="99">
        <v>1127296000</v>
      </c>
      <c r="M204" s="99">
        <v>530450000</v>
      </c>
      <c r="N204" s="99">
        <v>546363500</v>
      </c>
      <c r="O204" s="99">
        <v>334770973</v>
      </c>
      <c r="P204" s="99">
        <v>143505666</v>
      </c>
      <c r="Q204" s="99">
        <v>79896303</v>
      </c>
      <c r="R204" s="100">
        <v>0.410016188571429</v>
      </c>
      <c r="S204" t="inlineStr">
        <is>
          <t>Lo obligado está por debajo de lo programado en la vigencia</t>
        </is>
      </c>
      <c r="T204" s="101">
        <v>1063452059</v>
      </c>
      <c r="U204" s="101">
        <v>780489149</v>
      </c>
      <c r="V204" s="101">
        <v>689606934</v>
      </c>
      <c r="W204" s="102">
        <v>0.692355112587998</v>
      </c>
      <c r="X204" t="inlineStr">
        <is>
          <t>Lo obligado está por debajo de lo programado en la vigencia</t>
        </is>
      </c>
    </row>
    <row r="205">
      <c r="A205" t="inlineStr">
        <is>
          <t>IP-253</t>
        </is>
      </c>
      <c r="B205" t="inlineStr">
        <is>
          <t>45</t>
        </is>
      </c>
      <c r="C205" t="inlineStr">
        <is>
          <t>Gobierno Territorial</t>
        </is>
      </c>
      <c r="D205" t="inlineStr">
        <is>
          <t>4599</t>
        </is>
      </c>
      <c r="E205" t="inlineStr">
        <is>
          <t>Fortalecimiento a la gestión y dirección de la administración pública territorial</t>
        </is>
      </c>
      <c r="F205" t="inlineStr">
        <is>
          <t>4599008</t>
        </is>
      </c>
      <c r="G205" t="inlineStr">
        <is>
          <t>Sede construida y dotada</t>
        </is>
      </c>
      <c r="H205" t="inlineStr">
        <is>
          <t>Corresponde a un inmueble resultado de obras de edificación en terrenos no construidos o cuya área esté libre por autorización de demolición total. Incluye la dotación del inmueble. (Corresponde a la licencia de construcción por obra nueva)</t>
        </is>
      </c>
      <c r="I205" t="inlineStr">
        <is>
          <t>2024251260091</t>
        </is>
      </c>
      <c r="J205" s="99">
        <v>6272700000</v>
      </c>
      <c r="K205" s="99">
        <v>0</v>
      </c>
      <c r="L205" s="99">
        <v>0</v>
      </c>
      <c r="M205" s="99">
        <v>3090000000</v>
      </c>
      <c r="N205" s="99">
        <v>3182700000</v>
      </c>
      <c r="O205" s="99" t="inlineStr">
        <is>
          <t xml:space="preserve"> </t>
        </is>
      </c>
      <c r="P205" s="99" t="inlineStr">
        <is>
          <t xml:space="preserve"> </t>
        </is>
      </c>
      <c r="Q205" s="99" t="inlineStr">
        <is>
          <t xml:space="preserve"> </t>
        </is>
      </c>
      <c r="R205" s="100" t="inlineStr">
        <is>
          <t xml:space="preserve"> </t>
        </is>
      </c>
      <c r="S205" t="inlineStr">
        <is>
          <t>No se encontró ejecución en CUIPO</t>
        </is>
      </c>
      <c r="T205" s="101" t="inlineStr">
        <is>
          <t xml:space="preserve"> </t>
        </is>
      </c>
      <c r="U205" s="101" t="inlineStr">
        <is>
          <t xml:space="preserve"> </t>
        </is>
      </c>
      <c r="V205" s="101" t="inlineStr">
        <is>
          <t xml:space="preserve"> </t>
        </is>
      </c>
      <c r="W205" s="102" t="inlineStr">
        <is>
          <t xml:space="preserve"> </t>
        </is>
      </c>
      <c r="X205" t="inlineStr">
        <is>
          <t>No se encontró ejecución en CUIPO</t>
        </is>
      </c>
    </row>
    <row r="206">
      <c r="A206" t="inlineStr">
        <is>
          <t>IP-254</t>
        </is>
      </c>
      <c r="B206" t="inlineStr">
        <is>
          <t>45</t>
        </is>
      </c>
      <c r="C206" t="inlineStr">
        <is>
          <t>Gobierno Territorial</t>
        </is>
      </c>
      <c r="D206" t="inlineStr">
        <is>
          <t>4599</t>
        </is>
      </c>
      <c r="E206" t="inlineStr">
        <is>
          <t>Fortalecimiento a la gestión y dirección de la administración pública territorial</t>
        </is>
      </c>
      <c r="F206" t="inlineStr">
        <is>
          <t>4599015</t>
        </is>
      </c>
      <c r="G206" t="inlineStr">
        <is>
          <t>Sedes adquiridas</t>
        </is>
      </c>
      <c r="H206" t="inlineStr">
        <is>
          <t>Corresponde a un inmueble que es adquirido, cuya función es la prestación de servicios asociados a la entidad pública que lo adquiere.</t>
        </is>
      </c>
      <c r="I206" t="inlineStr">
        <is>
          <t>2024251260054</t>
        </is>
      </c>
      <c r="J206" s="99">
        <v>502761962</v>
      </c>
      <c r="K206" s="99">
        <v>0</v>
      </c>
      <c r="L206" s="99">
        <v>502761962</v>
      </c>
      <c r="M206" s="99">
        <v>0</v>
      </c>
      <c r="N206" s="99">
        <v>0</v>
      </c>
      <c r="O206" s="99" t="inlineStr">
        <is>
          <t xml:space="preserve"> </t>
        </is>
      </c>
      <c r="P206" s="99" t="inlineStr">
        <is>
          <t xml:space="preserve"> </t>
        </is>
      </c>
      <c r="Q206" s="99" t="inlineStr">
        <is>
          <t xml:space="preserve"> </t>
        </is>
      </c>
      <c r="R206" s="100" t="inlineStr">
        <is>
          <t xml:space="preserve"> </t>
        </is>
      </c>
      <c r="S206" t="inlineStr">
        <is>
          <t>No se encontró ejecución en CUIPO</t>
        </is>
      </c>
      <c r="T206" s="101" t="inlineStr">
        <is>
          <t xml:space="preserve"> </t>
        </is>
      </c>
      <c r="U206" s="101" t="inlineStr">
        <is>
          <t xml:space="preserve"> </t>
        </is>
      </c>
      <c r="V206" s="101" t="inlineStr">
        <is>
          <t xml:space="preserve"> </t>
        </is>
      </c>
      <c r="W206" s="102" t="inlineStr">
        <is>
          <t xml:space="preserve"> </t>
        </is>
      </c>
      <c r="X206" t="inlineStr">
        <is>
          <t>No se encontró ejecución en CUIPO</t>
        </is>
      </c>
    </row>
    <row r="207">
      <c r="A207" t="inlineStr">
        <is>
          <t>IP-255</t>
        </is>
      </c>
      <c r="B207" t="inlineStr">
        <is>
          <t>45</t>
        </is>
      </c>
      <c r="C207" t="inlineStr">
        <is>
          <t>Gobierno Territorial</t>
        </is>
      </c>
      <c r="D207" t="inlineStr">
        <is>
          <t>4599</t>
        </is>
      </c>
      <c r="E207" t="inlineStr">
        <is>
          <t>Fortalecimiento a la gestión y dirección de la administración pública territorial</t>
        </is>
      </c>
      <c r="F207" t="inlineStr">
        <is>
          <t>4599011</t>
        </is>
      </c>
      <c r="G207" t="inlineStr">
        <is>
          <t>Sedes adecuadas</t>
        </is>
      </c>
      <c r="H207" t="inlineStr">
        <is>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is>
      </c>
      <c r="I207" t="inlineStr">
        <is>
          <t>2024251260088</t>
        </is>
      </c>
      <c r="J207" s="99">
        <v>0</v>
      </c>
      <c r="K207" s="99">
        <v>0</v>
      </c>
      <c r="L207" s="99">
        <v>0</v>
      </c>
      <c r="M207" s="99">
        <v>0</v>
      </c>
      <c r="N207" s="99">
        <v>0</v>
      </c>
      <c r="O207" s="99" t="inlineStr">
        <is>
          <t xml:space="preserve"> </t>
        </is>
      </c>
      <c r="P207" s="99" t="inlineStr">
        <is>
          <t xml:space="preserve"> </t>
        </is>
      </c>
      <c r="Q207" s="99" t="inlineStr">
        <is>
          <t xml:space="preserve"> </t>
        </is>
      </c>
      <c r="R207" s="100" t="inlineStr">
        <is>
          <t xml:space="preserve"> </t>
        </is>
      </c>
      <c r="S207" t="inlineStr">
        <is>
          <t>No se encontró ejecución en CUIPO</t>
        </is>
      </c>
      <c r="T207" s="101" t="inlineStr">
        <is>
          <t xml:space="preserve"> </t>
        </is>
      </c>
      <c r="U207" s="101" t="inlineStr">
        <is>
          <t xml:space="preserve"> </t>
        </is>
      </c>
      <c r="V207" s="101" t="inlineStr">
        <is>
          <t xml:space="preserve"> </t>
        </is>
      </c>
      <c r="W207" s="102" t="inlineStr">
        <is>
          <t xml:space="preserve"> </t>
        </is>
      </c>
      <c r="X207" t="inlineStr">
        <is>
          <t>No se encontró ejecución en CUIPO</t>
        </is>
      </c>
    </row>
    <row r="208">
      <c r="A208" t="inlineStr">
        <is>
          <t>IP-256</t>
        </is>
      </c>
      <c r="B208" t="inlineStr">
        <is>
          <t>45</t>
        </is>
      </c>
      <c r="C208" t="inlineStr">
        <is>
          <t>Gobierno Territorial</t>
        </is>
      </c>
      <c r="D208" t="inlineStr">
        <is>
          <t>4502</t>
        </is>
      </c>
      <c r="E208" t="inlineStr">
        <is>
          <t>Fortalecimiento del buen gobierno para el respeto y garantía de los derechos humanos.</t>
        </is>
      </c>
      <c r="F208" t="inlineStr">
        <is>
          <t>4502035</t>
        </is>
      </c>
      <c r="G208" t="inlineStr">
        <is>
          <t>Documentos de planeación</t>
        </is>
      </c>
      <c r="H208" t="inlineStr">
        <is>
          <t>Documentos cuyo objetivo es plasmar una visión de futuro a nivel país, entidad territorial, comunidad, sector, región, entidad o cualquier nivel de desagregación que se requiera. Incluye objetivos, estrategias, metas e indicadores.</t>
        </is>
      </c>
      <c r="I208" t="inlineStr">
        <is>
          <t>2024251260056</t>
        </is>
      </c>
      <c r="J208" s="99">
        <v>334690160</v>
      </c>
      <c r="K208" s="99">
        <v>80000000</v>
      </c>
      <c r="L208" s="99">
        <v>82400000</v>
      </c>
      <c r="M208" s="99">
        <v>84872000</v>
      </c>
      <c r="N208" s="99">
        <v>87418160</v>
      </c>
      <c r="O208" s="99">
        <v>25000000</v>
      </c>
      <c r="P208" s="99">
        <v>25000000</v>
      </c>
      <c r="Q208" s="99">
        <v>25000000</v>
      </c>
      <c r="R208" s="100">
        <v>0.3125</v>
      </c>
      <c r="S208" t="inlineStr">
        <is>
          <t>Lo obligado está por debajo de lo programado en la vigencia</t>
        </is>
      </c>
      <c r="T208" s="101" t="inlineStr">
        <is>
          <t xml:space="preserve"> </t>
        </is>
      </c>
      <c r="U208" s="101" t="inlineStr">
        <is>
          <t xml:space="preserve"> </t>
        </is>
      </c>
      <c r="V208" s="101" t="inlineStr">
        <is>
          <t xml:space="preserve"> </t>
        </is>
      </c>
      <c r="W208" s="102" t="inlineStr">
        <is>
          <t xml:space="preserve"> </t>
        </is>
      </c>
      <c r="X208" t="inlineStr">
        <is>
          <t>No se encontró ejecución en CUIPO</t>
        </is>
      </c>
    </row>
    <row r="209">
      <c r="A209" t="inlineStr">
        <is>
          <t>IP-257</t>
        </is>
      </c>
      <c r="B209" t="inlineStr">
        <is>
          <t>45</t>
        </is>
      </c>
      <c r="C209" t="inlineStr">
        <is>
          <t>Gobierno Territorial</t>
        </is>
      </c>
      <c r="D209" t="inlineStr">
        <is>
          <t>4502</t>
        </is>
      </c>
      <c r="E209" t="inlineStr">
        <is>
          <t>Fortalecimiento del buen gobierno para el respeto y garantía de los derechos humanos.</t>
        </is>
      </c>
      <c r="F209" t="inlineStr">
        <is>
          <t>4502032</t>
        </is>
      </c>
      <c r="G209" t="inlineStr">
        <is>
          <t>Documentos de lineamientos técnicos</t>
        </is>
      </c>
      <c r="H209" t="inlineStr">
        <is>
          <t>Documentos cuyo objetivo es describir y explicar instrumentos, estándares, requisitos y condiciones necesarias para llevar a cabo un proceso o actividad.</t>
        </is>
      </c>
      <c r="I209" t="inlineStr">
        <is>
          <t>2024251260056</t>
        </is>
      </c>
      <c r="J209" s="99">
        <v>334690160</v>
      </c>
      <c r="K209" s="99">
        <v>80000000</v>
      </c>
      <c r="L209" s="99">
        <v>82400000</v>
      </c>
      <c r="M209" s="99">
        <v>84872000</v>
      </c>
      <c r="N209" s="99">
        <v>87418160</v>
      </c>
      <c r="O209" s="99">
        <v>29091930</v>
      </c>
      <c r="P209" s="99">
        <v>29091930</v>
      </c>
      <c r="Q209" s="99">
        <v>29091930</v>
      </c>
      <c r="R209" s="100">
        <v>0.363649125</v>
      </c>
      <c r="S209" t="inlineStr">
        <is>
          <t>Lo obligado está por debajo de lo programado en la vigencia</t>
        </is>
      </c>
      <c r="T209" s="101" t="inlineStr">
        <is>
          <t xml:space="preserve"> </t>
        </is>
      </c>
      <c r="U209" s="101" t="inlineStr">
        <is>
          <t xml:space="preserve"> </t>
        </is>
      </c>
      <c r="V209" s="101" t="inlineStr">
        <is>
          <t xml:space="preserve"> </t>
        </is>
      </c>
      <c r="W209" s="102" t="inlineStr">
        <is>
          <t xml:space="preserve"> </t>
        </is>
      </c>
      <c r="X209" t="inlineStr">
        <is>
          <t>No se encontró ejecución en CUIPO</t>
        </is>
      </c>
    </row>
    <row r="210">
      <c r="A210" t="inlineStr">
        <is>
          <t>IP-258</t>
        </is>
      </c>
      <c r="B210" t="inlineStr">
        <is>
          <t>45</t>
        </is>
      </c>
      <c r="C210" t="inlineStr">
        <is>
          <t>Gobierno Territorial</t>
        </is>
      </c>
      <c r="D210" t="inlineStr">
        <is>
          <t>4599</t>
        </is>
      </c>
      <c r="E210" t="inlineStr">
        <is>
          <t>Fortalecimiento a la gestión y dirección de la administración pública territorial</t>
        </is>
      </c>
      <c r="F210" t="inlineStr">
        <is>
          <t>4599019</t>
        </is>
      </c>
      <c r="G210" t="inlineStr">
        <is>
          <t>Documentos de planeación</t>
        </is>
      </c>
      <c r="H210"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210" t="inlineStr">
        <is>
          <t>2024251260056</t>
        </is>
      </c>
      <c r="J210" s="99">
        <v>125508810</v>
      </c>
      <c r="K210" s="99">
        <v>30000000</v>
      </c>
      <c r="L210" s="99">
        <v>30900000</v>
      </c>
      <c r="M210" s="99">
        <v>31827000</v>
      </c>
      <c r="N210" s="99">
        <v>32781810</v>
      </c>
      <c r="O210" s="99">
        <v>15000000</v>
      </c>
      <c r="P210" s="99">
        <v>15000000</v>
      </c>
      <c r="Q210" s="99">
        <v>15000000</v>
      </c>
      <c r="R210" s="100">
        <v>0.5</v>
      </c>
      <c r="S210" t="inlineStr">
        <is>
          <t>Lo obligado está por debajo de lo programado en la vigencia</t>
        </is>
      </c>
      <c r="T210" s="101">
        <v>39417810</v>
      </c>
      <c r="U210" s="101">
        <v>17766667</v>
      </c>
      <c r="V210" s="101">
        <v>17766667</v>
      </c>
      <c r="W210" s="102">
        <v>0.574973042071197</v>
      </c>
      <c r="X210" t="inlineStr">
        <is>
          <t>Lo obligado está por debajo de lo programado en la vigencia</t>
        </is>
      </c>
    </row>
    <row r="211">
      <c r="A211" t="inlineStr">
        <is>
          <t>IP-259</t>
        </is>
      </c>
      <c r="B211" t="inlineStr">
        <is>
          <t>45</t>
        </is>
      </c>
      <c r="C211" t="inlineStr">
        <is>
          <t>Gobierno Territorial</t>
        </is>
      </c>
      <c r="D211" t="inlineStr">
        <is>
          <t>4599</t>
        </is>
      </c>
      <c r="E211" t="inlineStr">
        <is>
          <t>Fortalecimiento a la gestión y dirección de la administración pública territorial</t>
        </is>
      </c>
      <c r="F211" t="inlineStr">
        <is>
          <t>4599035</t>
        </is>
      </c>
      <c r="G211" t="inlineStr">
        <is>
          <t>Servicio de saneamiento laboral y prestacional</t>
        </is>
      </c>
      <c r="H211" t="inlineStr">
        <is>
          <t>Recursos destinados a financiar el pago de deudas de carácter laboral y prestacional originadas en la prestación de los servicios de competencia de las entidades territoriales.</t>
        </is>
      </c>
      <c r="I211" t="inlineStr">
        <is>
          <t>2024251260056</t>
        </is>
      </c>
      <c r="J211" s="99">
        <v>4107757741</v>
      </c>
      <c r="K211" s="99">
        <v>2579616781</v>
      </c>
      <c r="L211" s="99">
        <v>494400000</v>
      </c>
      <c r="M211" s="99">
        <v>509232000</v>
      </c>
      <c r="N211" s="99">
        <v>524508960</v>
      </c>
      <c r="O211" s="99" t="inlineStr">
        <is>
          <t xml:space="preserve"> </t>
        </is>
      </c>
      <c r="P211" s="99" t="inlineStr">
        <is>
          <t xml:space="preserve"> </t>
        </is>
      </c>
      <c r="Q211" s="99" t="inlineStr">
        <is>
          <t xml:space="preserve"> </t>
        </is>
      </c>
      <c r="R211" s="100" t="inlineStr">
        <is>
          <t xml:space="preserve"> </t>
        </is>
      </c>
      <c r="S211" t="inlineStr">
        <is>
          <t>No se encontró ejecución en CUIPO</t>
        </is>
      </c>
      <c r="T211" s="101">
        <v>104161706</v>
      </c>
      <c r="U211" s="101">
        <v>104161706</v>
      </c>
      <c r="V211" s="101">
        <v>104161706</v>
      </c>
      <c r="W211" s="102">
        <v>0.210683062297735</v>
      </c>
      <c r="X211" t="inlineStr">
        <is>
          <t>Lo obligado está por debajo de lo programado en la vigencia</t>
        </is>
      </c>
    </row>
    <row r="212">
      <c r="A212" t="inlineStr">
        <is>
          <t>IP-260</t>
        </is>
      </c>
      <c r="B212" t="inlineStr">
        <is>
          <t>45</t>
        </is>
      </c>
      <c r="C212" t="inlineStr">
        <is>
          <t>Gobierno Territorial</t>
        </is>
      </c>
      <c r="D212" t="inlineStr">
        <is>
          <t>4502</t>
        </is>
      </c>
      <c r="E212" t="inlineStr">
        <is>
          <t>Fortalecimiento del buen gobierno para el respeto y garantía de los derechos humanos.</t>
        </is>
      </c>
      <c r="F212" t="inlineStr">
        <is>
          <t>4502010</t>
        </is>
      </c>
      <c r="G212" t="inlineStr">
        <is>
          <t>Oficina para la atención y orientación ciudadana adecuada</t>
        </is>
      </c>
      <c r="H212" t="inlineStr">
        <is>
          <t xml:space="preserve">Acciones orientadas a  cambiar el uso de una edificación o parte de ella, garantizando la permanencia total o parcial del inmueble original de acuerdo con las necesidades focalizadas en materia del programa en las zonas rurales y urbanas. </t>
        </is>
      </c>
      <c r="I212" t="inlineStr">
        <is>
          <t>2024251260057</t>
        </is>
      </c>
      <c r="J212" s="99">
        <v>1045906750</v>
      </c>
      <c r="K212" s="99">
        <v>250000000</v>
      </c>
      <c r="L212" s="99">
        <v>257500000</v>
      </c>
      <c r="M212" s="99">
        <v>265225000</v>
      </c>
      <c r="N212" s="99">
        <v>273181750</v>
      </c>
      <c r="O212" s="99" t="inlineStr">
        <is>
          <t xml:space="preserve"> </t>
        </is>
      </c>
      <c r="P212" s="99" t="inlineStr">
        <is>
          <t xml:space="preserve"> </t>
        </is>
      </c>
      <c r="Q212" s="99" t="inlineStr">
        <is>
          <t xml:space="preserve"> </t>
        </is>
      </c>
      <c r="R212" s="100" t="inlineStr">
        <is>
          <t xml:space="preserve"> </t>
        </is>
      </c>
      <c r="S212" t="inlineStr">
        <is>
          <t>No se encontró ejecución en CUIPO</t>
        </is>
      </c>
      <c r="T212" s="101" t="inlineStr">
        <is>
          <t xml:space="preserve"> </t>
        </is>
      </c>
      <c r="U212" s="101" t="inlineStr">
        <is>
          <t xml:space="preserve"> </t>
        </is>
      </c>
      <c r="V212" s="101" t="inlineStr">
        <is>
          <t xml:space="preserve"> </t>
        </is>
      </c>
      <c r="W212" s="102" t="inlineStr">
        <is>
          <t xml:space="preserve"> </t>
        </is>
      </c>
      <c r="X212" t="inlineStr">
        <is>
          <t>No se encontró ejecución en CUIPO</t>
        </is>
      </c>
    </row>
    <row r="213">
      <c r="A213" t="inlineStr">
        <is>
          <t>IP-261</t>
        </is>
      </c>
      <c r="B213" t="inlineStr">
        <is>
          <t>45</t>
        </is>
      </c>
      <c r="C213" t="inlineStr">
        <is>
          <t>Gobierno Territorial</t>
        </is>
      </c>
      <c r="D213" t="inlineStr">
        <is>
          <t>4599</t>
        </is>
      </c>
      <c r="E213" t="inlineStr">
        <is>
          <t>Fortalecimiento a la gestión y dirección de la administración pública territorial</t>
        </is>
      </c>
      <c r="F213" t="inlineStr">
        <is>
          <t>4599034</t>
        </is>
      </c>
      <c r="G213" t="inlineStr">
        <is>
          <t>Sedes dotadas</t>
        </is>
      </c>
      <c r="H213" t="inlineStr">
        <is>
          <t>Incluye el proceso de identificación de necesidades de dotación administrativa, así como la adquisición e instalación de mobiliario y demás elementos no consumibles requeridos para apoyar la prestación de los servicios de la entidad.</t>
        </is>
      </c>
      <c r="I213" t="inlineStr">
        <is>
          <t>2024251260057</t>
        </is>
      </c>
      <c r="J213" s="99">
        <v>107681350</v>
      </c>
      <c r="K213" s="99">
        <v>0</v>
      </c>
      <c r="L213" s="99">
        <v>0</v>
      </c>
      <c r="M213" s="99">
        <v>53045000</v>
      </c>
      <c r="N213" s="99">
        <v>54636350</v>
      </c>
      <c r="O213" s="99" t="inlineStr">
        <is>
          <t xml:space="preserve"> </t>
        </is>
      </c>
      <c r="P213" s="99" t="inlineStr">
        <is>
          <t xml:space="preserve"> </t>
        </is>
      </c>
      <c r="Q213" s="99" t="inlineStr">
        <is>
          <t xml:space="preserve"> </t>
        </is>
      </c>
      <c r="R213" s="100" t="inlineStr">
        <is>
          <t xml:space="preserve"> </t>
        </is>
      </c>
      <c r="S213" t="inlineStr">
        <is>
          <t>No se encontró ejecución en CUIPO</t>
        </is>
      </c>
      <c r="T213" s="101" t="inlineStr">
        <is>
          <t xml:space="preserve"> </t>
        </is>
      </c>
      <c r="U213" s="101" t="inlineStr">
        <is>
          <t xml:space="preserve"> </t>
        </is>
      </c>
      <c r="V213" s="101" t="inlineStr">
        <is>
          <t xml:space="preserve"> </t>
        </is>
      </c>
      <c r="W213" s="102" t="inlineStr">
        <is>
          <t xml:space="preserve"> </t>
        </is>
      </c>
      <c r="X213" t="inlineStr">
        <is>
          <t>No se encontró ejecución en CUIPO</t>
        </is>
      </c>
    </row>
    <row r="214">
      <c r="A214" t="inlineStr">
        <is>
          <t>IP-262</t>
        </is>
      </c>
      <c r="B214" t="inlineStr">
        <is>
          <t>45</t>
        </is>
      </c>
      <c r="C214" t="inlineStr">
        <is>
          <t>Gobierno Territorial</t>
        </is>
      </c>
      <c r="D214" t="inlineStr">
        <is>
          <t>4599</t>
        </is>
      </c>
      <c r="E214" t="inlineStr">
        <is>
          <t>Fortalecimiento a la gestión y dirección de la administración pública territorial</t>
        </is>
      </c>
      <c r="F214" t="inlineStr">
        <is>
          <t>4599038</t>
        </is>
      </c>
      <c r="G214" t="inlineStr">
        <is>
          <t>Servicio de apoyo financiero para el fortalecimiento del talento humano</t>
        </is>
      </c>
      <c r="H214" t="inlineStr">
        <is>
          <t>Corresponde al apoyo financiero para la realización de programas educativos, dirigidos a servidores públicos con el fin de contribuir a la formación del talento humano orientado al fortalecimiento de la capacidad institucional.</t>
        </is>
      </c>
      <c r="I214" t="inlineStr">
        <is>
          <t>2024251260057</t>
        </is>
      </c>
      <c r="J214" s="99">
        <v>24124243273.42</v>
      </c>
      <c r="K214" s="99">
        <v>3497595762.42</v>
      </c>
      <c r="L214" s="99">
        <v>6427784700</v>
      </c>
      <c r="M214" s="99">
        <v>6994513700</v>
      </c>
      <c r="N214" s="99">
        <v>7204349111</v>
      </c>
      <c r="O214" s="99">
        <v>3390622791</v>
      </c>
      <c r="P214" s="99">
        <v>2548417141</v>
      </c>
      <c r="Q214" s="99">
        <v>2548417141</v>
      </c>
      <c r="R214" s="100">
        <v>0.72861969024023</v>
      </c>
      <c r="S214" t="inlineStr">
        <is>
          <t>Lo obligado está por debajo de lo programado en la vigencia</t>
        </is>
      </c>
      <c r="T214" s="101">
        <v>4889502749</v>
      </c>
      <c r="U214" s="101">
        <v>4053232962</v>
      </c>
      <c r="V214" s="101">
        <v>4045800962</v>
      </c>
      <c r="W214" s="102">
        <v>0.630580075589651</v>
      </c>
      <c r="X214" t="inlineStr">
        <is>
          <t>Lo obligado está por debajo de lo programado en la vigencia</t>
        </is>
      </c>
    </row>
    <row r="215">
      <c r="A215" t="inlineStr">
        <is>
          <t>IP-263</t>
        </is>
      </c>
      <c r="B215" t="inlineStr">
        <is>
          <t>45</t>
        </is>
      </c>
      <c r="C215" t="inlineStr">
        <is>
          <t>Gobierno Territorial</t>
        </is>
      </c>
      <c r="D215" t="inlineStr">
        <is>
          <t>4599</t>
        </is>
      </c>
      <c r="E215" t="inlineStr">
        <is>
          <t>Fortalecimiento a la gestión y dirección de la administración pública territorial</t>
        </is>
      </c>
      <c r="F215" t="inlineStr">
        <is>
          <t>4599031</t>
        </is>
      </c>
      <c r="G215" t="inlineStr">
        <is>
          <t>Servicio de asistencia técnica</t>
        </is>
      </c>
      <c r="H215" t="inlineStr">
        <is>
          <t>Corresponde al acompañamiento,apoyo,  asesoría y seguimiento técnico para la transferencia de herramientas de gestión y conocimiento en políticas, planes , proyectos y programas de apoyo a la dirección y gestión de la administración territorial.</t>
        </is>
      </c>
      <c r="I215" t="inlineStr">
        <is>
          <t>2024251260057</t>
        </is>
      </c>
      <c r="J215" s="99">
        <v>0</v>
      </c>
      <c r="K215" s="99">
        <v>0</v>
      </c>
      <c r="L215" s="99">
        <v>0</v>
      </c>
      <c r="M215" s="99">
        <v>0</v>
      </c>
      <c r="N215" s="99">
        <v>0</v>
      </c>
      <c r="O215" s="99">
        <v>49034782</v>
      </c>
      <c r="P215" s="99">
        <v>49034782</v>
      </c>
      <c r="Q215" s="99">
        <v>49034782</v>
      </c>
      <c r="R215" s="100" t="inlineStr">
        <is>
          <t xml:space="preserve"> </t>
        </is>
      </c>
      <c r="S215" t="inlineStr">
        <is>
          <t>Se ejecutó un producto no programado en la vigencia</t>
        </is>
      </c>
      <c r="T215" s="101" t="inlineStr">
        <is>
          <t xml:space="preserve"> </t>
        </is>
      </c>
      <c r="U215" s="101" t="inlineStr">
        <is>
          <t xml:space="preserve"> </t>
        </is>
      </c>
      <c r="V215" s="101" t="inlineStr">
        <is>
          <t xml:space="preserve"> </t>
        </is>
      </c>
      <c r="W215" s="102" t="inlineStr">
        <is>
          <t xml:space="preserve"> </t>
        </is>
      </c>
      <c r="X215" t="inlineStr">
        <is>
          <t>No se encontró ejecución en CUIPO</t>
        </is>
      </c>
    </row>
    <row r="216">
      <c r="A216" t="inlineStr">
        <is>
          <t>IP-264</t>
        </is>
      </c>
      <c r="B216" t="inlineStr">
        <is>
          <t>45</t>
        </is>
      </c>
      <c r="C216" t="inlineStr">
        <is>
          <t>Gobierno Territorial</t>
        </is>
      </c>
      <c r="D216" t="inlineStr">
        <is>
          <t>4599</t>
        </is>
      </c>
      <c r="E216" t="inlineStr">
        <is>
          <t>Fortalecimiento a la gestión y dirección de la administración pública territorial</t>
        </is>
      </c>
      <c r="F216" t="inlineStr">
        <is>
          <t>4599017</t>
        </is>
      </c>
      <c r="G216" t="inlineStr">
        <is>
          <t>Servicio de gestión documental</t>
        </is>
      </c>
      <c r="H216"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216" t="inlineStr">
        <is>
          <t>2024251260057</t>
        </is>
      </c>
      <c r="J216" s="99">
        <v>351017620</v>
      </c>
      <c r="K216" s="99">
        <v>160000000</v>
      </c>
      <c r="L216" s="99">
        <v>61800000</v>
      </c>
      <c r="M216" s="99">
        <v>63654000</v>
      </c>
      <c r="N216" s="99">
        <v>65563620</v>
      </c>
      <c r="O216" s="99">
        <v>92013988</v>
      </c>
      <c r="P216" s="99">
        <v>92013988</v>
      </c>
      <c r="Q216" s="99">
        <v>92013988</v>
      </c>
      <c r="R216" s="100">
        <v>0.575087425</v>
      </c>
      <c r="S216" t="inlineStr">
        <is>
          <t>Lo obligado está por debajo de lo programado en la vigencia</t>
        </is>
      </c>
      <c r="T216" s="101">
        <v>124413133</v>
      </c>
      <c r="U216" s="101">
        <v>89400838</v>
      </c>
      <c r="V216" s="101">
        <v>77566838</v>
      </c>
      <c r="W216" s="102">
        <v>1.44661550161812</v>
      </c>
      <c r="X216" t="inlineStr">
        <is>
          <t>Hubo ejecución por encima de lo programado en SisPT</t>
        </is>
      </c>
    </row>
    <row r="217">
      <c r="A217" t="inlineStr">
        <is>
          <t>IP-265, IP-268</t>
        </is>
      </c>
      <c r="B217" t="inlineStr">
        <is>
          <t>45</t>
        </is>
      </c>
      <c r="C217" t="inlineStr">
        <is>
          <t>Gobierno Territorial</t>
        </is>
      </c>
      <c r="D217" t="inlineStr">
        <is>
          <t>4599</t>
        </is>
      </c>
      <c r="E217" t="inlineStr">
        <is>
          <t>Fortalecimiento a la gestión y dirección de la administración pública territorial</t>
        </is>
      </c>
      <c r="F217" t="inlineStr">
        <is>
          <t>4599023</t>
        </is>
      </c>
      <c r="G217" t="inlineStr">
        <is>
          <t>Servicio de Implementación Sistemas de Gestión</t>
        </is>
      </c>
      <c r="H217"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217" t="inlineStr">
        <is>
          <t>2024251260002</t>
        </is>
      </c>
      <c r="J217" s="99">
        <v>113018116</v>
      </c>
      <c r="K217" s="99">
        <v>6500000</v>
      </c>
      <c r="L217" s="99">
        <v>41909306</v>
      </c>
      <c r="M217" s="99">
        <v>31827000</v>
      </c>
      <c r="N217" s="99">
        <v>32781810</v>
      </c>
      <c r="O217" s="99">
        <v>6177052</v>
      </c>
      <c r="P217" s="99">
        <v>6177052</v>
      </c>
      <c r="Q217" s="99">
        <v>6177052</v>
      </c>
      <c r="R217" s="100">
        <v>0.950315692307692</v>
      </c>
      <c r="S217" t="inlineStr">
        <is>
          <t>Lo obligado está por debajo de lo programado en la vigencia</t>
        </is>
      </c>
      <c r="T217" s="101">
        <v>208084306</v>
      </c>
      <c r="U217" s="101">
        <v>155569306</v>
      </c>
      <c r="V217" s="101">
        <v>149919306</v>
      </c>
      <c r="W217" s="102">
        <v>3.71204681843216</v>
      </c>
      <c r="X217" t="inlineStr">
        <is>
          <t>Hubo ejecución por encima de lo programado en SisPT</t>
        </is>
      </c>
    </row>
    <row r="218">
      <c r="A218" t="inlineStr">
        <is>
          <t>IP-266</t>
        </is>
      </c>
      <c r="B218" t="inlineStr">
        <is>
          <t>45</t>
        </is>
      </c>
      <c r="C218" t="inlineStr">
        <is>
          <t>Gobierno Territorial</t>
        </is>
      </c>
      <c r="D218" t="inlineStr">
        <is>
          <t>4599</t>
        </is>
      </c>
      <c r="E218" t="inlineStr">
        <is>
          <t>Fortalecimiento a la gestión y dirección de la administración pública territorial</t>
        </is>
      </c>
      <c r="F218" t="inlineStr">
        <is>
          <t>4599019</t>
        </is>
      </c>
      <c r="G218" t="inlineStr">
        <is>
          <t>Documentos de planeación</t>
        </is>
      </c>
      <c r="H218"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218" t="inlineStr">
        <is>
          <t>2024251260002</t>
        </is>
      </c>
      <c r="J218" s="99">
        <v>0</v>
      </c>
      <c r="K218" s="99">
        <v>0</v>
      </c>
      <c r="L218" s="99">
        <v>0</v>
      </c>
      <c r="M218" s="99">
        <v>0</v>
      </c>
      <c r="N218" s="99">
        <v>0</v>
      </c>
      <c r="O218" s="99" t="inlineStr">
        <is>
          <t xml:space="preserve"> </t>
        </is>
      </c>
      <c r="P218" s="99" t="inlineStr">
        <is>
          <t xml:space="preserve"> </t>
        </is>
      </c>
      <c r="Q218" s="99" t="inlineStr">
        <is>
          <t xml:space="preserve"> </t>
        </is>
      </c>
      <c r="R218" s="100" t="inlineStr">
        <is>
          <t xml:space="preserve"> </t>
        </is>
      </c>
      <c r="S218" t="inlineStr">
        <is>
          <t>No se encontró ejecución en CUIPO</t>
        </is>
      </c>
      <c r="T218" s="101" t="inlineStr">
        <is>
          <t xml:space="preserve"> </t>
        </is>
      </c>
      <c r="U218" s="101" t="inlineStr">
        <is>
          <t xml:space="preserve"> </t>
        </is>
      </c>
      <c r="V218" s="101" t="inlineStr">
        <is>
          <t xml:space="preserve"> </t>
        </is>
      </c>
      <c r="W218" s="102" t="inlineStr">
        <is>
          <t xml:space="preserve"> </t>
        </is>
      </c>
      <c r="X218" t="inlineStr">
        <is>
          <t>No se encontró ejecución en CUIPO</t>
        </is>
      </c>
    </row>
    <row r="219">
      <c r="A219" t="inlineStr">
        <is>
          <t>IP-267</t>
        </is>
      </c>
      <c r="B219" t="inlineStr">
        <is>
          <t>45</t>
        </is>
      </c>
      <c r="C219" t="inlineStr">
        <is>
          <t>Gobierno Territorial</t>
        </is>
      </c>
      <c r="D219" t="inlineStr">
        <is>
          <t>4599</t>
        </is>
      </c>
      <c r="E219" t="inlineStr">
        <is>
          <t>Fortalecimiento a la gestión y dirección de la administración pública territorial</t>
        </is>
      </c>
      <c r="F219" t="inlineStr">
        <is>
          <t>4599031</t>
        </is>
      </c>
      <c r="G219" t="inlineStr">
        <is>
          <t>Servicio de asistencia técnica</t>
        </is>
      </c>
      <c r="H219" t="inlineStr">
        <is>
          <t>Corresponde al acompañamiento,apoyo,  asesoría y seguimiento técnico para la transferencia de herramientas de gestión y conocimiento en políticas, planes , proyectos y programas de apoyo a la dirección y gestión de la administración territorial.</t>
        </is>
      </c>
      <c r="I219" t="inlineStr">
        <is>
          <t>2024251260002</t>
        </is>
      </c>
      <c r="J219" s="99">
        <v>518362700</v>
      </c>
      <c r="K219" s="99">
        <v>200000000</v>
      </c>
      <c r="L219" s="99">
        <v>103000000</v>
      </c>
      <c r="M219" s="99">
        <v>106090000</v>
      </c>
      <c r="N219" s="99">
        <v>109272700</v>
      </c>
      <c r="O219" s="99">
        <v>31100000</v>
      </c>
      <c r="P219" s="99">
        <v>31100000</v>
      </c>
      <c r="Q219" s="99">
        <v>31100000</v>
      </c>
      <c r="R219" s="100">
        <v>0.1555</v>
      </c>
      <c r="S219" t="inlineStr">
        <is>
          <t>Lo obligado está por debajo de lo programado en la vigencia</t>
        </is>
      </c>
      <c r="T219" s="101" t="inlineStr">
        <is>
          <t xml:space="preserve"> </t>
        </is>
      </c>
      <c r="U219" s="101" t="inlineStr">
        <is>
          <t xml:space="preserve"> </t>
        </is>
      </c>
      <c r="V219" s="101" t="inlineStr">
        <is>
          <t xml:space="preserve"> </t>
        </is>
      </c>
      <c r="W219" s="102" t="inlineStr">
        <is>
          <t xml:space="preserve"> </t>
        </is>
      </c>
      <c r="X219" t="inlineStr">
        <is>
          <t>No se encontró ejecución en CUIPO</t>
        </is>
      </c>
    </row>
    <row r="220">
      <c r="A220" t="inlineStr">
        <is>
          <t>IP-269</t>
        </is>
      </c>
      <c r="B220" t="inlineStr">
        <is>
          <t>45</t>
        </is>
      </c>
      <c r="C220" t="inlineStr">
        <is>
          <t>Gobierno Territorial</t>
        </is>
      </c>
      <c r="D220" t="inlineStr">
        <is>
          <t>4599</t>
        </is>
      </c>
      <c r="E220" t="inlineStr">
        <is>
          <t>Fortalecimiento a la gestión y dirección de la administración pública territorial</t>
        </is>
      </c>
      <c r="F220" t="inlineStr">
        <is>
          <t>4599020</t>
        </is>
      </c>
      <c r="G220" t="inlineStr">
        <is>
          <t>Documentos metodológicos</t>
        </is>
      </c>
      <c r="H220" t="inlineStr">
        <is>
          <t>Documentos cuyo objetivo es describir y explicar métodos, herramientas analíticas, o procesos que determinan un camino o forma de realizar un análisis en particular.</t>
        </is>
      </c>
      <c r="I220" t="inlineStr">
        <is>
          <t>2024251260002</t>
        </is>
      </c>
      <c r="J220" s="99">
        <v>20437695</v>
      </c>
      <c r="K220" s="99">
        <v>5000000</v>
      </c>
      <c r="L220" s="99">
        <v>4669560</v>
      </c>
      <c r="M220" s="99">
        <v>5304500</v>
      </c>
      <c r="N220" s="99">
        <v>5463635</v>
      </c>
      <c r="O220" s="99" t="inlineStr">
        <is>
          <t xml:space="preserve"> </t>
        </is>
      </c>
      <c r="P220" s="99" t="inlineStr">
        <is>
          <t xml:space="preserve"> </t>
        </is>
      </c>
      <c r="Q220" s="99" t="inlineStr">
        <is>
          <t xml:space="preserve"> </t>
        </is>
      </c>
      <c r="R220" s="100" t="inlineStr">
        <is>
          <t xml:space="preserve"> </t>
        </is>
      </c>
      <c r="S220" t="inlineStr">
        <is>
          <t>No se encontró ejecución en CUIPO</t>
        </is>
      </c>
      <c r="T220" s="101" t="inlineStr">
        <is>
          <t xml:space="preserve"> </t>
        </is>
      </c>
      <c r="U220" s="101" t="inlineStr">
        <is>
          <t xml:space="preserve"> </t>
        </is>
      </c>
      <c r="V220" s="101" t="inlineStr">
        <is>
          <t xml:space="preserve"> </t>
        </is>
      </c>
      <c r="W220" s="102" t="inlineStr">
        <is>
          <t xml:space="preserve"> </t>
        </is>
      </c>
      <c r="X220" t="inlineStr">
        <is>
          <t>No se encontró ejecución en CUIPO</t>
        </is>
      </c>
    </row>
    <row r="221">
      <c r="A221" t="inlineStr">
        <is>
          <t>IP-270</t>
        </is>
      </c>
      <c r="B221" t="inlineStr">
        <is>
          <t>45</t>
        </is>
      </c>
      <c r="C221" t="inlineStr">
        <is>
          <t>Gobierno Territorial</t>
        </is>
      </c>
      <c r="D221" t="inlineStr">
        <is>
          <t>4599</t>
        </is>
      </c>
      <c r="E221" t="inlineStr">
        <is>
          <t>Fortalecimiento a la gestión y dirección de la administración pública territorial</t>
        </is>
      </c>
      <c r="F221" t="inlineStr">
        <is>
          <t>4599033</t>
        </is>
      </c>
      <c r="G221" t="inlineStr">
        <is>
          <t>Servicio de información para el registro administrativo de SISBEN</t>
        </is>
      </c>
      <c r="H221" t="inlineStr">
        <is>
          <t>Corresponde al desarrollo de acciones orientadas a la actualización y suministro de la información alimentada en la base de datos del Sisbén  bajo la modalidad de barrido, demanda y por acción de tutela, según las orientaciones del Departamento Nacional de Planeación (DNP) y del Comité Técnico del Sisbén.</t>
        </is>
      </c>
      <c r="I221" t="inlineStr">
        <is>
          <t>2024251260002</t>
        </is>
      </c>
      <c r="J221" s="99">
        <v>680761084</v>
      </c>
      <c r="K221" s="99">
        <v>27209000</v>
      </c>
      <c r="L221" s="99">
        <v>115145334</v>
      </c>
      <c r="M221" s="99">
        <v>265225000</v>
      </c>
      <c r="N221" s="99">
        <v>273181750</v>
      </c>
      <c r="O221" s="99">
        <v>27209000</v>
      </c>
      <c r="P221" s="99">
        <v>27209000</v>
      </c>
      <c r="Q221" s="99">
        <v>27209000</v>
      </c>
      <c r="R221" s="100">
        <v>1</v>
      </c>
      <c r="S221" t="inlineStr">
        <is>
          <t>Se ejecutó el 100% de lo programado en la vigencia</t>
        </is>
      </c>
      <c r="T221" s="101">
        <v>114120067</v>
      </c>
      <c r="U221" s="101">
        <v>85885801</v>
      </c>
      <c r="V221" s="101">
        <v>83519801</v>
      </c>
      <c r="W221" s="102">
        <v>0.745890415325036</v>
      </c>
      <c r="X221" t="inlineStr">
        <is>
          <t>Lo obligado está por debajo de lo programado en la vigencia</t>
        </is>
      </c>
    </row>
    <row r="222">
      <c r="A222" t="inlineStr">
        <is>
          <t>IP-271, IP-277</t>
        </is>
      </c>
      <c r="B222" t="inlineStr">
        <is>
          <t>45</t>
        </is>
      </c>
      <c r="C222" t="inlineStr">
        <is>
          <t>Gobierno Territorial</t>
        </is>
      </c>
      <c r="D222" t="inlineStr">
        <is>
          <t>4503</t>
        </is>
      </c>
      <c r="E222" t="inlineStr">
        <is>
          <t>Gestión del riesgo de desastres y emergencias</t>
        </is>
      </c>
      <c r="F222" t="inlineStr">
        <is>
          <t>4503023</t>
        </is>
      </c>
      <c r="G222" t="inlineStr">
        <is>
          <t>Documentos de planeación</t>
        </is>
      </c>
      <c r="H222" t="inlineStr">
        <is>
          <t>Documentos cuyo objetivo es plasmar una visión de futuro a nivel país, entidad territorial, comunidad, sector, región, entidad o cualquier nivel de desagregación que se requiera. Incluye objetivos, estrategias, metas e indicadores</t>
        </is>
      </c>
      <c r="I222" t="inlineStr">
        <is>
          <t>2024251260058</t>
        </is>
      </c>
      <c r="J222" s="99">
        <v>472381426</v>
      </c>
      <c r="K222" s="99">
        <v>198586879</v>
      </c>
      <c r="L222" s="99">
        <v>273794547</v>
      </c>
      <c r="M222" s="99">
        <v>0</v>
      </c>
      <c r="N222" s="99">
        <v>0</v>
      </c>
      <c r="O222" s="99">
        <v>26736666</v>
      </c>
      <c r="P222" s="99">
        <v>26736666</v>
      </c>
      <c r="Q222" s="99">
        <v>26736666</v>
      </c>
      <c r="R222" s="100">
        <v>0.134634604937822</v>
      </c>
      <c r="S222" t="inlineStr">
        <is>
          <t>Lo obligado está por debajo de lo programado en la vigencia</t>
        </is>
      </c>
      <c r="T222" s="101">
        <v>66652000</v>
      </c>
      <c r="U222" s="101">
        <v>33744000</v>
      </c>
      <c r="V222" s="101">
        <v>33744000</v>
      </c>
      <c r="W222" s="102">
        <v>0.123245697804201</v>
      </c>
      <c r="X222" t="inlineStr">
        <is>
          <t>Lo obligado está por debajo de lo programado en la vigencia</t>
        </is>
      </c>
    </row>
    <row r="223">
      <c r="A223" t="inlineStr">
        <is>
          <t>IP-272</t>
        </is>
      </c>
      <c r="B223" t="inlineStr">
        <is>
          <t>45</t>
        </is>
      </c>
      <c r="C223" t="inlineStr">
        <is>
          <t>Gobierno Territorial</t>
        </is>
      </c>
      <c r="D223" t="inlineStr">
        <is>
          <t>4503</t>
        </is>
      </c>
      <c r="E223" t="inlineStr">
        <is>
          <t>Gestión del riesgo de desastres y emergencias</t>
        </is>
      </c>
      <c r="F223" t="inlineStr">
        <is>
          <t>4503017</t>
        </is>
      </c>
      <c r="G223" t="inlineStr">
        <is>
          <t>Estudios de riesgo de desastres</t>
        </is>
      </c>
      <c r="H223" t="inlineStr">
        <is>
          <t xml:space="preserve">Estudios cuyo propósito es conocer las condiciones de riesgo de un territorio, analizar (valorar) la amenaza y la vulnerabilidad de los elementos expuestos, realizar análisis de riesgo a diferentes escalas con el propósito de definir tipos de intervención y alcance de la reducción del riesgo y el manejo post desastre. </t>
        </is>
      </c>
      <c r="I223" t="inlineStr">
        <is>
          <t>2024251260058</t>
        </is>
      </c>
      <c r="J223" s="99">
        <v>0</v>
      </c>
      <c r="K223" s="99">
        <v>0</v>
      </c>
      <c r="L223" s="99">
        <v>0</v>
      </c>
      <c r="M223" s="99">
        <v>0</v>
      </c>
      <c r="N223" s="99">
        <v>0</v>
      </c>
      <c r="O223" s="99" t="inlineStr">
        <is>
          <t xml:space="preserve"> </t>
        </is>
      </c>
      <c r="P223" s="99" t="inlineStr">
        <is>
          <t xml:space="preserve"> </t>
        </is>
      </c>
      <c r="Q223" s="99" t="inlineStr">
        <is>
          <t xml:space="preserve"> </t>
        </is>
      </c>
      <c r="R223" s="100" t="inlineStr">
        <is>
          <t xml:space="preserve"> </t>
        </is>
      </c>
      <c r="S223" t="inlineStr">
        <is>
          <t>No se encontró ejecución en CUIPO</t>
        </is>
      </c>
      <c r="T223" s="101" t="inlineStr">
        <is>
          <t xml:space="preserve"> </t>
        </is>
      </c>
      <c r="U223" s="101" t="inlineStr">
        <is>
          <t xml:space="preserve"> </t>
        </is>
      </c>
      <c r="V223" s="101" t="inlineStr">
        <is>
          <t xml:space="preserve"> </t>
        </is>
      </c>
      <c r="W223" s="102" t="inlineStr">
        <is>
          <t xml:space="preserve"> </t>
        </is>
      </c>
      <c r="X223" t="inlineStr">
        <is>
          <t>No se encontró ejecución en CUIPO</t>
        </is>
      </c>
    </row>
    <row r="224">
      <c r="A224" t="inlineStr">
        <is>
          <t>IP-273</t>
        </is>
      </c>
      <c r="B224" t="inlineStr">
        <is>
          <t>45</t>
        </is>
      </c>
      <c r="C224" t="inlineStr">
        <is>
          <t>Gobierno Territorial</t>
        </is>
      </c>
      <c r="D224" t="inlineStr">
        <is>
          <t>4503</t>
        </is>
      </c>
      <c r="E224" t="inlineStr">
        <is>
          <t>Gestión del riesgo de desastres y emergencias</t>
        </is>
      </c>
      <c r="F224" t="inlineStr">
        <is>
          <t>4503002</t>
        </is>
      </c>
      <c r="G224" t="inlineStr">
        <is>
          <t>Servicio de educación informal</t>
        </is>
      </c>
      <c r="H224"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224" t="inlineStr">
        <is>
          <t>2024251260058</t>
        </is>
      </c>
      <c r="J224" s="99">
        <v>0</v>
      </c>
      <c r="K224" s="99">
        <v>0</v>
      </c>
      <c r="L224" s="99">
        <v>0</v>
      </c>
      <c r="M224" s="99">
        <v>0</v>
      </c>
      <c r="N224" s="99">
        <v>0</v>
      </c>
      <c r="O224" s="99" t="inlineStr">
        <is>
          <t xml:space="preserve"> </t>
        </is>
      </c>
      <c r="P224" s="99" t="inlineStr">
        <is>
          <t xml:space="preserve"> </t>
        </is>
      </c>
      <c r="Q224" s="99" t="inlineStr">
        <is>
          <t xml:space="preserve"> </t>
        </is>
      </c>
      <c r="R224" s="100" t="inlineStr">
        <is>
          <t xml:space="preserve"> </t>
        </is>
      </c>
      <c r="S224" t="inlineStr">
        <is>
          <t>No se encontró ejecución en CUIPO</t>
        </is>
      </c>
      <c r="T224" s="101" t="inlineStr">
        <is>
          <t xml:space="preserve"> </t>
        </is>
      </c>
      <c r="U224" s="101" t="inlineStr">
        <is>
          <t xml:space="preserve"> </t>
        </is>
      </c>
      <c r="V224" s="101" t="inlineStr">
        <is>
          <t xml:space="preserve"> </t>
        </is>
      </c>
      <c r="W224" s="102" t="inlineStr">
        <is>
          <t xml:space="preserve"> </t>
        </is>
      </c>
      <c r="X224" t="inlineStr">
        <is>
          <t>No se encontró ejecución en CUIPO</t>
        </is>
      </c>
    </row>
    <row r="225">
      <c r="A225" t="inlineStr">
        <is>
          <t>IP-274</t>
        </is>
      </c>
      <c r="B225" t="inlineStr">
        <is>
          <t>45</t>
        </is>
      </c>
      <c r="C225" t="inlineStr">
        <is>
          <t>Gobierno Territorial</t>
        </is>
      </c>
      <c r="D225" t="inlineStr">
        <is>
          <t>4503</t>
        </is>
      </c>
      <c r="E225" t="inlineStr">
        <is>
          <t>Gestión del riesgo de desastres y emergencias</t>
        </is>
      </c>
      <c r="F225" t="inlineStr">
        <is>
          <t>4503031</t>
        </is>
      </c>
      <c r="G225" t="inlineStr">
        <is>
          <t>Documentos de lineamientos técnicos</t>
        </is>
      </c>
      <c r="H225" t="inlineStr">
        <is>
          <t>Documentos cuyo objetivo es describir y explicar instrumentos, estándares, requisitos y condiciones necesarias para llevar a cabo un proceso o actividad.</t>
        </is>
      </c>
      <c r="I225" t="inlineStr">
        <is>
          <t>2024251260058</t>
        </is>
      </c>
      <c r="J225" s="99">
        <v>498044050</v>
      </c>
      <c r="K225" s="99">
        <v>100000000</v>
      </c>
      <c r="L225" s="99">
        <v>75000000</v>
      </c>
      <c r="M225" s="99">
        <v>159135000</v>
      </c>
      <c r="N225" s="99">
        <v>163909050</v>
      </c>
      <c r="O225" s="99" t="inlineStr">
        <is>
          <t xml:space="preserve"> </t>
        </is>
      </c>
      <c r="P225" s="99" t="inlineStr">
        <is>
          <t xml:space="preserve"> </t>
        </is>
      </c>
      <c r="Q225" s="99" t="inlineStr">
        <is>
          <t xml:space="preserve"> </t>
        </is>
      </c>
      <c r="R225" s="100" t="inlineStr">
        <is>
          <t xml:space="preserve"> </t>
        </is>
      </c>
      <c r="S225" t="inlineStr">
        <is>
          <t>No se encontró ejecución en CUIPO</t>
        </is>
      </c>
      <c r="T225" s="101">
        <v>53250000</v>
      </c>
      <c r="U225" s="101">
        <v>31950000</v>
      </c>
      <c r="V225" s="101">
        <v>31950000</v>
      </c>
      <c r="W225" s="102">
        <v>0.426</v>
      </c>
      <c r="X225" t="inlineStr">
        <is>
          <t>Lo obligado está por debajo de lo programado en la vigencia</t>
        </is>
      </c>
    </row>
    <row r="226">
      <c r="A226" t="inlineStr">
        <is>
          <t>IP-275</t>
        </is>
      </c>
      <c r="B226" t="inlineStr">
        <is>
          <t>45</t>
        </is>
      </c>
      <c r="C226" t="inlineStr">
        <is>
          <t>Gobierno Territorial</t>
        </is>
      </c>
      <c r="D226" t="inlineStr">
        <is>
          <t>4503</t>
        </is>
      </c>
      <c r="E226" t="inlineStr">
        <is>
          <t>Gestión del riesgo de desastres y emergencias</t>
        </is>
      </c>
      <c r="F226" t="inlineStr">
        <is>
          <t>4503004</t>
        </is>
      </c>
      <c r="G226" t="inlineStr">
        <is>
          <t>Servicio de atención a emergencias y desastres</t>
        </is>
      </c>
      <c r="H226" t="inlineStr">
        <is>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is>
      </c>
      <c r="I226" t="inlineStr">
        <is>
          <t>2024251260058</t>
        </is>
      </c>
      <c r="J226" s="99">
        <v>7163310885.5302</v>
      </c>
      <c r="K226" s="99">
        <v>1669483896</v>
      </c>
      <c r="L226" s="99">
        <v>2720006062.53</v>
      </c>
      <c r="M226" s="99">
        <v>1366414249.7538</v>
      </c>
      <c r="N226" s="99">
        <v>1407406677.2464</v>
      </c>
      <c r="O226" s="99">
        <v>110377416</v>
      </c>
      <c r="P226" s="99">
        <v>106707198</v>
      </c>
      <c r="Q226" s="99">
        <v>54829782</v>
      </c>
      <c r="R226" s="100">
        <v>0.063916278710843</v>
      </c>
      <c r="S226" t="inlineStr">
        <is>
          <t>Lo obligado está por debajo de lo programado en la vigencia</t>
        </is>
      </c>
      <c r="T226" s="101">
        <v>2046370409</v>
      </c>
      <c r="U226" s="101">
        <v>184251433</v>
      </c>
      <c r="V226" s="101">
        <v>180827764</v>
      </c>
      <c r="W226" s="102">
        <v>0.0677393464441838</v>
      </c>
      <c r="X226" t="inlineStr">
        <is>
          <t>Lo obligado está por debajo de lo programado en la vigencia</t>
        </is>
      </c>
    </row>
    <row r="227">
      <c r="A227" t="inlineStr">
        <is>
          <t>IP-276</t>
        </is>
      </c>
      <c r="B227" t="inlineStr">
        <is>
          <t>45</t>
        </is>
      </c>
      <c r="C227" t="inlineStr">
        <is>
          <t>Gobierno Territorial</t>
        </is>
      </c>
      <c r="D227" t="inlineStr">
        <is>
          <t>4503</t>
        </is>
      </c>
      <c r="E227" t="inlineStr">
        <is>
          <t>Gestión del riesgo de desastres y emergencias</t>
        </is>
      </c>
      <c r="F227" t="inlineStr">
        <is>
          <t>4503032</t>
        </is>
      </c>
      <c r="G227" t="inlineStr">
        <is>
          <t>Servicio de información actualizado</t>
        </is>
      </c>
      <c r="H227" t="inlineStr">
        <is>
          <t>Corresponde al proceso que mejora en la disposición de la información para asegurar que sea accesible, confiable y oportuna.</t>
        </is>
      </c>
      <c r="I227" t="inlineStr">
        <is>
          <t>2024251260058</t>
        </is>
      </c>
      <c r="J227" s="99">
        <v>60000000</v>
      </c>
      <c r="K227" s="99">
        <v>0</v>
      </c>
      <c r="L227" s="99">
        <v>60000000</v>
      </c>
      <c r="M227" s="99">
        <v>0</v>
      </c>
      <c r="N227" s="99">
        <v>0</v>
      </c>
      <c r="O227" s="99" t="inlineStr">
        <is>
          <t xml:space="preserve"> </t>
        </is>
      </c>
      <c r="P227" s="99" t="inlineStr">
        <is>
          <t xml:space="preserve"> </t>
        </is>
      </c>
      <c r="Q227" s="99" t="inlineStr">
        <is>
          <t xml:space="preserve"> </t>
        </is>
      </c>
      <c r="R227" s="100" t="inlineStr">
        <is>
          <t xml:space="preserve"> </t>
        </is>
      </c>
      <c r="S227" t="inlineStr">
        <is>
          <t>No se encontró ejecución en CUIPO</t>
        </is>
      </c>
      <c r="T227" s="101" t="inlineStr">
        <is>
          <t xml:space="preserve"> </t>
        </is>
      </c>
      <c r="U227" s="101" t="inlineStr">
        <is>
          <t xml:space="preserve"> </t>
        </is>
      </c>
      <c r="V227" s="101" t="inlineStr">
        <is>
          <t xml:space="preserve"> </t>
        </is>
      </c>
      <c r="W227" s="102" t="inlineStr">
        <is>
          <t xml:space="preserve"> </t>
        </is>
      </c>
      <c r="X227" t="inlineStr">
        <is>
          <t>No se encontró ejecución en CUIPO</t>
        </is>
      </c>
    </row>
    <row r="228">
      <c r="A228" t="inlineStr">
        <is>
          <t>IP-278</t>
        </is>
      </c>
      <c r="B228" t="inlineStr">
        <is>
          <t>45</t>
        </is>
      </c>
      <c r="C228" t="inlineStr">
        <is>
          <t>Gobierno Territorial</t>
        </is>
      </c>
      <c r="D228" t="inlineStr">
        <is>
          <t>4599</t>
        </is>
      </c>
      <c r="E228" t="inlineStr">
        <is>
          <t>Fortalecimiento a la gestión y dirección de la administración pública territorial</t>
        </is>
      </c>
      <c r="F228" t="inlineStr">
        <is>
          <t>4599020</t>
        </is>
      </c>
      <c r="G228" t="inlineStr">
        <is>
          <t>Documentos metodológicos</t>
        </is>
      </c>
      <c r="H228" t="inlineStr">
        <is>
          <t>Documentos cuyo objetivo es describir y explicar métodos, herramientas analíticas, o procesos que determinan un camino o forma de realizar un análisis en particular.</t>
        </is>
      </c>
      <c r="I228" t="inlineStr">
        <is>
          <t>2024251260059</t>
        </is>
      </c>
      <c r="J228" s="99">
        <v>3373763961</v>
      </c>
      <c r="K228" s="99">
        <v>151227467</v>
      </c>
      <c r="L228" s="99">
        <v>1068909494</v>
      </c>
      <c r="M228" s="99">
        <v>1060900000</v>
      </c>
      <c r="N228" s="99">
        <v>1092727000</v>
      </c>
      <c r="O228" s="99">
        <v>146200800</v>
      </c>
      <c r="P228" s="99">
        <v>146200800</v>
      </c>
      <c r="Q228" s="99">
        <v>146200800</v>
      </c>
      <c r="R228" s="100">
        <v>0.966760886102787</v>
      </c>
      <c r="S228" t="inlineStr">
        <is>
          <t>Lo obligado está por debajo de lo programado en la vigencia</t>
        </is>
      </c>
      <c r="T228" s="101">
        <v>961678973</v>
      </c>
      <c r="U228" s="101">
        <v>736994362</v>
      </c>
      <c r="V228" s="101">
        <v>718154362</v>
      </c>
      <c r="W228" s="102">
        <v>0.689482473620914</v>
      </c>
      <c r="X228" t="inlineStr">
        <is>
          <t>Lo obligado está por debajo de lo programado en la vigencia</t>
        </is>
      </c>
    </row>
    <row r="229">
      <c r="A229" t="inlineStr">
        <is>
          <t>IP-279</t>
        </is>
      </c>
      <c r="B229" t="inlineStr">
        <is>
          <t>45</t>
        </is>
      </c>
      <c r="C229" t="inlineStr">
        <is>
          <t>Gobierno Territorial</t>
        </is>
      </c>
      <c r="D229" t="inlineStr">
        <is>
          <t>4599</t>
        </is>
      </c>
      <c r="E229" t="inlineStr">
        <is>
          <t>Fortalecimiento a la gestión y dirección de la administración pública territorial</t>
        </is>
      </c>
      <c r="F229" t="inlineStr">
        <is>
          <t>4599002</t>
        </is>
      </c>
      <c r="G229" t="inlineStr">
        <is>
          <t>Servicio de saneamiento fiscal y financiero</t>
        </is>
      </c>
      <c r="H229"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229" t="inlineStr">
        <is>
          <t>2024251260059</t>
        </is>
      </c>
      <c r="J229" s="99">
        <v>0</v>
      </c>
      <c r="K229" s="99">
        <v>0</v>
      </c>
      <c r="L229" s="99">
        <v>0</v>
      </c>
      <c r="M229" s="99">
        <v>0</v>
      </c>
      <c r="N229" s="99">
        <v>0</v>
      </c>
      <c r="O229" s="99" t="inlineStr">
        <is>
          <t xml:space="preserve"> </t>
        </is>
      </c>
      <c r="P229" s="99" t="inlineStr">
        <is>
          <t xml:space="preserve"> </t>
        </is>
      </c>
      <c r="Q229" s="99" t="inlineStr">
        <is>
          <t xml:space="preserve"> </t>
        </is>
      </c>
      <c r="R229" s="100" t="inlineStr">
        <is>
          <t xml:space="preserve"> </t>
        </is>
      </c>
      <c r="S229" t="inlineStr">
        <is>
          <t>No se encontró ejecución en CUIPO</t>
        </is>
      </c>
      <c r="T229" s="101" t="inlineStr">
        <is>
          <t xml:space="preserve"> </t>
        </is>
      </c>
      <c r="U229" s="101" t="inlineStr">
        <is>
          <t xml:space="preserve"> </t>
        </is>
      </c>
      <c r="V229" s="101" t="inlineStr">
        <is>
          <t xml:space="preserve"> </t>
        </is>
      </c>
      <c r="W229" s="102" t="inlineStr">
        <is>
          <t xml:space="preserve"> </t>
        </is>
      </c>
      <c r="X229" t="inlineStr">
        <is>
          <t>No se encontró ejecución en CUIPO</t>
        </is>
      </c>
    </row>
    <row r="230">
      <c r="A230" t="inlineStr">
        <is>
          <t>IP-280, IP-281, IP-284</t>
        </is>
      </c>
      <c r="B230" t="inlineStr">
        <is>
          <t>45</t>
        </is>
      </c>
      <c r="C230" t="inlineStr">
        <is>
          <t>Gobierno Territorial</t>
        </is>
      </c>
      <c r="D230" t="inlineStr">
        <is>
          <t>4501</t>
        </is>
      </c>
      <c r="E230" t="inlineStr">
        <is>
          <t>Fortalecimiento de la convivencia y la seguridad ciudadana</t>
        </is>
      </c>
      <c r="F230" t="inlineStr">
        <is>
          <t>4501061</t>
        </is>
      </c>
      <c r="G230" t="inlineStr">
        <is>
          <t>Servicio de atención integral a la fauna</t>
        </is>
      </c>
      <c r="H230" t="inlineStr">
        <is>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is>
      </c>
      <c r="I230" t="inlineStr">
        <is>
          <t>2024251260016</t>
        </is>
      </c>
      <c r="J230" s="99">
        <v>353270863</v>
      </c>
      <c r="K230" s="99">
        <v>40000000</v>
      </c>
      <c r="L230" s="99">
        <v>237893918</v>
      </c>
      <c r="M230" s="99">
        <v>37131500</v>
      </c>
      <c r="N230" s="99">
        <v>38245445</v>
      </c>
      <c r="O230" s="99">
        <v>34954159</v>
      </c>
      <c r="P230" s="99">
        <v>34954159</v>
      </c>
      <c r="Q230" s="99">
        <v>34954159</v>
      </c>
      <c r="R230" s="100">
        <v>0.873853975</v>
      </c>
      <c r="S230" t="inlineStr">
        <is>
          <t>Lo obligado está por debajo de lo programado en la vigencia</t>
        </is>
      </c>
      <c r="T230" s="101">
        <v>165380569</v>
      </c>
      <c r="U230" s="101">
        <v>125082752</v>
      </c>
      <c r="V230" s="101">
        <v>114968752</v>
      </c>
      <c r="W230" s="102">
        <v>0.525792138998694</v>
      </c>
      <c r="X230" t="inlineStr">
        <is>
          <t>Lo obligado está por debajo de lo programado en la vigencia</t>
        </is>
      </c>
    </row>
    <row r="231">
      <c r="A231" t="inlineStr">
        <is>
          <t>IP-282</t>
        </is>
      </c>
      <c r="B231" t="inlineStr">
        <is>
          <t>45</t>
        </is>
      </c>
      <c r="C231" t="inlineStr">
        <is>
          <t>Gobierno Territorial</t>
        </is>
      </c>
      <c r="D231" t="inlineStr">
        <is>
          <t>4501</t>
        </is>
      </c>
      <c r="E231" t="inlineStr">
        <is>
          <t>Fortalecimiento de la convivencia y la seguridad ciudadana</t>
        </is>
      </c>
      <c r="F231" t="inlineStr">
        <is>
          <t>4501059</t>
        </is>
      </c>
      <c r="G231" t="inlineStr">
        <is>
          <t>Infraestructura para el bienestar animal ampliada</t>
        </is>
      </c>
      <c r="H231" t="inlineStr">
        <is>
          <t>Corresponde a las gestiones para la ampliación de albergues donde se deben llevar a aquellos animales que se encuentran en vías públicas, o se encuentren en predios ajenos, desconociéndose quien sea el propietario</t>
        </is>
      </c>
      <c r="I231" t="inlineStr">
        <is>
          <t>2024251260016</t>
        </is>
      </c>
      <c r="J231" s="99">
        <v>1383639897</v>
      </c>
      <c r="K231" s="99">
        <v>143233147</v>
      </c>
      <c r="L231" s="99">
        <v>702000000</v>
      </c>
      <c r="M231" s="99">
        <v>265225000</v>
      </c>
      <c r="N231" s="99">
        <v>273181750</v>
      </c>
      <c r="O231" s="99">
        <v>134424612</v>
      </c>
      <c r="P231" s="99">
        <v>134424612</v>
      </c>
      <c r="Q231" s="99">
        <v>134424612</v>
      </c>
      <c r="R231" s="100">
        <v>0.938502119205689</v>
      </c>
      <c r="S231" t="inlineStr">
        <is>
          <t>Lo obligado está por debajo de lo programado en la vigencia</t>
        </is>
      </c>
      <c r="T231" s="101">
        <v>525000000</v>
      </c>
      <c r="U231" s="101">
        <v>193868183</v>
      </c>
      <c r="V231" s="101">
        <v>193868183</v>
      </c>
      <c r="W231" s="102">
        <v>0.276165502849003</v>
      </c>
      <c r="X231" t="inlineStr">
        <is>
          <t>Lo obligado está por debajo de lo programado en la vigencia</t>
        </is>
      </c>
    </row>
    <row r="232">
      <c r="A232" t="inlineStr">
        <is>
          <t>IP-283</t>
        </is>
      </c>
      <c r="B232" t="inlineStr">
        <is>
          <t>45</t>
        </is>
      </c>
      <c r="C232" t="inlineStr">
        <is>
          <t>Gobierno Territorial</t>
        </is>
      </c>
      <c r="D232" t="inlineStr">
        <is>
          <t>4501</t>
        </is>
      </c>
      <c r="E232" t="inlineStr">
        <is>
          <t>Fortalecimiento de la convivencia y la seguridad ciudadana</t>
        </is>
      </c>
      <c r="F232" t="inlineStr">
        <is>
          <t>4501058</t>
        </is>
      </c>
      <c r="G232" t="inlineStr">
        <is>
          <t>Infraestructura para el bienestar animal construida y dotada</t>
        </is>
      </c>
      <c r="H232" t="inlineStr">
        <is>
          <t>Corresponde a un inmueble resultado de obras de edificación en terrenos no construidos o cuya área esté libre por autorización de demolición total, con destino a la atención integral de los animales que se encuentren en condición de abandono, pérdida, desatención estatal o de  tenencia irresponsable o en situación de vulnerabilidad y aprehendidos por la policía o en riesgo que ello suceda. Incluye la dotación para la operación del inmueble tanto para el desarrollo de sus actividades misionales como de las administrativas requeridas para la prestación del servicio.</t>
        </is>
      </c>
      <c r="I232" t="inlineStr">
        <is>
          <t>2024251260061</t>
        </is>
      </c>
      <c r="J232" s="99">
        <v>800000000</v>
      </c>
      <c r="K232" s="99">
        <v>500000000</v>
      </c>
      <c r="L232" s="99">
        <v>300000000</v>
      </c>
      <c r="M232" s="99">
        <v>0</v>
      </c>
      <c r="N232" s="99">
        <v>0</v>
      </c>
      <c r="O232" s="99" t="inlineStr">
        <is>
          <t xml:space="preserve"> </t>
        </is>
      </c>
      <c r="P232" s="99" t="inlineStr">
        <is>
          <t xml:space="preserve"> </t>
        </is>
      </c>
      <c r="Q232" s="99" t="inlineStr">
        <is>
          <t xml:space="preserve"> </t>
        </is>
      </c>
      <c r="R232" s="100" t="inlineStr">
        <is>
          <t xml:space="preserve"> </t>
        </is>
      </c>
      <c r="S232" t="inlineStr">
        <is>
          <t>No se encontró ejecución en CUIPO</t>
        </is>
      </c>
      <c r="T232" s="101" t="inlineStr">
        <is>
          <t xml:space="preserve"> </t>
        </is>
      </c>
      <c r="U232" s="101" t="inlineStr">
        <is>
          <t xml:space="preserve"> </t>
        </is>
      </c>
      <c r="V232" s="101" t="inlineStr">
        <is>
          <t xml:space="preserve"> </t>
        </is>
      </c>
      <c r="W232" s="102" t="inlineStr">
        <is>
          <t xml:space="preserve"> </t>
        </is>
      </c>
      <c r="X232" t="inlineStr">
        <is>
          <t>No se encontró ejecución en CUIPO</t>
        </is>
      </c>
    </row>
    <row r="233">
      <c r="A233" t="inlineStr">
        <is>
          <t>IP-285</t>
        </is>
      </c>
      <c r="B233" t="inlineStr">
        <is>
          <t>45</t>
        </is>
      </c>
      <c r="C233" t="inlineStr">
        <is>
          <t>Gobierno Territorial</t>
        </is>
      </c>
      <c r="D233" t="inlineStr">
        <is>
          <t>4501</t>
        </is>
      </c>
      <c r="E233" t="inlineStr">
        <is>
          <t>Fortalecimiento de la convivencia y la seguridad ciudadana</t>
        </is>
      </c>
      <c r="F233" t="inlineStr">
        <is>
          <t>4501026</t>
        </is>
      </c>
      <c r="G233" t="inlineStr">
        <is>
          <t>Documentos Planeacion</t>
        </is>
      </c>
      <c r="H233" t="inlineStr">
        <is>
          <t>Documentos cuyo objetivo es plasmar una visión de futuro a anivel de entidad territorial, comunidad, sector, región, entidad o cualquier nivel de desagregación que se requiera. Incluye objetivos, estrategias, metas e indicadores.</t>
        </is>
      </c>
      <c r="I233" t="inlineStr">
        <is>
          <t>2024251260062</t>
        </is>
      </c>
      <c r="J233" s="99">
        <v>418362700</v>
      </c>
      <c r="K233" s="99">
        <v>100000000</v>
      </c>
      <c r="L233" s="99">
        <v>103000000</v>
      </c>
      <c r="M233" s="99">
        <v>106090000</v>
      </c>
      <c r="N233" s="99">
        <v>109272700</v>
      </c>
      <c r="O233" s="99" t="inlineStr">
        <is>
          <t xml:space="preserve"> </t>
        </is>
      </c>
      <c r="P233" s="99" t="inlineStr">
        <is>
          <t xml:space="preserve"> </t>
        </is>
      </c>
      <c r="Q233" s="99" t="inlineStr">
        <is>
          <t xml:space="preserve"> </t>
        </is>
      </c>
      <c r="R233" s="100" t="inlineStr">
        <is>
          <t xml:space="preserve"> </t>
        </is>
      </c>
      <c r="S233" t="inlineStr">
        <is>
          <t>No se encontró ejecución en CUIPO</t>
        </is>
      </c>
      <c r="T233" s="101">
        <v>50000000</v>
      </c>
      <c r="U233" s="101">
        <v>35658667</v>
      </c>
      <c r="V233" s="101">
        <v>35658667</v>
      </c>
      <c r="W233" s="102">
        <v>0.346200650485437</v>
      </c>
      <c r="X233" t="inlineStr">
        <is>
          <t>Lo obligado está por debajo de lo programado en la vigencia</t>
        </is>
      </c>
    </row>
    <row r="234">
      <c r="A234" t="inlineStr">
        <is>
          <t>IP-286</t>
        </is>
      </c>
      <c r="B234" t="inlineStr">
        <is>
          <t>45</t>
        </is>
      </c>
      <c r="C234" t="inlineStr">
        <is>
          <t>Gobierno Territorial</t>
        </is>
      </c>
      <c r="D234" t="inlineStr">
        <is>
          <t>4501</t>
        </is>
      </c>
      <c r="E234" t="inlineStr">
        <is>
          <t>Fortalecimiento de la convivencia y la seguridad ciudadana</t>
        </is>
      </c>
      <c r="F234" t="inlineStr">
        <is>
          <t>4501057</t>
        </is>
      </c>
      <c r="G234" t="inlineStr">
        <is>
          <t>Servicio de apoyo financiero para dotar a miembros de la fuerza publica</t>
        </is>
      </c>
      <c r="H234" t="inlineStr">
        <is>
          <t xml:space="preserve">Corresponde a los recursos del Fondos de Seguridad de las Entidades Territoriales (FONSET) destinados a la adquisición de dotación para nuevos policias, soldados y auxiliares en tanto se inicia la nueva vigencia.
</t>
        </is>
      </c>
      <c r="I234" t="inlineStr">
        <is>
          <t>2024251260062</t>
        </is>
      </c>
      <c r="J234" s="99">
        <v>6803670732.64</v>
      </c>
      <c r="K234" s="99">
        <v>1617508746</v>
      </c>
      <c r="L234" s="99">
        <v>3226361416.64</v>
      </c>
      <c r="M234" s="99">
        <v>965419000</v>
      </c>
      <c r="N234" s="99">
        <v>994381570</v>
      </c>
      <c r="O234" s="99">
        <v>1483847793</v>
      </c>
      <c r="P234" s="99">
        <v>481130163</v>
      </c>
      <c r="Q234" s="99">
        <v>481130163</v>
      </c>
      <c r="R234" s="100">
        <v>0.297451351771547</v>
      </c>
      <c r="S234" t="inlineStr">
        <is>
          <t>Lo obligado está por debajo de lo programado en la vigencia</t>
        </is>
      </c>
      <c r="T234" s="101">
        <v>2819849737</v>
      </c>
      <c r="U234" s="101">
        <v>1819389351</v>
      </c>
      <c r="V234" s="101">
        <v>1797174184</v>
      </c>
      <c r="W234" s="102">
        <v>0.563913683574468</v>
      </c>
      <c r="X234" t="inlineStr">
        <is>
          <t>Lo obligado está por debajo de lo programado en la vigencia</t>
        </is>
      </c>
    </row>
    <row r="235">
      <c r="A235" t="inlineStr">
        <is>
          <t>IP-287</t>
        </is>
      </c>
      <c r="B235" t="inlineStr">
        <is>
          <t>45</t>
        </is>
      </c>
      <c r="C235" t="inlineStr">
        <is>
          <t>Gobierno Territorial</t>
        </is>
      </c>
      <c r="D235" t="inlineStr">
        <is>
          <t>4501</t>
        </is>
      </c>
      <c r="E235" t="inlineStr">
        <is>
          <t>Fortalecimiento de la convivencia y la seguridad ciudadana</t>
        </is>
      </c>
      <c r="F235" t="inlineStr">
        <is>
          <t>4501032</t>
        </is>
      </c>
      <c r="G235" t="inlineStr">
        <is>
          <t>Servicio de atención de seguridad y emergencias de los Centros de Información Estratégica Policía Seccional</t>
        </is>
      </c>
      <c r="H235" t="inlineStr">
        <is>
          <t>Incluye la instalaciòn y dotación de Centros de Información Estratégica Policial Seccional – CIEPS los cuales son el espacio estratégico del orden operacional de la estación de policía, en el cual se desarrolla el análisis de la información para la planeación, orientación, evaluación y retroalimentación del servicio de policía, dirigido a la solución de las problemáticas que afectan la convivencia y seguridad de la jurisdicción.</t>
        </is>
      </c>
      <c r="I235" t="inlineStr">
        <is>
          <t>2024251260062</t>
        </is>
      </c>
      <c r="J235" s="99">
        <v>3510137856</v>
      </c>
      <c r="K235" s="99">
        <v>1400000000</v>
      </c>
      <c r="L235" s="99">
        <v>2110137856</v>
      </c>
      <c r="M235" s="99">
        <v>0</v>
      </c>
      <c r="N235" s="99">
        <v>0</v>
      </c>
      <c r="O235" s="99">
        <v>1222622085</v>
      </c>
      <c r="P235" s="99">
        <v>790842756</v>
      </c>
      <c r="Q235" s="99">
        <v>554275571</v>
      </c>
      <c r="R235" s="100">
        <v>0.564887682857143</v>
      </c>
      <c r="S235" t="inlineStr">
        <is>
          <t>Lo obligado está por debajo de lo programado en la vigencia</t>
        </is>
      </c>
      <c r="T235" s="101">
        <v>1708588113</v>
      </c>
      <c r="U235" s="101">
        <v>307004054</v>
      </c>
      <c r="V235" s="101">
        <v>307004054</v>
      </c>
      <c r="W235" s="102">
        <v>0.145490046125214</v>
      </c>
      <c r="X235" t="inlineStr">
        <is>
          <t>Lo obligado está por debajo de lo programado en la vigencia</t>
        </is>
      </c>
    </row>
    <row r="236">
      <c r="A236" t="inlineStr">
        <is>
          <t>IP-288</t>
        </is>
      </c>
      <c r="B236" t="inlineStr">
        <is>
          <t>45</t>
        </is>
      </c>
      <c r="C236" t="inlineStr">
        <is>
          <t>Gobierno Territorial</t>
        </is>
      </c>
      <c r="D236" t="inlineStr">
        <is>
          <t>4501</t>
        </is>
      </c>
      <c r="E236" t="inlineStr">
        <is>
          <t>Fortalecimiento de la convivencia y la seguridad ciudadana</t>
        </is>
      </c>
      <c r="F236" t="inlineStr">
        <is>
          <t>4501065</t>
        </is>
      </c>
      <c r="G236" t="inlineStr">
        <is>
          <t>Comandos  de policía construidas y dotadas</t>
        </is>
      </c>
      <c r="H236" t="inlineStr">
        <is>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Incluye la dotación</t>
        </is>
      </c>
      <c r="I236" t="inlineStr">
        <is>
          <t>2024251260063</t>
        </is>
      </c>
      <c r="J236" s="99">
        <v>380000000</v>
      </c>
      <c r="K236" s="99">
        <v>100000000</v>
      </c>
      <c r="L236" s="99">
        <v>280000000</v>
      </c>
      <c r="M236" s="99">
        <v>0</v>
      </c>
      <c r="N236" s="99">
        <v>0</v>
      </c>
      <c r="O236" s="99" t="inlineStr">
        <is>
          <t xml:space="preserve"> </t>
        </is>
      </c>
      <c r="P236" s="99" t="inlineStr">
        <is>
          <t xml:space="preserve"> </t>
        </is>
      </c>
      <c r="Q236" s="99" t="inlineStr">
        <is>
          <t xml:space="preserve"> </t>
        </is>
      </c>
      <c r="R236" s="100" t="inlineStr">
        <is>
          <t xml:space="preserve"> </t>
        </is>
      </c>
      <c r="S236" t="inlineStr">
        <is>
          <t>No se encontró ejecución en CUIPO</t>
        </is>
      </c>
      <c r="T236" s="101" t="inlineStr">
        <is>
          <t xml:space="preserve"> </t>
        </is>
      </c>
      <c r="U236" s="101" t="inlineStr">
        <is>
          <t xml:space="preserve"> </t>
        </is>
      </c>
      <c r="V236" s="101" t="inlineStr">
        <is>
          <t xml:space="preserve"> </t>
        </is>
      </c>
      <c r="W236" s="102" t="inlineStr">
        <is>
          <t xml:space="preserve"> </t>
        </is>
      </c>
      <c r="X236" t="inlineStr">
        <is>
          <t>No se encontró ejecución en CUIPO</t>
        </is>
      </c>
    </row>
    <row r="237">
      <c r="A237" t="inlineStr">
        <is>
          <t>IP-289</t>
        </is>
      </c>
      <c r="B237" t="inlineStr">
        <is>
          <t>45</t>
        </is>
      </c>
      <c r="C237" t="inlineStr">
        <is>
          <t>Gobierno Territorial</t>
        </is>
      </c>
      <c r="D237" t="inlineStr">
        <is>
          <t>4501</t>
        </is>
      </c>
      <c r="E237" t="inlineStr">
        <is>
          <t>Fortalecimiento de la convivencia y la seguridad ciudadana</t>
        </is>
      </c>
      <c r="F237" t="inlineStr">
        <is>
          <t>4501007</t>
        </is>
      </c>
      <c r="G237" t="inlineStr">
        <is>
          <t>Servicio información implementado</t>
        </is>
      </c>
      <c r="H237" t="inlineStr">
        <is>
          <t>Diseño e implementación de las Tics orientadas a atender las necesidades de las dependencias de la entidad en Sistemas de Información, infraestructura computacional, y  redes, que apoyen los proceso de toma de decisiones y la accesibilidad a la ciudadanía.</t>
        </is>
      </c>
      <c r="I237" t="inlineStr">
        <is>
          <t>2024251260062</t>
        </is>
      </c>
      <c r="J237" s="99">
        <v>500000000</v>
      </c>
      <c r="K237" s="99">
        <v>500000000</v>
      </c>
      <c r="L237" s="99">
        <v>0</v>
      </c>
      <c r="M237" s="99">
        <v>0</v>
      </c>
      <c r="N237" s="99">
        <v>0</v>
      </c>
      <c r="O237" s="99">
        <v>749826667</v>
      </c>
      <c r="P237" s="99">
        <v>563323000</v>
      </c>
      <c r="Q237" s="99">
        <v>563323000</v>
      </c>
      <c r="R237" s="100">
        <v>1.126646</v>
      </c>
      <c r="S237" t="inlineStr">
        <is>
          <t>Hubo ejecución por encima de lo programado en SisPT</t>
        </is>
      </c>
      <c r="T237" s="101">
        <v>59848000</v>
      </c>
      <c r="U237" s="101">
        <v>48498800</v>
      </c>
      <c r="V237" s="101">
        <v>45820800</v>
      </c>
      <c r="W237" s="102" t="inlineStr">
        <is>
          <t xml:space="preserve"> </t>
        </is>
      </c>
      <c r="X237" t="inlineStr">
        <is>
          <t>Se ejecutó un producto no programado en la vigencia</t>
        </is>
      </c>
    </row>
    <row r="238">
      <c r="A238" t="inlineStr">
        <is>
          <t>IP-290, IP-291, IP-292, IP-293, IP-294</t>
        </is>
      </c>
      <c r="B238" t="inlineStr">
        <is>
          <t>45</t>
        </is>
      </c>
      <c r="C238" t="inlineStr">
        <is>
          <t>Gobierno Territorial</t>
        </is>
      </c>
      <c r="D238" t="inlineStr">
        <is>
          <t>4501</t>
        </is>
      </c>
      <c r="E238" t="inlineStr">
        <is>
          <t>Fortalecimiento de la convivencia y la seguridad ciudadana</t>
        </is>
      </c>
      <c r="F238" t="inlineStr">
        <is>
          <t>4501048</t>
        </is>
      </c>
      <c r="G238" t="inlineStr">
        <is>
          <t>Servicio de apoyo para el acceso a la justicia policiva</t>
        </is>
      </c>
      <c r="H238" t="inlineStr">
        <is>
          <t>Comprende la estructuración , definición , implementacion y evaluación de estrategias que permitan garantizar el  efectivo cumplimiento de las normas para la prestación de los servicios de justicia policiva.</t>
        </is>
      </c>
      <c r="I238" t="inlineStr">
        <is>
          <t>2024251260062</t>
        </is>
      </c>
      <c r="J238" s="99">
        <v>688882793.0366</v>
      </c>
      <c r="K238" s="99">
        <v>607099500</v>
      </c>
      <c r="L238" s="99">
        <v>26459378.51</v>
      </c>
      <c r="M238" s="99">
        <v>27253159.8653</v>
      </c>
      <c r="N238" s="99">
        <v>28070754.6613</v>
      </c>
      <c r="O238" s="99">
        <v>111593784</v>
      </c>
      <c r="P238" s="99">
        <v>106952784</v>
      </c>
      <c r="Q238" s="99">
        <v>68879184</v>
      </c>
      <c r="R238" s="100">
        <v>0.176170107206479</v>
      </c>
      <c r="S238" t="inlineStr">
        <is>
          <t>Lo obligado está por debajo de lo programado en la vigencia</t>
        </is>
      </c>
      <c r="T238" s="101">
        <v>624037865</v>
      </c>
      <c r="U238" s="101">
        <v>405652220</v>
      </c>
      <c r="V238" s="101">
        <v>390548987</v>
      </c>
      <c r="W238" s="102">
        <v>15.331131827102</v>
      </c>
      <c r="X238" t="inlineStr">
        <is>
          <t>Hubo ejecución por encima de lo programado en SisPT</t>
        </is>
      </c>
    </row>
    <row r="239">
      <c r="A239" t="inlineStr">
        <is>
          <t>IP-295</t>
        </is>
      </c>
      <c r="B239" t="inlineStr">
        <is>
          <t>45</t>
        </is>
      </c>
      <c r="C239" t="inlineStr">
        <is>
          <t>Gobierno Territorial</t>
        </is>
      </c>
      <c r="D239" t="inlineStr">
        <is>
          <t>4501</t>
        </is>
      </c>
      <c r="E239" t="inlineStr">
        <is>
          <t>Fortalecimiento de la convivencia y la seguridad ciudadana</t>
        </is>
      </c>
      <c r="F239" t="inlineStr">
        <is>
          <t>4501008</t>
        </is>
      </c>
      <c r="G239" t="inlineStr">
        <is>
          <t>Servicio de información actualizado</t>
        </is>
      </c>
      <c r="H239" t="inlineStr">
        <is>
          <t>Corresponde al proceso que mejora en la disposición de la información para asegurar que sea accesible, confiable y oportuna.</t>
        </is>
      </c>
      <c r="I239" t="inlineStr">
        <is>
          <t>2024251260062</t>
        </is>
      </c>
      <c r="J239" s="99">
        <v>158000000</v>
      </c>
      <c r="K239" s="99">
        <v>100000000</v>
      </c>
      <c r="L239" s="99">
        <v>58000000</v>
      </c>
      <c r="M239" s="99">
        <v>0</v>
      </c>
      <c r="N239" s="99">
        <v>0</v>
      </c>
      <c r="O239" s="99">
        <v>64837023</v>
      </c>
      <c r="P239" s="99">
        <v>64837023</v>
      </c>
      <c r="Q239" s="99">
        <v>44749332</v>
      </c>
      <c r="R239" s="100">
        <v>0.64837023</v>
      </c>
      <c r="S239" t="inlineStr">
        <is>
          <t>Lo obligado está por debajo de lo programado en la vigencia</t>
        </is>
      </c>
      <c r="T239" s="101">
        <v>35999999</v>
      </c>
      <c r="U239" s="101">
        <v>32315772</v>
      </c>
      <c r="V239" s="101">
        <v>28966475</v>
      </c>
      <c r="W239" s="102">
        <v>0.557168482758621</v>
      </c>
      <c r="X239" t="inlineStr">
        <is>
          <t>Lo obligado está por debajo de lo programado en la vigencia</t>
        </is>
      </c>
    </row>
    <row r="240">
      <c r="A240" t="inlineStr">
        <is>
          <t>IP-296</t>
        </is>
      </c>
      <c r="B240" t="inlineStr">
        <is>
          <t>45</t>
        </is>
      </c>
      <c r="C240" t="inlineStr">
        <is>
          <t>Gobierno Territorial</t>
        </is>
      </c>
      <c r="D240" t="inlineStr">
        <is>
          <t>4501</t>
        </is>
      </c>
      <c r="E240" t="inlineStr">
        <is>
          <t>Fortalecimiento de la convivencia y la seguridad ciudadana</t>
        </is>
      </c>
      <c r="F240" t="inlineStr">
        <is>
          <t>4501026</t>
        </is>
      </c>
      <c r="G240" t="inlineStr">
        <is>
          <t>Documentos Planeacion</t>
        </is>
      </c>
      <c r="H240" t="inlineStr">
        <is>
          <t>Documentos cuyo objetivo es plasmar una visión de futuro a anivel de entidad territorial, comunidad, sector, región, entidad o cualquier nivel de desagregación que se requiera. Incluye objetivos, estrategias, metas e indicadores.</t>
        </is>
      </c>
      <c r="I240" t="inlineStr">
        <is>
          <t/>
        </is>
      </c>
      <c r="J240" s="99">
        <v>21536270</v>
      </c>
      <c r="K240" s="99">
        <v>0</v>
      </c>
      <c r="L240" s="99">
        <v>0</v>
      </c>
      <c r="M240" s="99">
        <v>10609000</v>
      </c>
      <c r="N240" s="99">
        <v>10927270</v>
      </c>
      <c r="O240" s="99" t="inlineStr">
        <is>
          <t xml:space="preserve"> </t>
        </is>
      </c>
      <c r="P240" s="99" t="inlineStr">
        <is>
          <t xml:space="preserve"> </t>
        </is>
      </c>
      <c r="Q240" s="99" t="inlineStr">
        <is>
          <t xml:space="preserve"> </t>
        </is>
      </c>
      <c r="R240" s="100" t="inlineStr">
        <is>
          <t xml:space="preserve"> </t>
        </is>
      </c>
      <c r="S240" t="inlineStr">
        <is>
          <t>Por falta de código BPIN, no se encontró ejecución en CUIPO</t>
        </is>
      </c>
      <c r="T240" s="101" t="inlineStr">
        <is>
          <t xml:space="preserve"> </t>
        </is>
      </c>
      <c r="U240" s="101" t="inlineStr">
        <is>
          <t xml:space="preserve"> </t>
        </is>
      </c>
      <c r="V240" s="101" t="inlineStr">
        <is>
          <t xml:space="preserve"> </t>
        </is>
      </c>
      <c r="W240" s="102" t="inlineStr">
        <is>
          <t xml:space="preserve"> </t>
        </is>
      </c>
      <c r="X240" t="inlineStr">
        <is>
          <t>Por falta de código BPIN, no se encontró ejecución en CUIPO</t>
        </is>
      </c>
    </row>
    <row r="241">
      <c r="A241" t="inlineStr">
        <is>
          <t>IP-297, IP-307</t>
        </is>
      </c>
      <c r="B241" t="inlineStr">
        <is>
          <t>45</t>
        </is>
      </c>
      <c r="C241" t="inlineStr">
        <is>
          <t>Gobierno Territorial</t>
        </is>
      </c>
      <c r="D241" t="inlineStr">
        <is>
          <t>4502</t>
        </is>
      </c>
      <c r="E241" t="inlineStr">
        <is>
          <t>Fortalecimiento del buen gobierno para el respeto y garantía de los derechos humanos.</t>
        </is>
      </c>
      <c r="F241" t="inlineStr">
        <is>
          <t>4502035</t>
        </is>
      </c>
      <c r="G241" t="inlineStr">
        <is>
          <t>Documentos de planeación</t>
        </is>
      </c>
      <c r="H241" t="inlineStr">
        <is>
          <t>Documentos cuyo objetivo es plasmar una visión de futuro a nivel país, entidad territorial, comunidad, sector, región, entidad o cualquier nivel de desagregación que se requiera. Incluye objetivos, estrategias, metas e indicadores.</t>
        </is>
      </c>
      <c r="I241" t="inlineStr">
        <is>
          <t>2024251260065</t>
        </is>
      </c>
      <c r="J241" s="99">
        <v>84872540</v>
      </c>
      <c r="K241" s="99">
        <v>0</v>
      </c>
      <c r="L241" s="99">
        <v>41800000</v>
      </c>
      <c r="M241" s="99">
        <v>21218000</v>
      </c>
      <c r="N241" s="99">
        <v>21854540</v>
      </c>
      <c r="O241" s="99" t="inlineStr">
        <is>
          <t xml:space="preserve"> </t>
        </is>
      </c>
      <c r="P241" s="99" t="inlineStr">
        <is>
          <t xml:space="preserve"> </t>
        </is>
      </c>
      <c r="Q241" s="99" t="inlineStr">
        <is>
          <t xml:space="preserve"> </t>
        </is>
      </c>
      <c r="R241" s="100" t="inlineStr">
        <is>
          <t xml:space="preserve"> </t>
        </is>
      </c>
      <c r="S241" t="inlineStr">
        <is>
          <t>No se encontró ejecución en CUIPO</t>
        </is>
      </c>
      <c r="T241" s="101">
        <v>41800000</v>
      </c>
      <c r="U241" s="101">
        <v>30360000</v>
      </c>
      <c r="V241" s="101">
        <v>25960000</v>
      </c>
      <c r="W241" s="102">
        <v>0.726315789473684</v>
      </c>
      <c r="X241" t="inlineStr">
        <is>
          <t>Lo obligado está por debajo de lo programado en la vigencia</t>
        </is>
      </c>
    </row>
    <row r="242">
      <c r="A242" t="inlineStr">
        <is>
          <t>IP-298</t>
        </is>
      </c>
      <c r="B242" t="inlineStr">
        <is>
          <t>45</t>
        </is>
      </c>
      <c r="C242" t="inlineStr">
        <is>
          <t>Gobierno Territorial</t>
        </is>
      </c>
      <c r="D242" t="inlineStr">
        <is>
          <t>4502</t>
        </is>
      </c>
      <c r="E242" t="inlineStr">
        <is>
          <t>Fortalecimiento del buen gobierno para el respeto y garantía de los derechos humanos.</t>
        </is>
      </c>
      <c r="F242" t="inlineStr">
        <is>
          <t>4502034</t>
        </is>
      </c>
      <c r="G242" t="inlineStr">
        <is>
          <t xml:space="preserve">Servicio de educación informal </t>
        </is>
      </c>
      <c r="H242"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242" t="inlineStr">
        <is>
          <t>2024251260065</t>
        </is>
      </c>
      <c r="J242" s="99">
        <v>0</v>
      </c>
      <c r="K242" s="99">
        <v>0</v>
      </c>
      <c r="L242" s="99">
        <v>0</v>
      </c>
      <c r="M242" s="99">
        <v>0</v>
      </c>
      <c r="N242" s="99">
        <v>0</v>
      </c>
      <c r="O242" s="99" t="inlineStr">
        <is>
          <t xml:space="preserve"> </t>
        </is>
      </c>
      <c r="P242" s="99" t="inlineStr">
        <is>
          <t xml:space="preserve"> </t>
        </is>
      </c>
      <c r="Q242" s="99" t="inlineStr">
        <is>
          <t xml:space="preserve"> </t>
        </is>
      </c>
      <c r="R242" s="100" t="inlineStr">
        <is>
          <t xml:space="preserve"> </t>
        </is>
      </c>
      <c r="S242" t="inlineStr">
        <is>
          <t>No se encontró ejecución en CUIPO</t>
        </is>
      </c>
      <c r="T242" s="101" t="inlineStr">
        <is>
          <t xml:space="preserve"> </t>
        </is>
      </c>
      <c r="U242" s="101" t="inlineStr">
        <is>
          <t xml:space="preserve"> </t>
        </is>
      </c>
      <c r="V242" s="101" t="inlineStr">
        <is>
          <t xml:space="preserve"> </t>
        </is>
      </c>
      <c r="W242" s="102" t="inlineStr">
        <is>
          <t xml:space="preserve"> </t>
        </is>
      </c>
      <c r="X242" t="inlineStr">
        <is>
          <t>No se encontró ejecución en CUIPO</t>
        </is>
      </c>
    </row>
    <row r="243">
      <c r="A243" t="inlineStr">
        <is>
          <t>IP-299, IP-300, IP-302</t>
        </is>
      </c>
      <c r="B243" t="inlineStr">
        <is>
          <t>45</t>
        </is>
      </c>
      <c r="C243" t="inlineStr">
        <is>
          <t>Gobierno Territorial</t>
        </is>
      </c>
      <c r="D243" t="inlineStr">
        <is>
          <t>4502</t>
        </is>
      </c>
      <c r="E243" t="inlineStr">
        <is>
          <t>Fortalecimiento del buen gobierno para el respeto y garantía de los derechos humanos.</t>
        </is>
      </c>
      <c r="F243" t="inlineStr">
        <is>
          <t>4502001</t>
        </is>
      </c>
      <c r="G243" t="inlineStr">
        <is>
          <t>Servicio de promoción a la participación ciudadana</t>
        </is>
      </c>
      <c r="H243" t="inlineStr">
        <is>
          <t>Corresponde al diseño e implementación de acciones y estrategias que promuevan el ejercicio de la participación ciudadana para el respeto y garantía de los derechos humanos</t>
        </is>
      </c>
      <c r="I243" t="inlineStr">
        <is>
          <t>2024251260065</t>
        </is>
      </c>
      <c r="J243" s="99">
        <v>2182823340.99</v>
      </c>
      <c r="K243" s="99">
        <v>513500000</v>
      </c>
      <c r="L243" s="99">
        <v>764800000.99</v>
      </c>
      <c r="M243" s="99">
        <v>445578000</v>
      </c>
      <c r="N243" s="99">
        <v>458945340</v>
      </c>
      <c r="O243" s="99">
        <v>461270111</v>
      </c>
      <c r="P243" s="99">
        <v>461270111</v>
      </c>
      <c r="Q243" s="99">
        <v>375666667</v>
      </c>
      <c r="R243" s="100">
        <v>0.898286486854917</v>
      </c>
      <c r="S243" t="inlineStr">
        <is>
          <t>Lo obligado está por debajo de lo programado en la vigencia</t>
        </is>
      </c>
      <c r="T243" s="101">
        <v>309800000</v>
      </c>
      <c r="U243" s="101">
        <v>166335333</v>
      </c>
      <c r="V243" s="101">
        <v>154755333</v>
      </c>
      <c r="W243" s="102">
        <v>0.217488667343993</v>
      </c>
      <c r="X243" t="inlineStr">
        <is>
          <t>Lo obligado está por debajo de lo programado en la vigencia</t>
        </is>
      </c>
    </row>
    <row r="244">
      <c r="A244" t="inlineStr">
        <is>
          <t>IP-301</t>
        </is>
      </c>
      <c r="B244" t="inlineStr">
        <is>
          <t>45</t>
        </is>
      </c>
      <c r="C244" t="inlineStr">
        <is>
          <t>Gobierno Territorial</t>
        </is>
      </c>
      <c r="D244" t="inlineStr">
        <is>
          <t>4502</t>
        </is>
      </c>
      <c r="E244" t="inlineStr">
        <is>
          <t>Fortalecimiento del buen gobierno para el respeto y garantía de los derechos humanos.</t>
        </is>
      </c>
      <c r="F244" t="inlineStr">
        <is>
          <t>4502001</t>
        </is>
      </c>
      <c r="G244" t="inlineStr">
        <is>
          <t>Servicio de promoción a la participación ciudadana</t>
        </is>
      </c>
      <c r="H244" t="inlineStr">
        <is>
          <t>Corresponde al diseño e implementación de acciones y estrategias que promuevan el ejercicio de la participación ciudadana para el respeto y garantía de los derechos humanos</t>
        </is>
      </c>
      <c r="I244" t="inlineStr">
        <is>
          <t>2024251260010</t>
        </is>
      </c>
      <c r="J244" s="99">
        <v>19957956994.0041</v>
      </c>
      <c r="K244" s="99">
        <v>9969309499</v>
      </c>
      <c r="L244" s="99">
        <v>3231630753.18</v>
      </c>
      <c r="M244" s="99">
        <v>3328579675.7754</v>
      </c>
      <c r="N244" s="99">
        <v>3428437066.0487</v>
      </c>
      <c r="O244" s="99">
        <v>1085784532</v>
      </c>
      <c r="P244" s="99">
        <v>5028774</v>
      </c>
      <c r="Q244" s="99">
        <v>5028774</v>
      </c>
      <c r="R244" s="100">
        <v>0.000504425507153171</v>
      </c>
      <c r="S244" t="inlineStr">
        <is>
          <t>Lo obligado está por debajo de lo programado en la vigencia</t>
        </is>
      </c>
      <c r="T244" s="101">
        <v>1552875250</v>
      </c>
      <c r="U244" s="101">
        <v>422666976</v>
      </c>
      <c r="V244" s="101">
        <v>419116976</v>
      </c>
      <c r="W244" s="102">
        <v>0.130790615723683</v>
      </c>
      <c r="X244" t="inlineStr">
        <is>
          <t>Lo obligado está por debajo de lo programado en la vigencia</t>
        </is>
      </c>
    </row>
    <row r="245">
      <c r="A245" t="inlineStr">
        <is>
          <t>IP-303</t>
        </is>
      </c>
      <c r="B245" t="inlineStr">
        <is>
          <t>45</t>
        </is>
      </c>
      <c r="C245" t="inlineStr">
        <is>
          <t>Gobierno Territorial</t>
        </is>
      </c>
      <c r="D245" t="inlineStr">
        <is>
          <t>4599</t>
        </is>
      </c>
      <c r="E245" t="inlineStr">
        <is>
          <t>Fortalecimiento a la gestión y dirección de la administración pública territorial</t>
        </is>
      </c>
      <c r="F245" t="inlineStr">
        <is>
          <t>4599002</t>
        </is>
      </c>
      <c r="G245" t="inlineStr">
        <is>
          <t>Servicio de saneamiento fiscal y financiero</t>
        </is>
      </c>
      <c r="H245"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245" t="inlineStr">
        <is>
          <t>2024251260066</t>
        </is>
      </c>
      <c r="J245" s="99">
        <v>162410861</v>
      </c>
      <c r="K245" s="99">
        <v>68825861</v>
      </c>
      <c r="L245" s="99">
        <v>93585000</v>
      </c>
      <c r="M245" s="99">
        <v>0</v>
      </c>
      <c r="N245" s="99">
        <v>0</v>
      </c>
      <c r="O245" s="99">
        <v>68825861</v>
      </c>
      <c r="P245" s="99">
        <v>68825861</v>
      </c>
      <c r="Q245" s="99">
        <v>68825861</v>
      </c>
      <c r="R245" s="100">
        <v>1</v>
      </c>
      <c r="S245" t="inlineStr">
        <is>
          <t>Se ejecutó el 100% de lo programado en la vigencia</t>
        </is>
      </c>
      <c r="T245" s="101">
        <v>93584999</v>
      </c>
      <c r="U245" s="101">
        <v>69179333</v>
      </c>
      <c r="V245" s="101">
        <v>63179333</v>
      </c>
      <c r="W245" s="102">
        <v>0.739213901800502</v>
      </c>
      <c r="X245" t="inlineStr">
        <is>
          <t>Lo obligado está por debajo de lo programado en la vigencia</t>
        </is>
      </c>
    </row>
    <row r="246">
      <c r="A246" t="inlineStr">
        <is>
          <t>IP-304, IP-305, IP-306</t>
        </is>
      </c>
      <c r="B246" t="inlineStr">
        <is>
          <t>45</t>
        </is>
      </c>
      <c r="C246" t="inlineStr">
        <is>
          <t>Gobierno Territorial</t>
        </is>
      </c>
      <c r="D246" t="inlineStr">
        <is>
          <t>4599</t>
        </is>
      </c>
      <c r="E246" t="inlineStr">
        <is>
          <t>Fortalecimiento a la gestión y dirección de la administración pública territorial</t>
        </is>
      </c>
      <c r="F246" t="inlineStr">
        <is>
          <t>4599031</t>
        </is>
      </c>
      <c r="G246" t="inlineStr">
        <is>
          <t>Servicio de asistencia técnica</t>
        </is>
      </c>
      <c r="H246" t="inlineStr">
        <is>
          <t>Corresponde al acompañamiento,apoyo,  asesoría y seguimiento técnico para la transferencia de herramientas de gestión y conocimiento en políticas, planes , proyectos y programas de apoyo a la dirección y gestión de la administración territorial.</t>
        </is>
      </c>
      <c r="I246" t="inlineStr">
        <is>
          <t>2024251260066</t>
        </is>
      </c>
      <c r="J246" s="99">
        <v>270362700</v>
      </c>
      <c r="K246" s="99">
        <v>0</v>
      </c>
      <c r="L246" s="99">
        <v>55000000</v>
      </c>
      <c r="M246" s="99">
        <v>106090000</v>
      </c>
      <c r="N246" s="99">
        <v>109272700</v>
      </c>
      <c r="O246" s="99" t="inlineStr">
        <is>
          <t xml:space="preserve"> </t>
        </is>
      </c>
      <c r="P246" s="99" t="inlineStr">
        <is>
          <t xml:space="preserve"> </t>
        </is>
      </c>
      <c r="Q246" s="99" t="inlineStr">
        <is>
          <t xml:space="preserve"> </t>
        </is>
      </c>
      <c r="R246" s="100" t="inlineStr">
        <is>
          <t xml:space="preserve"> </t>
        </is>
      </c>
      <c r="S246" t="inlineStr">
        <is>
          <t>No se encontró ejecución en CUIPO</t>
        </is>
      </c>
      <c r="T246" s="101" t="inlineStr">
        <is>
          <t xml:space="preserve"> </t>
        </is>
      </c>
      <c r="U246" s="101" t="inlineStr">
        <is>
          <t xml:space="preserve"> </t>
        </is>
      </c>
      <c r="V246" s="101" t="inlineStr">
        <is>
          <t xml:space="preserve"> </t>
        </is>
      </c>
      <c r="W246" s="102" t="inlineStr">
        <is>
          <t xml:space="preserve"> </t>
        </is>
      </c>
      <c r="X246" t="inlineStr">
        <is>
          <t>No se encontró ejecución en CUIPO</t>
        </is>
      </c>
    </row>
    <row r="247">
      <c r="A247" t="inlineStr">
        <is>
          <t>IP-308</t>
        </is>
      </c>
      <c r="B247" t="inlineStr">
        <is>
          <t>45</t>
        </is>
      </c>
      <c r="C247" t="inlineStr">
        <is>
          <t>Gobierno Territorial</t>
        </is>
      </c>
      <c r="D247" t="inlineStr">
        <is>
          <t>4502</t>
        </is>
      </c>
      <c r="E247" t="inlineStr">
        <is>
          <t>Fortalecimiento del buen gobierno para el respeto y garantía de los derechos humanos.</t>
        </is>
      </c>
      <c r="F247" t="inlineStr">
        <is>
          <t>4502016</t>
        </is>
      </c>
      <c r="G247" t="inlineStr">
        <is>
          <t>Servicio de información implementado</t>
        </is>
      </c>
      <c r="H247" t="inlineStr">
        <is>
          <t>Corresponde al proceso que mejora en la disposición de la información para asegurar que sea accesible, confiable y oportuna.</t>
        </is>
      </c>
      <c r="I247" t="inlineStr">
        <is>
          <t>2024251260065</t>
        </is>
      </c>
      <c r="J247" s="99">
        <v>100072540</v>
      </c>
      <c r="K247" s="99">
        <v>0</v>
      </c>
      <c r="L247" s="99">
        <v>57000000</v>
      </c>
      <c r="M247" s="99">
        <v>21218000</v>
      </c>
      <c r="N247" s="99">
        <v>21854540</v>
      </c>
      <c r="O247" s="99" t="inlineStr">
        <is>
          <t xml:space="preserve"> </t>
        </is>
      </c>
      <c r="P247" s="99" t="inlineStr">
        <is>
          <t xml:space="preserve"> </t>
        </is>
      </c>
      <c r="Q247" s="99" t="inlineStr">
        <is>
          <t xml:space="preserve"> </t>
        </is>
      </c>
      <c r="R247" s="100" t="inlineStr">
        <is>
          <t xml:space="preserve"> </t>
        </is>
      </c>
      <c r="S247" t="inlineStr">
        <is>
          <t>No se encontró ejecución en CUIPO</t>
        </is>
      </c>
      <c r="T247" s="101" t="inlineStr">
        <is>
          <t xml:space="preserve"> </t>
        </is>
      </c>
      <c r="U247" s="101" t="inlineStr">
        <is>
          <t xml:space="preserve"> </t>
        </is>
      </c>
      <c r="V247" s="101" t="inlineStr">
        <is>
          <t xml:space="preserve"> </t>
        </is>
      </c>
      <c r="W247" s="102" t="inlineStr">
        <is>
          <t xml:space="preserve"> </t>
        </is>
      </c>
      <c r="X247" t="inlineStr">
        <is>
          <t>No se encontró ejecución en CUIPO</t>
        </is>
      </c>
    </row>
    <row r="248">
      <c r="A248" t="inlineStr">
        <is>
          <t>IP-309</t>
        </is>
      </c>
      <c r="B248" t="inlineStr">
        <is>
          <t>45</t>
        </is>
      </c>
      <c r="C248" t="inlineStr">
        <is>
          <t>Gobierno Territorial</t>
        </is>
      </c>
      <c r="D248" t="inlineStr">
        <is>
          <t>4502</t>
        </is>
      </c>
      <c r="E248" t="inlineStr">
        <is>
          <t>Fortalecimiento del buen gobierno para el respeto y garantía de los derechos humanos.</t>
        </is>
      </c>
      <c r="F248" t="inlineStr">
        <is>
          <t>4502022</t>
        </is>
      </c>
      <c r="G248" t="inlineStr">
        <is>
          <t>Servicio de asistencia técnica</t>
        </is>
      </c>
      <c r="H248"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248" t="inlineStr">
        <is>
          <t>2024251260065</t>
        </is>
      </c>
      <c r="J248" s="99">
        <v>0</v>
      </c>
      <c r="K248" s="99">
        <v>0</v>
      </c>
      <c r="L248" s="99">
        <v>0</v>
      </c>
      <c r="M248" s="99">
        <v>0</v>
      </c>
      <c r="N248" s="99">
        <v>0</v>
      </c>
      <c r="O248" s="99" t="inlineStr">
        <is>
          <t xml:space="preserve"> </t>
        </is>
      </c>
      <c r="P248" s="99" t="inlineStr">
        <is>
          <t xml:space="preserve"> </t>
        </is>
      </c>
      <c r="Q248" s="99" t="inlineStr">
        <is>
          <t xml:space="preserve"> </t>
        </is>
      </c>
      <c r="R248" s="100" t="inlineStr">
        <is>
          <t xml:space="preserve"> </t>
        </is>
      </c>
      <c r="S248" t="inlineStr">
        <is>
          <t>No se encontró ejecución en CUIPO</t>
        </is>
      </c>
      <c r="T248" s="101" t="inlineStr">
        <is>
          <t xml:space="preserve"> </t>
        </is>
      </c>
      <c r="U248" s="101" t="inlineStr">
        <is>
          <t xml:space="preserve"> </t>
        </is>
      </c>
      <c r="V248" s="101" t="inlineStr">
        <is>
          <t xml:space="preserve"> </t>
        </is>
      </c>
      <c r="W248" s="102" t="inlineStr">
        <is>
          <t xml:space="preserve"> </t>
        </is>
      </c>
      <c r="X248" t="inlineStr">
        <is>
          <t>No se encontró ejecución en CUIPO</t>
        </is>
      </c>
    </row>
    <row r="249">
      <c r="A249" t="inlineStr">
        <is>
          <t>IP-310</t>
        </is>
      </c>
      <c r="B249" t="inlineStr">
        <is>
          <t>45</t>
        </is>
      </c>
      <c r="C249" t="inlineStr">
        <is>
          <t>Gobierno Territorial</t>
        </is>
      </c>
      <c r="D249" t="inlineStr">
        <is>
          <t>4599</t>
        </is>
      </c>
      <c r="E249" t="inlineStr">
        <is>
          <t>Fortalecimiento a la gestión y dirección de la administración pública territorial</t>
        </is>
      </c>
      <c r="F249" t="inlineStr">
        <is>
          <t>4599031</t>
        </is>
      </c>
      <c r="G249" t="inlineStr">
        <is>
          <t>Servicio de asistencia técnica</t>
        </is>
      </c>
      <c r="H249" t="inlineStr">
        <is>
          <t>Corresponde al acompañamiento,apoyo,  asesoría y seguimiento técnico para la transferencia de herramientas de gestión y conocimiento en políticas, planes , proyectos y programas de apoyo a la dirección y gestión de la administración territorial.</t>
        </is>
      </c>
      <c r="I249" t="inlineStr">
        <is>
          <t>2024251260067</t>
        </is>
      </c>
      <c r="J249" s="99">
        <v>146157844</v>
      </c>
      <c r="K249" s="99">
        <v>16012764</v>
      </c>
      <c r="L249" s="99">
        <v>44000000</v>
      </c>
      <c r="M249" s="99">
        <v>42436000</v>
      </c>
      <c r="N249" s="99">
        <v>43709080</v>
      </c>
      <c r="O249" s="99">
        <v>15925000</v>
      </c>
      <c r="P249" s="99">
        <v>15925000</v>
      </c>
      <c r="Q249" s="99">
        <v>15925000</v>
      </c>
      <c r="R249" s="100">
        <v>0.994519122370129</v>
      </c>
      <c r="S249" t="inlineStr">
        <is>
          <t>Lo obligado está por debajo de lo programado en la vigencia</t>
        </is>
      </c>
      <c r="T249" s="101" t="inlineStr">
        <is>
          <t xml:space="preserve"> </t>
        </is>
      </c>
      <c r="U249" s="101" t="inlineStr">
        <is>
          <t xml:space="preserve"> </t>
        </is>
      </c>
      <c r="V249" s="101" t="inlineStr">
        <is>
          <t xml:space="preserve"> </t>
        </is>
      </c>
      <c r="W249" s="102" t="inlineStr">
        <is>
          <t xml:space="preserve"> </t>
        </is>
      </c>
      <c r="X249" t="inlineStr">
        <is>
          <t>No se encontró ejecución en CUIPO</t>
        </is>
      </c>
    </row>
    <row r="250">
      <c r="A250" t="inlineStr">
        <is>
          <t>IP-311</t>
        </is>
      </c>
      <c r="B250" t="inlineStr">
        <is>
          <t>45</t>
        </is>
      </c>
      <c r="C250" t="inlineStr">
        <is>
          <t>Gobierno Territorial</t>
        </is>
      </c>
      <c r="D250" t="inlineStr">
        <is>
          <t>4599</t>
        </is>
      </c>
      <c r="E250" t="inlineStr">
        <is>
          <t>Fortalecimiento a la gestión y dirección de la administración pública territorial</t>
        </is>
      </c>
      <c r="F250" t="inlineStr">
        <is>
          <t>4599019</t>
        </is>
      </c>
      <c r="G250" t="inlineStr">
        <is>
          <t>Documentos de planeación</t>
        </is>
      </c>
      <c r="H250"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250" t="inlineStr">
        <is>
          <t>2024251260068</t>
        </is>
      </c>
      <c r="J250" s="99">
        <v>23096270</v>
      </c>
      <c r="K250" s="99">
        <v>1560000</v>
      </c>
      <c r="L250" s="99">
        <v>0</v>
      </c>
      <c r="M250" s="99">
        <v>10609000</v>
      </c>
      <c r="N250" s="99">
        <v>10927270</v>
      </c>
      <c r="O250" s="99" t="inlineStr">
        <is>
          <t xml:space="preserve"> </t>
        </is>
      </c>
      <c r="P250" s="99" t="inlineStr">
        <is>
          <t xml:space="preserve"> </t>
        </is>
      </c>
      <c r="Q250" s="99" t="inlineStr">
        <is>
          <t xml:space="preserve"> </t>
        </is>
      </c>
      <c r="R250" s="100" t="inlineStr">
        <is>
          <t xml:space="preserve"> </t>
        </is>
      </c>
      <c r="S250" t="inlineStr">
        <is>
          <t>No se encontró ejecución en CUIPO</t>
        </is>
      </c>
      <c r="T250" s="101" t="inlineStr">
        <is>
          <t xml:space="preserve"> </t>
        </is>
      </c>
      <c r="U250" s="101" t="inlineStr">
        <is>
          <t xml:space="preserve"> </t>
        </is>
      </c>
      <c r="V250" s="101" t="inlineStr">
        <is>
          <t xml:space="preserve"> </t>
        </is>
      </c>
      <c r="W250" s="102" t="inlineStr">
        <is>
          <t xml:space="preserve"> </t>
        </is>
      </c>
      <c r="X250" t="inlineStr">
        <is>
          <t>No se encontró ejecución en CUIPO</t>
        </is>
      </c>
    </row>
    <row r="251">
      <c r="A251" t="inlineStr">
        <is>
          <t>IP-312, IP-313</t>
        </is>
      </c>
      <c r="B251" t="inlineStr">
        <is>
          <t>45</t>
        </is>
      </c>
      <c r="C251" t="inlineStr">
        <is>
          <t>Gobierno Territorial</t>
        </is>
      </c>
      <c r="D251" t="inlineStr">
        <is>
          <t>4599</t>
        </is>
      </c>
      <c r="E251" t="inlineStr">
        <is>
          <t>Fortalecimiento a la gestión y dirección de la administración pública territorial</t>
        </is>
      </c>
      <c r="F251" t="inlineStr">
        <is>
          <t>4599031</t>
        </is>
      </c>
      <c r="G251" t="inlineStr">
        <is>
          <t>Servicio de asistencia técnica</t>
        </is>
      </c>
      <c r="H251" t="inlineStr">
        <is>
          <t>Corresponde al acompañamiento,apoyo,  asesoría y seguimiento técnico para la transferencia de herramientas de gestión y conocimiento en políticas, planes , proyectos y programas de apoyo a la dirección y gestión de la administración territorial.</t>
        </is>
      </c>
      <c r="I251" t="inlineStr">
        <is>
          <t>2024251260068</t>
        </is>
      </c>
      <c r="J251" s="99">
        <v>33920000</v>
      </c>
      <c r="K251" s="99">
        <v>10000000</v>
      </c>
      <c r="L251" s="99">
        <v>23920000</v>
      </c>
      <c r="M251" s="99">
        <v>0</v>
      </c>
      <c r="N251" s="99">
        <v>0</v>
      </c>
      <c r="O251" s="99">
        <v>9992592</v>
      </c>
      <c r="P251" s="99">
        <v>9992592</v>
      </c>
      <c r="Q251" s="99">
        <v>0</v>
      </c>
      <c r="R251" s="100">
        <v>0.9992592</v>
      </c>
      <c r="S251" t="inlineStr">
        <is>
          <t>Lo obligado está por debajo de lo programado en la vigencia</t>
        </is>
      </c>
      <c r="T251" s="101" t="inlineStr">
        <is>
          <t xml:space="preserve"> </t>
        </is>
      </c>
      <c r="U251" s="101" t="inlineStr">
        <is>
          <t xml:space="preserve"> </t>
        </is>
      </c>
      <c r="V251" s="101" t="inlineStr">
        <is>
          <t xml:space="preserve"> </t>
        </is>
      </c>
      <c r="W251" s="102" t="inlineStr">
        <is>
          <t xml:space="preserve"> </t>
        </is>
      </c>
      <c r="X251" t="inlineStr">
        <is>
          <t>No se encontró ejecución en CUIPO</t>
        </is>
      </c>
    </row>
    <row r="252">
      <c r="A252" t="inlineStr">
        <is>
          <t>IP-314</t>
        </is>
      </c>
      <c r="B252" t="inlineStr">
        <is>
          <t>45</t>
        </is>
      </c>
      <c r="C252" t="inlineStr">
        <is>
          <t>Gobierno Territorial</t>
        </is>
      </c>
      <c r="D252" t="inlineStr">
        <is>
          <t>4599</t>
        </is>
      </c>
      <c r="E252" t="inlineStr">
        <is>
          <t>Fortalecimiento a la gestión y dirección de la administración pública territorial</t>
        </is>
      </c>
      <c r="F252" t="inlineStr">
        <is>
          <t>4599029</t>
        </is>
      </c>
      <c r="G252" t="inlineStr">
        <is>
          <t>Servicio de integración de la oferta pública</t>
        </is>
      </c>
      <c r="H252" t="inlineStr">
        <is>
          <t>Corresponde al diseño e implementación de espacios que articulen la oferta institucional para que los ciudadanos conozcan sus derechos y deberes y los mecanismos de acceso a la oferta publica.</t>
        </is>
      </c>
      <c r="I252" t="inlineStr">
        <is>
          <t>2024251260002</t>
        </is>
      </c>
      <c r="J252" s="99">
        <v>0</v>
      </c>
      <c r="K252" s="99">
        <v>0</v>
      </c>
      <c r="L252" s="99">
        <v>0</v>
      </c>
      <c r="M252" s="99">
        <v>0</v>
      </c>
      <c r="N252" s="99">
        <v>0</v>
      </c>
      <c r="O252" s="99" t="inlineStr">
        <is>
          <t xml:space="preserve"> </t>
        </is>
      </c>
      <c r="P252" s="99" t="inlineStr">
        <is>
          <t xml:space="preserve"> </t>
        </is>
      </c>
      <c r="Q252" s="99" t="inlineStr">
        <is>
          <t xml:space="preserve"> </t>
        </is>
      </c>
      <c r="R252" s="100" t="inlineStr">
        <is>
          <t xml:space="preserve"> </t>
        </is>
      </c>
      <c r="S252" t="inlineStr">
        <is>
          <t>No se encontró ejecución en CUIPO</t>
        </is>
      </c>
      <c r="T252" s="101" t="inlineStr">
        <is>
          <t xml:space="preserve"> </t>
        </is>
      </c>
      <c r="U252" s="101" t="inlineStr">
        <is>
          <t xml:space="preserve"> </t>
        </is>
      </c>
      <c r="V252" s="101" t="inlineStr">
        <is>
          <t xml:space="preserve"> </t>
        </is>
      </c>
      <c r="W252" s="102" t="inlineStr">
        <is>
          <t xml:space="preserve"> </t>
        </is>
      </c>
      <c r="X252" t="inlineStr">
        <is>
          <t>No se encontró ejecución en CUIPO</t>
        </is>
      </c>
    </row>
    <row r="253">
      <c r="A253" t="inlineStr">
        <is>
          <t>IP-315</t>
        </is>
      </c>
      <c r="B253" t="inlineStr">
        <is>
          <t>04</t>
        </is>
      </c>
      <c r="C253" t="inlineStr">
        <is>
          <t>Información Estadística</t>
        </is>
      </c>
      <c r="D253" t="inlineStr">
        <is>
          <t>0406</t>
        </is>
      </c>
      <c r="E253" t="inlineStr">
        <is>
          <t>Generación de la información geográfica del territorio nacional</t>
        </is>
      </c>
      <c r="F253" t="inlineStr">
        <is>
          <t>0406016</t>
        </is>
      </c>
      <c r="G253" t="inlineStr">
        <is>
          <t>Servicio de actualización catastral con enfoque multipropósito</t>
        </is>
      </c>
      <c r="H253" t="inlineStr">
        <is>
          <t>Acciones orientadas a renovar el inventario o censo predial en sus componentes físico, jurídico y económico con enfoque multipropósito, de acuerdo con los cambios experimentados por los inmuebles en cada uno de sus componentes. Entregable: base catastral actualizada.</t>
        </is>
      </c>
      <c r="I253" t="inlineStr">
        <is>
          <t>2024251260069</t>
        </is>
      </c>
      <c r="J253" s="99">
        <v>100000000</v>
      </c>
      <c r="K253" s="99">
        <v>100000000</v>
      </c>
      <c r="L253" s="99">
        <v>0</v>
      </c>
      <c r="M253" s="99">
        <v>0</v>
      </c>
      <c r="N253" s="99">
        <v>0</v>
      </c>
      <c r="O253" s="99">
        <v>101922020</v>
      </c>
      <c r="P253" s="99">
        <v>69999501</v>
      </c>
      <c r="Q253" s="99">
        <v>69999501</v>
      </c>
      <c r="R253" s="100">
        <v>0.69999501</v>
      </c>
      <c r="S253" t="inlineStr">
        <is>
          <t>Lo obligado está por debajo de lo programado en la vigencia</t>
        </is>
      </c>
      <c r="T253" s="101">
        <v>20005164</v>
      </c>
      <c r="U253" s="101">
        <v>0</v>
      </c>
      <c r="V253" s="101">
        <v>0</v>
      </c>
      <c r="W253" s="102" t="inlineStr">
        <is>
          <t xml:space="preserve"> </t>
        </is>
      </c>
      <c r="X253" t="inlineStr">
        <is>
          <t>No se programó ni ejecutó en la vigencia</t>
        </is>
      </c>
    </row>
    <row r="254">
      <c r="A254" t="inlineStr">
        <is>
          <t>IP-316</t>
        </is>
      </c>
      <c r="B254" t="inlineStr">
        <is>
          <t>04</t>
        </is>
      </c>
      <c r="C254" t="inlineStr">
        <is>
          <t>Información Estadística</t>
        </is>
      </c>
      <c r="D254" t="inlineStr">
        <is>
          <t>0406</t>
        </is>
      </c>
      <c r="E254" t="inlineStr">
        <is>
          <t>Generación de la información geográfica del territorio nacional</t>
        </is>
      </c>
      <c r="F254" t="inlineStr">
        <is>
          <t>0406004</t>
        </is>
      </c>
      <c r="G254" t="inlineStr">
        <is>
          <t>Servicio de información catastral actualizado</t>
        </is>
      </c>
      <c r="H254" t="inlineStr">
        <is>
          <t>Corresponde al proceso que mejora la disposición de la información catastral para garantizar el uso y acceso de los datos.</t>
        </is>
      </c>
      <c r="I254" t="inlineStr">
        <is>
          <t>2024251260069</t>
        </is>
      </c>
      <c r="J254" s="99">
        <v>3928538900</v>
      </c>
      <c r="K254" s="99">
        <v>1700000000</v>
      </c>
      <c r="L254" s="99">
        <v>721000000</v>
      </c>
      <c r="M254" s="99">
        <v>742630000</v>
      </c>
      <c r="N254" s="99">
        <v>764908900</v>
      </c>
      <c r="O254" s="99" t="inlineStr">
        <is>
          <t xml:space="preserve"> </t>
        </is>
      </c>
      <c r="P254" s="99" t="inlineStr">
        <is>
          <t xml:space="preserve"> </t>
        </is>
      </c>
      <c r="Q254" s="99" t="inlineStr">
        <is>
          <t xml:space="preserve"> </t>
        </is>
      </c>
      <c r="R254" s="100" t="inlineStr">
        <is>
          <t xml:space="preserve"> </t>
        </is>
      </c>
      <c r="S254" t="inlineStr">
        <is>
          <t>No se encontró ejecución en CUIPO</t>
        </is>
      </c>
      <c r="T254" s="101">
        <v>2200000000</v>
      </c>
      <c r="U254" s="101">
        <v>0</v>
      </c>
      <c r="V254" s="101">
        <v>0</v>
      </c>
      <c r="W254" s="102">
        <v>0</v>
      </c>
      <c r="X254" t="inlineStr">
        <is>
          <t>No se ejecutó en la vigencia</t>
        </is>
      </c>
    </row>
    <row r="255">
      <c r="A255" t="inlineStr">
        <is>
          <t>IP-317, IP-321</t>
        </is>
      </c>
      <c r="B255" t="inlineStr">
        <is>
          <t>23</t>
        </is>
      </c>
      <c r="C255" t="inlineStr">
        <is>
          <t>Tecnologías de la información y las comunicaciones</t>
        </is>
      </c>
      <c r="D255" t="inlineStr">
        <is>
          <t>2301</t>
        </is>
      </c>
      <c r="E255" t="inlineStr">
        <is>
          <t>Facilitar el acceso y uso de las Tecnologías de la Información y las Comunicaciones (TIC) en todo el territorio nacional</t>
        </is>
      </c>
      <c r="F255" t="inlineStr">
        <is>
          <t>2301004</t>
        </is>
      </c>
      <c r="G255" t="inlineStr">
        <is>
          <t>Documentos de planeación</t>
        </is>
      </c>
      <c r="H255" t="inlineStr">
        <is>
          <t xml:space="preserve">Documentos que plantean la hoja de ruta  para futuros planes, programas y proyectos en el sector TIC. </t>
        </is>
      </c>
      <c r="I255" t="inlineStr">
        <is>
          <t>2024251260079</t>
        </is>
      </c>
      <c r="J255" s="99">
        <v>140372080</v>
      </c>
      <c r="K255" s="99">
        <v>28271000</v>
      </c>
      <c r="L255" s="99">
        <v>112101080</v>
      </c>
      <c r="M255" s="99">
        <v>0</v>
      </c>
      <c r="N255" s="99">
        <v>0</v>
      </c>
      <c r="O255" s="99">
        <v>702633984</v>
      </c>
      <c r="P255" s="99">
        <v>702633984</v>
      </c>
      <c r="Q255" s="99">
        <v>680728456</v>
      </c>
      <c r="R255" s="100">
        <v>24.8535242474621</v>
      </c>
      <c r="S255" t="inlineStr">
        <is>
          <t>Hubo ejecución por encima de lo programado en SisPT</t>
        </is>
      </c>
      <c r="T255" s="101">
        <v>112101080</v>
      </c>
      <c r="U255" s="101">
        <v>84946160</v>
      </c>
      <c r="V255" s="101">
        <v>74501960</v>
      </c>
      <c r="W255" s="102">
        <v>0.757763975155279</v>
      </c>
      <c r="X255" t="inlineStr">
        <is>
          <t>Lo obligado está por debajo de lo programado en la vigencia</t>
        </is>
      </c>
    </row>
    <row r="256">
      <c r="A256" t="inlineStr">
        <is>
          <t>IP-318</t>
        </is>
      </c>
      <c r="B256" t="inlineStr">
        <is>
          <t>23</t>
        </is>
      </c>
      <c r="C256" t="inlineStr">
        <is>
          <t>Tecnologías de la información y las comunicaciones</t>
        </is>
      </c>
      <c r="D256" t="inlineStr">
        <is>
          <t>2301</t>
        </is>
      </c>
      <c r="E256" t="inlineStr">
        <is>
          <t>Facilitar el acceso y uso de las Tecnologías de la Información y las Comunicaciones (TIC) en todo el territorio nacional</t>
        </is>
      </c>
      <c r="F256" t="inlineStr">
        <is>
          <t>2301024</t>
        </is>
      </c>
      <c r="G256" t="inlineStr">
        <is>
          <t>Servicio de acceso y uso de Tecnologías de la Información y las Comunicaciones</t>
        </is>
      </c>
      <c r="H256" t="inlineStr">
        <is>
          <t>Se prestan Servicio a la comunidad, tales como: i) acceso a Internet, ii) uso de aula de capacitaciones enfocada en informática e Internet  y iii) Entretenimiento a través de consolas de video juegos. Adicionalmente, se cuenta con un área de competencias especializadas, para la formación de estudiantes en competencias en Tecnologías de la Información, tales como animación 2D, 3D, emprendimiento Digital, producción de audio y video digital para socializar a través de la web, diseño de efectos especiales, desarrollo web para móviles y videojuegos, entre otros.  Se prestan Servicio telecomunicaciones básicos para las comunidades donde este acceso es limitado o nulo.</t>
        </is>
      </c>
      <c r="I256" t="inlineStr">
        <is>
          <t>2024251260079</t>
        </is>
      </c>
      <c r="J256" s="99">
        <v>3026241505.73</v>
      </c>
      <c r="K256" s="99">
        <v>688000000</v>
      </c>
      <c r="L256" s="99">
        <v>1261428005.73</v>
      </c>
      <c r="M256" s="99">
        <v>530450000</v>
      </c>
      <c r="N256" s="99">
        <v>546363500</v>
      </c>
      <c r="O256" s="99" t="inlineStr">
        <is>
          <t xml:space="preserve"> </t>
        </is>
      </c>
      <c r="P256" s="99" t="inlineStr">
        <is>
          <t xml:space="preserve"> </t>
        </is>
      </c>
      <c r="Q256" s="99" t="inlineStr">
        <is>
          <t xml:space="preserve"> </t>
        </is>
      </c>
      <c r="R256" s="100" t="inlineStr">
        <is>
          <t xml:space="preserve"> </t>
        </is>
      </c>
      <c r="S256" t="inlineStr">
        <is>
          <t>No se encontró ejecución en CUIPO</t>
        </is>
      </c>
      <c r="T256" s="101">
        <v>592547805</v>
      </c>
      <c r="U256" s="101">
        <v>268646693</v>
      </c>
      <c r="V256" s="101">
        <v>237774689</v>
      </c>
      <c r="W256" s="102">
        <v>0.212970293809619</v>
      </c>
      <c r="X256" t="inlineStr">
        <is>
          <t>Lo obligado está por debajo de lo programado en la vigencia</t>
        </is>
      </c>
    </row>
    <row r="257">
      <c r="A257" t="inlineStr">
        <is>
          <t>IP-319</t>
        </is>
      </c>
      <c r="B257" t="inlineStr">
        <is>
          <t>23</t>
        </is>
      </c>
      <c r="C257" t="inlineStr">
        <is>
          <t>Tecnologías de la información y las comunicaciones</t>
        </is>
      </c>
      <c r="D257" t="inlineStr">
        <is>
          <t>2301</t>
        </is>
      </c>
      <c r="E257" t="inlineStr">
        <is>
          <t>Facilitar el acceso y uso de las Tecnologías de la Información y las Comunicaciones (TIC) en todo el territorio nacional</t>
        </is>
      </c>
      <c r="F257" t="inlineStr">
        <is>
          <t>2301079</t>
        </is>
      </c>
      <c r="G257" t="inlineStr">
        <is>
          <t xml:space="preserve"> Servicio de acceso zonas digitales</t>
        </is>
      </c>
      <c r="H257" t="inlineStr">
        <is>
          <t>Corresponde al montaje y puesta en servicio de la zona digital (wifi), medido a través de la cantidad de usuarios (dispositivos a la zona) y la asistencia personalizada y virtual a los mismos.</t>
        </is>
      </c>
      <c r="I257" t="inlineStr">
        <is>
          <t>2024251260079</t>
        </is>
      </c>
      <c r="J257" s="99">
        <v>684551830</v>
      </c>
      <c r="K257" s="99">
        <v>0</v>
      </c>
      <c r="L257" s="99">
        <v>60000000</v>
      </c>
      <c r="M257" s="99">
        <v>307661000</v>
      </c>
      <c r="N257" s="99">
        <v>316890830</v>
      </c>
      <c r="O257" s="99" t="inlineStr">
        <is>
          <t xml:space="preserve"> </t>
        </is>
      </c>
      <c r="P257" s="99" t="inlineStr">
        <is>
          <t xml:space="preserve"> </t>
        </is>
      </c>
      <c r="Q257" s="99" t="inlineStr">
        <is>
          <t xml:space="preserve"> </t>
        </is>
      </c>
      <c r="R257" s="100" t="inlineStr">
        <is>
          <t xml:space="preserve"> </t>
        </is>
      </c>
      <c r="S257" t="inlineStr">
        <is>
          <t>No se encontró ejecución en CUIPO</t>
        </is>
      </c>
      <c r="T257" s="101" t="inlineStr">
        <is>
          <t xml:space="preserve"> </t>
        </is>
      </c>
      <c r="U257" s="101" t="inlineStr">
        <is>
          <t xml:space="preserve"> </t>
        </is>
      </c>
      <c r="V257" s="101" t="inlineStr">
        <is>
          <t xml:space="preserve"> </t>
        </is>
      </c>
      <c r="W257" s="102" t="inlineStr">
        <is>
          <t xml:space="preserve"> </t>
        </is>
      </c>
      <c r="X257" t="inlineStr">
        <is>
          <t>No se encontró ejecución en CUIPO</t>
        </is>
      </c>
    </row>
    <row r="258">
      <c r="A258" t="inlineStr">
        <is>
          <t>IP-320</t>
        </is>
      </c>
      <c r="B258" t="inlineStr">
        <is>
          <t>23</t>
        </is>
      </c>
      <c r="C258" t="inlineStr">
        <is>
          <t>Tecnologías de la información y las comunicaciones</t>
        </is>
      </c>
      <c r="D258" t="inlineStr">
        <is>
          <t>2301</t>
        </is>
      </c>
      <c r="E258" t="inlineStr">
        <is>
          <t>Facilitar el acceso y uso de las Tecnologías de la Información y las Comunicaciones (TIC) en todo el territorio nacional</t>
        </is>
      </c>
      <c r="F258" t="inlineStr">
        <is>
          <t>2301030</t>
        </is>
      </c>
      <c r="G258" t="inlineStr">
        <is>
          <t>Servicio de educación informal en tecnologías de la información y las comunicaciones.</t>
        </is>
      </c>
      <c r="H258" t="inlineStr">
        <is>
          <t>Capacitaciones en temas relacionados con las Tecnologías de la Información y las Comunicaciones, tales como uso de aplicaciones y herramientas web específicas, con el fin de profundizar conocimientos y finalmente potenciar su aprovechamiento.</t>
        </is>
      </c>
      <c r="I258" t="inlineStr">
        <is>
          <t>2024251260079</t>
        </is>
      </c>
      <c r="J258" s="99">
        <v>172290160</v>
      </c>
      <c r="K258" s="99">
        <v>0</v>
      </c>
      <c r="L258" s="99">
        <v>0</v>
      </c>
      <c r="M258" s="99">
        <v>84872000</v>
      </c>
      <c r="N258" s="99">
        <v>87418160</v>
      </c>
      <c r="O258" s="99" t="inlineStr">
        <is>
          <t xml:space="preserve"> </t>
        </is>
      </c>
      <c r="P258" s="99" t="inlineStr">
        <is>
          <t xml:space="preserve"> </t>
        </is>
      </c>
      <c r="Q258" s="99" t="inlineStr">
        <is>
          <t xml:space="preserve"> </t>
        </is>
      </c>
      <c r="R258" s="100" t="inlineStr">
        <is>
          <t xml:space="preserve"> </t>
        </is>
      </c>
      <c r="S258" t="inlineStr">
        <is>
          <t>No se encontró ejecución en CUIPO</t>
        </is>
      </c>
      <c r="T258" s="101" t="inlineStr">
        <is>
          <t xml:space="preserve"> </t>
        </is>
      </c>
      <c r="U258" s="101" t="inlineStr">
        <is>
          <t xml:space="preserve"> </t>
        </is>
      </c>
      <c r="V258" s="101" t="inlineStr">
        <is>
          <t xml:space="preserve"> </t>
        </is>
      </c>
      <c r="W258" s="102" t="inlineStr">
        <is>
          <t xml:space="preserve"> </t>
        </is>
      </c>
      <c r="X258" t="inlineStr">
        <is>
          <t>No se encontró ejecución en CUIPO</t>
        </is>
      </c>
    </row>
    <row r="259">
      <c r="A259" t="inlineStr">
        <is>
          <t>IP-322, IP-325</t>
        </is>
      </c>
      <c r="B259" t="inlineStr">
        <is>
          <t>23</t>
        </is>
      </c>
      <c r="C259" t="inlineStr">
        <is>
          <t>Tecnologías de la información y las comunicaciones</t>
        </is>
      </c>
      <c r="D259" t="inlineStr">
        <is>
          <t>2302</t>
        </is>
      </c>
      <c r="E259" t="inlineStr">
        <is>
          <t>Fomento del desarrollo de aplicaciones, software y contenidos para impulsar la apropiación de las Tecnologías de la Información y las Comunicaciones (TIC)</t>
        </is>
      </c>
      <c r="F259" t="inlineStr">
        <is>
          <t>2302002</t>
        </is>
      </c>
      <c r="G259" t="inlineStr">
        <is>
          <t>Contenidos digitales</t>
        </is>
      </c>
      <c r="H259" t="inlineStr">
        <is>
          <t>Corresponde a contenidos en formatos tales como piezas gráficas, posteos para redes sociales, videos de historias de éxito, videos tutoriales y pedagógicos, artículos y crónicas que evidencian la importancia de la apropiación TIC</t>
        </is>
      </c>
      <c r="I259" t="inlineStr">
        <is>
          <t>2024251260070</t>
        </is>
      </c>
      <c r="J259" s="99">
        <v>2657857403</v>
      </c>
      <c r="K259" s="99">
        <v>362318503</v>
      </c>
      <c r="L259" s="99">
        <v>788000000</v>
      </c>
      <c r="M259" s="99">
        <v>742630000</v>
      </c>
      <c r="N259" s="99">
        <v>764908900</v>
      </c>
      <c r="O259" s="99">
        <v>284861745</v>
      </c>
      <c r="P259" s="99">
        <v>284861745</v>
      </c>
      <c r="Q259" s="99">
        <v>284861745</v>
      </c>
      <c r="R259" s="100">
        <v>0.786219148736105</v>
      </c>
      <c r="S259" t="inlineStr">
        <is>
          <t>Lo obligado está por debajo de lo programado en la vigencia</t>
        </is>
      </c>
      <c r="T259" s="101" t="inlineStr">
        <is>
          <t xml:space="preserve"> </t>
        </is>
      </c>
      <c r="U259" s="101" t="inlineStr">
        <is>
          <t xml:space="preserve"> </t>
        </is>
      </c>
      <c r="V259" s="101" t="inlineStr">
        <is>
          <t xml:space="preserve"> </t>
        </is>
      </c>
      <c r="W259" s="102" t="inlineStr">
        <is>
          <t xml:space="preserve"> </t>
        </is>
      </c>
      <c r="X259" t="inlineStr">
        <is>
          <t>No se encontró ejecución en CUIPO</t>
        </is>
      </c>
    </row>
    <row r="260">
      <c r="A260" t="inlineStr">
        <is>
          <t>IP-323</t>
        </is>
      </c>
      <c r="B260" t="inlineStr">
        <is>
          <t>23</t>
        </is>
      </c>
      <c r="C260" t="inlineStr">
        <is>
          <t>Tecnologías de la información y las comunicaciones</t>
        </is>
      </c>
      <c r="D260" t="inlineStr">
        <is>
          <t>2301</t>
        </is>
      </c>
      <c r="E260" t="inlineStr">
        <is>
          <t>Facilitar el acceso y uso de las Tecnologías de la Información y las Comunicaciones (TIC) en todo el territorio nacional</t>
        </is>
      </c>
      <c r="F260" t="inlineStr">
        <is>
          <t>2301075</t>
        </is>
      </c>
      <c r="G260" t="inlineStr">
        <is>
          <t>Servicio de Información implementado</t>
        </is>
      </c>
      <c r="H260" t="inlineStr">
        <is>
          <t>Corresponde al proceso que asegura la disposición de la información de manera accesible, confiable y oportuna.</t>
        </is>
      </c>
      <c r="I260" t="inlineStr">
        <is>
          <t>2024251260083</t>
        </is>
      </c>
      <c r="J260" s="99">
        <v>0</v>
      </c>
      <c r="K260" s="99">
        <v>0</v>
      </c>
      <c r="L260" s="99">
        <v>0</v>
      </c>
      <c r="M260" s="99">
        <v>0</v>
      </c>
      <c r="N260" s="99">
        <v>0</v>
      </c>
      <c r="O260" s="99" t="inlineStr">
        <is>
          <t xml:space="preserve"> </t>
        </is>
      </c>
      <c r="P260" s="99" t="inlineStr">
        <is>
          <t xml:space="preserve"> </t>
        </is>
      </c>
      <c r="Q260" s="99" t="inlineStr">
        <is>
          <t xml:space="preserve"> </t>
        </is>
      </c>
      <c r="R260" s="100" t="inlineStr">
        <is>
          <t xml:space="preserve"> </t>
        </is>
      </c>
      <c r="S260" t="inlineStr">
        <is>
          <t>No se encontró ejecución en CUIPO</t>
        </is>
      </c>
      <c r="T260" s="101" t="inlineStr">
        <is>
          <t xml:space="preserve"> </t>
        </is>
      </c>
      <c r="U260" s="101" t="inlineStr">
        <is>
          <t xml:space="preserve"> </t>
        </is>
      </c>
      <c r="V260" s="101" t="inlineStr">
        <is>
          <t xml:space="preserve"> </t>
        </is>
      </c>
      <c r="W260" s="102" t="inlineStr">
        <is>
          <t xml:space="preserve"> </t>
        </is>
      </c>
      <c r="X260" t="inlineStr">
        <is>
          <t>No se encontró ejecución en CUIPO</t>
        </is>
      </c>
    </row>
    <row r="261">
      <c r="A261" t="inlineStr">
        <is>
          <t>IP-324</t>
        </is>
      </c>
      <c r="B261" t="inlineStr">
        <is>
          <t>23</t>
        </is>
      </c>
      <c r="C261" t="inlineStr">
        <is>
          <t>Tecnologías de la información y las comunicaciones</t>
        </is>
      </c>
      <c r="D261" t="inlineStr">
        <is>
          <t>2301</t>
        </is>
      </c>
      <c r="E261" t="inlineStr">
        <is>
          <t>Facilitar el acceso y uso de las Tecnologías de la Información y las Comunicaciones (TIC) en todo el territorio nacional</t>
        </is>
      </c>
      <c r="F261" t="inlineStr">
        <is>
          <t>2301077</t>
        </is>
      </c>
      <c r="G261" t="inlineStr">
        <is>
          <t>Servicio de información actualizado</t>
        </is>
      </c>
      <c r="H261" t="inlineStr">
        <is>
          <t>Corresponde al proceso que mejora en la disposición de la información para asegurar que sea accesible, confiable y oportuna.</t>
        </is>
      </c>
      <c r="I261" t="inlineStr">
        <is>
          <t>2024251260083</t>
        </is>
      </c>
      <c r="J261" s="99">
        <v>0</v>
      </c>
      <c r="K261" s="99">
        <v>0</v>
      </c>
      <c r="L261" s="99">
        <v>0</v>
      </c>
      <c r="M261" s="99">
        <v>0</v>
      </c>
      <c r="N261" s="99">
        <v>0</v>
      </c>
      <c r="O261" s="99" t="inlineStr">
        <is>
          <t xml:space="preserve"> </t>
        </is>
      </c>
      <c r="P261" s="99" t="inlineStr">
        <is>
          <t xml:space="preserve"> </t>
        </is>
      </c>
      <c r="Q261" s="99" t="inlineStr">
        <is>
          <t xml:space="preserve"> </t>
        </is>
      </c>
      <c r="R261" s="100" t="inlineStr">
        <is>
          <t xml:space="preserve"> </t>
        </is>
      </c>
      <c r="S261" t="inlineStr">
        <is>
          <t>No se encontró ejecución en CUIPO</t>
        </is>
      </c>
      <c r="T261" s="101" t="inlineStr">
        <is>
          <t xml:space="preserve"> </t>
        </is>
      </c>
      <c r="U261" s="101" t="inlineStr">
        <is>
          <t xml:space="preserve"> </t>
        </is>
      </c>
      <c r="V261" s="101" t="inlineStr">
        <is>
          <t xml:space="preserve"> </t>
        </is>
      </c>
      <c r="W261" s="102" t="inlineStr">
        <is>
          <t xml:space="preserve"> </t>
        </is>
      </c>
      <c r="X261" t="inlineStr">
        <is>
          <t>No se encontró ejecución en CUIPO</t>
        </is>
      </c>
    </row>
    <row r="262">
      <c r="A262" t="inlineStr">
        <is>
          <t>IP-326</t>
        </is>
      </c>
      <c r="B262" t="inlineStr">
        <is>
          <t>12</t>
        </is>
      </c>
      <c r="C262" t="inlineStr">
        <is>
          <t>Justicia y del derecho</t>
        </is>
      </c>
      <c r="D262" t="inlineStr">
        <is>
          <t>1203</t>
        </is>
      </c>
      <c r="E262" t="inlineStr">
        <is>
          <t>Promoción de los métodos de resolución de conflictos</t>
        </is>
      </c>
      <c r="F262" t="inlineStr">
        <is>
          <t>1203002</t>
        </is>
      </c>
      <c r="G262" t="inlineStr">
        <is>
          <t>Servicio de asistencia técnica para la implementación de los métodos de resolución de conflictos</t>
        </is>
      </c>
      <c r="H262" t="inlineStr">
        <is>
          <t>Asistencia técnica brindada a los entes territoriales en la implementación y fortalecimiento de la conciliación en equidad, conciliación en derecho, arbitraje y amigable composición y los procesos de inspección, control y vigilancia.</t>
        </is>
      </c>
      <c r="I262" t="inlineStr">
        <is>
          <t>2024251260071</t>
        </is>
      </c>
      <c r="J262" s="99">
        <v>8743118340.21</v>
      </c>
      <c r="K262" s="99">
        <v>1453975357.52</v>
      </c>
      <c r="L262" s="99">
        <v>3197251682.69</v>
      </c>
      <c r="M262" s="99">
        <v>2015710000</v>
      </c>
      <c r="N262" s="99">
        <v>2076181300</v>
      </c>
      <c r="O262" s="99">
        <v>706101358</v>
      </c>
      <c r="P262" s="99">
        <v>706101358</v>
      </c>
      <c r="Q262" s="99">
        <v>635687920</v>
      </c>
      <c r="R262" s="100">
        <v>0.48563502424441</v>
      </c>
      <c r="S262" t="inlineStr">
        <is>
          <t>Lo obligado está por debajo de lo programado en la vigencia</t>
        </is>
      </c>
      <c r="T262" s="101">
        <v>2096453081</v>
      </c>
      <c r="U262" s="101">
        <v>1319360191</v>
      </c>
      <c r="V262" s="101">
        <v>1210131391</v>
      </c>
      <c r="W262" s="102">
        <v>0.412654467630136</v>
      </c>
      <c r="X262" t="inlineStr">
        <is>
          <t>Lo obligado está por debajo de lo programado en la vigencia</t>
        </is>
      </c>
    </row>
    <row r="263">
      <c r="A263" t="inlineStr">
        <is>
          <t>IP-327</t>
        </is>
      </c>
      <c r="B263" t="inlineStr">
        <is>
          <t>12</t>
        </is>
      </c>
      <c r="C263" t="inlineStr">
        <is>
          <t>Justicia y del derecho</t>
        </is>
      </c>
      <c r="D263" t="inlineStr">
        <is>
          <t>1203</t>
        </is>
      </c>
      <c r="E263" t="inlineStr">
        <is>
          <t>Promoción de los métodos de resolución de conflictos</t>
        </is>
      </c>
      <c r="F263" t="inlineStr">
        <is>
          <t>1203011</t>
        </is>
      </c>
      <c r="G263" t="inlineStr">
        <is>
          <t>Servicio de asistencia técnica para la implementación de los métodos de solución de conflictos</t>
        </is>
      </c>
      <c r="H263" t="inlineStr">
        <is>
          <t>Corresponde al acompañamiento técnico y  profesional que se brinda para atender la operación de los procesos de implementación y fortalecimiento de la conciliación en equidad, el apoyo en la creación de los centros gratuitos de conciliación, arbitraje y amigable composición, incluyendo el procedimiento de insolvencia de persona natural no comerciante y los procesos de inspección control y vigilancia de los centros de conciliación, arbitraje y amigable composición.</t>
        </is>
      </c>
      <c r="I263" t="inlineStr">
        <is>
          <t>2024251260077</t>
        </is>
      </c>
      <c r="J263" s="99">
        <v>8055189656.38</v>
      </c>
      <c r="K263" s="99">
        <v>1152380563</v>
      </c>
      <c r="L263" s="99">
        <v>1949466993.38</v>
      </c>
      <c r="M263" s="99">
        <v>2440070000</v>
      </c>
      <c r="N263" s="99">
        <v>2513272100</v>
      </c>
      <c r="O263" s="99">
        <v>628164975</v>
      </c>
      <c r="P263" s="99">
        <v>628164975</v>
      </c>
      <c r="Q263" s="99">
        <v>598245608</v>
      </c>
      <c r="R263" s="100">
        <v>0.545102021995836</v>
      </c>
      <c r="S263" t="inlineStr">
        <is>
          <t>Lo obligado está por debajo de lo programado en la vigencia</t>
        </is>
      </c>
      <c r="T263" s="101">
        <v>1204383005</v>
      </c>
      <c r="U263" s="101">
        <v>1110062643</v>
      </c>
      <c r="V263" s="101">
        <v>1068777743</v>
      </c>
      <c r="W263" s="102">
        <v>0.569418536845995</v>
      </c>
      <c r="X263" t="inlineStr">
        <is>
          <t>Lo obligado está por debajo de lo programado en la vigencia</t>
        </is>
      </c>
    </row>
    <row r="264">
      <c r="A264" t="inlineStr">
        <is>
          <t>IP-328</t>
        </is>
      </c>
      <c r="B264" t="inlineStr">
        <is>
          <t>12</t>
        </is>
      </c>
      <c r="C264" t="inlineStr">
        <is>
          <t>Justicia y del derecho</t>
        </is>
      </c>
      <c r="D264" t="inlineStr">
        <is>
          <t>1202</t>
        </is>
      </c>
      <c r="E264" t="inlineStr">
        <is>
          <t>Promoción al acceso a la justicia</t>
        </is>
      </c>
      <c r="F264" t="inlineStr">
        <is>
          <t>1202023</t>
        </is>
      </c>
      <c r="G264" t="inlineStr">
        <is>
          <t>Servicio de asistencia técnica en la promoción y articulación de los servicios de justicia</t>
        </is>
      </c>
      <c r="H264" t="inlineStr">
        <is>
          <t>Comprende el acompañamiento institucional para el diagnóstico, revisión, ajuste, promoción y articulación de herramientas para la prestación de servicios de justicia.</t>
        </is>
      </c>
      <c r="I264" t="inlineStr">
        <is>
          <t>2024251260072</t>
        </is>
      </c>
      <c r="J264" s="99">
        <v>0</v>
      </c>
      <c r="K264" s="99">
        <v>0</v>
      </c>
      <c r="L264" s="99">
        <v>0</v>
      </c>
      <c r="M264" s="99">
        <v>0</v>
      </c>
      <c r="N264" s="99">
        <v>0</v>
      </c>
      <c r="O264" s="99" t="inlineStr">
        <is>
          <t xml:space="preserve"> </t>
        </is>
      </c>
      <c r="P264" s="99" t="inlineStr">
        <is>
          <t xml:space="preserve"> </t>
        </is>
      </c>
      <c r="Q264" s="99" t="inlineStr">
        <is>
          <t xml:space="preserve"> </t>
        </is>
      </c>
      <c r="R264" s="100" t="inlineStr">
        <is>
          <t xml:space="preserve"> </t>
        </is>
      </c>
      <c r="S264" t="inlineStr">
        <is>
          <t>No se encontró ejecución en CUIPO</t>
        </is>
      </c>
      <c r="T264" s="101" t="inlineStr">
        <is>
          <t xml:space="preserve"> </t>
        </is>
      </c>
      <c r="U264" s="101" t="inlineStr">
        <is>
          <t xml:space="preserve"> </t>
        </is>
      </c>
      <c r="V264" s="101" t="inlineStr">
        <is>
          <t xml:space="preserve"> </t>
        </is>
      </c>
      <c r="W264" s="102" t="inlineStr">
        <is>
          <t xml:space="preserve"> </t>
        </is>
      </c>
      <c r="X264" t="inlineStr">
        <is>
          <t>No se encontró ejecución en CUIPO</t>
        </is>
      </c>
    </row>
    <row r="265">
      <c r="A265" t="inlineStr">
        <is>
          <t>IP-329</t>
        </is>
      </c>
      <c r="B265" t="inlineStr">
        <is>
          <t>12</t>
        </is>
      </c>
      <c r="C265" t="inlineStr">
        <is>
          <t>Justicia y del derecho</t>
        </is>
      </c>
      <c r="D265" t="inlineStr">
        <is>
          <t>1206</t>
        </is>
      </c>
      <c r="E265" t="inlineStr">
        <is>
          <t>Sistema penitenciario y carcelario en el marco de los derechos humanos</t>
        </is>
      </c>
      <c r="F265" t="inlineStr">
        <is>
          <t>1206008</t>
        </is>
      </c>
      <c r="G265" t="inlineStr">
        <is>
          <t>Infraestructura penitenciaria y carcelaria dotada</t>
        </is>
      </c>
      <c r="H265" t="inlineStr">
        <is>
          <t>Corresponde a la dotación realizada a infraestuctura de los centros penitenciarios y carcelarios.</t>
        </is>
      </c>
      <c r="I265" t="inlineStr">
        <is>
          <t>2024251260075</t>
        </is>
      </c>
      <c r="J265" s="99">
        <v>564737075</v>
      </c>
      <c r="K265" s="99">
        <v>170000000</v>
      </c>
      <c r="L265" s="99">
        <v>394737075</v>
      </c>
      <c r="M265" s="99">
        <v>0</v>
      </c>
      <c r="N265" s="99">
        <v>0</v>
      </c>
      <c r="O265" s="99">
        <v>50999666</v>
      </c>
      <c r="P265" s="99">
        <v>50999666</v>
      </c>
      <c r="Q265" s="99">
        <v>50999666</v>
      </c>
      <c r="R265" s="100">
        <v>0.299998035294118</v>
      </c>
      <c r="S265" t="inlineStr">
        <is>
          <t>Lo obligado está por debajo de lo programado en la vigencia</t>
        </is>
      </c>
      <c r="T265" s="101">
        <v>97011940</v>
      </c>
      <c r="U265" s="101">
        <v>97011940</v>
      </c>
      <c r="V265" s="101">
        <v>97011940</v>
      </c>
      <c r="W265" s="102">
        <v>0.245763436332906</v>
      </c>
      <c r="X265" t="inlineStr">
        <is>
          <t>Lo obligado está por debajo de lo programado en la vigencia</t>
        </is>
      </c>
    </row>
    <row r="266">
      <c r="A266" t="inlineStr">
        <is>
          <t>IP-330</t>
        </is>
      </c>
      <c r="B266" t="inlineStr">
        <is>
          <t>12</t>
        </is>
      </c>
      <c r="C266" t="inlineStr">
        <is>
          <t>Justicia y del derecho</t>
        </is>
      </c>
      <c r="D266" t="inlineStr">
        <is>
          <t>1202</t>
        </is>
      </c>
      <c r="E266" t="inlineStr">
        <is>
          <t>Promoción al acceso a la justicia</t>
        </is>
      </c>
      <c r="F266" t="inlineStr">
        <is>
          <t>1202013</t>
        </is>
      </c>
      <c r="G266" t="inlineStr">
        <is>
          <t>Casa de justicia dotada</t>
        </is>
      </c>
      <c r="H266" t="inlineStr">
        <is>
          <t xml:space="preserve">Modelo de atención (infraestructura y equipamiento) para el acceso a la justicia donde se ofrecen servicios de información, orientación, resolución de conflictos para los ciudadanos y se aplican y ejecutan mecanismos de justicia formal y no formal existentes en el municipio, a través de la articulación de entidades del orden nacional y local. </t>
        </is>
      </c>
      <c r="I266" t="inlineStr">
        <is>
          <t>2024251260072</t>
        </is>
      </c>
      <c r="J266" s="99">
        <v>96999500</v>
      </c>
      <c r="K266" s="99">
        <v>49999500</v>
      </c>
      <c r="L266" s="99">
        <v>47000000</v>
      </c>
      <c r="M266" s="99">
        <v>0</v>
      </c>
      <c r="N266" s="99">
        <v>0</v>
      </c>
      <c r="O266" s="99">
        <v>22797667</v>
      </c>
      <c r="P266" s="99">
        <v>22797667</v>
      </c>
      <c r="Q266" s="99">
        <v>22797667</v>
      </c>
      <c r="R266" s="100">
        <v>0.455957899578996</v>
      </c>
      <c r="S266" t="inlineStr">
        <is>
          <t>Lo obligado está por debajo de lo programado en la vigencia</t>
        </is>
      </c>
      <c r="T266" s="101" t="inlineStr">
        <is>
          <t xml:space="preserve"> </t>
        </is>
      </c>
      <c r="U266" s="101" t="inlineStr">
        <is>
          <t xml:space="preserve"> </t>
        </is>
      </c>
      <c r="V266" s="101" t="inlineStr">
        <is>
          <t xml:space="preserve"> </t>
        </is>
      </c>
      <c r="W266" s="102" t="inlineStr">
        <is>
          <t xml:space="preserve"> </t>
        </is>
      </c>
      <c r="X266" t="inlineStr">
        <is>
          <t>No se encontró ejecución en CUIPO</t>
        </is>
      </c>
    </row>
    <row r="267">
      <c r="A267" t="inlineStr">
        <is>
          <t>IP-331</t>
        </is>
      </c>
      <c r="B267" t="inlineStr">
        <is>
          <t>12</t>
        </is>
      </c>
      <c r="C267" t="inlineStr">
        <is>
          <t>Justicia y del derecho</t>
        </is>
      </c>
      <c r="D267" t="inlineStr">
        <is>
          <t>1202</t>
        </is>
      </c>
      <c r="E267" t="inlineStr">
        <is>
          <t>Promoción al acceso a la justicia</t>
        </is>
      </c>
      <c r="F267" t="inlineStr">
        <is>
          <t>1202032</t>
        </is>
      </c>
      <c r="G267" t="inlineStr">
        <is>
          <t>Servicio de articulación entre la Rama Ejecutiva y la Rama Judicial</t>
        </is>
      </c>
      <c r="H267" t="inlineStr">
        <is>
          <t>Comprende la gestión, participación y seguimiento a los diferentes espacios e instrumentos para establecer y desarrollar acuerdos, estrategias y planes conjuntos que contribuyan a la solución de necesidades del sistema de administración de justicia. Este producto esta destinado a crear capacidades a nivel interinstitucional (instancias de articulación que pueden ser mesas permanentes, consejos, comisiones, etc) o para el establecimiento y formalización de canales y herramientas marco permanentes a través de los cuales se materialice la colaboración armónica entre ambas ramas del poder público para optimizar la capacidad de gestión del sistema judicial.</t>
        </is>
      </c>
      <c r="I267" t="inlineStr">
        <is>
          <t>2024251260072</t>
        </is>
      </c>
      <c r="J267" s="99">
        <v>0</v>
      </c>
      <c r="K267" s="99">
        <v>0</v>
      </c>
      <c r="L267" s="99">
        <v>0</v>
      </c>
      <c r="M267" s="99">
        <v>0</v>
      </c>
      <c r="N267" s="99">
        <v>0</v>
      </c>
      <c r="O267" s="99" t="inlineStr">
        <is>
          <t xml:space="preserve"> </t>
        </is>
      </c>
      <c r="P267" s="99" t="inlineStr">
        <is>
          <t xml:space="preserve"> </t>
        </is>
      </c>
      <c r="Q267" s="99" t="inlineStr">
        <is>
          <t xml:space="preserve"> </t>
        </is>
      </c>
      <c r="R267" s="100" t="inlineStr">
        <is>
          <t xml:space="preserve"> </t>
        </is>
      </c>
      <c r="S267" t="inlineStr">
        <is>
          <t>No se encontró ejecución en CUIPO</t>
        </is>
      </c>
      <c r="T267" s="101" t="inlineStr">
        <is>
          <t xml:space="preserve"> </t>
        </is>
      </c>
      <c r="U267" s="101" t="inlineStr">
        <is>
          <t xml:space="preserve"> </t>
        </is>
      </c>
      <c r="V267" s="101" t="inlineStr">
        <is>
          <t xml:space="preserve"> </t>
        </is>
      </c>
      <c r="W267" s="102" t="inlineStr">
        <is>
          <t xml:space="preserve"> </t>
        </is>
      </c>
      <c r="X267" t="inlineStr">
        <is>
          <t>No se encontró ejecución en CUIPO</t>
        </is>
      </c>
    </row>
    <row r="268">
      <c r="A268" t="inlineStr">
        <is>
          <t>IP-332</t>
        </is>
      </c>
      <c r="B268" t="inlineStr">
        <is>
          <t>12</t>
        </is>
      </c>
      <c r="C268" t="inlineStr">
        <is>
          <t>Justicia y del derecho</t>
        </is>
      </c>
      <c r="D268" t="inlineStr">
        <is>
          <t>1202</t>
        </is>
      </c>
      <c r="E268" t="inlineStr">
        <is>
          <t>Promoción al acceso a la justicia</t>
        </is>
      </c>
      <c r="F268" t="inlineStr">
        <is>
          <t>1202002</t>
        </is>
      </c>
      <c r="G268" t="inlineStr">
        <is>
          <t>Servicio de justicia a los ciudadanos</t>
        </is>
      </c>
      <c r="H268" t="inlineStr">
        <is>
          <t>Hace referencia a servicios de información y orientación sobre herramientas y mecanismos legales, formales y no formales, para el reconocimiento y protección de los derechos de los ciudadanos</t>
        </is>
      </c>
      <c r="I268" t="inlineStr">
        <is>
          <t>2024251260090</t>
        </is>
      </c>
      <c r="J268" s="99">
        <v>0</v>
      </c>
      <c r="K268" s="99">
        <v>0</v>
      </c>
      <c r="L268" s="99">
        <v>0</v>
      </c>
      <c r="M268" s="99">
        <v>0</v>
      </c>
      <c r="N268" s="99">
        <v>0</v>
      </c>
      <c r="O268" s="99" t="inlineStr">
        <is>
          <t xml:space="preserve"> </t>
        </is>
      </c>
      <c r="P268" s="99" t="inlineStr">
        <is>
          <t xml:space="preserve"> </t>
        </is>
      </c>
      <c r="Q268" s="99" t="inlineStr">
        <is>
          <t xml:space="preserve"> </t>
        </is>
      </c>
      <c r="R268" s="100" t="inlineStr">
        <is>
          <t xml:space="preserve"> </t>
        </is>
      </c>
      <c r="S268" t="inlineStr">
        <is>
          <t>No se encontró ejecución en CUIPO</t>
        </is>
      </c>
      <c r="T268" s="101" t="inlineStr">
        <is>
          <t xml:space="preserve"> </t>
        </is>
      </c>
      <c r="U268" s="101" t="inlineStr">
        <is>
          <t xml:space="preserve"> </t>
        </is>
      </c>
      <c r="V268" s="101" t="inlineStr">
        <is>
          <t xml:space="preserve"> </t>
        </is>
      </c>
      <c r="W268" s="102" t="inlineStr">
        <is>
          <t xml:space="preserve"> </t>
        </is>
      </c>
      <c r="X268" t="inlineStr">
        <is>
          <t>No se encontró ejecución en CUIPO</t>
        </is>
      </c>
    </row>
    <row r="269">
      <c r="A269" t="inlineStr">
        <is>
          <t>IP-333</t>
        </is>
      </c>
      <c r="B269" t="inlineStr">
        <is>
          <t>25</t>
        </is>
      </c>
      <c r="C269" t="inlineStr">
        <is>
          <t>Organismos de Control</t>
        </is>
      </c>
      <c r="D269" t="inlineStr">
        <is>
          <t>2501</t>
        </is>
      </c>
      <c r="E269" t="inlineStr">
        <is>
          <t>Fortalecimiento del control y la vigilancia de la gestión fiscal y resarcimiento al daño del patrimonio público</t>
        </is>
      </c>
      <c r="F269" t="inlineStr">
        <is>
          <t>2501004</t>
        </is>
      </c>
      <c r="G269" t="inlineStr">
        <is>
          <t>Servicio de control fiscal participativo</t>
        </is>
      </c>
      <c r="H269" t="inlineStr">
        <is>
          <t>Servicio dirigido a fortalecer la participación de la ciudadanía en las actividades de control fiscal</t>
        </is>
      </c>
      <c r="I269" t="inlineStr">
        <is>
          <t>2024251260073</t>
        </is>
      </c>
      <c r="J269" s="99">
        <v>627544050</v>
      </c>
      <c r="K269" s="99">
        <v>150000000</v>
      </c>
      <c r="L269" s="99">
        <v>154500000</v>
      </c>
      <c r="M269" s="99">
        <v>159135000</v>
      </c>
      <c r="N269" s="99">
        <v>163909050</v>
      </c>
      <c r="O269" s="99">
        <v>15000000</v>
      </c>
      <c r="P269" s="99">
        <v>15000000</v>
      </c>
      <c r="Q269" s="99">
        <v>15000000</v>
      </c>
      <c r="R269" s="100">
        <v>0.1</v>
      </c>
      <c r="S269" t="inlineStr">
        <is>
          <t>Lo obligado está por debajo de lo programado en la vigencia</t>
        </is>
      </c>
      <c r="T269" s="101">
        <v>170500000</v>
      </c>
      <c r="U269" s="101">
        <v>108500000</v>
      </c>
      <c r="V269" s="101">
        <v>108500000</v>
      </c>
      <c r="W269" s="102">
        <v>0.702265372168285</v>
      </c>
      <c r="X269" t="inlineStr">
        <is>
          <t>Lo obligado está por debajo de lo programado en la vigencia</t>
        </is>
      </c>
    </row>
    <row r="270">
      <c r="A270" t="inlineStr">
        <is>
          <t>IP-334</t>
        </is>
      </c>
      <c r="B270" t="inlineStr">
        <is>
          <t>25</t>
        </is>
      </c>
      <c r="C270" t="inlineStr">
        <is>
          <t>Organismos de Control</t>
        </is>
      </c>
      <c r="D270" t="inlineStr">
        <is>
          <t>2501</t>
        </is>
      </c>
      <c r="E270" t="inlineStr">
        <is>
          <t>Fortalecimiento del control y la vigilancia de la gestión fiscal y resarcimiento al daño del patrimonio público</t>
        </is>
      </c>
      <c r="F270" t="inlineStr">
        <is>
          <t>2501017</t>
        </is>
      </c>
      <c r="G270" t="inlineStr">
        <is>
          <t>Servicio de seguimiento de políticas publicas</t>
        </is>
      </c>
      <c r="H270" t="inlineStr">
        <is>
          <t>Corresponde al seguimiento de políticas para el cumplimiento de la función de control y vigilancia de la gestión fiscal y el resarcimiento al daño del patrimonio público</t>
        </is>
      </c>
      <c r="I270" t="inlineStr">
        <is>
          <t>2024251260073</t>
        </is>
      </c>
      <c r="J270" s="99">
        <v>406982118</v>
      </c>
      <c r="K270" s="99">
        <v>28755418</v>
      </c>
      <c r="L270" s="99">
        <v>162864000</v>
      </c>
      <c r="M270" s="99">
        <v>106090000</v>
      </c>
      <c r="N270" s="99">
        <v>109272700</v>
      </c>
      <c r="O270" s="99">
        <v>28500000</v>
      </c>
      <c r="P270" s="99">
        <v>28500000</v>
      </c>
      <c r="Q270" s="99">
        <v>28500000</v>
      </c>
      <c r="R270" s="100">
        <v>0.991117569565499</v>
      </c>
      <c r="S270" t="inlineStr">
        <is>
          <t>Lo obligado está por debajo de lo programado en la vigencia</t>
        </is>
      </c>
      <c r="T270" s="101">
        <v>162864000</v>
      </c>
      <c r="U270" s="101">
        <v>45864000</v>
      </c>
      <c r="V270" s="101">
        <v>45864000</v>
      </c>
      <c r="W270" s="102">
        <v>0.281609195402299</v>
      </c>
      <c r="X270" t="inlineStr">
        <is>
          <t>Lo obligado está por debajo de lo programado en la vigencia</t>
        </is>
      </c>
    </row>
    <row r="271">
      <c r="A271" t="inlineStr">
        <is>
          <t>IP-335</t>
        </is>
      </c>
      <c r="B271" t="inlineStr">
        <is>
          <t>25</t>
        </is>
      </c>
      <c r="C271" t="inlineStr">
        <is>
          <t>Organismos de Control</t>
        </is>
      </c>
      <c r="D271" t="inlineStr">
        <is>
          <t>2501</t>
        </is>
      </c>
      <c r="E271" t="inlineStr">
        <is>
          <t>Fortalecimiento del control y la vigilancia de la gestión fiscal y resarcimiento al daño del patrimonio público</t>
        </is>
      </c>
      <c r="F271" t="inlineStr">
        <is>
          <t>2501006</t>
        </is>
      </c>
      <c r="G271" t="inlineStr">
        <is>
          <t>Servicio de divulgación para fortalecer la imagen de control fiscal</t>
        </is>
      </c>
      <c r="H271" t="inlineStr">
        <is>
          <t>Servicio dirigido a fortalecer la comunicación de resultados de la Contraloría para posicionar a la Entidad ante la opinión pública.</t>
        </is>
      </c>
      <c r="I271" t="inlineStr">
        <is>
          <t>2024251260073</t>
        </is>
      </c>
      <c r="J271" s="99">
        <v>12000000</v>
      </c>
      <c r="K271" s="99">
        <v>12000000</v>
      </c>
      <c r="L271" s="99">
        <v>0</v>
      </c>
      <c r="M271" s="99">
        <v>0</v>
      </c>
      <c r="N271" s="99">
        <v>0</v>
      </c>
      <c r="O271" s="99">
        <v>12000000</v>
      </c>
      <c r="P271" s="99">
        <v>12000000</v>
      </c>
      <c r="Q271" s="99">
        <v>12000000</v>
      </c>
      <c r="R271" s="100">
        <v>1</v>
      </c>
      <c r="S271" t="inlineStr">
        <is>
          <t>Se ejecutó el 100% de lo programado en la vigencia</t>
        </is>
      </c>
      <c r="T271" s="101" t="inlineStr">
        <is>
          <t xml:space="preserve"> </t>
        </is>
      </c>
      <c r="U271" s="101" t="inlineStr">
        <is>
          <t xml:space="preserve"> </t>
        </is>
      </c>
      <c r="V271" s="101" t="inlineStr">
        <is>
          <t xml:space="preserve"> </t>
        </is>
      </c>
      <c r="W271" s="102" t="inlineStr">
        <is>
          <t xml:space="preserve"> </t>
        </is>
      </c>
      <c r="X271" t="inlineStr">
        <is>
          <t>No se encontró ejecución en CUIPO</t>
        </is>
      </c>
    </row>
    <row r="272">
      <c r="A272" t="inlineStr">
        <is>
          <t>IP-336</t>
        </is>
      </c>
      <c r="B272" t="inlineStr">
        <is>
          <t>25</t>
        </is>
      </c>
      <c r="C272" t="inlineStr">
        <is>
          <t>Organismos de Control</t>
        </is>
      </c>
      <c r="D272" t="inlineStr">
        <is>
          <t>2501</t>
        </is>
      </c>
      <c r="E272" t="inlineStr">
        <is>
          <t>Fortalecimiento del control y la vigilancia de la gestión fiscal y resarcimiento al daño del patrimonio público</t>
        </is>
      </c>
      <c r="F272" t="inlineStr">
        <is>
          <t>2501016</t>
        </is>
      </c>
      <c r="G272" t="inlineStr">
        <is>
          <t>Servicio de información implementado</t>
        </is>
      </c>
      <c r="H272" t="inlineStr">
        <is>
          <t>Servicios orientados al diseño, desarrollo, implantación, mantenimiento y adecuación de sistemas de información y herramientas tecnológicas  que contribuyan al ejercicio del control y vigilancia fiscal</t>
        </is>
      </c>
      <c r="I272" t="inlineStr">
        <is>
          <t>2024251260073</t>
        </is>
      </c>
      <c r="J272" s="99">
        <v>0</v>
      </c>
      <c r="K272" s="99">
        <v>0</v>
      </c>
      <c r="L272" s="99">
        <v>0</v>
      </c>
      <c r="M272" s="99">
        <v>0</v>
      </c>
      <c r="N272" s="99">
        <v>0</v>
      </c>
      <c r="O272" s="99" t="inlineStr">
        <is>
          <t xml:space="preserve"> </t>
        </is>
      </c>
      <c r="P272" s="99" t="inlineStr">
        <is>
          <t xml:space="preserve"> </t>
        </is>
      </c>
      <c r="Q272" s="99" t="inlineStr">
        <is>
          <t xml:space="preserve"> </t>
        </is>
      </c>
      <c r="R272" s="100" t="inlineStr">
        <is>
          <t xml:space="preserve"> </t>
        </is>
      </c>
      <c r="S272" t="inlineStr">
        <is>
          <t>No se encontró ejecución en CUIPO</t>
        </is>
      </c>
      <c r="T272" s="101" t="inlineStr">
        <is>
          <t xml:space="preserve"> </t>
        </is>
      </c>
      <c r="U272" s="101" t="inlineStr">
        <is>
          <t xml:space="preserve"> </t>
        </is>
      </c>
      <c r="V272" s="101" t="inlineStr">
        <is>
          <t xml:space="preserve"> </t>
        </is>
      </c>
      <c r="W272" s="102" t="inlineStr">
        <is>
          <t xml:space="preserve"> </t>
        </is>
      </c>
      <c r="X272" t="inlineStr">
        <is>
          <t>No se encontró ejecución en CUIPO</t>
        </is>
      </c>
    </row>
    <row r="273">
      <c r="A273" t="inlineStr">
        <is>
          <t>IP-337</t>
        </is>
      </c>
      <c r="B273" t="inlineStr">
        <is>
          <t>25</t>
        </is>
      </c>
      <c r="C273" t="inlineStr">
        <is>
          <t>Organismos de Control</t>
        </is>
      </c>
      <c r="D273" t="inlineStr">
        <is>
          <t>2501</t>
        </is>
      </c>
      <c r="E273" t="inlineStr">
        <is>
          <t>Fortalecimiento del control y la vigilancia de la gestión fiscal y resarcimiento al daño del patrimonio público</t>
        </is>
      </c>
      <c r="F273" t="inlineStr">
        <is>
          <t>2501018</t>
        </is>
      </c>
      <c r="G273" t="inlineStr">
        <is>
          <t>Servicio de educación informal en áreas relacionadas con el control fiscal</t>
        </is>
      </c>
      <c r="H273" t="inlineStr">
        <is>
          <t>Desarrollo de actividades de capacitación  orientadas al conocimiento en áreas relacionadas al control fiscal.</t>
        </is>
      </c>
      <c r="I273" t="inlineStr">
        <is>
          <t>2024251260073</t>
        </is>
      </c>
      <c r="J273" s="99">
        <v>0</v>
      </c>
      <c r="K273" s="99">
        <v>0</v>
      </c>
      <c r="L273" s="99">
        <v>0</v>
      </c>
      <c r="M273" s="99">
        <v>0</v>
      </c>
      <c r="N273" s="99">
        <v>0</v>
      </c>
      <c r="O273" s="99" t="inlineStr">
        <is>
          <t xml:space="preserve"> </t>
        </is>
      </c>
      <c r="P273" s="99" t="inlineStr">
        <is>
          <t xml:space="preserve"> </t>
        </is>
      </c>
      <c r="Q273" s="99" t="inlineStr">
        <is>
          <t xml:space="preserve"> </t>
        </is>
      </c>
      <c r="R273" s="100" t="inlineStr">
        <is>
          <t xml:space="preserve"> </t>
        </is>
      </c>
      <c r="S273" t="inlineStr">
        <is>
          <t>No se encontró ejecución en CUIPO</t>
        </is>
      </c>
      <c r="T273" s="101" t="inlineStr">
        <is>
          <t xml:space="preserve"> </t>
        </is>
      </c>
      <c r="U273" s="101" t="inlineStr">
        <is>
          <t xml:space="preserve"> </t>
        </is>
      </c>
      <c r="V273" s="101" t="inlineStr">
        <is>
          <t xml:space="preserve"> </t>
        </is>
      </c>
      <c r="W273" s="102" t="inlineStr">
        <is>
          <t xml:space="preserve"> </t>
        </is>
      </c>
      <c r="X273" t="inlineStr">
        <is>
          <t>No se encontró ejecución en CUIPO</t>
        </is>
      </c>
    </row>
    <row r="274">
      <c r="A274" t="inlineStr">
        <is>
          <t>IP-338</t>
        </is>
      </c>
      <c r="B274" t="inlineStr">
        <is>
          <t>25</t>
        </is>
      </c>
      <c r="C274" t="inlineStr">
        <is>
          <t>Organismos de Control</t>
        </is>
      </c>
      <c r="D274" t="inlineStr">
        <is>
          <t>2501</t>
        </is>
      </c>
      <c r="E274" t="inlineStr">
        <is>
          <t>Fortalecimiento del control y la vigilancia de la gestión fiscal y resarcimiento al daño del patrimonio público</t>
        </is>
      </c>
      <c r="F274" t="inlineStr">
        <is>
          <t>2501001</t>
        </is>
      </c>
      <c r="G274" t="inlineStr">
        <is>
          <t>Documentos de lineamientos técnicos</t>
        </is>
      </c>
      <c r="H274" t="inlineStr">
        <is>
          <t>Documentos cuyo objetivo es describir y explicar instrumentos, estándares, requisitos y condiciones necesarias para llevar a cabo un proceso o actividad</t>
        </is>
      </c>
      <c r="I274" t="inlineStr">
        <is>
          <t>2024251260076</t>
        </is>
      </c>
      <c r="J274" s="99">
        <v>75034802</v>
      </c>
      <c r="K274" s="99">
        <v>10000000</v>
      </c>
      <c r="L274" s="99">
        <v>54266667</v>
      </c>
      <c r="M274" s="99">
        <v>5304500</v>
      </c>
      <c r="N274" s="99">
        <v>5463635</v>
      </c>
      <c r="O274" s="99">
        <v>10000000</v>
      </c>
      <c r="P274" s="99">
        <v>0</v>
      </c>
      <c r="Q274" s="99">
        <v>0</v>
      </c>
      <c r="R274" s="100">
        <v>0</v>
      </c>
      <c r="S274" t="inlineStr">
        <is>
          <t>No se ejecutó en la vigencia</t>
        </is>
      </c>
      <c r="T274" s="101">
        <v>39266667</v>
      </c>
      <c r="U274" s="101">
        <v>29006667</v>
      </c>
      <c r="V274" s="101">
        <v>25206667</v>
      </c>
      <c r="W274" s="102">
        <v>0.534520887380093</v>
      </c>
      <c r="X274" t="inlineStr">
        <is>
          <t>Lo obligado está por debajo de lo programado en la vigencia</t>
        </is>
      </c>
    </row>
    <row r="275">
      <c r="A275" t="inlineStr">
        <is>
          <t>IP-339</t>
        </is>
      </c>
      <c r="B275" t="inlineStr">
        <is>
          <t>25</t>
        </is>
      </c>
      <c r="C275" t="inlineStr">
        <is>
          <t>Organismos de Control</t>
        </is>
      </c>
      <c r="D275" t="inlineStr">
        <is>
          <t>2501</t>
        </is>
      </c>
      <c r="E275" t="inlineStr">
        <is>
          <t>Fortalecimiento del control y la vigilancia de la gestión fiscal y resarcimiento al daño del patrimonio público</t>
        </is>
      </c>
      <c r="F275" t="inlineStr">
        <is>
          <t>2501021</t>
        </is>
      </c>
      <c r="G275" t="inlineStr">
        <is>
          <t>Servicio de control fiscal participativo</t>
        </is>
      </c>
      <c r="H275" t="inlineStr">
        <is>
          <t>Servicio dirigido a fortalecer la participación de la ciudadanía en las actividades de control fiscal.</t>
        </is>
      </c>
      <c r="I275" t="inlineStr">
        <is>
          <t>2024251260073</t>
        </is>
      </c>
      <c r="J275" s="99">
        <v>0</v>
      </c>
      <c r="K275" s="99">
        <v>0</v>
      </c>
      <c r="L275" s="99">
        <v>0</v>
      </c>
      <c r="M275" s="99">
        <v>0</v>
      </c>
      <c r="N275" s="99">
        <v>0</v>
      </c>
      <c r="O275" s="99" t="inlineStr">
        <is>
          <t xml:space="preserve"> </t>
        </is>
      </c>
      <c r="P275" s="99" t="inlineStr">
        <is>
          <t xml:space="preserve"> </t>
        </is>
      </c>
      <c r="Q275" s="99" t="inlineStr">
        <is>
          <t xml:space="preserve"> </t>
        </is>
      </c>
      <c r="R275" s="100" t="inlineStr">
        <is>
          <t xml:space="preserve"> </t>
        </is>
      </c>
      <c r="S275" t="inlineStr">
        <is>
          <t>No se encontró ejecución en CUIPO</t>
        </is>
      </c>
      <c r="T275" s="101" t="inlineStr">
        <is>
          <t xml:space="preserve"> </t>
        </is>
      </c>
      <c r="U275" s="101" t="inlineStr">
        <is>
          <t xml:space="preserve"> </t>
        </is>
      </c>
      <c r="V275" s="101" t="inlineStr">
        <is>
          <t xml:space="preserve"> </t>
        </is>
      </c>
      <c r="W275" s="102" t="inlineStr">
        <is>
          <t xml:space="preserve"> </t>
        </is>
      </c>
      <c r="X275" t="inlineStr">
        <is>
          <t>No se encontró ejecución en CUIPO</t>
        </is>
      </c>
    </row>
    <row r="276">
      <c r="J276" s="99"/>
      <c r="K276" s="99"/>
      <c r="L276" s="99"/>
      <c r="M276" s="99"/>
      <c r="N276" s="99"/>
      <c r="O276" s="99"/>
      <c r="P276" s="99"/>
      <c r="Q276" s="99"/>
      <c r="R276" s="100"/>
      <c r="T276" s="101"/>
      <c r="U276" s="101"/>
      <c r="V276" s="101"/>
      <c r="W276"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324"/>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8" customWidth="1"/>
    <col min="8" max="8" width="11.28515625" customWidth="1"/>
    <col min="9" max="9" width="19.28515625" customWidth="1"/>
    <col min="10" max="10" width="14.7109375" customWidth="1"/>
    <col min="11" max="11" width="12.85546875" customWidth="1"/>
    <col min="12" max="12" width="12" customWidth="1"/>
    <col min="13" max="13" width="10.85546875" customWidth="1"/>
    <col min="14" max="17" width="13.28515625" customWidth="1"/>
    <col min="18" max="18" width="17.7109375" customWidth="1"/>
    <col min="19" max="19" width="11.7109375" style="48" customWidth="1"/>
    <col min="20" max="20" width="28.140625" customWidth="1"/>
    <col min="21" max="21" width="17.7109375" customWidth="1"/>
    <col min="22" max="22" width="11.7109375" customWidth="1"/>
    <col min="23" max="23" width="28.140625" customWidth="1"/>
  </cols>
  <sheetData>
    <row r="1" spans="1:23" s="20" ht="26.25" customFormat="1" x14ac:dyDescent="0.3">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3">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3">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3">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3">
      <c r="A5" s="46"/>
      <c r="B5" s="46"/>
      <c r="C5" s="46"/>
      <c r="D5" s="46"/>
      <c r="E5" s="46"/>
      <c r="F5" s="46"/>
      <c r="G5" s="46"/>
      <c r="H5" s="46"/>
      <c r="I5" s="46"/>
      <c r="J5" s="46"/>
      <c r="K5" s="46"/>
      <c r="L5" s="46"/>
      <c r="M5" s="46"/>
      <c r="N5" s="46"/>
      <c r="O5" s="46"/>
      <c r="P5" s="46"/>
      <c r="Q5" s="4"/>
      <c r="R5" s="4"/>
      <c r="S5" s="47"/>
      <c r="T5" s="4"/>
      <c r="U5" s="4"/>
      <c r="V5" s="4"/>
      <c r="W5" s="4"/>
    </row>
    <row r="6" spans="1:23" s="20" ht="20.45" customFormat="1" customHeight="1" x14ac:dyDescent="0.3">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IP-1</t>
        </is>
      </c>
      <c r="B8" t="inlineStr">
        <is>
          <t>32</t>
        </is>
      </c>
      <c r="C8" t="inlineStr">
        <is>
          <t>Ambiente y desarrollo sostenible</t>
        </is>
      </c>
      <c r="D8" t="inlineStr">
        <is>
          <t>3202</t>
        </is>
      </c>
      <c r="E8" t="inlineStr">
        <is>
          <t>Conservación de la biodiversidad y sus servicios ecosistémicos</t>
        </is>
      </c>
      <c r="F8" t="inlineStr">
        <is>
          <t>3202001</t>
        </is>
      </c>
      <c r="G8" t="inlineStr">
        <is>
          <t>Documentos de lineamientos técnicos para la conservación de la biodiversidad y sus servicios eco sistémicos</t>
        </is>
      </c>
      <c r="H8" t="inlineStr">
        <is>
          <t>320200110</t>
        </is>
      </c>
      <c r="I8" t="inlineStr">
        <is>
          <t>Documento de lineamientos técnicos para las administración del recurso hídrico</t>
        </is>
      </c>
      <c r="J8" t="inlineStr">
        <is>
          <t>2024251260047</t>
        </is>
      </c>
      <c r="K8" t="inlineStr">
        <is>
          <t>No</t>
        </is>
      </c>
      <c r="L8" t="inlineStr">
        <is>
          <t>Número</t>
        </is>
      </c>
      <c r="M8">
        <v>1</v>
      </c>
      <c r="N8">
        <v>1</v>
      </c>
      <c r="O8">
        <v>1</v>
      </c>
      <c r="P8">
        <v>1</v>
      </c>
      <c r="Q8">
        <v>1</v>
      </c>
      <c r="R8" t="inlineStr">
        <is>
          <t xml:space="preserve"> </t>
        </is>
      </c>
      <c r="S8" s="103" t="inlineStr">
        <is>
          <t xml:space="preserve"> </t>
        </is>
      </c>
      <c r="T8" t="inlineStr">
        <is>
          <t>No se encontró ejecución en PIIP</t>
        </is>
      </c>
      <c r="U8" t="inlineStr">
        <is>
          <t xml:space="preserve"> </t>
        </is>
      </c>
      <c r="V8" s="104" t="inlineStr">
        <is>
          <t xml:space="preserve"> </t>
        </is>
      </c>
      <c r="W8" t="inlineStr">
        <is>
          <t>No se encontró ejecución en PIIP</t>
        </is>
      </c>
    </row>
    <row r="9">
      <c r="A9" t="inlineStr">
        <is>
          <t>IP-2</t>
        </is>
      </c>
      <c r="B9" t="inlineStr">
        <is>
          <t>32</t>
        </is>
      </c>
      <c r="C9" t="inlineStr">
        <is>
          <t>Ambiente y desarrollo sostenible</t>
        </is>
      </c>
      <c r="D9" t="inlineStr">
        <is>
          <t>3202</t>
        </is>
      </c>
      <c r="E9" t="inlineStr">
        <is>
          <t>Conservación de la biodiversidad y sus servicios ecosistémicos</t>
        </is>
      </c>
      <c r="F9" t="inlineStr">
        <is>
          <t>3202002</t>
        </is>
      </c>
      <c r="G9" t="inlineStr">
        <is>
          <t>Documentos de planeación para la conservación de la biodiversidad y sus servicios eco sistémicos</t>
        </is>
      </c>
      <c r="H9" t="inlineStr">
        <is>
          <t>320200200</t>
        </is>
      </c>
      <c r="I9" t="inlineStr">
        <is>
          <t xml:space="preserve">Documentos de planeación realizados </t>
        </is>
      </c>
      <c r="J9" t="inlineStr">
        <is>
          <t>2024251260047</t>
        </is>
      </c>
      <c r="K9" t="inlineStr">
        <is>
          <t>No</t>
        </is>
      </c>
      <c r="L9" t="inlineStr">
        <is>
          <t>Número</t>
        </is>
      </c>
      <c r="M9">
        <v>1</v>
      </c>
      <c r="N9">
        <v>1</v>
      </c>
      <c r="O9">
        <v>1</v>
      </c>
      <c r="P9">
        <v>1</v>
      </c>
      <c r="Q9">
        <v>1</v>
      </c>
      <c r="R9">
        <v>1</v>
      </c>
      <c r="S9" s="103">
        <v>1</v>
      </c>
      <c r="T9" t="inlineStr">
        <is>
          <t>Se ejecutó el 100% de lo programado en la vigencia</t>
        </is>
      </c>
      <c r="U9">
        <v>0.5</v>
      </c>
      <c r="V9" s="104">
        <v>0.5</v>
      </c>
      <c r="W9" t="inlineStr">
        <is>
          <t>Lo ejecutado está por debajo de lo programado en la vigencia</t>
        </is>
      </c>
    </row>
    <row r="10">
      <c r="A10" t="inlineStr">
        <is>
          <t>IP-3</t>
        </is>
      </c>
      <c r="B10" t="inlineStr">
        <is>
          <t>32</t>
        </is>
      </c>
      <c r="C10" t="inlineStr">
        <is>
          <t>Ambiente y desarrollo sostenible</t>
        </is>
      </c>
      <c r="D10" t="inlineStr">
        <is>
          <t>3203</t>
        </is>
      </c>
      <c r="E10" t="inlineStr">
        <is>
          <t>Gestión integral del recurso hídrico</t>
        </is>
      </c>
      <c r="F10" t="inlineStr">
        <is>
          <t>3203050</t>
        </is>
      </c>
      <c r="G10" t="inlineStr">
        <is>
          <t>Servicio de protección del recurso hídrico</t>
        </is>
      </c>
      <c r="H10" t="inlineStr">
        <is>
          <t>320305000</t>
        </is>
      </c>
      <c r="I10" t="inlineStr">
        <is>
          <t>Áreas protegidas</t>
        </is>
      </c>
      <c r="J10" t="inlineStr">
        <is>
          <t>2024251260003</t>
        </is>
      </c>
      <c r="K10" t="inlineStr">
        <is>
          <t>No</t>
        </is>
      </c>
      <c r="L10" t="inlineStr">
        <is>
          <t>Hectáreas</t>
        </is>
      </c>
      <c r="M10">
        <v>1</v>
      </c>
      <c r="N10">
        <v>1</v>
      </c>
      <c r="O10">
        <v>1</v>
      </c>
      <c r="P10">
        <v>1</v>
      </c>
      <c r="Q10">
        <v>1</v>
      </c>
      <c r="R10">
        <v>1</v>
      </c>
      <c r="S10" s="103">
        <v>1</v>
      </c>
      <c r="T10" t="inlineStr">
        <is>
          <t>Se ejecutó el 100% de lo programado en la vigencia</t>
        </is>
      </c>
      <c r="U10">
        <v>0.58</v>
      </c>
      <c r="V10" s="104">
        <v>0.58</v>
      </c>
      <c r="W10" t="inlineStr">
        <is>
          <t>Lo ejecutado está por debajo de lo programado en la vigencia</t>
        </is>
      </c>
    </row>
    <row r="11">
      <c r="A11" t="inlineStr">
        <is>
          <t>IP-4</t>
        </is>
      </c>
      <c r="B11" t="inlineStr">
        <is>
          <t>32</t>
        </is>
      </c>
      <c r="C11" t="inlineStr">
        <is>
          <t>Ambiente y desarrollo sostenible</t>
        </is>
      </c>
      <c r="D11" t="inlineStr">
        <is>
          <t>3203</t>
        </is>
      </c>
      <c r="E11" t="inlineStr">
        <is>
          <t>Gestión integral del recurso hídrico</t>
        </is>
      </c>
      <c r="F11" t="inlineStr">
        <is>
          <t>3203002</t>
        </is>
      </c>
      <c r="G11" t="inlineStr">
        <is>
          <t>Documentos de planeación para la gestión integral del recurso hídrico</t>
        </is>
      </c>
      <c r="H11" t="inlineStr">
        <is>
          <t>320300207</t>
        </is>
      </c>
      <c r="I11" t="inlineStr">
        <is>
          <t>Documentos de planeación del plan de ordenación y manejo ambiental de cuenca hidrográfica elaborados</t>
        </is>
      </c>
      <c r="J11" t="inlineStr">
        <is>
          <t>2024251260003</t>
        </is>
      </c>
      <c r="K11" t="inlineStr">
        <is>
          <t>Si</t>
        </is>
      </c>
      <c r="L11" t="inlineStr">
        <is>
          <t>Número</t>
        </is>
      </c>
      <c r="M11">
        <v>1</v>
      </c>
      <c r="N11">
        <v>0.25</v>
      </c>
      <c r="O11">
        <v>0.25</v>
      </c>
      <c r="P11">
        <v>0.25</v>
      </c>
      <c r="Q11">
        <v>0.25</v>
      </c>
      <c r="R11" t="inlineStr">
        <is>
          <t xml:space="preserve"> </t>
        </is>
      </c>
      <c r="S11" s="103" t="inlineStr">
        <is>
          <t xml:space="preserve"> </t>
        </is>
      </c>
      <c r="T11" t="inlineStr">
        <is>
          <t>No se encontró ejecución en PIIP</t>
        </is>
      </c>
      <c r="U11" t="inlineStr">
        <is>
          <t xml:space="preserve"> </t>
        </is>
      </c>
      <c r="V11" s="104" t="inlineStr">
        <is>
          <t xml:space="preserve"> </t>
        </is>
      </c>
      <c r="W11" t="inlineStr">
        <is>
          <t>No se encontró ejecución en PIIP</t>
        </is>
      </c>
    </row>
    <row r="12">
      <c r="A12" t="inlineStr">
        <is>
          <t>IP-5</t>
        </is>
      </c>
      <c r="B12" t="inlineStr">
        <is>
          <t>32</t>
        </is>
      </c>
      <c r="C12" t="inlineStr">
        <is>
          <t>Ambiente y desarrollo sostenible</t>
        </is>
      </c>
      <c r="D12" t="inlineStr">
        <is>
          <t>3202</t>
        </is>
      </c>
      <c r="E12" t="inlineStr">
        <is>
          <t>Conservación de la biodiversidad y sus servicios ecosistémicos</t>
        </is>
      </c>
      <c r="F12" t="inlineStr">
        <is>
          <t>3202014</t>
        </is>
      </c>
      <c r="G12" t="inlineStr">
        <is>
          <t>Servicio de educación informal en el marco de la conservación de la biodiversidad y los Servicio ecostémicos</t>
        </is>
      </c>
      <c r="H12" t="inlineStr">
        <is>
          <t>320201402</t>
        </is>
      </c>
      <c r="I12" t="inlineStr">
        <is>
          <t xml:space="preserve">Talleres realizados </t>
        </is>
      </c>
      <c r="J12" t="inlineStr">
        <is>
          <t>2024251260047</t>
        </is>
      </c>
      <c r="K12" t="inlineStr">
        <is>
          <t>No</t>
        </is>
      </c>
      <c r="L12" t="inlineStr">
        <is>
          <t>Número</t>
        </is>
      </c>
      <c r="M12">
        <v>1</v>
      </c>
      <c r="N12">
        <v>1</v>
      </c>
      <c r="O12">
        <v>1</v>
      </c>
      <c r="P12">
        <v>1</v>
      </c>
      <c r="Q12">
        <v>1</v>
      </c>
      <c r="R12" t="inlineStr">
        <is>
          <t xml:space="preserve"> </t>
        </is>
      </c>
      <c r="S12" s="103" t="inlineStr">
        <is>
          <t xml:space="preserve"> </t>
        </is>
      </c>
      <c r="T12" t="inlineStr">
        <is>
          <t>No se encontró ejecución en PIIP</t>
        </is>
      </c>
      <c r="U12" t="inlineStr">
        <is>
          <t xml:space="preserve"> </t>
        </is>
      </c>
      <c r="V12" s="104" t="inlineStr">
        <is>
          <t xml:space="preserve"> </t>
        </is>
      </c>
      <c r="W12" t="inlineStr">
        <is>
          <t>No se encontró ejecución en PIIP</t>
        </is>
      </c>
    </row>
    <row r="13">
      <c r="A13" t="inlineStr">
        <is>
          <t>IP-6</t>
        </is>
      </c>
      <c r="B13" t="inlineStr">
        <is>
          <t>32</t>
        </is>
      </c>
      <c r="C13" t="inlineStr">
        <is>
          <t>Ambiente y desarrollo sostenible</t>
        </is>
      </c>
      <c r="D13" t="inlineStr">
        <is>
          <t>3201</t>
        </is>
      </c>
      <c r="E13" t="inlineStr">
        <is>
          <t>Fortalecimiento del desempeño ambiental de los sectores productivos</t>
        </is>
      </c>
      <c r="F13" t="inlineStr">
        <is>
          <t>3201021</t>
        </is>
      </c>
      <c r="G13" t="inlineStr">
        <is>
          <t>Documentos de instrumentos técnicos de evaluación y seguimiento ambiental</t>
        </is>
      </c>
      <c r="H13" t="inlineStr">
        <is>
          <t>320102100</t>
        </is>
      </c>
      <c r="I13" t="inlineStr">
        <is>
          <t xml:space="preserve">Documentos de instrumentos técnicos de evaluación y seguimiento ambiental realizados </t>
        </is>
      </c>
      <c r="J13" t="inlineStr">
        <is>
          <t>2024251260089</t>
        </is>
      </c>
      <c r="K13" t="inlineStr">
        <is>
          <t>No</t>
        </is>
      </c>
      <c r="L13" t="inlineStr">
        <is>
          <t>Número</t>
        </is>
      </c>
      <c r="M13">
        <v>1</v>
      </c>
      <c r="N13">
        <v>0.25</v>
      </c>
      <c r="O13">
        <v>0.25</v>
      </c>
      <c r="P13">
        <v>0.25</v>
      </c>
      <c r="Q13">
        <v>0.25</v>
      </c>
      <c r="R13">
        <v>1</v>
      </c>
      <c r="S13" s="103">
        <v>4</v>
      </c>
      <c r="T13" t="inlineStr">
        <is>
          <t>Hubo ejecución por encima de lo programado en SisPT</t>
        </is>
      </c>
      <c r="U13">
        <v>0.75</v>
      </c>
      <c r="V13" s="104">
        <v>3</v>
      </c>
      <c r="W13" t="inlineStr">
        <is>
          <t>Hubo ejecución por encima de lo programado en SisPT</t>
        </is>
      </c>
    </row>
    <row r="14">
      <c r="A14" t="inlineStr">
        <is>
          <t>IP-7</t>
        </is>
      </c>
      <c r="B14" t="inlineStr">
        <is>
          <t>32</t>
        </is>
      </c>
      <c r="C14" t="inlineStr">
        <is>
          <t>Ambiente y desarrollo sostenible</t>
        </is>
      </c>
      <c r="D14" t="inlineStr">
        <is>
          <t>3202</t>
        </is>
      </c>
      <c r="E14" t="inlineStr">
        <is>
          <t>Conservación de la biodiversidad y sus servicios ecosistémicos</t>
        </is>
      </c>
      <c r="F14" t="inlineStr">
        <is>
          <t>3202002</t>
        </is>
      </c>
      <c r="G14" t="inlineStr">
        <is>
          <t>Documentos de planeación para la conservación de la biodiversidad y sus servicios eco sistémicos</t>
        </is>
      </c>
      <c r="H14" t="inlineStr">
        <is>
          <t>320200201</t>
        </is>
      </c>
      <c r="I14" t="inlineStr">
        <is>
          <t xml:space="preserve">Documentos de planeación de biodiversidad y sus Servicio ecosistemicos formulados </t>
        </is>
      </c>
      <c r="J14" t="inlineStr">
        <is>
          <t>2024251260047</t>
        </is>
      </c>
      <c r="K14" t="inlineStr">
        <is>
          <t>No</t>
        </is>
      </c>
      <c r="L14" t="inlineStr">
        <is>
          <t>Número</t>
        </is>
      </c>
      <c r="M14">
        <v>1</v>
      </c>
      <c r="N14">
        <v>1</v>
      </c>
      <c r="O14">
        <v>1</v>
      </c>
      <c r="P14">
        <v>1</v>
      </c>
      <c r="Q14">
        <v>1</v>
      </c>
      <c r="R14" t="inlineStr">
        <is>
          <t xml:space="preserve"> </t>
        </is>
      </c>
      <c r="S14" s="103" t="inlineStr">
        <is>
          <t xml:space="preserve"> </t>
        </is>
      </c>
      <c r="T14" t="inlineStr">
        <is>
          <t>No se encontró ejecución en PIIP</t>
        </is>
      </c>
      <c r="U14" t="inlineStr">
        <is>
          <t xml:space="preserve"> </t>
        </is>
      </c>
      <c r="V14" s="104" t="inlineStr">
        <is>
          <t xml:space="preserve"> </t>
        </is>
      </c>
      <c r="W14" t="inlineStr">
        <is>
          <t>No se encontró ejecución en PIIP</t>
        </is>
      </c>
    </row>
    <row r="15">
      <c r="A15" t="inlineStr">
        <is>
          <t>IP-8</t>
        </is>
      </c>
      <c r="B15" t="inlineStr">
        <is>
          <t>32</t>
        </is>
      </c>
      <c r="C15" t="inlineStr">
        <is>
          <t>Ambiente y desarrollo sostenible</t>
        </is>
      </c>
      <c r="D15" t="inlineStr">
        <is>
          <t>3202</t>
        </is>
      </c>
      <c r="E15" t="inlineStr">
        <is>
          <t>Conservación de la biodiversidad y sus servicios ecosistémicos</t>
        </is>
      </c>
      <c r="F15" t="inlineStr">
        <is>
          <t>3202014</t>
        </is>
      </c>
      <c r="G15" t="inlineStr">
        <is>
          <t>Servicio de educación informal en el marco de la conservación de la biodiversidad y los Servicio ecostémicos</t>
        </is>
      </c>
      <c r="H15" t="inlineStr">
        <is>
          <t>320201400</t>
        </is>
      </c>
      <c r="I15" t="inlineStr">
        <is>
          <t>Personas capacitadas</t>
        </is>
      </c>
      <c r="J15" t="inlineStr">
        <is>
          <t>2024251260047</t>
        </is>
      </c>
      <c r="K15" t="inlineStr">
        <is>
          <t>Si</t>
        </is>
      </c>
      <c r="L15" t="inlineStr">
        <is>
          <t>Número</t>
        </is>
      </c>
      <c r="M15">
        <v>3</v>
      </c>
      <c r="N15">
        <v>3</v>
      </c>
      <c r="O15">
        <v>3</v>
      </c>
      <c r="P15">
        <v>3</v>
      </c>
      <c r="Q15">
        <v>3</v>
      </c>
      <c r="R15">
        <v>126</v>
      </c>
      <c r="S15" s="103">
        <v>42</v>
      </c>
      <c r="T15" t="inlineStr">
        <is>
          <t>Hubo ejecución por encima de lo programado en SisPT</t>
        </is>
      </c>
      <c r="U15" t="inlineStr">
        <is>
          <t xml:space="preserve"> </t>
        </is>
      </c>
      <c r="V15" s="104" t="inlineStr">
        <is>
          <t xml:space="preserve"> </t>
        </is>
      </c>
      <c r="W15" t="inlineStr">
        <is>
          <t>No se encontró ejecución en PIIP</t>
        </is>
      </c>
    </row>
    <row r="16">
      <c r="A16" t="inlineStr">
        <is>
          <t>IP-9</t>
        </is>
      </c>
      <c r="B16" t="inlineStr">
        <is>
          <t>32</t>
        </is>
      </c>
      <c r="C16" t="inlineStr">
        <is>
          <t>Ambiente y desarrollo sostenible</t>
        </is>
      </c>
      <c r="D16" t="inlineStr">
        <is>
          <t>3201</t>
        </is>
      </c>
      <c r="E16" t="inlineStr">
        <is>
          <t>Fortalecimiento del desempeño ambiental de los sectores productivos</t>
        </is>
      </c>
      <c r="F16" t="inlineStr">
        <is>
          <t>3201002</t>
        </is>
      </c>
      <c r="G16" t="inlineStr">
        <is>
          <t>Documentos de lineamientos técnicos para el fortalecimiento del desempeño ambiental de los sectores productivos</t>
        </is>
      </c>
      <c r="H16" t="inlineStr">
        <is>
          <t>320100203</t>
        </is>
      </c>
      <c r="I16" t="inlineStr">
        <is>
          <t>Programas de gestión ambiental sectorial diseñados</t>
        </is>
      </c>
      <c r="J16" t="inlineStr">
        <is>
          <t>2024251260089</t>
        </is>
      </c>
      <c r="K16" t="inlineStr">
        <is>
          <t>No</t>
        </is>
      </c>
      <c r="L16" t="inlineStr">
        <is>
          <t>Número</t>
        </is>
      </c>
      <c r="M16">
        <v>1</v>
      </c>
      <c r="N16">
        <v>1</v>
      </c>
      <c r="O16">
        <v>1</v>
      </c>
      <c r="P16">
        <v>1</v>
      </c>
      <c r="Q16">
        <v>1</v>
      </c>
      <c r="R16" t="inlineStr">
        <is>
          <t xml:space="preserve"> </t>
        </is>
      </c>
      <c r="S16" s="103" t="inlineStr">
        <is>
          <t xml:space="preserve"> </t>
        </is>
      </c>
      <c r="T16" t="inlineStr">
        <is>
          <t>No se encontró ejecución en PIIP</t>
        </is>
      </c>
      <c r="U16" t="inlineStr">
        <is>
          <t xml:space="preserve"> </t>
        </is>
      </c>
      <c r="V16" s="104" t="inlineStr">
        <is>
          <t xml:space="preserve"> </t>
        </is>
      </c>
      <c r="W16" t="inlineStr">
        <is>
          <t>No se encontró ejecución en PIIP</t>
        </is>
      </c>
    </row>
    <row r="17">
      <c r="A17" t="inlineStr">
        <is>
          <t>IP-10</t>
        </is>
      </c>
      <c r="B17" t="inlineStr">
        <is>
          <t>32</t>
        </is>
      </c>
      <c r="C17" t="inlineStr">
        <is>
          <t>Ambiente y desarrollo sostenible</t>
        </is>
      </c>
      <c r="D17" t="inlineStr">
        <is>
          <t>3202</t>
        </is>
      </c>
      <c r="E17" t="inlineStr">
        <is>
          <t>Conservación de la biodiversidad y sus servicios ecosistémicos</t>
        </is>
      </c>
      <c r="F17" t="inlineStr">
        <is>
          <t>3202001</t>
        </is>
      </c>
      <c r="G17" t="inlineStr">
        <is>
          <t>Documentos de lineamientos técnicos para la conservación de la biodiversidad y sus servicios eco sistémicos</t>
        </is>
      </c>
      <c r="H17" t="inlineStr">
        <is>
          <t>320200100</t>
        </is>
      </c>
      <c r="I17" t="inlineStr">
        <is>
          <t>Documentos de lineamientos técnicos realizados</t>
        </is>
      </c>
      <c r="J17" t="inlineStr">
        <is>
          <t>2024251260047</t>
        </is>
      </c>
      <c r="K17" t="inlineStr">
        <is>
          <t>No</t>
        </is>
      </c>
      <c r="L17" t="inlineStr">
        <is>
          <t>Número</t>
        </is>
      </c>
      <c r="M17">
        <v>100</v>
      </c>
      <c r="N17">
        <v>100</v>
      </c>
      <c r="O17">
        <v>100</v>
      </c>
      <c r="P17">
        <v>100</v>
      </c>
      <c r="Q17">
        <v>100</v>
      </c>
      <c r="R17">
        <v>3</v>
      </c>
      <c r="S17" s="103">
        <v>0.03</v>
      </c>
      <c r="T17" t="inlineStr">
        <is>
          <t>Lo ejecutado está por debajo de lo programado en la vigencia</t>
        </is>
      </c>
      <c r="U17">
        <v>1</v>
      </c>
      <c r="V17" s="104">
        <v>0.01</v>
      </c>
      <c r="W17" t="inlineStr">
        <is>
          <t>Lo ejecutado está por debajo de lo programado en la vigencia</t>
        </is>
      </c>
    </row>
    <row r="18">
      <c r="A18" t="inlineStr">
        <is>
          <t>IP-11</t>
        </is>
      </c>
      <c r="B18" t="inlineStr">
        <is>
          <t>32</t>
        </is>
      </c>
      <c r="C18" t="inlineStr">
        <is>
          <t>Ambiente y desarrollo sostenible</t>
        </is>
      </c>
      <c r="D18" t="inlineStr">
        <is>
          <t>3202</t>
        </is>
      </c>
      <c r="E18" t="inlineStr">
        <is>
          <t>Conservación de la biodiversidad y sus servicios ecosistémicos</t>
        </is>
      </c>
      <c r="F18" t="inlineStr">
        <is>
          <t>3202001</t>
        </is>
      </c>
      <c r="G18" t="inlineStr">
        <is>
          <t>Documentos de lineamientos técnicos para la conservación de la biodiversidad y sus servicios eco sistémicos</t>
        </is>
      </c>
      <c r="H18" t="inlineStr">
        <is>
          <t>320200106</t>
        </is>
      </c>
      <c r="I18" t="inlineStr">
        <is>
          <t xml:space="preserve">Documentos de lineamientos técnicos con el manejo de especies de fauna y flora elaborados </t>
        </is>
      </c>
      <c r="J18" t="inlineStr">
        <is>
          <t>2024251260047</t>
        </is>
      </c>
      <c r="K18" t="inlineStr">
        <is>
          <t>Si</t>
        </is>
      </c>
      <c r="L18" t="inlineStr">
        <is>
          <t>Número</t>
        </is>
      </c>
      <c r="M18">
        <v>1</v>
      </c>
      <c r="N18">
        <v>0</v>
      </c>
      <c r="O18">
        <v>0.33</v>
      </c>
      <c r="P18">
        <v>0.33</v>
      </c>
      <c r="Q18">
        <v>0.34</v>
      </c>
      <c r="R18" t="inlineStr">
        <is>
          <t xml:space="preserve"> </t>
        </is>
      </c>
      <c r="S18" s="103" t="inlineStr">
        <is>
          <t xml:space="preserve"> </t>
        </is>
      </c>
      <c r="T18" t="inlineStr">
        <is>
          <t>No se encontró ejecución en PIIP</t>
        </is>
      </c>
      <c r="U18" t="inlineStr">
        <is>
          <t xml:space="preserve"> </t>
        </is>
      </c>
      <c r="V18" s="104" t="inlineStr">
        <is>
          <t xml:space="preserve"> </t>
        </is>
      </c>
      <c r="W18" t="inlineStr">
        <is>
          <t>No se encontró ejecución en PIIP</t>
        </is>
      </c>
    </row>
    <row r="19">
      <c r="A19" t="inlineStr">
        <is>
          <t>IP-12</t>
        </is>
      </c>
      <c r="B19" t="inlineStr">
        <is>
          <t>32</t>
        </is>
      </c>
      <c r="C19" t="inlineStr">
        <is>
          <t>Ambiente y desarrollo sostenible</t>
        </is>
      </c>
      <c r="D19" t="inlineStr">
        <is>
          <t>3203</t>
        </is>
      </c>
      <c r="E19" t="inlineStr">
        <is>
          <t>Gestión integral del recurso hídrico</t>
        </is>
      </c>
      <c r="F19" t="inlineStr">
        <is>
          <t>3203001</t>
        </is>
      </c>
      <c r="G19" t="inlineStr">
        <is>
          <t>Documentos de lineamientos técnicos para la gestión integral del recurso hídrico</t>
        </is>
      </c>
      <c r="H19" t="inlineStr">
        <is>
          <t>320300101</t>
        </is>
      </c>
      <c r="I19" t="inlineStr">
        <is>
          <t>Documentos de lineamientos técnicos para la implementación de la Política Nacional de Gestión Integral del Recurso Hídrico adoptados</t>
        </is>
      </c>
      <c r="J19" t="inlineStr">
        <is>
          <t>2024251260003</t>
        </is>
      </c>
      <c r="K19" t="inlineStr">
        <is>
          <t>No</t>
        </is>
      </c>
      <c r="L19" t="inlineStr">
        <is>
          <t>Número</t>
        </is>
      </c>
      <c r="M19">
        <v>100</v>
      </c>
      <c r="N19">
        <v>100</v>
      </c>
      <c r="O19">
        <v>100</v>
      </c>
      <c r="P19">
        <v>100</v>
      </c>
      <c r="Q19">
        <v>100</v>
      </c>
      <c r="R19" t="inlineStr">
        <is>
          <t xml:space="preserve"> </t>
        </is>
      </c>
      <c r="S19" s="103" t="inlineStr">
        <is>
          <t xml:space="preserve"> </t>
        </is>
      </c>
      <c r="T19" t="inlineStr">
        <is>
          <t>No se encontró ejecución en PIIP</t>
        </is>
      </c>
      <c r="U19" t="inlineStr">
        <is>
          <t xml:space="preserve"> </t>
        </is>
      </c>
      <c r="V19" s="104" t="inlineStr">
        <is>
          <t xml:space="preserve"> </t>
        </is>
      </c>
      <c r="W19" t="inlineStr">
        <is>
          <t>No se encontró ejecución en PIIP</t>
        </is>
      </c>
    </row>
    <row r="20">
      <c r="A20" t="inlineStr">
        <is>
          <t>IP-13</t>
        </is>
      </c>
      <c r="B20" t="inlineStr">
        <is>
          <t>32</t>
        </is>
      </c>
      <c r="C20" t="inlineStr">
        <is>
          <t>Ambiente y desarrollo sostenible</t>
        </is>
      </c>
      <c r="D20" t="inlineStr">
        <is>
          <t>3203</t>
        </is>
      </c>
      <c r="E20" t="inlineStr">
        <is>
          <t>Gestión integral del recurso hídrico</t>
        </is>
      </c>
      <c r="F20" t="inlineStr">
        <is>
          <t>3203033</t>
        </is>
      </c>
      <c r="G20" t="inlineStr">
        <is>
          <t>Servicio de asistencia técnica para la promoción del uso eficiente y ahorro del agua</t>
        </is>
      </c>
      <c r="H20" t="inlineStr">
        <is>
          <t>320303300</t>
        </is>
      </c>
      <c r="I20" t="inlineStr">
        <is>
          <t xml:space="preserve">Proyectos para la promoción del uso eficiente y ahorro del agua formulados  </t>
        </is>
      </c>
      <c r="J20" t="inlineStr">
        <is>
          <t>2024251260003</t>
        </is>
      </c>
      <c r="K20" t="inlineStr">
        <is>
          <t>No</t>
        </is>
      </c>
      <c r="L20" t="inlineStr">
        <is>
          <t>Número</t>
        </is>
      </c>
      <c r="M20">
        <v>100</v>
      </c>
      <c r="N20">
        <v>100</v>
      </c>
      <c r="O20">
        <v>100</v>
      </c>
      <c r="P20">
        <v>100</v>
      </c>
      <c r="Q20">
        <v>100</v>
      </c>
      <c r="R20">
        <v>1</v>
      </c>
      <c r="S20" s="103">
        <v>0.01</v>
      </c>
      <c r="T20" t="inlineStr">
        <is>
          <t>Lo ejecutado está por debajo de lo programado en la vigencia</t>
        </is>
      </c>
      <c r="U20">
        <v>0.4</v>
      </c>
      <c r="V20" s="104">
        <v>0.004</v>
      </c>
      <c r="W20" t="inlineStr">
        <is>
          <t>Lo ejecutado está por debajo de lo programado en la vigencia</t>
        </is>
      </c>
    </row>
    <row r="21">
      <c r="A21" t="inlineStr">
        <is>
          <t>IP-14</t>
        </is>
      </c>
      <c r="B21" t="inlineStr">
        <is>
          <t>32</t>
        </is>
      </c>
      <c r="C21" t="inlineStr">
        <is>
          <t>Ambiente y desarrollo sostenible</t>
        </is>
      </c>
      <c r="D21" t="inlineStr">
        <is>
          <t>3202</t>
        </is>
      </c>
      <c r="E21" t="inlineStr">
        <is>
          <t>Conservación de la biodiversidad y sus servicios ecosistémicos</t>
        </is>
      </c>
      <c r="F21" t="inlineStr">
        <is>
          <t>3202048</t>
        </is>
      </c>
      <c r="G21" t="inlineStr">
        <is>
          <t>Documentos de lineamientos técnicos con acuerdos de uso, ocupación y tenencia en áreas protegidas no vinculadas al Sistema Nacional de Áreas Protegidas</t>
        </is>
      </c>
      <c r="H21" t="inlineStr">
        <is>
          <t>320204800</t>
        </is>
      </c>
      <c r="I21" t="inlineStr">
        <is>
          <t>Documentos de lineamientos técnicos realizados</t>
        </is>
      </c>
      <c r="J21" t="inlineStr">
        <is>
          <t>2024251260047</t>
        </is>
      </c>
      <c r="K21" t="inlineStr">
        <is>
          <t>No</t>
        </is>
      </c>
      <c r="L21" t="inlineStr">
        <is>
          <t>Número</t>
        </is>
      </c>
      <c r="M21">
        <v>1</v>
      </c>
      <c r="N21">
        <v>1</v>
      </c>
      <c r="O21">
        <v>1</v>
      </c>
      <c r="P21">
        <v>1</v>
      </c>
      <c r="Q21">
        <v>1</v>
      </c>
      <c r="R21">
        <v>1</v>
      </c>
      <c r="S21" s="103">
        <v>1</v>
      </c>
      <c r="T21" t="inlineStr">
        <is>
          <t>Se ejecutó el 100% de lo programado en la vigencia</t>
        </is>
      </c>
      <c r="U21">
        <v>0.4</v>
      </c>
      <c r="V21" s="104">
        <v>0.4</v>
      </c>
      <c r="W21" t="inlineStr">
        <is>
          <t>Lo ejecutado está por debajo de lo programado en la vigencia</t>
        </is>
      </c>
    </row>
    <row r="22">
      <c r="A22" t="inlineStr">
        <is>
          <t>IP-15</t>
        </is>
      </c>
      <c r="B22" t="inlineStr">
        <is>
          <t>32</t>
        </is>
      </c>
      <c r="C22" t="inlineStr">
        <is>
          <t>Ambiente y desarrollo sostenible</t>
        </is>
      </c>
      <c r="D22" t="inlineStr">
        <is>
          <t>3202</t>
        </is>
      </c>
      <c r="E22" t="inlineStr">
        <is>
          <t>Conservación de la biodiversidad y sus servicios ecosistémicos</t>
        </is>
      </c>
      <c r="F22" t="inlineStr">
        <is>
          <t>3202002</t>
        </is>
      </c>
      <c r="G22" t="inlineStr">
        <is>
          <t>Documentos de planeación para la conservación de la biodiversidad y sus servicios eco sistémicos</t>
        </is>
      </c>
      <c r="H22" t="inlineStr">
        <is>
          <t>320200200</t>
        </is>
      </c>
      <c r="I22" t="inlineStr">
        <is>
          <t xml:space="preserve">Documentos de planeación realizados </t>
        </is>
      </c>
      <c r="J22" t="inlineStr">
        <is>
          <t>2024251260004</t>
        </is>
      </c>
      <c r="K22" t="inlineStr">
        <is>
          <t>No</t>
        </is>
      </c>
      <c r="L22" t="inlineStr">
        <is>
          <t>Número</t>
        </is>
      </c>
      <c r="M22">
        <v>1</v>
      </c>
      <c r="N22">
        <v>1</v>
      </c>
      <c r="O22">
        <v>1</v>
      </c>
      <c r="P22">
        <v>1</v>
      </c>
      <c r="Q22">
        <v>1</v>
      </c>
      <c r="R22">
        <v>1</v>
      </c>
      <c r="S22" s="103">
        <v>1</v>
      </c>
      <c r="T22" t="inlineStr">
        <is>
          <t>Se ejecutó el 100% de lo programado en la vigencia</t>
        </is>
      </c>
      <c r="U22">
        <v>1.41</v>
      </c>
      <c r="V22" s="104">
        <v>1.41</v>
      </c>
      <c r="W22" t="inlineStr">
        <is>
          <t>Hubo ejecución por encima de lo programado en SisPT</t>
        </is>
      </c>
    </row>
    <row r="23">
      <c r="A23" t="inlineStr">
        <is>
          <t>IP-16</t>
        </is>
      </c>
      <c r="B23" t="inlineStr">
        <is>
          <t>32</t>
        </is>
      </c>
      <c r="C23" t="inlineStr">
        <is>
          <t>Ambiente y desarrollo sostenible</t>
        </is>
      </c>
      <c r="D23" t="inlineStr">
        <is>
          <t>3201</t>
        </is>
      </c>
      <c r="E23" t="inlineStr">
        <is>
          <t>Fortalecimiento del desempeño ambiental de los sectores productivos</t>
        </is>
      </c>
      <c r="F23" t="inlineStr">
        <is>
          <t>3201009</t>
        </is>
      </c>
      <c r="G23" t="inlineStr">
        <is>
          <t>Servicio de seguimiento y evaluación de los programas de recolección de residuos pos consumo</t>
        </is>
      </c>
      <c r="H23" t="inlineStr">
        <is>
          <t>320100901</t>
        </is>
      </c>
      <c r="I23" t="inlineStr">
        <is>
          <t>Programas de recolección de residuos pos consumo con seguimiento</t>
        </is>
      </c>
      <c r="J23" t="inlineStr">
        <is>
          <t>2024251260005</t>
        </is>
      </c>
      <c r="K23" t="inlineStr">
        <is>
          <t>No</t>
        </is>
      </c>
      <c r="L23" t="inlineStr">
        <is>
          <t>Número</t>
        </is>
      </c>
      <c r="M23">
        <v>1</v>
      </c>
      <c r="N23">
        <v>1</v>
      </c>
      <c r="O23">
        <v>1</v>
      </c>
      <c r="P23">
        <v>1</v>
      </c>
      <c r="Q23">
        <v>1</v>
      </c>
      <c r="R23" t="inlineStr">
        <is>
          <t xml:space="preserve"> </t>
        </is>
      </c>
      <c r="S23" s="103" t="inlineStr">
        <is>
          <t xml:space="preserve"> </t>
        </is>
      </c>
      <c r="T23" t="inlineStr">
        <is>
          <t>No se encontró ejecución en PIIP</t>
        </is>
      </c>
      <c r="U23" t="inlineStr">
        <is>
          <t xml:space="preserve"> </t>
        </is>
      </c>
      <c r="V23" s="104" t="inlineStr">
        <is>
          <t xml:space="preserve"> </t>
        </is>
      </c>
      <c r="W23" t="inlineStr">
        <is>
          <t>No se encontró ejecución en PIIP</t>
        </is>
      </c>
    </row>
    <row r="24">
      <c r="A24" t="inlineStr">
        <is>
          <t>IP-17</t>
        </is>
      </c>
      <c r="B24" t="inlineStr">
        <is>
          <t>32</t>
        </is>
      </c>
      <c r="C24" t="inlineStr">
        <is>
          <t>Ambiente y desarrollo sostenible</t>
        </is>
      </c>
      <c r="D24" t="inlineStr">
        <is>
          <t>3201</t>
        </is>
      </c>
      <c r="E24" t="inlineStr">
        <is>
          <t>Fortalecimiento del desempeño ambiental de los sectores productivos</t>
        </is>
      </c>
      <c r="F24" t="inlineStr">
        <is>
          <t>3201002</t>
        </is>
      </c>
      <c r="G24" t="inlineStr">
        <is>
          <t>Documentos de lineamientos técnicos para el fortalecimiento del desempeño ambiental de los sectores productivos</t>
        </is>
      </c>
      <c r="H24" t="inlineStr">
        <is>
          <t>320100203</t>
        </is>
      </c>
      <c r="I24" t="inlineStr">
        <is>
          <t>Programas de gestión ambiental sectorial diseñados</t>
        </is>
      </c>
      <c r="J24" t="inlineStr">
        <is>
          <t>2024251260005</t>
        </is>
      </c>
      <c r="K24" t="inlineStr">
        <is>
          <t>No</t>
        </is>
      </c>
      <c r="L24" t="inlineStr">
        <is>
          <t>Número</t>
        </is>
      </c>
      <c r="M24">
        <v>1</v>
      </c>
      <c r="N24">
        <v>1</v>
      </c>
      <c r="O24">
        <v>1</v>
      </c>
      <c r="P24">
        <v>1</v>
      </c>
      <c r="Q24">
        <v>1</v>
      </c>
      <c r="R24" t="inlineStr">
        <is>
          <t xml:space="preserve"> </t>
        </is>
      </c>
      <c r="S24" s="103" t="inlineStr">
        <is>
          <t xml:space="preserve"> </t>
        </is>
      </c>
      <c r="T24" t="inlineStr">
        <is>
          <t>No se encontró ejecución en PIIP</t>
        </is>
      </c>
      <c r="U24" t="inlineStr">
        <is>
          <t xml:space="preserve"> </t>
        </is>
      </c>
      <c r="V24" s="104" t="inlineStr">
        <is>
          <t xml:space="preserve"> </t>
        </is>
      </c>
      <c r="W24" t="inlineStr">
        <is>
          <t>No se encontró ejecución en PIIP</t>
        </is>
      </c>
    </row>
    <row r="25">
      <c r="A25" t="inlineStr">
        <is>
          <t>IP-18</t>
        </is>
      </c>
      <c r="B25" t="inlineStr">
        <is>
          <t>32</t>
        </is>
      </c>
      <c r="C25" t="inlineStr">
        <is>
          <t>Ambiente y desarrollo sostenible</t>
        </is>
      </c>
      <c r="D25" t="inlineStr">
        <is>
          <t>3202</t>
        </is>
      </c>
      <c r="E25" t="inlineStr">
        <is>
          <t>Conservación de la biodiversidad y sus servicios ecosistémicos</t>
        </is>
      </c>
      <c r="F25" t="inlineStr">
        <is>
          <t>3202068</t>
        </is>
      </c>
      <c r="G25" t="inlineStr">
        <is>
          <t>Servicio de promoción a la participación ciudadana</t>
        </is>
      </c>
      <c r="H25" t="inlineStr">
        <is>
          <t>320206805</t>
        </is>
      </c>
      <c r="I25" t="inlineStr">
        <is>
          <t>Estrategias de promoción a la participación ciudadana implementadas</t>
        </is>
      </c>
      <c r="J25" t="inlineStr">
        <is>
          <t>2024251260004</t>
        </is>
      </c>
      <c r="K25" t="inlineStr">
        <is>
          <t>No</t>
        </is>
      </c>
      <c r="L25" t="inlineStr">
        <is>
          <t>Número</t>
        </is>
      </c>
      <c r="M25">
        <v>5</v>
      </c>
      <c r="N25">
        <v>5</v>
      </c>
      <c r="O25">
        <v>5</v>
      </c>
      <c r="P25">
        <v>5</v>
      </c>
      <c r="Q25">
        <v>5</v>
      </c>
      <c r="R25" t="inlineStr">
        <is>
          <t xml:space="preserve"> </t>
        </is>
      </c>
      <c r="S25" s="103" t="inlineStr">
        <is>
          <t xml:space="preserve"> </t>
        </is>
      </c>
      <c r="T25" t="inlineStr">
        <is>
          <t>No se encontró ejecución en PIIP</t>
        </is>
      </c>
      <c r="U25" t="inlineStr">
        <is>
          <t xml:space="preserve"> </t>
        </is>
      </c>
      <c r="V25" s="104" t="inlineStr">
        <is>
          <t xml:space="preserve"> </t>
        </is>
      </c>
      <c r="W25" t="inlineStr">
        <is>
          <t>No se encontró ejecución en PIIP</t>
        </is>
      </c>
    </row>
    <row r="26">
      <c r="A26" t="inlineStr">
        <is>
          <t>IP-19</t>
        </is>
      </c>
      <c r="B26" t="inlineStr">
        <is>
          <t>32</t>
        </is>
      </c>
      <c r="C26" t="inlineStr">
        <is>
          <t>Ambiente y desarrollo sostenible</t>
        </is>
      </c>
      <c r="D26" t="inlineStr">
        <is>
          <t>3201</t>
        </is>
      </c>
      <c r="E26" t="inlineStr">
        <is>
          <t>Fortalecimiento del desempeño ambiental de los sectores productivos</t>
        </is>
      </c>
      <c r="F26" t="inlineStr">
        <is>
          <t>3201003</t>
        </is>
      </c>
      <c r="G26" t="inlineStr">
        <is>
          <t>Servicio de asistencia técnica para la consolidación de negocios verdes</t>
        </is>
      </c>
      <c r="H26" t="inlineStr">
        <is>
          <t>320100300</t>
        </is>
      </c>
      <c r="I26" t="inlineStr">
        <is>
          <t xml:space="preserve">Negocios verdes consolidados </t>
        </is>
      </c>
      <c r="J26" t="inlineStr">
        <is>
          <t>2024251260005</t>
        </is>
      </c>
      <c r="K26" t="inlineStr">
        <is>
          <t>No</t>
        </is>
      </c>
      <c r="L26" t="inlineStr">
        <is>
          <t>Número</t>
        </is>
      </c>
      <c r="M26">
        <v>1</v>
      </c>
      <c r="N26">
        <v>1</v>
      </c>
      <c r="O26">
        <v>1</v>
      </c>
      <c r="P26">
        <v>1</v>
      </c>
      <c r="Q26">
        <v>1</v>
      </c>
      <c r="R26">
        <v>1</v>
      </c>
      <c r="S26" s="103">
        <v>1</v>
      </c>
      <c r="T26" t="inlineStr">
        <is>
          <t>Se ejecutó el 100% de lo programado en la vigencia</t>
        </is>
      </c>
      <c r="U26">
        <v>0.3</v>
      </c>
      <c r="V26" s="104">
        <v>0.3</v>
      </c>
      <c r="W26" t="inlineStr">
        <is>
          <t>Lo ejecutado está por debajo de lo programado en la vigencia</t>
        </is>
      </c>
    </row>
    <row r="27">
      <c r="A27" t="inlineStr">
        <is>
          <t>IP-20</t>
        </is>
      </c>
      <c r="B27" t="inlineStr">
        <is>
          <t>32</t>
        </is>
      </c>
      <c r="C27" t="inlineStr">
        <is>
          <t>Ambiente y desarrollo sostenible</t>
        </is>
      </c>
      <c r="D27" t="inlineStr">
        <is>
          <t>3206</t>
        </is>
      </c>
      <c r="E27" t="inlineStr">
        <is>
          <t>Gestión del cambio climático para un desarrollo bajo en carbono y resiliente al clima</t>
        </is>
      </c>
      <c r="F27" t="inlineStr">
        <is>
          <t>3206002</t>
        </is>
      </c>
      <c r="G27" t="inlineStr">
        <is>
          <t>Documentos de lineamientos técnicos para la gestión del cambio climático y un desarrollo bajo en carbono y resiliente al clima</t>
        </is>
      </c>
      <c r="H27" t="inlineStr">
        <is>
          <t>320600200</t>
        </is>
      </c>
      <c r="I27" t="inlineStr">
        <is>
          <t>Documentos de lineamientos técnicos realizados</t>
        </is>
      </c>
      <c r="J27" t="inlineStr">
        <is>
          <t>2024251260006</t>
        </is>
      </c>
      <c r="K27" t="inlineStr">
        <is>
          <t>No</t>
        </is>
      </c>
      <c r="L27" t="inlineStr">
        <is>
          <t>Número</t>
        </is>
      </c>
      <c r="M27">
        <v>100</v>
      </c>
      <c r="N27">
        <v>100</v>
      </c>
      <c r="O27">
        <v>100</v>
      </c>
      <c r="P27">
        <v>100</v>
      </c>
      <c r="Q27">
        <v>100</v>
      </c>
      <c r="R27">
        <v>1</v>
      </c>
      <c r="S27" s="103">
        <v>0.01</v>
      </c>
      <c r="T27" t="inlineStr">
        <is>
          <t>Lo ejecutado está por debajo de lo programado en la vigencia</t>
        </is>
      </c>
      <c r="U27">
        <v>0.44</v>
      </c>
      <c r="V27" s="104">
        <v>0.0044</v>
      </c>
      <c r="W27" t="inlineStr">
        <is>
          <t>Lo ejecutado está por debajo de lo programado en la vigencia</t>
        </is>
      </c>
    </row>
    <row r="28">
      <c r="A28" t="inlineStr">
        <is>
          <t>IP-21</t>
        </is>
      </c>
      <c r="B28" t="inlineStr">
        <is>
          <t>32</t>
        </is>
      </c>
      <c r="C28" t="inlineStr">
        <is>
          <t>Ambiente y desarrollo sostenible</t>
        </is>
      </c>
      <c r="D28" t="inlineStr">
        <is>
          <t>3202</t>
        </is>
      </c>
      <c r="E28" t="inlineStr">
        <is>
          <t>Conservación de la biodiversidad y sus servicios ecosistémicos</t>
        </is>
      </c>
      <c r="F28" t="inlineStr">
        <is>
          <t>3202006</t>
        </is>
      </c>
      <c r="G28" t="inlineStr">
        <is>
          <t>Servicio de reforestación de ecosistemas</t>
        </is>
      </c>
      <c r="H28" t="inlineStr">
        <is>
          <t>320200600</t>
        </is>
      </c>
      <c r="I28" t="inlineStr">
        <is>
          <t>Plantaciones forestales realizadas</t>
        </is>
      </c>
      <c r="J28" t="inlineStr">
        <is>
          <t>2024251260047</t>
        </is>
      </c>
      <c r="K28" t="inlineStr">
        <is>
          <t>Si</t>
        </is>
      </c>
      <c r="L28" t="inlineStr">
        <is>
          <t>Hectáreas</t>
        </is>
      </c>
      <c r="M28">
        <v>1</v>
      </c>
      <c r="N28">
        <v>1</v>
      </c>
      <c r="O28">
        <v>1</v>
      </c>
      <c r="P28">
        <v>1</v>
      </c>
      <c r="Q28">
        <v>1</v>
      </c>
      <c r="R28">
        <v>2.5</v>
      </c>
      <c r="S28" s="103">
        <v>2.5</v>
      </c>
      <c r="T28" t="inlineStr">
        <is>
          <t>Hubo ejecución por encima de lo programado en SisPT</t>
        </is>
      </c>
      <c r="U28">
        <v>4.9445</v>
      </c>
      <c r="V28" s="104">
        <v>4.9445</v>
      </c>
      <c r="W28" t="inlineStr">
        <is>
          <t>Hubo ejecución por encima de lo programado en SisPT</t>
        </is>
      </c>
    </row>
    <row r="29">
      <c r="A29" t="inlineStr">
        <is>
          <t>IP-22</t>
        </is>
      </c>
      <c r="B29" t="inlineStr">
        <is>
          <t>32</t>
        </is>
      </c>
      <c r="C29" t="inlineStr">
        <is>
          <t>Ambiente y desarrollo sostenible</t>
        </is>
      </c>
      <c r="D29" t="inlineStr">
        <is>
          <t>3206</t>
        </is>
      </c>
      <c r="E29" t="inlineStr">
        <is>
          <t>Gestión del cambio climático para un desarrollo bajo en carbono y resiliente al clima</t>
        </is>
      </c>
      <c r="F29" t="inlineStr">
        <is>
          <t>3206004</t>
        </is>
      </c>
      <c r="G29" t="inlineStr">
        <is>
          <t>Servicio de educación informal en gestión del cambio climático para un desarrollo bajo en carbono y resiliente al clima</t>
        </is>
      </c>
      <c r="H29" t="inlineStr">
        <is>
          <t>320600400</t>
        </is>
      </c>
      <c r="I29" t="inlineStr">
        <is>
          <t>Personas capacitadas en gestión del cambio climático</t>
        </is>
      </c>
      <c r="J29" t="inlineStr">
        <is>
          <t>2024251260006</t>
        </is>
      </c>
      <c r="K29" t="inlineStr">
        <is>
          <t>No</t>
        </is>
      </c>
      <c r="L29" t="inlineStr">
        <is>
          <t>Número</t>
        </is>
      </c>
      <c r="M29">
        <v>1</v>
      </c>
      <c r="N29">
        <v>1</v>
      </c>
      <c r="O29">
        <v>1</v>
      </c>
      <c r="P29">
        <v>1</v>
      </c>
      <c r="Q29">
        <v>1</v>
      </c>
      <c r="R29" t="inlineStr">
        <is>
          <t xml:space="preserve"> </t>
        </is>
      </c>
      <c r="S29" s="103" t="inlineStr">
        <is>
          <t xml:space="preserve"> </t>
        </is>
      </c>
      <c r="T29" t="inlineStr">
        <is>
          <t>No se encontró ejecución en PIIP</t>
        </is>
      </c>
      <c r="U29" t="inlineStr">
        <is>
          <t xml:space="preserve"> </t>
        </is>
      </c>
      <c r="V29" s="104" t="inlineStr">
        <is>
          <t xml:space="preserve"> </t>
        </is>
      </c>
      <c r="W29" t="inlineStr">
        <is>
          <t>No se encontró ejecución en PIIP</t>
        </is>
      </c>
    </row>
    <row r="30">
      <c r="A30" t="inlineStr">
        <is>
          <t>IP-23</t>
        </is>
      </c>
      <c r="B30" t="inlineStr">
        <is>
          <t>32</t>
        </is>
      </c>
      <c r="C30" t="inlineStr">
        <is>
          <t>Ambiente y desarrollo sostenible</t>
        </is>
      </c>
      <c r="D30" t="inlineStr">
        <is>
          <t>3202</t>
        </is>
      </c>
      <c r="E30" t="inlineStr">
        <is>
          <t>Conservación de la biodiversidad y sus servicios ecosistémicos</t>
        </is>
      </c>
      <c r="F30" t="inlineStr">
        <is>
          <t>3202033</t>
        </is>
      </c>
      <c r="G30" t="inlineStr">
        <is>
          <t>Infraestructura ecoturística construida</t>
        </is>
      </c>
      <c r="H30" t="inlineStr">
        <is>
          <t>320203300</t>
        </is>
      </c>
      <c r="I30" t="inlineStr">
        <is>
          <t xml:space="preserve">Infraestructura ecoturística construida </t>
        </is>
      </c>
      <c r="J30" t="inlineStr">
        <is>
          <t>2024251260007</t>
        </is>
      </c>
      <c r="K30" t="inlineStr">
        <is>
          <t>Si</t>
        </is>
      </c>
      <c r="L30" t="inlineStr">
        <is>
          <t>Número</t>
        </is>
      </c>
      <c r="M30">
        <v>1</v>
      </c>
      <c r="N30">
        <v>0.1</v>
      </c>
      <c r="O30">
        <v>0.3</v>
      </c>
      <c r="P30">
        <v>0.3</v>
      </c>
      <c r="Q30">
        <v>0.3</v>
      </c>
      <c r="R30">
        <v>1</v>
      </c>
      <c r="S30" s="103">
        <v>10</v>
      </c>
      <c r="T30" t="inlineStr">
        <is>
          <t>Hubo ejecución por encima de lo programado en SisPT</t>
        </is>
      </c>
      <c r="U30" t="inlineStr">
        <is>
          <t xml:space="preserve"> </t>
        </is>
      </c>
      <c r="V30" s="104" t="inlineStr">
        <is>
          <t xml:space="preserve"> </t>
        </is>
      </c>
      <c r="W30" t="inlineStr">
        <is>
          <t>No se encontró ejecución en PIIP</t>
        </is>
      </c>
    </row>
    <row r="31">
      <c r="A31" t="inlineStr">
        <is>
          <t>IP-24</t>
        </is>
      </c>
      <c r="B31" t="inlineStr">
        <is>
          <t>40</t>
        </is>
      </c>
      <c r="C31" t="inlineStr">
        <is>
          <t>Vivienda, ciudad y territorio</t>
        </is>
      </c>
      <c r="D31" t="inlineStr">
        <is>
          <t>4003</t>
        </is>
      </c>
      <c r="E31" t="inlineStr">
        <is>
          <t>Acceso de la población a los servicios de agua potable y saneamiento básico</t>
        </is>
      </c>
      <c r="F31" t="inlineStr">
        <is>
          <t>4003008</t>
        </is>
      </c>
      <c r="G31" t="inlineStr">
        <is>
          <t>Servicio de apoyo financiero a los planes, programas y proyectos de Agua Potable y Saneamiento Básico</t>
        </is>
      </c>
      <c r="H31" t="inlineStr">
        <is>
          <t>400300800</t>
        </is>
      </c>
      <c r="I31" t="inlineStr">
        <is>
          <t>Proyectos de acueducto, alcantarillado y aseo apoyados financieramente</t>
        </is>
      </c>
      <c r="J31" t="inlineStr">
        <is>
          <t>2024251260012</t>
        </is>
      </c>
      <c r="K31" t="inlineStr">
        <is>
          <t>No</t>
        </is>
      </c>
      <c r="L31" t="inlineStr">
        <is>
          <t>Número</t>
        </is>
      </c>
      <c r="M31">
        <v>1</v>
      </c>
      <c r="N31">
        <v>1</v>
      </c>
      <c r="O31">
        <v>1</v>
      </c>
      <c r="P31">
        <v>1</v>
      </c>
      <c r="Q31">
        <v>1</v>
      </c>
      <c r="R31">
        <v>1</v>
      </c>
      <c r="S31" s="103">
        <v>1</v>
      </c>
      <c r="T31" t="inlineStr">
        <is>
          <t>Se ejecutó el 100% de lo programado en la vigencia</t>
        </is>
      </c>
      <c r="U31">
        <v>0.5</v>
      </c>
      <c r="V31" s="104">
        <v>0.5</v>
      </c>
      <c r="W31" t="inlineStr">
        <is>
          <t>Lo ejecutado está por debajo de lo programado en la vigencia</t>
        </is>
      </c>
    </row>
    <row r="32">
      <c r="A32" t="inlineStr">
        <is>
          <t>IP-25</t>
        </is>
      </c>
      <c r="B32" t="inlineStr">
        <is>
          <t>40</t>
        </is>
      </c>
      <c r="C32" t="inlineStr">
        <is>
          <t>Vivienda, ciudad y territorio</t>
        </is>
      </c>
      <c r="D32" t="inlineStr">
        <is>
          <t>4003</t>
        </is>
      </c>
      <c r="E32" t="inlineStr">
        <is>
          <t>Acceso de la población a los servicios de agua potable y saneamiento básico</t>
        </is>
      </c>
      <c r="F32" t="inlineStr">
        <is>
          <t>4003047</t>
        </is>
      </c>
      <c r="G32" t="inlineStr">
        <is>
          <t>Servicio de apoyo financiero para subsidios al consumo en los servicios públicos domiciliarios</t>
        </is>
      </c>
      <c r="H32" t="inlineStr">
        <is>
          <t>400304701</t>
        </is>
      </c>
      <c r="I32" t="inlineStr">
        <is>
          <t>Recursos entregados en subsidios al consumo</t>
        </is>
      </c>
      <c r="J32" t="inlineStr">
        <is>
          <t>2024251260012</t>
        </is>
      </c>
      <c r="K32" t="inlineStr">
        <is>
          <t>No</t>
        </is>
      </c>
      <c r="L32" t="inlineStr">
        <is>
          <t>Pesos</t>
        </is>
      </c>
      <c r="M32">
        <v>1</v>
      </c>
      <c r="N32">
        <v>1</v>
      </c>
      <c r="O32">
        <v>1</v>
      </c>
      <c r="P32">
        <v>1</v>
      </c>
      <c r="Q32">
        <v>1</v>
      </c>
      <c r="R32" t="inlineStr">
        <is>
          <t xml:space="preserve"> </t>
        </is>
      </c>
      <c r="S32" s="103" t="inlineStr">
        <is>
          <t xml:space="preserve"> </t>
        </is>
      </c>
      <c r="T32" t="inlineStr">
        <is>
          <t>No se encontró ejecución en PIIP</t>
        </is>
      </c>
      <c r="U32" t="inlineStr">
        <is>
          <t xml:space="preserve"> </t>
        </is>
      </c>
      <c r="V32" s="104" t="inlineStr">
        <is>
          <t xml:space="preserve"> </t>
        </is>
      </c>
      <c r="W32" t="inlineStr">
        <is>
          <t>No se encontró ejecución en PIIP</t>
        </is>
      </c>
    </row>
    <row r="33">
      <c r="A33" t="inlineStr">
        <is>
          <t>IP-26</t>
        </is>
      </c>
      <c r="B33" t="inlineStr">
        <is>
          <t>40</t>
        </is>
      </c>
      <c r="C33" t="inlineStr">
        <is>
          <t>Vivienda, ciudad y territorio</t>
        </is>
      </c>
      <c r="D33" t="inlineStr">
        <is>
          <t>4003</t>
        </is>
      </c>
      <c r="E33" t="inlineStr">
        <is>
          <t>Acceso de la población a los servicios de agua potable y saneamiento básico</t>
        </is>
      </c>
      <c r="F33" t="inlineStr">
        <is>
          <t>4003047</t>
        </is>
      </c>
      <c r="G33" t="inlineStr">
        <is>
          <t>Servicio de apoyo financiero para subsidios al consumo en los servicios públicos domiciliarios</t>
        </is>
      </c>
      <c r="H33" t="inlineStr">
        <is>
          <t>400304702</t>
        </is>
      </c>
      <c r="I33" t="inlineStr">
        <is>
          <t>Usuarios beneficiados con subsidios al consumo del servicio de acueducto</t>
        </is>
      </c>
      <c r="J33" t="inlineStr">
        <is>
          <t>2024251260008</t>
        </is>
      </c>
      <c r="K33" t="inlineStr">
        <is>
          <t>Si</t>
        </is>
      </c>
      <c r="L33" t="inlineStr">
        <is>
          <t>Número</t>
        </is>
      </c>
      <c r="M33">
        <v>100</v>
      </c>
      <c r="N33">
        <v>0</v>
      </c>
      <c r="O33">
        <v>0.33</v>
      </c>
      <c r="P33">
        <v>0.33</v>
      </c>
      <c r="Q33">
        <v>0.34</v>
      </c>
      <c r="R33" t="inlineStr">
        <is>
          <t xml:space="preserve"> </t>
        </is>
      </c>
      <c r="S33" s="103" t="inlineStr">
        <is>
          <t xml:space="preserve"> </t>
        </is>
      </c>
      <c r="T33" t="inlineStr">
        <is>
          <t>No se encontró ejecución en PIIP</t>
        </is>
      </c>
      <c r="U33" t="inlineStr">
        <is>
          <t xml:space="preserve"> </t>
        </is>
      </c>
      <c r="V33" s="104" t="inlineStr">
        <is>
          <t xml:space="preserve"> </t>
        </is>
      </c>
      <c r="W33" t="inlineStr">
        <is>
          <t>No se encontró ejecución en PIIP</t>
        </is>
      </c>
    </row>
    <row r="34">
      <c r="A34" t="inlineStr">
        <is>
          <t>IP-27</t>
        </is>
      </c>
      <c r="B34" t="inlineStr">
        <is>
          <t>40</t>
        </is>
      </c>
      <c r="C34" t="inlineStr">
        <is>
          <t>Vivienda, ciudad y territorio</t>
        </is>
      </c>
      <c r="D34" t="inlineStr">
        <is>
          <t>4003</t>
        </is>
      </c>
      <c r="E34" t="inlineStr">
        <is>
          <t>Acceso de la población a los servicios de agua potable y saneamiento básico</t>
        </is>
      </c>
      <c r="F34" t="inlineStr">
        <is>
          <t>4003006</t>
        </is>
      </c>
      <c r="G34" t="inlineStr">
        <is>
          <t>Documentos de planeación</t>
        </is>
      </c>
      <c r="H34" t="inlineStr">
        <is>
          <t>400300601</t>
        </is>
      </c>
      <c r="I34" t="inlineStr">
        <is>
          <t>Documentos de planeación en políticas de Agua Potable y Saneamiento Básico elaborados</t>
        </is>
      </c>
      <c r="J34" t="inlineStr">
        <is>
          <t>2024251260008</t>
        </is>
      </c>
      <c r="K34" t="inlineStr">
        <is>
          <t>Si</t>
        </is>
      </c>
      <c r="L34" t="inlineStr">
        <is>
          <t>Número</t>
        </is>
      </c>
      <c r="M34">
        <v>100</v>
      </c>
      <c r="N34">
        <v>100</v>
      </c>
      <c r="O34">
        <v>100</v>
      </c>
      <c r="P34">
        <v>100</v>
      </c>
      <c r="Q34">
        <v>100</v>
      </c>
      <c r="R34">
        <v>0.25</v>
      </c>
      <c r="S34" s="103">
        <v>0.0025</v>
      </c>
      <c r="T34" t="inlineStr">
        <is>
          <t>Lo ejecutado está por debajo de lo programado en la vigencia</t>
        </is>
      </c>
      <c r="U34">
        <v>0.116</v>
      </c>
      <c r="V34" s="104">
        <v>0.00116</v>
      </c>
      <c r="W34" t="inlineStr">
        <is>
          <t>Lo ejecutado está por debajo de lo programado en la vigencia</t>
        </is>
      </c>
    </row>
    <row r="35">
      <c r="A35" t="inlineStr">
        <is>
          <t>IP-28</t>
        </is>
      </c>
      <c r="B35" t="inlineStr">
        <is>
          <t>40</t>
        </is>
      </c>
      <c r="C35" t="inlineStr">
        <is>
          <t>Vivienda, ciudad y territorio</t>
        </is>
      </c>
      <c r="D35" t="inlineStr">
        <is>
          <t>4003</t>
        </is>
      </c>
      <c r="E35" t="inlineStr">
        <is>
          <t>Acceso de la población a los servicios de agua potable y saneamiento básico</t>
        </is>
      </c>
      <c r="F35" t="inlineStr">
        <is>
          <t>4003027</t>
        </is>
      </c>
      <c r="G35" t="inlineStr">
        <is>
          <t>Servicios de apoyo financiero para proyectos de conexiones intradomiciliarias y/o agua y saneamiento en casa</t>
        </is>
      </c>
      <c r="H35" t="inlineStr">
        <is>
          <t>400302700</t>
        </is>
      </c>
      <c r="I35" t="inlineStr">
        <is>
          <t>Conexiones Intradomiciliarias apoyadas financieramente</t>
        </is>
      </c>
      <c r="J35" t="inlineStr">
        <is>
          <t>2024251260008</t>
        </is>
      </c>
      <c r="K35" t="inlineStr">
        <is>
          <t>Si</t>
        </is>
      </c>
      <c r="L35" t="inlineStr">
        <is>
          <t>Número</t>
        </is>
      </c>
      <c r="M35">
        <v>1</v>
      </c>
      <c r="N35">
        <v>0.25</v>
      </c>
      <c r="O35">
        <v>0.25</v>
      </c>
      <c r="P35">
        <v>0.25</v>
      </c>
      <c r="Q35">
        <v>0.25</v>
      </c>
      <c r="R35">
        <v>0</v>
      </c>
      <c r="S35" s="103">
        <v>0</v>
      </c>
      <c r="T35" t="inlineStr">
        <is>
          <t>No se ejecutó en la vigencia</t>
        </is>
      </c>
      <c r="U35" t="inlineStr">
        <is>
          <t xml:space="preserve"> </t>
        </is>
      </c>
      <c r="V35" s="104" t="inlineStr">
        <is>
          <t xml:space="preserve"> </t>
        </is>
      </c>
      <c r="W35" t="inlineStr">
        <is>
          <t>No se encontró ejecución en PIIP</t>
        </is>
      </c>
    </row>
    <row r="36">
      <c r="A36" t="inlineStr">
        <is>
          <t>IP-29</t>
        </is>
      </c>
      <c r="B36" t="inlineStr">
        <is>
          <t>40</t>
        </is>
      </c>
      <c r="C36" t="inlineStr">
        <is>
          <t>Vivienda, ciudad y territorio</t>
        </is>
      </c>
      <c r="D36" t="inlineStr">
        <is>
          <t>4003</t>
        </is>
      </c>
      <c r="E36" t="inlineStr">
        <is>
          <t>Acceso de la población a los servicios de agua potable y saneamiento básico</t>
        </is>
      </c>
      <c r="F36" t="inlineStr">
        <is>
          <t>4003016</t>
        </is>
      </c>
      <c r="G36" t="inlineStr">
        <is>
          <t>Acueductos ampliados</t>
        </is>
      </c>
      <c r="H36" t="inlineStr">
        <is>
          <t>400301605</t>
        </is>
      </c>
      <c r="I36" t="inlineStr">
        <is>
          <t>Tanques de almacenamiento instalados</t>
        </is>
      </c>
      <c r="J36" t="inlineStr">
        <is>
          <t>2024251260082</t>
        </is>
      </c>
      <c r="K36" t="inlineStr">
        <is>
          <t>Si</t>
        </is>
      </c>
      <c r="L36" t="inlineStr">
        <is>
          <t>Número</t>
        </is>
      </c>
      <c r="M36">
        <v>1</v>
      </c>
      <c r="N36">
        <v>0.75</v>
      </c>
      <c r="O36">
        <v>0.5</v>
      </c>
      <c r="P36">
        <v>0</v>
      </c>
      <c r="Q36">
        <v>0</v>
      </c>
      <c r="R36" t="inlineStr">
        <is>
          <t xml:space="preserve"> </t>
        </is>
      </c>
      <c r="S36" s="103" t="inlineStr">
        <is>
          <t xml:space="preserve"> </t>
        </is>
      </c>
      <c r="T36" t="inlineStr">
        <is>
          <t>No se encontró ejecución en PIIP</t>
        </is>
      </c>
      <c r="U36" t="inlineStr">
        <is>
          <t xml:space="preserve"> </t>
        </is>
      </c>
      <c r="V36" s="104" t="inlineStr">
        <is>
          <t xml:space="preserve"> </t>
        </is>
      </c>
      <c r="W36" t="inlineStr">
        <is>
          <t>No se encontró ejecución en PIIP</t>
        </is>
      </c>
    </row>
    <row r="37">
      <c r="A37" t="inlineStr">
        <is>
          <t>IP-30</t>
        </is>
      </c>
      <c r="B37" t="inlineStr">
        <is>
          <t>40</t>
        </is>
      </c>
      <c r="C37" t="inlineStr">
        <is>
          <t>Vivienda, ciudad y territorio</t>
        </is>
      </c>
      <c r="D37" t="inlineStr">
        <is>
          <t>4003</t>
        </is>
      </c>
      <c r="E37" t="inlineStr">
        <is>
          <t>Acceso de la población a los servicios de agua potable y saneamiento básico</t>
        </is>
      </c>
      <c r="F37" t="inlineStr">
        <is>
          <t>4003015</t>
        </is>
      </c>
      <c r="G37" t="inlineStr">
        <is>
          <t>Acueductos construidos</t>
        </is>
      </c>
      <c r="H37" t="inlineStr">
        <is>
          <t>400301506</t>
        </is>
      </c>
      <c r="I37" t="inlineStr">
        <is>
          <t>Tanques de almacenamiento instalados</t>
        </is>
      </c>
      <c r="J37" t="inlineStr">
        <is>
          <t>2024251260082</t>
        </is>
      </c>
      <c r="K37" t="inlineStr">
        <is>
          <t>No</t>
        </is>
      </c>
      <c r="L37" t="inlineStr">
        <is>
          <t>Número</t>
        </is>
      </c>
      <c r="M37">
        <v>1</v>
      </c>
      <c r="N37">
        <v>0.3</v>
      </c>
      <c r="O37">
        <v>0.33</v>
      </c>
      <c r="P37">
        <v>0.33</v>
      </c>
      <c r="Q37">
        <v>0.34</v>
      </c>
      <c r="R37" t="inlineStr">
        <is>
          <t xml:space="preserve"> </t>
        </is>
      </c>
      <c r="S37" s="103" t="inlineStr">
        <is>
          <t xml:space="preserve"> </t>
        </is>
      </c>
      <c r="T37" t="inlineStr">
        <is>
          <t>No se encontró ejecución en PIIP</t>
        </is>
      </c>
      <c r="U37" t="inlineStr">
        <is>
          <t xml:space="preserve"> </t>
        </is>
      </c>
      <c r="V37" s="104" t="inlineStr">
        <is>
          <t xml:space="preserve"> </t>
        </is>
      </c>
      <c r="W37" t="inlineStr">
        <is>
          <t>No se encontró ejecución en PIIP</t>
        </is>
      </c>
    </row>
    <row r="38">
      <c r="A38" t="inlineStr">
        <is>
          <t>IP-31</t>
        </is>
      </c>
      <c r="B38" t="inlineStr">
        <is>
          <t>40</t>
        </is>
      </c>
      <c r="C38" t="inlineStr">
        <is>
          <t>Vivienda, ciudad y territorio</t>
        </is>
      </c>
      <c r="D38" t="inlineStr">
        <is>
          <t>4003</t>
        </is>
      </c>
      <c r="E38" t="inlineStr">
        <is>
          <t>Acceso de la población a los servicios de agua potable y saneamiento básico</t>
        </is>
      </c>
      <c r="F38" t="inlineStr">
        <is>
          <t>4003016</t>
        </is>
      </c>
      <c r="G38" t="inlineStr">
        <is>
          <t>Acueductos ampliados</t>
        </is>
      </c>
      <c r="H38" t="inlineStr">
        <is>
          <t>400301603</t>
        </is>
      </c>
      <c r="I38" t="inlineStr">
        <is>
          <t>Red de distribución ampliada</t>
        </is>
      </c>
      <c r="J38" t="inlineStr">
        <is>
          <t>2024251260082</t>
        </is>
      </c>
      <c r="K38" t="inlineStr">
        <is>
          <t>Si</t>
        </is>
      </c>
      <c r="L38" t="inlineStr">
        <is>
          <t xml:space="preserve">Metros </t>
        </is>
      </c>
      <c r="M38">
        <v>1</v>
      </c>
      <c r="N38">
        <v>0.1</v>
      </c>
      <c r="O38">
        <v>0.3</v>
      </c>
      <c r="P38">
        <v>0.3</v>
      </c>
      <c r="Q38">
        <v>0.3</v>
      </c>
      <c r="R38" t="inlineStr">
        <is>
          <t xml:space="preserve"> </t>
        </is>
      </c>
      <c r="S38" s="103" t="inlineStr">
        <is>
          <t xml:space="preserve"> </t>
        </is>
      </c>
      <c r="T38" t="inlineStr">
        <is>
          <t>No se encontró ejecución en PIIP</t>
        </is>
      </c>
      <c r="U38" t="inlineStr">
        <is>
          <t xml:space="preserve"> </t>
        </is>
      </c>
      <c r="V38" s="104" t="inlineStr">
        <is>
          <t xml:space="preserve"> </t>
        </is>
      </c>
      <c r="W38" t="inlineStr">
        <is>
          <t>No se encontró ejecución en PIIP</t>
        </is>
      </c>
    </row>
    <row r="39">
      <c r="A39" t="inlineStr">
        <is>
          <t>IP-32</t>
        </is>
      </c>
      <c r="B39" t="inlineStr">
        <is>
          <t>40</t>
        </is>
      </c>
      <c r="C39" t="inlineStr">
        <is>
          <t>Vivienda, ciudad y territorio</t>
        </is>
      </c>
      <c r="D39" t="inlineStr">
        <is>
          <t>4003</t>
        </is>
      </c>
      <c r="E39" t="inlineStr">
        <is>
          <t>Acceso de la población a los servicios de agua potable y saneamiento básico</t>
        </is>
      </c>
      <c r="F39" t="inlineStr">
        <is>
          <t>4003017</t>
        </is>
      </c>
      <c r="G39" t="inlineStr">
        <is>
          <t>Acueductos optimizados</t>
        </is>
      </c>
      <c r="H39" t="inlineStr">
        <is>
          <t>400301700</t>
        </is>
      </c>
      <c r="I39" t="inlineStr">
        <is>
          <t>Acueductos optimizados</t>
        </is>
      </c>
      <c r="J39" t="inlineStr">
        <is>
          <t>2024251260008</t>
        </is>
      </c>
      <c r="K39" t="inlineStr">
        <is>
          <t>Si</t>
        </is>
      </c>
      <c r="L39" t="inlineStr">
        <is>
          <t>Número</t>
        </is>
      </c>
      <c r="M39">
        <v>1</v>
      </c>
      <c r="N39">
        <v>0.25</v>
      </c>
      <c r="O39">
        <v>0.25</v>
      </c>
      <c r="P39">
        <v>0.25</v>
      </c>
      <c r="Q39">
        <v>0.25</v>
      </c>
      <c r="R39">
        <v>0.25</v>
      </c>
      <c r="S39" s="103">
        <v>1</v>
      </c>
      <c r="T39" t="inlineStr">
        <is>
          <t>Se ejecutó el 100% de lo programado en la vigencia</t>
        </is>
      </c>
      <c r="U39">
        <v>0.125</v>
      </c>
      <c r="V39" s="104">
        <v>0.5</v>
      </c>
      <c r="W39" t="inlineStr">
        <is>
          <t>Lo ejecutado está por debajo de lo programado en la vigencia</t>
        </is>
      </c>
    </row>
    <row r="40">
      <c r="A40" t="inlineStr">
        <is>
          <t>IP-33</t>
        </is>
      </c>
      <c r="B40" t="inlineStr">
        <is>
          <t>40</t>
        </is>
      </c>
      <c r="C40" t="inlineStr">
        <is>
          <t>Vivienda, ciudad y territorio</t>
        </is>
      </c>
      <c r="D40" t="inlineStr">
        <is>
          <t>4003</t>
        </is>
      </c>
      <c r="E40" t="inlineStr">
        <is>
          <t>Acceso de la población a los servicios de agua potable y saneamiento básico</t>
        </is>
      </c>
      <c r="F40" t="inlineStr">
        <is>
          <t>4003049</t>
        </is>
      </c>
      <c r="G40" t="inlineStr">
        <is>
          <t>Servicios de información implementados</t>
        </is>
      </c>
      <c r="H40" t="inlineStr">
        <is>
          <t>400304900</t>
        </is>
      </c>
      <c r="I40" t="inlineStr">
        <is>
          <t>Sistemas de Información Implemetados</t>
        </is>
      </c>
      <c r="J40" t="inlineStr">
        <is>
          <t>2024251260012</t>
        </is>
      </c>
      <c r="K40" t="inlineStr">
        <is>
          <t>No</t>
        </is>
      </c>
      <c r="L40" t="inlineStr">
        <is>
          <t>Número</t>
        </is>
      </c>
      <c r="M40">
        <v>1</v>
      </c>
      <c r="N40">
        <v>1</v>
      </c>
      <c r="O40">
        <v>1</v>
      </c>
      <c r="P40">
        <v>1</v>
      </c>
      <c r="Q40">
        <v>1</v>
      </c>
      <c r="R40">
        <v>1</v>
      </c>
      <c r="S40" s="103">
        <v>1</v>
      </c>
      <c r="T40" t="inlineStr">
        <is>
          <t>Se ejecutó el 100% de lo programado en la vigencia</t>
        </is>
      </c>
      <c r="U40">
        <v>0.35</v>
      </c>
      <c r="V40" s="104">
        <v>0.35</v>
      </c>
      <c r="W40" t="inlineStr">
        <is>
          <t>Lo ejecutado está por debajo de lo programado en la vigencia</t>
        </is>
      </c>
    </row>
    <row r="41">
      <c r="A41" t="inlineStr">
        <is>
          <t>IP-34</t>
        </is>
      </c>
      <c r="B41" t="inlineStr">
        <is>
          <t>40</t>
        </is>
      </c>
      <c r="C41" t="inlineStr">
        <is>
          <t>Vivienda, ciudad y territorio</t>
        </is>
      </c>
      <c r="D41" t="inlineStr">
        <is>
          <t>4003</t>
        </is>
      </c>
      <c r="E41" t="inlineStr">
        <is>
          <t>Acceso de la población a los servicios de agua potable y saneamiento básico</t>
        </is>
      </c>
      <c r="F41" t="inlineStr">
        <is>
          <t>4003050</t>
        </is>
      </c>
      <c r="G41" t="inlineStr">
        <is>
          <t>Servicios de  Información actualizados</t>
        </is>
      </c>
      <c r="H41" t="inlineStr">
        <is>
          <t>400305000</t>
        </is>
      </c>
      <c r="I41" t="inlineStr">
        <is>
          <t>Sistemas de información actualizados</t>
        </is>
      </c>
      <c r="J41" t="inlineStr">
        <is>
          <t>2024251260008</t>
        </is>
      </c>
      <c r="K41" t="inlineStr">
        <is>
          <t>Si</t>
        </is>
      </c>
      <c r="L41" t="inlineStr">
        <is>
          <t>Número</t>
        </is>
      </c>
      <c r="M41">
        <v>1</v>
      </c>
      <c r="N41">
        <v>0.25</v>
      </c>
      <c r="O41">
        <v>0.25</v>
      </c>
      <c r="P41">
        <v>0.25</v>
      </c>
      <c r="Q41">
        <v>0.25</v>
      </c>
      <c r="R41">
        <v>0</v>
      </c>
      <c r="S41" s="103">
        <v>0</v>
      </c>
      <c r="T41" t="inlineStr">
        <is>
          <t>No se ejecutó en la vigencia</t>
        </is>
      </c>
      <c r="U41" t="inlineStr">
        <is>
          <t xml:space="preserve"> </t>
        </is>
      </c>
      <c r="V41" s="104" t="inlineStr">
        <is>
          <t xml:space="preserve"> </t>
        </is>
      </c>
      <c r="W41" t="inlineStr">
        <is>
          <t>No se encontró ejecución en PIIP</t>
        </is>
      </c>
    </row>
    <row r="42">
      <c r="A42" t="inlineStr">
        <is>
          <t>IP-35</t>
        </is>
      </c>
      <c r="B42" t="inlineStr">
        <is>
          <t>40</t>
        </is>
      </c>
      <c r="C42" t="inlineStr">
        <is>
          <t>Vivienda, ciudad y territorio</t>
        </is>
      </c>
      <c r="D42" t="inlineStr">
        <is>
          <t>4003</t>
        </is>
      </c>
      <c r="E42" t="inlineStr">
        <is>
          <t>Acceso de la población a los servicios de agua potable y saneamiento básico</t>
        </is>
      </c>
      <c r="F42" t="inlineStr">
        <is>
          <t>4003047</t>
        </is>
      </c>
      <c r="G42" t="inlineStr">
        <is>
          <t>Servicio de apoyo financiero para subsidios al consumo en los servicios públicos domiciliarios</t>
        </is>
      </c>
      <c r="H42" t="inlineStr">
        <is>
          <t>400304703</t>
        </is>
      </c>
      <c r="I42" t="inlineStr">
        <is>
          <t>Usuarios beneficiados con subsidios al consumo del servicio de alcantarillado</t>
        </is>
      </c>
      <c r="J42" t="inlineStr">
        <is>
          <t>2024251260012</t>
        </is>
      </c>
      <c r="K42" t="inlineStr">
        <is>
          <t>No</t>
        </is>
      </c>
      <c r="L42" t="inlineStr">
        <is>
          <t>Número</t>
        </is>
      </c>
      <c r="M42">
        <v>1</v>
      </c>
      <c r="N42">
        <v>1</v>
      </c>
      <c r="O42">
        <v>1</v>
      </c>
      <c r="P42">
        <v>1</v>
      </c>
      <c r="Q42">
        <v>1</v>
      </c>
      <c r="R42" t="inlineStr">
        <is>
          <t xml:space="preserve"> </t>
        </is>
      </c>
      <c r="S42" s="103" t="inlineStr">
        <is>
          <t xml:space="preserve"> </t>
        </is>
      </c>
      <c r="T42" t="inlineStr">
        <is>
          <t>No se encontró ejecución en PIIP</t>
        </is>
      </c>
      <c r="U42" t="inlineStr">
        <is>
          <t xml:space="preserve"> </t>
        </is>
      </c>
      <c r="V42" s="104" t="inlineStr">
        <is>
          <t xml:space="preserve"> </t>
        </is>
      </c>
      <c r="W42" t="inlineStr">
        <is>
          <t>No se encontró ejecución en PIIP</t>
        </is>
      </c>
    </row>
    <row r="43">
      <c r="A43" t="inlineStr">
        <is>
          <t>IP-36</t>
        </is>
      </c>
      <c r="B43" t="inlineStr">
        <is>
          <t>40</t>
        </is>
      </c>
      <c r="C43" t="inlineStr">
        <is>
          <t>Vivienda, ciudad y territorio</t>
        </is>
      </c>
      <c r="D43" t="inlineStr">
        <is>
          <t>4003</t>
        </is>
      </c>
      <c r="E43" t="inlineStr">
        <is>
          <t>Acceso de la población a los servicios de agua potable y saneamiento básico</t>
        </is>
      </c>
      <c r="F43" t="inlineStr">
        <is>
          <t>4003020</t>
        </is>
      </c>
      <c r="G43" t="inlineStr">
        <is>
          <t>Alcantarillados optimizados</t>
        </is>
      </c>
      <c r="H43" t="inlineStr">
        <is>
          <t>400302000</t>
        </is>
      </c>
      <c r="I43" t="inlineStr">
        <is>
          <t>Alcantarillados optimizados</t>
        </is>
      </c>
      <c r="J43" t="inlineStr">
        <is>
          <t>2024251260009</t>
        </is>
      </c>
      <c r="K43" t="inlineStr">
        <is>
          <t>Si</t>
        </is>
      </c>
      <c r="L43" t="inlineStr">
        <is>
          <t>Número</t>
        </is>
      </c>
      <c r="M43">
        <v>1</v>
      </c>
      <c r="N43">
        <v>0.25</v>
      </c>
      <c r="O43">
        <v>0.25</v>
      </c>
      <c r="P43">
        <v>0.25</v>
      </c>
      <c r="Q43">
        <v>0.25</v>
      </c>
      <c r="R43">
        <v>0.25</v>
      </c>
      <c r="S43" s="103">
        <v>1</v>
      </c>
      <c r="T43" t="inlineStr">
        <is>
          <t>Se ejecutó el 100% de lo programado en la vigencia</t>
        </is>
      </c>
      <c r="U43">
        <v>0.2187</v>
      </c>
      <c r="V43" s="104">
        <v>0.8748</v>
      </c>
      <c r="W43" t="inlineStr">
        <is>
          <t>Lo ejecutado está por debajo de lo programado en la vigencia</t>
        </is>
      </c>
    </row>
    <row r="44">
      <c r="A44" t="inlineStr">
        <is>
          <t>IP-37</t>
        </is>
      </c>
      <c r="B44" t="inlineStr">
        <is>
          <t>40</t>
        </is>
      </c>
      <c r="C44" t="inlineStr">
        <is>
          <t>Vivienda, ciudad y territorio</t>
        </is>
      </c>
      <c r="D44" t="inlineStr">
        <is>
          <t>4003</t>
        </is>
      </c>
      <c r="E44" t="inlineStr">
        <is>
          <t>Acceso de la población a los servicios de agua potable y saneamiento básico</t>
        </is>
      </c>
      <c r="F44" t="inlineStr">
        <is>
          <t>4003019</t>
        </is>
      </c>
      <c r="G44" t="inlineStr">
        <is>
          <t>Alcantarillados ampliados</t>
        </is>
      </c>
      <c r="H44" t="inlineStr">
        <is>
          <t>400301900</t>
        </is>
      </c>
      <c r="I44" t="inlineStr">
        <is>
          <t>Alcantarillados ampliados</t>
        </is>
      </c>
      <c r="J44" t="inlineStr">
        <is>
          <t>2024251260009</t>
        </is>
      </c>
      <c r="K44" t="inlineStr">
        <is>
          <t>No</t>
        </is>
      </c>
      <c r="L44" t="inlineStr">
        <is>
          <t>Número</t>
        </is>
      </c>
      <c r="M44">
        <v>100</v>
      </c>
      <c r="N44">
        <v>100</v>
      </c>
      <c r="O44">
        <v>100</v>
      </c>
      <c r="P44">
        <v>100</v>
      </c>
      <c r="Q44">
        <v>100</v>
      </c>
      <c r="R44" t="inlineStr">
        <is>
          <t xml:space="preserve"> </t>
        </is>
      </c>
      <c r="S44" s="103" t="inlineStr">
        <is>
          <t xml:space="preserve"> </t>
        </is>
      </c>
      <c r="T44" t="inlineStr">
        <is>
          <t>No se encontró ejecución en PIIP</t>
        </is>
      </c>
      <c r="U44" t="inlineStr">
        <is>
          <t xml:space="preserve"> </t>
        </is>
      </c>
      <c r="V44" s="104" t="inlineStr">
        <is>
          <t xml:space="preserve"> </t>
        </is>
      </c>
      <c r="W44" t="inlineStr">
        <is>
          <t>No se encontró ejecución en PIIP</t>
        </is>
      </c>
    </row>
    <row r="45">
      <c r="A45" t="inlineStr">
        <is>
          <t>IP-38</t>
        </is>
      </c>
      <c r="B45" t="inlineStr">
        <is>
          <t>40</t>
        </is>
      </c>
      <c r="C45" t="inlineStr">
        <is>
          <t>Vivienda, ciudad y territorio</t>
        </is>
      </c>
      <c r="D45" t="inlineStr">
        <is>
          <t>4003</t>
        </is>
      </c>
      <c r="E45" t="inlineStr">
        <is>
          <t>Acceso de la población a los servicios de agua potable y saneamiento básico</t>
        </is>
      </c>
      <c r="F45" t="inlineStr">
        <is>
          <t>4003018</t>
        </is>
      </c>
      <c r="G45" t="inlineStr">
        <is>
          <t>Alcantarillados construidos</t>
        </is>
      </c>
      <c r="H45" t="inlineStr">
        <is>
          <t>400301802</t>
        </is>
      </c>
      <c r="I45" t="inlineStr">
        <is>
          <t>Plantas de tratamiento de aguas residuales  construidas</t>
        </is>
      </c>
      <c r="J45" t="inlineStr">
        <is>
          <t>2024251260060</t>
        </is>
      </c>
      <c r="K45" t="inlineStr">
        <is>
          <t>No</t>
        </is>
      </c>
      <c r="L45" t="inlineStr">
        <is>
          <t>Número</t>
        </is>
      </c>
      <c r="M45">
        <v>1</v>
      </c>
      <c r="N45">
        <v>0.1</v>
      </c>
      <c r="O45">
        <v>0.3</v>
      </c>
      <c r="P45">
        <v>0.3</v>
      </c>
      <c r="Q45">
        <v>0.3</v>
      </c>
      <c r="R45" t="inlineStr">
        <is>
          <t xml:space="preserve"> </t>
        </is>
      </c>
      <c r="S45" s="103" t="inlineStr">
        <is>
          <t xml:space="preserve"> </t>
        </is>
      </c>
      <c r="T45" t="inlineStr">
        <is>
          <t>No se encontró ejecución en PIIP</t>
        </is>
      </c>
      <c r="U45" t="inlineStr">
        <is>
          <t xml:space="preserve"> </t>
        </is>
      </c>
      <c r="V45" s="104" t="inlineStr">
        <is>
          <t xml:space="preserve"> </t>
        </is>
      </c>
      <c r="W45" t="inlineStr">
        <is>
          <t>No se encontró ejecución en PIIP</t>
        </is>
      </c>
    </row>
    <row r="46">
      <c r="A46" t="inlineStr">
        <is>
          <t>IP-39</t>
        </is>
      </c>
      <c r="B46" t="inlineStr">
        <is>
          <t>40</t>
        </is>
      </c>
      <c r="C46" t="inlineStr">
        <is>
          <t>Vivienda, ciudad y territorio</t>
        </is>
      </c>
      <c r="D46" t="inlineStr">
        <is>
          <t>4003</t>
        </is>
      </c>
      <c r="E46" t="inlineStr">
        <is>
          <t>Acceso de la población a los servicios de agua potable y saneamiento básico</t>
        </is>
      </c>
      <c r="F46" t="inlineStr">
        <is>
          <t>4003020</t>
        </is>
      </c>
      <c r="G46" t="inlineStr">
        <is>
          <t>Alcantarillados optimizados</t>
        </is>
      </c>
      <c r="H46" t="inlineStr">
        <is>
          <t>400302002</t>
        </is>
      </c>
      <c r="I46" t="inlineStr">
        <is>
          <t>Plantas de tratamiento de aguas residuales optimizadas</t>
        </is>
      </c>
      <c r="J46" t="inlineStr">
        <is>
          <t>2024251260060</t>
        </is>
      </c>
      <c r="K46" t="inlineStr">
        <is>
          <t>No</t>
        </is>
      </c>
      <c r="L46" t="inlineStr">
        <is>
          <t>Número</t>
        </is>
      </c>
      <c r="M46">
        <v>1</v>
      </c>
      <c r="N46">
        <v>0.25</v>
      </c>
      <c r="O46">
        <v>0.25</v>
      </c>
      <c r="P46">
        <v>0.25</v>
      </c>
      <c r="Q46">
        <v>0.25</v>
      </c>
      <c r="R46">
        <v>0</v>
      </c>
      <c r="S46" s="103">
        <v>0</v>
      </c>
      <c r="T46" t="inlineStr">
        <is>
          <t>No se ejecutó en la vigencia</t>
        </is>
      </c>
      <c r="U46">
        <v>1</v>
      </c>
      <c r="V46" s="104">
        <v>4</v>
      </c>
      <c r="W46" t="inlineStr">
        <is>
          <t>Hubo ejecución por encima de lo programado en SisPT</t>
        </is>
      </c>
    </row>
    <row r="47">
      <c r="A47" t="inlineStr">
        <is>
          <t>IP-40</t>
        </is>
      </c>
      <c r="B47" t="inlineStr">
        <is>
          <t>40</t>
        </is>
      </c>
      <c r="C47" t="inlineStr">
        <is>
          <t>Vivienda, ciudad y territorio</t>
        </is>
      </c>
      <c r="D47" t="inlineStr">
        <is>
          <t>4003</t>
        </is>
      </c>
      <c r="E47" t="inlineStr">
        <is>
          <t>Acceso de la población a los servicios de agua potable y saneamiento básico</t>
        </is>
      </c>
      <c r="F47" t="inlineStr">
        <is>
          <t>4003006</t>
        </is>
      </c>
      <c r="G47" t="inlineStr">
        <is>
          <t>Documentos de planeación</t>
        </is>
      </c>
      <c r="H47" t="inlineStr">
        <is>
          <t>400300600</t>
        </is>
      </c>
      <c r="I47" t="inlineStr">
        <is>
          <t>Documentos de planeación elaborados</t>
        </is>
      </c>
      <c r="J47" t="inlineStr">
        <is>
          <t>2024251260060</t>
        </is>
      </c>
      <c r="K47" t="inlineStr">
        <is>
          <t>No</t>
        </is>
      </c>
      <c r="L47" t="inlineStr">
        <is>
          <t>Número</t>
        </is>
      </c>
      <c r="M47">
        <v>100</v>
      </c>
      <c r="N47">
        <v>100</v>
      </c>
      <c r="O47">
        <v>100</v>
      </c>
      <c r="P47">
        <v>100</v>
      </c>
      <c r="Q47">
        <v>100</v>
      </c>
      <c r="R47" t="inlineStr">
        <is>
          <t xml:space="preserve"> </t>
        </is>
      </c>
      <c r="S47" s="103" t="inlineStr">
        <is>
          <t xml:space="preserve"> </t>
        </is>
      </c>
      <c r="T47" t="inlineStr">
        <is>
          <t>No se encontró ejecución en PIIP</t>
        </is>
      </c>
      <c r="U47" t="inlineStr">
        <is>
          <t xml:space="preserve"> </t>
        </is>
      </c>
      <c r="V47" s="104" t="inlineStr">
        <is>
          <t xml:space="preserve"> </t>
        </is>
      </c>
      <c r="W47" t="inlineStr">
        <is>
          <t>No se encontró ejecución en PIIP</t>
        </is>
      </c>
    </row>
    <row r="48">
      <c r="A48" t="inlineStr">
        <is>
          <t>IP-41</t>
        </is>
      </c>
      <c r="B48" t="inlineStr">
        <is>
          <t>40</t>
        </is>
      </c>
      <c r="C48" t="inlineStr">
        <is>
          <t>Vivienda, ciudad y territorio</t>
        </is>
      </c>
      <c r="D48" t="inlineStr">
        <is>
          <t>4003</t>
        </is>
      </c>
      <c r="E48" t="inlineStr">
        <is>
          <t>Acceso de la población a los servicios de agua potable y saneamiento básico</t>
        </is>
      </c>
      <c r="F48" t="inlineStr">
        <is>
          <t>4003020</t>
        </is>
      </c>
      <c r="G48" t="inlineStr">
        <is>
          <t>Alcantarillados optimizados</t>
        </is>
      </c>
      <c r="H48" t="inlineStr">
        <is>
          <t>400302001</t>
        </is>
      </c>
      <c r="I48" t="inlineStr">
        <is>
          <t xml:space="preserve">Personas beneficiadas con proyectos que mejoran provisión, calidad y/o continuidad de los servicios de alcantarillado </t>
        </is>
      </c>
      <c r="J48" t="inlineStr">
        <is>
          <t>2024251260009</t>
        </is>
      </c>
      <c r="K48" t="inlineStr">
        <is>
          <t>Si</t>
        </is>
      </c>
      <c r="L48" t="inlineStr">
        <is>
          <t>Número</t>
        </is>
      </c>
      <c r="M48">
        <v>1</v>
      </c>
      <c r="N48">
        <v>0.25</v>
      </c>
      <c r="O48">
        <v>0.25</v>
      </c>
      <c r="P48">
        <v>0.25</v>
      </c>
      <c r="Q48">
        <v>0.25</v>
      </c>
      <c r="R48" t="inlineStr">
        <is>
          <t xml:space="preserve"> </t>
        </is>
      </c>
      <c r="S48" s="103" t="inlineStr">
        <is>
          <t xml:space="preserve"> </t>
        </is>
      </c>
      <c r="T48" t="inlineStr">
        <is>
          <t>No se encontró ejecución en PIIP</t>
        </is>
      </c>
      <c r="U48" t="inlineStr">
        <is>
          <t xml:space="preserve"> </t>
        </is>
      </c>
      <c r="V48" s="104" t="inlineStr">
        <is>
          <t xml:space="preserve"> </t>
        </is>
      </c>
      <c r="W48" t="inlineStr">
        <is>
          <t>No se encontró ejecución en PIIP</t>
        </is>
      </c>
    </row>
    <row r="49">
      <c r="A49" t="inlineStr">
        <is>
          <t>IP-42</t>
        </is>
      </c>
      <c r="B49" t="inlineStr">
        <is>
          <t>40</t>
        </is>
      </c>
      <c r="C49" t="inlineStr">
        <is>
          <t>Vivienda, ciudad y territorio</t>
        </is>
      </c>
      <c r="D49" t="inlineStr">
        <is>
          <t>4003</t>
        </is>
      </c>
      <c r="E49" t="inlineStr">
        <is>
          <t>Acceso de la población a los servicios de agua potable y saneamiento básico</t>
        </is>
      </c>
      <c r="F49" t="inlineStr">
        <is>
          <t>4003047</t>
        </is>
      </c>
      <c r="G49" t="inlineStr">
        <is>
          <t>Servicio de apoyo financiero para subsidios al consumo en los servicios públicos domiciliarios</t>
        </is>
      </c>
      <c r="H49" t="inlineStr">
        <is>
          <t>400304704</t>
        </is>
      </c>
      <c r="I49" t="inlineStr">
        <is>
          <t>Usuarios beneficiados con subsidios al consumo del servicio de aseo</t>
        </is>
      </c>
      <c r="J49" t="inlineStr">
        <is>
          <t>2024251260012</t>
        </is>
      </c>
      <c r="K49" t="inlineStr">
        <is>
          <t>No</t>
        </is>
      </c>
      <c r="L49" t="inlineStr">
        <is>
          <t>Número</t>
        </is>
      </c>
      <c r="M49">
        <v>1</v>
      </c>
      <c r="N49">
        <v>1</v>
      </c>
      <c r="O49">
        <v>1</v>
      </c>
      <c r="P49">
        <v>1</v>
      </c>
      <c r="Q49">
        <v>1</v>
      </c>
      <c r="R49" t="inlineStr">
        <is>
          <t xml:space="preserve"> </t>
        </is>
      </c>
      <c r="S49" s="103" t="inlineStr">
        <is>
          <t xml:space="preserve"> </t>
        </is>
      </c>
      <c r="T49" t="inlineStr">
        <is>
          <t>No se encontró ejecución en PIIP</t>
        </is>
      </c>
      <c r="U49" t="inlineStr">
        <is>
          <t xml:space="preserve"> </t>
        </is>
      </c>
      <c r="V49" s="104" t="inlineStr">
        <is>
          <t xml:space="preserve"> </t>
        </is>
      </c>
      <c r="W49" t="inlineStr">
        <is>
          <t>No se encontró ejecución en PIIP</t>
        </is>
      </c>
    </row>
    <row r="50">
      <c r="A50" t="inlineStr">
        <is>
          <t>IP-43</t>
        </is>
      </c>
      <c r="B50" t="inlineStr">
        <is>
          <t>40</t>
        </is>
      </c>
      <c r="C50" t="inlineStr">
        <is>
          <t>Vivienda, ciudad y territorio</t>
        </is>
      </c>
      <c r="D50" t="inlineStr">
        <is>
          <t>4003</t>
        </is>
      </c>
      <c r="E50" t="inlineStr">
        <is>
          <t>Acceso de la población a los servicios de agua potable y saneamiento básico</t>
        </is>
      </c>
      <c r="F50" t="inlineStr">
        <is>
          <t>4003006</t>
        </is>
      </c>
      <c r="G50" t="inlineStr">
        <is>
          <t>Documentos de planeación</t>
        </is>
      </c>
      <c r="H50" t="inlineStr">
        <is>
          <t>400300602</t>
        </is>
      </c>
      <c r="I50" t="inlineStr">
        <is>
          <t>Plan Integral de gestión de residuos sólidos (PGIRS) actualizado</t>
        </is>
      </c>
      <c r="J50" t="inlineStr">
        <is>
          <t>2024251260011</t>
        </is>
      </c>
      <c r="K50" t="inlineStr">
        <is>
          <t>No</t>
        </is>
      </c>
      <c r="L50" t="inlineStr">
        <is>
          <t>Número</t>
        </is>
      </c>
      <c r="M50">
        <v>100</v>
      </c>
      <c r="N50">
        <v>100</v>
      </c>
      <c r="O50">
        <v>100</v>
      </c>
      <c r="P50">
        <v>100</v>
      </c>
      <c r="Q50">
        <v>100</v>
      </c>
      <c r="R50" t="inlineStr">
        <is>
          <t xml:space="preserve"> </t>
        </is>
      </c>
      <c r="S50" s="103" t="inlineStr">
        <is>
          <t xml:space="preserve"> </t>
        </is>
      </c>
      <c r="T50" t="inlineStr">
        <is>
          <t>No se encontró ejecución en PIIP</t>
        </is>
      </c>
      <c r="U50" t="inlineStr">
        <is>
          <t xml:space="preserve"> </t>
        </is>
      </c>
      <c r="V50" s="104" t="inlineStr">
        <is>
          <t xml:space="preserve"> </t>
        </is>
      </c>
      <c r="W50" t="inlineStr">
        <is>
          <t>No se encontró ejecución en PIIP</t>
        </is>
      </c>
    </row>
    <row r="51">
      <c r="A51" t="inlineStr">
        <is>
          <t>IP-44</t>
        </is>
      </c>
      <c r="B51" t="inlineStr">
        <is>
          <t>40</t>
        </is>
      </c>
      <c r="C51" t="inlineStr">
        <is>
          <t>Vivienda, ciudad y territorio</t>
        </is>
      </c>
      <c r="D51" t="inlineStr">
        <is>
          <t>4002</t>
        </is>
      </c>
      <c r="E51" t="inlineStr">
        <is>
          <t>Ordenamiento territorial y desarrollo urbano</t>
        </is>
      </c>
      <c r="F51" t="inlineStr">
        <is>
          <t>4002016</t>
        </is>
      </c>
      <c r="G51" t="inlineStr">
        <is>
          <t>Documentos de planeación</t>
        </is>
      </c>
      <c r="H51" t="inlineStr">
        <is>
          <t>400201600</t>
        </is>
      </c>
      <c r="I51" t="inlineStr">
        <is>
          <t>Documentos de planeación elaborados</t>
        </is>
      </c>
      <c r="J51" t="inlineStr">
        <is>
          <t>2024251260013</t>
        </is>
      </c>
      <c r="K51" t="inlineStr">
        <is>
          <t>No</t>
        </is>
      </c>
      <c r="L51" t="inlineStr">
        <is>
          <t>Número</t>
        </is>
      </c>
      <c r="M51">
        <v>1</v>
      </c>
      <c r="N51">
        <v>0.25</v>
      </c>
      <c r="O51">
        <v>0.25</v>
      </c>
      <c r="P51">
        <v>0.25</v>
      </c>
      <c r="Q51">
        <v>0.25</v>
      </c>
      <c r="R51">
        <v>1</v>
      </c>
      <c r="S51" s="103">
        <v>4</v>
      </c>
      <c r="T51" t="inlineStr">
        <is>
          <t>Hubo ejecución por encima de lo programado en SisPT</t>
        </is>
      </c>
      <c r="U51">
        <v>0.5</v>
      </c>
      <c r="V51" s="104">
        <v>2</v>
      </c>
      <c r="W51" t="inlineStr">
        <is>
          <t>Hubo ejecución por encima de lo programado en SisPT</t>
        </is>
      </c>
    </row>
    <row r="52">
      <c r="A52" t="inlineStr">
        <is>
          <t>IP-45</t>
        </is>
      </c>
      <c r="B52" t="inlineStr">
        <is>
          <t>40</t>
        </is>
      </c>
      <c r="C52" t="inlineStr">
        <is>
          <t>Vivienda, ciudad y territorio</t>
        </is>
      </c>
      <c r="D52" t="inlineStr">
        <is>
          <t>4002</t>
        </is>
      </c>
      <c r="E52" t="inlineStr">
        <is>
          <t>Ordenamiento territorial y desarrollo urbano</t>
        </is>
      </c>
      <c r="F52" t="inlineStr">
        <is>
          <t>4002016</t>
        </is>
      </c>
      <c r="G52" t="inlineStr">
        <is>
          <t>Documentos de planeación</t>
        </is>
      </c>
      <c r="H52" t="inlineStr">
        <is>
          <t>400201601</t>
        </is>
      </c>
      <c r="I52" t="inlineStr">
        <is>
          <t>Documentos de planeación en Ordenamiento Territorial implementados</t>
        </is>
      </c>
      <c r="J52" t="inlineStr">
        <is>
          <t>2024251260013</t>
        </is>
      </c>
      <c r="K52" t="inlineStr">
        <is>
          <t>No</t>
        </is>
      </c>
      <c r="L52" t="inlineStr">
        <is>
          <t>Número</t>
        </is>
      </c>
      <c r="M52">
        <v>100</v>
      </c>
      <c r="N52">
        <v>100</v>
      </c>
      <c r="O52">
        <v>100</v>
      </c>
      <c r="P52">
        <v>100</v>
      </c>
      <c r="Q52">
        <v>100</v>
      </c>
      <c r="R52" t="inlineStr">
        <is>
          <t xml:space="preserve"> </t>
        </is>
      </c>
      <c r="S52" s="103" t="inlineStr">
        <is>
          <t xml:space="preserve"> </t>
        </is>
      </c>
      <c r="T52" t="inlineStr">
        <is>
          <t>No se encontró ejecución en PIIP</t>
        </is>
      </c>
      <c r="U52" t="inlineStr">
        <is>
          <t xml:space="preserve"> </t>
        </is>
      </c>
      <c r="V52" s="104" t="inlineStr">
        <is>
          <t xml:space="preserve"> </t>
        </is>
      </c>
      <c r="W52" t="inlineStr">
        <is>
          <t>No se encontró ejecución en PIIP</t>
        </is>
      </c>
    </row>
    <row r="53">
      <c r="A53" t="inlineStr">
        <is>
          <t>IP-46</t>
        </is>
      </c>
      <c r="B53" t="inlineStr">
        <is>
          <t>40</t>
        </is>
      </c>
      <c r="C53" t="inlineStr">
        <is>
          <t>Vivienda, ciudad y territorio</t>
        </is>
      </c>
      <c r="D53" t="inlineStr">
        <is>
          <t>4002</t>
        </is>
      </c>
      <c r="E53" t="inlineStr">
        <is>
          <t>Ordenamiento territorial y desarrollo urbano</t>
        </is>
      </c>
      <c r="F53" t="inlineStr">
        <is>
          <t>4002016</t>
        </is>
      </c>
      <c r="G53" t="inlineStr">
        <is>
          <t>Documentos de planeación</t>
        </is>
      </c>
      <c r="H53" t="inlineStr">
        <is>
          <t>400201603</t>
        </is>
      </c>
      <c r="I53" t="inlineStr">
        <is>
          <t>Documentos de formulación del Plan de Ordenamiento Departamental elaborados</t>
        </is>
      </c>
      <c r="J53" t="inlineStr">
        <is>
          <t>2024251260013</t>
        </is>
      </c>
      <c r="K53" t="inlineStr">
        <is>
          <t>No</t>
        </is>
      </c>
      <c r="L53" t="inlineStr">
        <is>
          <t>Número</t>
        </is>
      </c>
      <c r="M53">
        <v>1</v>
      </c>
      <c r="N53">
        <v>1</v>
      </c>
      <c r="O53">
        <v>1</v>
      </c>
      <c r="P53">
        <v>1</v>
      </c>
      <c r="Q53">
        <v>1</v>
      </c>
      <c r="R53" t="inlineStr">
        <is>
          <t xml:space="preserve"> </t>
        </is>
      </c>
      <c r="S53" s="103" t="inlineStr">
        <is>
          <t xml:space="preserve"> </t>
        </is>
      </c>
      <c r="T53" t="inlineStr">
        <is>
          <t>No se encontró ejecución en PIIP</t>
        </is>
      </c>
      <c r="U53" t="inlineStr">
        <is>
          <t xml:space="preserve"> </t>
        </is>
      </c>
      <c r="V53" s="104" t="inlineStr">
        <is>
          <t xml:space="preserve"> </t>
        </is>
      </c>
      <c r="W53" t="inlineStr">
        <is>
          <t>No se encontró ejecución en PIIP</t>
        </is>
      </c>
    </row>
    <row r="54">
      <c r="A54" t="inlineStr">
        <is>
          <t>IP-47</t>
        </is>
      </c>
      <c r="B54" t="inlineStr">
        <is>
          <t>40</t>
        </is>
      </c>
      <c r="C54" t="inlineStr">
        <is>
          <t>Vivienda, ciudad y territorio</t>
        </is>
      </c>
      <c r="D54" t="inlineStr">
        <is>
          <t>4002</t>
        </is>
      </c>
      <c r="E54" t="inlineStr">
        <is>
          <t>Ordenamiento territorial y desarrollo urbano</t>
        </is>
      </c>
      <c r="F54" t="inlineStr">
        <is>
          <t>4002034</t>
        </is>
      </c>
      <c r="G54" t="inlineStr">
        <is>
          <t>Estudios de pre inversión e inversión</t>
        </is>
      </c>
      <c r="H54" t="inlineStr">
        <is>
          <t>400203400</t>
        </is>
      </c>
      <c r="I54" t="inlineStr">
        <is>
          <t xml:space="preserve">Estudios o diseños realizados </t>
        </is>
      </c>
      <c r="J54" t="inlineStr">
        <is>
          <t>2024251260013</t>
        </is>
      </c>
      <c r="K54" t="inlineStr">
        <is>
          <t>No</t>
        </is>
      </c>
      <c r="L54" t="inlineStr">
        <is>
          <t>Número</t>
        </is>
      </c>
      <c r="M54">
        <v>1</v>
      </c>
      <c r="N54">
        <v>0</v>
      </c>
      <c r="O54">
        <v>0</v>
      </c>
      <c r="P54">
        <v>0</v>
      </c>
      <c r="Q54">
        <v>1</v>
      </c>
      <c r="R54">
        <v>1</v>
      </c>
      <c r="S54" s="103" t="inlineStr">
        <is>
          <t xml:space="preserve"> </t>
        </is>
      </c>
      <c r="T54" t="inlineStr">
        <is>
          <t>Se ejecutó un producto no programado en la vigencia</t>
        </is>
      </c>
      <c r="U54">
        <v>0.25</v>
      </c>
      <c r="V54" s="104" t="inlineStr">
        <is>
          <t xml:space="preserve"> </t>
        </is>
      </c>
      <c r="W54" t="inlineStr">
        <is>
          <t>Se ejecutó un producto no programado en la vigencia</t>
        </is>
      </c>
    </row>
    <row r="55">
      <c r="A55" t="inlineStr">
        <is>
          <t>IP-48</t>
        </is>
      </c>
      <c r="B55" t="inlineStr">
        <is>
          <t>40</t>
        </is>
      </c>
      <c r="C55" t="inlineStr">
        <is>
          <t>Vivienda, ciudad y territorio</t>
        </is>
      </c>
      <c r="D55" t="inlineStr">
        <is>
          <t>4001</t>
        </is>
      </c>
      <c r="E55" t="inlineStr">
        <is>
          <t>Acceso a soluciones de vivienda</t>
        </is>
      </c>
      <c r="F55" t="inlineStr">
        <is>
          <t>4001004</t>
        </is>
      </c>
      <c r="G55" t="inlineStr">
        <is>
          <t>Documentos de planeación</t>
        </is>
      </c>
      <c r="H55" t="inlineStr">
        <is>
          <t>400100401</t>
        </is>
      </c>
      <c r="I55" t="inlineStr">
        <is>
          <t>Documentos de planeación en política de vivienda elaborados</t>
        </is>
      </c>
      <c r="J55" t="inlineStr">
        <is>
          <t>2024251260014</t>
        </is>
      </c>
      <c r="K55" t="inlineStr">
        <is>
          <t>No</t>
        </is>
      </c>
      <c r="L55" t="inlineStr">
        <is>
          <t>Número</t>
        </is>
      </c>
      <c r="M55">
        <v>100</v>
      </c>
      <c r="N55">
        <v>100</v>
      </c>
      <c r="O55">
        <v>100</v>
      </c>
      <c r="P55">
        <v>100</v>
      </c>
      <c r="Q55">
        <v>100</v>
      </c>
      <c r="R55" t="inlineStr">
        <is>
          <t xml:space="preserve"> </t>
        </is>
      </c>
      <c r="S55" s="103" t="inlineStr">
        <is>
          <t xml:space="preserve"> </t>
        </is>
      </c>
      <c r="T55" t="inlineStr">
        <is>
          <t>No se encontró ejecución en PIIP</t>
        </is>
      </c>
      <c r="U55" t="inlineStr">
        <is>
          <t xml:space="preserve"> </t>
        </is>
      </c>
      <c r="V55" s="104" t="inlineStr">
        <is>
          <t xml:space="preserve"> </t>
        </is>
      </c>
      <c r="W55" t="inlineStr">
        <is>
          <t>No se encontró ejecución en PIIP</t>
        </is>
      </c>
    </row>
    <row r="56">
      <c r="A56" t="inlineStr">
        <is>
          <t>IP-49</t>
        </is>
      </c>
      <c r="B56" t="inlineStr">
        <is>
          <t>40</t>
        </is>
      </c>
      <c r="C56" t="inlineStr">
        <is>
          <t>Vivienda, ciudad y territorio</t>
        </is>
      </c>
      <c r="D56" t="inlineStr">
        <is>
          <t>4001</t>
        </is>
      </c>
      <c r="E56" t="inlineStr">
        <is>
          <t>Acceso a soluciones de vivienda</t>
        </is>
      </c>
      <c r="F56" t="inlineStr">
        <is>
          <t>4001039</t>
        </is>
      </c>
      <c r="G56" t="inlineStr">
        <is>
          <t>Vivienda de Interés Prioritario construidas</t>
        </is>
      </c>
      <c r="H56" t="inlineStr">
        <is>
          <t>400103900</t>
        </is>
      </c>
      <c r="I56" t="inlineStr">
        <is>
          <t>Vivienda de Interés Prioritario construidas</t>
        </is>
      </c>
      <c r="J56" t="inlineStr">
        <is>
          <t>2024251260084</t>
        </is>
      </c>
      <c r="K56" t="inlineStr">
        <is>
          <t>No</t>
        </is>
      </c>
      <c r="L56" t="inlineStr">
        <is>
          <t>Número</t>
        </is>
      </c>
      <c r="M56">
        <v>1</v>
      </c>
      <c r="N56">
        <v>1</v>
      </c>
      <c r="O56">
        <v>0</v>
      </c>
      <c r="P56">
        <v>0</v>
      </c>
      <c r="Q56">
        <v>0</v>
      </c>
      <c r="R56" t="inlineStr">
        <is>
          <t xml:space="preserve"> </t>
        </is>
      </c>
      <c r="S56" s="103" t="inlineStr">
        <is>
          <t xml:space="preserve"> </t>
        </is>
      </c>
      <c r="T56" t="inlineStr">
        <is>
          <t>No se encontró ejecución en PIIP</t>
        </is>
      </c>
      <c r="U56">
        <v>0</v>
      </c>
      <c r="V56" s="104" t="inlineStr">
        <is>
          <t xml:space="preserve"> </t>
        </is>
      </c>
      <c r="W56" t="inlineStr">
        <is>
          <t>No se programó ni ejecutó en la vigencia</t>
        </is>
      </c>
    </row>
    <row r="57">
      <c r="A57" t="inlineStr">
        <is>
          <t>IP-50</t>
        </is>
      </c>
      <c r="B57" t="inlineStr">
        <is>
          <t>40</t>
        </is>
      </c>
      <c r="C57" t="inlineStr">
        <is>
          <t>Vivienda, ciudad y territorio</t>
        </is>
      </c>
      <c r="D57" t="inlineStr">
        <is>
          <t>4001</t>
        </is>
      </c>
      <c r="E57" t="inlineStr">
        <is>
          <t>Acceso a soluciones de vivienda</t>
        </is>
      </c>
      <c r="F57" t="inlineStr">
        <is>
          <t>4001042</t>
        </is>
      </c>
      <c r="G57" t="inlineStr">
        <is>
          <t>Vivienda de Interés Social construidas</t>
        </is>
      </c>
      <c r="H57" t="inlineStr">
        <is>
          <t>400104200</t>
        </is>
      </c>
      <c r="I57" t="inlineStr">
        <is>
          <t>Vivienda de Interés Social construidas</t>
        </is>
      </c>
      <c r="J57" t="inlineStr">
        <is>
          <t>2024251260081</t>
        </is>
      </c>
      <c r="K57" t="inlineStr">
        <is>
          <t>Si</t>
        </is>
      </c>
      <c r="L57" t="inlineStr">
        <is>
          <t>Número</t>
        </is>
      </c>
      <c r="M57">
        <v>1</v>
      </c>
      <c r="N57">
        <v>0.1</v>
      </c>
      <c r="O57">
        <v>0.3</v>
      </c>
      <c r="P57">
        <v>0.3</v>
      </c>
      <c r="Q57">
        <v>0.3</v>
      </c>
      <c r="R57" t="inlineStr">
        <is>
          <t xml:space="preserve"> </t>
        </is>
      </c>
      <c r="S57" s="103" t="inlineStr">
        <is>
          <t xml:space="preserve"> </t>
        </is>
      </c>
      <c r="T57" t="inlineStr">
        <is>
          <t>No se encontró ejecución en PIIP</t>
        </is>
      </c>
      <c r="U57" t="inlineStr">
        <is>
          <t xml:space="preserve"> </t>
        </is>
      </c>
      <c r="V57" s="104" t="inlineStr">
        <is>
          <t xml:space="preserve"> </t>
        </is>
      </c>
      <c r="W57" t="inlineStr">
        <is>
          <t>No se encontró ejecución en PIIP</t>
        </is>
      </c>
    </row>
    <row r="58">
      <c r="A58" t="inlineStr">
        <is>
          <t>IP-51</t>
        </is>
      </c>
      <c r="B58" t="inlineStr">
        <is>
          <t>40</t>
        </is>
      </c>
      <c r="C58" t="inlineStr">
        <is>
          <t>Vivienda, ciudad y territorio</t>
        </is>
      </c>
      <c r="D58" t="inlineStr">
        <is>
          <t>4001</t>
        </is>
      </c>
      <c r="E58" t="inlineStr">
        <is>
          <t>Acceso a soluciones de vivienda</t>
        </is>
      </c>
      <c r="F58" t="inlineStr">
        <is>
          <t>4001031</t>
        </is>
      </c>
      <c r="G58" t="inlineStr">
        <is>
          <t>Servicio de apoyo financiero para adquisición de vivienda</t>
        </is>
      </c>
      <c r="H58" t="inlineStr">
        <is>
          <t>400103100</t>
        </is>
      </c>
      <c r="I58" t="inlineStr">
        <is>
          <t>Hogares beneficiados con adquisición de vivienda </t>
        </is>
      </c>
      <c r="J58" t="inlineStr">
        <is>
          <t>2024251260014</t>
        </is>
      </c>
      <c r="K58" t="inlineStr">
        <is>
          <t>Si</t>
        </is>
      </c>
      <c r="L58" t="inlineStr">
        <is>
          <t>Número</t>
        </is>
      </c>
      <c r="M58">
        <v>90</v>
      </c>
      <c r="N58">
        <v>0.65</v>
      </c>
      <c r="O58">
        <v>89</v>
      </c>
      <c r="P58">
        <v>0</v>
      </c>
      <c r="Q58">
        <v>0</v>
      </c>
      <c r="R58" t="inlineStr">
        <is>
          <t xml:space="preserve"> </t>
        </is>
      </c>
      <c r="S58" s="103" t="inlineStr">
        <is>
          <t xml:space="preserve"> </t>
        </is>
      </c>
      <c r="T58" t="inlineStr">
        <is>
          <t>No se encontró ejecución en PIIP</t>
        </is>
      </c>
      <c r="U58" t="inlineStr">
        <is>
          <t xml:space="preserve"> </t>
        </is>
      </c>
      <c r="V58" s="104" t="inlineStr">
        <is>
          <t xml:space="preserve"> </t>
        </is>
      </c>
      <c r="W58" t="inlineStr">
        <is>
          <t>No se encontró ejecución en PIIP</t>
        </is>
      </c>
    </row>
    <row r="59">
      <c r="A59" t="inlineStr">
        <is>
          <t>IP-52</t>
        </is>
      </c>
      <c r="B59" t="inlineStr">
        <is>
          <t>40</t>
        </is>
      </c>
      <c r="C59" t="inlineStr">
        <is>
          <t>Vivienda, ciudad y territorio</t>
        </is>
      </c>
      <c r="D59" t="inlineStr">
        <is>
          <t>4001</t>
        </is>
      </c>
      <c r="E59" t="inlineStr">
        <is>
          <t>Acceso a soluciones de vivienda</t>
        </is>
      </c>
      <c r="F59" t="inlineStr">
        <is>
          <t>4001001</t>
        </is>
      </c>
      <c r="G59" t="inlineStr">
        <is>
          <t>Servicio de asistencia técnica y jurídica en saneamiento y titulación de predios</t>
        </is>
      </c>
      <c r="H59" t="inlineStr">
        <is>
          <t>400100101</t>
        </is>
      </c>
      <c r="I59" t="inlineStr">
        <is>
          <t>Asistencias técnicas y jurídicas realizadas</t>
        </is>
      </c>
      <c r="J59" t="inlineStr">
        <is>
          <t>2024251260014</t>
        </is>
      </c>
      <c r="K59" t="inlineStr">
        <is>
          <t>Si</t>
        </is>
      </c>
      <c r="L59" t="inlineStr">
        <is>
          <t>Número</t>
        </is>
      </c>
      <c r="M59">
        <v>250</v>
      </c>
      <c r="N59">
        <v>62.5</v>
      </c>
      <c r="O59">
        <v>62.5</v>
      </c>
      <c r="P59">
        <v>62.5</v>
      </c>
      <c r="Q59">
        <v>62.5</v>
      </c>
      <c r="R59" t="inlineStr">
        <is>
          <t xml:space="preserve"> </t>
        </is>
      </c>
      <c r="S59" s="103" t="inlineStr">
        <is>
          <t xml:space="preserve"> </t>
        </is>
      </c>
      <c r="T59" t="inlineStr">
        <is>
          <t>No se encontró ejecución en PIIP</t>
        </is>
      </c>
      <c r="U59" t="inlineStr">
        <is>
          <t xml:space="preserve"> </t>
        </is>
      </c>
      <c r="V59" s="104" t="inlineStr">
        <is>
          <t xml:space="preserve"> </t>
        </is>
      </c>
      <c r="W59" t="inlineStr">
        <is>
          <t>No se encontró ejecución en PIIP</t>
        </is>
      </c>
    </row>
    <row r="60">
      <c r="A60" t="inlineStr">
        <is>
          <t>IP-53</t>
        </is>
      </c>
      <c r="B60" t="inlineStr">
        <is>
          <t>40</t>
        </is>
      </c>
      <c r="C60" t="inlineStr">
        <is>
          <t>Vivienda, ciudad y territorio</t>
        </is>
      </c>
      <c r="D60" t="inlineStr">
        <is>
          <t>4001</t>
        </is>
      </c>
      <c r="E60" t="inlineStr">
        <is>
          <t>Acceso a soluciones de vivienda</t>
        </is>
      </c>
      <c r="F60" t="inlineStr">
        <is>
          <t>4001046</t>
        </is>
      </c>
      <c r="G60" t="inlineStr">
        <is>
          <t>Servicios de  información actualizados</t>
        </is>
      </c>
      <c r="H60" t="inlineStr">
        <is>
          <t>400104600</t>
        </is>
      </c>
      <c r="I60" t="inlineStr">
        <is>
          <t>Sistemas de información actualizados</t>
        </is>
      </c>
      <c r="J60" t="inlineStr">
        <is>
          <t>2024251260014</t>
        </is>
      </c>
      <c r="K60" t="inlineStr">
        <is>
          <t>Si</t>
        </is>
      </c>
      <c r="L60" t="inlineStr">
        <is>
          <t>Número</t>
        </is>
      </c>
      <c r="M60">
        <v>250</v>
      </c>
      <c r="N60">
        <v>62.5</v>
      </c>
      <c r="O60">
        <v>62.5</v>
      </c>
      <c r="P60">
        <v>62.5</v>
      </c>
      <c r="Q60">
        <v>62.5</v>
      </c>
      <c r="R60">
        <v>1</v>
      </c>
      <c r="S60" s="103">
        <v>0.016</v>
      </c>
      <c r="T60" t="inlineStr">
        <is>
          <t>Lo ejecutado está por debajo de lo programado en la vigencia</t>
        </is>
      </c>
      <c r="U60">
        <v>291</v>
      </c>
      <c r="V60" s="104">
        <v>4.656</v>
      </c>
      <c r="W60" t="inlineStr">
        <is>
          <t>Hubo ejecución por encima de lo programado en SisPT</t>
        </is>
      </c>
    </row>
    <row r="61">
      <c r="A61" t="inlineStr">
        <is>
          <t>IP-54</t>
        </is>
      </c>
      <c r="B61" t="inlineStr">
        <is>
          <t>40</t>
        </is>
      </c>
      <c r="C61" t="inlineStr">
        <is>
          <t>Vivienda, ciudad y territorio</t>
        </is>
      </c>
      <c r="D61" t="inlineStr">
        <is>
          <t>4001</t>
        </is>
      </c>
      <c r="E61" t="inlineStr">
        <is>
          <t>Acceso a soluciones de vivienda</t>
        </is>
      </c>
      <c r="F61" t="inlineStr">
        <is>
          <t>4001034</t>
        </is>
      </c>
      <c r="G61" t="inlineStr">
        <is>
          <t>Servicio de apoyo financiero para construcción de vivienda en sitio propio</t>
        </is>
      </c>
      <c r="H61" t="inlineStr">
        <is>
          <t>400103400</t>
        </is>
      </c>
      <c r="I61" t="inlineStr">
        <is>
          <t>Hogares beneficiados con construcción de vivienda en sitio propio</t>
        </is>
      </c>
      <c r="J61" t="inlineStr">
        <is>
          <t>2024251260014</t>
        </is>
      </c>
      <c r="K61" t="inlineStr">
        <is>
          <t>Si</t>
        </is>
      </c>
      <c r="L61" t="inlineStr">
        <is>
          <t>Número</t>
        </is>
      </c>
      <c r="M61">
        <v>35</v>
      </c>
      <c r="N61">
        <v>2</v>
      </c>
      <c r="O61">
        <v>1</v>
      </c>
      <c r="P61">
        <v>10</v>
      </c>
      <c r="Q61">
        <v>10</v>
      </c>
      <c r="R61">
        <v>0</v>
      </c>
      <c r="S61" s="103">
        <v>0</v>
      </c>
      <c r="T61" t="inlineStr">
        <is>
          <t>No se ejecutó en la vigencia</t>
        </is>
      </c>
      <c r="U61">
        <v>10</v>
      </c>
      <c r="V61" s="104">
        <v>10</v>
      </c>
      <c r="W61" t="inlineStr">
        <is>
          <t>Hubo ejecución por encima de lo programado en SisPT</t>
        </is>
      </c>
    </row>
    <row r="62">
      <c r="A62" t="inlineStr">
        <is>
          <t>IP-55</t>
        </is>
      </c>
      <c r="B62" t="inlineStr">
        <is>
          <t>40</t>
        </is>
      </c>
      <c r="C62" t="inlineStr">
        <is>
          <t>Vivienda, ciudad y territorio</t>
        </is>
      </c>
      <c r="D62" t="inlineStr">
        <is>
          <t>4001</t>
        </is>
      </c>
      <c r="E62" t="inlineStr">
        <is>
          <t>Acceso a soluciones de vivienda</t>
        </is>
      </c>
      <c r="F62" t="inlineStr">
        <is>
          <t>4001032</t>
        </is>
      </c>
      <c r="G62" t="inlineStr">
        <is>
          <t>Servicio de apoyo financiero para mejoramiento de vivienda</t>
        </is>
      </c>
      <c r="H62" t="inlineStr">
        <is>
          <t>400103200</t>
        </is>
      </c>
      <c r="I62" t="inlineStr">
        <is>
          <t>Hogares beneficiados con mejoramiento de una vivienda  </t>
        </is>
      </c>
      <c r="J62" t="inlineStr">
        <is>
          <t>2024251260014</t>
        </is>
      </c>
      <c r="K62" t="inlineStr">
        <is>
          <t>Si</t>
        </is>
      </c>
      <c r="L62" t="inlineStr">
        <is>
          <t>Número</t>
        </is>
      </c>
      <c r="M62">
        <v>320</v>
      </c>
      <c r="N62">
        <v>46</v>
      </c>
      <c r="O62">
        <v>90</v>
      </c>
      <c r="P62">
        <v>90</v>
      </c>
      <c r="Q62">
        <v>89</v>
      </c>
      <c r="R62">
        <v>46</v>
      </c>
      <c r="S62" s="103">
        <v>1</v>
      </c>
      <c r="T62" t="inlineStr">
        <is>
          <t>Se ejecutó el 100% de lo programado en la vigencia</t>
        </is>
      </c>
      <c r="U62">
        <v>30</v>
      </c>
      <c r="V62" s="104">
        <v>0.333333333333333</v>
      </c>
      <c r="W62" t="inlineStr">
        <is>
          <t>Lo ejecutado está por debajo de lo programado en la vigencia</t>
        </is>
      </c>
    </row>
    <row r="63">
      <c r="A63" t="inlineStr">
        <is>
          <t>IP-56</t>
        </is>
      </c>
      <c r="B63" t="inlineStr">
        <is>
          <t>40</t>
        </is>
      </c>
      <c r="C63" t="inlineStr">
        <is>
          <t>Vivienda, ciudad y territorio</t>
        </is>
      </c>
      <c r="D63" t="inlineStr">
        <is>
          <t>4001</t>
        </is>
      </c>
      <c r="E63" t="inlineStr">
        <is>
          <t>Acceso a soluciones de vivienda</t>
        </is>
      </c>
      <c r="F63" t="inlineStr">
        <is>
          <t>4001002</t>
        </is>
      </c>
      <c r="G63" t="inlineStr">
        <is>
          <t>Servicio de asistencia técnica en proyectos de Vivienda</t>
        </is>
      </c>
      <c r="H63" t="inlineStr">
        <is>
          <t>400100200</t>
        </is>
      </c>
      <c r="I63" t="inlineStr">
        <is>
          <t>Entidades territoriales asistidas técnicamente</t>
        </is>
      </c>
      <c r="J63" t="inlineStr">
        <is>
          <t>2024251260014</t>
        </is>
      </c>
      <c r="K63" t="inlineStr">
        <is>
          <t>No</t>
        </is>
      </c>
      <c r="L63" t="inlineStr">
        <is>
          <t>Número</t>
        </is>
      </c>
      <c r="M63">
        <v>1</v>
      </c>
      <c r="N63">
        <v>1</v>
      </c>
      <c r="O63">
        <v>1</v>
      </c>
      <c r="P63">
        <v>1</v>
      </c>
      <c r="Q63">
        <v>1</v>
      </c>
      <c r="R63">
        <v>1</v>
      </c>
      <c r="S63" s="103">
        <v>1</v>
      </c>
      <c r="T63" t="inlineStr">
        <is>
          <t>Se ejecutó el 100% de lo programado en la vigencia</t>
        </is>
      </c>
      <c r="U63">
        <v>1</v>
      </c>
      <c r="V63" s="104">
        <v>1</v>
      </c>
      <c r="W63" t="inlineStr">
        <is>
          <t>Se ejecutó el 100% de lo programado en la vigencia</t>
        </is>
      </c>
    </row>
    <row r="64">
      <c r="A64" t="inlineStr">
        <is>
          <t>IP-57</t>
        </is>
      </c>
      <c r="B64" t="inlineStr">
        <is>
          <t>40</t>
        </is>
      </c>
      <c r="C64" t="inlineStr">
        <is>
          <t>Vivienda, ciudad y territorio</t>
        </is>
      </c>
      <c r="D64" t="inlineStr">
        <is>
          <t>4002</t>
        </is>
      </c>
      <c r="E64" t="inlineStr">
        <is>
          <t>Ordenamiento territorial y desarrollo urbano</t>
        </is>
      </c>
      <c r="F64" t="inlineStr">
        <is>
          <t>4002020</t>
        </is>
      </c>
      <c r="G64" t="inlineStr">
        <is>
          <t>Espacio publico adecuado</t>
        </is>
      </c>
      <c r="H64" t="inlineStr">
        <is>
          <t>400202000</t>
        </is>
      </c>
      <c r="I64" t="inlineStr">
        <is>
          <t>Espacio publico adecuado</t>
        </is>
      </c>
      <c r="J64" t="inlineStr">
        <is>
          <t>2024251260013</t>
        </is>
      </c>
      <c r="K64" t="inlineStr">
        <is>
          <t>No</t>
        </is>
      </c>
      <c r="L64" t="inlineStr">
        <is>
          <t>Metros cuadrados</t>
        </is>
      </c>
      <c r="M64">
        <v>100</v>
      </c>
      <c r="N64">
        <v>100</v>
      </c>
      <c r="O64">
        <v>100</v>
      </c>
      <c r="P64">
        <v>100</v>
      </c>
      <c r="Q64">
        <v>100</v>
      </c>
      <c r="R64">
        <v>1</v>
      </c>
      <c r="S64" s="103">
        <v>0.01</v>
      </c>
      <c r="T64" t="inlineStr">
        <is>
          <t>Lo ejecutado está por debajo de lo programado en la vigencia</t>
        </is>
      </c>
      <c r="U64">
        <v>0.67</v>
      </c>
      <c r="V64" s="104">
        <v>0.0067</v>
      </c>
      <c r="W64" t="inlineStr">
        <is>
          <t>Lo ejecutado está por debajo de lo programado en la vigencia</t>
        </is>
      </c>
    </row>
    <row r="65">
      <c r="A65" t="inlineStr">
        <is>
          <t>IP-58</t>
        </is>
      </c>
      <c r="B65" t="inlineStr">
        <is>
          <t>40</t>
        </is>
      </c>
      <c r="C65" t="inlineStr">
        <is>
          <t>Vivienda, ciudad y territorio</t>
        </is>
      </c>
      <c r="D65" t="inlineStr">
        <is>
          <t>4002</t>
        </is>
      </c>
      <c r="E65" t="inlineStr">
        <is>
          <t>Ordenamiento territorial y desarrollo urbano</t>
        </is>
      </c>
      <c r="F65" t="inlineStr">
        <is>
          <t>4002019</t>
        </is>
      </c>
      <c r="G65" t="inlineStr">
        <is>
          <t>Espacio publico construido</t>
        </is>
      </c>
      <c r="H65" t="inlineStr">
        <is>
          <t>400201900</t>
        </is>
      </c>
      <c r="I65" t="inlineStr">
        <is>
          <t>Espacio publico construido</t>
        </is>
      </c>
      <c r="J65" t="inlineStr">
        <is>
          <t>2024251260015</t>
        </is>
      </c>
      <c r="K65" t="inlineStr">
        <is>
          <t>Si</t>
        </is>
      </c>
      <c r="L65" t="inlineStr">
        <is>
          <t>Metros cuadrados</t>
        </is>
      </c>
      <c r="M65">
        <v>1</v>
      </c>
      <c r="N65">
        <v>1</v>
      </c>
      <c r="O65">
        <v>1</v>
      </c>
      <c r="P65">
        <v>1</v>
      </c>
      <c r="Q65">
        <v>1</v>
      </c>
      <c r="R65">
        <v>300</v>
      </c>
      <c r="S65" s="103">
        <v>300</v>
      </c>
      <c r="T65" t="inlineStr">
        <is>
          <t>Hubo ejecución por encima de lo programado en SisPT</t>
        </is>
      </c>
      <c r="U65">
        <v>300</v>
      </c>
      <c r="V65" s="104">
        <v>300</v>
      </c>
      <c r="W65" t="inlineStr">
        <is>
          <t>Hubo ejecución por encima de lo programado en SisPT</t>
        </is>
      </c>
    </row>
    <row r="66">
      <c r="A66" t="inlineStr">
        <is>
          <t>IP-59</t>
        </is>
      </c>
      <c r="B66" t="inlineStr">
        <is>
          <t>40</t>
        </is>
      </c>
      <c r="C66" t="inlineStr">
        <is>
          <t>Vivienda, ciudad y territorio</t>
        </is>
      </c>
      <c r="D66" t="inlineStr">
        <is>
          <t>4002</t>
        </is>
      </c>
      <c r="E66" t="inlineStr">
        <is>
          <t>Ordenamiento territorial y desarrollo urbano</t>
        </is>
      </c>
      <c r="F66" t="inlineStr">
        <is>
          <t>4002021</t>
        </is>
      </c>
      <c r="G66" t="inlineStr">
        <is>
          <t>Parques construidos</t>
        </is>
      </c>
      <c r="H66" t="inlineStr">
        <is>
          <t>400202100</t>
        </is>
      </c>
      <c r="I66" t="inlineStr">
        <is>
          <t>Parques construidos</t>
        </is>
      </c>
      <c r="J66" t="inlineStr">
        <is>
          <t>2024251260017</t>
        </is>
      </c>
      <c r="K66" t="inlineStr">
        <is>
          <t>Si</t>
        </is>
      </c>
      <c r="L66" t="inlineStr">
        <is>
          <t>Metros cuadrados</t>
        </is>
      </c>
      <c r="M66">
        <v>1</v>
      </c>
      <c r="N66">
        <v>0.1</v>
      </c>
      <c r="O66">
        <v>0.33</v>
      </c>
      <c r="P66">
        <v>0.33</v>
      </c>
      <c r="Q66">
        <v>0.33</v>
      </c>
      <c r="R66">
        <v>1000</v>
      </c>
      <c r="S66" s="103">
        <v>10000</v>
      </c>
      <c r="T66" t="inlineStr">
        <is>
          <t>Hubo ejecución por encima de lo programado en SisPT</t>
        </is>
      </c>
      <c r="U66">
        <v>0</v>
      </c>
      <c r="V66" s="104">
        <v>0</v>
      </c>
      <c r="W66" t="inlineStr">
        <is>
          <t>No se ejecutó en la vigencia</t>
        </is>
      </c>
    </row>
    <row r="67">
      <c r="A67" t="inlineStr">
        <is>
          <t>IP-60</t>
        </is>
      </c>
      <c r="B67" t="inlineStr">
        <is>
          <t>21</t>
        </is>
      </c>
      <c r="C67" t="inlineStr">
        <is>
          <t>Minas y Energía</t>
        </is>
      </c>
      <c r="D67" t="inlineStr">
        <is>
          <t>2102</t>
        </is>
      </c>
      <c r="E67" t="inlineStr">
        <is>
          <t>Consolidación productiva del sector de energía eléctrica</t>
        </is>
      </c>
      <c r="F67" t="inlineStr">
        <is>
          <t>2102011</t>
        </is>
      </c>
      <c r="G67" t="inlineStr">
        <is>
          <t>Redes de alumbrado público con mantenimiento</t>
        </is>
      </c>
      <c r="H67" t="inlineStr">
        <is>
          <t>210201100</t>
        </is>
      </c>
      <c r="I67" t="inlineStr">
        <is>
          <t>Redes de alumbrado público con mantenimiento</t>
        </is>
      </c>
      <c r="J67" t="inlineStr">
        <is>
          <t>2024251260018</t>
        </is>
      </c>
      <c r="K67" t="inlineStr">
        <is>
          <t>No</t>
        </is>
      </c>
      <c r="L67" t="inlineStr">
        <is>
          <t xml:space="preserve">Metros </t>
        </is>
      </c>
      <c r="M67">
        <v>100</v>
      </c>
      <c r="N67">
        <v>100</v>
      </c>
      <c r="O67">
        <v>100</v>
      </c>
      <c r="P67">
        <v>100</v>
      </c>
      <c r="Q67">
        <v>100</v>
      </c>
      <c r="R67" t="inlineStr">
        <is>
          <t xml:space="preserve"> </t>
        </is>
      </c>
      <c r="S67" s="103" t="inlineStr">
        <is>
          <t xml:space="preserve"> </t>
        </is>
      </c>
      <c r="T67" t="inlineStr">
        <is>
          <t>No se encontró ejecución en PIIP</t>
        </is>
      </c>
      <c r="U67" t="inlineStr">
        <is>
          <t xml:space="preserve"> </t>
        </is>
      </c>
      <c r="V67" s="104" t="inlineStr">
        <is>
          <t xml:space="preserve"> </t>
        </is>
      </c>
      <c r="W67" t="inlineStr">
        <is>
          <t>No se encontró ejecución en PIIP</t>
        </is>
      </c>
    </row>
    <row r="68">
      <c r="A68" t="inlineStr">
        <is>
          <t>IP-61</t>
        </is>
      </c>
      <c r="B68" t="inlineStr">
        <is>
          <t>21</t>
        </is>
      </c>
      <c r="C68" t="inlineStr">
        <is>
          <t>Minas y Energía</t>
        </is>
      </c>
      <c r="D68" t="inlineStr">
        <is>
          <t>2102</t>
        </is>
      </c>
      <c r="E68" t="inlineStr">
        <is>
          <t>Consolidación productiva del sector de energía eléctrica</t>
        </is>
      </c>
      <c r="F68" t="inlineStr">
        <is>
          <t>2102010</t>
        </is>
      </c>
      <c r="G68" t="inlineStr">
        <is>
          <t>Redes de alumbrado público ampliadas</t>
        </is>
      </c>
      <c r="H68" t="inlineStr">
        <is>
          <t>210201000</t>
        </is>
      </c>
      <c r="I68" t="inlineStr">
        <is>
          <t>Redes de alumbrado público ampliadas</t>
        </is>
      </c>
      <c r="J68" t="inlineStr">
        <is>
          <t>2024251260018</t>
        </is>
      </c>
      <c r="K68" t="inlineStr">
        <is>
          <t>Si</t>
        </is>
      </c>
      <c r="L68" t="inlineStr">
        <is>
          <t xml:space="preserve">Metros </t>
        </is>
      </c>
      <c r="M68">
        <v>50</v>
      </c>
      <c r="N68">
        <v>12.5</v>
      </c>
      <c r="O68">
        <v>12.5</v>
      </c>
      <c r="P68">
        <v>12.5</v>
      </c>
      <c r="Q68">
        <v>12.5</v>
      </c>
      <c r="R68">
        <v>125</v>
      </c>
      <c r="S68" s="103">
        <v>10</v>
      </c>
      <c r="T68" t="inlineStr">
        <is>
          <t>Hubo ejecución por encima de lo programado en SisPT</t>
        </is>
      </c>
      <c r="U68">
        <v>70</v>
      </c>
      <c r="V68" s="104">
        <v>5.6</v>
      </c>
      <c r="W68" t="inlineStr">
        <is>
          <t>Hubo ejecución por encima de lo programado en SisPT</t>
        </is>
      </c>
    </row>
    <row r="69">
      <c r="A69" t="inlineStr">
        <is>
          <t>IP-62</t>
        </is>
      </c>
      <c r="B69" t="inlineStr">
        <is>
          <t>21</t>
        </is>
      </c>
      <c r="C69" t="inlineStr">
        <is>
          <t>Minas y Energía</t>
        </is>
      </c>
      <c r="D69" t="inlineStr">
        <is>
          <t>2102</t>
        </is>
      </c>
      <c r="E69" t="inlineStr">
        <is>
          <t>Consolidación productiva del sector de energía eléctrica</t>
        </is>
      </c>
      <c r="F69" t="inlineStr">
        <is>
          <t>2102063</t>
        </is>
      </c>
      <c r="G69" t="inlineStr">
        <is>
          <t>Servicios de apoyo a la implementacion de medidas de eficiencia energética</t>
        </is>
      </c>
      <c r="H69" t="inlineStr">
        <is>
          <t>210206300</t>
        </is>
      </c>
      <c r="I69" t="inlineStr">
        <is>
          <t>Usuarios beneficiados</t>
        </is>
      </c>
      <c r="J69" t="inlineStr">
        <is>
          <t>2024251260018</t>
        </is>
      </c>
      <c r="K69" t="inlineStr">
        <is>
          <t>Si</t>
        </is>
      </c>
      <c r="L69" t="inlineStr">
        <is>
          <t>Número</t>
        </is>
      </c>
      <c r="M69">
        <v>1</v>
      </c>
      <c r="N69">
        <v>0.25</v>
      </c>
      <c r="O69">
        <v>0.25</v>
      </c>
      <c r="P69">
        <v>0.25</v>
      </c>
      <c r="Q69">
        <v>0.25</v>
      </c>
      <c r="R69">
        <v>50</v>
      </c>
      <c r="S69" s="103">
        <v>200</v>
      </c>
      <c r="T69" t="inlineStr">
        <is>
          <t>Hubo ejecución por encima de lo programado en SisPT</t>
        </is>
      </c>
      <c r="U69">
        <v>23</v>
      </c>
      <c r="V69" s="104">
        <v>92</v>
      </c>
      <c r="W69" t="inlineStr">
        <is>
          <t>Hubo ejecución por encima de lo programado en SisPT</t>
        </is>
      </c>
    </row>
    <row r="70">
      <c r="A70" t="inlineStr">
        <is>
          <t>IP-63</t>
        </is>
      </c>
      <c r="B70" t="inlineStr">
        <is>
          <t>21</t>
        </is>
      </c>
      <c r="C70" t="inlineStr">
        <is>
          <t>Minas y Energía</t>
        </is>
      </c>
      <c r="D70" t="inlineStr">
        <is>
          <t>2102</t>
        </is>
      </c>
      <c r="E70" t="inlineStr">
        <is>
          <t>Consolidación productiva del sector de energía eléctrica</t>
        </is>
      </c>
      <c r="F70" t="inlineStr">
        <is>
          <t>2102015</t>
        </is>
      </c>
      <c r="G70" t="inlineStr">
        <is>
          <t>Redes del sistema de distribución local construida</t>
        </is>
      </c>
      <c r="H70" t="inlineStr">
        <is>
          <t>210201500</t>
        </is>
      </c>
      <c r="I70" t="inlineStr">
        <is>
          <t>Redes del sistema de distribución local construida</t>
        </is>
      </c>
      <c r="J70" t="inlineStr">
        <is>
          <t>2024251260018</t>
        </is>
      </c>
      <c r="K70" t="inlineStr">
        <is>
          <t>Si</t>
        </is>
      </c>
      <c r="L70" t="inlineStr">
        <is>
          <t>Kilómetros</t>
        </is>
      </c>
      <c r="M70">
        <v>1</v>
      </c>
      <c r="N70">
        <v>0.25</v>
      </c>
      <c r="O70">
        <v>0.25</v>
      </c>
      <c r="P70">
        <v>0.25</v>
      </c>
      <c r="Q70">
        <v>0.25</v>
      </c>
      <c r="R70">
        <v>0.02</v>
      </c>
      <c r="S70" s="103">
        <v>0.08</v>
      </c>
      <c r="T70" t="inlineStr">
        <is>
          <t>Lo ejecutado está por debajo de lo programado en la vigencia</t>
        </is>
      </c>
      <c r="U70">
        <v>0.0075</v>
      </c>
      <c r="V70" s="104">
        <v>0.03</v>
      </c>
      <c r="W70" t="inlineStr">
        <is>
          <t>Lo ejecutado está por debajo de lo programado en la vigencia</t>
        </is>
      </c>
    </row>
    <row r="71">
      <c r="A71" t="inlineStr">
        <is>
          <t>IP-64</t>
        </is>
      </c>
      <c r="B71" t="inlineStr">
        <is>
          <t>41</t>
        </is>
      </c>
      <c r="C71" t="inlineStr">
        <is>
          <t xml:space="preserve">Inclusión social y reconciliación </t>
        </is>
      </c>
      <c r="D71" t="inlineStr">
        <is>
          <t>4102</t>
        </is>
      </c>
      <c r="E71" t="inlineStr">
        <is>
          <t>Desarrollo integral de la primera infancia a la juventud, y fortalecimiento de las capacidades de las familias de niñas, niños y adolescentes</t>
        </is>
      </c>
      <c r="F71" t="inlineStr">
        <is>
          <t>4102035</t>
        </is>
      </c>
      <c r="G71" t="inlineStr">
        <is>
          <t>Documentos de lineamientos técnicos</t>
        </is>
      </c>
      <c r="H71" t="inlineStr">
        <is>
          <t>410203500</t>
        </is>
      </c>
      <c r="I71" t="inlineStr">
        <is>
          <t>Documentos de lineamientos técnicos realizados</t>
        </is>
      </c>
      <c r="J71" t="inlineStr">
        <is>
          <t>2024251260019</t>
        </is>
      </c>
      <c r="K71" t="inlineStr">
        <is>
          <t>No</t>
        </is>
      </c>
      <c r="L71" t="inlineStr">
        <is>
          <t>Número</t>
        </is>
      </c>
      <c r="M71">
        <v>100</v>
      </c>
      <c r="N71">
        <v>100</v>
      </c>
      <c r="O71">
        <v>100</v>
      </c>
      <c r="P71">
        <v>100</v>
      </c>
      <c r="Q71">
        <v>100</v>
      </c>
      <c r="R71" t="inlineStr">
        <is>
          <t xml:space="preserve"> </t>
        </is>
      </c>
      <c r="S71" s="103" t="inlineStr">
        <is>
          <t xml:space="preserve"> </t>
        </is>
      </c>
      <c r="T71" t="inlineStr">
        <is>
          <t>No se encontró ejecución en PIIP</t>
        </is>
      </c>
      <c r="U71">
        <v>0.496</v>
      </c>
      <c r="V71" s="104">
        <v>0.00496</v>
      </c>
      <c r="W71" t="inlineStr">
        <is>
          <t>Lo ejecutado está por debajo de lo programado en la vigencia</t>
        </is>
      </c>
    </row>
    <row r="72">
      <c r="A72" t="inlineStr">
        <is>
          <t>IP-65</t>
        </is>
      </c>
      <c r="B72" t="inlineStr">
        <is>
          <t>41</t>
        </is>
      </c>
      <c r="C72" t="inlineStr">
        <is>
          <t xml:space="preserve">Inclusión social y reconciliación </t>
        </is>
      </c>
      <c r="D72" t="inlineStr">
        <is>
          <t>4102</t>
        </is>
      </c>
      <c r="E72" t="inlineStr">
        <is>
          <t>Desarrollo integral de la primera infancia a la juventud, y fortalecimiento de las capacidades de las familias de niñas, niños y adolescentes</t>
        </is>
      </c>
      <c r="F72" t="inlineStr">
        <is>
          <t>4102001</t>
        </is>
      </c>
      <c r="G72" t="inlineStr">
        <is>
          <t>Servicio de atención integral a la primera infancia</t>
        </is>
      </c>
      <c r="H72" t="inlineStr">
        <is>
          <t>410200101</t>
        </is>
      </c>
      <c r="I72" t="inlineStr">
        <is>
          <t>Niños y niñas atendidos con servicio integrales en salud</t>
        </is>
      </c>
      <c r="J72" t="inlineStr">
        <is>
          <t>2024251260019</t>
        </is>
      </c>
      <c r="K72" t="inlineStr">
        <is>
          <t>Si</t>
        </is>
      </c>
      <c r="L72" t="inlineStr">
        <is>
          <t>Número</t>
        </is>
      </c>
      <c r="M72">
        <v>1</v>
      </c>
      <c r="N72">
        <v>0.25</v>
      </c>
      <c r="O72">
        <v>0.25</v>
      </c>
      <c r="P72">
        <v>0.25</v>
      </c>
      <c r="Q72">
        <v>0.25</v>
      </c>
      <c r="R72" t="inlineStr">
        <is>
          <t xml:space="preserve"> </t>
        </is>
      </c>
      <c r="S72" s="103" t="inlineStr">
        <is>
          <t xml:space="preserve"> </t>
        </is>
      </c>
      <c r="T72" t="inlineStr">
        <is>
          <t>No se encontró ejecución en PIIP</t>
        </is>
      </c>
      <c r="U72" t="inlineStr">
        <is>
          <t xml:space="preserve"> </t>
        </is>
      </c>
      <c r="V72" s="104" t="inlineStr">
        <is>
          <t xml:space="preserve"> </t>
        </is>
      </c>
      <c r="W72" t="inlineStr">
        <is>
          <t>No se encontró ejecución en PIIP</t>
        </is>
      </c>
    </row>
    <row r="73">
      <c r="A73" t="inlineStr">
        <is>
          <t>IP-66</t>
        </is>
      </c>
      <c r="B73" t="inlineStr">
        <is>
          <t>41</t>
        </is>
      </c>
      <c r="C73" t="inlineStr">
        <is>
          <t xml:space="preserve">Inclusión social y reconciliación </t>
        </is>
      </c>
      <c r="D73" t="inlineStr">
        <is>
          <t>4102</t>
        </is>
      </c>
      <c r="E73" t="inlineStr">
        <is>
          <t>Desarrollo integral de la primera infancia a la juventud, y fortalecimiento de las capacidades de las familias de niñas, niños y adolescentes</t>
        </is>
      </c>
      <c r="F73" t="inlineStr">
        <is>
          <t>4102002</t>
        </is>
      </c>
      <c r="G73" t="inlineStr">
        <is>
          <t>Servicio de atención tradicional a la primera infancia</t>
        </is>
      </c>
      <c r="H73" t="inlineStr">
        <is>
          <t>410200200</t>
        </is>
      </c>
      <c r="I73" t="inlineStr">
        <is>
          <t>Niños y niñas atendidos en Servicio tradicionales</t>
        </is>
      </c>
      <c r="J73" t="inlineStr">
        <is>
          <t>2024251260019</t>
        </is>
      </c>
      <c r="K73" t="inlineStr">
        <is>
          <t>No</t>
        </is>
      </c>
      <c r="L73" t="inlineStr">
        <is>
          <t>Número</t>
        </is>
      </c>
      <c r="M73">
        <v>16</v>
      </c>
      <c r="N73">
        <v>16</v>
      </c>
      <c r="O73">
        <v>16</v>
      </c>
      <c r="P73">
        <v>16</v>
      </c>
      <c r="Q73">
        <v>16</v>
      </c>
      <c r="R73">
        <v>2000</v>
      </c>
      <c r="S73" s="103">
        <v>125</v>
      </c>
      <c r="T73" t="inlineStr">
        <is>
          <t>Hubo ejecución por encima de lo programado en SisPT</t>
        </is>
      </c>
      <c r="U73">
        <v>887</v>
      </c>
      <c r="V73" s="104">
        <v>55.4375</v>
      </c>
      <c r="W73" t="inlineStr">
        <is>
          <t>Hubo ejecución por encima de lo programado en SisPT</t>
        </is>
      </c>
    </row>
    <row r="74">
      <c r="A74" t="inlineStr">
        <is>
          <t>IP-67, IP-68</t>
        </is>
      </c>
      <c r="B74" t="inlineStr">
        <is>
          <t>41</t>
        </is>
      </c>
      <c r="C74" t="inlineStr">
        <is>
          <t xml:space="preserve">Inclusión social y reconciliación </t>
        </is>
      </c>
      <c r="D74" t="inlineStr">
        <is>
          <t>4102</t>
        </is>
      </c>
      <c r="E74" t="inlineStr">
        <is>
          <t>Desarrollo integral de la primera infancia a la juventud, y fortalecimiento de las capacidades de las familias de niñas, niños y adolescentes</t>
        </is>
      </c>
      <c r="F74" t="inlineStr">
        <is>
          <t>4102001</t>
        </is>
      </c>
      <c r="G74" t="inlineStr">
        <is>
          <t>Servicio de atención integral a la primera infancia</t>
        </is>
      </c>
      <c r="H74" t="inlineStr">
        <is>
          <t>410200100</t>
        </is>
      </c>
      <c r="I74" t="inlineStr">
        <is>
          <t>Niños y niñas atendidos en Servicio integrales</t>
        </is>
      </c>
      <c r="J74" t="inlineStr">
        <is>
          <t>2024251260019</t>
        </is>
      </c>
      <c r="K74" t="inlineStr">
        <is>
          <t>No</t>
        </is>
      </c>
      <c r="L74" t="inlineStr">
        <is>
          <t>Número</t>
        </is>
      </c>
      <c r="M74">
        <v>101</v>
      </c>
      <c r="N74">
        <v>101</v>
      </c>
      <c r="O74">
        <v>101</v>
      </c>
      <c r="P74">
        <v>101</v>
      </c>
      <c r="Q74">
        <v>101</v>
      </c>
      <c r="R74">
        <v>2000</v>
      </c>
      <c r="S74" s="103">
        <v>19.8019801980198</v>
      </c>
      <c r="T74" t="inlineStr">
        <is>
          <t>Hubo ejecución por encima de lo programado en SisPT</t>
        </is>
      </c>
      <c r="U74">
        <v>15</v>
      </c>
      <c r="V74" s="104">
        <v>0.148514851485149</v>
      </c>
      <c r="W74" t="inlineStr">
        <is>
          <t>Lo ejecutado está por debajo de lo programado en la vigencia</t>
        </is>
      </c>
    </row>
    <row r="75">
      <c r="A75" t="inlineStr">
        <is>
          <t>IP-69</t>
        </is>
      </c>
      <c r="B75" t="inlineStr">
        <is>
          <t>41</t>
        </is>
      </c>
      <c r="C75" t="inlineStr">
        <is>
          <t xml:space="preserve">Inclusión social y reconciliación </t>
        </is>
      </c>
      <c r="D75" t="inlineStr">
        <is>
          <t>4102</t>
        </is>
      </c>
      <c r="E75" t="inlineStr">
        <is>
          <t>Desarrollo integral de la primera infancia a la juventud, y fortalecimiento de las capacidades de las familias de niñas, niños y adolescentes</t>
        </is>
      </c>
      <c r="F75" t="inlineStr">
        <is>
          <t>4102035</t>
        </is>
      </c>
      <c r="G75" t="inlineStr">
        <is>
          <t>Documentos de lineamientos técnicos</t>
        </is>
      </c>
      <c r="H75" t="inlineStr">
        <is>
          <t>410203500</t>
        </is>
      </c>
      <c r="I75" t="inlineStr">
        <is>
          <t>Documentos de lineamientos técnicos realizados</t>
        </is>
      </c>
      <c r="J75" t="inlineStr">
        <is>
          <t>2024251260020</t>
        </is>
      </c>
      <c r="K75" t="inlineStr">
        <is>
          <t>No</t>
        </is>
      </c>
      <c r="L75" t="inlineStr">
        <is>
          <t>Número</t>
        </is>
      </c>
      <c r="M75">
        <v>100</v>
      </c>
      <c r="N75">
        <v>100</v>
      </c>
      <c r="O75">
        <v>100</v>
      </c>
      <c r="P75">
        <v>100</v>
      </c>
      <c r="Q75">
        <v>100</v>
      </c>
      <c r="R75" t="inlineStr">
        <is>
          <t xml:space="preserve"> </t>
        </is>
      </c>
      <c r="S75" s="103" t="inlineStr">
        <is>
          <t xml:space="preserve"> </t>
        </is>
      </c>
      <c r="T75" t="inlineStr">
        <is>
          <t>No se encontró ejecución en PIIP</t>
        </is>
      </c>
      <c r="U75" t="inlineStr">
        <is>
          <t xml:space="preserve"> </t>
        </is>
      </c>
      <c r="V75" s="104" t="inlineStr">
        <is>
          <t xml:space="preserve"> </t>
        </is>
      </c>
      <c r="W75" t="inlineStr">
        <is>
          <t>No se encontró ejecución en PIIP</t>
        </is>
      </c>
    </row>
    <row r="76">
      <c r="A76" t="inlineStr">
        <is>
          <t>IP-70</t>
        </is>
      </c>
      <c r="B76" t="inlineStr">
        <is>
          <t>41</t>
        </is>
      </c>
      <c r="C76" t="inlineStr">
        <is>
          <t xml:space="preserve">Inclusión social y reconciliación </t>
        </is>
      </c>
      <c r="D76" t="inlineStr">
        <is>
          <t>4102</t>
        </is>
      </c>
      <c r="E76" t="inlineStr">
        <is>
          <t>Desarrollo integral de la primera infancia a la juventud, y fortalecimiento de las capacidades de las familias de niñas, niños y adolescentes</t>
        </is>
      </c>
      <c r="F76" t="inlineStr">
        <is>
          <t>4102052</t>
        </is>
      </c>
      <c r="G76" t="inlineStr">
        <is>
          <t>Servicio de protección integral a niños, niñas, adolescentes y jóvenes</t>
        </is>
      </c>
      <c r="H76" t="inlineStr">
        <is>
          <t>410205200</t>
        </is>
      </c>
      <c r="I76" t="inlineStr">
        <is>
          <t>Niños, niñas, adolescentes y jóvenes beneficiados</t>
        </is>
      </c>
      <c r="J76" t="inlineStr">
        <is>
          <t>2024251260020</t>
        </is>
      </c>
      <c r="K76" t="inlineStr">
        <is>
          <t>No</t>
        </is>
      </c>
      <c r="L76" t="inlineStr">
        <is>
          <t>Número</t>
        </is>
      </c>
      <c r="M76">
        <v>1</v>
      </c>
      <c r="N76">
        <v>1</v>
      </c>
      <c r="O76">
        <v>1</v>
      </c>
      <c r="P76">
        <v>1</v>
      </c>
      <c r="Q76">
        <v>1</v>
      </c>
      <c r="R76" t="inlineStr">
        <is>
          <t xml:space="preserve"> </t>
        </is>
      </c>
      <c r="S76" s="103" t="inlineStr">
        <is>
          <t xml:space="preserve"> </t>
        </is>
      </c>
      <c r="T76" t="inlineStr">
        <is>
          <t>No se encontró ejecución en PIIP</t>
        </is>
      </c>
      <c r="U76" t="inlineStr">
        <is>
          <t xml:space="preserve"> </t>
        </is>
      </c>
      <c r="V76" s="104" t="inlineStr">
        <is>
          <t xml:space="preserve"> </t>
        </is>
      </c>
      <c r="W76" t="inlineStr">
        <is>
          <t>No se encontró ejecución en PIIP</t>
        </is>
      </c>
    </row>
    <row r="77">
      <c r="A77" t="inlineStr">
        <is>
          <t>IP-71</t>
        </is>
      </c>
      <c r="B77" t="inlineStr">
        <is>
          <t>41</t>
        </is>
      </c>
      <c r="C77" t="inlineStr">
        <is>
          <t xml:space="preserve">Inclusión social y reconciliación </t>
        </is>
      </c>
      <c r="D77" t="inlineStr">
        <is>
          <t>4102</t>
        </is>
      </c>
      <c r="E77" t="inlineStr">
        <is>
          <t>Desarrollo integral de la primera infancia a la juventud, y fortalecimiento de las capacidades de las familias de niñas, niños y adolescentes</t>
        </is>
      </c>
      <c r="F77" t="inlineStr">
        <is>
          <t>4102052</t>
        </is>
      </c>
      <c r="G77" t="inlineStr">
        <is>
          <t>Servicio de protección integral a niños, niñas, adolescentes y jóvenes</t>
        </is>
      </c>
      <c r="H77" t="inlineStr">
        <is>
          <t>410205202</t>
        </is>
      </c>
      <c r="I77" t="inlineStr">
        <is>
          <t>Niños, niñas, adolescentes y jóvenes beneficiados con acciones de prevención de amenazas o vulneración de derechos</t>
        </is>
      </c>
      <c r="J77" t="inlineStr">
        <is>
          <t>2024251260020</t>
        </is>
      </c>
      <c r="K77" t="inlineStr">
        <is>
          <t>No</t>
        </is>
      </c>
      <c r="L77" t="inlineStr">
        <is>
          <t>Número</t>
        </is>
      </c>
      <c r="M77">
        <v>1</v>
      </c>
      <c r="N77">
        <v>1</v>
      </c>
      <c r="O77">
        <v>1</v>
      </c>
      <c r="P77">
        <v>1</v>
      </c>
      <c r="Q77">
        <v>1</v>
      </c>
      <c r="R77" t="inlineStr">
        <is>
          <t xml:space="preserve"> </t>
        </is>
      </c>
      <c r="S77" s="103" t="inlineStr">
        <is>
          <t xml:space="preserve"> </t>
        </is>
      </c>
      <c r="T77" t="inlineStr">
        <is>
          <t>No se encontró ejecución en PIIP</t>
        </is>
      </c>
      <c r="U77" t="inlineStr">
        <is>
          <t xml:space="preserve"> </t>
        </is>
      </c>
      <c r="V77" s="104" t="inlineStr">
        <is>
          <t xml:space="preserve"> </t>
        </is>
      </c>
      <c r="W77" t="inlineStr">
        <is>
          <t>No se encontró ejecución en PIIP</t>
        </is>
      </c>
    </row>
    <row r="78">
      <c r="A78" t="inlineStr">
        <is>
          <t>IP-72</t>
        </is>
      </c>
      <c r="B78" t="inlineStr">
        <is>
          <t>41</t>
        </is>
      </c>
      <c r="C78" t="inlineStr">
        <is>
          <t xml:space="preserve">Inclusión social y reconciliación </t>
        </is>
      </c>
      <c r="D78" t="inlineStr">
        <is>
          <t>4102</t>
        </is>
      </c>
      <c r="E78" t="inlineStr">
        <is>
          <t>Desarrollo integral de la primera infancia a la juventud, y fortalecimiento de las capacidades de las familias de niñas, niños y adolescentes</t>
        </is>
      </c>
      <c r="F78" t="inlineStr">
        <is>
          <t>4102052</t>
        </is>
      </c>
      <c r="G78" t="inlineStr">
        <is>
          <t>Servicio de protección integral a niños, niñas, adolescentes y jóvenes</t>
        </is>
      </c>
      <c r="H78" t="inlineStr">
        <is>
          <t>410205201</t>
        </is>
      </c>
      <c r="I78" t="inlineStr">
        <is>
          <t>Niños, niñas, adolescentes y jóvenes beneficiados con acciones de restablecimiento de derechos</t>
        </is>
      </c>
      <c r="J78" t="inlineStr">
        <is>
          <t>2024251260020</t>
        </is>
      </c>
      <c r="K78" t="inlineStr">
        <is>
          <t>No</t>
        </is>
      </c>
      <c r="L78" t="inlineStr">
        <is>
          <t>Número</t>
        </is>
      </c>
      <c r="M78">
        <v>100</v>
      </c>
      <c r="N78">
        <v>100</v>
      </c>
      <c r="O78">
        <v>100</v>
      </c>
      <c r="P78">
        <v>100</v>
      </c>
      <c r="Q78">
        <v>100</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IP-73</t>
        </is>
      </c>
      <c r="B79" t="inlineStr">
        <is>
          <t>41</t>
        </is>
      </c>
      <c r="C79" t="inlineStr">
        <is>
          <t xml:space="preserve">Inclusión social y reconciliación </t>
        </is>
      </c>
      <c r="D79" t="inlineStr">
        <is>
          <t>4102</t>
        </is>
      </c>
      <c r="E79" t="inlineStr">
        <is>
          <t>Desarrollo integral de la primera infancia a la juventud, y fortalecimiento de las capacidades de las familias de niñas, niños y adolescentes</t>
        </is>
      </c>
      <c r="F79" t="inlineStr">
        <is>
          <t>4102042</t>
        </is>
      </c>
      <c r="G79" t="inlineStr">
        <is>
          <t>Servicio de asistencia técnica a comunidades en temas de fortalecimiento del tejido social y construcción de escenarios comunitarios protectores de derechos</t>
        </is>
      </c>
      <c r="H79" t="inlineStr">
        <is>
          <t>410204200</t>
        </is>
      </c>
      <c r="I79" t="inlineStr">
        <is>
          <t>Acciones ejecutadas con las comunidades</t>
        </is>
      </c>
      <c r="J79" t="inlineStr">
        <is>
          <t>2024251260020</t>
        </is>
      </c>
      <c r="K79" t="inlineStr">
        <is>
          <t>No</t>
        </is>
      </c>
      <c r="L79" t="inlineStr">
        <is>
          <t>Número</t>
        </is>
      </c>
      <c r="M79">
        <v>1</v>
      </c>
      <c r="N79">
        <v>1</v>
      </c>
      <c r="O79">
        <v>1</v>
      </c>
      <c r="P79">
        <v>1</v>
      </c>
      <c r="Q79">
        <v>1</v>
      </c>
      <c r="R79" t="inlineStr">
        <is>
          <t xml:space="preserve"> </t>
        </is>
      </c>
      <c r="S79" s="103" t="inlineStr">
        <is>
          <t xml:space="preserve"> </t>
        </is>
      </c>
      <c r="T79" t="inlineStr">
        <is>
          <t>No se encontró ejecución en PIIP</t>
        </is>
      </c>
      <c r="U79" t="inlineStr">
        <is>
          <t xml:space="preserve"> </t>
        </is>
      </c>
      <c r="V79" s="104" t="inlineStr">
        <is>
          <t xml:space="preserve"> </t>
        </is>
      </c>
      <c r="W79" t="inlineStr">
        <is>
          <t>No se encontró ejecución en PIIP</t>
        </is>
      </c>
    </row>
    <row r="80">
      <c r="A80" t="inlineStr">
        <is>
          <t>IP-74</t>
        </is>
      </c>
      <c r="B80" t="inlineStr">
        <is>
          <t>41</t>
        </is>
      </c>
      <c r="C80" t="inlineStr">
        <is>
          <t xml:space="preserve">Inclusión social y reconciliación </t>
        </is>
      </c>
      <c r="D80" t="inlineStr">
        <is>
          <t>4102</t>
        </is>
      </c>
      <c r="E80" t="inlineStr">
        <is>
          <t>Desarrollo integral de la primera infancia a la juventud, y fortalecimiento de las capacidades de las familias de niñas, niños y adolescentes</t>
        </is>
      </c>
      <c r="F80" t="inlineStr">
        <is>
          <t>4102042</t>
        </is>
      </c>
      <c r="G80" t="inlineStr">
        <is>
          <t>Servicio de asistencia técnica a comunidades en temas de fortalecimiento del tejido social y construcción de escenarios comunitarios protectores de derechos</t>
        </is>
      </c>
      <c r="H80" t="inlineStr">
        <is>
          <t>410204201</t>
        </is>
      </c>
      <c r="I80" t="inlineStr">
        <is>
          <t>Comunidades participantes</t>
        </is>
      </c>
      <c r="J80" t="inlineStr">
        <is>
          <t>2024251260020</t>
        </is>
      </c>
      <c r="K80" t="inlineStr">
        <is>
          <t>No</t>
        </is>
      </c>
      <c r="L80" t="inlineStr">
        <is>
          <t>Número</t>
        </is>
      </c>
      <c r="M80">
        <v>2</v>
      </c>
      <c r="N80">
        <v>2</v>
      </c>
      <c r="O80">
        <v>2</v>
      </c>
      <c r="P80">
        <v>2</v>
      </c>
      <c r="Q80">
        <v>2</v>
      </c>
      <c r="R80" t="inlineStr">
        <is>
          <t xml:space="preserve"> </t>
        </is>
      </c>
      <c r="S80" s="103" t="inlineStr">
        <is>
          <t xml:space="preserve"> </t>
        </is>
      </c>
      <c r="T80" t="inlineStr">
        <is>
          <t>No se encontró ejecución en PIIP</t>
        </is>
      </c>
      <c r="U80" t="inlineStr">
        <is>
          <t xml:space="preserve"> </t>
        </is>
      </c>
      <c r="V80" s="104" t="inlineStr">
        <is>
          <t xml:space="preserve"> </t>
        </is>
      </c>
      <c r="W80" t="inlineStr">
        <is>
          <t>No se encontró ejecución en PIIP</t>
        </is>
      </c>
    </row>
    <row r="81">
      <c r="A81" t="inlineStr">
        <is>
          <t>IP-75</t>
        </is>
      </c>
      <c r="B81" t="inlineStr">
        <is>
          <t>41</t>
        </is>
      </c>
      <c r="C81" t="inlineStr">
        <is>
          <t xml:space="preserve">Inclusión social y reconciliación </t>
        </is>
      </c>
      <c r="D81" t="inlineStr">
        <is>
          <t>4102</t>
        </is>
      </c>
      <c r="E81" t="inlineStr">
        <is>
          <t>Desarrollo integral de la primera infancia a la juventud, y fortalecimiento de las capacidades de las familias de niñas, niños y adolescentes</t>
        </is>
      </c>
      <c r="F81" t="inlineStr">
        <is>
          <t>4102045</t>
        </is>
      </c>
      <c r="G81" t="inlineStr">
        <is>
          <t>Servicios de educación informal a niños, niñas, adolescentes  y jóvenes para el reconocimiento de sus derechos</t>
        </is>
      </c>
      <c r="H81" t="inlineStr">
        <is>
          <t>410204500</t>
        </is>
      </c>
      <c r="I81" t="inlineStr">
        <is>
          <t>Personas capacitadas</t>
        </is>
      </c>
      <c r="J81" t="inlineStr">
        <is>
          <t>2024251260020</t>
        </is>
      </c>
      <c r="K81" t="inlineStr">
        <is>
          <t>No</t>
        </is>
      </c>
      <c r="L81" t="inlineStr">
        <is>
          <t>Número</t>
        </is>
      </c>
      <c r="M81">
        <v>100</v>
      </c>
      <c r="N81">
        <v>100</v>
      </c>
      <c r="O81">
        <v>100</v>
      </c>
      <c r="P81">
        <v>100</v>
      </c>
      <c r="Q81">
        <v>100</v>
      </c>
      <c r="R81">
        <v>500</v>
      </c>
      <c r="S81" s="103">
        <v>5</v>
      </c>
      <c r="T81" t="inlineStr">
        <is>
          <t>Hubo ejecución por encima de lo programado en SisPT</t>
        </is>
      </c>
      <c r="U81">
        <v>300</v>
      </c>
      <c r="V81" s="104">
        <v>3</v>
      </c>
      <c r="W81" t="inlineStr">
        <is>
          <t>Hubo ejecución por encima de lo programado en SisPT</t>
        </is>
      </c>
    </row>
    <row r="82">
      <c r="A82" t="inlineStr">
        <is>
          <t>IP-76</t>
        </is>
      </c>
      <c r="B82" t="inlineStr">
        <is>
          <t>41</t>
        </is>
      </c>
      <c r="C82" t="inlineStr">
        <is>
          <t xml:space="preserve">Inclusión social y reconciliación </t>
        </is>
      </c>
      <c r="D82" t="inlineStr">
        <is>
          <t>4102</t>
        </is>
      </c>
      <c r="E82" t="inlineStr">
        <is>
          <t>Desarrollo integral de la primera infancia a la juventud, y fortalecimiento de las capacidades de las familias de niñas, niños y adolescentes</t>
        </is>
      </c>
      <c r="F82" t="inlineStr">
        <is>
          <t>4102043</t>
        </is>
      </c>
      <c r="G82" t="inlineStr">
        <is>
          <t>Servicio de promoción de temas de dinámica relacional y desarrollo autónomo</t>
        </is>
      </c>
      <c r="H82" t="inlineStr">
        <is>
          <t>410204301</t>
        </is>
      </c>
      <c r="I82" t="inlineStr">
        <is>
          <t>Niños, niñas y adolescentes atendidos</t>
        </is>
      </c>
      <c r="J82" t="inlineStr">
        <is>
          <t>2024251260020</t>
        </is>
      </c>
      <c r="K82" t="inlineStr">
        <is>
          <t>Si</t>
        </is>
      </c>
      <c r="L82" t="inlineStr">
        <is>
          <t>Número</t>
        </is>
      </c>
      <c r="M82">
        <v>1</v>
      </c>
      <c r="N82">
        <v>0.25</v>
      </c>
      <c r="O82">
        <v>0.25</v>
      </c>
      <c r="P82">
        <v>0.25</v>
      </c>
      <c r="Q82">
        <v>0.25</v>
      </c>
      <c r="R82" t="inlineStr">
        <is>
          <t xml:space="preserve"> </t>
        </is>
      </c>
      <c r="S82" s="103" t="inlineStr">
        <is>
          <t xml:space="preserve"> </t>
        </is>
      </c>
      <c r="T82" t="inlineStr">
        <is>
          <t>No se encontró ejecución en PIIP</t>
        </is>
      </c>
      <c r="U82" t="inlineStr">
        <is>
          <t xml:space="preserve"> </t>
        </is>
      </c>
      <c r="V82" s="104" t="inlineStr">
        <is>
          <t xml:space="preserve"> </t>
        </is>
      </c>
      <c r="W82" t="inlineStr">
        <is>
          <t>No se encontró ejecución en PIIP</t>
        </is>
      </c>
    </row>
    <row r="83">
      <c r="A83" t="inlineStr">
        <is>
          <t>IP-77</t>
        </is>
      </c>
      <c r="B83" t="inlineStr">
        <is>
          <t>41</t>
        </is>
      </c>
      <c r="C83" t="inlineStr">
        <is>
          <t xml:space="preserve">Inclusión social y reconciliación </t>
        </is>
      </c>
      <c r="D83" t="inlineStr">
        <is>
          <t>4102</t>
        </is>
      </c>
      <c r="E83" t="inlineStr">
        <is>
          <t>Desarrollo integral de la primera infancia a la juventud, y fortalecimiento de las capacidades de las familias de niñas, niños y adolescentes</t>
        </is>
      </c>
      <c r="F83" t="inlineStr">
        <is>
          <t>4102045</t>
        </is>
      </c>
      <c r="G83" t="inlineStr">
        <is>
          <t>Servicios de educación informal a niños, niñas, adolescentes  y jóvenes para el reconocimiento de sus derechos</t>
        </is>
      </c>
      <c r="H83" t="inlineStr">
        <is>
          <t>410204501</t>
        </is>
      </c>
      <c r="I83" t="inlineStr">
        <is>
          <t>Adolescentes atendidos</t>
        </is>
      </c>
      <c r="J83" t="inlineStr">
        <is>
          <t>2024251260020</t>
        </is>
      </c>
      <c r="K83" t="inlineStr">
        <is>
          <t>No</t>
        </is>
      </c>
      <c r="L83" t="inlineStr">
        <is>
          <t>Número</t>
        </is>
      </c>
      <c r="M83">
        <v>1</v>
      </c>
      <c r="N83">
        <v>1</v>
      </c>
      <c r="O83">
        <v>1</v>
      </c>
      <c r="P83">
        <v>1</v>
      </c>
      <c r="Q83">
        <v>1</v>
      </c>
      <c r="R83" t="inlineStr">
        <is>
          <t xml:space="preserve"> </t>
        </is>
      </c>
      <c r="S83" s="103" t="inlineStr">
        <is>
          <t xml:space="preserve"> </t>
        </is>
      </c>
      <c r="T83" t="inlineStr">
        <is>
          <t>No se encontró ejecución en PIIP</t>
        </is>
      </c>
      <c r="U83" t="inlineStr">
        <is>
          <t xml:space="preserve"> </t>
        </is>
      </c>
      <c r="V83" s="104" t="inlineStr">
        <is>
          <t xml:space="preserve"> </t>
        </is>
      </c>
      <c r="W83" t="inlineStr">
        <is>
          <t>No se encontró ejecución en PIIP</t>
        </is>
      </c>
    </row>
    <row r="84">
      <c r="A84" t="inlineStr">
        <is>
          <t>IP-78</t>
        </is>
      </c>
      <c r="B84" t="inlineStr">
        <is>
          <t>41</t>
        </is>
      </c>
      <c r="C84" t="inlineStr">
        <is>
          <t xml:space="preserve">Inclusión social y reconciliación </t>
        </is>
      </c>
      <c r="D84" t="inlineStr">
        <is>
          <t>4102</t>
        </is>
      </c>
      <c r="E84" t="inlineStr">
        <is>
          <t>Desarrollo integral de la primera infancia a la juventud, y fortalecimiento de las capacidades de las familias de niñas, niños y adolescentes</t>
        </is>
      </c>
      <c r="F84" t="inlineStr">
        <is>
          <t>4102028</t>
        </is>
      </c>
      <c r="G84" t="inlineStr">
        <is>
          <t>Centros de Atención Especializada - CAE para el restablecimiento de derechos dotados</t>
        </is>
      </c>
      <c r="H84" t="inlineStr">
        <is>
          <t>410202800</t>
        </is>
      </c>
      <c r="I84" t="inlineStr">
        <is>
          <t>Centros de Atención Especializada - CAE para el restablecimiento de derechos dotados</t>
        </is>
      </c>
      <c r="J84" t="inlineStr">
        <is>
          <t>2024251260020</t>
        </is>
      </c>
      <c r="K84" t="inlineStr">
        <is>
          <t>No</t>
        </is>
      </c>
      <c r="L84" t="inlineStr">
        <is>
          <t>Número</t>
        </is>
      </c>
      <c r="M84">
        <v>100</v>
      </c>
      <c r="N84">
        <v>100</v>
      </c>
      <c r="O84">
        <v>100</v>
      </c>
      <c r="P84">
        <v>100</v>
      </c>
      <c r="Q84">
        <v>100</v>
      </c>
      <c r="R84">
        <v>1</v>
      </c>
      <c r="S84" s="103">
        <v>0.01</v>
      </c>
      <c r="T84" t="inlineStr">
        <is>
          <t>Lo ejecutado está por debajo de lo programado en la vigencia</t>
        </is>
      </c>
      <c r="U84">
        <v>0.57</v>
      </c>
      <c r="V84" s="104">
        <v>0.0057</v>
      </c>
      <c r="W84" t="inlineStr">
        <is>
          <t>Lo ejecutado está por debajo de lo programado en la vigencia</t>
        </is>
      </c>
    </row>
    <row r="85">
      <c r="A85" t="inlineStr">
        <is>
          <t>IP-79</t>
        </is>
      </c>
      <c r="B85" t="inlineStr">
        <is>
          <t>41</t>
        </is>
      </c>
      <c r="C85" t="inlineStr">
        <is>
          <t xml:space="preserve">Inclusión social y reconciliación </t>
        </is>
      </c>
      <c r="D85" t="inlineStr">
        <is>
          <t>4102</t>
        </is>
      </c>
      <c r="E85" t="inlineStr">
        <is>
          <t>Desarrollo integral de la primera infancia a la juventud, y fortalecimiento de las capacidades de las familias de niñas, niños y adolescentes</t>
        </is>
      </c>
      <c r="F85" t="inlineStr">
        <is>
          <t>4102051</t>
        </is>
      </c>
      <c r="G85" t="inlineStr">
        <is>
          <t>Documentos de planeación</t>
        </is>
      </c>
      <c r="H85" t="inlineStr">
        <is>
          <t>410205100</t>
        </is>
      </c>
      <c r="I85" t="inlineStr">
        <is>
          <t>Documentos de planeación elaborados</t>
        </is>
      </c>
      <c r="J85" t="inlineStr">
        <is>
          <t>2024251260021</t>
        </is>
      </c>
      <c r="K85" t="inlineStr">
        <is>
          <t>No</t>
        </is>
      </c>
      <c r="L85" t="inlineStr">
        <is>
          <t>Número</t>
        </is>
      </c>
      <c r="M85">
        <v>100</v>
      </c>
      <c r="N85">
        <v>100</v>
      </c>
      <c r="O85">
        <v>100</v>
      </c>
      <c r="P85">
        <v>100</v>
      </c>
      <c r="Q85">
        <v>100</v>
      </c>
      <c r="R85" t="inlineStr">
        <is>
          <t xml:space="preserve"> </t>
        </is>
      </c>
      <c r="S85" s="103" t="inlineStr">
        <is>
          <t xml:space="preserve"> </t>
        </is>
      </c>
      <c r="T85" t="inlineStr">
        <is>
          <t>No se encontró ejecución en PIIP</t>
        </is>
      </c>
      <c r="U85" t="inlineStr">
        <is>
          <t xml:space="preserve"> </t>
        </is>
      </c>
      <c r="V85" s="104" t="inlineStr">
        <is>
          <t xml:space="preserve"> </t>
        </is>
      </c>
      <c r="W85" t="inlineStr">
        <is>
          <t>No se encontró ejecución en PIIP</t>
        </is>
      </c>
    </row>
    <row r="86">
      <c r="A86" t="inlineStr">
        <is>
          <t>IP-80</t>
        </is>
      </c>
      <c r="B86" t="inlineStr">
        <is>
          <t>41</t>
        </is>
      </c>
      <c r="C86" t="inlineStr">
        <is>
          <t xml:space="preserve">Inclusión social y reconciliación </t>
        </is>
      </c>
      <c r="D86" t="inlineStr">
        <is>
          <t>4102</t>
        </is>
      </c>
      <c r="E86" t="inlineStr">
        <is>
          <t>Desarrollo integral de la primera infancia a la juventud, y fortalecimiento de las capacidades de las familias de niñas, niños y adolescentes</t>
        </is>
      </c>
      <c r="F86" t="inlineStr">
        <is>
          <t>4102042</t>
        </is>
      </c>
      <c r="G86" t="inlineStr">
        <is>
          <t>Servicio de asistencia técnica a comunidades en temas de fortalecimiento del tejido social y construcción de escenarios comunitarios protectores de derechos</t>
        </is>
      </c>
      <c r="H86" t="inlineStr">
        <is>
          <t>410204200</t>
        </is>
      </c>
      <c r="I86" t="inlineStr">
        <is>
          <t>Acciones ejecutadas con las comunidades</t>
        </is>
      </c>
      <c r="J86" t="inlineStr">
        <is>
          <t>2024251260021</t>
        </is>
      </c>
      <c r="K86" t="inlineStr">
        <is>
          <t>No</t>
        </is>
      </c>
      <c r="L86" t="inlineStr">
        <is>
          <t>Número</t>
        </is>
      </c>
      <c r="M86">
        <v>1</v>
      </c>
      <c r="N86">
        <v>1</v>
      </c>
      <c r="O86">
        <v>1</v>
      </c>
      <c r="P86">
        <v>1</v>
      </c>
      <c r="Q86">
        <v>1</v>
      </c>
      <c r="R86" t="inlineStr">
        <is>
          <t xml:space="preserve"> </t>
        </is>
      </c>
      <c r="S86" s="103" t="inlineStr">
        <is>
          <t xml:space="preserve"> </t>
        </is>
      </c>
      <c r="T86" t="inlineStr">
        <is>
          <t>No se encontró ejecución en PIIP</t>
        </is>
      </c>
      <c r="U86" t="inlineStr">
        <is>
          <t xml:space="preserve"> </t>
        </is>
      </c>
      <c r="V86" s="104" t="inlineStr">
        <is>
          <t xml:space="preserve"> </t>
        </is>
      </c>
      <c r="W86" t="inlineStr">
        <is>
          <t>No se encontró ejecución en PIIP</t>
        </is>
      </c>
    </row>
    <row r="87">
      <c r="A87" t="inlineStr">
        <is>
          <t>IP-81, IP-82, IP-84, IP-85</t>
        </is>
      </c>
      <c r="B87" t="inlineStr">
        <is>
          <t>41</t>
        </is>
      </c>
      <c r="C87" t="inlineStr">
        <is>
          <t xml:space="preserve">Inclusión social y reconciliación </t>
        </is>
      </c>
      <c r="D87" t="inlineStr">
        <is>
          <t>4102</t>
        </is>
      </c>
      <c r="E87" t="inlineStr">
        <is>
          <t>Desarrollo integral de la primera infancia a la juventud, y fortalecimiento de las capacidades de las familias de niñas, niños y adolescentes</t>
        </is>
      </c>
      <c r="F87" t="inlineStr">
        <is>
          <t>4102045</t>
        </is>
      </c>
      <c r="G87" t="inlineStr">
        <is>
          <t>Servicios de educación informal a niños, niñas, adolescentes  y jóvenes para el reconocimiento de sus derechos</t>
        </is>
      </c>
      <c r="H87" t="inlineStr">
        <is>
          <t>410204502</t>
        </is>
      </c>
      <c r="I87" t="inlineStr">
        <is>
          <t>Jóvenes atendidos</t>
        </is>
      </c>
      <c r="J87" t="inlineStr">
        <is>
          <t>2024251260021</t>
        </is>
      </c>
      <c r="K87" t="inlineStr">
        <is>
          <t>No</t>
        </is>
      </c>
      <c r="L87" t="inlineStr">
        <is>
          <t>Número</t>
        </is>
      </c>
      <c r="M87">
        <v>5</v>
      </c>
      <c r="N87">
        <v>5</v>
      </c>
      <c r="O87">
        <v>5</v>
      </c>
      <c r="P87">
        <v>5</v>
      </c>
      <c r="Q87">
        <v>5</v>
      </c>
      <c r="R87" t="inlineStr">
        <is>
          <t xml:space="preserve"> </t>
        </is>
      </c>
      <c r="S87" s="103" t="inlineStr">
        <is>
          <t xml:space="preserve"> </t>
        </is>
      </c>
      <c r="T87" t="inlineStr">
        <is>
          <t>No se encontró ejecución en PIIP</t>
        </is>
      </c>
      <c r="U87" t="inlineStr">
        <is>
          <t xml:space="preserve"> </t>
        </is>
      </c>
      <c r="V87" s="104" t="inlineStr">
        <is>
          <t xml:space="preserve"> </t>
        </is>
      </c>
      <c r="W87" t="inlineStr">
        <is>
          <t>No se encontró ejecución en PIIP</t>
        </is>
      </c>
    </row>
    <row r="88">
      <c r="A88" t="inlineStr">
        <is>
          <t>IP-83</t>
        </is>
      </c>
      <c r="B88" t="inlineStr">
        <is>
          <t>41</t>
        </is>
      </c>
      <c r="C88" t="inlineStr">
        <is>
          <t xml:space="preserve">Inclusión social y reconciliación </t>
        </is>
      </c>
      <c r="D88" t="inlineStr">
        <is>
          <t>4102</t>
        </is>
      </c>
      <c r="E88" t="inlineStr">
        <is>
          <t>Desarrollo integral de la primera infancia a la juventud, y fortalecimiento de las capacidades de las familias de niñas, niños y adolescentes</t>
        </is>
      </c>
      <c r="F88" t="inlineStr">
        <is>
          <t>4102049</t>
        </is>
      </c>
      <c r="G88" t="inlineStr">
        <is>
          <t>Edificaciones de atención a la adolescencia y juventud adecuadas</t>
        </is>
      </c>
      <c r="H88" t="inlineStr">
        <is>
          <t>410204900</t>
        </is>
      </c>
      <c r="I88" t="inlineStr">
        <is>
          <t>Edificaciones de atención a la adolescencia y juventud adecuadas</t>
        </is>
      </c>
      <c r="J88" t="inlineStr">
        <is>
          <t>2024251260021</t>
        </is>
      </c>
      <c r="K88" t="inlineStr">
        <is>
          <t>No</t>
        </is>
      </c>
      <c r="L88" t="inlineStr">
        <is>
          <t>Número</t>
        </is>
      </c>
      <c r="M88">
        <v>1</v>
      </c>
      <c r="N88">
        <v>1</v>
      </c>
      <c r="O88">
        <v>1</v>
      </c>
      <c r="P88">
        <v>1</v>
      </c>
      <c r="Q88">
        <v>1</v>
      </c>
      <c r="R88">
        <v>1</v>
      </c>
      <c r="S88" s="103">
        <v>1</v>
      </c>
      <c r="T88" t="inlineStr">
        <is>
          <t>Se ejecutó el 100% de lo programado en la vigencia</t>
        </is>
      </c>
      <c r="U88">
        <v>0.5</v>
      </c>
      <c r="V88" s="104">
        <v>0.5</v>
      </c>
      <c r="W88" t="inlineStr">
        <is>
          <t>Lo ejecutado está por debajo de lo programado en la vigencia</t>
        </is>
      </c>
    </row>
    <row r="89">
      <c r="A89" t="inlineStr">
        <is>
          <t>IP-86</t>
        </is>
      </c>
      <c r="B89" t="inlineStr">
        <is>
          <t>41</t>
        </is>
      </c>
      <c r="C89" t="inlineStr">
        <is>
          <t xml:space="preserve">Inclusión social y reconciliación </t>
        </is>
      </c>
      <c r="D89" t="inlineStr">
        <is>
          <t>4103</t>
        </is>
      </c>
      <c r="E89" t="inlineStr">
        <is>
          <t>Inclusión social y productiva para la población en situación de vulnerabilidad</t>
        </is>
      </c>
      <c r="F89" t="inlineStr">
        <is>
          <t>4103005</t>
        </is>
      </c>
      <c r="G89" t="inlineStr">
        <is>
          <t>Servicio de asistencia técnica para el emprendimiento</t>
        </is>
      </c>
      <c r="H89" t="inlineStr">
        <is>
          <t>410300500</t>
        </is>
      </c>
      <c r="I89" t="inlineStr">
        <is>
          <t>Proyectos productivos formulados</t>
        </is>
      </c>
      <c r="J89" t="inlineStr">
        <is>
          <t>2024251260022</t>
        </is>
      </c>
      <c r="K89" t="inlineStr">
        <is>
          <t>Si</t>
        </is>
      </c>
      <c r="L89" t="inlineStr">
        <is>
          <t>Número</t>
        </is>
      </c>
      <c r="M89">
        <v>5</v>
      </c>
      <c r="N89">
        <v>5</v>
      </c>
      <c r="O89">
        <v>5</v>
      </c>
      <c r="P89">
        <v>5</v>
      </c>
      <c r="Q89">
        <v>5</v>
      </c>
      <c r="R89">
        <v>5</v>
      </c>
      <c r="S89" s="103">
        <v>1</v>
      </c>
      <c r="T89" t="inlineStr">
        <is>
          <t>Se ejecutó el 100% de lo programado en la vigencia</t>
        </is>
      </c>
      <c r="U89">
        <v>2.5</v>
      </c>
      <c r="V89" s="104">
        <v>0.5</v>
      </c>
      <c r="W89" t="inlineStr">
        <is>
          <t>Lo ejecutado está por debajo de lo programado en la vigencia</t>
        </is>
      </c>
    </row>
    <row r="90">
      <c r="A90" t="inlineStr">
        <is>
          <t>IP-87</t>
        </is>
      </c>
      <c r="B90" t="inlineStr">
        <is>
          <t>41</t>
        </is>
      </c>
      <c r="C90" t="inlineStr">
        <is>
          <t xml:space="preserve">Inclusión social y reconciliación </t>
        </is>
      </c>
      <c r="D90" t="inlineStr">
        <is>
          <t>4102</t>
        </is>
      </c>
      <c r="E90" t="inlineStr">
        <is>
          <t>Desarrollo integral de la primera infancia a la juventud, y fortalecimiento de las capacidades de las familias de niñas, niños y adolescentes</t>
        </is>
      </c>
      <c r="F90" t="inlineStr">
        <is>
          <t>4102040</t>
        </is>
      </c>
      <c r="G90" t="inlineStr">
        <is>
          <t>Documentos metodológicos</t>
        </is>
      </c>
      <c r="H90" t="inlineStr">
        <is>
          <t>410204000</t>
        </is>
      </c>
      <c r="I90" t="inlineStr">
        <is>
          <t>Documentos metodológicos realizados</t>
        </is>
      </c>
      <c r="J90" t="inlineStr">
        <is>
          <t>2024251260021</t>
        </is>
      </c>
      <c r="K90" t="inlineStr">
        <is>
          <t>No</t>
        </is>
      </c>
      <c r="L90" t="inlineStr">
        <is>
          <t>Número</t>
        </is>
      </c>
      <c r="M90">
        <v>1</v>
      </c>
      <c r="N90">
        <v>1</v>
      </c>
      <c r="O90">
        <v>1</v>
      </c>
      <c r="P90">
        <v>1</v>
      </c>
      <c r="Q90">
        <v>1</v>
      </c>
      <c r="R90" t="inlineStr">
        <is>
          <t xml:space="preserve"> </t>
        </is>
      </c>
      <c r="S90" s="103" t="inlineStr">
        <is>
          <t xml:space="preserve"> </t>
        </is>
      </c>
      <c r="T90" t="inlineStr">
        <is>
          <t>No se encontró ejecución en PIIP</t>
        </is>
      </c>
      <c r="U90" t="inlineStr">
        <is>
          <t xml:space="preserve"> </t>
        </is>
      </c>
      <c r="V90" s="104" t="inlineStr">
        <is>
          <t xml:space="preserve"> </t>
        </is>
      </c>
      <c r="W90" t="inlineStr">
        <is>
          <t>No se encontró ejecución en PIIP</t>
        </is>
      </c>
    </row>
    <row r="91">
      <c r="A91" t="inlineStr">
        <is>
          <t>IP-88</t>
        </is>
      </c>
      <c r="B91" t="inlineStr">
        <is>
          <t>41</t>
        </is>
      </c>
      <c r="C91" t="inlineStr">
        <is>
          <t xml:space="preserve">Inclusión social y reconciliación </t>
        </is>
      </c>
      <c r="D91" t="inlineStr">
        <is>
          <t>4103</t>
        </is>
      </c>
      <c r="E91" t="inlineStr">
        <is>
          <t>Inclusión social y productiva para la población en situación de vulnerabilidad</t>
        </is>
      </c>
      <c r="F91" t="inlineStr">
        <is>
          <t>4103061</t>
        </is>
      </c>
      <c r="G91" t="inlineStr">
        <is>
          <t>Servicio de apoyo financiero para la entrega de transferencias monetarias no condicionadas</t>
        </is>
      </c>
      <c r="H91" t="inlineStr">
        <is>
          <t>410306100</t>
        </is>
      </c>
      <c r="I91" t="inlineStr">
        <is>
          <t>Familias beneficiadas con transferencias monetarias no condicionadas</t>
        </is>
      </c>
      <c r="J91" t="inlineStr">
        <is>
          <t>2024251260022</t>
        </is>
      </c>
      <c r="K91" t="inlineStr">
        <is>
          <t>No</t>
        </is>
      </c>
      <c r="L91" t="inlineStr">
        <is>
          <t>Número</t>
        </is>
      </c>
      <c r="M91">
        <v>100</v>
      </c>
      <c r="N91">
        <v>100</v>
      </c>
      <c r="O91">
        <v>100</v>
      </c>
      <c r="P91">
        <v>100</v>
      </c>
      <c r="Q91">
        <v>100</v>
      </c>
      <c r="R91">
        <v>300</v>
      </c>
      <c r="S91" s="103">
        <v>3</v>
      </c>
      <c r="T91" t="inlineStr">
        <is>
          <t>Hubo ejecución por encima de lo programado en SisPT</t>
        </is>
      </c>
      <c r="U91">
        <v>150</v>
      </c>
      <c r="V91" s="104">
        <v>1.5</v>
      </c>
      <c r="W91" t="inlineStr">
        <is>
          <t>Hubo ejecución por encima de lo programado en SisPT</t>
        </is>
      </c>
    </row>
    <row r="92">
      <c r="A92" t="inlineStr">
        <is>
          <t>IP-89</t>
        </is>
      </c>
      <c r="B92" t="inlineStr">
        <is>
          <t>41</t>
        </is>
      </c>
      <c r="C92" t="inlineStr">
        <is>
          <t xml:space="preserve">Inclusión social y reconciliación </t>
        </is>
      </c>
      <c r="D92" t="inlineStr">
        <is>
          <t>4102</t>
        </is>
      </c>
      <c r="E92" t="inlineStr">
        <is>
          <t>Desarrollo integral de la primera infancia a la juventud, y fortalecimiento de las capacidades de las familias de niñas, niños y adolescentes</t>
        </is>
      </c>
      <c r="F92" t="inlineStr">
        <is>
          <t>4102042</t>
        </is>
      </c>
      <c r="G92" t="inlineStr">
        <is>
          <t>Servicio de asistencia técnica a comunidades en temas de fortalecimiento del tejido social y construcción de escenarios comunitarios protectores de derechos</t>
        </is>
      </c>
      <c r="H92" t="inlineStr">
        <is>
          <t>410204201</t>
        </is>
      </c>
      <c r="I92" t="inlineStr">
        <is>
          <t>Comunidades participantes</t>
        </is>
      </c>
      <c r="J92" t="inlineStr">
        <is>
          <t>2024251260021</t>
        </is>
      </c>
      <c r="K92" t="inlineStr">
        <is>
          <t>No</t>
        </is>
      </c>
      <c r="L92" t="inlineStr">
        <is>
          <t>Número</t>
        </is>
      </c>
      <c r="M92">
        <v>1</v>
      </c>
      <c r="N92">
        <v>1</v>
      </c>
      <c r="O92">
        <v>1</v>
      </c>
      <c r="P92">
        <v>1</v>
      </c>
      <c r="Q92">
        <v>1</v>
      </c>
      <c r="R92" t="inlineStr">
        <is>
          <t xml:space="preserve"> </t>
        </is>
      </c>
      <c r="S92" s="103" t="inlineStr">
        <is>
          <t xml:space="preserve"> </t>
        </is>
      </c>
      <c r="T92" t="inlineStr">
        <is>
          <t>No se encontró ejecución en PIIP</t>
        </is>
      </c>
      <c r="U92" t="inlineStr">
        <is>
          <t xml:space="preserve"> </t>
        </is>
      </c>
      <c r="V92" s="104" t="inlineStr">
        <is>
          <t xml:space="preserve"> </t>
        </is>
      </c>
      <c r="W92" t="inlineStr">
        <is>
          <t>No se encontró ejecución en PIIP</t>
        </is>
      </c>
    </row>
    <row r="93">
      <c r="A93" t="inlineStr">
        <is>
          <t>IP-90</t>
        </is>
      </c>
      <c r="B93" t="inlineStr">
        <is>
          <t>41</t>
        </is>
      </c>
      <c r="C93" t="inlineStr">
        <is>
          <t xml:space="preserve">Inclusión social y reconciliación </t>
        </is>
      </c>
      <c r="D93" t="inlineStr">
        <is>
          <t>4103</t>
        </is>
      </c>
      <c r="E93" t="inlineStr">
        <is>
          <t>Inclusión social y productiva para la población en situación de vulnerabilidad</t>
        </is>
      </c>
      <c r="F93" t="inlineStr">
        <is>
          <t>4103053</t>
        </is>
      </c>
      <c r="G93" t="inlineStr">
        <is>
          <t>Servicio de asistencia técnica para el mejoramiento de hábitos alimentarios</t>
        </is>
      </c>
      <c r="H93" t="inlineStr">
        <is>
          <t>410305300</t>
        </is>
      </c>
      <c r="I93" t="inlineStr">
        <is>
          <t>Hogares asistidos técnicamente para el mejoramiento de hábitos alimenticios</t>
        </is>
      </c>
      <c r="J93" t="inlineStr">
        <is>
          <t>2024251260055</t>
        </is>
      </c>
      <c r="K93" t="inlineStr">
        <is>
          <t>No</t>
        </is>
      </c>
      <c r="L93" t="inlineStr">
        <is>
          <t>Número</t>
        </is>
      </c>
      <c r="M93">
        <v>1</v>
      </c>
      <c r="N93">
        <v>1</v>
      </c>
      <c r="O93">
        <v>1</v>
      </c>
      <c r="P93">
        <v>1</v>
      </c>
      <c r="Q93">
        <v>1</v>
      </c>
      <c r="R93">
        <v>1580</v>
      </c>
      <c r="S93" s="103">
        <v>1580</v>
      </c>
      <c r="T93" t="inlineStr">
        <is>
          <t>Hubo ejecución por encima de lo programado en SisPT</t>
        </is>
      </c>
      <c r="U93">
        <v>786</v>
      </c>
      <c r="V93" s="104">
        <v>786</v>
      </c>
      <c r="W93" t="inlineStr">
        <is>
          <t>Hubo ejecución por encima de lo programado en SisPT</t>
        </is>
      </c>
    </row>
    <row r="94">
      <c r="A94" t="inlineStr">
        <is>
          <t>IP-91</t>
        </is>
      </c>
      <c r="B94" t="inlineStr">
        <is>
          <t>41</t>
        </is>
      </c>
      <c r="C94" t="inlineStr">
        <is>
          <t xml:space="preserve">Inclusión social y reconciliación </t>
        </is>
      </c>
      <c r="D94" t="inlineStr">
        <is>
          <t>4103</t>
        </is>
      </c>
      <c r="E94" t="inlineStr">
        <is>
          <t>Inclusión social y productiva para la población en situación de vulnerabilidad</t>
        </is>
      </c>
      <c r="F94" t="inlineStr">
        <is>
          <t>4103060</t>
        </is>
      </c>
      <c r="G94" t="inlineStr">
        <is>
          <t>Documento de lineamientos técnicos</t>
        </is>
      </c>
      <c r="H94" t="inlineStr">
        <is>
          <t>410306000</t>
        </is>
      </c>
      <c r="I94" t="inlineStr">
        <is>
          <t>Documentos de lineamientos técnicos elaborados</t>
        </is>
      </c>
      <c r="J94" t="inlineStr">
        <is>
          <t>2024251260055</t>
        </is>
      </c>
      <c r="K94" t="inlineStr">
        <is>
          <t>No</t>
        </is>
      </c>
      <c r="L94" t="inlineStr">
        <is>
          <t>Número</t>
        </is>
      </c>
      <c r="M94">
        <v>100</v>
      </c>
      <c r="N94">
        <v>100</v>
      </c>
      <c r="O94">
        <v>100</v>
      </c>
      <c r="P94">
        <v>100</v>
      </c>
      <c r="Q94">
        <v>100</v>
      </c>
      <c r="R94">
        <v>1</v>
      </c>
      <c r="S94" s="103">
        <v>0.01</v>
      </c>
      <c r="T94" t="inlineStr">
        <is>
          <t>Lo ejecutado está por debajo de lo programado en la vigencia</t>
        </is>
      </c>
      <c r="U94">
        <v>0.291</v>
      </c>
      <c r="V94" s="104">
        <v>0.00291</v>
      </c>
      <c r="W94" t="inlineStr">
        <is>
          <t>Lo ejecutado está por debajo de lo programado en la vigencia</t>
        </is>
      </c>
    </row>
    <row r="95">
      <c r="A95" t="inlineStr">
        <is>
          <t>IP-92, IP-93, IP-94, IP-95, IP-98</t>
        </is>
      </c>
      <c r="B95" t="inlineStr">
        <is>
          <t>41</t>
        </is>
      </c>
      <c r="C95" t="inlineStr">
        <is>
          <t xml:space="preserve">Inclusión social y reconciliación </t>
        </is>
      </c>
      <c r="D95" t="inlineStr">
        <is>
          <t>4104</t>
        </is>
      </c>
      <c r="E95" t="inlineStr">
        <is>
          <t>Atención integral de población en situación permanente de desprotección social y/o familiar</t>
        </is>
      </c>
      <c r="F95" t="inlineStr">
        <is>
          <t>4104008</t>
        </is>
      </c>
      <c r="G95" t="inlineStr">
        <is>
          <t>Servicio de atención y protección integral al adulto mayor</t>
        </is>
      </c>
      <c r="H95" t="inlineStr">
        <is>
          <t>410400800</t>
        </is>
      </c>
      <c r="I95" t="inlineStr">
        <is>
          <t>Adultos mayores atendidos con servicios integrales</t>
        </is>
      </c>
      <c r="J95" t="inlineStr">
        <is>
          <t>2024251260023</t>
        </is>
      </c>
      <c r="K95" t="inlineStr">
        <is>
          <t>No</t>
        </is>
      </c>
      <c r="L95" t="inlineStr">
        <is>
          <t>Número</t>
        </is>
      </c>
      <c r="M95">
        <v>104</v>
      </c>
      <c r="N95">
        <v>4</v>
      </c>
      <c r="O95">
        <v>5</v>
      </c>
      <c r="P95">
        <v>4</v>
      </c>
      <c r="Q95">
        <v>4</v>
      </c>
      <c r="R95">
        <v>1580</v>
      </c>
      <c r="S95" s="103">
        <v>395</v>
      </c>
      <c r="T95" t="inlineStr">
        <is>
          <t>Hubo ejecución por encima de lo programado en SisPT</t>
        </is>
      </c>
      <c r="U95" t="inlineStr">
        <is>
          <t xml:space="preserve"> </t>
        </is>
      </c>
      <c r="V95" s="104" t="inlineStr">
        <is>
          <t xml:space="preserve"> </t>
        </is>
      </c>
      <c r="W95" t="inlineStr">
        <is>
          <t>No se encontró ejecución en PIIP</t>
        </is>
      </c>
    </row>
    <row r="96">
      <c r="A96" t="inlineStr">
        <is>
          <t>IP-96</t>
        </is>
      </c>
      <c r="B96" t="inlineStr">
        <is>
          <t>41</t>
        </is>
      </c>
      <c r="C96" t="inlineStr">
        <is>
          <t xml:space="preserve">Inclusión social y reconciliación </t>
        </is>
      </c>
      <c r="D96" t="inlineStr">
        <is>
          <t>4104</t>
        </is>
      </c>
      <c r="E96" t="inlineStr">
        <is>
          <t>Atención integral de población en situación permanente de desprotección social y/o familiar</t>
        </is>
      </c>
      <c r="F96" t="inlineStr">
        <is>
          <t>4104007</t>
        </is>
      </c>
      <c r="G96" t="inlineStr">
        <is>
          <t>Centros de protección social para el adulto mayor dotados</t>
        </is>
      </c>
      <c r="H96" t="inlineStr">
        <is>
          <t>410400700</t>
        </is>
      </c>
      <c r="I96" t="inlineStr">
        <is>
          <t>Centros de protección social para el adulto mayor dotados</t>
        </is>
      </c>
      <c r="J96" t="inlineStr">
        <is>
          <t>2024251260023</t>
        </is>
      </c>
      <c r="K96" t="inlineStr">
        <is>
          <t>Si</t>
        </is>
      </c>
      <c r="L96" t="inlineStr">
        <is>
          <t>Número</t>
        </is>
      </c>
      <c r="M96">
        <v>1</v>
      </c>
      <c r="N96">
        <v>0.25</v>
      </c>
      <c r="O96">
        <v>0.25</v>
      </c>
      <c r="P96">
        <v>0.25</v>
      </c>
      <c r="Q96">
        <v>0.25</v>
      </c>
      <c r="R96" t="inlineStr">
        <is>
          <t xml:space="preserve"> </t>
        </is>
      </c>
      <c r="S96" s="103" t="inlineStr">
        <is>
          <t xml:space="preserve"> </t>
        </is>
      </c>
      <c r="T96" t="inlineStr">
        <is>
          <t>No se encontró ejecución en PIIP</t>
        </is>
      </c>
      <c r="U96" t="inlineStr">
        <is>
          <t xml:space="preserve"> </t>
        </is>
      </c>
      <c r="V96" s="104" t="inlineStr">
        <is>
          <t xml:space="preserve"> </t>
        </is>
      </c>
      <c r="W96" t="inlineStr">
        <is>
          <t>No se encontró ejecución en PIIP</t>
        </is>
      </c>
    </row>
    <row r="97">
      <c r="A97" t="inlineStr">
        <is>
          <t>IP-97</t>
        </is>
      </c>
      <c r="B97" t="inlineStr">
        <is>
          <t>41</t>
        </is>
      </c>
      <c r="C97" t="inlineStr">
        <is>
          <t xml:space="preserve">Inclusión social y reconciliación </t>
        </is>
      </c>
      <c r="D97" t="inlineStr">
        <is>
          <t>4104</t>
        </is>
      </c>
      <c r="E97" t="inlineStr">
        <is>
          <t>Atención integral de población en situación permanente de desprotección social y/o familiar</t>
        </is>
      </c>
      <c r="F97" t="inlineStr">
        <is>
          <t>4104015</t>
        </is>
      </c>
      <c r="G97" t="inlineStr">
        <is>
          <t>Centros de protección social de día para el adulto mayor construidos y dotados</t>
        </is>
      </c>
      <c r="H97" t="inlineStr">
        <is>
          <t>410401500</t>
        </is>
      </c>
      <c r="I97" t="inlineStr">
        <is>
          <t>Centros de día para el adulto mayor construidos y dotados</t>
        </is>
      </c>
      <c r="J97" t="inlineStr">
        <is>
          <t>2024251260023</t>
        </is>
      </c>
      <c r="K97" t="inlineStr">
        <is>
          <t>No</t>
        </is>
      </c>
      <c r="L97" t="inlineStr">
        <is>
          <t>Número</t>
        </is>
      </c>
      <c r="M97">
        <v>1</v>
      </c>
      <c r="N97">
        <v>1</v>
      </c>
      <c r="O97">
        <v>1</v>
      </c>
      <c r="P97">
        <v>1</v>
      </c>
      <c r="Q97">
        <v>1</v>
      </c>
      <c r="R97">
        <v>0</v>
      </c>
      <c r="S97" s="103">
        <v>0</v>
      </c>
      <c r="T97" t="inlineStr">
        <is>
          <t>No se ejecutó en la vigencia</t>
        </is>
      </c>
      <c r="U97">
        <v>0.233</v>
      </c>
      <c r="V97" s="104">
        <v>0.233</v>
      </c>
      <c r="W97" t="inlineStr">
        <is>
          <t>Lo ejecutado está por debajo de lo programado en la vigencia</t>
        </is>
      </c>
    </row>
    <row r="98">
      <c r="A98" t="inlineStr">
        <is>
          <t>IP-99</t>
        </is>
      </c>
      <c r="B98" t="inlineStr">
        <is>
          <t>41</t>
        </is>
      </c>
      <c r="C98" t="inlineStr">
        <is>
          <t xml:space="preserve">Inclusión social y reconciliación </t>
        </is>
      </c>
      <c r="D98" t="inlineStr">
        <is>
          <t>4101</t>
        </is>
      </c>
      <c r="E98" t="inlineStr">
        <is>
          <t>Atención, asistencia y reparación integral a las víctimas</t>
        </is>
      </c>
      <c r="F98" t="inlineStr">
        <is>
          <t>4101103</t>
        </is>
      </c>
      <c r="G98" t="inlineStr">
        <is>
          <t>Documentos de planeación</t>
        </is>
      </c>
      <c r="H98" t="inlineStr">
        <is>
          <t>410110300</t>
        </is>
      </c>
      <c r="I98" t="inlineStr">
        <is>
          <t>Documentos de planeación elaborados</t>
        </is>
      </c>
      <c r="J98" t="inlineStr">
        <is>
          <t>2024251260024</t>
        </is>
      </c>
      <c r="K98" t="inlineStr">
        <is>
          <t>No</t>
        </is>
      </c>
      <c r="L98" t="inlineStr">
        <is>
          <t>Número</t>
        </is>
      </c>
      <c r="M98">
        <v>100</v>
      </c>
      <c r="N98">
        <v>100</v>
      </c>
      <c r="O98">
        <v>100</v>
      </c>
      <c r="P98">
        <v>100</v>
      </c>
      <c r="Q98">
        <v>100</v>
      </c>
      <c r="R98">
        <v>1</v>
      </c>
      <c r="S98" s="103">
        <v>0.01</v>
      </c>
      <c r="T98" t="inlineStr">
        <is>
          <t>Lo ejecutado está por debajo de lo programado en la vigencia</t>
        </is>
      </c>
      <c r="U98">
        <v>0.46</v>
      </c>
      <c r="V98" s="104">
        <v>0.0046</v>
      </c>
      <c r="W98" t="inlineStr">
        <is>
          <t>Lo ejecutado está por debajo de lo programado en la vigencia</t>
        </is>
      </c>
    </row>
    <row r="99">
      <c r="A99" t="inlineStr">
        <is>
          <t>IP-100</t>
        </is>
      </c>
      <c r="B99" t="inlineStr">
        <is>
          <t>41</t>
        </is>
      </c>
      <c r="C99" t="inlineStr">
        <is>
          <t xml:space="preserve">Inclusión social y reconciliación </t>
        </is>
      </c>
      <c r="D99" t="inlineStr">
        <is>
          <t>4101</t>
        </is>
      </c>
      <c r="E99" t="inlineStr">
        <is>
          <t>Atención, asistencia y reparación integral a las víctimas</t>
        </is>
      </c>
      <c r="F99" t="inlineStr">
        <is>
          <t>4101046</t>
        </is>
      </c>
      <c r="G99" t="inlineStr">
        <is>
          <t>Documentos de diagnóstico y/o caracterización del daño colectivo</t>
        </is>
      </c>
      <c r="H99" t="inlineStr">
        <is>
          <t>410104600</t>
        </is>
      </c>
      <c r="I99" t="inlineStr">
        <is>
          <t>Documento elaborado</t>
        </is>
      </c>
      <c r="J99" t="inlineStr">
        <is>
          <t>2024251260024</t>
        </is>
      </c>
      <c r="K99" t="inlineStr">
        <is>
          <t>No</t>
        </is>
      </c>
      <c r="L99" t="inlineStr">
        <is>
          <t>Número</t>
        </is>
      </c>
      <c r="M99">
        <v>1</v>
      </c>
      <c r="N99">
        <v>1</v>
      </c>
      <c r="O99">
        <v>1</v>
      </c>
      <c r="P99">
        <v>1</v>
      </c>
      <c r="Q99">
        <v>1</v>
      </c>
      <c r="R99">
        <v>1</v>
      </c>
      <c r="S99" s="103">
        <v>1</v>
      </c>
      <c r="T99" t="inlineStr">
        <is>
          <t>Lo ejecutado está por debajo de lo programado en la vigencia</t>
        </is>
      </c>
      <c r="U99">
        <v>0.51</v>
      </c>
      <c r="V99" s="104">
        <v>0.51</v>
      </c>
      <c r="W99" t="inlineStr">
        <is>
          <t>Lo ejecutado está por debajo de lo programado en la vigencia</t>
        </is>
      </c>
    </row>
    <row r="100">
      <c r="A100" t="inlineStr">
        <is>
          <t>IP-101</t>
        </is>
      </c>
      <c r="B100" t="inlineStr">
        <is>
          <t>41</t>
        </is>
      </c>
      <c r="C100" t="inlineStr">
        <is>
          <t xml:space="preserve">Inclusión social y reconciliación </t>
        </is>
      </c>
      <c r="D100" t="inlineStr">
        <is>
          <t>4101</t>
        </is>
      </c>
      <c r="E100" t="inlineStr">
        <is>
          <t>Atención, asistencia y reparación integral a las víctimas</t>
        </is>
      </c>
      <c r="F100" t="inlineStr">
        <is>
          <t>4101014</t>
        </is>
      </c>
      <c r="G100" t="inlineStr">
        <is>
          <t>Servicio de caracterización de la población víctima para su posterior atención, asistencia y reparación integral</t>
        </is>
      </c>
      <c r="H100" t="inlineStr">
        <is>
          <t>410101401</t>
        </is>
      </c>
      <c r="I100" t="inlineStr">
        <is>
          <t>Victimas con plan asistencia o reparación formulado</t>
        </is>
      </c>
      <c r="J100" t="inlineStr">
        <is>
          <t>2024251260024</t>
        </is>
      </c>
      <c r="K100" t="inlineStr">
        <is>
          <t>No</t>
        </is>
      </c>
      <c r="L100" t="inlineStr">
        <is>
          <t>Número</t>
        </is>
      </c>
      <c r="M100">
        <v>1</v>
      </c>
      <c r="N100">
        <v>1</v>
      </c>
      <c r="O100">
        <v>1</v>
      </c>
      <c r="P100">
        <v>1</v>
      </c>
      <c r="Q100">
        <v>1</v>
      </c>
      <c r="R100" t="inlineStr">
        <is>
          <t xml:space="preserve"> </t>
        </is>
      </c>
      <c r="S100" s="103" t="inlineStr">
        <is>
          <t xml:space="preserve"> </t>
        </is>
      </c>
      <c r="T100" t="inlineStr">
        <is>
          <t>No se encontró ejecución en PIIP</t>
        </is>
      </c>
      <c r="U100" t="inlineStr">
        <is>
          <t xml:space="preserve"> </t>
        </is>
      </c>
      <c r="V100" s="104" t="inlineStr">
        <is>
          <t xml:space="preserve"> </t>
        </is>
      </c>
      <c r="W100" t="inlineStr">
        <is>
          <t>No se encontró ejecución en PIIP</t>
        </is>
      </c>
    </row>
    <row r="101">
      <c r="A101" t="inlineStr">
        <is>
          <t>IP-102</t>
        </is>
      </c>
      <c r="B101" t="inlineStr">
        <is>
          <t>41</t>
        </is>
      </c>
      <c r="C101" t="inlineStr">
        <is>
          <t xml:space="preserve">Inclusión social y reconciliación </t>
        </is>
      </c>
      <c r="D101" t="inlineStr">
        <is>
          <t>4103</t>
        </is>
      </c>
      <c r="E101" t="inlineStr">
        <is>
          <t>Inclusión social y productiva para la población en situación de vulnerabilidad</t>
        </is>
      </c>
      <c r="F101" t="inlineStr">
        <is>
          <t>4103052</t>
        </is>
      </c>
      <c r="G101" t="inlineStr">
        <is>
          <t>Servicio de gestión de oferta social para la población vulnerable</t>
        </is>
      </c>
      <c r="H101" t="inlineStr">
        <is>
          <t>410305200</t>
        </is>
      </c>
      <c r="I101" t="inlineStr">
        <is>
          <t>Beneficiarios potenciales para quienes se gestiona la oferta social</t>
        </is>
      </c>
      <c r="J101" t="inlineStr">
        <is>
          <t>2024251260025</t>
        </is>
      </c>
      <c r="K101" t="inlineStr">
        <is>
          <t>No</t>
        </is>
      </c>
      <c r="L101" t="inlineStr">
        <is>
          <t>Número</t>
        </is>
      </c>
      <c r="M101">
        <v>100</v>
      </c>
      <c r="N101">
        <v>100</v>
      </c>
      <c r="O101">
        <v>100</v>
      </c>
      <c r="P101">
        <v>100</v>
      </c>
      <c r="Q101">
        <v>100</v>
      </c>
      <c r="R101" t="inlineStr">
        <is>
          <t xml:space="preserve"> </t>
        </is>
      </c>
      <c r="S101" s="103" t="inlineStr">
        <is>
          <t xml:space="preserve"> </t>
        </is>
      </c>
      <c r="T101" t="inlineStr">
        <is>
          <t>No se encontró ejecución en PIIP</t>
        </is>
      </c>
      <c r="U101" t="inlineStr">
        <is>
          <t xml:space="preserve"> </t>
        </is>
      </c>
      <c r="V101" s="104" t="inlineStr">
        <is>
          <t xml:space="preserve"> </t>
        </is>
      </c>
      <c r="W101" t="inlineStr">
        <is>
          <t>No se encontró ejecución en PIIP</t>
        </is>
      </c>
    </row>
    <row r="102">
      <c r="A102" t="inlineStr">
        <is>
          <t>IP-103, IP-104, IP-105</t>
        </is>
      </c>
      <c r="B102" t="inlineStr">
        <is>
          <t>41</t>
        </is>
      </c>
      <c r="C102" t="inlineStr">
        <is>
          <t xml:space="preserve">Inclusión social y reconciliación </t>
        </is>
      </c>
      <c r="D102" t="inlineStr">
        <is>
          <t>4103</t>
        </is>
      </c>
      <c r="E102" t="inlineStr">
        <is>
          <t>Inclusión social y productiva para la población en situación de vulnerabilidad</t>
        </is>
      </c>
      <c r="F102" t="inlineStr">
        <is>
          <t>4103052</t>
        </is>
      </c>
      <c r="G102" t="inlineStr">
        <is>
          <t>Servicio de gestión de oferta social para la población vulnerable</t>
        </is>
      </c>
      <c r="H102" t="inlineStr">
        <is>
          <t>410305200</t>
        </is>
      </c>
      <c r="I102" t="inlineStr">
        <is>
          <t>Beneficiarios potenciales para quienes se gestiona la oferta social</t>
        </is>
      </c>
      <c r="J102" t="inlineStr">
        <is>
          <t>2024251260025</t>
        </is>
      </c>
      <c r="K102" t="inlineStr">
        <is>
          <t>Si</t>
        </is>
      </c>
      <c r="L102" t="inlineStr">
        <is>
          <t>Número</t>
        </is>
      </c>
      <c r="M102">
        <v>3</v>
      </c>
      <c r="N102">
        <v>2.25</v>
      </c>
      <c r="O102">
        <v>2.25</v>
      </c>
      <c r="P102">
        <v>2.25</v>
      </c>
      <c r="Q102">
        <v>2.25</v>
      </c>
      <c r="R102">
        <v>2000</v>
      </c>
      <c r="S102" s="103">
        <v>888.888888888889</v>
      </c>
      <c r="T102" t="inlineStr">
        <is>
          <t>Hubo ejecución por encima de lo programado en SisPT</t>
        </is>
      </c>
      <c r="U102">
        <v>1845</v>
      </c>
      <c r="V102" s="104">
        <v>820</v>
      </c>
      <c r="W102" t="inlineStr">
        <is>
          <t>Hubo ejecución por encima de lo programado en SisPT</t>
        </is>
      </c>
    </row>
    <row r="103">
      <c r="A103" t="inlineStr">
        <is>
          <t>IP-106</t>
        </is>
      </c>
      <c r="B103" t="inlineStr">
        <is>
          <t>41</t>
        </is>
      </c>
      <c r="C103" t="inlineStr">
        <is>
          <t xml:space="preserve">Inclusión social y reconciliación </t>
        </is>
      </c>
      <c r="D103" t="inlineStr">
        <is>
          <t>4103</t>
        </is>
      </c>
      <c r="E103" t="inlineStr">
        <is>
          <t>Inclusión social y productiva para la población en situación de vulnerabilidad</t>
        </is>
      </c>
      <c r="F103" t="inlineStr">
        <is>
          <t>4103025</t>
        </is>
      </c>
      <c r="G103" t="inlineStr">
        <is>
          <t>Centros comunitarios construidos</t>
        </is>
      </c>
      <c r="H103" t="inlineStr">
        <is>
          <t>410302500</t>
        </is>
      </c>
      <c r="I103" t="inlineStr">
        <is>
          <t>Centros comunitarios construidos</t>
        </is>
      </c>
      <c r="J103" t="inlineStr">
        <is>
          <t>2024251260001</t>
        </is>
      </c>
      <c r="K103" t="inlineStr">
        <is>
          <t>No</t>
        </is>
      </c>
      <c r="L103" t="inlineStr">
        <is>
          <t>Número</t>
        </is>
      </c>
      <c r="M103">
        <v>1</v>
      </c>
      <c r="N103">
        <v>0.25</v>
      </c>
      <c r="O103">
        <v>0.25</v>
      </c>
      <c r="P103">
        <v>0.25</v>
      </c>
      <c r="Q103">
        <v>0.25</v>
      </c>
      <c r="R103" t="inlineStr">
        <is>
          <t xml:space="preserve"> </t>
        </is>
      </c>
      <c r="S103" s="103" t="inlineStr">
        <is>
          <t xml:space="preserve"> </t>
        </is>
      </c>
      <c r="T103" t="inlineStr">
        <is>
          <t>No se encontró ejecución en PIIP</t>
        </is>
      </c>
      <c r="U103" t="inlineStr">
        <is>
          <t xml:space="preserve"> </t>
        </is>
      </c>
      <c r="V103" s="104" t="inlineStr">
        <is>
          <t xml:space="preserve"> </t>
        </is>
      </c>
      <c r="W103" t="inlineStr">
        <is>
          <t>No se encontró ejecución en PIIP</t>
        </is>
      </c>
    </row>
    <row r="104">
      <c r="A104" t="inlineStr">
        <is>
          <t>IP-107</t>
        </is>
      </c>
      <c r="B104" t="inlineStr">
        <is>
          <t>41</t>
        </is>
      </c>
      <c r="C104" t="inlineStr">
        <is>
          <t xml:space="preserve">Inclusión social y reconciliación </t>
        </is>
      </c>
      <c r="D104" t="inlineStr">
        <is>
          <t>4103</t>
        </is>
      </c>
      <c r="E104" t="inlineStr">
        <is>
          <t>Inclusión social y productiva para la población en situación de vulnerabilidad</t>
        </is>
      </c>
      <c r="F104" t="inlineStr">
        <is>
          <t>4103064</t>
        </is>
      </c>
      <c r="G104" t="inlineStr">
        <is>
          <t>Documentos de evaluación</t>
        </is>
      </c>
      <c r="H104" t="inlineStr">
        <is>
          <t>410306401</t>
        </is>
      </c>
      <c r="I104" t="inlineStr">
        <is>
          <t xml:space="preserve">Documentos de planes de mejoramiento elaborados </t>
        </is>
      </c>
      <c r="J104" t="inlineStr">
        <is>
          <t>2024251260025</t>
        </is>
      </c>
      <c r="K104" t="inlineStr">
        <is>
          <t>No</t>
        </is>
      </c>
      <c r="L104" t="inlineStr">
        <is>
          <t>Número</t>
        </is>
      </c>
      <c r="M104">
        <v>100</v>
      </c>
      <c r="N104">
        <v>100</v>
      </c>
      <c r="O104">
        <v>100</v>
      </c>
      <c r="P104">
        <v>100</v>
      </c>
      <c r="Q104">
        <v>100</v>
      </c>
      <c r="R104" t="inlineStr">
        <is>
          <t xml:space="preserve"> </t>
        </is>
      </c>
      <c r="S104" s="103" t="inlineStr">
        <is>
          <t xml:space="preserve"> </t>
        </is>
      </c>
      <c r="T104" t="inlineStr">
        <is>
          <t>No se encontró ejecución en PIIP</t>
        </is>
      </c>
      <c r="U104" t="inlineStr">
        <is>
          <t xml:space="preserve"> </t>
        </is>
      </c>
      <c r="V104" s="104" t="inlineStr">
        <is>
          <t xml:space="preserve"> </t>
        </is>
      </c>
      <c r="W104" t="inlineStr">
        <is>
          <t>No se encontró ejecución en PIIP</t>
        </is>
      </c>
    </row>
    <row r="105">
      <c r="A105" t="inlineStr">
        <is>
          <t>IP-108</t>
        </is>
      </c>
      <c r="B105" t="inlineStr">
        <is>
          <t>41</t>
        </is>
      </c>
      <c r="C105" t="inlineStr">
        <is>
          <t xml:space="preserve">Inclusión social y reconciliación </t>
        </is>
      </c>
      <c r="D105" t="inlineStr">
        <is>
          <t>4103</t>
        </is>
      </c>
      <c r="E105" t="inlineStr">
        <is>
          <t>Inclusión social y productiva para la población en situación de vulnerabilidad</t>
        </is>
      </c>
      <c r="F105" t="inlineStr">
        <is>
          <t>4103064</t>
        </is>
      </c>
      <c r="G105" t="inlineStr">
        <is>
          <t>Documentos de evaluación</t>
        </is>
      </c>
      <c r="H105" t="inlineStr">
        <is>
          <t>410306400</t>
        </is>
      </c>
      <c r="I105" t="inlineStr">
        <is>
          <t>Documentos de evaluaciones realizados</t>
        </is>
      </c>
      <c r="J105" t="inlineStr">
        <is>
          <t>2024251260026</t>
        </is>
      </c>
      <c r="K105" t="inlineStr">
        <is>
          <t>No</t>
        </is>
      </c>
      <c r="L105" t="inlineStr">
        <is>
          <t>Número</t>
        </is>
      </c>
      <c r="M105">
        <v>100</v>
      </c>
      <c r="N105">
        <v>100</v>
      </c>
      <c r="O105">
        <v>100</v>
      </c>
      <c r="P105">
        <v>100</v>
      </c>
      <c r="Q105">
        <v>100</v>
      </c>
      <c r="R105">
        <v>1</v>
      </c>
      <c r="S105" s="103">
        <v>0.01</v>
      </c>
      <c r="T105" t="inlineStr">
        <is>
          <t>Lo ejecutado está por debajo de lo programado en la vigencia</t>
        </is>
      </c>
      <c r="U105">
        <v>0.2</v>
      </c>
      <c r="V105" s="104">
        <v>0.002</v>
      </c>
      <c r="W105" t="inlineStr">
        <is>
          <t>Lo ejecutado está por debajo de lo programado en la vigencia</t>
        </is>
      </c>
    </row>
    <row r="106">
      <c r="A106" t="inlineStr">
        <is>
          <t>IP-109</t>
        </is>
      </c>
      <c r="B106" t="inlineStr">
        <is>
          <t>41</t>
        </is>
      </c>
      <c r="C106" t="inlineStr">
        <is>
          <t xml:space="preserve">Inclusión social y reconciliación </t>
        </is>
      </c>
      <c r="D106" t="inlineStr">
        <is>
          <t>4102</t>
        </is>
      </c>
      <c r="E106" t="inlineStr">
        <is>
          <t>Desarrollo integral de la primera infancia a la juventud, y fortalecimiento de las capacidades de las familias de niñas, niños y adolescentes</t>
        </is>
      </c>
      <c r="F106" t="inlineStr">
        <is>
          <t>4102042</t>
        </is>
      </c>
      <c r="G106" t="inlineStr">
        <is>
          <t>Servicio de asistencia técnica a comunidades en temas de fortalecimiento del tejido social y construcción de escenarios comunitarios protectores de derechos</t>
        </is>
      </c>
      <c r="H106" t="inlineStr">
        <is>
          <t>410204202</t>
        </is>
      </c>
      <c r="I106" t="inlineStr">
        <is>
          <t>Familias pertenecientes a cada comunidad atendida</t>
        </is>
      </c>
      <c r="J106" t="inlineStr">
        <is>
          <t>2024251260027</t>
        </is>
      </c>
      <c r="K106" t="inlineStr">
        <is>
          <t>No</t>
        </is>
      </c>
      <c r="L106" t="inlineStr">
        <is>
          <t>Número</t>
        </is>
      </c>
      <c r="M106">
        <v>1</v>
      </c>
      <c r="N106">
        <v>1</v>
      </c>
      <c r="O106">
        <v>1</v>
      </c>
      <c r="P106">
        <v>1</v>
      </c>
      <c r="Q106">
        <v>1</v>
      </c>
      <c r="R106" t="inlineStr">
        <is>
          <t xml:space="preserve"> </t>
        </is>
      </c>
      <c r="S106" s="103" t="inlineStr">
        <is>
          <t xml:space="preserve"> </t>
        </is>
      </c>
      <c r="T106" t="inlineStr">
        <is>
          <t>No se encontró ejecución en PIIP</t>
        </is>
      </c>
      <c r="U106" t="inlineStr">
        <is>
          <t xml:space="preserve"> </t>
        </is>
      </c>
      <c r="V106" s="104" t="inlineStr">
        <is>
          <t xml:space="preserve"> </t>
        </is>
      </c>
      <c r="W106" t="inlineStr">
        <is>
          <t>No se encontró ejecución en PIIP</t>
        </is>
      </c>
    </row>
    <row r="107">
      <c r="A107" t="inlineStr">
        <is>
          <t>IP-110</t>
        </is>
      </c>
      <c r="B107" t="inlineStr">
        <is>
          <t>41</t>
        </is>
      </c>
      <c r="C107" t="inlineStr">
        <is>
          <t xml:space="preserve">Inclusión social y reconciliación </t>
        </is>
      </c>
      <c r="D107" t="inlineStr">
        <is>
          <t>4102</t>
        </is>
      </c>
      <c r="E107" t="inlineStr">
        <is>
          <t>Desarrollo integral de la primera infancia a la juventud, y fortalecimiento de las capacidades de las familias de niñas, niños y adolescentes</t>
        </is>
      </c>
      <c r="F107" t="inlineStr">
        <is>
          <t>4102043</t>
        </is>
      </c>
      <c r="G107" t="inlineStr">
        <is>
          <t>Servicio de promoción de temas de dinámica relacional y desarrollo autónomo</t>
        </is>
      </c>
      <c r="H107" t="inlineStr">
        <is>
          <t>410204300</t>
        </is>
      </c>
      <c r="I107" t="inlineStr">
        <is>
          <t>Familias atendidas</t>
        </is>
      </c>
      <c r="J107" t="inlineStr">
        <is>
          <t>2024251260027</t>
        </is>
      </c>
      <c r="K107" t="inlineStr">
        <is>
          <t>Si</t>
        </is>
      </c>
      <c r="L107" t="inlineStr">
        <is>
          <t>Número</t>
        </is>
      </c>
      <c r="M107">
        <v>1</v>
      </c>
      <c r="N107">
        <v>1</v>
      </c>
      <c r="O107">
        <v>1</v>
      </c>
      <c r="P107">
        <v>1</v>
      </c>
      <c r="Q107">
        <v>1</v>
      </c>
      <c r="R107">
        <v>100</v>
      </c>
      <c r="S107" s="103">
        <v>100</v>
      </c>
      <c r="T107" t="inlineStr">
        <is>
          <t>Hubo ejecución por encima de lo programado en SisPT</t>
        </is>
      </c>
      <c r="U107">
        <v>0</v>
      </c>
      <c r="V107" s="104">
        <v>0</v>
      </c>
      <c r="W107" t="inlineStr">
        <is>
          <t>No se ejecutó en la vigencia</t>
        </is>
      </c>
    </row>
    <row r="108">
      <c r="A108" t="inlineStr">
        <is>
          <t>IP-111</t>
        </is>
      </c>
      <c r="B108" t="inlineStr">
        <is>
          <t>41</t>
        </is>
      </c>
      <c r="C108" t="inlineStr">
        <is>
          <t xml:space="preserve">Inclusión social y reconciliación </t>
        </is>
      </c>
      <c r="D108" t="inlineStr">
        <is>
          <t>4103</t>
        </is>
      </c>
      <c r="E108" t="inlineStr">
        <is>
          <t>Inclusión social y productiva para la población en situación de vulnerabilidad</t>
        </is>
      </c>
      <c r="F108" t="inlineStr">
        <is>
          <t>4103061</t>
        </is>
      </c>
      <c r="G108" t="inlineStr">
        <is>
          <t>Servicio de apoyo financiero para la entrega de transferencias monetarias no condicionadas</t>
        </is>
      </c>
      <c r="H108" t="inlineStr">
        <is>
          <t>410306100</t>
        </is>
      </c>
      <c r="I108" t="inlineStr">
        <is>
          <t>Familias beneficiadas con transferencias monetarias no condicionadas</t>
        </is>
      </c>
      <c r="J108" t="inlineStr">
        <is>
          <t>2024251260026</t>
        </is>
      </c>
      <c r="K108" t="inlineStr">
        <is>
          <t>Si</t>
        </is>
      </c>
      <c r="L108" t="inlineStr">
        <is>
          <t>Número</t>
        </is>
      </c>
      <c r="M108">
        <v>100</v>
      </c>
      <c r="N108">
        <v>100</v>
      </c>
      <c r="O108">
        <v>100</v>
      </c>
      <c r="P108">
        <v>100</v>
      </c>
      <c r="Q108">
        <v>100</v>
      </c>
      <c r="R108">
        <v>600</v>
      </c>
      <c r="S108" s="103">
        <v>6</v>
      </c>
      <c r="T108" t="inlineStr">
        <is>
          <t>Hubo ejecución por encima de lo programado en SisPT</t>
        </is>
      </c>
      <c r="U108">
        <v>315</v>
      </c>
      <c r="V108" s="104">
        <v>3.15</v>
      </c>
      <c r="W108" t="inlineStr">
        <is>
          <t>Hubo ejecución por encima de lo programado en SisPT</t>
        </is>
      </c>
    </row>
    <row r="109">
      <c r="A109" t="inlineStr">
        <is>
          <t>IP-112</t>
        </is>
      </c>
      <c r="B109" t="inlineStr">
        <is>
          <t>41</t>
        </is>
      </c>
      <c r="C109" t="inlineStr">
        <is>
          <t xml:space="preserve">Inclusión social y reconciliación </t>
        </is>
      </c>
      <c r="D109" t="inlineStr">
        <is>
          <t>4103</t>
        </is>
      </c>
      <c r="E109" t="inlineStr">
        <is>
          <t>Inclusión social y productiva para la población en situación de vulnerabilidad</t>
        </is>
      </c>
      <c r="F109" t="inlineStr">
        <is>
          <t>4103052</t>
        </is>
      </c>
      <c r="G109" t="inlineStr">
        <is>
          <t>Servicio de gestión de oferta social para la población vulnerable</t>
        </is>
      </c>
      <c r="H109" t="inlineStr">
        <is>
          <t>410305201</t>
        </is>
      </c>
      <c r="I109" t="inlineStr">
        <is>
          <t>Beneficiarios de la oferta social atendidos</t>
        </is>
      </c>
      <c r="J109" t="inlineStr">
        <is>
          <t>2024251260026</t>
        </is>
      </c>
      <c r="K109" t="inlineStr">
        <is>
          <t>No</t>
        </is>
      </c>
      <c r="L109" t="inlineStr">
        <is>
          <t>Número</t>
        </is>
      </c>
      <c r="M109">
        <v>2</v>
      </c>
      <c r="N109">
        <v>2</v>
      </c>
      <c r="O109">
        <v>2</v>
      </c>
      <c r="P109">
        <v>2</v>
      </c>
      <c r="Q109">
        <v>2</v>
      </c>
      <c r="R109" t="inlineStr">
        <is>
          <t xml:space="preserve"> </t>
        </is>
      </c>
      <c r="S109" s="103" t="inlineStr">
        <is>
          <t xml:space="preserve"> </t>
        </is>
      </c>
      <c r="T109" t="inlineStr">
        <is>
          <t>No se encontró ejecución en PIIP</t>
        </is>
      </c>
      <c r="U109" t="inlineStr">
        <is>
          <t xml:space="preserve"> </t>
        </is>
      </c>
      <c r="V109" s="104" t="inlineStr">
        <is>
          <t xml:space="preserve"> </t>
        </is>
      </c>
      <c r="W109" t="inlineStr">
        <is>
          <t>No se encontró ejecución en PIIP</t>
        </is>
      </c>
    </row>
    <row r="110">
      <c r="A110" t="inlineStr">
        <is>
          <t>IP-113</t>
        </is>
      </c>
      <c r="B110" t="inlineStr">
        <is>
          <t>41</t>
        </is>
      </c>
      <c r="C110" t="inlineStr">
        <is>
          <t xml:space="preserve">Inclusión social y reconciliación </t>
        </is>
      </c>
      <c r="D110" t="inlineStr">
        <is>
          <t>4103</t>
        </is>
      </c>
      <c r="E110" t="inlineStr">
        <is>
          <t>Inclusión social y productiva para la población en situación de vulnerabilidad</t>
        </is>
      </c>
      <c r="F110" t="inlineStr">
        <is>
          <t>4103070</t>
        </is>
      </c>
      <c r="G110" t="inlineStr">
        <is>
          <t>Documentos de estudios técnicos</t>
        </is>
      </c>
      <c r="H110" t="inlineStr">
        <is>
          <t>410307000</t>
        </is>
      </c>
      <c r="I110" t="inlineStr">
        <is>
          <t>Documentos de estudios técnicos realizados</t>
        </is>
      </c>
      <c r="J110" t="inlineStr">
        <is>
          <t>2024251260026</t>
        </is>
      </c>
      <c r="K110" t="inlineStr">
        <is>
          <t>No</t>
        </is>
      </c>
      <c r="L110" t="inlineStr">
        <is>
          <t>Número</t>
        </is>
      </c>
      <c r="M110">
        <v>1</v>
      </c>
      <c r="N110">
        <v>1</v>
      </c>
      <c r="O110">
        <v>1</v>
      </c>
      <c r="P110">
        <v>1</v>
      </c>
      <c r="Q110">
        <v>1</v>
      </c>
      <c r="R110">
        <v>1</v>
      </c>
      <c r="S110" s="103">
        <v>1</v>
      </c>
      <c r="T110" t="inlineStr">
        <is>
          <t>Se ejecutó el 100% de lo programado en la vigencia</t>
        </is>
      </c>
      <c r="U110">
        <v>0.5</v>
      </c>
      <c r="V110" s="104">
        <v>0.5</v>
      </c>
      <c r="W110" t="inlineStr">
        <is>
          <t>Lo ejecutado está por debajo de lo programado en la vigencia</t>
        </is>
      </c>
    </row>
    <row r="111">
      <c r="A111" t="inlineStr">
        <is>
          <t>IP-114</t>
        </is>
      </c>
      <c r="B111" t="inlineStr">
        <is>
          <t>41</t>
        </is>
      </c>
      <c r="C111" t="inlineStr">
        <is>
          <t xml:space="preserve">Inclusión social y reconciliación </t>
        </is>
      </c>
      <c r="D111" t="inlineStr">
        <is>
          <t>4103</t>
        </is>
      </c>
      <c r="E111" t="inlineStr">
        <is>
          <t>Inclusión social y productiva para la población en situación de vulnerabilidad</t>
        </is>
      </c>
      <c r="F111" t="inlineStr">
        <is>
          <t>4103050</t>
        </is>
      </c>
      <c r="G111" t="inlineStr">
        <is>
          <t>Servicio de acompañamiento familiar y comunitario para la superación de la pobreza</t>
        </is>
      </c>
      <c r="H111" t="inlineStr">
        <is>
          <t>410305009</t>
        </is>
      </c>
      <c r="I111" t="inlineStr">
        <is>
          <t>Iniciativas de fortalecimiento comunitario apoyadas</t>
        </is>
      </c>
      <c r="J111" t="inlineStr">
        <is>
          <t>2024251260026</t>
        </is>
      </c>
      <c r="K111" t="inlineStr">
        <is>
          <t>No</t>
        </is>
      </c>
      <c r="L111" t="inlineStr">
        <is>
          <t>Número</t>
        </is>
      </c>
      <c r="M111">
        <v>100</v>
      </c>
      <c r="N111">
        <v>100</v>
      </c>
      <c r="O111">
        <v>100</v>
      </c>
      <c r="P111">
        <v>100</v>
      </c>
      <c r="Q111">
        <v>100</v>
      </c>
      <c r="R111" t="inlineStr">
        <is>
          <t xml:space="preserve"> </t>
        </is>
      </c>
      <c r="S111" s="103" t="inlineStr">
        <is>
          <t xml:space="preserve"> </t>
        </is>
      </c>
      <c r="T111" t="inlineStr">
        <is>
          <t>No se encontró ejecución en PIIP</t>
        </is>
      </c>
      <c r="U111" t="inlineStr">
        <is>
          <t xml:space="preserve"> </t>
        </is>
      </c>
      <c r="V111" s="104" t="inlineStr">
        <is>
          <t xml:space="preserve"> </t>
        </is>
      </c>
      <c r="W111" t="inlineStr">
        <is>
          <t>No se encontró ejecución en PIIP</t>
        </is>
      </c>
    </row>
    <row r="112">
      <c r="A112" t="inlineStr">
        <is>
          <t>IP-115</t>
        </is>
      </c>
      <c r="B112" t="inlineStr">
        <is>
          <t>41</t>
        </is>
      </c>
      <c r="C112" t="inlineStr">
        <is>
          <t xml:space="preserve">Inclusión social y reconciliación </t>
        </is>
      </c>
      <c r="D112" t="inlineStr">
        <is>
          <t>4103</t>
        </is>
      </c>
      <c r="E112" t="inlineStr">
        <is>
          <t>Inclusión social y productiva para la población en situación de vulnerabilidad</t>
        </is>
      </c>
      <c r="F112" t="inlineStr">
        <is>
          <t>4103068</t>
        </is>
      </c>
      <c r="G112" t="inlineStr">
        <is>
          <t>Documentos metodológicos</t>
        </is>
      </c>
      <c r="H112" t="inlineStr">
        <is>
          <t>410306800</t>
        </is>
      </c>
      <c r="I112" t="inlineStr">
        <is>
          <t>Documentos metodológicos realizados</t>
        </is>
      </c>
      <c r="J112" t="inlineStr">
        <is>
          <t>2024251260028</t>
        </is>
      </c>
      <c r="K112" t="inlineStr">
        <is>
          <t>No</t>
        </is>
      </c>
      <c r="L112" t="inlineStr">
        <is>
          <t>Número</t>
        </is>
      </c>
      <c r="M112">
        <v>100</v>
      </c>
      <c r="N112">
        <v>100</v>
      </c>
      <c r="O112">
        <v>100</v>
      </c>
      <c r="P112">
        <v>100</v>
      </c>
      <c r="Q112">
        <v>100</v>
      </c>
      <c r="R112">
        <v>1</v>
      </c>
      <c r="S112" s="103">
        <v>0.01</v>
      </c>
      <c r="T112" t="inlineStr">
        <is>
          <t>Lo ejecutado está por debajo de lo programado en la vigencia</t>
        </is>
      </c>
      <c r="U112">
        <v>0.256</v>
      </c>
      <c r="V112" s="104">
        <v>0.00256</v>
      </c>
      <c r="W112" t="inlineStr">
        <is>
          <t>Lo ejecutado está por debajo de lo programado en la vigencia</t>
        </is>
      </c>
    </row>
    <row r="113">
      <c r="A113" t="inlineStr">
        <is>
          <t>IP-116</t>
        </is>
      </c>
      <c r="B113" t="inlineStr">
        <is>
          <t>41</t>
        </is>
      </c>
      <c r="C113" t="inlineStr">
        <is>
          <t xml:space="preserve">Inclusión social y reconciliación </t>
        </is>
      </c>
      <c r="D113" t="inlineStr">
        <is>
          <t>4103</t>
        </is>
      </c>
      <c r="E113" t="inlineStr">
        <is>
          <t>Inclusión social y productiva para la población en situación de vulnerabilidad</t>
        </is>
      </c>
      <c r="F113" t="inlineStr">
        <is>
          <t>4103052</t>
        </is>
      </c>
      <c r="G113" t="inlineStr">
        <is>
          <t>Servicio de gestión de oferta social para la población vulnerable</t>
        </is>
      </c>
      <c r="H113" t="inlineStr">
        <is>
          <t>410305201</t>
        </is>
      </c>
      <c r="I113" t="inlineStr">
        <is>
          <t>Beneficiarios de la oferta social atendidos</t>
        </is>
      </c>
      <c r="J113" t="inlineStr">
        <is>
          <t>2024251260028</t>
        </is>
      </c>
      <c r="K113" t="inlineStr">
        <is>
          <t>No</t>
        </is>
      </c>
      <c r="L113" t="inlineStr">
        <is>
          <t>Número</t>
        </is>
      </c>
      <c r="M113">
        <v>100</v>
      </c>
      <c r="N113">
        <v>100</v>
      </c>
      <c r="O113">
        <v>100</v>
      </c>
      <c r="P113">
        <v>100</v>
      </c>
      <c r="Q113">
        <v>100</v>
      </c>
      <c r="R113" t="inlineStr">
        <is>
          <t xml:space="preserve"> </t>
        </is>
      </c>
      <c r="S113" s="103" t="inlineStr">
        <is>
          <t xml:space="preserve"> </t>
        </is>
      </c>
      <c r="T113" t="inlineStr">
        <is>
          <t>No se encontró ejecución en PIIP</t>
        </is>
      </c>
      <c r="U113" t="inlineStr">
        <is>
          <t xml:space="preserve"> </t>
        </is>
      </c>
      <c r="V113" s="104" t="inlineStr">
        <is>
          <t xml:space="preserve"> </t>
        </is>
      </c>
      <c r="W113" t="inlineStr">
        <is>
          <t>No se encontró ejecución en PIIP</t>
        </is>
      </c>
    </row>
    <row r="114">
      <c r="A114" t="inlineStr">
        <is>
          <t>IP-117, IP-120</t>
        </is>
      </c>
      <c r="B114" t="inlineStr">
        <is>
          <t>41</t>
        </is>
      </c>
      <c r="C114" t="inlineStr">
        <is>
          <t xml:space="preserve">Inclusión social y reconciliación </t>
        </is>
      </c>
      <c r="D114" t="inlineStr">
        <is>
          <t>4104</t>
        </is>
      </c>
      <c r="E114" t="inlineStr">
        <is>
          <t>Atención integral de población en situación permanente de desprotección social y/o familiar</t>
        </is>
      </c>
      <c r="F114" t="inlineStr">
        <is>
          <t>4104020</t>
        </is>
      </c>
      <c r="G114" t="inlineStr">
        <is>
          <t>Servicio de atención integral a población en condición de discapacidad</t>
        </is>
      </c>
      <c r="H114" t="inlineStr">
        <is>
          <t>410402000</t>
        </is>
      </c>
      <c r="I114" t="inlineStr">
        <is>
          <t>Personas con discapacidad atendidas con servicios integrales</t>
        </is>
      </c>
      <c r="J114" t="inlineStr">
        <is>
          <t>2024251260029</t>
        </is>
      </c>
      <c r="K114" t="inlineStr">
        <is>
          <t>No</t>
        </is>
      </c>
      <c r="L114" t="inlineStr">
        <is>
          <t>Número</t>
        </is>
      </c>
      <c r="M114">
        <v>2</v>
      </c>
      <c r="N114">
        <v>2</v>
      </c>
      <c r="O114">
        <v>2</v>
      </c>
      <c r="P114">
        <v>2</v>
      </c>
      <c r="Q114">
        <v>2</v>
      </c>
      <c r="R114">
        <v>600</v>
      </c>
      <c r="S114" s="103">
        <v>300</v>
      </c>
      <c r="T114" t="inlineStr">
        <is>
          <t>Hubo ejecución por encima de lo programado en SisPT</t>
        </is>
      </c>
      <c r="U114">
        <v>300</v>
      </c>
      <c r="V114" s="104">
        <v>150</v>
      </c>
      <c r="W114" t="inlineStr">
        <is>
          <t>Hubo ejecución por encima de lo programado en SisPT</t>
        </is>
      </c>
    </row>
    <row r="115">
      <c r="A115" t="inlineStr">
        <is>
          <t>IP-118</t>
        </is>
      </c>
      <c r="B115" t="inlineStr">
        <is>
          <t>41</t>
        </is>
      </c>
      <c r="C115" t="inlineStr">
        <is>
          <t xml:space="preserve">Inclusión social y reconciliación </t>
        </is>
      </c>
      <c r="D115" t="inlineStr">
        <is>
          <t>4103</t>
        </is>
      </c>
      <c r="E115" t="inlineStr">
        <is>
          <t>Inclusión social y productiva para la población en situación de vulnerabilidad</t>
        </is>
      </c>
      <c r="F115" t="inlineStr">
        <is>
          <t>4103070</t>
        </is>
      </c>
      <c r="G115" t="inlineStr">
        <is>
          <t>Documentos de estudios técnicos</t>
        </is>
      </c>
      <c r="H115" t="inlineStr">
        <is>
          <t>410307001</t>
        </is>
      </c>
      <c r="I115" t="inlineStr">
        <is>
          <t>Documentos de estudios técnicos sobre pobreza y vulnerabilidad social elaborados</t>
        </is>
      </c>
      <c r="J115" t="inlineStr">
        <is>
          <t>2024251260028</t>
        </is>
      </c>
      <c r="K115" t="inlineStr">
        <is>
          <t>No</t>
        </is>
      </c>
      <c r="L115" t="inlineStr">
        <is>
          <t>Número</t>
        </is>
      </c>
      <c r="M115">
        <v>1</v>
      </c>
      <c r="N115">
        <v>1</v>
      </c>
      <c r="O115">
        <v>1</v>
      </c>
      <c r="P115">
        <v>1</v>
      </c>
      <c r="Q115">
        <v>1</v>
      </c>
      <c r="R115" t="inlineStr">
        <is>
          <t xml:space="preserve"> </t>
        </is>
      </c>
      <c r="S115" s="103" t="inlineStr">
        <is>
          <t xml:space="preserve"> </t>
        </is>
      </c>
      <c r="T115" t="inlineStr">
        <is>
          <t>No se encontró ejecución en PIIP</t>
        </is>
      </c>
      <c r="U115" t="inlineStr">
        <is>
          <t xml:space="preserve"> </t>
        </is>
      </c>
      <c r="V115" s="104" t="inlineStr">
        <is>
          <t xml:space="preserve"> </t>
        </is>
      </c>
      <c r="W115" t="inlineStr">
        <is>
          <t>No se encontró ejecución en PIIP</t>
        </is>
      </c>
    </row>
    <row r="116">
      <c r="A116" t="inlineStr">
        <is>
          <t>IP-119</t>
        </is>
      </c>
      <c r="B116" t="inlineStr">
        <is>
          <t>41</t>
        </is>
      </c>
      <c r="C116" t="inlineStr">
        <is>
          <t xml:space="preserve">Inclusión social y reconciliación </t>
        </is>
      </c>
      <c r="D116" t="inlineStr">
        <is>
          <t>4103</t>
        </is>
      </c>
      <c r="E116" t="inlineStr">
        <is>
          <t>Inclusión social y productiva para la población en situación de vulnerabilidad</t>
        </is>
      </c>
      <c r="F116" t="inlineStr">
        <is>
          <t>4103050</t>
        </is>
      </c>
      <c r="G116" t="inlineStr">
        <is>
          <t>Servicio de acompañamiento familiar y comunitario para la superación de la pobreza</t>
        </is>
      </c>
      <c r="H116" t="inlineStr">
        <is>
          <t>410305001</t>
        </is>
      </c>
      <c r="I116" t="inlineStr">
        <is>
          <t>Comunidades con acompañamiento familiar</t>
        </is>
      </c>
      <c r="J116" t="inlineStr">
        <is>
          <t>2024251260028</t>
        </is>
      </c>
      <c r="K116" t="inlineStr">
        <is>
          <t>No</t>
        </is>
      </c>
      <c r="L116" t="inlineStr">
        <is>
          <t>Número</t>
        </is>
      </c>
      <c r="M116">
        <v>1</v>
      </c>
      <c r="N116">
        <v>1</v>
      </c>
      <c r="O116">
        <v>1</v>
      </c>
      <c r="P116">
        <v>1</v>
      </c>
      <c r="Q116">
        <v>1</v>
      </c>
      <c r="R116" t="inlineStr">
        <is>
          <t xml:space="preserve"> </t>
        </is>
      </c>
      <c r="S116" s="103" t="inlineStr">
        <is>
          <t xml:space="preserve"> </t>
        </is>
      </c>
      <c r="T116" t="inlineStr">
        <is>
          <t>No se encontró ejecución en PIIP</t>
        </is>
      </c>
      <c r="U116" t="inlineStr">
        <is>
          <t xml:space="preserve"> </t>
        </is>
      </c>
      <c r="V116" s="104" t="inlineStr">
        <is>
          <t xml:space="preserve"> </t>
        </is>
      </c>
      <c r="W116" t="inlineStr">
        <is>
          <t>No se encontró ejecución en PIIP</t>
        </is>
      </c>
    </row>
    <row r="117">
      <c r="A117" t="inlineStr">
        <is>
          <t>IP-121, IP-122, IP-123</t>
        </is>
      </c>
      <c r="B117" t="inlineStr">
        <is>
          <t>41</t>
        </is>
      </c>
      <c r="C117" t="inlineStr">
        <is>
          <t xml:space="preserve">Inclusión social y reconciliación </t>
        </is>
      </c>
      <c r="D117" t="inlineStr">
        <is>
          <t>4104</t>
        </is>
      </c>
      <c r="E117" t="inlineStr">
        <is>
          <t>Atención integral de población en situación permanente de desprotección social y/o familiar</t>
        </is>
      </c>
      <c r="F117" t="inlineStr">
        <is>
          <t>4104037</t>
        </is>
      </c>
      <c r="G117" t="inlineStr">
        <is>
          <t>Centros de atención integral para personas con discapacidad adecuados</t>
        </is>
      </c>
      <c r="H117" t="inlineStr">
        <is>
          <t>410403700</t>
        </is>
      </c>
      <c r="I117" t="inlineStr">
        <is>
          <t>Centros de atención integral para personas con discapacidad adecuados</t>
        </is>
      </c>
      <c r="J117" t="inlineStr">
        <is>
          <t>2024251260029</t>
        </is>
      </c>
      <c r="K117" t="inlineStr">
        <is>
          <t>No</t>
        </is>
      </c>
      <c r="L117" t="inlineStr">
        <is>
          <t>Número</t>
        </is>
      </c>
      <c r="M117">
        <v>3</v>
      </c>
      <c r="N117">
        <v>3</v>
      </c>
      <c r="O117">
        <v>3</v>
      </c>
      <c r="P117">
        <v>3</v>
      </c>
      <c r="Q117">
        <v>3</v>
      </c>
      <c r="R117">
        <v>1</v>
      </c>
      <c r="S117" s="103">
        <v>0.333333333333333</v>
      </c>
      <c r="T117" t="inlineStr">
        <is>
          <t>Lo ejecutado está por debajo de lo programado en la vigencia</t>
        </is>
      </c>
      <c r="U117">
        <v>0.475</v>
      </c>
      <c r="V117" s="104">
        <v>0.158333333333333</v>
      </c>
      <c r="W117" t="inlineStr">
        <is>
          <t>Lo ejecutado está por debajo de lo programado en la vigencia</t>
        </is>
      </c>
    </row>
    <row r="118">
      <c r="A118" t="inlineStr">
        <is>
          <t>IP-124</t>
        </is>
      </c>
      <c r="B118" t="inlineStr">
        <is>
          <t>41</t>
        </is>
      </c>
      <c r="C118" t="inlineStr">
        <is>
          <t xml:space="preserve">Inclusión social y reconciliación </t>
        </is>
      </c>
      <c r="D118" t="inlineStr">
        <is>
          <t>4103</t>
        </is>
      </c>
      <c r="E118" t="inlineStr">
        <is>
          <t>Inclusión social y productiva para la población en situación de vulnerabilidad</t>
        </is>
      </c>
      <c r="F118" t="inlineStr">
        <is>
          <t>4103063</t>
        </is>
      </c>
      <c r="G118" t="inlineStr">
        <is>
          <t>Documentos de investigación</t>
        </is>
      </c>
      <c r="H118" t="inlineStr">
        <is>
          <t>410306300</t>
        </is>
      </c>
      <c r="I118" t="inlineStr">
        <is>
          <t>Documentos de investigación realizados</t>
        </is>
      </c>
      <c r="J118" t="inlineStr">
        <is>
          <t>2024251260028</t>
        </is>
      </c>
      <c r="K118" t="inlineStr">
        <is>
          <t>No</t>
        </is>
      </c>
      <c r="L118" t="inlineStr">
        <is>
          <t>Número</t>
        </is>
      </c>
      <c r="M118">
        <v>1</v>
      </c>
      <c r="N118">
        <v>1</v>
      </c>
      <c r="O118">
        <v>1</v>
      </c>
      <c r="P118">
        <v>1</v>
      </c>
      <c r="Q118">
        <v>1</v>
      </c>
      <c r="R118">
        <v>1</v>
      </c>
      <c r="S118" s="103">
        <v>1</v>
      </c>
      <c r="T118" t="inlineStr">
        <is>
          <t>Se ejecutó el 100% de lo programado en la vigencia</t>
        </is>
      </c>
      <c r="U118">
        <v>0.5</v>
      </c>
      <c r="V118" s="104">
        <v>0.5</v>
      </c>
      <c r="W118" t="inlineStr">
        <is>
          <t>Lo ejecutado está por debajo de lo programado en la vigencia</t>
        </is>
      </c>
    </row>
    <row r="119">
      <c r="A119" t="inlineStr">
        <is>
          <t>IP-125</t>
        </is>
      </c>
      <c r="B119" t="inlineStr">
        <is>
          <t>41</t>
        </is>
      </c>
      <c r="C119" t="inlineStr">
        <is>
          <t xml:space="preserve">Inclusión social y reconciliación </t>
        </is>
      </c>
      <c r="D119" t="inlineStr">
        <is>
          <t>4104</t>
        </is>
      </c>
      <c r="E119" t="inlineStr">
        <is>
          <t>Atención integral de población en situación permanente de desprotección social y/o familiar</t>
        </is>
      </c>
      <c r="F119" t="inlineStr">
        <is>
          <t>4104042</t>
        </is>
      </c>
      <c r="G119" t="inlineStr">
        <is>
          <t>Centros de atención integral para personas con discapacidad dotados</t>
        </is>
      </c>
      <c r="H119" t="inlineStr">
        <is>
          <t>410404200</t>
        </is>
      </c>
      <c r="I119" t="inlineStr">
        <is>
          <t>Centros de atención integral para personas con discapacidad dotados</t>
        </is>
      </c>
      <c r="J119" t="inlineStr">
        <is>
          <t>2024251260029</t>
        </is>
      </c>
      <c r="K119" t="inlineStr">
        <is>
          <t>No</t>
        </is>
      </c>
      <c r="L119" t="inlineStr">
        <is>
          <t>Número</t>
        </is>
      </c>
      <c r="M119">
        <v>1</v>
      </c>
      <c r="N119">
        <v>1</v>
      </c>
      <c r="O119">
        <v>1</v>
      </c>
      <c r="P119">
        <v>1</v>
      </c>
      <c r="Q119">
        <v>1</v>
      </c>
      <c r="R119" t="inlineStr">
        <is>
          <t xml:space="preserve"> </t>
        </is>
      </c>
      <c r="S119" s="103" t="inlineStr">
        <is>
          <t xml:space="preserve"> </t>
        </is>
      </c>
      <c r="T119" t="inlineStr">
        <is>
          <t>No se encontró ejecución en PIIP</t>
        </is>
      </c>
      <c r="U119" t="inlineStr">
        <is>
          <t xml:space="preserve"> </t>
        </is>
      </c>
      <c r="V119" s="104" t="inlineStr">
        <is>
          <t xml:space="preserve"> </t>
        </is>
      </c>
      <c r="W119" t="inlineStr">
        <is>
          <t>No se encontró ejecución en PIIP</t>
        </is>
      </c>
    </row>
    <row r="120">
      <c r="A120" t="inlineStr">
        <is>
          <t>IP-126</t>
        </is>
      </c>
      <c r="B120" t="inlineStr">
        <is>
          <t>41</t>
        </is>
      </c>
      <c r="C120" t="inlineStr">
        <is>
          <t xml:space="preserve">Inclusión social y reconciliación </t>
        </is>
      </c>
      <c r="D120" t="inlineStr">
        <is>
          <t>4101</t>
        </is>
      </c>
      <c r="E120" t="inlineStr">
        <is>
          <t>Atención, asistencia y reparación integral a las víctimas</t>
        </is>
      </c>
      <c r="F120" t="inlineStr">
        <is>
          <t>4101079</t>
        </is>
      </c>
      <c r="G120" t="inlineStr">
        <is>
          <t>Servicio de asistencia técnica a comunidades en temas de fortalecimiento del tejido social y construcción de escenarios comunitarios protectores de derechos</t>
        </is>
      </c>
      <c r="H120" t="inlineStr">
        <is>
          <t>410107900</t>
        </is>
      </c>
      <c r="I120" t="inlineStr">
        <is>
          <t>Acciones ejecutadas con las comunidades</t>
        </is>
      </c>
      <c r="J120" t="inlineStr">
        <is>
          <t>2024251260030</t>
        </is>
      </c>
      <c r="K120" t="inlineStr">
        <is>
          <t>No</t>
        </is>
      </c>
      <c r="L120" t="inlineStr">
        <is>
          <t>Número</t>
        </is>
      </c>
      <c r="M120">
        <v>1</v>
      </c>
      <c r="N120">
        <v>1</v>
      </c>
      <c r="O120">
        <v>1</v>
      </c>
      <c r="P120">
        <v>1</v>
      </c>
      <c r="Q120">
        <v>1</v>
      </c>
      <c r="R120">
        <v>0</v>
      </c>
      <c r="S120" s="103">
        <v>0</v>
      </c>
      <c r="T120" t="inlineStr">
        <is>
          <t>No se ejecutó en la vigencia</t>
        </is>
      </c>
      <c r="U120" t="inlineStr">
        <is>
          <t xml:space="preserve"> </t>
        </is>
      </c>
      <c r="V120" s="104" t="inlineStr">
        <is>
          <t xml:space="preserve"> </t>
        </is>
      </c>
      <c r="W120" t="inlineStr">
        <is>
          <t>No se encontró ejecución en PIIP</t>
        </is>
      </c>
    </row>
    <row r="121">
      <c r="A121" t="inlineStr">
        <is>
          <t>IP-127</t>
        </is>
      </c>
      <c r="B121" t="inlineStr">
        <is>
          <t>41</t>
        </is>
      </c>
      <c r="C121" t="inlineStr">
        <is>
          <t xml:space="preserve">Inclusión social y reconciliación </t>
        </is>
      </c>
      <c r="D121" t="inlineStr">
        <is>
          <t>4101</t>
        </is>
      </c>
      <c r="E121" t="inlineStr">
        <is>
          <t>Atención, asistencia y reparación integral a las víctimas</t>
        </is>
      </c>
      <c r="F121" t="inlineStr">
        <is>
          <t>4101025</t>
        </is>
      </c>
      <c r="G121" t="inlineStr">
        <is>
          <t>Servicio de ayuda y atención humanitaria</t>
        </is>
      </c>
      <c r="H121" t="inlineStr">
        <is>
          <t>410102506</t>
        </is>
      </c>
      <c r="I121" t="inlineStr">
        <is>
          <t>Hogares víctimas con atención humanitaria</t>
        </is>
      </c>
      <c r="J121" t="inlineStr">
        <is>
          <t>2024251260030</t>
        </is>
      </c>
      <c r="K121" t="inlineStr">
        <is>
          <t>Si</t>
        </is>
      </c>
      <c r="L121" t="inlineStr">
        <is>
          <t>Número</t>
        </is>
      </c>
      <c r="M121">
        <v>100</v>
      </c>
      <c r="N121">
        <v>100</v>
      </c>
      <c r="O121">
        <v>100</v>
      </c>
      <c r="P121">
        <v>100</v>
      </c>
      <c r="Q121">
        <v>100</v>
      </c>
      <c r="R121">
        <v>27</v>
      </c>
      <c r="S121" s="103">
        <v>0.27</v>
      </c>
      <c r="T121" t="inlineStr">
        <is>
          <t>Lo ejecutado está por debajo de lo programado en la vigencia</t>
        </is>
      </c>
      <c r="U121">
        <v>36</v>
      </c>
      <c r="V121" s="104">
        <v>0.36</v>
      </c>
      <c r="W121" t="inlineStr">
        <is>
          <t>Lo ejecutado está por debajo de lo programado en la vigencia</t>
        </is>
      </c>
    </row>
    <row r="122">
      <c r="A122" t="inlineStr">
        <is>
          <t>IP-128</t>
        </is>
      </c>
      <c r="B122" t="inlineStr">
        <is>
          <t>41</t>
        </is>
      </c>
      <c r="C122" t="inlineStr">
        <is>
          <t xml:space="preserve">Inclusión social y reconciliación </t>
        </is>
      </c>
      <c r="D122" t="inlineStr">
        <is>
          <t>4101</t>
        </is>
      </c>
      <c r="E122" t="inlineStr">
        <is>
          <t>Atención, asistencia y reparación integral a las víctimas</t>
        </is>
      </c>
      <c r="F122" t="inlineStr">
        <is>
          <t>4101027</t>
        </is>
      </c>
      <c r="G122" t="inlineStr">
        <is>
          <t>Servicio de asistencia funeraria</t>
        </is>
      </c>
      <c r="H122" t="inlineStr">
        <is>
          <t>410102702</t>
        </is>
      </c>
      <c r="I122" t="inlineStr">
        <is>
          <t>Recursos entregados en asistencia funeraria</t>
        </is>
      </c>
      <c r="J122" t="inlineStr">
        <is>
          <t>2024251260030</t>
        </is>
      </c>
      <c r="K122" t="inlineStr">
        <is>
          <t>No</t>
        </is>
      </c>
      <c r="L122" t="inlineStr">
        <is>
          <t>Pesos</t>
        </is>
      </c>
      <c r="M122">
        <v>100</v>
      </c>
      <c r="N122">
        <v>100</v>
      </c>
      <c r="O122">
        <v>100</v>
      </c>
      <c r="P122">
        <v>100</v>
      </c>
      <c r="Q122">
        <v>100</v>
      </c>
      <c r="R122">
        <v>1200</v>
      </c>
      <c r="S122" s="103">
        <v>12</v>
      </c>
      <c r="T122" t="inlineStr">
        <is>
          <t>Hubo ejecución por encima de lo programado en SisPT</t>
        </is>
      </c>
      <c r="U122">
        <v>12.5</v>
      </c>
      <c r="V122" s="104">
        <v>0.125</v>
      </c>
      <c r="W122" t="inlineStr">
        <is>
          <t>Lo ejecutado está por debajo de lo programado en la vigencia</t>
        </is>
      </c>
    </row>
    <row r="123">
      <c r="A123" t="inlineStr">
        <is>
          <t>IP-129</t>
        </is>
      </c>
      <c r="B123" t="inlineStr">
        <is>
          <t>41</t>
        </is>
      </c>
      <c r="C123" t="inlineStr">
        <is>
          <t xml:space="preserve">Inclusión social y reconciliación </t>
        </is>
      </c>
      <c r="D123" t="inlineStr">
        <is>
          <t>4101</t>
        </is>
      </c>
      <c r="E123" t="inlineStr">
        <is>
          <t>Atención, asistencia y reparación integral a las víctimas</t>
        </is>
      </c>
      <c r="F123" t="inlineStr">
        <is>
          <t>4101045</t>
        </is>
      </c>
      <c r="G123" t="inlineStr">
        <is>
          <t>Servicio de asistencia técnica para la formulación de planes y proyectos de reparación colectiva</t>
        </is>
      </c>
      <c r="H123" t="inlineStr">
        <is>
          <t>410104500</t>
        </is>
      </c>
      <c r="I123" t="inlineStr">
        <is>
          <t>Sujetos colectivos con proyecto o plan formulado</t>
        </is>
      </c>
      <c r="J123" t="inlineStr">
        <is>
          <t>2024251260030</t>
        </is>
      </c>
      <c r="K123" t="inlineStr">
        <is>
          <t>Si</t>
        </is>
      </c>
      <c r="L123" t="inlineStr">
        <is>
          <t>Número</t>
        </is>
      </c>
      <c r="M123">
        <v>1</v>
      </c>
      <c r="N123">
        <v>1</v>
      </c>
      <c r="O123">
        <v>1</v>
      </c>
      <c r="P123">
        <v>1</v>
      </c>
      <c r="Q123">
        <v>1</v>
      </c>
      <c r="R123">
        <v>25</v>
      </c>
      <c r="S123" s="103">
        <v>25</v>
      </c>
      <c r="T123" t="inlineStr">
        <is>
          <t>Hubo ejecución por encima de lo programado en SisPT</t>
        </is>
      </c>
      <c r="U123">
        <v>7.8</v>
      </c>
      <c r="V123" s="104">
        <v>7.8</v>
      </c>
      <c r="W123" t="inlineStr">
        <is>
          <t>Hubo ejecución por encima de lo programado en SisPT</t>
        </is>
      </c>
    </row>
    <row r="124">
      <c r="A124" t="inlineStr">
        <is>
          <t>IP-130</t>
        </is>
      </c>
      <c r="B124" t="inlineStr">
        <is>
          <t>41</t>
        </is>
      </c>
      <c r="C124" t="inlineStr">
        <is>
          <t xml:space="preserve">Inclusión social y reconciliación </t>
        </is>
      </c>
      <c r="D124" t="inlineStr">
        <is>
          <t>4101</t>
        </is>
      </c>
      <c r="E124" t="inlineStr">
        <is>
          <t>Atención, asistencia y reparación integral a las víctimas</t>
        </is>
      </c>
      <c r="F124" t="inlineStr">
        <is>
          <t>4101014</t>
        </is>
      </c>
      <c r="G124" t="inlineStr">
        <is>
          <t>Servicio de caracterización de la población víctima para su posterior atención, asistencia y reparación integral</t>
        </is>
      </c>
      <c r="H124" t="inlineStr">
        <is>
          <t>410101400</t>
        </is>
      </c>
      <c r="I124" t="inlineStr">
        <is>
          <t>Víctimas caracterizadas</t>
        </is>
      </c>
      <c r="J124" t="inlineStr">
        <is>
          <t>2024251260030</t>
        </is>
      </c>
      <c r="K124" t="inlineStr">
        <is>
          <t>Si</t>
        </is>
      </c>
      <c r="L124" t="inlineStr">
        <is>
          <t>Número</t>
        </is>
      </c>
      <c r="M124">
        <v>1</v>
      </c>
      <c r="N124">
        <v>1</v>
      </c>
      <c r="O124">
        <v>1</v>
      </c>
      <c r="P124">
        <v>1</v>
      </c>
      <c r="Q124">
        <v>1</v>
      </c>
      <c r="R124">
        <v>0</v>
      </c>
      <c r="S124" s="103">
        <v>0</v>
      </c>
      <c r="T124" t="inlineStr">
        <is>
          <t>No se ejecutó en la vigencia</t>
        </is>
      </c>
      <c r="U124">
        <v>2502</v>
      </c>
      <c r="V124" s="104">
        <v>2502</v>
      </c>
      <c r="W124" t="inlineStr">
        <is>
          <t>Hubo ejecución por encima de lo programado en SisPT</t>
        </is>
      </c>
    </row>
    <row r="125">
      <c r="A125" t="inlineStr">
        <is>
          <t>IP-131</t>
        </is>
      </c>
      <c r="B125" t="inlineStr">
        <is>
          <t>41</t>
        </is>
      </c>
      <c r="C125" t="inlineStr">
        <is>
          <t xml:space="preserve">Inclusión social y reconciliación </t>
        </is>
      </c>
      <c r="D125" t="inlineStr">
        <is>
          <t>4101</t>
        </is>
      </c>
      <c r="E125" t="inlineStr">
        <is>
          <t>Atención, asistencia y reparación integral a las víctimas</t>
        </is>
      </c>
      <c r="F125" t="inlineStr">
        <is>
          <t>4101063</t>
        </is>
      </c>
      <c r="G125" t="inlineStr">
        <is>
          <t>Servicios de asistencia técnica para la articulación interinstitucional en la implementación de la polìtica pública para las víctimas</t>
        </is>
      </c>
      <c r="H125" t="inlineStr">
        <is>
          <t>410106300</t>
        </is>
      </c>
      <c r="I125" t="inlineStr">
        <is>
          <t>Planes de acción articulados</t>
        </is>
      </c>
      <c r="J125" t="inlineStr">
        <is>
          <t>2024251260030</t>
        </is>
      </c>
      <c r="K125" t="inlineStr">
        <is>
          <t>No</t>
        </is>
      </c>
      <c r="L125" t="inlineStr">
        <is>
          <t>Número</t>
        </is>
      </c>
      <c r="M125">
        <v>100</v>
      </c>
      <c r="N125">
        <v>100</v>
      </c>
      <c r="O125">
        <v>100</v>
      </c>
      <c r="P125">
        <v>100</v>
      </c>
      <c r="Q125">
        <v>100</v>
      </c>
      <c r="R125">
        <v>0.25</v>
      </c>
      <c r="S125" s="103">
        <v>0.0025</v>
      </c>
      <c r="T125" t="inlineStr">
        <is>
          <t>Lo ejecutado está por debajo de lo programado en la vigencia</t>
        </is>
      </c>
      <c r="U125">
        <v>0.166</v>
      </c>
      <c r="V125" s="104">
        <v>0.00166</v>
      </c>
      <c r="W125" t="inlineStr">
        <is>
          <t>Lo ejecutado está por debajo de lo programado en la vigencia</t>
        </is>
      </c>
    </row>
    <row r="126">
      <c r="A126" t="inlineStr">
        <is>
          <t>IP-132</t>
        </is>
      </c>
      <c r="B126" t="inlineStr">
        <is>
          <t>41</t>
        </is>
      </c>
      <c r="C126" t="inlineStr">
        <is>
          <t xml:space="preserve">Inclusión social y reconciliación </t>
        </is>
      </c>
      <c r="D126" t="inlineStr">
        <is>
          <t>4101</t>
        </is>
      </c>
      <c r="E126" t="inlineStr">
        <is>
          <t>Atención, asistencia y reparación integral a las víctimas</t>
        </is>
      </c>
      <c r="F126" t="inlineStr">
        <is>
          <t>4101023</t>
        </is>
      </c>
      <c r="G126" t="inlineStr">
        <is>
          <t>Servicio de orientación y comunicación a las víctimas</t>
        </is>
      </c>
      <c r="H126" t="inlineStr">
        <is>
          <t>410102306</t>
        </is>
      </c>
      <c r="I126" t="inlineStr">
        <is>
          <t>Víctimas atendidas</t>
        </is>
      </c>
      <c r="J126" t="inlineStr">
        <is>
          <t>2024251260030</t>
        </is>
      </c>
      <c r="K126" t="inlineStr">
        <is>
          <t>Si</t>
        </is>
      </c>
      <c r="L126" t="inlineStr">
        <is>
          <t>Número</t>
        </is>
      </c>
      <c r="M126">
        <v>1</v>
      </c>
      <c r="N126">
        <v>1</v>
      </c>
      <c r="O126">
        <v>1</v>
      </c>
      <c r="P126">
        <v>1</v>
      </c>
      <c r="Q126">
        <v>1</v>
      </c>
      <c r="R126">
        <v>30</v>
      </c>
      <c r="S126" s="103">
        <v>30</v>
      </c>
      <c r="T126" t="inlineStr">
        <is>
          <t>Hubo ejecución por encima de lo programado en SisPT</t>
        </is>
      </c>
      <c r="U126">
        <v>91</v>
      </c>
      <c r="V126" s="104">
        <v>91</v>
      </c>
      <c r="W126" t="inlineStr">
        <is>
          <t>Hubo ejecución por encima de lo programado en SisPT</t>
        </is>
      </c>
    </row>
    <row r="127">
      <c r="A127" t="inlineStr">
        <is>
          <t>IP-133, IP-134</t>
        </is>
      </c>
      <c r="B127" t="inlineStr">
        <is>
          <t>41</t>
        </is>
      </c>
      <c r="C127" t="inlineStr">
        <is>
          <t xml:space="preserve">Inclusión social y reconciliación </t>
        </is>
      </c>
      <c r="D127" t="inlineStr">
        <is>
          <t>4103</t>
        </is>
      </c>
      <c r="E127" t="inlineStr">
        <is>
          <t>Inclusión social y productiva para la población en situación de vulnerabilidad</t>
        </is>
      </c>
      <c r="F127" t="inlineStr">
        <is>
          <t>4103052</t>
        </is>
      </c>
      <c r="G127" t="inlineStr">
        <is>
          <t>Servicio de gestión de oferta social para la población vulnerable</t>
        </is>
      </c>
      <c r="H127" t="inlineStr">
        <is>
          <t>410305202</t>
        </is>
      </c>
      <c r="I127" t="inlineStr">
        <is>
          <t>Mecanismos de articulación implementados para la gestión de oferta social</t>
        </is>
      </c>
      <c r="J127" t="inlineStr">
        <is>
          <t>2024251260031</t>
        </is>
      </c>
      <c r="K127" t="inlineStr">
        <is>
          <t>Si</t>
        </is>
      </c>
      <c r="L127" t="inlineStr">
        <is>
          <t>Número</t>
        </is>
      </c>
      <c r="M127">
        <v>2</v>
      </c>
      <c r="N127">
        <v>2</v>
      </c>
      <c r="O127">
        <v>2</v>
      </c>
      <c r="P127">
        <v>2</v>
      </c>
      <c r="Q127">
        <v>2</v>
      </c>
      <c r="R127" t="inlineStr">
        <is>
          <t xml:space="preserve"> </t>
        </is>
      </c>
      <c r="S127" s="103" t="inlineStr">
        <is>
          <t xml:space="preserve"> </t>
        </is>
      </c>
      <c r="T127" t="inlineStr">
        <is>
          <t>No se encontró ejecución en PIIP</t>
        </is>
      </c>
      <c r="U127" t="inlineStr">
        <is>
          <t xml:space="preserve"> </t>
        </is>
      </c>
      <c r="V127" s="104" t="inlineStr">
        <is>
          <t xml:space="preserve"> </t>
        </is>
      </c>
      <c r="W127" t="inlineStr">
        <is>
          <t>No se encontró ejecución en PIIP</t>
        </is>
      </c>
    </row>
    <row r="128">
      <c r="A128" t="inlineStr">
        <is>
          <t>IP-135</t>
        </is>
      </c>
      <c r="B128" t="inlineStr">
        <is>
          <t>41</t>
        </is>
      </c>
      <c r="C128" t="inlineStr">
        <is>
          <t xml:space="preserve">Inclusión social y reconciliación </t>
        </is>
      </c>
      <c r="D128" t="inlineStr">
        <is>
          <t>4103</t>
        </is>
      </c>
      <c r="E128" t="inlineStr">
        <is>
          <t>Inclusión social y productiva para la población en situación de vulnerabilidad</t>
        </is>
      </c>
      <c r="F128" t="inlineStr">
        <is>
          <t>4103052</t>
        </is>
      </c>
      <c r="G128" t="inlineStr">
        <is>
          <t>Servicio de gestión de oferta social para la población vulnerable</t>
        </is>
      </c>
      <c r="H128" t="inlineStr">
        <is>
          <t>410305200</t>
        </is>
      </c>
      <c r="I128" t="inlineStr">
        <is>
          <t>Beneficiarios potenciales para quienes se gestiona la oferta social</t>
        </is>
      </c>
      <c r="J128" t="inlineStr">
        <is>
          <t>2024251260031</t>
        </is>
      </c>
      <c r="K128" t="inlineStr">
        <is>
          <t>Si</t>
        </is>
      </c>
      <c r="L128" t="inlineStr">
        <is>
          <t>Número</t>
        </is>
      </c>
      <c r="M128">
        <v>1</v>
      </c>
      <c r="N128">
        <v>1</v>
      </c>
      <c r="O128">
        <v>1</v>
      </c>
      <c r="P128">
        <v>1</v>
      </c>
      <c r="Q128">
        <v>1</v>
      </c>
      <c r="R128" t="inlineStr">
        <is>
          <t xml:space="preserve"> </t>
        </is>
      </c>
      <c r="S128" s="103" t="inlineStr">
        <is>
          <t xml:space="preserve"> </t>
        </is>
      </c>
      <c r="T128" t="inlineStr">
        <is>
          <t>No se encontró ejecución en PIIP</t>
        </is>
      </c>
      <c r="U128" t="inlineStr">
        <is>
          <t xml:space="preserve"> </t>
        </is>
      </c>
      <c r="V128" s="104" t="inlineStr">
        <is>
          <t xml:space="preserve"> </t>
        </is>
      </c>
      <c r="W128" t="inlineStr">
        <is>
          <t>No se encontró ejecución en PIIP</t>
        </is>
      </c>
    </row>
    <row r="129">
      <c r="A129" t="inlineStr">
        <is>
          <t>IP-136</t>
        </is>
      </c>
      <c r="B129" t="inlineStr">
        <is>
          <t>22</t>
        </is>
      </c>
      <c r="C129" t="inlineStr">
        <is>
          <t>Educación</t>
        </is>
      </c>
      <c r="D129" t="inlineStr">
        <is>
          <t>2201</t>
        </is>
      </c>
      <c r="E129" t="inlineStr">
        <is>
          <t>Calidad, cobertura y fortalecimiento de la educación inicial, prescolar, básica y media</t>
        </is>
      </c>
      <c r="F129" t="inlineStr">
        <is>
          <t>2201052</t>
        </is>
      </c>
      <c r="G129" t="inlineStr">
        <is>
          <t>Infraestructura educativa mejorada</t>
        </is>
      </c>
      <c r="H129" t="inlineStr">
        <is>
          <t>220105200</t>
        </is>
      </c>
      <c r="I129" t="inlineStr">
        <is>
          <t xml:space="preserve">Sedes educativas mejoradas </t>
        </is>
      </c>
      <c r="J129" t="inlineStr">
        <is>
          <t>2024251260032</t>
        </is>
      </c>
      <c r="K129" t="inlineStr">
        <is>
          <t>No</t>
        </is>
      </c>
      <c r="L129" t="inlineStr">
        <is>
          <t>Número</t>
        </is>
      </c>
      <c r="M129">
        <v>1</v>
      </c>
      <c r="N129">
        <v>1</v>
      </c>
      <c r="O129">
        <v>1</v>
      </c>
      <c r="P129">
        <v>1</v>
      </c>
      <c r="Q129">
        <v>1</v>
      </c>
      <c r="R129">
        <v>0</v>
      </c>
      <c r="S129" s="103">
        <v>0</v>
      </c>
      <c r="T129" t="inlineStr">
        <is>
          <t>No se ejecutó en la vigencia</t>
        </is>
      </c>
      <c r="U129">
        <v>4</v>
      </c>
      <c r="V129" s="104">
        <v>4</v>
      </c>
      <c r="W129" t="inlineStr">
        <is>
          <t>Hubo ejecución por encima de lo programado en SisPT</t>
        </is>
      </c>
    </row>
    <row r="130">
      <c r="A130" t="inlineStr">
        <is>
          <t>IP-137</t>
        </is>
      </c>
      <c r="B130" t="inlineStr">
        <is>
          <t>22</t>
        </is>
      </c>
      <c r="C130" t="inlineStr">
        <is>
          <t>Educación</t>
        </is>
      </c>
      <c r="D130" t="inlineStr">
        <is>
          <t>2201</t>
        </is>
      </c>
      <c r="E130" t="inlineStr">
        <is>
          <t>Calidad, cobertura y fortalecimiento de la educación inicial, prescolar, básica y media</t>
        </is>
      </c>
      <c r="F130" t="inlineStr">
        <is>
          <t>2201051</t>
        </is>
      </c>
      <c r="G130" t="inlineStr">
        <is>
          <t>Infraestructura educativa construida</t>
        </is>
      </c>
      <c r="H130" t="inlineStr">
        <is>
          <t>220105102</t>
        </is>
      </c>
      <c r="I130" t="inlineStr">
        <is>
          <t>Sedes educativas nuevas construidas en zona rural</t>
        </is>
      </c>
      <c r="J130" t="inlineStr">
        <is>
          <t>2024251260032</t>
        </is>
      </c>
      <c r="K130" t="inlineStr">
        <is>
          <t>No</t>
        </is>
      </c>
      <c r="L130" t="inlineStr">
        <is>
          <t>Número</t>
        </is>
      </c>
      <c r="M130">
        <v>100</v>
      </c>
      <c r="N130">
        <v>25</v>
      </c>
      <c r="O130">
        <v>25</v>
      </c>
      <c r="P130">
        <v>25</v>
      </c>
      <c r="Q130">
        <v>25</v>
      </c>
      <c r="R130" t="inlineStr">
        <is>
          <t xml:space="preserve"> </t>
        </is>
      </c>
      <c r="S130" s="103" t="inlineStr">
        <is>
          <t xml:space="preserve"> </t>
        </is>
      </c>
      <c r="T130" t="inlineStr">
        <is>
          <t>No se encontró ejecución en PIIP</t>
        </is>
      </c>
      <c r="U130" t="inlineStr">
        <is>
          <t xml:space="preserve"> </t>
        </is>
      </c>
      <c r="V130" s="104" t="inlineStr">
        <is>
          <t xml:space="preserve"> </t>
        </is>
      </c>
      <c r="W130" t="inlineStr">
        <is>
          <t>No se encontró ejecución en PIIP</t>
        </is>
      </c>
    </row>
    <row r="131">
      <c r="A131" t="inlineStr">
        <is>
          <t>IP-138</t>
        </is>
      </c>
      <c r="B131" t="inlineStr">
        <is>
          <t>22</t>
        </is>
      </c>
      <c r="C131" t="inlineStr">
        <is>
          <t>Educación</t>
        </is>
      </c>
      <c r="D131" t="inlineStr">
        <is>
          <t>2201</t>
        </is>
      </c>
      <c r="E131" t="inlineStr">
        <is>
          <t>Calidad, cobertura y fortalecimiento de la educación inicial, prescolar, básica y media</t>
        </is>
      </c>
      <c r="F131" t="inlineStr">
        <is>
          <t>2201051</t>
        </is>
      </c>
      <c r="G131" t="inlineStr">
        <is>
          <t>Infraestructura educativa construida</t>
        </is>
      </c>
      <c r="H131" t="inlineStr">
        <is>
          <t>220105103</t>
        </is>
      </c>
      <c r="I131" t="inlineStr">
        <is>
          <t>Aulas nuevas construidas</t>
        </is>
      </c>
      <c r="J131" t="inlineStr">
        <is>
          <t>2024251260085</t>
        </is>
      </c>
      <c r="K131" t="inlineStr">
        <is>
          <t>Si</t>
        </is>
      </c>
      <c r="L131" t="inlineStr">
        <is>
          <t>Número</t>
        </is>
      </c>
      <c r="M131">
        <v>1</v>
      </c>
      <c r="N131">
        <v>0.25</v>
      </c>
      <c r="O131">
        <v>0.25</v>
      </c>
      <c r="P131">
        <v>0.25</v>
      </c>
      <c r="Q131">
        <v>0.25</v>
      </c>
      <c r="R131" t="inlineStr">
        <is>
          <t xml:space="preserve"> </t>
        </is>
      </c>
      <c r="S131" s="103" t="inlineStr">
        <is>
          <t xml:space="preserve"> </t>
        </is>
      </c>
      <c r="T131" t="inlineStr">
        <is>
          <t>No se encontró ejecución en PIIP</t>
        </is>
      </c>
      <c r="U131" t="inlineStr">
        <is>
          <t xml:space="preserve"> </t>
        </is>
      </c>
      <c r="V131" s="104" t="inlineStr">
        <is>
          <t xml:space="preserve"> </t>
        </is>
      </c>
      <c r="W131" t="inlineStr">
        <is>
          <t>No se encontró ejecución en PIIP</t>
        </is>
      </c>
    </row>
    <row r="132">
      <c r="A132" t="inlineStr">
        <is>
          <t>IP-139</t>
        </is>
      </c>
      <c r="B132" t="inlineStr">
        <is>
          <t>22</t>
        </is>
      </c>
      <c r="C132" t="inlineStr">
        <is>
          <t>Educación</t>
        </is>
      </c>
      <c r="D132" t="inlineStr">
        <is>
          <t>2201</t>
        </is>
      </c>
      <c r="E132" t="inlineStr">
        <is>
          <t>Calidad, cobertura y fortalecimiento de la educación inicial, prescolar, básica y media</t>
        </is>
      </c>
      <c r="F132" t="inlineStr">
        <is>
          <t>2201052</t>
        </is>
      </c>
      <c r="G132" t="inlineStr">
        <is>
          <t>Infraestructura educativa mejorada</t>
        </is>
      </c>
      <c r="H132" t="inlineStr">
        <is>
          <t>220105203</t>
        </is>
      </c>
      <c r="I132" t="inlineStr">
        <is>
          <t>Aulas mejoradas intervenidas</t>
        </is>
      </c>
      <c r="J132" t="inlineStr">
        <is>
          <t>2024251260033</t>
        </is>
      </c>
      <c r="K132" t="inlineStr">
        <is>
          <t>Si</t>
        </is>
      </c>
      <c r="L132" t="inlineStr">
        <is>
          <t>Número</t>
        </is>
      </c>
      <c r="M132">
        <v>1</v>
      </c>
      <c r="N132">
        <v>0.25</v>
      </c>
      <c r="O132">
        <v>0.25</v>
      </c>
      <c r="P132">
        <v>0.25</v>
      </c>
      <c r="Q132">
        <v>0.25</v>
      </c>
      <c r="R132" t="inlineStr">
        <is>
          <t xml:space="preserve"> </t>
        </is>
      </c>
      <c r="S132" s="103" t="inlineStr">
        <is>
          <t xml:space="preserve"> </t>
        </is>
      </c>
      <c r="T132" t="inlineStr">
        <is>
          <t>No se encontró ejecución en PIIP</t>
        </is>
      </c>
      <c r="U132" t="inlineStr">
        <is>
          <t xml:space="preserve"> </t>
        </is>
      </c>
      <c r="V132" s="104" t="inlineStr">
        <is>
          <t xml:space="preserve"> </t>
        </is>
      </c>
      <c r="W132" t="inlineStr">
        <is>
          <t>No se encontró ejecución en PIIP</t>
        </is>
      </c>
    </row>
    <row r="133">
      <c r="A133" t="inlineStr">
        <is>
          <t>IP-140</t>
        </is>
      </c>
      <c r="B133" t="inlineStr">
        <is>
          <t>22</t>
        </is>
      </c>
      <c r="C133" t="inlineStr">
        <is>
          <t>Educación</t>
        </is>
      </c>
      <c r="D133" t="inlineStr">
        <is>
          <t>2201</t>
        </is>
      </c>
      <c r="E133" t="inlineStr">
        <is>
          <t>Calidad, cobertura y fortalecimiento de la educación inicial, prescolar, básica y media</t>
        </is>
      </c>
      <c r="F133" t="inlineStr">
        <is>
          <t>2201006</t>
        </is>
      </c>
      <c r="G133" t="inlineStr">
        <is>
          <t>Servicio de asistencia técnica en educación inicial, preescolar, básica y media</t>
        </is>
      </c>
      <c r="H133" t="inlineStr">
        <is>
          <t>220100614</t>
        </is>
      </c>
      <c r="I133" t="inlineStr">
        <is>
          <t>Secretarías de Educación certificadas con acompañamiento en la implementación de estrategias de calidad educativa, que repercuten en permanencia en el sistema educativo</t>
        </is>
      </c>
      <c r="J133" t="inlineStr">
        <is>
          <t>2024251260034</t>
        </is>
      </c>
      <c r="K133" t="inlineStr">
        <is>
          <t>Si</t>
        </is>
      </c>
      <c r="L133" t="inlineStr">
        <is>
          <t>Número</t>
        </is>
      </c>
      <c r="M133">
        <v>1</v>
      </c>
      <c r="N133">
        <v>0</v>
      </c>
      <c r="O133">
        <v>0</v>
      </c>
      <c r="P133">
        <v>0</v>
      </c>
      <c r="Q133">
        <v>1</v>
      </c>
      <c r="R133" t="inlineStr">
        <is>
          <t xml:space="preserve"> </t>
        </is>
      </c>
      <c r="S133" s="103" t="inlineStr">
        <is>
          <t xml:space="preserve"> </t>
        </is>
      </c>
      <c r="T133" t="inlineStr">
        <is>
          <t>No se encontró ejecución en PIIP</t>
        </is>
      </c>
      <c r="U133" t="inlineStr">
        <is>
          <t xml:space="preserve"> </t>
        </is>
      </c>
      <c r="V133" s="104" t="inlineStr">
        <is>
          <t xml:space="preserve"> </t>
        </is>
      </c>
      <c r="W133" t="inlineStr">
        <is>
          <t>No se encontró ejecución en PIIP</t>
        </is>
      </c>
    </row>
    <row r="134">
      <c r="A134" t="inlineStr">
        <is>
          <t>IP-141</t>
        </is>
      </c>
      <c r="B134" t="inlineStr">
        <is>
          <t>22</t>
        </is>
      </c>
      <c r="C134" t="inlineStr">
        <is>
          <t>Educación</t>
        </is>
      </c>
      <c r="D134" t="inlineStr">
        <is>
          <t>2201</t>
        </is>
      </c>
      <c r="E134" t="inlineStr">
        <is>
          <t>Calidad, cobertura y fortalecimiento de la educación inicial, prescolar, básica y media</t>
        </is>
      </c>
      <c r="F134" t="inlineStr">
        <is>
          <t>2201005</t>
        </is>
      </c>
      <c r="G134" t="inlineStr">
        <is>
          <t>Documentos de lineamientos técnicos</t>
        </is>
      </c>
      <c r="H134" t="inlineStr">
        <is>
          <t>220100501</t>
        </is>
      </c>
      <c r="I134" t="inlineStr">
        <is>
          <t>Documentos  de lineamientos técnicos formulados en el marco de las estrategias de calidad educativa.</t>
        </is>
      </c>
      <c r="J134" t="inlineStr">
        <is>
          <t>2024251260034</t>
        </is>
      </c>
      <c r="K134" t="inlineStr">
        <is>
          <t>No</t>
        </is>
      </c>
      <c r="L134" t="inlineStr">
        <is>
          <t>Número</t>
        </is>
      </c>
      <c r="M134">
        <v>100</v>
      </c>
      <c r="N134">
        <v>100</v>
      </c>
      <c r="O134">
        <v>100</v>
      </c>
      <c r="P134">
        <v>100</v>
      </c>
      <c r="Q134">
        <v>100</v>
      </c>
      <c r="R134">
        <v>1</v>
      </c>
      <c r="S134" s="103">
        <v>0.01</v>
      </c>
      <c r="T134" t="inlineStr">
        <is>
          <t>Lo ejecutado está por debajo de lo programado en la vigencia</t>
        </is>
      </c>
      <c r="U134" t="inlineStr">
        <is>
          <t xml:space="preserve"> </t>
        </is>
      </c>
      <c r="V134" s="104" t="inlineStr">
        <is>
          <t xml:space="preserve"> </t>
        </is>
      </c>
      <c r="W134" t="inlineStr">
        <is>
          <t>No se encontró ejecución en PIIP</t>
        </is>
      </c>
    </row>
    <row r="135">
      <c r="A135" t="inlineStr">
        <is>
          <t>IP-142</t>
        </is>
      </c>
      <c r="B135" t="inlineStr">
        <is>
          <t>22</t>
        </is>
      </c>
      <c r="C135" t="inlineStr">
        <is>
          <t>Educación</t>
        </is>
      </c>
      <c r="D135" t="inlineStr">
        <is>
          <t>2201</t>
        </is>
      </c>
      <c r="E135" t="inlineStr">
        <is>
          <t>Calidad, cobertura y fortalecimiento de la educación inicial, prescolar, básica y media</t>
        </is>
      </c>
      <c r="F135" t="inlineStr">
        <is>
          <t>2201071</t>
        </is>
      </c>
      <c r="G135" t="inlineStr">
        <is>
          <t>Servicio educativo</t>
        </is>
      </c>
      <c r="H135" t="inlineStr">
        <is>
          <t>220107101</t>
        </is>
      </c>
      <c r="I135" t="inlineStr">
        <is>
          <t>Establecimientos educativos con recursos del Sistema General de Participaciones -SGP- en operación</t>
        </is>
      </c>
      <c r="J135" t="inlineStr">
        <is>
          <t>2024251260034</t>
        </is>
      </c>
      <c r="K135" t="inlineStr">
        <is>
          <t>No</t>
        </is>
      </c>
      <c r="L135" t="inlineStr">
        <is>
          <t>Número</t>
        </is>
      </c>
      <c r="M135">
        <v>100</v>
      </c>
      <c r="N135">
        <v>100</v>
      </c>
      <c r="O135">
        <v>100</v>
      </c>
      <c r="P135">
        <v>100</v>
      </c>
      <c r="Q135">
        <v>100</v>
      </c>
      <c r="R135">
        <v>6</v>
      </c>
      <c r="S135" s="103">
        <v>0.06</v>
      </c>
      <c r="T135" t="inlineStr">
        <is>
          <t>Lo ejecutado está por debajo de lo programado en la vigencia</t>
        </is>
      </c>
      <c r="U135">
        <v>6</v>
      </c>
      <c r="V135" s="104">
        <v>0.06</v>
      </c>
      <c r="W135" t="inlineStr">
        <is>
          <t>Lo ejecutado está por debajo de lo programado en la vigencia</t>
        </is>
      </c>
    </row>
    <row r="136">
      <c r="A136" t="inlineStr">
        <is>
          <t>IP-143</t>
        </is>
      </c>
      <c r="B136" t="inlineStr">
        <is>
          <t>22</t>
        </is>
      </c>
      <c r="C136" t="inlineStr">
        <is>
          <t>Educación</t>
        </is>
      </c>
      <c r="D136" t="inlineStr">
        <is>
          <t>2201</t>
        </is>
      </c>
      <c r="E136" t="inlineStr">
        <is>
          <t>Calidad, cobertura y fortalecimiento de la educación inicial, prescolar, básica y media</t>
        </is>
      </c>
      <c r="F136" t="inlineStr">
        <is>
          <t>2201028</t>
        </is>
      </c>
      <c r="G136" t="inlineStr">
        <is>
          <t>Servicio de apoyo a la permanencia con alimentación escolar</t>
        </is>
      </c>
      <c r="H136" t="inlineStr">
        <is>
          <t>220102805</t>
        </is>
      </c>
      <c r="I136" t="inlineStr">
        <is>
          <t>Estudiantes beneficiados del programa de alimentación escolar</t>
        </is>
      </c>
      <c r="J136" t="inlineStr">
        <is>
          <t>2024251260034</t>
        </is>
      </c>
      <c r="K136" t="inlineStr">
        <is>
          <t>No</t>
        </is>
      </c>
      <c r="L136" t="inlineStr">
        <is>
          <t>Número</t>
        </is>
      </c>
      <c r="M136">
        <v>100</v>
      </c>
      <c r="N136">
        <v>100</v>
      </c>
      <c r="O136">
        <v>100</v>
      </c>
      <c r="P136">
        <v>100</v>
      </c>
      <c r="Q136">
        <v>100</v>
      </c>
      <c r="R136">
        <v>7999</v>
      </c>
      <c r="S136" s="103">
        <v>79.99</v>
      </c>
      <c r="T136" t="inlineStr">
        <is>
          <t>Hubo ejecución por encima de lo programado en SisPT</t>
        </is>
      </c>
      <c r="U136">
        <v>4200</v>
      </c>
      <c r="V136" s="104">
        <v>42</v>
      </c>
      <c r="W136" t="inlineStr">
        <is>
          <t>Hubo ejecución por encima de lo programado en SisPT</t>
        </is>
      </c>
    </row>
    <row r="137">
      <c r="A137" t="inlineStr">
        <is>
          <t>IP-144</t>
        </is>
      </c>
      <c r="B137" t="inlineStr">
        <is>
          <t>22</t>
        </is>
      </c>
      <c r="C137" t="inlineStr">
        <is>
          <t>Educación</t>
        </is>
      </c>
      <c r="D137" t="inlineStr">
        <is>
          <t>2201</t>
        </is>
      </c>
      <c r="E137" t="inlineStr">
        <is>
          <t>Calidad, cobertura y fortalecimiento de la educación inicial, prescolar, básica y media</t>
        </is>
      </c>
      <c r="F137" t="inlineStr">
        <is>
          <t>2201005</t>
        </is>
      </c>
      <c r="G137" t="inlineStr">
        <is>
          <t>Documentos de lineamientos técnicos</t>
        </is>
      </c>
      <c r="H137" t="inlineStr">
        <is>
          <t>220100500</t>
        </is>
      </c>
      <c r="I137" t="inlineStr">
        <is>
          <t>Documentos de lineamientos técnicos en educación inicial, preescolar, básica y media expedidos</t>
        </is>
      </c>
      <c r="J137" t="inlineStr">
        <is>
          <t>2024251260034</t>
        </is>
      </c>
      <c r="K137" t="inlineStr">
        <is>
          <t>Si</t>
        </is>
      </c>
      <c r="L137" t="inlineStr">
        <is>
          <t>Número</t>
        </is>
      </c>
      <c r="M137">
        <v>1</v>
      </c>
      <c r="N137">
        <v>0</v>
      </c>
      <c r="O137">
        <v>0.33</v>
      </c>
      <c r="P137">
        <v>0.33</v>
      </c>
      <c r="Q137">
        <v>0.34</v>
      </c>
      <c r="R137" t="inlineStr">
        <is>
          <t xml:space="preserve"> </t>
        </is>
      </c>
      <c r="S137" s="103" t="inlineStr">
        <is>
          <t xml:space="preserve"> </t>
        </is>
      </c>
      <c r="T137" t="inlineStr">
        <is>
          <t>No se encontró ejecución en PIIP</t>
        </is>
      </c>
      <c r="U137" t="inlineStr">
        <is>
          <t xml:space="preserve"> </t>
        </is>
      </c>
      <c r="V137" s="104" t="inlineStr">
        <is>
          <t xml:space="preserve"> </t>
        </is>
      </c>
      <c r="W137" t="inlineStr">
        <is>
          <t>No se encontró ejecución en PIIP</t>
        </is>
      </c>
    </row>
    <row r="138">
      <c r="A138" t="inlineStr">
        <is>
          <t>IP-145</t>
        </is>
      </c>
      <c r="B138" t="inlineStr">
        <is>
          <t>22</t>
        </is>
      </c>
      <c r="C138" t="inlineStr">
        <is>
          <t>Educación</t>
        </is>
      </c>
      <c r="D138" t="inlineStr">
        <is>
          <t>2201</t>
        </is>
      </c>
      <c r="E138" t="inlineStr">
        <is>
          <t>Calidad, cobertura y fortalecimiento de la educación inicial, prescolar, básica y media</t>
        </is>
      </c>
      <c r="F138" t="inlineStr">
        <is>
          <t>2201029</t>
        </is>
      </c>
      <c r="G138" t="inlineStr">
        <is>
          <t>Servicio de apoyo a la permanencia con transporte escolar</t>
        </is>
      </c>
      <c r="H138" t="inlineStr">
        <is>
          <t>220102900</t>
        </is>
      </c>
      <c r="I138" t="inlineStr">
        <is>
          <t>Beneficiarios de transporte escolar</t>
        </is>
      </c>
      <c r="J138" t="inlineStr">
        <is>
          <t>2024251260034</t>
        </is>
      </c>
      <c r="K138" t="inlineStr">
        <is>
          <t>No</t>
        </is>
      </c>
      <c r="L138" t="inlineStr">
        <is>
          <t>Número</t>
        </is>
      </c>
      <c r="M138">
        <v>100</v>
      </c>
      <c r="N138">
        <v>100</v>
      </c>
      <c r="O138">
        <v>100</v>
      </c>
      <c r="P138">
        <v>100</v>
      </c>
      <c r="Q138">
        <v>100</v>
      </c>
      <c r="R138">
        <v>100</v>
      </c>
      <c r="S138" s="103">
        <v>1</v>
      </c>
      <c r="T138" t="inlineStr">
        <is>
          <t>Se ejecutó el 100% de lo programado en la vigencia</t>
        </is>
      </c>
      <c r="U138">
        <v>50</v>
      </c>
      <c r="V138" s="104">
        <v>0.5</v>
      </c>
      <c r="W138" t="inlineStr">
        <is>
          <t>Lo ejecutado está por debajo de lo programado en la vigencia</t>
        </is>
      </c>
    </row>
    <row r="139">
      <c r="A139" t="inlineStr">
        <is>
          <t>IP-146</t>
        </is>
      </c>
      <c r="B139" t="inlineStr">
        <is>
          <t>22</t>
        </is>
      </c>
      <c r="C139" t="inlineStr">
        <is>
          <t>Educación</t>
        </is>
      </c>
      <c r="D139" t="inlineStr">
        <is>
          <t>2201</t>
        </is>
      </c>
      <c r="E139" t="inlineStr">
        <is>
          <t>Calidad, cobertura y fortalecimiento de la educación inicial, prescolar, básica y media</t>
        </is>
      </c>
      <c r="F139" t="inlineStr">
        <is>
          <t>2201030</t>
        </is>
      </c>
      <c r="G139" t="inlineStr">
        <is>
          <t>Servicio educación formal por modelos educativos flexibles</t>
        </is>
      </c>
      <c r="H139" t="inlineStr">
        <is>
          <t>220103000</t>
        </is>
      </c>
      <c r="I139" t="inlineStr">
        <is>
          <t>Beneficiarios atendidos con modelos educativos flexibles</t>
        </is>
      </c>
      <c r="J139" t="inlineStr">
        <is>
          <t>2024251260034</t>
        </is>
      </c>
      <c r="K139" t="inlineStr">
        <is>
          <t>No</t>
        </is>
      </c>
      <c r="L139" t="inlineStr">
        <is>
          <t>Número</t>
        </is>
      </c>
      <c r="M139">
        <v>1</v>
      </c>
      <c r="N139">
        <v>1</v>
      </c>
      <c r="O139">
        <v>1</v>
      </c>
      <c r="P139">
        <v>1</v>
      </c>
      <c r="Q139">
        <v>1</v>
      </c>
      <c r="R139">
        <v>297</v>
      </c>
      <c r="S139" s="103">
        <v>297</v>
      </c>
      <c r="T139" t="inlineStr">
        <is>
          <t>Hubo ejecución por encima de lo programado en SisPT</t>
        </is>
      </c>
      <c r="U139">
        <v>210</v>
      </c>
      <c r="V139" s="104">
        <v>210</v>
      </c>
      <c r="W139" t="inlineStr">
        <is>
          <t>Hubo ejecución por encima de lo programado en SisPT</t>
        </is>
      </c>
    </row>
    <row r="140">
      <c r="A140" t="inlineStr">
        <is>
          <t>IP-147</t>
        </is>
      </c>
      <c r="B140" t="inlineStr">
        <is>
          <t>22</t>
        </is>
      </c>
      <c r="C140" t="inlineStr">
        <is>
          <t>Educación</t>
        </is>
      </c>
      <c r="D140" t="inlineStr">
        <is>
          <t>2201</t>
        </is>
      </c>
      <c r="E140" t="inlineStr">
        <is>
          <t>Calidad, cobertura y fortalecimiento de la educación inicial, prescolar, básica y media</t>
        </is>
      </c>
      <c r="F140" t="inlineStr">
        <is>
          <t>2201070</t>
        </is>
      </c>
      <c r="G140" t="inlineStr">
        <is>
          <t>Ambientes de aprendizaje para la educación inicial preescolar, básica y media dotados</t>
        </is>
      </c>
      <c r="H140" t="inlineStr">
        <is>
          <t>220107001</t>
        </is>
      </c>
      <c r="I140" t="inlineStr">
        <is>
          <t>Ambientes de aprendizaje para la educación inicial, preescolar y básica primaria con dotaciones pedagógicas en el marco de la atención integral</t>
        </is>
      </c>
      <c r="J140" t="inlineStr">
        <is>
          <t>2024251260034</t>
        </is>
      </c>
      <c r="K140" t="inlineStr">
        <is>
          <t>No</t>
        </is>
      </c>
      <c r="L140" t="inlineStr">
        <is>
          <t>Número</t>
        </is>
      </c>
      <c r="M140">
        <v>1</v>
      </c>
      <c r="N140">
        <v>1</v>
      </c>
      <c r="O140">
        <v>1</v>
      </c>
      <c r="P140">
        <v>1</v>
      </c>
      <c r="Q140">
        <v>1</v>
      </c>
      <c r="R140">
        <v>6</v>
      </c>
      <c r="S140" s="103">
        <v>6</v>
      </c>
      <c r="T140" t="inlineStr">
        <is>
          <t>Hubo ejecución por encima de lo programado en SisPT</t>
        </is>
      </c>
      <c r="U140">
        <v>6</v>
      </c>
      <c r="V140" s="104">
        <v>6</v>
      </c>
      <c r="W140" t="inlineStr">
        <is>
          <t>Hubo ejecución por encima de lo programado en SisPT</t>
        </is>
      </c>
    </row>
    <row r="141">
      <c r="A141" t="inlineStr">
        <is>
          <t>IP-148</t>
        </is>
      </c>
      <c r="B141" t="inlineStr">
        <is>
          <t>22</t>
        </is>
      </c>
      <c r="C141" t="inlineStr">
        <is>
          <t>Educación</t>
        </is>
      </c>
      <c r="D141" t="inlineStr">
        <is>
          <t>2201</t>
        </is>
      </c>
      <c r="E141" t="inlineStr">
        <is>
          <t>Calidad, cobertura y fortalecimiento de la educación inicial, prescolar, básica y media</t>
        </is>
      </c>
      <c r="F141" t="inlineStr">
        <is>
          <t>2201005</t>
        </is>
      </c>
      <c r="G141" t="inlineStr">
        <is>
          <t>Documentos de lineamientos técnicos</t>
        </is>
      </c>
      <c r="H141" t="inlineStr">
        <is>
          <t>220100502</t>
        </is>
      </c>
      <c r="I141" t="inlineStr">
        <is>
          <t>Documentos de lineamientos técnicos de educación inicial formulados</t>
        </is>
      </c>
      <c r="J141" t="inlineStr">
        <is>
          <t>2024251260034</t>
        </is>
      </c>
      <c r="K141" t="inlineStr">
        <is>
          <t>Si</t>
        </is>
      </c>
      <c r="L141" t="inlineStr">
        <is>
          <t>Número</t>
        </is>
      </c>
      <c r="M141">
        <v>1</v>
      </c>
      <c r="N141">
        <v>0</v>
      </c>
      <c r="O141">
        <v>0.33</v>
      </c>
      <c r="P141">
        <v>0.33</v>
      </c>
      <c r="Q141">
        <v>0.34</v>
      </c>
      <c r="R141" t="inlineStr">
        <is>
          <t xml:space="preserve"> </t>
        </is>
      </c>
      <c r="S141" s="103" t="inlineStr">
        <is>
          <t xml:space="preserve"> </t>
        </is>
      </c>
      <c r="T141" t="inlineStr">
        <is>
          <t>No se encontró ejecución en PIIP</t>
        </is>
      </c>
      <c r="U141" t="inlineStr">
        <is>
          <t xml:space="preserve"> </t>
        </is>
      </c>
      <c r="V141" s="104" t="inlineStr">
        <is>
          <t xml:space="preserve"> </t>
        </is>
      </c>
      <c r="W141" t="inlineStr">
        <is>
          <t>No se encontró ejecución en PIIP</t>
        </is>
      </c>
    </row>
    <row r="142">
      <c r="A142" t="inlineStr">
        <is>
          <t>IP-149</t>
        </is>
      </c>
      <c r="B142" t="inlineStr">
        <is>
          <t>22</t>
        </is>
      </c>
      <c r="C142" t="inlineStr">
        <is>
          <t>Educación</t>
        </is>
      </c>
      <c r="D142" t="inlineStr">
        <is>
          <t>2201</t>
        </is>
      </c>
      <c r="E142" t="inlineStr">
        <is>
          <t>Calidad, cobertura y fortalecimiento de la educación inicial, prescolar, básica y media</t>
        </is>
      </c>
      <c r="F142" t="inlineStr">
        <is>
          <t>2201073</t>
        </is>
      </c>
      <c r="G142" t="inlineStr">
        <is>
          <t>Servicio de evaluación de la calidad de la educación inicial, preescolar, básica y media</t>
        </is>
      </c>
      <c r="H142" t="inlineStr">
        <is>
          <t>220107304</t>
        </is>
      </c>
      <c r="I142" t="inlineStr">
        <is>
          <t>Estudiantes de media evaluados con pruebas nacionales</t>
        </is>
      </c>
      <c r="J142" t="inlineStr">
        <is>
          <t>2024251260034</t>
        </is>
      </c>
      <c r="K142" t="inlineStr">
        <is>
          <t>No</t>
        </is>
      </c>
      <c r="L142" t="inlineStr">
        <is>
          <t>Número</t>
        </is>
      </c>
      <c r="M142">
        <v>1</v>
      </c>
      <c r="N142">
        <v>1</v>
      </c>
      <c r="O142">
        <v>1</v>
      </c>
      <c r="P142">
        <v>1</v>
      </c>
      <c r="Q142">
        <v>1</v>
      </c>
      <c r="R142">
        <v>515</v>
      </c>
      <c r="S142" s="103">
        <v>515</v>
      </c>
      <c r="T142" t="inlineStr">
        <is>
          <t>Hubo ejecución por encima de lo programado en SisPT</t>
        </is>
      </c>
      <c r="U142">
        <v>304</v>
      </c>
      <c r="V142" s="104">
        <v>304</v>
      </c>
      <c r="W142" t="inlineStr">
        <is>
          <t>Hubo ejecución por encima de lo programado en SisPT</t>
        </is>
      </c>
    </row>
    <row r="143">
      <c r="A143" t="inlineStr">
        <is>
          <t>IP-150</t>
        </is>
      </c>
      <c r="B143" t="inlineStr">
        <is>
          <t>22</t>
        </is>
      </c>
      <c r="C143" t="inlineStr">
        <is>
          <t>Educación</t>
        </is>
      </c>
      <c r="D143" t="inlineStr">
        <is>
          <t>2201</t>
        </is>
      </c>
      <c r="E143" t="inlineStr">
        <is>
          <t>Calidad, cobertura y fortalecimiento de la educación inicial, prescolar, básica y media</t>
        </is>
      </c>
      <c r="F143" t="inlineStr">
        <is>
          <t>2201076</t>
        </is>
      </c>
      <c r="G143" t="inlineStr">
        <is>
          <t>Servicio de asistencia técnica a comunidades en fortalecimiento del tejido social y construcción de escenarios comunitarios protectores de derechos</t>
        </is>
      </c>
      <c r="H143" t="inlineStr">
        <is>
          <t>220107601</t>
        </is>
      </c>
      <c r="I143" t="inlineStr">
        <is>
          <t>Familias atendidas</t>
        </is>
      </c>
      <c r="J143" t="inlineStr">
        <is>
          <t>2024251260034</t>
        </is>
      </c>
      <c r="K143" t="inlineStr">
        <is>
          <t>Si</t>
        </is>
      </c>
      <c r="L143" t="inlineStr">
        <is>
          <t>Número</t>
        </is>
      </c>
      <c r="M143">
        <v>1</v>
      </c>
      <c r="N143">
        <v>0.25</v>
      </c>
      <c r="O143">
        <v>0.25</v>
      </c>
      <c r="P143">
        <v>0.25</v>
      </c>
      <c r="Q143">
        <v>0.25</v>
      </c>
      <c r="R143" t="inlineStr">
        <is>
          <t xml:space="preserve"> </t>
        </is>
      </c>
      <c r="S143" s="103" t="inlineStr">
        <is>
          <t xml:space="preserve"> </t>
        </is>
      </c>
      <c r="T143" t="inlineStr">
        <is>
          <t>No se encontró ejecución en PIIP</t>
        </is>
      </c>
      <c r="U143" t="inlineStr">
        <is>
          <t xml:space="preserve"> </t>
        </is>
      </c>
      <c r="V143" s="104" t="inlineStr">
        <is>
          <t xml:space="preserve"> </t>
        </is>
      </c>
      <c r="W143" t="inlineStr">
        <is>
          <t>No se encontró ejecución en PIIP</t>
        </is>
      </c>
    </row>
    <row r="144">
      <c r="A144" t="inlineStr">
        <is>
          <t>IP-151</t>
        </is>
      </c>
      <c r="B144" t="inlineStr">
        <is>
          <t>22</t>
        </is>
      </c>
      <c r="C144" t="inlineStr">
        <is>
          <t>Educación</t>
        </is>
      </c>
      <c r="D144" t="inlineStr">
        <is>
          <t>2201</t>
        </is>
      </c>
      <c r="E144" t="inlineStr">
        <is>
          <t>Calidad, cobertura y fortalecimiento de la educación inicial, prescolar, básica y media</t>
        </is>
      </c>
      <c r="F144" t="inlineStr">
        <is>
          <t>2201084</t>
        </is>
      </c>
      <c r="G144" t="inlineStr">
        <is>
          <t>Servicio de apoyo pedagógico para  la oferta de educación inclusiva para preescolar, básica y media</t>
        </is>
      </c>
      <c r="H144" t="inlineStr">
        <is>
          <t>220108401</t>
        </is>
      </c>
      <c r="I144" t="inlineStr">
        <is>
          <t>Beneficiarios de apoyo pedagógico para  la oferta de educación inclusiva para preescolar, básica y media</t>
        </is>
      </c>
      <c r="J144" t="inlineStr">
        <is>
          <t>2024251260034</t>
        </is>
      </c>
      <c r="K144" t="inlineStr">
        <is>
          <t>Si</t>
        </is>
      </c>
      <c r="L144" t="inlineStr">
        <is>
          <t>Número</t>
        </is>
      </c>
      <c r="M144">
        <v>1</v>
      </c>
      <c r="N144">
        <v>0.25</v>
      </c>
      <c r="O144">
        <v>0.25</v>
      </c>
      <c r="P144">
        <v>0.25</v>
      </c>
      <c r="Q144">
        <v>0.25</v>
      </c>
      <c r="R144" t="inlineStr">
        <is>
          <t xml:space="preserve"> </t>
        </is>
      </c>
      <c r="S144" s="103" t="inlineStr">
        <is>
          <t xml:space="preserve"> </t>
        </is>
      </c>
      <c r="T144" t="inlineStr">
        <is>
          <t>No se encontró ejecución en PIIP</t>
        </is>
      </c>
      <c r="U144" t="inlineStr">
        <is>
          <t xml:space="preserve"> </t>
        </is>
      </c>
      <c r="V144" s="104" t="inlineStr">
        <is>
          <t xml:space="preserve"> </t>
        </is>
      </c>
      <c r="W144" t="inlineStr">
        <is>
          <t>No se encontró ejecución en PIIP</t>
        </is>
      </c>
    </row>
    <row r="145">
      <c r="A145" t="inlineStr">
        <is>
          <t>IP-152</t>
        </is>
      </c>
      <c r="B145" t="inlineStr">
        <is>
          <t>22</t>
        </is>
      </c>
      <c r="C145" t="inlineStr">
        <is>
          <t>Educación</t>
        </is>
      </c>
      <c r="D145" t="inlineStr">
        <is>
          <t>2201</t>
        </is>
      </c>
      <c r="E145" t="inlineStr">
        <is>
          <t>Calidad, cobertura y fortalecimiento de la educación inicial, prescolar, básica y media</t>
        </is>
      </c>
      <c r="F145" t="inlineStr">
        <is>
          <t>2201034</t>
        </is>
      </c>
      <c r="G145" t="inlineStr">
        <is>
          <t>Servicio educativos de promoción del bilingüismo</t>
        </is>
      </c>
      <c r="H145" t="inlineStr">
        <is>
          <t>220103401</t>
        </is>
      </c>
      <c r="I145" t="inlineStr">
        <is>
          <t>Instituciones educativas fortalecidas en competencias comunicativas en un segundo idioma</t>
        </is>
      </c>
      <c r="J145" t="inlineStr">
        <is>
          <t>2024251260034</t>
        </is>
      </c>
      <c r="K145" t="inlineStr">
        <is>
          <t>No</t>
        </is>
      </c>
      <c r="L145" t="inlineStr">
        <is>
          <t>Número</t>
        </is>
      </c>
      <c r="M145">
        <v>1</v>
      </c>
      <c r="N145">
        <v>1</v>
      </c>
      <c r="O145">
        <v>1</v>
      </c>
      <c r="P145">
        <v>1</v>
      </c>
      <c r="Q145">
        <v>1</v>
      </c>
      <c r="R145">
        <v>6</v>
      </c>
      <c r="S145" s="103">
        <v>6</v>
      </c>
      <c r="T145" t="inlineStr">
        <is>
          <t>Hubo ejecución por encima de lo programado en SisPT</t>
        </is>
      </c>
      <c r="U145">
        <v>110</v>
      </c>
      <c r="V145" s="104">
        <v>110</v>
      </c>
      <c r="W145" t="inlineStr">
        <is>
          <t>Hubo ejecución por encima de lo programado en SisPT</t>
        </is>
      </c>
    </row>
    <row r="146">
      <c r="A146" t="inlineStr">
        <is>
          <t>IP-153</t>
        </is>
      </c>
      <c r="B146" t="inlineStr">
        <is>
          <t>22</t>
        </is>
      </c>
      <c r="C146" t="inlineStr">
        <is>
          <t>Educación</t>
        </is>
      </c>
      <c r="D146" t="inlineStr">
        <is>
          <t>2201</t>
        </is>
      </c>
      <c r="E146" t="inlineStr">
        <is>
          <t>Calidad, cobertura y fortalecimiento de la educación inicial, prescolar, básica y media</t>
        </is>
      </c>
      <c r="F146" t="inlineStr">
        <is>
          <t>2201006</t>
        </is>
      </c>
      <c r="G146" t="inlineStr">
        <is>
          <t>Servicio de asistencia técnica en educación inicial, preescolar, básica y media</t>
        </is>
      </c>
      <c r="H146" t="inlineStr">
        <is>
          <t>220100602</t>
        </is>
      </c>
      <c r="I146" t="inlineStr">
        <is>
          <t>Establecimientos Educativos oficiales con acompañamiento en el marco de las estrategias de calidad educativa</t>
        </is>
      </c>
      <c r="J146" t="inlineStr">
        <is>
          <t>2024251260034</t>
        </is>
      </c>
      <c r="K146" t="inlineStr">
        <is>
          <t>No</t>
        </is>
      </c>
      <c r="L146" t="inlineStr">
        <is>
          <t>Número</t>
        </is>
      </c>
      <c r="M146">
        <v>1</v>
      </c>
      <c r="N146">
        <v>1</v>
      </c>
      <c r="O146">
        <v>1</v>
      </c>
      <c r="P146">
        <v>1</v>
      </c>
      <c r="Q146">
        <v>1</v>
      </c>
      <c r="R146">
        <v>6</v>
      </c>
      <c r="S146" s="103">
        <v>6</v>
      </c>
      <c r="T146" t="inlineStr">
        <is>
          <t>Hubo ejecución por encima de lo programado en SisPT</t>
        </is>
      </c>
      <c r="U146">
        <v>0.6936</v>
      </c>
      <c r="V146" s="104">
        <v>0.6936</v>
      </c>
      <c r="W146" t="inlineStr">
        <is>
          <t>Lo ejecutado está por debajo de lo programado en la vigencia</t>
        </is>
      </c>
    </row>
    <row r="147">
      <c r="A147" t="inlineStr">
        <is>
          <t>IP-154</t>
        </is>
      </c>
      <c r="B147" t="inlineStr">
        <is>
          <t>22</t>
        </is>
      </c>
      <c r="C147" t="inlineStr">
        <is>
          <t>Educación</t>
        </is>
      </c>
      <c r="D147" t="inlineStr">
        <is>
          <t>2201</t>
        </is>
      </c>
      <c r="E147" t="inlineStr">
        <is>
          <t>Calidad, cobertura y fortalecimiento de la educación inicial, prescolar, básica y media</t>
        </is>
      </c>
      <c r="F147" t="inlineStr">
        <is>
          <t>2201006</t>
        </is>
      </c>
      <c r="G147" t="inlineStr">
        <is>
          <t>Servicio de asistencia técnica en educación inicial, preescolar, básica y media</t>
        </is>
      </c>
      <c r="H147" t="inlineStr">
        <is>
          <t>220100600</t>
        </is>
      </c>
      <c r="I147" t="inlineStr">
        <is>
          <t>Entidades y organizaciones asistidas técnicamente</t>
        </is>
      </c>
      <c r="J147" t="inlineStr">
        <is>
          <t>2024251260034</t>
        </is>
      </c>
      <c r="K147" t="inlineStr">
        <is>
          <t>No</t>
        </is>
      </c>
      <c r="L147" t="inlineStr">
        <is>
          <t>Número</t>
        </is>
      </c>
      <c r="M147">
        <v>6</v>
      </c>
      <c r="N147">
        <v>6</v>
      </c>
      <c r="O147">
        <v>6</v>
      </c>
      <c r="P147">
        <v>6</v>
      </c>
      <c r="Q147">
        <v>6</v>
      </c>
      <c r="R147">
        <v>6</v>
      </c>
      <c r="S147" s="103">
        <v>1</v>
      </c>
      <c r="T147" t="inlineStr">
        <is>
          <t>Se ejecutó el 100% de lo programado en la vigencia</t>
        </is>
      </c>
      <c r="U147">
        <v>3</v>
      </c>
      <c r="V147" s="104">
        <v>0.5</v>
      </c>
      <c r="W147" t="inlineStr">
        <is>
          <t>Lo ejecutado está por debajo de lo programado en la vigencia</t>
        </is>
      </c>
    </row>
    <row r="148">
      <c r="A148" t="inlineStr">
        <is>
          <t>IP-155</t>
        </is>
      </c>
      <c r="B148" t="inlineStr">
        <is>
          <t>22</t>
        </is>
      </c>
      <c r="C148" t="inlineStr">
        <is>
          <t>Educación</t>
        </is>
      </c>
      <c r="D148" t="inlineStr">
        <is>
          <t>2201</t>
        </is>
      </c>
      <c r="E148" t="inlineStr">
        <is>
          <t>Calidad, cobertura y fortalecimiento de la educación inicial, prescolar, básica y media</t>
        </is>
      </c>
      <c r="F148" t="inlineStr">
        <is>
          <t>2201069</t>
        </is>
      </c>
      <c r="G148" t="inlineStr">
        <is>
          <t>Infraestructura educativa dotada</t>
        </is>
      </c>
      <c r="H148" t="inlineStr">
        <is>
          <t>220106902</t>
        </is>
      </c>
      <c r="I148" t="inlineStr">
        <is>
          <t>Sedes dotadas con materiales pedagógicos</t>
        </is>
      </c>
      <c r="J148" t="inlineStr">
        <is>
          <t>2024251260034</t>
        </is>
      </c>
      <c r="K148" t="inlineStr">
        <is>
          <t>No</t>
        </is>
      </c>
      <c r="L148" t="inlineStr">
        <is>
          <t>Número</t>
        </is>
      </c>
      <c r="M148">
        <v>1</v>
      </c>
      <c r="N148">
        <v>1</v>
      </c>
      <c r="O148">
        <v>1</v>
      </c>
      <c r="P148">
        <v>1</v>
      </c>
      <c r="Q148">
        <v>1</v>
      </c>
      <c r="R148">
        <v>6</v>
      </c>
      <c r="S148" s="103">
        <v>6</v>
      </c>
      <c r="T148" t="inlineStr">
        <is>
          <t>Hubo ejecución por encima de lo programado en SisPT</t>
        </is>
      </c>
      <c r="U148">
        <v>3</v>
      </c>
      <c r="V148" s="104">
        <v>3</v>
      </c>
      <c r="W148" t="inlineStr">
        <is>
          <t>Hubo ejecución por encima de lo programado en SisPT</t>
        </is>
      </c>
    </row>
    <row r="149">
      <c r="A149" t="inlineStr">
        <is>
          <t>IP-156</t>
        </is>
      </c>
      <c r="B149" t="inlineStr">
        <is>
          <t>22</t>
        </is>
      </c>
      <c r="C149" t="inlineStr">
        <is>
          <t>Educación</t>
        </is>
      </c>
      <c r="D149" t="inlineStr">
        <is>
          <t>2202</t>
        </is>
      </c>
      <c r="E149" t="inlineStr">
        <is>
          <t>Calidad y fomento de la educación superior</t>
        </is>
      </c>
      <c r="F149" t="inlineStr">
        <is>
          <t>2202067</t>
        </is>
      </c>
      <c r="G149" t="inlineStr">
        <is>
          <t>Servicio de articulación entre la educación superior  y el sector productivo.</t>
        </is>
      </c>
      <c r="H149" t="inlineStr">
        <is>
          <t>220206700</t>
        </is>
      </c>
      <c r="I149" t="inlineStr">
        <is>
          <t xml:space="preserve">Programas y proyectos de educación o investigación articulados con el sector productivo </t>
        </is>
      </c>
      <c r="J149" t="inlineStr">
        <is>
          <t>2024251260035</t>
        </is>
      </c>
      <c r="K149" t="inlineStr">
        <is>
          <t>No</t>
        </is>
      </c>
      <c r="L149" t="inlineStr">
        <is>
          <t>Número</t>
        </is>
      </c>
      <c r="M149">
        <v>1</v>
      </c>
      <c r="N149">
        <v>1</v>
      </c>
      <c r="O149">
        <v>1</v>
      </c>
      <c r="P149">
        <v>1</v>
      </c>
      <c r="Q149">
        <v>1</v>
      </c>
      <c r="R149">
        <v>2</v>
      </c>
      <c r="S149" s="103">
        <v>2</v>
      </c>
      <c r="T149" t="inlineStr">
        <is>
          <t>Hubo ejecución por encima de lo programado en SisPT</t>
        </is>
      </c>
      <c r="U149">
        <v>0.5</v>
      </c>
      <c r="V149" s="104">
        <v>0.5</v>
      </c>
      <c r="W149" t="inlineStr">
        <is>
          <t>Lo ejecutado está por debajo de lo programado en la vigencia</t>
        </is>
      </c>
    </row>
    <row r="150">
      <c r="A150" t="inlineStr">
        <is>
          <t>IP-157</t>
        </is>
      </c>
      <c r="B150" t="inlineStr">
        <is>
          <t>22</t>
        </is>
      </c>
      <c r="C150" t="inlineStr">
        <is>
          <t>Educación</t>
        </is>
      </c>
      <c r="D150" t="inlineStr">
        <is>
          <t>2202</t>
        </is>
      </c>
      <c r="E150" t="inlineStr">
        <is>
          <t>Calidad y fomento de la educación superior</t>
        </is>
      </c>
      <c r="F150" t="inlineStr">
        <is>
          <t>2202062</t>
        </is>
      </c>
      <c r="G150" t="inlineStr">
        <is>
          <t xml:space="preserve">Servicio de fomento para el acceso a la educación superior </t>
        </is>
      </c>
      <c r="H150" t="inlineStr">
        <is>
          <t>220206200</t>
        </is>
      </c>
      <c r="I150" t="inlineStr">
        <is>
          <t>Beneficiarios de estrategias o programas de  fomento para el acceso a la educación superior</t>
        </is>
      </c>
      <c r="J150" t="inlineStr">
        <is>
          <t>2024251260035</t>
        </is>
      </c>
      <c r="K150" t="inlineStr">
        <is>
          <t>No</t>
        </is>
      </c>
      <c r="L150" t="inlineStr">
        <is>
          <t>Número</t>
        </is>
      </c>
      <c r="M150">
        <v>1</v>
      </c>
      <c r="N150">
        <v>1</v>
      </c>
      <c r="O150">
        <v>1</v>
      </c>
      <c r="P150">
        <v>1</v>
      </c>
      <c r="Q150">
        <v>1</v>
      </c>
      <c r="R150">
        <v>676</v>
      </c>
      <c r="S150" s="103">
        <v>676</v>
      </c>
      <c r="T150" t="inlineStr">
        <is>
          <t>Hubo ejecución por encima de lo programado en SisPT</t>
        </is>
      </c>
      <c r="U150">
        <v>200</v>
      </c>
      <c r="V150" s="104">
        <v>200</v>
      </c>
      <c r="W150" t="inlineStr">
        <is>
          <t>Hubo ejecución por encima de lo programado en SisPT</t>
        </is>
      </c>
    </row>
    <row r="151">
      <c r="A151" t="inlineStr">
        <is>
          <t>IP-158</t>
        </is>
      </c>
      <c r="B151" t="inlineStr">
        <is>
          <t>22</t>
        </is>
      </c>
      <c r="C151" t="inlineStr">
        <is>
          <t>Educación</t>
        </is>
      </c>
      <c r="D151" t="inlineStr">
        <is>
          <t>2202</t>
        </is>
      </c>
      <c r="E151" t="inlineStr">
        <is>
          <t>Calidad y fomento de la educación superior</t>
        </is>
      </c>
      <c r="F151" t="inlineStr">
        <is>
          <t>2202063</t>
        </is>
      </c>
      <c r="G151" t="inlineStr">
        <is>
          <t>Servicio de apoyo financiero para el acceso a la educación superior</t>
        </is>
      </c>
      <c r="H151" t="inlineStr">
        <is>
          <t>220206300</t>
        </is>
      </c>
      <c r="I151" t="inlineStr">
        <is>
          <t xml:space="preserve">Beneficiarios de estrategias o programas de  apoyo financiero para el acceso a la educación superior  </t>
        </is>
      </c>
      <c r="J151" t="inlineStr">
        <is>
          <t>2024251260035</t>
        </is>
      </c>
      <c r="K151" t="inlineStr">
        <is>
          <t>No</t>
        </is>
      </c>
      <c r="L151" t="inlineStr">
        <is>
          <t>Número</t>
        </is>
      </c>
      <c r="M151">
        <v>1</v>
      </c>
      <c r="N151">
        <v>1</v>
      </c>
      <c r="O151">
        <v>1</v>
      </c>
      <c r="P151">
        <v>1</v>
      </c>
      <c r="Q151">
        <v>1</v>
      </c>
      <c r="R151">
        <v>516</v>
      </c>
      <c r="S151" s="103">
        <v>516</v>
      </c>
      <c r="T151" t="inlineStr">
        <is>
          <t>Hubo ejecución por encima de lo programado en SisPT</t>
        </is>
      </c>
      <c r="U151">
        <v>200</v>
      </c>
      <c r="V151" s="104">
        <v>200</v>
      </c>
      <c r="W151" t="inlineStr">
        <is>
          <t>Hubo ejecución por encima de lo programado en SisPT</t>
        </is>
      </c>
    </row>
    <row r="152">
      <c r="A152" t="inlineStr">
        <is>
          <t>IP-159, IP-187</t>
        </is>
      </c>
      <c r="B152" t="inlineStr">
        <is>
          <t>19</t>
        </is>
      </c>
      <c r="C152" t="inlineStr">
        <is>
          <t>Salud y protección social</t>
        </is>
      </c>
      <c r="D152" t="inlineStr">
        <is>
          <t>1903</t>
        </is>
      </c>
      <c r="E152" t="inlineStr">
        <is>
          <t>Inspección, vigilancia y control</t>
        </is>
      </c>
      <c r="F152" t="inlineStr">
        <is>
          <t>1903025</t>
        </is>
      </c>
      <c r="G152" t="inlineStr">
        <is>
          <t>Servicio de implementación de estrategias para el fortalecimiento del control social en salud</t>
        </is>
      </c>
      <c r="H152" t="inlineStr">
        <is>
          <t>190302500</t>
        </is>
      </c>
      <c r="I152" t="inlineStr">
        <is>
          <t>estrategias para el fortalecimiento del control social en salud implementadas</t>
        </is>
      </c>
      <c r="J152" t="inlineStr">
        <is>
          <t>2024251260038</t>
        </is>
      </c>
      <c r="K152" t="inlineStr">
        <is>
          <t>No</t>
        </is>
      </c>
      <c r="L152" t="inlineStr">
        <is>
          <t>Número</t>
        </is>
      </c>
      <c r="M152">
        <v>101</v>
      </c>
      <c r="N152">
        <v>101</v>
      </c>
      <c r="O152">
        <v>101</v>
      </c>
      <c r="P152">
        <v>101</v>
      </c>
      <c r="Q152">
        <v>101</v>
      </c>
      <c r="R152">
        <v>2</v>
      </c>
      <c r="S152" s="103">
        <v>0.0198019801980198</v>
      </c>
      <c r="T152" t="inlineStr">
        <is>
          <t>Lo ejecutado está por debajo de lo programado en la vigencia</t>
        </is>
      </c>
      <c r="U152">
        <v>2</v>
      </c>
      <c r="V152" s="104">
        <v>0.0198019801980198</v>
      </c>
      <c r="W152" t="inlineStr">
        <is>
          <t>Lo ejecutado está por debajo de lo programado en la vigencia</t>
        </is>
      </c>
    </row>
    <row r="153">
      <c r="A153" t="inlineStr">
        <is>
          <t>IP-160</t>
        </is>
      </c>
      <c r="B153" t="inlineStr">
        <is>
          <t>19</t>
        </is>
      </c>
      <c r="C153" t="inlineStr">
        <is>
          <t>Salud y protección social</t>
        </is>
      </c>
      <c r="D153" t="inlineStr">
        <is>
          <t>1906</t>
        </is>
      </c>
      <c r="E153" t="inlineStr">
        <is>
          <t>Aseguramiento y prestación integral de servicios de salud</t>
        </is>
      </c>
      <c r="F153" t="inlineStr">
        <is>
          <t>1906044</t>
        </is>
      </c>
      <c r="G153" t="inlineStr">
        <is>
          <t>Servicio de afiliaciones al régimen subsidiado del Sistema General de Seguridad Social</t>
        </is>
      </c>
      <c r="H153" t="inlineStr">
        <is>
          <t>190604400</t>
        </is>
      </c>
      <c r="I153" t="inlineStr">
        <is>
          <t>Personas afiliadas al régimen subsidiado</t>
        </is>
      </c>
      <c r="J153" t="inlineStr">
        <is>
          <t>2024251260036</t>
        </is>
      </c>
      <c r="K153" t="inlineStr">
        <is>
          <t>No</t>
        </is>
      </c>
      <c r="L153" t="inlineStr">
        <is>
          <t>Número</t>
        </is>
      </c>
      <c r="M153">
        <v>100</v>
      </c>
      <c r="N153">
        <v>100</v>
      </c>
      <c r="O153">
        <v>100</v>
      </c>
      <c r="P153">
        <v>100</v>
      </c>
      <c r="Q153">
        <v>100</v>
      </c>
      <c r="R153">
        <v>15244</v>
      </c>
      <c r="S153" s="103">
        <v>152.44</v>
      </c>
      <c r="T153" t="inlineStr">
        <is>
          <t>Hubo ejecución por encima de lo programado en SisPT</t>
        </is>
      </c>
      <c r="U153">
        <v>111108</v>
      </c>
      <c r="V153" s="104">
        <v>1111.08</v>
      </c>
      <c r="W153" t="inlineStr">
        <is>
          <t>Hubo ejecución por encima de lo programado en SisPT</t>
        </is>
      </c>
    </row>
    <row r="154">
      <c r="A154" t="inlineStr">
        <is>
          <t>IP-161</t>
        </is>
      </c>
      <c r="B154" t="inlineStr">
        <is>
          <t>19</t>
        </is>
      </c>
      <c r="C154" t="inlineStr">
        <is>
          <t>Salud y protección social</t>
        </is>
      </c>
      <c r="D154" t="inlineStr">
        <is>
          <t>1906</t>
        </is>
      </c>
      <c r="E154" t="inlineStr">
        <is>
          <t>Aseguramiento y prestación integral de servicios de salud</t>
        </is>
      </c>
      <c r="F154" t="inlineStr">
        <is>
          <t>1906004</t>
        </is>
      </c>
      <c r="G154" t="inlineStr">
        <is>
          <t>Servicio de atención en salud a la población</t>
        </is>
      </c>
      <c r="H154" t="inlineStr">
        <is>
          <t>190600402</t>
        </is>
      </c>
      <c r="I154" t="inlineStr">
        <is>
          <t>Personas no afiliadas atendidas con servicios de salud diferente de población migrante</t>
        </is>
      </c>
      <c r="J154" t="inlineStr">
        <is>
          <t>2024251260036</t>
        </is>
      </c>
      <c r="K154" t="inlineStr">
        <is>
          <t>No</t>
        </is>
      </c>
      <c r="L154" t="inlineStr">
        <is>
          <t>Número</t>
        </is>
      </c>
      <c r="M154">
        <v>1</v>
      </c>
      <c r="N154">
        <v>1</v>
      </c>
      <c r="O154">
        <v>1</v>
      </c>
      <c r="P154">
        <v>1</v>
      </c>
      <c r="Q154">
        <v>1</v>
      </c>
      <c r="R154" t="inlineStr">
        <is>
          <t xml:space="preserve"> </t>
        </is>
      </c>
      <c r="S154" s="103" t="inlineStr">
        <is>
          <t xml:space="preserve"> </t>
        </is>
      </c>
      <c r="T154" t="inlineStr">
        <is>
          <t>No se encontró ejecución en PIIP</t>
        </is>
      </c>
      <c r="U154" t="inlineStr">
        <is>
          <t xml:space="preserve"> </t>
        </is>
      </c>
      <c r="V154" s="104" t="inlineStr">
        <is>
          <t xml:space="preserve"> </t>
        </is>
      </c>
      <c r="W154" t="inlineStr">
        <is>
          <t>No se encontró ejecución en PIIP</t>
        </is>
      </c>
    </row>
    <row r="155">
      <c r="A155" t="inlineStr">
        <is>
          <t>IP-162</t>
        </is>
      </c>
      <c r="B155" t="inlineStr">
        <is>
          <t>19</t>
        </is>
      </c>
      <c r="C155" t="inlineStr">
        <is>
          <t>Salud y protección social</t>
        </is>
      </c>
      <c r="D155" t="inlineStr">
        <is>
          <t>1906</t>
        </is>
      </c>
      <c r="E155" t="inlineStr">
        <is>
          <t>Aseguramiento y prestación integral de servicios de salud</t>
        </is>
      </c>
      <c r="F155" t="inlineStr">
        <is>
          <t>1906035</t>
        </is>
      </c>
      <c r="G155" t="inlineStr">
        <is>
          <t>Servicio de apoyo financiero para la atención en salud a la población</t>
        </is>
      </c>
      <c r="H155" t="inlineStr">
        <is>
          <t>190603500</t>
        </is>
      </c>
      <c r="I155" t="inlineStr">
        <is>
          <t>Instituciones financiadas para la atención en salud a la población</t>
        </is>
      </c>
      <c r="J155" t="inlineStr">
        <is>
          <t>2024251260036</t>
        </is>
      </c>
      <c r="K155" t="inlineStr">
        <is>
          <t>No</t>
        </is>
      </c>
      <c r="L155" t="inlineStr">
        <is>
          <t>Número</t>
        </is>
      </c>
      <c r="M155">
        <v>1</v>
      </c>
      <c r="N155">
        <v>1</v>
      </c>
      <c r="O155">
        <v>1</v>
      </c>
      <c r="P155">
        <v>1</v>
      </c>
      <c r="Q155">
        <v>1</v>
      </c>
      <c r="R155">
        <v>1</v>
      </c>
      <c r="S155" s="103">
        <v>1</v>
      </c>
      <c r="T155" t="inlineStr">
        <is>
          <t>Se ejecutó el 100% de lo programado en la vigencia</t>
        </is>
      </c>
      <c r="U155">
        <v>0.6</v>
      </c>
      <c r="V155" s="104">
        <v>0.6</v>
      </c>
      <c r="W155" t="inlineStr">
        <is>
          <t>Lo ejecutado está por debajo de lo programado en la vigencia</t>
        </is>
      </c>
    </row>
    <row r="156">
      <c r="A156" t="inlineStr">
        <is>
          <t>IP-163</t>
        </is>
      </c>
      <c r="B156" t="inlineStr">
        <is>
          <t>19</t>
        </is>
      </c>
      <c r="C156" t="inlineStr">
        <is>
          <t>Salud y protección social</t>
        </is>
      </c>
      <c r="D156" t="inlineStr">
        <is>
          <t>1905</t>
        </is>
      </c>
      <c r="E156" t="inlineStr">
        <is>
          <t>Salud pública</t>
        </is>
      </c>
      <c r="F156" t="inlineStr">
        <is>
          <t>1905040</t>
        </is>
      </c>
      <c r="G156" t="inlineStr">
        <is>
          <t>Servicio de certificación de discapacidad para las personas con discapacidad</t>
        </is>
      </c>
      <c r="H156" t="inlineStr">
        <is>
          <t>190504000</t>
        </is>
      </c>
      <c r="I156" t="inlineStr">
        <is>
          <t>Personas con servicio de certificación de discapacidad</t>
        </is>
      </c>
      <c r="J156" t="inlineStr">
        <is>
          <t>2024251260037</t>
        </is>
      </c>
      <c r="K156" t="inlineStr">
        <is>
          <t>No</t>
        </is>
      </c>
      <c r="L156" t="inlineStr">
        <is>
          <t>Número</t>
        </is>
      </c>
      <c r="M156">
        <v>100</v>
      </c>
      <c r="N156">
        <v>100</v>
      </c>
      <c r="O156">
        <v>100</v>
      </c>
      <c r="P156">
        <v>100</v>
      </c>
      <c r="Q156">
        <v>100</v>
      </c>
      <c r="R156">
        <v>240</v>
      </c>
      <c r="S156" s="103">
        <v>2.4</v>
      </c>
      <c r="T156" t="inlineStr">
        <is>
          <t>Hubo ejecución por encima de lo programado en SisPT</t>
        </is>
      </c>
      <c r="U156">
        <v>129</v>
      </c>
      <c r="V156" s="104">
        <v>1.29</v>
      </c>
      <c r="W156" t="inlineStr">
        <is>
          <t>Hubo ejecución por encima de lo programado en SisPT</t>
        </is>
      </c>
    </row>
    <row r="157">
      <c r="A157" t="inlineStr">
        <is>
          <t>IP-164</t>
        </is>
      </c>
      <c r="B157" t="inlineStr">
        <is>
          <t>19</t>
        </is>
      </c>
      <c r="C157" t="inlineStr">
        <is>
          <t>Salud y protección social</t>
        </is>
      </c>
      <c r="D157" t="inlineStr">
        <is>
          <t>1905</t>
        </is>
      </c>
      <c r="E157" t="inlineStr">
        <is>
          <t>Salud pública</t>
        </is>
      </c>
      <c r="F157" t="inlineStr">
        <is>
          <t>1905054</t>
        </is>
      </c>
      <c r="G157" t="inlineStr">
        <is>
          <t>Servicio de promoción de la salud</t>
        </is>
      </c>
      <c r="H157" t="inlineStr">
        <is>
          <t>190505412</t>
        </is>
      </c>
      <c r="I157" t="inlineStr">
        <is>
          <t>Estrategias de promoción de la salud en modos, condiciones y estilos de vida saludables implementadas</t>
        </is>
      </c>
      <c r="J157" t="inlineStr">
        <is>
          <t>2024251260037</t>
        </is>
      </c>
      <c r="K157" t="inlineStr">
        <is>
          <t>No</t>
        </is>
      </c>
      <c r="L157" t="inlineStr">
        <is>
          <t>Número</t>
        </is>
      </c>
      <c r="M157">
        <v>1</v>
      </c>
      <c r="N157">
        <v>1</v>
      </c>
      <c r="O157">
        <v>1</v>
      </c>
      <c r="P157">
        <v>1</v>
      </c>
      <c r="Q157">
        <v>1</v>
      </c>
      <c r="R157" t="inlineStr">
        <is>
          <t xml:space="preserve"> </t>
        </is>
      </c>
      <c r="S157" s="103" t="inlineStr">
        <is>
          <t xml:space="preserve"> </t>
        </is>
      </c>
      <c r="T157" t="inlineStr">
        <is>
          <t>No se encontró ejecución en PIIP</t>
        </is>
      </c>
      <c r="U157" t="inlineStr">
        <is>
          <t xml:space="preserve"> </t>
        </is>
      </c>
      <c r="V157" s="104" t="inlineStr">
        <is>
          <t xml:space="preserve"> </t>
        </is>
      </c>
      <c r="W157" t="inlineStr">
        <is>
          <t>No se encontró ejecución en PIIP</t>
        </is>
      </c>
    </row>
    <row r="158">
      <c r="A158" t="inlineStr">
        <is>
          <t>IP-165</t>
        </is>
      </c>
      <c r="B158" t="inlineStr">
        <is>
          <t>19</t>
        </is>
      </c>
      <c r="C158" t="inlineStr">
        <is>
          <t>Salud y protección social</t>
        </is>
      </c>
      <c r="D158" t="inlineStr">
        <is>
          <t>1906</t>
        </is>
      </c>
      <c r="E158" t="inlineStr">
        <is>
          <t>Aseguramiento y prestación integral de servicios de salud</t>
        </is>
      </c>
      <c r="F158" t="inlineStr">
        <is>
          <t>1906035</t>
        </is>
      </c>
      <c r="G158" t="inlineStr">
        <is>
          <t>Servicio de apoyo financiero para la atención en salud a la población</t>
        </is>
      </c>
      <c r="H158" t="inlineStr">
        <is>
          <t>190603501</t>
        </is>
      </c>
      <c r="I158" t="inlineStr">
        <is>
          <t>Empresas sociales del estado financiadas</t>
        </is>
      </c>
      <c r="J158" t="inlineStr">
        <is>
          <t>2024251260036</t>
        </is>
      </c>
      <c r="K158" t="inlineStr">
        <is>
          <t>No</t>
        </is>
      </c>
      <c r="L158" t="inlineStr">
        <is>
          <t>Número</t>
        </is>
      </c>
      <c r="M158">
        <v>1</v>
      </c>
      <c r="N158">
        <v>1</v>
      </c>
      <c r="O158">
        <v>1</v>
      </c>
      <c r="P158">
        <v>1</v>
      </c>
      <c r="Q158">
        <v>1</v>
      </c>
      <c r="R158" t="inlineStr">
        <is>
          <t xml:space="preserve"> </t>
        </is>
      </c>
      <c r="S158" s="103" t="inlineStr">
        <is>
          <t xml:space="preserve"> </t>
        </is>
      </c>
      <c r="T158" t="inlineStr">
        <is>
          <t>No se encontró ejecución en PIIP</t>
        </is>
      </c>
      <c r="U158" t="inlineStr">
        <is>
          <t xml:space="preserve"> </t>
        </is>
      </c>
      <c r="V158" s="104" t="inlineStr">
        <is>
          <t xml:space="preserve"> </t>
        </is>
      </c>
      <c r="W158" t="inlineStr">
        <is>
          <t>No se encontró ejecución en PIIP</t>
        </is>
      </c>
    </row>
    <row r="159">
      <c r="A159" t="inlineStr">
        <is>
          <t>IP-166</t>
        </is>
      </c>
      <c r="B159" t="inlineStr">
        <is>
          <t>19</t>
        </is>
      </c>
      <c r="C159" t="inlineStr">
        <is>
          <t>Salud y protección social</t>
        </is>
      </c>
      <c r="D159" t="inlineStr">
        <is>
          <t>1905</t>
        </is>
      </c>
      <c r="E159" t="inlineStr">
        <is>
          <t>Salud pública</t>
        </is>
      </c>
      <c r="F159" t="inlineStr">
        <is>
          <t>1905026</t>
        </is>
      </c>
      <c r="G159" t="inlineStr">
        <is>
          <t>Servicio de gestión del riesgo para enfermedades emergentes, reemergentes y desatendidas</t>
        </is>
      </c>
      <c r="H159" t="inlineStr">
        <is>
          <t>190502602</t>
        </is>
      </c>
      <c r="I159" t="inlineStr">
        <is>
          <t>Estrategias de gestión del riesgo para enfermedades emergentes, reemergentes y desatendidas implementadas</t>
        </is>
      </c>
      <c r="J159" t="inlineStr">
        <is>
          <t>2024251260037</t>
        </is>
      </c>
      <c r="K159" t="inlineStr">
        <is>
          <t>Si</t>
        </is>
      </c>
      <c r="L159" t="inlineStr">
        <is>
          <t>Número</t>
        </is>
      </c>
      <c r="M159">
        <v>37805</v>
      </c>
      <c r="N159">
        <v>9452</v>
      </c>
      <c r="O159">
        <v>9451</v>
      </c>
      <c r="P159">
        <v>9451</v>
      </c>
      <c r="Q159">
        <v>9451</v>
      </c>
      <c r="R159" t="inlineStr">
        <is>
          <t xml:space="preserve"> </t>
        </is>
      </c>
      <c r="S159" s="103" t="inlineStr">
        <is>
          <t xml:space="preserve"> </t>
        </is>
      </c>
      <c r="T159" t="inlineStr">
        <is>
          <t>No se encontró ejecución en PIIP</t>
        </is>
      </c>
      <c r="U159" t="inlineStr">
        <is>
          <t xml:space="preserve"> </t>
        </is>
      </c>
      <c r="V159" s="104" t="inlineStr">
        <is>
          <t xml:space="preserve"> </t>
        </is>
      </c>
      <c r="W159" t="inlineStr">
        <is>
          <t>No se encontró ejecución en PIIP</t>
        </is>
      </c>
    </row>
    <row r="160">
      <c r="A160" t="inlineStr">
        <is>
          <t>IP-167</t>
        </is>
      </c>
      <c r="B160" t="inlineStr">
        <is>
          <t>19</t>
        </is>
      </c>
      <c r="C160" t="inlineStr">
        <is>
          <t>Salud y protección social</t>
        </is>
      </c>
      <c r="D160" t="inlineStr">
        <is>
          <t>1905</t>
        </is>
      </c>
      <c r="E160" t="inlineStr">
        <is>
          <t>Salud pública</t>
        </is>
      </c>
      <c r="F160" t="inlineStr">
        <is>
          <t>1905023</t>
        </is>
      </c>
      <c r="G160" t="inlineStr">
        <is>
          <t>Servicio de gestión del riesgo para abordar condiciones crónicas prevalentes</t>
        </is>
      </c>
      <c r="H160" t="inlineStr">
        <is>
          <t>190502301</t>
        </is>
      </c>
      <c r="I160" t="inlineStr">
        <is>
          <t>Personas atendidas con campañas de promoción sobre condiciones crónicas prevalentes</t>
        </is>
      </c>
      <c r="J160" t="inlineStr">
        <is>
          <t>2024251260037</t>
        </is>
      </c>
      <c r="K160" t="inlineStr">
        <is>
          <t>No</t>
        </is>
      </c>
      <c r="L160" t="inlineStr">
        <is>
          <t>Número</t>
        </is>
      </c>
      <c r="M160">
        <v>3600</v>
      </c>
      <c r="N160">
        <v>3600</v>
      </c>
      <c r="O160">
        <v>3600</v>
      </c>
      <c r="P160">
        <v>3600</v>
      </c>
      <c r="Q160">
        <v>3600</v>
      </c>
      <c r="R160" t="inlineStr">
        <is>
          <t xml:space="preserve"> </t>
        </is>
      </c>
      <c r="S160" s="103" t="inlineStr">
        <is>
          <t xml:space="preserve"> </t>
        </is>
      </c>
      <c r="T160" t="inlineStr">
        <is>
          <t>No se encontró ejecución en PIIP</t>
        </is>
      </c>
      <c r="U160" t="inlineStr">
        <is>
          <t xml:space="preserve"> </t>
        </is>
      </c>
      <c r="V160" s="104" t="inlineStr">
        <is>
          <t xml:space="preserve"> </t>
        </is>
      </c>
      <c r="W160" t="inlineStr">
        <is>
          <t>No se encontró ejecución en PIIP</t>
        </is>
      </c>
    </row>
    <row r="161">
      <c r="A161" t="inlineStr">
        <is>
          <t>IP-168</t>
        </is>
      </c>
      <c r="B161" t="inlineStr">
        <is>
          <t>19</t>
        </is>
      </c>
      <c r="C161" t="inlineStr">
        <is>
          <t>Salud y protección social</t>
        </is>
      </c>
      <c r="D161" t="inlineStr">
        <is>
          <t>1905</t>
        </is>
      </c>
      <c r="E161" t="inlineStr">
        <is>
          <t>Salud pública</t>
        </is>
      </c>
      <c r="F161" t="inlineStr">
        <is>
          <t>1905015</t>
        </is>
      </c>
      <c r="G161" t="inlineStr">
        <is>
          <t>Documentos de planeación</t>
        </is>
      </c>
      <c r="H161" t="inlineStr">
        <is>
          <t>190501500</t>
        </is>
      </c>
      <c r="I161" t="inlineStr">
        <is>
          <t>Documentos de planeación elaborados</t>
        </is>
      </c>
      <c r="J161" t="inlineStr">
        <is>
          <t>2024251260037</t>
        </is>
      </c>
      <c r="K161" t="inlineStr">
        <is>
          <t>No</t>
        </is>
      </c>
      <c r="L161" t="inlineStr">
        <is>
          <t>Número</t>
        </is>
      </c>
      <c r="M161">
        <v>100</v>
      </c>
      <c r="N161">
        <v>100</v>
      </c>
      <c r="O161">
        <v>100</v>
      </c>
      <c r="P161">
        <v>100</v>
      </c>
      <c r="Q161">
        <v>100</v>
      </c>
      <c r="R161">
        <v>1</v>
      </c>
      <c r="S161" s="103">
        <v>0.01</v>
      </c>
      <c r="T161" t="inlineStr">
        <is>
          <t>Lo ejecutado está por debajo de lo programado en la vigencia</t>
        </is>
      </c>
      <c r="U161">
        <v>0.775</v>
      </c>
      <c r="V161" s="104">
        <v>0.00775</v>
      </c>
      <c r="W161" t="inlineStr">
        <is>
          <t>Lo ejecutado está por debajo de lo programado en la vigencia</t>
        </is>
      </c>
    </row>
    <row r="162">
      <c r="A162" t="inlineStr">
        <is>
          <t>IP-169</t>
        </is>
      </c>
      <c r="B162" t="inlineStr">
        <is>
          <t>19</t>
        </is>
      </c>
      <c r="C162" t="inlineStr">
        <is>
          <t>Salud y protección social</t>
        </is>
      </c>
      <c r="D162" t="inlineStr">
        <is>
          <t>1905</t>
        </is>
      </c>
      <c r="E162" t="inlineStr">
        <is>
          <t>Salud pública</t>
        </is>
      </c>
      <c r="F162" t="inlineStr">
        <is>
          <t>1905014</t>
        </is>
      </c>
      <c r="G162" t="inlineStr">
        <is>
          <t>Documentos de lineamientos técnicos</t>
        </is>
      </c>
      <c r="H162" t="inlineStr">
        <is>
          <t>190501400</t>
        </is>
      </c>
      <c r="I162" t="inlineStr">
        <is>
          <t>Documentos de lineamientos técnicos elaborados</t>
        </is>
      </c>
      <c r="J162" t="inlineStr">
        <is>
          <t>2024251260037</t>
        </is>
      </c>
      <c r="K162" t="inlineStr">
        <is>
          <t>No</t>
        </is>
      </c>
      <c r="L162" t="inlineStr">
        <is>
          <t>Número</t>
        </is>
      </c>
      <c r="M162">
        <v>100</v>
      </c>
      <c r="N162">
        <v>100</v>
      </c>
      <c r="O162">
        <v>100</v>
      </c>
      <c r="P162">
        <v>100</v>
      </c>
      <c r="Q162">
        <v>100</v>
      </c>
      <c r="R162">
        <v>1</v>
      </c>
      <c r="S162" s="103">
        <v>0.01</v>
      </c>
      <c r="T162" t="inlineStr">
        <is>
          <t>Lo ejecutado está por debajo de lo programado en la vigencia</t>
        </is>
      </c>
      <c r="U162">
        <v>0.5</v>
      </c>
      <c r="V162" s="104">
        <v>0.005</v>
      </c>
      <c r="W162" t="inlineStr">
        <is>
          <t>Lo ejecutado está por debajo de lo programado en la vigencia</t>
        </is>
      </c>
    </row>
    <row r="163">
      <c r="A163" t="inlineStr">
        <is>
          <t>IP-170</t>
        </is>
      </c>
      <c r="B163" t="inlineStr">
        <is>
          <t>19</t>
        </is>
      </c>
      <c r="C163" t="inlineStr">
        <is>
          <t>Salud y protección social</t>
        </is>
      </c>
      <c r="D163" t="inlineStr">
        <is>
          <t>1905</t>
        </is>
      </c>
      <c r="E163" t="inlineStr">
        <is>
          <t>Salud pública</t>
        </is>
      </c>
      <c r="F163" t="inlineStr">
        <is>
          <t>1905027</t>
        </is>
      </c>
      <c r="G163" t="inlineStr">
        <is>
          <t>Servicio de gestión del riesgo para enfermedades inmunoprevenibles</t>
        </is>
      </c>
      <c r="H163" t="inlineStr">
        <is>
          <t>190502702</t>
        </is>
      </c>
      <c r="I163" t="inlineStr">
        <is>
          <t>Estrategias de gestión del riesgo para enfermedades inmunoprevenibles implementadas</t>
        </is>
      </c>
      <c r="J163" t="inlineStr">
        <is>
          <t>2024251260037</t>
        </is>
      </c>
      <c r="K163" t="inlineStr">
        <is>
          <t>No</t>
        </is>
      </c>
      <c r="L163" t="inlineStr">
        <is>
          <t>Número</t>
        </is>
      </c>
      <c r="M163">
        <v>1</v>
      </c>
      <c r="N163">
        <v>1</v>
      </c>
      <c r="O163">
        <v>1</v>
      </c>
      <c r="P163">
        <v>1</v>
      </c>
      <c r="Q163">
        <v>1</v>
      </c>
      <c r="R163" t="inlineStr">
        <is>
          <t xml:space="preserve"> </t>
        </is>
      </c>
      <c r="S163" s="103" t="inlineStr">
        <is>
          <t xml:space="preserve"> </t>
        </is>
      </c>
      <c r="T163" t="inlineStr">
        <is>
          <t>No se encontró ejecución en PIIP</t>
        </is>
      </c>
      <c r="U163" t="inlineStr">
        <is>
          <t xml:space="preserve"> </t>
        </is>
      </c>
      <c r="V163" s="104" t="inlineStr">
        <is>
          <t xml:space="preserve"> </t>
        </is>
      </c>
      <c r="W163" t="inlineStr">
        <is>
          <t>No se encontró ejecución en PIIP</t>
        </is>
      </c>
    </row>
    <row r="164">
      <c r="A164" t="inlineStr">
        <is>
          <t>IP-171</t>
        </is>
      </c>
      <c r="B164" t="inlineStr">
        <is>
          <t>19</t>
        </is>
      </c>
      <c r="C164" t="inlineStr">
        <is>
          <t>Salud y protección social</t>
        </is>
      </c>
      <c r="D164" t="inlineStr">
        <is>
          <t>1905</t>
        </is>
      </c>
      <c r="E164" t="inlineStr">
        <is>
          <t>Salud pública</t>
        </is>
      </c>
      <c r="F164" t="inlineStr">
        <is>
          <t>1905026</t>
        </is>
      </c>
      <c r="G164" t="inlineStr">
        <is>
          <t>Servicio de gestión del riesgo para enfermedades emergentes, reemergentes y desatendidas</t>
        </is>
      </c>
      <c r="H164" t="inlineStr">
        <is>
          <t>190502601</t>
        </is>
      </c>
      <c r="I164" t="inlineStr">
        <is>
          <t>Personas atendidas con campañas de gestión del riesgo para enfermedades emergentes, reemergentes y desatendidas</t>
        </is>
      </c>
      <c r="J164" t="inlineStr">
        <is>
          <t>2024251260037</t>
        </is>
      </c>
      <c r="K164" t="inlineStr">
        <is>
          <t>No</t>
        </is>
      </c>
      <c r="L164" t="inlineStr">
        <is>
          <t>Número</t>
        </is>
      </c>
      <c r="M164">
        <v>1</v>
      </c>
      <c r="N164">
        <v>1</v>
      </c>
      <c r="O164">
        <v>1</v>
      </c>
      <c r="P164">
        <v>1</v>
      </c>
      <c r="Q164">
        <v>1</v>
      </c>
      <c r="R164" t="inlineStr">
        <is>
          <t xml:space="preserve"> </t>
        </is>
      </c>
      <c r="S164" s="103" t="inlineStr">
        <is>
          <t xml:space="preserve"> </t>
        </is>
      </c>
      <c r="T164" t="inlineStr">
        <is>
          <t>No se encontró ejecución en PIIP</t>
        </is>
      </c>
      <c r="U164" t="inlineStr">
        <is>
          <t xml:space="preserve"> </t>
        </is>
      </c>
      <c r="V164" s="104" t="inlineStr">
        <is>
          <t xml:space="preserve"> </t>
        </is>
      </c>
      <c r="W164" t="inlineStr">
        <is>
          <t>No se encontró ejecución en PIIP</t>
        </is>
      </c>
    </row>
    <row r="165">
      <c r="A165" t="inlineStr">
        <is>
          <t>IP-172</t>
        </is>
      </c>
      <c r="B165" t="inlineStr">
        <is>
          <t>19</t>
        </is>
      </c>
      <c r="C165" t="inlineStr">
        <is>
          <t>Salud y protección social</t>
        </is>
      </c>
      <c r="D165" t="inlineStr">
        <is>
          <t>1905</t>
        </is>
      </c>
      <c r="E165" t="inlineStr">
        <is>
          <t>Salud pública</t>
        </is>
      </c>
      <c r="F165" t="inlineStr">
        <is>
          <t>1905015</t>
        </is>
      </c>
      <c r="G165" t="inlineStr">
        <is>
          <t>Documentos de planeación</t>
        </is>
      </c>
      <c r="H165" t="inlineStr">
        <is>
          <t>190501506</t>
        </is>
      </c>
      <c r="I165" t="inlineStr">
        <is>
          <t>Documentos de planeación con seguimiento realizados</t>
        </is>
      </c>
      <c r="J165" t="inlineStr">
        <is>
          <t>2024251260037</t>
        </is>
      </c>
      <c r="K165" t="inlineStr">
        <is>
          <t>No</t>
        </is>
      </c>
      <c r="L165" t="inlineStr">
        <is>
          <t>Número</t>
        </is>
      </c>
      <c r="M165">
        <v>100</v>
      </c>
      <c r="N165">
        <v>100</v>
      </c>
      <c r="O165">
        <v>100</v>
      </c>
      <c r="P165">
        <v>100</v>
      </c>
      <c r="Q165">
        <v>100</v>
      </c>
      <c r="R165" t="inlineStr">
        <is>
          <t xml:space="preserve"> </t>
        </is>
      </c>
      <c r="S165" s="103" t="inlineStr">
        <is>
          <t xml:space="preserve"> </t>
        </is>
      </c>
      <c r="T165" t="inlineStr">
        <is>
          <t>No se encontró ejecución en PIIP</t>
        </is>
      </c>
      <c r="U165" t="inlineStr">
        <is>
          <t xml:space="preserve"> </t>
        </is>
      </c>
      <c r="V165" s="104" t="inlineStr">
        <is>
          <t xml:space="preserve"> </t>
        </is>
      </c>
      <c r="W165" t="inlineStr">
        <is>
          <t>No se encontró ejecución en PIIP</t>
        </is>
      </c>
    </row>
    <row r="166">
      <c r="A166" t="inlineStr">
        <is>
          <t>IP-173, IP-174</t>
        </is>
      </c>
      <c r="B166" t="inlineStr">
        <is>
          <t>19</t>
        </is>
      </c>
      <c r="C166" t="inlineStr">
        <is>
          <t>Salud y protección social</t>
        </is>
      </c>
      <c r="D166" t="inlineStr">
        <is>
          <t>1905</t>
        </is>
      </c>
      <c r="E166" t="inlineStr">
        <is>
          <t>Salud pública</t>
        </is>
      </c>
      <c r="F166" t="inlineStr">
        <is>
          <t>1905015</t>
        </is>
      </c>
      <c r="G166" t="inlineStr">
        <is>
          <t>Documentos de planeación</t>
        </is>
      </c>
      <c r="H166" t="inlineStr">
        <is>
          <t>190501505</t>
        </is>
      </c>
      <c r="I166" t="inlineStr">
        <is>
          <t>Planes estratégicos elaborados</t>
        </is>
      </c>
      <c r="J166" t="inlineStr">
        <is>
          <t>2024251260037</t>
        </is>
      </c>
      <c r="K166" t="inlineStr">
        <is>
          <t>No</t>
        </is>
      </c>
      <c r="L166" t="inlineStr">
        <is>
          <t>Número</t>
        </is>
      </c>
      <c r="M166">
        <v>2</v>
      </c>
      <c r="N166">
        <v>2</v>
      </c>
      <c r="O166">
        <v>2</v>
      </c>
      <c r="P166">
        <v>2</v>
      </c>
      <c r="Q166">
        <v>2</v>
      </c>
      <c r="R166" t="inlineStr">
        <is>
          <t xml:space="preserve"> </t>
        </is>
      </c>
      <c r="S166" s="103" t="inlineStr">
        <is>
          <t xml:space="preserve"> </t>
        </is>
      </c>
      <c r="T166" t="inlineStr">
        <is>
          <t>No se encontró ejecución en PIIP</t>
        </is>
      </c>
      <c r="U166" t="inlineStr">
        <is>
          <t xml:space="preserve"> </t>
        </is>
      </c>
      <c r="V166" s="104" t="inlineStr">
        <is>
          <t xml:space="preserve"> </t>
        </is>
      </c>
      <c r="W166" t="inlineStr">
        <is>
          <t>No se encontró ejecución en PIIP</t>
        </is>
      </c>
    </row>
    <row r="167">
      <c r="A167" t="inlineStr">
        <is>
          <t>IP-175</t>
        </is>
      </c>
      <c r="B167" t="inlineStr">
        <is>
          <t>19</t>
        </is>
      </c>
      <c r="C167" t="inlineStr">
        <is>
          <t>Salud y protección social</t>
        </is>
      </c>
      <c r="D167" t="inlineStr">
        <is>
          <t>1905</t>
        </is>
      </c>
      <c r="E167" t="inlineStr">
        <is>
          <t>Salud pública</t>
        </is>
      </c>
      <c r="F167" t="inlineStr">
        <is>
          <t>1905023</t>
        </is>
      </c>
      <c r="G167" t="inlineStr">
        <is>
          <t>Servicio de gestión del riesgo para abordar condiciones crónicas prevalentes</t>
        </is>
      </c>
      <c r="H167" t="inlineStr">
        <is>
          <t>190502302</t>
        </is>
      </c>
      <c r="I167" t="inlineStr">
        <is>
          <t>Estrategias de gestión para abordar condiciones crónicas prevalentes implementadas</t>
        </is>
      </c>
      <c r="J167" t="inlineStr">
        <is>
          <t>2024251260037</t>
        </is>
      </c>
      <c r="K167" t="inlineStr">
        <is>
          <t>No</t>
        </is>
      </c>
      <c r="L167" t="inlineStr">
        <is>
          <t>Número</t>
        </is>
      </c>
      <c r="M167">
        <v>1</v>
      </c>
      <c r="N167">
        <v>1</v>
      </c>
      <c r="O167">
        <v>1</v>
      </c>
      <c r="P167">
        <v>1</v>
      </c>
      <c r="Q167">
        <v>1</v>
      </c>
      <c r="R167" t="inlineStr">
        <is>
          <t xml:space="preserve"> </t>
        </is>
      </c>
      <c r="S167" s="103" t="inlineStr">
        <is>
          <t xml:space="preserve"> </t>
        </is>
      </c>
      <c r="T167" t="inlineStr">
        <is>
          <t>No se encontró ejecución en PIIP</t>
        </is>
      </c>
      <c r="U167" t="inlineStr">
        <is>
          <t xml:space="preserve"> </t>
        </is>
      </c>
      <c r="V167" s="104" t="inlineStr">
        <is>
          <t xml:space="preserve"> </t>
        </is>
      </c>
      <c r="W167" t="inlineStr">
        <is>
          <t>No se encontró ejecución en PIIP</t>
        </is>
      </c>
    </row>
    <row r="168">
      <c r="A168" t="inlineStr">
        <is>
          <t>IP-176</t>
        </is>
      </c>
      <c r="B168" t="inlineStr">
        <is>
          <t>19</t>
        </is>
      </c>
      <c r="C168" t="inlineStr">
        <is>
          <t>Salud y protección social</t>
        </is>
      </c>
      <c r="D168" t="inlineStr">
        <is>
          <t>1905</t>
        </is>
      </c>
      <c r="E168" t="inlineStr">
        <is>
          <t>Salud pública</t>
        </is>
      </c>
      <c r="F168" t="inlineStr">
        <is>
          <t>1905023</t>
        </is>
      </c>
      <c r="G168" t="inlineStr">
        <is>
          <t>Servicio de gestión del riesgo para abordar condiciones crónicas prevalentes</t>
        </is>
      </c>
      <c r="H168" t="inlineStr">
        <is>
          <t>190502301</t>
        </is>
      </c>
      <c r="I168" t="inlineStr">
        <is>
          <t>Personas atendidas con campañas de promoción sobre condiciones crónicas prevalentes</t>
        </is>
      </c>
      <c r="J168" t="inlineStr">
        <is>
          <t>2024251260037</t>
        </is>
      </c>
      <c r="K168" t="inlineStr">
        <is>
          <t>Si</t>
        </is>
      </c>
      <c r="L168" t="inlineStr">
        <is>
          <t>Número</t>
        </is>
      </c>
      <c r="M168">
        <v>1</v>
      </c>
      <c r="N168">
        <v>0.25</v>
      </c>
      <c r="O168">
        <v>0.25</v>
      </c>
      <c r="P168">
        <v>0.25</v>
      </c>
      <c r="Q168">
        <v>0.25</v>
      </c>
      <c r="R168" t="inlineStr">
        <is>
          <t xml:space="preserve"> </t>
        </is>
      </c>
      <c r="S168" s="103" t="inlineStr">
        <is>
          <t xml:space="preserve"> </t>
        </is>
      </c>
      <c r="T168" t="inlineStr">
        <is>
          <t>No se encontró ejecución en PIIP</t>
        </is>
      </c>
      <c r="U168" t="inlineStr">
        <is>
          <t xml:space="preserve"> </t>
        </is>
      </c>
      <c r="V168" s="104" t="inlineStr">
        <is>
          <t xml:space="preserve"> </t>
        </is>
      </c>
      <c r="W168" t="inlineStr">
        <is>
          <t>No se encontró ejecución en PIIP</t>
        </is>
      </c>
    </row>
    <row r="169">
      <c r="A169" t="inlineStr">
        <is>
          <t>IP-177</t>
        </is>
      </c>
      <c r="B169" t="inlineStr">
        <is>
          <t>19</t>
        </is>
      </c>
      <c r="C169" t="inlineStr">
        <is>
          <t>Salud y protección social</t>
        </is>
      </c>
      <c r="D169" t="inlineStr">
        <is>
          <t>1905</t>
        </is>
      </c>
      <c r="E169" t="inlineStr">
        <is>
          <t>Salud pública</t>
        </is>
      </c>
      <c r="F169" t="inlineStr">
        <is>
          <t>1905037</t>
        </is>
      </c>
      <c r="G169" t="inlineStr">
        <is>
          <t>Documentos de investigación</t>
        </is>
      </c>
      <c r="H169" t="inlineStr">
        <is>
          <t>190503701</t>
        </is>
      </c>
      <c r="I169" t="inlineStr">
        <is>
          <t>Documentos de análisis de salud pública elaborados</t>
        </is>
      </c>
      <c r="J169" t="inlineStr">
        <is>
          <t>2024251260037</t>
        </is>
      </c>
      <c r="K169" t="inlineStr">
        <is>
          <t>No</t>
        </is>
      </c>
      <c r="L169" t="inlineStr">
        <is>
          <t>Número</t>
        </is>
      </c>
      <c r="M169">
        <v>1</v>
      </c>
      <c r="N169">
        <v>1</v>
      </c>
      <c r="O169">
        <v>1</v>
      </c>
      <c r="P169">
        <v>1</v>
      </c>
      <c r="Q169">
        <v>1</v>
      </c>
      <c r="R169" t="inlineStr">
        <is>
          <t xml:space="preserve"> </t>
        </is>
      </c>
      <c r="S169" s="103" t="inlineStr">
        <is>
          <t xml:space="preserve"> </t>
        </is>
      </c>
      <c r="T169" t="inlineStr">
        <is>
          <t>No se encontró ejecución en PIIP</t>
        </is>
      </c>
      <c r="U169" t="inlineStr">
        <is>
          <t xml:space="preserve"> </t>
        </is>
      </c>
      <c r="V169" s="104" t="inlineStr">
        <is>
          <t xml:space="preserve"> </t>
        </is>
      </c>
      <c r="W169" t="inlineStr">
        <is>
          <t>No se encontró ejecución en PIIP</t>
        </is>
      </c>
    </row>
    <row r="170">
      <c r="A170" t="inlineStr">
        <is>
          <t>IP-178</t>
        </is>
      </c>
      <c r="B170" t="inlineStr">
        <is>
          <t>19</t>
        </is>
      </c>
      <c r="C170" t="inlineStr">
        <is>
          <t>Salud y protección social</t>
        </is>
      </c>
      <c r="D170" t="inlineStr">
        <is>
          <t>1905</t>
        </is>
      </c>
      <c r="E170" t="inlineStr">
        <is>
          <t>Salud pública</t>
        </is>
      </c>
      <c r="F170" t="inlineStr">
        <is>
          <t>1905015</t>
        </is>
      </c>
      <c r="G170" t="inlineStr">
        <is>
          <t>Documentos de planeación</t>
        </is>
      </c>
      <c r="H170" t="inlineStr">
        <is>
          <t>190501507</t>
        </is>
      </c>
      <c r="I170" t="inlineStr">
        <is>
          <t>Documentos de planeación integral en salud realizados</t>
        </is>
      </c>
      <c r="J170" t="inlineStr">
        <is>
          <t>2024251260037</t>
        </is>
      </c>
      <c r="K170" t="inlineStr">
        <is>
          <t>No</t>
        </is>
      </c>
      <c r="L170" t="inlineStr">
        <is>
          <t>Número</t>
        </is>
      </c>
      <c r="M170">
        <v>1</v>
      </c>
      <c r="N170">
        <v>1</v>
      </c>
      <c r="O170">
        <v>1</v>
      </c>
      <c r="P170">
        <v>1</v>
      </c>
      <c r="Q170">
        <v>1</v>
      </c>
      <c r="R170" t="inlineStr">
        <is>
          <t xml:space="preserve"> </t>
        </is>
      </c>
      <c r="S170" s="103" t="inlineStr">
        <is>
          <t xml:space="preserve"> </t>
        </is>
      </c>
      <c r="T170" t="inlineStr">
        <is>
          <t>No se encontró ejecución en PIIP</t>
        </is>
      </c>
      <c r="U170" t="inlineStr">
        <is>
          <t xml:space="preserve"> </t>
        </is>
      </c>
      <c r="V170" s="104" t="inlineStr">
        <is>
          <t xml:space="preserve"> </t>
        </is>
      </c>
      <c r="W170" t="inlineStr">
        <is>
          <t>No se encontró ejecución en PIIP</t>
        </is>
      </c>
    </row>
    <row r="171">
      <c r="A171" t="inlineStr">
        <is>
          <t>IP-179</t>
        </is>
      </c>
      <c r="B171" t="inlineStr">
        <is>
          <t>19</t>
        </is>
      </c>
      <c r="C171" t="inlineStr">
        <is>
          <t>Salud y protección social</t>
        </is>
      </c>
      <c r="D171" t="inlineStr">
        <is>
          <t>1905</t>
        </is>
      </c>
      <c r="E171" t="inlineStr">
        <is>
          <t>Salud pública</t>
        </is>
      </c>
      <c r="F171" t="inlineStr">
        <is>
          <t>1905050</t>
        </is>
      </c>
      <c r="G171" t="inlineStr">
        <is>
          <t>Servicio de asistencia técnica</t>
        </is>
      </c>
      <c r="H171" t="inlineStr">
        <is>
          <t>190505003</t>
        </is>
      </c>
      <c r="I171" t="inlineStr">
        <is>
          <t>Personas apoyadas</t>
        </is>
      </c>
      <c r="J171" t="inlineStr">
        <is>
          <t>2024251260037</t>
        </is>
      </c>
      <c r="K171" t="inlineStr">
        <is>
          <t>No</t>
        </is>
      </c>
      <c r="L171" t="inlineStr">
        <is>
          <t>Número</t>
        </is>
      </c>
      <c r="M171">
        <v>1</v>
      </c>
      <c r="N171">
        <v>1</v>
      </c>
      <c r="O171">
        <v>1</v>
      </c>
      <c r="P171">
        <v>1</v>
      </c>
      <c r="Q171">
        <v>1</v>
      </c>
      <c r="R171" t="inlineStr">
        <is>
          <t xml:space="preserve"> </t>
        </is>
      </c>
      <c r="S171" s="103" t="inlineStr">
        <is>
          <t xml:space="preserve"> </t>
        </is>
      </c>
      <c r="T171" t="inlineStr">
        <is>
          <t>No se encontró ejecución en PIIP</t>
        </is>
      </c>
      <c r="U171" t="inlineStr">
        <is>
          <t xml:space="preserve"> </t>
        </is>
      </c>
      <c r="V171" s="104" t="inlineStr">
        <is>
          <t xml:space="preserve"> </t>
        </is>
      </c>
      <c r="W171" t="inlineStr">
        <is>
          <t>No se encontró ejecución en PIIP</t>
        </is>
      </c>
    </row>
    <row r="172">
      <c r="A172" t="inlineStr">
        <is>
          <t>IP-180</t>
        </is>
      </c>
      <c r="B172" t="inlineStr">
        <is>
          <t>19</t>
        </is>
      </c>
      <c r="C172" t="inlineStr">
        <is>
          <t>Salud y protección social</t>
        </is>
      </c>
      <c r="D172" t="inlineStr">
        <is>
          <t>1905</t>
        </is>
      </c>
      <c r="E172" t="inlineStr">
        <is>
          <t>Salud pública</t>
        </is>
      </c>
      <c r="F172" t="inlineStr">
        <is>
          <t>1905049</t>
        </is>
      </c>
      <c r="G172" t="inlineStr">
        <is>
          <t>Servicio de promoción de la participación social en salud</t>
        </is>
      </c>
      <c r="H172" t="inlineStr">
        <is>
          <t>190504902</t>
        </is>
      </c>
      <c r="I172" t="inlineStr">
        <is>
          <t>Mecanismos y espacios de participación social en salud conformados</t>
        </is>
      </c>
      <c r="J172" t="inlineStr">
        <is>
          <t>2024251260037</t>
        </is>
      </c>
      <c r="K172" t="inlineStr">
        <is>
          <t>No</t>
        </is>
      </c>
      <c r="L172" t="inlineStr">
        <is>
          <t>Número</t>
        </is>
      </c>
      <c r="M172">
        <v>100</v>
      </c>
      <c r="N172">
        <v>100</v>
      </c>
      <c r="O172">
        <v>100</v>
      </c>
      <c r="P172">
        <v>100</v>
      </c>
      <c r="Q172">
        <v>100</v>
      </c>
      <c r="R172" t="inlineStr">
        <is>
          <t xml:space="preserve"> </t>
        </is>
      </c>
      <c r="S172" s="103" t="inlineStr">
        <is>
          <t xml:space="preserve"> </t>
        </is>
      </c>
      <c r="T172" t="inlineStr">
        <is>
          <t>No se encontró ejecución en PIIP</t>
        </is>
      </c>
      <c r="U172" t="inlineStr">
        <is>
          <t xml:space="preserve"> </t>
        </is>
      </c>
      <c r="V172" s="104" t="inlineStr">
        <is>
          <t xml:space="preserve"> </t>
        </is>
      </c>
      <c r="W172" t="inlineStr">
        <is>
          <t>No se encontró ejecución en PIIP</t>
        </is>
      </c>
    </row>
    <row r="173">
      <c r="A173" t="inlineStr">
        <is>
          <t>IP-181</t>
        </is>
      </c>
      <c r="B173" t="inlineStr">
        <is>
          <t>19</t>
        </is>
      </c>
      <c r="C173" t="inlineStr">
        <is>
          <t>Salud y protección social</t>
        </is>
      </c>
      <c r="D173" t="inlineStr">
        <is>
          <t>1905</t>
        </is>
      </c>
      <c r="E173" t="inlineStr">
        <is>
          <t>Salud pública</t>
        </is>
      </c>
      <c r="F173" t="inlineStr">
        <is>
          <t>1905049</t>
        </is>
      </c>
      <c r="G173" t="inlineStr">
        <is>
          <t>Servicio de promoción de la participación social en salud</t>
        </is>
      </c>
      <c r="H173" t="inlineStr">
        <is>
          <t>190504901</t>
        </is>
      </c>
      <c r="I173" t="inlineStr">
        <is>
          <t>Personas que participan en estrategias de promoción de la participación social en Salud</t>
        </is>
      </c>
      <c r="J173" t="inlineStr">
        <is>
          <t>2024251260037</t>
        </is>
      </c>
      <c r="K173" t="inlineStr">
        <is>
          <t>Si</t>
        </is>
      </c>
      <c r="L173" t="inlineStr">
        <is>
          <t>Número</t>
        </is>
      </c>
      <c r="M173">
        <v>1</v>
      </c>
      <c r="N173">
        <v>0.25</v>
      </c>
      <c r="O173">
        <v>0.25</v>
      </c>
      <c r="P173">
        <v>0.25</v>
      </c>
      <c r="Q173">
        <v>0.25</v>
      </c>
      <c r="R173" t="inlineStr">
        <is>
          <t xml:space="preserve"> </t>
        </is>
      </c>
      <c r="S173" s="103" t="inlineStr">
        <is>
          <t xml:space="preserve"> </t>
        </is>
      </c>
      <c r="T173" t="inlineStr">
        <is>
          <t>No se encontró ejecución en PIIP</t>
        </is>
      </c>
      <c r="U173" t="inlineStr">
        <is>
          <t xml:space="preserve"> </t>
        </is>
      </c>
      <c r="V173" s="104" t="inlineStr">
        <is>
          <t xml:space="preserve"> </t>
        </is>
      </c>
      <c r="W173" t="inlineStr">
        <is>
          <t>No se encontró ejecución en PIIP</t>
        </is>
      </c>
    </row>
    <row r="174">
      <c r="A174" t="inlineStr">
        <is>
          <t>IP-182</t>
        </is>
      </c>
      <c r="B174" t="inlineStr">
        <is>
          <t>19</t>
        </is>
      </c>
      <c r="C174" t="inlineStr">
        <is>
          <t>Salud y protección social</t>
        </is>
      </c>
      <c r="D174" t="inlineStr">
        <is>
          <t>1905</t>
        </is>
      </c>
      <c r="E174" t="inlineStr">
        <is>
          <t>Salud pública</t>
        </is>
      </c>
      <c r="F174" t="inlineStr">
        <is>
          <t>1905050</t>
        </is>
      </c>
      <c r="G174" t="inlineStr">
        <is>
          <t>Servicio de asistencia técnica</t>
        </is>
      </c>
      <c r="H174" t="inlineStr">
        <is>
          <t>190505000</t>
        </is>
      </c>
      <c r="I174" t="inlineStr">
        <is>
          <t>Asistencias técnicas realizadas</t>
        </is>
      </c>
      <c r="J174" t="inlineStr">
        <is>
          <t>2024251260037</t>
        </is>
      </c>
      <c r="K174" t="inlineStr">
        <is>
          <t>No</t>
        </is>
      </c>
      <c r="L174" t="inlineStr">
        <is>
          <t>Número</t>
        </is>
      </c>
      <c r="M174">
        <v>1</v>
      </c>
      <c r="N174">
        <v>1</v>
      </c>
      <c r="O174">
        <v>1</v>
      </c>
      <c r="P174">
        <v>1</v>
      </c>
      <c r="Q174">
        <v>1</v>
      </c>
      <c r="R174">
        <v>1</v>
      </c>
      <c r="S174" s="103">
        <v>1</v>
      </c>
      <c r="T174" t="inlineStr">
        <is>
          <t>Se ejecutó el 100% de lo programado en la vigencia</t>
        </is>
      </c>
      <c r="U174">
        <v>0.775</v>
      </c>
      <c r="V174" s="104">
        <v>0.775</v>
      </c>
      <c r="W174" t="inlineStr">
        <is>
          <t>Lo ejecutado está por debajo de lo programado en la vigencia</t>
        </is>
      </c>
    </row>
    <row r="175">
      <c r="A175" t="inlineStr">
        <is>
          <t>IP-183</t>
        </is>
      </c>
      <c r="B175" t="inlineStr">
        <is>
          <t>19</t>
        </is>
      </c>
      <c r="C175" t="inlineStr">
        <is>
          <t>Salud y protección social</t>
        </is>
      </c>
      <c r="D175" t="inlineStr">
        <is>
          <t>1903</t>
        </is>
      </c>
      <c r="E175" t="inlineStr">
        <is>
          <t>Inspección, vigilancia y control</t>
        </is>
      </c>
      <c r="F175" t="inlineStr">
        <is>
          <t>1903040</t>
        </is>
      </c>
      <c r="G175" t="inlineStr">
        <is>
          <t>Servicio de vigilancia de calidad del agua para consumo humano, recolección, transporte y disposición final de residuos sólidos; manejo y disposición final de radiaciones ionizantes, excretas, residuos líquidos y aguas servidas y calidad del aire.</t>
        </is>
      </c>
      <c r="H175" t="inlineStr">
        <is>
          <t>190304001</t>
        </is>
      </c>
      <c r="I175" t="inlineStr">
        <is>
          <t>Entidades territoriales atendidas</t>
        </is>
      </c>
      <c r="J175" t="inlineStr">
        <is>
          <t>2024251260038</t>
        </is>
      </c>
      <c r="K175" t="inlineStr">
        <is>
          <t>No</t>
        </is>
      </c>
      <c r="L175" t="inlineStr">
        <is>
          <t>Número</t>
        </is>
      </c>
      <c r="M175">
        <v>100</v>
      </c>
      <c r="N175">
        <v>100</v>
      </c>
      <c r="O175">
        <v>100</v>
      </c>
      <c r="P175">
        <v>100</v>
      </c>
      <c r="Q175">
        <v>100</v>
      </c>
      <c r="R175" t="inlineStr">
        <is>
          <t xml:space="preserve"> </t>
        </is>
      </c>
      <c r="S175" s="103" t="inlineStr">
        <is>
          <t xml:space="preserve"> </t>
        </is>
      </c>
      <c r="T175" t="inlineStr">
        <is>
          <t>No se encontró ejecución en PIIP</t>
        </is>
      </c>
      <c r="U175" t="inlineStr">
        <is>
          <t xml:space="preserve"> </t>
        </is>
      </c>
      <c r="V175" s="104" t="inlineStr">
        <is>
          <t xml:space="preserve"> </t>
        </is>
      </c>
      <c r="W175" t="inlineStr">
        <is>
          <t>No se encontró ejecución en PIIP</t>
        </is>
      </c>
    </row>
    <row r="176">
      <c r="A176" t="inlineStr">
        <is>
          <t>IP-184</t>
        </is>
      </c>
      <c r="B176" t="inlineStr">
        <is>
          <t>19</t>
        </is>
      </c>
      <c r="C176" t="inlineStr">
        <is>
          <t>Salud y protección social</t>
        </is>
      </c>
      <c r="D176" t="inlineStr">
        <is>
          <t>1903</t>
        </is>
      </c>
      <c r="E176" t="inlineStr">
        <is>
          <t>Inspección, vigilancia y control</t>
        </is>
      </c>
      <c r="F176" t="inlineStr">
        <is>
          <t>1903020</t>
        </is>
      </c>
      <c r="G176" t="inlineStr">
        <is>
          <t>Servicio de diseño de metodologías, instrumentos y estrategias de inspección, vigilancia y control</t>
        </is>
      </c>
      <c r="H176" t="inlineStr">
        <is>
          <t>190302000</t>
        </is>
      </c>
      <c r="I176" t="inlineStr">
        <is>
          <t xml:space="preserve">Metodologías instrumentos y políticas de Inspección Vigilancia y Control diseñadas </t>
        </is>
      </c>
      <c r="J176" t="inlineStr">
        <is>
          <t>2024251260038</t>
        </is>
      </c>
      <c r="K176" t="inlineStr">
        <is>
          <t>No</t>
        </is>
      </c>
      <c r="L176" t="inlineStr">
        <is>
          <t>Número</t>
        </is>
      </c>
      <c r="M176">
        <v>100</v>
      </c>
      <c r="N176">
        <v>100</v>
      </c>
      <c r="O176">
        <v>100</v>
      </c>
      <c r="P176">
        <v>100</v>
      </c>
      <c r="Q176">
        <v>100</v>
      </c>
      <c r="R176">
        <v>1</v>
      </c>
      <c r="S176" s="103">
        <v>0.01</v>
      </c>
      <c r="T176" t="inlineStr">
        <is>
          <t>Lo ejecutado está por debajo de lo programado en la vigencia</t>
        </is>
      </c>
      <c r="U176">
        <v>0.7</v>
      </c>
      <c r="V176" s="104">
        <v>0.007</v>
      </c>
      <c r="W176" t="inlineStr">
        <is>
          <t>Lo ejecutado está por debajo de lo programado en la vigencia</t>
        </is>
      </c>
    </row>
    <row r="177">
      <c r="A177" t="inlineStr">
        <is>
          <t>IP-185</t>
        </is>
      </c>
      <c r="B177" t="inlineStr">
        <is>
          <t>19</t>
        </is>
      </c>
      <c r="C177" t="inlineStr">
        <is>
          <t>Salud y protección social</t>
        </is>
      </c>
      <c r="D177" t="inlineStr">
        <is>
          <t>1903</t>
        </is>
      </c>
      <c r="E177" t="inlineStr">
        <is>
          <t>Inspección, vigilancia y control</t>
        </is>
      </c>
      <c r="F177" t="inlineStr">
        <is>
          <t>1903034</t>
        </is>
      </c>
      <c r="G177" t="inlineStr">
        <is>
          <t>Servicio deasistencia técnica</t>
        </is>
      </c>
      <c r="H177" t="inlineStr">
        <is>
          <t>190303400</t>
        </is>
      </c>
      <c r="I177" t="inlineStr">
        <is>
          <t>Asistencias técnicas realizadas</t>
        </is>
      </c>
      <c r="J177" t="inlineStr">
        <is>
          <t>2024251260038</t>
        </is>
      </c>
      <c r="K177" t="inlineStr">
        <is>
          <t>No</t>
        </is>
      </c>
      <c r="L177" t="inlineStr">
        <is>
          <t>Número</t>
        </is>
      </c>
      <c r="M177">
        <v>100</v>
      </c>
      <c r="N177">
        <v>100</v>
      </c>
      <c r="O177">
        <v>100</v>
      </c>
      <c r="P177">
        <v>100</v>
      </c>
      <c r="Q177">
        <v>100</v>
      </c>
      <c r="R177" t="inlineStr">
        <is>
          <t xml:space="preserve"> </t>
        </is>
      </c>
      <c r="S177" s="103" t="inlineStr">
        <is>
          <t xml:space="preserve"> </t>
        </is>
      </c>
      <c r="T177" t="inlineStr">
        <is>
          <t>No se encontró ejecución en PIIP</t>
        </is>
      </c>
      <c r="U177" t="inlineStr">
        <is>
          <t xml:space="preserve"> </t>
        </is>
      </c>
      <c r="V177" s="104" t="inlineStr">
        <is>
          <t xml:space="preserve"> </t>
        </is>
      </c>
      <c r="W177" t="inlineStr">
        <is>
          <t>No se encontró ejecución en PIIP</t>
        </is>
      </c>
    </row>
    <row r="178">
      <c r="A178" t="inlineStr">
        <is>
          <t>IP-186</t>
        </is>
      </c>
      <c r="B178" t="inlineStr">
        <is>
          <t>19</t>
        </is>
      </c>
      <c r="C178" t="inlineStr">
        <is>
          <t>Salud y protección social</t>
        </is>
      </c>
      <c r="D178" t="inlineStr">
        <is>
          <t>1903</t>
        </is>
      </c>
      <c r="E178" t="inlineStr">
        <is>
          <t>Inspección, vigilancia y control</t>
        </is>
      </c>
      <c r="F178" t="inlineStr">
        <is>
          <t>1903016</t>
        </is>
      </c>
      <c r="G178" t="inlineStr">
        <is>
          <t>Servicio de auditoría y visitas inspectivas</t>
        </is>
      </c>
      <c r="H178" t="inlineStr">
        <is>
          <t>190301600</t>
        </is>
      </c>
      <c r="I178" t="inlineStr">
        <is>
          <t>auditorías y visitas inspectivas realizadas</t>
        </is>
      </c>
      <c r="J178" t="inlineStr">
        <is>
          <t>2024251260038</t>
        </is>
      </c>
      <c r="K178" t="inlineStr">
        <is>
          <t>No</t>
        </is>
      </c>
      <c r="L178" t="inlineStr">
        <is>
          <t>Número</t>
        </is>
      </c>
      <c r="M178">
        <v>1</v>
      </c>
      <c r="N178">
        <v>1</v>
      </c>
      <c r="O178">
        <v>1</v>
      </c>
      <c r="P178">
        <v>1</v>
      </c>
      <c r="Q178">
        <v>1</v>
      </c>
      <c r="R178" t="inlineStr">
        <is>
          <t xml:space="preserve"> </t>
        </is>
      </c>
      <c r="S178" s="103" t="inlineStr">
        <is>
          <t xml:space="preserve"> </t>
        </is>
      </c>
      <c r="T178" t="inlineStr">
        <is>
          <t>No se encontró ejecución en PIIP</t>
        </is>
      </c>
      <c r="U178" t="inlineStr">
        <is>
          <t xml:space="preserve"> </t>
        </is>
      </c>
      <c r="V178" s="104" t="inlineStr">
        <is>
          <t xml:space="preserve"> </t>
        </is>
      </c>
      <c r="W178" t="inlineStr">
        <is>
          <t>No se encontró ejecución en PIIP</t>
        </is>
      </c>
    </row>
    <row r="179">
      <c r="A179" t="inlineStr">
        <is>
          <t>IP-188</t>
        </is>
      </c>
      <c r="B179" t="inlineStr">
        <is>
          <t>33</t>
        </is>
      </c>
      <c r="C179" t="inlineStr">
        <is>
          <t>Cultura</t>
        </is>
      </c>
      <c r="D179" t="inlineStr">
        <is>
          <t>3301</t>
        </is>
      </c>
      <c r="E179" t="inlineStr">
        <is>
          <t>Promoción y acceso efectivo a procesos culturales y artísticos</t>
        </is>
      </c>
      <c r="F179" t="inlineStr">
        <is>
          <t>3301070</t>
        </is>
      </c>
      <c r="G179" t="inlineStr">
        <is>
          <t>Documentos de lineamientos técnicos</t>
        </is>
      </c>
      <c r="H179" t="inlineStr">
        <is>
          <t>330107003</t>
        </is>
      </c>
      <c r="I179" t="inlineStr">
        <is>
          <t>Documentos de lineamientos técnicos sobre la educación artística y cultural realizados</t>
        </is>
      </c>
      <c r="J179" t="inlineStr">
        <is>
          <t>2024251260039</t>
        </is>
      </c>
      <c r="K179" t="inlineStr">
        <is>
          <t>No</t>
        </is>
      </c>
      <c r="L179" t="inlineStr">
        <is>
          <t>Número</t>
        </is>
      </c>
      <c r="M179">
        <v>100</v>
      </c>
      <c r="N179">
        <v>100</v>
      </c>
      <c r="O179">
        <v>100</v>
      </c>
      <c r="P179">
        <v>100</v>
      </c>
      <c r="Q179">
        <v>100</v>
      </c>
      <c r="R179" t="inlineStr">
        <is>
          <t xml:space="preserve"> </t>
        </is>
      </c>
      <c r="S179" s="103" t="inlineStr">
        <is>
          <t xml:space="preserve"> </t>
        </is>
      </c>
      <c r="T179" t="inlineStr">
        <is>
          <t>No se encontró ejecución en PIIP</t>
        </is>
      </c>
      <c r="U179" t="inlineStr">
        <is>
          <t xml:space="preserve"> </t>
        </is>
      </c>
      <c r="V179" s="104" t="inlineStr">
        <is>
          <t xml:space="preserve"> </t>
        </is>
      </c>
      <c r="W179" t="inlineStr">
        <is>
          <t>No se encontró ejecución en PIIP</t>
        </is>
      </c>
    </row>
    <row r="180">
      <c r="A180" t="inlineStr">
        <is>
          <t>IP-189</t>
        </is>
      </c>
      <c r="B180" t="inlineStr">
        <is>
          <t>33</t>
        </is>
      </c>
      <c r="C180" t="inlineStr">
        <is>
          <t>Cultura</t>
        </is>
      </c>
      <c r="D180" t="inlineStr">
        <is>
          <t>3301</t>
        </is>
      </c>
      <c r="E180" t="inlineStr">
        <is>
          <t>Promoción y acceso efectivo a procesos culturales y artísticos</t>
        </is>
      </c>
      <c r="F180" t="inlineStr">
        <is>
          <t>3301126</t>
        </is>
      </c>
      <c r="G180" t="inlineStr">
        <is>
          <t>Servicio de apoyo al proceso de formación artística y cultural</t>
        </is>
      </c>
      <c r="H180" t="inlineStr">
        <is>
          <t>330112600</t>
        </is>
      </c>
      <c r="I180" t="inlineStr">
        <is>
          <t>Procesos de formación atendidos</t>
        </is>
      </c>
      <c r="J180" t="inlineStr">
        <is>
          <t>2024251260039</t>
        </is>
      </c>
      <c r="K180" t="inlineStr">
        <is>
          <t>No</t>
        </is>
      </c>
      <c r="L180" t="inlineStr">
        <is>
          <t>Número</t>
        </is>
      </c>
      <c r="M180">
        <v>8</v>
      </c>
      <c r="N180">
        <v>8</v>
      </c>
      <c r="O180">
        <v>8</v>
      </c>
      <c r="P180">
        <v>8</v>
      </c>
      <c r="Q180">
        <v>8</v>
      </c>
      <c r="R180" t="inlineStr">
        <is>
          <t xml:space="preserve"> </t>
        </is>
      </c>
      <c r="S180" s="103" t="inlineStr">
        <is>
          <t xml:space="preserve"> </t>
        </is>
      </c>
      <c r="T180" t="inlineStr">
        <is>
          <t>No se encontró ejecución en PIIP</t>
        </is>
      </c>
      <c r="U180" t="inlineStr">
        <is>
          <t xml:space="preserve"> </t>
        </is>
      </c>
      <c r="V180" s="104" t="inlineStr">
        <is>
          <t xml:space="preserve"> </t>
        </is>
      </c>
      <c r="W180" t="inlineStr">
        <is>
          <t>No se encontró ejecución en PIIP</t>
        </is>
      </c>
    </row>
    <row r="181">
      <c r="A181" t="inlineStr">
        <is>
          <t>IP-190</t>
        </is>
      </c>
      <c r="B181" t="inlineStr">
        <is>
          <t>33</t>
        </is>
      </c>
      <c r="C181" t="inlineStr">
        <is>
          <t>Cultura</t>
        </is>
      </c>
      <c r="D181" t="inlineStr">
        <is>
          <t>3301</t>
        </is>
      </c>
      <c r="E181" t="inlineStr">
        <is>
          <t>Promoción y acceso efectivo a procesos culturales y artísticos</t>
        </is>
      </c>
      <c r="F181" t="inlineStr">
        <is>
          <t>3301073</t>
        </is>
      </c>
      <c r="G181" t="inlineStr">
        <is>
          <t>Servicio de circulación artística y cultural</t>
        </is>
      </c>
      <c r="H181" t="inlineStr">
        <is>
          <t>330107300</t>
        </is>
      </c>
      <c r="I181" t="inlineStr">
        <is>
          <t>Contenidos culturales  en circulación</t>
        </is>
      </c>
      <c r="J181" t="inlineStr">
        <is>
          <t>2024251260039</t>
        </is>
      </c>
      <c r="K181" t="inlineStr">
        <is>
          <t>Si</t>
        </is>
      </c>
      <c r="L181" t="inlineStr">
        <is>
          <t>Número</t>
        </is>
      </c>
      <c r="M181">
        <v>1</v>
      </c>
      <c r="N181">
        <v>1</v>
      </c>
      <c r="O181">
        <v>1</v>
      </c>
      <c r="P181">
        <v>1</v>
      </c>
      <c r="Q181">
        <v>1</v>
      </c>
      <c r="R181">
        <v>116</v>
      </c>
      <c r="S181" s="103">
        <v>116</v>
      </c>
      <c r="T181" t="inlineStr">
        <is>
          <t>Hubo ejecución por encima de lo programado en SisPT</t>
        </is>
      </c>
      <c r="U181">
        <v>200</v>
      </c>
      <c r="V181" s="104">
        <v>200</v>
      </c>
      <c r="W181" t="inlineStr">
        <is>
          <t>Hubo ejecución por encima de lo programado en SisPT</t>
        </is>
      </c>
    </row>
    <row r="182">
      <c r="A182" t="inlineStr">
        <is>
          <t>IP-191</t>
        </is>
      </c>
      <c r="B182" t="inlineStr">
        <is>
          <t>33</t>
        </is>
      </c>
      <c r="C182" t="inlineStr">
        <is>
          <t>Cultura</t>
        </is>
      </c>
      <c r="D182" t="inlineStr">
        <is>
          <t>3301</t>
        </is>
      </c>
      <c r="E182" t="inlineStr">
        <is>
          <t>Promoción y acceso efectivo a procesos culturales y artísticos</t>
        </is>
      </c>
      <c r="F182" t="inlineStr">
        <is>
          <t>3301053</t>
        </is>
      </c>
      <c r="G182" t="inlineStr">
        <is>
          <t>Servicio de promoción de actividades culturales</t>
        </is>
      </c>
      <c r="H182" t="inlineStr">
        <is>
          <t>330105302</t>
        </is>
      </c>
      <c r="I182" t="inlineStr">
        <is>
          <t>Espectáculos artísticos realizados</t>
        </is>
      </c>
      <c r="J182" t="inlineStr">
        <is>
          <t>2024251260039</t>
        </is>
      </c>
      <c r="K182" t="inlineStr">
        <is>
          <t>No</t>
        </is>
      </c>
      <c r="L182" t="inlineStr">
        <is>
          <t>Número</t>
        </is>
      </c>
      <c r="M182">
        <v>17</v>
      </c>
      <c r="N182">
        <v>17</v>
      </c>
      <c r="O182">
        <v>17</v>
      </c>
      <c r="P182">
        <v>17</v>
      </c>
      <c r="Q182">
        <v>17</v>
      </c>
      <c r="R182" t="inlineStr">
        <is>
          <t xml:space="preserve"> </t>
        </is>
      </c>
      <c r="S182" s="103" t="inlineStr">
        <is>
          <t xml:space="preserve"> </t>
        </is>
      </c>
      <c r="T182" t="inlineStr">
        <is>
          <t>No se encontró ejecución en PIIP</t>
        </is>
      </c>
      <c r="U182">
        <v>2</v>
      </c>
      <c r="V182" s="104">
        <v>0.117647058823529</v>
      </c>
      <c r="W182" t="inlineStr">
        <is>
          <t>Lo ejecutado está por debajo de lo programado en la vigencia</t>
        </is>
      </c>
    </row>
    <row r="183">
      <c r="A183" t="inlineStr">
        <is>
          <t>IP-192</t>
        </is>
      </c>
      <c r="B183" t="inlineStr">
        <is>
          <t>33</t>
        </is>
      </c>
      <c r="C183" t="inlineStr">
        <is>
          <t>Cultura</t>
        </is>
      </c>
      <c r="D183" t="inlineStr">
        <is>
          <t>3301</t>
        </is>
      </c>
      <c r="E183" t="inlineStr">
        <is>
          <t>Promoción y acceso efectivo a procesos culturales y artísticos</t>
        </is>
      </c>
      <c r="F183" t="inlineStr">
        <is>
          <t>3301054</t>
        </is>
      </c>
      <c r="G183" t="inlineStr">
        <is>
          <t>Servicio de apoyo financiero al sector artístico y cultural</t>
        </is>
      </c>
      <c r="H183" t="inlineStr">
        <is>
          <t>330105400</t>
        </is>
      </c>
      <c r="I183" t="inlineStr">
        <is>
          <t>Estímulos otorgados</t>
        </is>
      </c>
      <c r="J183" t="inlineStr">
        <is>
          <t>2024251260039</t>
        </is>
      </c>
      <c r="K183" t="inlineStr">
        <is>
          <t>No</t>
        </is>
      </c>
      <c r="L183" t="inlineStr">
        <is>
          <t>Número</t>
        </is>
      </c>
      <c r="M183">
        <v>100</v>
      </c>
      <c r="N183">
        <v>100</v>
      </c>
      <c r="O183">
        <v>100</v>
      </c>
      <c r="P183">
        <v>100</v>
      </c>
      <c r="Q183">
        <v>100</v>
      </c>
      <c r="R183">
        <v>14</v>
      </c>
      <c r="S183" s="103">
        <v>0.14</v>
      </c>
      <c r="T183" t="inlineStr">
        <is>
          <t>Lo ejecutado está por debajo de lo programado en la vigencia</t>
        </is>
      </c>
      <c r="U183">
        <v>37</v>
      </c>
      <c r="V183" s="104">
        <v>0.37</v>
      </c>
      <c r="W183" t="inlineStr">
        <is>
          <t>Lo ejecutado está por debajo de lo programado en la vigencia</t>
        </is>
      </c>
    </row>
    <row r="184">
      <c r="A184" t="inlineStr">
        <is>
          <t>IP-193</t>
        </is>
      </c>
      <c r="B184" t="inlineStr">
        <is>
          <t>33</t>
        </is>
      </c>
      <c r="C184" t="inlineStr">
        <is>
          <t>Cultura</t>
        </is>
      </c>
      <c r="D184" t="inlineStr">
        <is>
          <t>3301</t>
        </is>
      </c>
      <c r="E184" t="inlineStr">
        <is>
          <t>Promoción y acceso efectivo a procesos culturales y artísticos</t>
        </is>
      </c>
      <c r="F184" t="inlineStr">
        <is>
          <t>3301128</t>
        </is>
      </c>
      <c r="G184" t="inlineStr">
        <is>
          <t>Servicio de apoyo financiero para creadores y gestores culturales</t>
        </is>
      </c>
      <c r="H184" t="inlineStr">
        <is>
          <t>330112800</t>
        </is>
      </c>
      <c r="I184" t="inlineStr">
        <is>
          <t>Creadores y gestores culturales beneficiados</t>
        </is>
      </c>
      <c r="J184" t="inlineStr">
        <is>
          <t>2024251260039</t>
        </is>
      </c>
      <c r="K184" t="inlineStr">
        <is>
          <t>No</t>
        </is>
      </c>
      <c r="L184" t="inlineStr">
        <is>
          <t>Número</t>
        </is>
      </c>
      <c r="M184">
        <v>100</v>
      </c>
      <c r="N184">
        <v>100</v>
      </c>
      <c r="O184">
        <v>100</v>
      </c>
      <c r="P184">
        <v>100</v>
      </c>
      <c r="Q184">
        <v>100</v>
      </c>
      <c r="R184" t="inlineStr">
        <is>
          <t xml:space="preserve"> </t>
        </is>
      </c>
      <c r="S184" s="103" t="inlineStr">
        <is>
          <t xml:space="preserve"> </t>
        </is>
      </c>
      <c r="T184" t="inlineStr">
        <is>
          <t>No se encontró ejecución en PIIP</t>
        </is>
      </c>
      <c r="U184">
        <v>7</v>
      </c>
      <c r="V184" s="104">
        <v>0.07</v>
      </c>
      <c r="W184" t="inlineStr">
        <is>
          <t>Lo ejecutado está por debajo de lo programado en la vigencia</t>
        </is>
      </c>
    </row>
    <row r="185">
      <c r="A185" t="inlineStr">
        <is>
          <t>IP-194</t>
        </is>
      </c>
      <c r="B185" t="inlineStr">
        <is>
          <t>33</t>
        </is>
      </c>
      <c r="C185" t="inlineStr">
        <is>
          <t>Cultura</t>
        </is>
      </c>
      <c r="D185" t="inlineStr">
        <is>
          <t>3301</t>
        </is>
      </c>
      <c r="E185" t="inlineStr">
        <is>
          <t>Promoción y acceso efectivo a procesos culturales y artísticos</t>
        </is>
      </c>
      <c r="F185" t="inlineStr">
        <is>
          <t>3301074</t>
        </is>
      </c>
      <c r="G185" t="inlineStr">
        <is>
          <t>Servicio de apoyo para la organización y la participación del sector artístico, cultural y la ciudadanía</t>
        </is>
      </c>
      <c r="H185" t="inlineStr">
        <is>
          <t>330107400</t>
        </is>
      </c>
      <c r="I185" t="inlineStr">
        <is>
          <t>Encuentros realizados</t>
        </is>
      </c>
      <c r="J185" t="inlineStr">
        <is>
          <t>2024251260039</t>
        </is>
      </c>
      <c r="K185" t="inlineStr">
        <is>
          <t>Si</t>
        </is>
      </c>
      <c r="L185" t="inlineStr">
        <is>
          <t>Número</t>
        </is>
      </c>
      <c r="M185">
        <v>1</v>
      </c>
      <c r="N185">
        <v>1</v>
      </c>
      <c r="O185">
        <v>1</v>
      </c>
      <c r="P185">
        <v>1</v>
      </c>
      <c r="Q185">
        <v>1</v>
      </c>
      <c r="R185">
        <v>1</v>
      </c>
      <c r="S185" s="103">
        <v>1</v>
      </c>
      <c r="T185" t="inlineStr">
        <is>
          <t>Se ejecutó el 100% de lo programado en la vigencia</t>
        </is>
      </c>
      <c r="U185">
        <v>0</v>
      </c>
      <c r="V185" s="104">
        <v>0</v>
      </c>
      <c r="W185" t="inlineStr">
        <is>
          <t>No se ejecutó en la vigencia</t>
        </is>
      </c>
    </row>
    <row r="186">
      <c r="A186" t="inlineStr">
        <is>
          <t>IP-195</t>
        </is>
      </c>
      <c r="B186" t="inlineStr">
        <is>
          <t>33</t>
        </is>
      </c>
      <c r="C186" t="inlineStr">
        <is>
          <t>Cultura</t>
        </is>
      </c>
      <c r="D186" t="inlineStr">
        <is>
          <t>3301</t>
        </is>
      </c>
      <c r="E186" t="inlineStr">
        <is>
          <t>Promoción y acceso efectivo a procesos culturales y artísticos</t>
        </is>
      </c>
      <c r="F186" t="inlineStr">
        <is>
          <t>3301074</t>
        </is>
      </c>
      <c r="G186" t="inlineStr">
        <is>
          <t>Servicio de apoyo para la organización y la participación del sector artístico, cultural y la ciudadanía</t>
        </is>
      </c>
      <c r="H186" t="inlineStr">
        <is>
          <t>330107407</t>
        </is>
      </c>
      <c r="I186" t="inlineStr">
        <is>
          <t>Asistencias técnicas en gestión cultural realizadas</t>
        </is>
      </c>
      <c r="J186" t="inlineStr">
        <is>
          <t>2024251260039</t>
        </is>
      </c>
      <c r="K186" t="inlineStr">
        <is>
          <t>Si</t>
        </is>
      </c>
      <c r="L186" t="inlineStr">
        <is>
          <t>Número</t>
        </is>
      </c>
      <c r="M186">
        <v>1</v>
      </c>
      <c r="N186">
        <v>1</v>
      </c>
      <c r="O186">
        <v>1</v>
      </c>
      <c r="P186">
        <v>1</v>
      </c>
      <c r="Q186">
        <v>1</v>
      </c>
      <c r="R186" t="inlineStr">
        <is>
          <t xml:space="preserve"> </t>
        </is>
      </c>
      <c r="S186" s="103" t="inlineStr">
        <is>
          <t xml:space="preserve"> </t>
        </is>
      </c>
      <c r="T186" t="inlineStr">
        <is>
          <t>No se encontró ejecución en PIIP</t>
        </is>
      </c>
      <c r="U186">
        <v>100</v>
      </c>
      <c r="V186" s="104">
        <v>100</v>
      </c>
      <c r="W186" t="inlineStr">
        <is>
          <t>Hubo ejecución por encima de lo programado en SisPT</t>
        </is>
      </c>
    </row>
    <row r="187">
      <c r="A187" t="inlineStr">
        <is>
          <t>IP-196</t>
        </is>
      </c>
      <c r="B187" t="inlineStr">
        <is>
          <t>33</t>
        </is>
      </c>
      <c r="C187" t="inlineStr">
        <is>
          <t>Cultura</t>
        </is>
      </c>
      <c r="D187" t="inlineStr">
        <is>
          <t>3301</t>
        </is>
      </c>
      <c r="E187" t="inlineStr">
        <is>
          <t>Promoción y acceso efectivo a procesos culturales y artísticos</t>
        </is>
      </c>
      <c r="F187" t="inlineStr">
        <is>
          <t>3301053</t>
        </is>
      </c>
      <c r="G187" t="inlineStr">
        <is>
          <t>Servicio de promoción de actividades culturales</t>
        </is>
      </c>
      <c r="H187" t="inlineStr">
        <is>
          <t>330105301</t>
        </is>
      </c>
      <c r="I187" t="inlineStr">
        <is>
          <t>Actividades culturales para la promoción de la cultura realizadas</t>
        </is>
      </c>
      <c r="J187" t="inlineStr">
        <is>
          <t>2024251260039</t>
        </is>
      </c>
      <c r="K187" t="inlineStr">
        <is>
          <t>Si</t>
        </is>
      </c>
      <c r="L187" t="inlineStr">
        <is>
          <t>Número</t>
        </is>
      </c>
      <c r="M187">
        <v>1</v>
      </c>
      <c r="N187">
        <v>0.25</v>
      </c>
      <c r="O187">
        <v>0.25</v>
      </c>
      <c r="P187">
        <v>0.25</v>
      </c>
      <c r="Q187">
        <v>0.25</v>
      </c>
      <c r="R187" t="inlineStr">
        <is>
          <t xml:space="preserve"> </t>
        </is>
      </c>
      <c r="S187" s="103" t="inlineStr">
        <is>
          <t xml:space="preserve"> </t>
        </is>
      </c>
      <c r="T187" t="inlineStr">
        <is>
          <t>No se encontró ejecución en PIIP</t>
        </is>
      </c>
      <c r="U187" t="inlineStr">
        <is>
          <t xml:space="preserve"> </t>
        </is>
      </c>
      <c r="V187" s="104" t="inlineStr">
        <is>
          <t xml:space="preserve"> </t>
        </is>
      </c>
      <c r="W187" t="inlineStr">
        <is>
          <t>No se encontró ejecución en PIIP</t>
        </is>
      </c>
    </row>
    <row r="188">
      <c r="A188" t="inlineStr">
        <is>
          <t>IP-197</t>
        </is>
      </c>
      <c r="B188" t="inlineStr">
        <is>
          <t>33</t>
        </is>
      </c>
      <c r="C188" t="inlineStr">
        <is>
          <t>Cultura</t>
        </is>
      </c>
      <c r="D188" t="inlineStr">
        <is>
          <t>3301</t>
        </is>
      </c>
      <c r="E188" t="inlineStr">
        <is>
          <t>Promoción y acceso efectivo a procesos culturales y artísticos</t>
        </is>
      </c>
      <c r="F188" t="inlineStr">
        <is>
          <t>3301068</t>
        </is>
      </c>
      <c r="G188" t="inlineStr">
        <is>
          <t>Servicio de mantenimiento de infraestructura cultural</t>
        </is>
      </c>
      <c r="H188" t="inlineStr">
        <is>
          <t>330106800</t>
        </is>
      </c>
      <c r="I188" t="inlineStr">
        <is>
          <t>Infraestructura cultural intervenida</t>
        </is>
      </c>
      <c r="J188" t="inlineStr">
        <is>
          <t>2024251260040</t>
        </is>
      </c>
      <c r="K188" t="inlineStr">
        <is>
          <t>No</t>
        </is>
      </c>
      <c r="L188" t="inlineStr">
        <is>
          <t>Número</t>
        </is>
      </c>
      <c r="M188">
        <v>1</v>
      </c>
      <c r="N188">
        <v>1</v>
      </c>
      <c r="O188">
        <v>0</v>
      </c>
      <c r="P188">
        <v>0</v>
      </c>
      <c r="Q188">
        <v>0</v>
      </c>
      <c r="R188">
        <v>1</v>
      </c>
      <c r="S188" s="103">
        <v>1</v>
      </c>
      <c r="T188" t="inlineStr">
        <is>
          <t>Se ejecutó el 100% de lo programado en la vigencia</t>
        </is>
      </c>
      <c r="U188" t="inlineStr">
        <is>
          <t xml:space="preserve"> </t>
        </is>
      </c>
      <c r="V188" s="104" t="inlineStr">
        <is>
          <t xml:space="preserve"> </t>
        </is>
      </c>
      <c r="W188" t="inlineStr">
        <is>
          <t>No se encontró ejecución en PIIP</t>
        </is>
      </c>
    </row>
    <row r="189">
      <c r="A189" t="inlineStr">
        <is>
          <t>IP-198</t>
        </is>
      </c>
      <c r="B189" t="inlineStr">
        <is>
          <t>33</t>
        </is>
      </c>
      <c r="C189" t="inlineStr">
        <is>
          <t>Cultura</t>
        </is>
      </c>
      <c r="D189" t="inlineStr">
        <is>
          <t>3301</t>
        </is>
      </c>
      <c r="E189" t="inlineStr">
        <is>
          <t>Promoción y acceso efectivo a procesos culturales y artísticos</t>
        </is>
      </c>
      <c r="F189" t="inlineStr">
        <is>
          <t>3301078</t>
        </is>
      </c>
      <c r="G189" t="inlineStr">
        <is>
          <t>Casas de la cultura construidas y dotadas</t>
        </is>
      </c>
      <c r="H189" t="inlineStr">
        <is>
          <t>330107800</t>
        </is>
      </c>
      <c r="I189" t="inlineStr">
        <is>
          <t>Casas de la cultura construidas y dotadas</t>
        </is>
      </c>
      <c r="J189" t="inlineStr">
        <is>
          <t>2024251260040</t>
        </is>
      </c>
      <c r="K189" t="inlineStr">
        <is>
          <t>No</t>
        </is>
      </c>
      <c r="L189" t="inlineStr">
        <is>
          <t>Número</t>
        </is>
      </c>
      <c r="M189">
        <v>2</v>
      </c>
      <c r="N189">
        <v>0</v>
      </c>
      <c r="O189">
        <v>1</v>
      </c>
      <c r="P189">
        <v>1</v>
      </c>
      <c r="Q189">
        <v>0</v>
      </c>
      <c r="R189">
        <v>2</v>
      </c>
      <c r="S189" s="103" t="inlineStr">
        <is>
          <t xml:space="preserve"> </t>
        </is>
      </c>
      <c r="T189" t="inlineStr">
        <is>
          <t>Se ejecutó un producto no programado en la vigencia</t>
        </is>
      </c>
      <c r="U189" t="inlineStr">
        <is>
          <t xml:space="preserve"> </t>
        </is>
      </c>
      <c r="V189" s="104" t="inlineStr">
        <is>
          <t xml:space="preserve"> </t>
        </is>
      </c>
      <c r="W189" t="inlineStr">
        <is>
          <t>No se encontró ejecución en PIIP</t>
        </is>
      </c>
    </row>
    <row r="190">
      <c r="A190" t="inlineStr">
        <is>
          <t>IP-199</t>
        </is>
      </c>
      <c r="B190" t="inlineStr">
        <is>
          <t>33</t>
        </is>
      </c>
      <c r="C190" t="inlineStr">
        <is>
          <t>Cultura</t>
        </is>
      </c>
      <c r="D190" t="inlineStr">
        <is>
          <t>3302</t>
        </is>
      </c>
      <c r="E190" t="inlineStr">
        <is>
          <t>Gestión, protección y salvaguardia del patrimonio cultural colombiano</t>
        </is>
      </c>
      <c r="F190" t="inlineStr">
        <is>
          <t>3302049</t>
        </is>
      </c>
      <c r="G190" t="inlineStr">
        <is>
          <t>Servicio de salvaguardia al patrimonio inmaterial</t>
        </is>
      </c>
      <c r="H190" t="inlineStr">
        <is>
          <t>330204900</t>
        </is>
      </c>
      <c r="I190" t="inlineStr">
        <is>
          <t>Procesos de salvaguardia efectiva del patrimonio inmaterial realizados</t>
        </is>
      </c>
      <c r="J190" t="inlineStr">
        <is>
          <t>2024251260041</t>
        </is>
      </c>
      <c r="K190" t="inlineStr">
        <is>
          <t>No</t>
        </is>
      </c>
      <c r="L190" t="inlineStr">
        <is>
          <t>Número</t>
        </is>
      </c>
      <c r="M190">
        <v>100</v>
      </c>
      <c r="N190">
        <v>100</v>
      </c>
      <c r="O190">
        <v>100</v>
      </c>
      <c r="P190">
        <v>100</v>
      </c>
      <c r="Q190">
        <v>100</v>
      </c>
      <c r="R190">
        <v>0.1</v>
      </c>
      <c r="S190" s="103">
        <v>0.001</v>
      </c>
      <c r="T190" t="inlineStr">
        <is>
          <t>Lo ejecutado está por debajo de lo programado en la vigencia</t>
        </is>
      </c>
      <c r="U190">
        <v>0.1083</v>
      </c>
      <c r="V190" s="104">
        <v>0.001083</v>
      </c>
      <c r="W190" t="inlineStr">
        <is>
          <t>Lo ejecutado está por debajo de lo programado en la vigencia</t>
        </is>
      </c>
    </row>
    <row r="191">
      <c r="A191" t="inlineStr">
        <is>
          <t>IP-200</t>
        </is>
      </c>
      <c r="B191" t="inlineStr">
        <is>
          <t>33</t>
        </is>
      </c>
      <c r="C191" t="inlineStr">
        <is>
          <t>Cultura</t>
        </is>
      </c>
      <c r="D191" t="inlineStr">
        <is>
          <t>3301</t>
        </is>
      </c>
      <c r="E191" t="inlineStr">
        <is>
          <t>Promoción y acceso efectivo a procesos culturales y artísticos</t>
        </is>
      </c>
      <c r="F191" t="inlineStr">
        <is>
          <t>3301085</t>
        </is>
      </c>
      <c r="G191" t="inlineStr">
        <is>
          <t>Servicios bibliotecarios</t>
        </is>
      </c>
      <c r="H191" t="inlineStr">
        <is>
          <t>330108500</t>
        </is>
      </c>
      <c r="I191" t="inlineStr">
        <is>
          <t>Usuarios atendidos</t>
        </is>
      </c>
      <c r="J191" t="inlineStr">
        <is>
          <t>2024251260039</t>
        </is>
      </c>
      <c r="K191" t="inlineStr">
        <is>
          <t>Si</t>
        </is>
      </c>
      <c r="L191" t="inlineStr">
        <is>
          <t>Número</t>
        </is>
      </c>
      <c r="M191">
        <v>2</v>
      </c>
      <c r="N191">
        <v>2</v>
      </c>
      <c r="O191">
        <v>2</v>
      </c>
      <c r="P191">
        <v>2</v>
      </c>
      <c r="Q191">
        <v>2</v>
      </c>
      <c r="R191">
        <v>13</v>
      </c>
      <c r="S191" s="103">
        <v>6.5</v>
      </c>
      <c r="T191" t="inlineStr">
        <is>
          <t>Hubo ejecución por encima de lo programado en SisPT</t>
        </is>
      </c>
      <c r="U191">
        <v>13000</v>
      </c>
      <c r="V191" s="104">
        <v>6500</v>
      </c>
      <c r="W191" t="inlineStr">
        <is>
          <t>Hubo ejecución por encima de lo programado en SisPT</t>
        </is>
      </c>
    </row>
    <row r="192">
      <c r="A192" t="inlineStr">
        <is>
          <t>IP-201</t>
        </is>
      </c>
      <c r="B192" t="inlineStr">
        <is>
          <t>33</t>
        </is>
      </c>
      <c r="C192" t="inlineStr">
        <is>
          <t>Cultura</t>
        </is>
      </c>
      <c r="D192" t="inlineStr">
        <is>
          <t>3301</t>
        </is>
      </c>
      <c r="E192" t="inlineStr">
        <is>
          <t>Promoción y acceso efectivo a procesos culturales y artísticos</t>
        </is>
      </c>
      <c r="F192" t="inlineStr">
        <is>
          <t>3301098</t>
        </is>
      </c>
      <c r="G192" t="inlineStr">
        <is>
          <t>Servicio de acceso a materiales de lectura</t>
        </is>
      </c>
      <c r="H192" t="inlineStr">
        <is>
          <t>330109800</t>
        </is>
      </c>
      <c r="I192" t="inlineStr">
        <is>
          <t>Materiales de lectura disponibles en bibliotecas públicas y espacios no convencionales</t>
        </is>
      </c>
      <c r="J192" t="inlineStr">
        <is>
          <t>2024251260039</t>
        </is>
      </c>
      <c r="K192" t="inlineStr">
        <is>
          <t>No</t>
        </is>
      </c>
      <c r="L192" t="inlineStr">
        <is>
          <t>Número</t>
        </is>
      </c>
      <c r="M192">
        <v>1</v>
      </c>
      <c r="N192">
        <v>1</v>
      </c>
      <c r="O192">
        <v>1</v>
      </c>
      <c r="P192">
        <v>1</v>
      </c>
      <c r="Q192">
        <v>1</v>
      </c>
      <c r="R192" t="inlineStr">
        <is>
          <t xml:space="preserve"> </t>
        </is>
      </c>
      <c r="S192" s="103" t="inlineStr">
        <is>
          <t xml:space="preserve"> </t>
        </is>
      </c>
      <c r="T192" t="inlineStr">
        <is>
          <t>No se encontró ejecución en PIIP</t>
        </is>
      </c>
      <c r="U192" t="inlineStr">
        <is>
          <t xml:space="preserve"> </t>
        </is>
      </c>
      <c r="V192" s="104" t="inlineStr">
        <is>
          <t xml:space="preserve"> </t>
        </is>
      </c>
      <c r="W192" t="inlineStr">
        <is>
          <t>No se encontró ejecución en PIIP</t>
        </is>
      </c>
    </row>
    <row r="193">
      <c r="A193" t="inlineStr">
        <is>
          <t>IP-202</t>
        </is>
      </c>
      <c r="B193" t="inlineStr">
        <is>
          <t>43</t>
        </is>
      </c>
      <c r="C193" t="inlineStr">
        <is>
          <t>Deporte y Recreación</t>
        </is>
      </c>
      <c r="D193" t="inlineStr">
        <is>
          <t>4301</t>
        </is>
      </c>
      <c r="E193" t="inlineStr">
        <is>
          <t>Fomento a la recreación, la actividad física y el deporte para desarrollar entornos de convivencia y paz</t>
        </is>
      </c>
      <c r="F193" t="inlineStr">
        <is>
          <t>4301006</t>
        </is>
      </c>
      <c r="G193" t="inlineStr">
        <is>
          <t>Documentos normativos</t>
        </is>
      </c>
      <c r="H193" t="inlineStr">
        <is>
          <t>430100600</t>
        </is>
      </c>
      <c r="I193" t="inlineStr">
        <is>
          <t>Documentos normativos realizados</t>
        </is>
      </c>
      <c r="J193" t="inlineStr">
        <is>
          <t>2024251260042</t>
        </is>
      </c>
      <c r="K193" t="inlineStr">
        <is>
          <t>No</t>
        </is>
      </c>
      <c r="L193" t="inlineStr">
        <is>
          <t>Número</t>
        </is>
      </c>
      <c r="M193">
        <v>100</v>
      </c>
      <c r="N193">
        <v>100</v>
      </c>
      <c r="O193">
        <v>100</v>
      </c>
      <c r="P193">
        <v>100</v>
      </c>
      <c r="Q193">
        <v>100</v>
      </c>
      <c r="R193">
        <v>0.6</v>
      </c>
      <c r="S193" s="103">
        <v>0.006</v>
      </c>
      <c r="T193" t="inlineStr">
        <is>
          <t>Lo ejecutado está por debajo de lo programado en la vigencia</t>
        </is>
      </c>
      <c r="U193" t="inlineStr">
        <is>
          <t xml:space="preserve"> </t>
        </is>
      </c>
      <c r="V193" s="104" t="inlineStr">
        <is>
          <t xml:space="preserve"> </t>
        </is>
      </c>
      <c r="W193" t="inlineStr">
        <is>
          <t>No se encontró ejecución en PIIP</t>
        </is>
      </c>
    </row>
    <row r="194">
      <c r="A194" t="inlineStr">
        <is>
          <t>IP-203</t>
        </is>
      </c>
      <c r="B194" t="inlineStr">
        <is>
          <t>43</t>
        </is>
      </c>
      <c r="C194" t="inlineStr">
        <is>
          <t>Deporte y Recreación</t>
        </is>
      </c>
      <c r="D194" t="inlineStr">
        <is>
          <t>4301</t>
        </is>
      </c>
      <c r="E194" t="inlineStr">
        <is>
          <t>Fomento a la recreación, la actividad física y el deporte para desarrollar entornos de convivencia y paz</t>
        </is>
      </c>
      <c r="F194" t="inlineStr">
        <is>
          <t>4301007</t>
        </is>
      </c>
      <c r="G194" t="inlineStr">
        <is>
          <t>Servicio de Escuelas Deportivas</t>
        </is>
      </c>
      <c r="H194" t="inlineStr">
        <is>
          <t>430100702</t>
        </is>
      </c>
      <c r="I194" t="inlineStr">
        <is>
          <t>Escuelas deportivas implementadas</t>
        </is>
      </c>
      <c r="J194" t="inlineStr">
        <is>
          <t>2024251260042</t>
        </is>
      </c>
      <c r="K194" t="inlineStr">
        <is>
          <t>No</t>
        </is>
      </c>
      <c r="L194" t="inlineStr">
        <is>
          <t>Número</t>
        </is>
      </c>
      <c r="M194">
        <v>32</v>
      </c>
      <c r="N194">
        <v>32</v>
      </c>
      <c r="O194">
        <v>32</v>
      </c>
      <c r="P194">
        <v>32</v>
      </c>
      <c r="Q194">
        <v>32</v>
      </c>
      <c r="R194" t="inlineStr">
        <is>
          <t xml:space="preserve"> </t>
        </is>
      </c>
      <c r="S194" s="103" t="inlineStr">
        <is>
          <t xml:space="preserve"> </t>
        </is>
      </c>
      <c r="T194" t="inlineStr">
        <is>
          <t>No se encontró ejecución en PIIP</t>
        </is>
      </c>
      <c r="U194" t="inlineStr">
        <is>
          <t xml:space="preserve"> </t>
        </is>
      </c>
      <c r="V194" s="104" t="inlineStr">
        <is>
          <t xml:space="preserve"> </t>
        </is>
      </c>
      <c r="W194" t="inlineStr">
        <is>
          <t>No se encontró ejecución en PIIP</t>
        </is>
      </c>
    </row>
    <row r="195">
      <c r="A195" t="inlineStr">
        <is>
          <t>IP-204</t>
        </is>
      </c>
      <c r="B195" t="inlineStr">
        <is>
          <t>43</t>
        </is>
      </c>
      <c r="C195" t="inlineStr">
        <is>
          <t>Deporte y Recreación</t>
        </is>
      </c>
      <c r="D195" t="inlineStr">
        <is>
          <t>4302</t>
        </is>
      </c>
      <c r="E195" t="inlineStr">
        <is>
          <t>Formación y preparación de deportistas</t>
        </is>
      </c>
      <c r="F195" t="inlineStr">
        <is>
          <t>4302006</t>
        </is>
      </c>
      <c r="G195" t="inlineStr">
        <is>
          <t>Documentos de planeación</t>
        </is>
      </c>
      <c r="H195" t="inlineStr">
        <is>
          <t>430200600</t>
        </is>
      </c>
      <c r="I195" t="inlineStr">
        <is>
          <t>Documentos de planeación realizados</t>
        </is>
      </c>
      <c r="J195" t="inlineStr">
        <is>
          <t>2024251260042</t>
        </is>
      </c>
      <c r="K195" t="inlineStr">
        <is>
          <t>No</t>
        </is>
      </c>
      <c r="L195" t="inlineStr">
        <is>
          <t>Número</t>
        </is>
      </c>
      <c r="M195">
        <v>1</v>
      </c>
      <c r="N195">
        <v>1</v>
      </c>
      <c r="O195">
        <v>1</v>
      </c>
      <c r="P195">
        <v>1</v>
      </c>
      <c r="Q195">
        <v>1</v>
      </c>
      <c r="R195" t="inlineStr">
        <is>
          <t xml:space="preserve"> </t>
        </is>
      </c>
      <c r="S195" s="103" t="inlineStr">
        <is>
          <t xml:space="preserve"> </t>
        </is>
      </c>
      <c r="T195" t="inlineStr">
        <is>
          <t>No se encontró ejecución en PIIP</t>
        </is>
      </c>
      <c r="U195" t="inlineStr">
        <is>
          <t xml:space="preserve"> </t>
        </is>
      </c>
      <c r="V195" s="104" t="inlineStr">
        <is>
          <t xml:space="preserve"> </t>
        </is>
      </c>
      <c r="W195" t="inlineStr">
        <is>
          <t>No se encontró ejecución en PIIP</t>
        </is>
      </c>
    </row>
    <row r="196">
      <c r="A196" t="inlineStr">
        <is>
          <t>IP-205</t>
        </is>
      </c>
      <c r="B196" t="inlineStr">
        <is>
          <t>43</t>
        </is>
      </c>
      <c r="C196" t="inlineStr">
        <is>
          <t>Deporte y Recreación</t>
        </is>
      </c>
      <c r="D196" t="inlineStr">
        <is>
          <t>4301</t>
        </is>
      </c>
      <c r="E196" t="inlineStr">
        <is>
          <t>Fomento a la recreación, la actividad física y el deporte para desarrollar entornos de convivencia y paz</t>
        </is>
      </c>
      <c r="F196" t="inlineStr">
        <is>
          <t>4301001</t>
        </is>
      </c>
      <c r="G196" t="inlineStr">
        <is>
          <t>Servicio de apoyo a la actividad física, la recreación y el deporte</t>
        </is>
      </c>
      <c r="H196" t="inlineStr">
        <is>
          <t>430100100</t>
        </is>
      </c>
      <c r="I196" t="inlineStr">
        <is>
          <t>Personas beneficiadas</t>
        </is>
      </c>
      <c r="J196" t="inlineStr">
        <is>
          <t>2024251260042</t>
        </is>
      </c>
      <c r="K196" t="inlineStr">
        <is>
          <t>No</t>
        </is>
      </c>
      <c r="L196" t="inlineStr">
        <is>
          <t>Número</t>
        </is>
      </c>
      <c r="M196">
        <v>1</v>
      </c>
      <c r="N196">
        <v>1</v>
      </c>
      <c r="O196">
        <v>1</v>
      </c>
      <c r="P196">
        <v>1</v>
      </c>
      <c r="Q196">
        <v>1</v>
      </c>
      <c r="R196">
        <v>4915</v>
      </c>
      <c r="S196" s="103">
        <v>4915</v>
      </c>
      <c r="T196" t="inlineStr">
        <is>
          <t>Hubo ejecución por encima de lo programado en SisPT</t>
        </is>
      </c>
      <c r="U196">
        <v>11170</v>
      </c>
      <c r="V196" s="104">
        <v>11170</v>
      </c>
      <c r="W196" t="inlineStr">
        <is>
          <t>Hubo ejecución por encima de lo programado en SisPT</t>
        </is>
      </c>
    </row>
    <row r="197">
      <c r="A197" t="inlineStr">
        <is>
          <t>IP-206</t>
        </is>
      </c>
      <c r="B197" t="inlineStr">
        <is>
          <t>43</t>
        </is>
      </c>
      <c r="C197" t="inlineStr">
        <is>
          <t>Deporte y Recreación</t>
        </is>
      </c>
      <c r="D197" t="inlineStr">
        <is>
          <t>4301</t>
        </is>
      </c>
      <c r="E197" t="inlineStr">
        <is>
          <t>Fomento a la recreación, la actividad física y el deporte para desarrollar entornos de convivencia y paz</t>
        </is>
      </c>
      <c r="F197" t="inlineStr">
        <is>
          <t>4301001</t>
        </is>
      </c>
      <c r="G197" t="inlineStr">
        <is>
          <t>Servicio de apoyo a la actividad física, la recreación y el deporte</t>
        </is>
      </c>
      <c r="H197" t="inlineStr">
        <is>
          <t>430100101</t>
        </is>
      </c>
      <c r="I197" t="inlineStr">
        <is>
          <t>Estímulos entregados</t>
        </is>
      </c>
      <c r="J197" t="inlineStr">
        <is>
          <t>2024251260042</t>
        </is>
      </c>
      <c r="K197" t="inlineStr">
        <is>
          <t>No</t>
        </is>
      </c>
      <c r="L197" t="inlineStr">
        <is>
          <t>Número</t>
        </is>
      </c>
      <c r="M197">
        <v>1</v>
      </c>
      <c r="N197">
        <v>1</v>
      </c>
      <c r="O197">
        <v>1</v>
      </c>
      <c r="P197">
        <v>1</v>
      </c>
      <c r="Q197">
        <v>1</v>
      </c>
      <c r="R197" t="inlineStr">
        <is>
          <t xml:space="preserve"> </t>
        </is>
      </c>
      <c r="S197" s="103" t="inlineStr">
        <is>
          <t xml:space="preserve"> </t>
        </is>
      </c>
      <c r="T197" t="inlineStr">
        <is>
          <t>No se encontró ejecución en PIIP</t>
        </is>
      </c>
      <c r="U197" t="inlineStr">
        <is>
          <t xml:space="preserve"> </t>
        </is>
      </c>
      <c r="V197" s="104" t="inlineStr">
        <is>
          <t xml:space="preserve"> </t>
        </is>
      </c>
      <c r="W197" t="inlineStr">
        <is>
          <t>No se encontró ejecución en PIIP</t>
        </is>
      </c>
    </row>
    <row r="198">
      <c r="A198" t="inlineStr">
        <is>
          <t>IP-207</t>
        </is>
      </c>
      <c r="B198" t="inlineStr">
        <is>
          <t>43</t>
        </is>
      </c>
      <c r="C198" t="inlineStr">
        <is>
          <t>Deporte y Recreación</t>
        </is>
      </c>
      <c r="D198" t="inlineStr">
        <is>
          <t>4301</t>
        </is>
      </c>
      <c r="E198" t="inlineStr">
        <is>
          <t>Fomento a la recreación, la actividad física y el deporte para desarrollar entornos de convivencia y paz</t>
        </is>
      </c>
      <c r="F198" t="inlineStr">
        <is>
          <t>4301037</t>
        </is>
      </c>
      <c r="G198" t="inlineStr">
        <is>
          <t>Servicio de promoción de la actividad física, la recreación y el deporte</t>
        </is>
      </c>
      <c r="H198" t="inlineStr">
        <is>
          <t>430103705</t>
        </is>
      </c>
      <c r="I198" t="inlineStr">
        <is>
          <t>Sedes educativas apoyadas con programas de fomento</t>
        </is>
      </c>
      <c r="J198" t="inlineStr">
        <is>
          <t>2024251260042</t>
        </is>
      </c>
      <c r="K198" t="inlineStr">
        <is>
          <t>No</t>
        </is>
      </c>
      <c r="L198" t="inlineStr">
        <is>
          <t>Número</t>
        </is>
      </c>
      <c r="M198">
        <v>6</v>
      </c>
      <c r="N198">
        <v>6</v>
      </c>
      <c r="O198">
        <v>6</v>
      </c>
      <c r="P198">
        <v>6</v>
      </c>
      <c r="Q198">
        <v>6</v>
      </c>
      <c r="R198" t="inlineStr">
        <is>
          <t xml:space="preserve"> </t>
        </is>
      </c>
      <c r="S198" s="103" t="inlineStr">
        <is>
          <t xml:space="preserve"> </t>
        </is>
      </c>
      <c r="T198" t="inlineStr">
        <is>
          <t>No se encontró ejecución en PIIP</t>
        </is>
      </c>
      <c r="U198" t="inlineStr">
        <is>
          <t xml:space="preserve"> </t>
        </is>
      </c>
      <c r="V198" s="104" t="inlineStr">
        <is>
          <t xml:space="preserve"> </t>
        </is>
      </c>
      <c r="W198" t="inlineStr">
        <is>
          <t>No se encontró ejecución en PIIP</t>
        </is>
      </c>
    </row>
    <row r="199">
      <c r="A199" t="inlineStr">
        <is>
          <t>IP-208</t>
        </is>
      </c>
      <c r="B199" t="inlineStr">
        <is>
          <t>43</t>
        </is>
      </c>
      <c r="C199" t="inlineStr">
        <is>
          <t>Deporte y Recreación</t>
        </is>
      </c>
      <c r="D199" t="inlineStr">
        <is>
          <t>4301</t>
        </is>
      </c>
      <c r="E199" t="inlineStr">
        <is>
          <t>Fomento a la recreación, la actividad física y el deporte para desarrollar entornos de convivencia y paz</t>
        </is>
      </c>
      <c r="F199" t="inlineStr">
        <is>
          <t>4301037</t>
        </is>
      </c>
      <c r="G199" t="inlineStr">
        <is>
          <t>Servicio de promoción de la actividad física, la recreación y el deporte</t>
        </is>
      </c>
      <c r="H199" t="inlineStr">
        <is>
          <t>430103700</t>
        </is>
      </c>
      <c r="I199" t="inlineStr">
        <is>
          <t>Personas que acceden a servicios deportivos, recreativos y de actividad física</t>
        </is>
      </c>
      <c r="J199" t="inlineStr">
        <is>
          <t>2024251260042</t>
        </is>
      </c>
      <c r="K199" t="inlineStr">
        <is>
          <t>No</t>
        </is>
      </c>
      <c r="L199" t="inlineStr">
        <is>
          <t>Número</t>
        </is>
      </c>
      <c r="M199">
        <v>1</v>
      </c>
      <c r="N199">
        <v>1</v>
      </c>
      <c r="O199">
        <v>1</v>
      </c>
      <c r="P199">
        <v>1</v>
      </c>
      <c r="Q199">
        <v>1</v>
      </c>
      <c r="R199">
        <v>4915</v>
      </c>
      <c r="S199" s="103">
        <v>4915</v>
      </c>
      <c r="T199" t="inlineStr">
        <is>
          <t>Hubo ejecución por encima de lo programado en SisPT</t>
        </is>
      </c>
      <c r="U199">
        <v>3965</v>
      </c>
      <c r="V199" s="104">
        <v>3965</v>
      </c>
      <c r="W199" t="inlineStr">
        <is>
          <t>Hubo ejecución por encima de lo programado en SisPT</t>
        </is>
      </c>
    </row>
    <row r="200">
      <c r="A200" t="inlineStr">
        <is>
          <t>IP-209</t>
        </is>
      </c>
      <c r="B200" t="inlineStr">
        <is>
          <t>43</t>
        </is>
      </c>
      <c r="C200" t="inlineStr">
        <is>
          <t>Deporte y Recreación</t>
        </is>
      </c>
      <c r="D200" t="inlineStr">
        <is>
          <t>4301</t>
        </is>
      </c>
      <c r="E200" t="inlineStr">
        <is>
          <t>Fomento a la recreación, la actividad física y el deporte para desarrollar entornos de convivencia y paz</t>
        </is>
      </c>
      <c r="F200" t="inlineStr">
        <is>
          <t>4301004</t>
        </is>
      </c>
      <c r="G200" t="inlineStr">
        <is>
          <t>Servicio de mantenimiento a la infraestructura deportiva</t>
        </is>
      </c>
      <c r="H200" t="inlineStr">
        <is>
          <t>430100400</t>
        </is>
      </c>
      <c r="I200" t="inlineStr">
        <is>
          <t>Infraestructura deportiva mantenida</t>
        </is>
      </c>
      <c r="J200" t="inlineStr">
        <is>
          <t>2024251260043</t>
        </is>
      </c>
      <c r="K200" t="inlineStr">
        <is>
          <t>No</t>
        </is>
      </c>
      <c r="L200" t="inlineStr">
        <is>
          <t>Número</t>
        </is>
      </c>
      <c r="M200">
        <v>1</v>
      </c>
      <c r="N200">
        <v>1</v>
      </c>
      <c r="O200">
        <v>1</v>
      </c>
      <c r="P200">
        <v>1</v>
      </c>
      <c r="Q200">
        <v>1</v>
      </c>
      <c r="R200">
        <v>27</v>
      </c>
      <c r="S200" s="103">
        <v>27</v>
      </c>
      <c r="T200" t="inlineStr">
        <is>
          <t>Hubo ejecución por encima de lo programado en SisPT</t>
        </is>
      </c>
      <c r="U200">
        <v>8.37</v>
      </c>
      <c r="V200" s="104">
        <v>8.37</v>
      </c>
      <c r="W200" t="inlineStr">
        <is>
          <t>Hubo ejecución por encima de lo programado en SisPT</t>
        </is>
      </c>
    </row>
    <row r="201">
      <c r="A201" t="inlineStr">
        <is>
          <t>IP-210</t>
        </is>
      </c>
      <c r="B201" t="inlineStr">
        <is>
          <t>35</t>
        </is>
      </c>
      <c r="C201" t="inlineStr">
        <is>
          <t>Comercio, industria y turismo</t>
        </is>
      </c>
      <c r="D201" t="inlineStr">
        <is>
          <t>3502</t>
        </is>
      </c>
      <c r="E201" t="inlineStr">
        <is>
          <t>Productividad y competitividad de las empresas colombianas</t>
        </is>
      </c>
      <c r="F201" t="inlineStr">
        <is>
          <t>3502096</t>
        </is>
      </c>
      <c r="G201" t="inlineStr">
        <is>
          <t>Servicios de apoyo financiero para la gestión del uso eficiente de los recursos y aumento de la productividad</t>
        </is>
      </c>
      <c r="H201" t="inlineStr">
        <is>
          <t>350209601</t>
        </is>
      </c>
      <c r="I201" t="inlineStr">
        <is>
          <t>Empresas beneficiadas por las iniciativas financiadas para la gestión y el uso eficiente de recursos</t>
        </is>
      </c>
      <c r="J201" t="inlineStr">
        <is>
          <t>2024251260044</t>
        </is>
      </c>
      <c r="K201" t="inlineStr">
        <is>
          <t>No</t>
        </is>
      </c>
      <c r="L201" t="inlineStr">
        <is>
          <t>Número</t>
        </is>
      </c>
      <c r="M201">
        <v>1</v>
      </c>
      <c r="N201">
        <v>1</v>
      </c>
      <c r="O201">
        <v>1</v>
      </c>
      <c r="P201">
        <v>1</v>
      </c>
      <c r="Q201">
        <v>1</v>
      </c>
      <c r="R201" t="inlineStr">
        <is>
          <t xml:space="preserve"> </t>
        </is>
      </c>
      <c r="S201" s="103" t="inlineStr">
        <is>
          <t xml:space="preserve"> </t>
        </is>
      </c>
      <c r="T201" t="inlineStr">
        <is>
          <t>No se encontró ejecución en PIIP</t>
        </is>
      </c>
      <c r="U201">
        <v>18</v>
      </c>
      <c r="V201" s="104">
        <v>18</v>
      </c>
      <c r="W201" t="inlineStr">
        <is>
          <t>Hubo ejecución por encima de lo programado en SisPT</t>
        </is>
      </c>
    </row>
    <row r="202">
      <c r="A202" t="inlineStr">
        <is>
          <t>IP-211</t>
        </is>
      </c>
      <c r="B202" t="inlineStr">
        <is>
          <t>35</t>
        </is>
      </c>
      <c r="C202" t="inlineStr">
        <is>
          <t>Comercio, industria y turismo</t>
        </is>
      </c>
      <c r="D202" t="inlineStr">
        <is>
          <t>3502</t>
        </is>
      </c>
      <c r="E202" t="inlineStr">
        <is>
          <t>Productividad y competitividad de las empresas colombianas</t>
        </is>
      </c>
      <c r="F202" t="inlineStr">
        <is>
          <t>3502009</t>
        </is>
      </c>
      <c r="G202" t="inlineStr">
        <is>
          <t>Servicio de apoyo para la transferencia y/o implementación de metodologías de aumento de la productividad</t>
        </is>
      </c>
      <c r="H202" t="inlineStr">
        <is>
          <t>350200900</t>
        </is>
      </c>
      <c r="I202" t="inlineStr">
        <is>
          <t xml:space="preserve">Unidades productivas  beneficiadas en la implementación de estrategias para incrementar su productividad </t>
        </is>
      </c>
      <c r="J202" t="inlineStr">
        <is>
          <t>2024251260044</t>
        </is>
      </c>
      <c r="K202" t="inlineStr">
        <is>
          <t>No</t>
        </is>
      </c>
      <c r="L202" t="inlineStr">
        <is>
          <t>Número</t>
        </is>
      </c>
      <c r="M202">
        <v>2</v>
      </c>
      <c r="N202">
        <v>2</v>
      </c>
      <c r="O202">
        <v>2</v>
      </c>
      <c r="P202">
        <v>2</v>
      </c>
      <c r="Q202">
        <v>2</v>
      </c>
      <c r="R202" t="inlineStr">
        <is>
          <t xml:space="preserve"> </t>
        </is>
      </c>
      <c r="S202" s="103" t="inlineStr">
        <is>
          <t xml:space="preserve"> </t>
        </is>
      </c>
      <c r="T202" t="inlineStr">
        <is>
          <t>No se encontró ejecución en PIIP</t>
        </is>
      </c>
      <c r="U202" t="inlineStr">
        <is>
          <t xml:space="preserve"> </t>
        </is>
      </c>
      <c r="V202" s="104" t="inlineStr">
        <is>
          <t xml:space="preserve"> </t>
        </is>
      </c>
      <c r="W202" t="inlineStr">
        <is>
          <t>No se encontró ejecución en PIIP</t>
        </is>
      </c>
    </row>
    <row r="203">
      <c r="A203" t="inlineStr">
        <is>
          <t>IP-212</t>
        </is>
      </c>
      <c r="B203" t="inlineStr">
        <is>
          <t>35</t>
        </is>
      </c>
      <c r="C203" t="inlineStr">
        <is>
          <t>Comercio, industria y turismo</t>
        </is>
      </c>
      <c r="D203" t="inlineStr">
        <is>
          <t>3502</t>
        </is>
      </c>
      <c r="E203" t="inlineStr">
        <is>
          <t>Productividad y competitividad de las empresas colombianas</t>
        </is>
      </c>
      <c r="F203" t="inlineStr">
        <is>
          <t>3502021</t>
        </is>
      </c>
      <c r="G203" t="inlineStr">
        <is>
          <t>Servicio de fortalecimiento y desarrollo de unidades productivas para la comercialización de productos agroindustriales</t>
        </is>
      </c>
      <c r="H203" t="inlineStr">
        <is>
          <t>350202101</t>
        </is>
      </c>
      <c r="I203" t="inlineStr">
        <is>
          <t xml:space="preserve">Emprendimientos y/o empresas asociativas generadas </t>
        </is>
      </c>
      <c r="J203" t="inlineStr">
        <is>
          <t>2024251260044</t>
        </is>
      </c>
      <c r="K203" t="inlineStr">
        <is>
          <t>No</t>
        </is>
      </c>
      <c r="L203" t="inlineStr">
        <is>
          <t>Número</t>
        </is>
      </c>
      <c r="M203">
        <v>1</v>
      </c>
      <c r="N203">
        <v>1</v>
      </c>
      <c r="O203">
        <v>1</v>
      </c>
      <c r="P203">
        <v>1</v>
      </c>
      <c r="Q203">
        <v>1</v>
      </c>
      <c r="R203">
        <v>200</v>
      </c>
      <c r="S203" s="103">
        <v>200</v>
      </c>
      <c r="T203" t="inlineStr">
        <is>
          <t>Hubo ejecución por encima de lo programado en SisPT</t>
        </is>
      </c>
      <c r="U203">
        <v>60</v>
      </c>
      <c r="V203" s="104">
        <v>60</v>
      </c>
      <c r="W203" t="inlineStr">
        <is>
          <t>Hubo ejecución por encima de lo programado en SisPT</t>
        </is>
      </c>
    </row>
    <row r="204">
      <c r="A204" t="inlineStr">
        <is>
          <t>IP-213</t>
        </is>
      </c>
      <c r="B204" t="inlineStr">
        <is>
          <t>35</t>
        </is>
      </c>
      <c r="C204" t="inlineStr">
        <is>
          <t>Comercio, industria y turismo</t>
        </is>
      </c>
      <c r="D204" t="inlineStr">
        <is>
          <t>3502</t>
        </is>
      </c>
      <c r="E204" t="inlineStr">
        <is>
          <t>Productividad y competitividad de las empresas colombianas</t>
        </is>
      </c>
      <c r="F204" t="inlineStr">
        <is>
          <t>3502039</t>
        </is>
      </c>
      <c r="G204" t="inlineStr">
        <is>
          <t>Servicio de asistencia técnica a los entes territoriales para el desarrollo turístico</t>
        </is>
      </c>
      <c r="H204" t="inlineStr">
        <is>
          <t>350203903</t>
        </is>
      </c>
      <c r="I204" t="inlineStr">
        <is>
          <t xml:space="preserve">Eventos Regionales realizados </t>
        </is>
      </c>
      <c r="J204" t="inlineStr">
        <is>
          <t>2024251260044</t>
        </is>
      </c>
      <c r="K204" t="inlineStr">
        <is>
          <t>No</t>
        </is>
      </c>
      <c r="L204" t="inlineStr">
        <is>
          <t>Número</t>
        </is>
      </c>
      <c r="M204">
        <v>1</v>
      </c>
      <c r="N204">
        <v>1</v>
      </c>
      <c r="O204">
        <v>1</v>
      </c>
      <c r="P204">
        <v>1</v>
      </c>
      <c r="Q204">
        <v>1</v>
      </c>
      <c r="R204">
        <v>4</v>
      </c>
      <c r="S204" s="103">
        <v>4</v>
      </c>
      <c r="T204" t="inlineStr">
        <is>
          <t>Hubo ejecución por encima de lo programado en SisPT</t>
        </is>
      </c>
      <c r="U204">
        <v>0</v>
      </c>
      <c r="V204" s="104">
        <v>0</v>
      </c>
      <c r="W204" t="inlineStr">
        <is>
          <t>No se ejecutó en la vigencia</t>
        </is>
      </c>
    </row>
    <row r="205">
      <c r="A205" t="inlineStr">
        <is>
          <t>IP-214</t>
        </is>
      </c>
      <c r="B205" t="inlineStr">
        <is>
          <t>35</t>
        </is>
      </c>
      <c r="C205" t="inlineStr">
        <is>
          <t>Comercio, industria y turismo</t>
        </is>
      </c>
      <c r="D205" t="inlineStr">
        <is>
          <t>3502</t>
        </is>
      </c>
      <c r="E205" t="inlineStr">
        <is>
          <t>Productividad y competitividad de las empresas colombianas</t>
        </is>
      </c>
      <c r="F205" t="inlineStr">
        <is>
          <t>3502004</t>
        </is>
      </c>
      <c r="G205" t="inlineStr">
        <is>
          <t>Servicio de apoyo financiero para el mejoramiento de productos o procesos</t>
        </is>
      </c>
      <c r="H205" t="inlineStr">
        <is>
          <t>350200401</t>
        </is>
      </c>
      <c r="I205" t="inlineStr">
        <is>
          <t>Proyectos de mejoramiento de producto financiados.</t>
        </is>
      </c>
      <c r="J205" t="inlineStr">
        <is>
          <t>2024251260044</t>
        </is>
      </c>
      <c r="K205" t="inlineStr">
        <is>
          <t>No</t>
        </is>
      </c>
      <c r="L205" t="inlineStr">
        <is>
          <t>Número</t>
        </is>
      </c>
      <c r="M205">
        <v>1</v>
      </c>
      <c r="N205">
        <v>1</v>
      </c>
      <c r="O205">
        <v>1</v>
      </c>
      <c r="P205">
        <v>1</v>
      </c>
      <c r="Q205">
        <v>1</v>
      </c>
      <c r="R205" t="inlineStr">
        <is>
          <t xml:space="preserve"> </t>
        </is>
      </c>
      <c r="S205" s="103" t="inlineStr">
        <is>
          <t xml:space="preserve"> </t>
        </is>
      </c>
      <c r="T205" t="inlineStr">
        <is>
          <t>No se encontró ejecución en PIIP</t>
        </is>
      </c>
      <c r="U205" t="inlineStr">
        <is>
          <t xml:space="preserve"> </t>
        </is>
      </c>
      <c r="V205" s="104" t="inlineStr">
        <is>
          <t xml:space="preserve"> </t>
        </is>
      </c>
      <c r="W205" t="inlineStr">
        <is>
          <t>No se encontró ejecución en PIIP</t>
        </is>
      </c>
    </row>
    <row r="206">
      <c r="A206" t="inlineStr">
        <is>
          <t>IP-215</t>
        </is>
      </c>
      <c r="B206" t="inlineStr">
        <is>
          <t>35</t>
        </is>
      </c>
      <c r="C206" t="inlineStr">
        <is>
          <t>Comercio, industria y turismo</t>
        </is>
      </c>
      <c r="D206" t="inlineStr">
        <is>
          <t>3502</t>
        </is>
      </c>
      <c r="E206" t="inlineStr">
        <is>
          <t>Productividad y competitividad de las empresas colombianas</t>
        </is>
      </c>
      <c r="F206" t="inlineStr">
        <is>
          <t>3502026</t>
        </is>
      </c>
      <c r="G206" t="inlineStr">
        <is>
          <t>Servicio de diseño y/o mejoramiento de productos artesanales</t>
        </is>
      </c>
      <c r="H206" t="inlineStr">
        <is>
          <t>350202600</t>
        </is>
      </c>
      <c r="I206" t="inlineStr">
        <is>
          <t xml:space="preserve">Productos diseñados </t>
        </is>
      </c>
      <c r="J206" t="inlineStr">
        <is>
          <t>2024251260044</t>
        </is>
      </c>
      <c r="K206" t="inlineStr">
        <is>
          <t>No</t>
        </is>
      </c>
      <c r="L206" t="inlineStr">
        <is>
          <t>Número</t>
        </is>
      </c>
      <c r="M206">
        <v>1</v>
      </c>
      <c r="N206">
        <v>1</v>
      </c>
      <c r="O206">
        <v>1</v>
      </c>
      <c r="P206">
        <v>1</v>
      </c>
      <c r="Q206">
        <v>1</v>
      </c>
      <c r="R206">
        <v>1</v>
      </c>
      <c r="S206" s="103">
        <v>1</v>
      </c>
      <c r="T206" t="inlineStr">
        <is>
          <t>Se ejecutó el 100% de lo programado en la vigencia</t>
        </is>
      </c>
      <c r="U206">
        <v>0</v>
      </c>
      <c r="V206" s="104">
        <v>0</v>
      </c>
      <c r="W206" t="inlineStr">
        <is>
          <t>No se ejecutó en la vigencia</t>
        </is>
      </c>
    </row>
    <row r="207">
      <c r="A207" t="inlineStr">
        <is>
          <t>IP-216</t>
        </is>
      </c>
      <c r="B207" t="inlineStr">
        <is>
          <t>35</t>
        </is>
      </c>
      <c r="C207" t="inlineStr">
        <is>
          <t>Comercio, industria y turismo</t>
        </is>
      </c>
      <c r="D207" t="inlineStr">
        <is>
          <t>3502</t>
        </is>
      </c>
      <c r="E207" t="inlineStr">
        <is>
          <t>Productividad y competitividad de las empresas colombianas</t>
        </is>
      </c>
      <c r="F207" t="inlineStr">
        <is>
          <t>3502114</t>
        </is>
      </c>
      <c r="G207" t="inlineStr">
        <is>
          <t>Equipamientos turísticos dotados</t>
        </is>
      </c>
      <c r="H207" t="inlineStr">
        <is>
          <t>350211400</t>
        </is>
      </c>
      <c r="I207" t="inlineStr">
        <is>
          <t xml:space="preserve"> Equipamientos dotados</t>
        </is>
      </c>
      <c r="J207" t="inlineStr">
        <is>
          <t>2024251260045</t>
        </is>
      </c>
      <c r="K207" t="inlineStr">
        <is>
          <t>Si</t>
        </is>
      </c>
      <c r="L207" t="inlineStr">
        <is>
          <t>Número</t>
        </is>
      </c>
      <c r="M207">
        <v>1</v>
      </c>
      <c r="N207">
        <v>0.25</v>
      </c>
      <c r="O207">
        <v>0.25</v>
      </c>
      <c r="P207">
        <v>0.25</v>
      </c>
      <c r="Q207">
        <v>0.25</v>
      </c>
      <c r="R207">
        <v>0.25</v>
      </c>
      <c r="S207" s="103">
        <v>1</v>
      </c>
      <c r="T207" t="inlineStr">
        <is>
          <t>Se ejecutó el 100% de lo programado en la vigencia</t>
        </is>
      </c>
      <c r="U207">
        <v>0.05</v>
      </c>
      <c r="V207" s="104">
        <v>0.2</v>
      </c>
      <c r="W207" t="inlineStr">
        <is>
          <t>Lo ejecutado está por debajo de lo programado en la vigencia</t>
        </is>
      </c>
    </row>
    <row r="208">
      <c r="A208" t="inlineStr">
        <is>
          <t>IP-217</t>
        </is>
      </c>
      <c r="B208" t="inlineStr">
        <is>
          <t>35</t>
        </is>
      </c>
      <c r="C208" t="inlineStr">
        <is>
          <t>Comercio, industria y turismo</t>
        </is>
      </c>
      <c r="D208" t="inlineStr">
        <is>
          <t>3502</t>
        </is>
      </c>
      <c r="E208" t="inlineStr">
        <is>
          <t>Productividad y competitividad de las empresas colombianas</t>
        </is>
      </c>
      <c r="F208" t="inlineStr">
        <is>
          <t>3502081</t>
        </is>
      </c>
      <c r="G208" t="inlineStr">
        <is>
          <t>Plazas de mercado construida</t>
        </is>
      </c>
      <c r="H208" t="inlineStr">
        <is>
          <t>350208100</t>
        </is>
      </c>
      <c r="I208" t="inlineStr">
        <is>
          <t>Plaza de mercado construida</t>
        </is>
      </c>
      <c r="J208" t="inlineStr">
        <is>
          <t>2024251260078</t>
        </is>
      </c>
      <c r="K208" t="inlineStr">
        <is>
          <t>No</t>
        </is>
      </c>
      <c r="L208" t="inlineStr">
        <is>
          <t>Número</t>
        </is>
      </c>
      <c r="M208">
        <v>1</v>
      </c>
      <c r="N208">
        <v>1</v>
      </c>
      <c r="O208">
        <v>1</v>
      </c>
      <c r="P208">
        <v>1</v>
      </c>
      <c r="Q208">
        <v>1</v>
      </c>
      <c r="R208">
        <v>1</v>
      </c>
      <c r="S208" s="103">
        <v>1</v>
      </c>
      <c r="T208" t="inlineStr">
        <is>
          <t>Se ejecutó el 100% de lo programado en la vigencia</t>
        </is>
      </c>
      <c r="U208" t="inlineStr">
        <is>
          <t xml:space="preserve"> </t>
        </is>
      </c>
      <c r="V208" s="104" t="inlineStr">
        <is>
          <t xml:space="preserve"> </t>
        </is>
      </c>
      <c r="W208" t="inlineStr">
        <is>
          <t>No se encontró ejecución en PIIP</t>
        </is>
      </c>
    </row>
    <row r="209">
      <c r="A209" t="inlineStr">
        <is>
          <t>IP-218</t>
        </is>
      </c>
      <c r="B209" t="inlineStr">
        <is>
          <t>35</t>
        </is>
      </c>
      <c r="C209" t="inlineStr">
        <is>
          <t>Comercio, industria y turismo</t>
        </is>
      </c>
      <c r="D209" t="inlineStr">
        <is>
          <t>3502</t>
        </is>
      </c>
      <c r="E209" t="inlineStr">
        <is>
          <t>Productividad y competitividad de las empresas colombianas</t>
        </is>
      </c>
      <c r="F209" t="inlineStr">
        <is>
          <t>3502021</t>
        </is>
      </c>
      <c r="G209" t="inlineStr">
        <is>
          <t>Servicio de fortalecimiento y desarrollo de unidades productivas para la comercialización de productos agroindustriales</t>
        </is>
      </c>
      <c r="H209" t="inlineStr">
        <is>
          <t>350202100</t>
        </is>
      </c>
      <c r="I209" t="inlineStr">
        <is>
          <t xml:space="preserve">Unidades productivas fortalecidas </t>
        </is>
      </c>
      <c r="J209" t="inlineStr">
        <is>
          <t>2024251260044</t>
        </is>
      </c>
      <c r="K209" t="inlineStr">
        <is>
          <t>Si</t>
        </is>
      </c>
      <c r="L209" t="inlineStr">
        <is>
          <t>Número</t>
        </is>
      </c>
      <c r="M209">
        <v>1</v>
      </c>
      <c r="N209">
        <v>1</v>
      </c>
      <c r="O209">
        <v>1</v>
      </c>
      <c r="P209">
        <v>1</v>
      </c>
      <c r="Q209">
        <v>1</v>
      </c>
      <c r="R209" t="inlineStr">
        <is>
          <t xml:space="preserve"> </t>
        </is>
      </c>
      <c r="S209" s="103" t="inlineStr">
        <is>
          <t xml:space="preserve"> </t>
        </is>
      </c>
      <c r="T209" t="inlineStr">
        <is>
          <t>No se encontró ejecución en PIIP</t>
        </is>
      </c>
      <c r="U209">
        <v>12</v>
      </c>
      <c r="V209" s="104">
        <v>12</v>
      </c>
      <c r="W209" t="inlineStr">
        <is>
          <t>Hubo ejecución por encima de lo programado en SisPT</t>
        </is>
      </c>
    </row>
    <row r="210">
      <c r="A210" t="inlineStr">
        <is>
          <t>IP-219</t>
        </is>
      </c>
      <c r="B210" t="inlineStr">
        <is>
          <t>35</t>
        </is>
      </c>
      <c r="C210" t="inlineStr">
        <is>
          <t>Comercio, industria y turismo</t>
        </is>
      </c>
      <c r="D210" t="inlineStr">
        <is>
          <t>3502</t>
        </is>
      </c>
      <c r="E210" t="inlineStr">
        <is>
          <t>Productividad y competitividad de las empresas colombianas</t>
        </is>
      </c>
      <c r="F210" t="inlineStr">
        <is>
          <t>3502002</t>
        </is>
      </c>
      <c r="G210" t="inlineStr">
        <is>
          <t>Documentos de lineamientos técnicos</t>
        </is>
      </c>
      <c r="H210" t="inlineStr">
        <is>
          <t>350200200</t>
        </is>
      </c>
      <c r="I210" t="inlineStr">
        <is>
          <t>Documentos de lineamientos técnicos elaborados</t>
        </is>
      </c>
      <c r="J210" t="inlineStr">
        <is>
          <t>2024251260046</t>
        </is>
      </c>
      <c r="K210" t="inlineStr">
        <is>
          <t>No</t>
        </is>
      </c>
      <c r="L210" t="inlineStr">
        <is>
          <t>Número</t>
        </is>
      </c>
      <c r="M210">
        <v>100</v>
      </c>
      <c r="N210">
        <v>100</v>
      </c>
      <c r="O210">
        <v>100</v>
      </c>
      <c r="P210">
        <v>100</v>
      </c>
      <c r="Q210">
        <v>100</v>
      </c>
      <c r="R210">
        <v>1</v>
      </c>
      <c r="S210" s="103">
        <v>0.01</v>
      </c>
      <c r="T210" t="inlineStr">
        <is>
          <t>Lo ejecutado está por debajo de lo programado en la vigencia</t>
        </is>
      </c>
      <c r="U210">
        <v>0.45</v>
      </c>
      <c r="V210" s="104">
        <v>0.0045</v>
      </c>
      <c r="W210" t="inlineStr">
        <is>
          <t>Lo ejecutado está por debajo de lo programado en la vigencia</t>
        </is>
      </c>
    </row>
    <row r="211">
      <c r="A211" t="inlineStr">
        <is>
          <t>IP-220</t>
        </is>
      </c>
      <c r="B211" t="inlineStr">
        <is>
          <t>35</t>
        </is>
      </c>
      <c r="C211" t="inlineStr">
        <is>
          <t>Comercio, industria y turismo</t>
        </is>
      </c>
      <c r="D211" t="inlineStr">
        <is>
          <t>3502</t>
        </is>
      </c>
      <c r="E211" t="inlineStr">
        <is>
          <t>Productividad y competitividad de las empresas colombianas</t>
        </is>
      </c>
      <c r="F211" t="inlineStr">
        <is>
          <t>3502046</t>
        </is>
      </c>
      <c r="G211" t="inlineStr">
        <is>
          <t>Servicio de promoción turística</t>
        </is>
      </c>
      <c r="H211" t="inlineStr">
        <is>
          <t>350204600</t>
        </is>
      </c>
      <c r="I211" t="inlineStr">
        <is>
          <t>Campañas realizadas</t>
        </is>
      </c>
      <c r="J211" t="inlineStr">
        <is>
          <t>2024251260046</t>
        </is>
      </c>
      <c r="K211" t="inlineStr">
        <is>
          <t>Si</t>
        </is>
      </c>
      <c r="L211" t="inlineStr">
        <is>
          <t>Número</t>
        </is>
      </c>
      <c r="M211">
        <v>1</v>
      </c>
      <c r="N211">
        <v>0.25</v>
      </c>
      <c r="O211">
        <v>0.25</v>
      </c>
      <c r="P211">
        <v>0.25</v>
      </c>
      <c r="Q211">
        <v>0.25</v>
      </c>
      <c r="R211" t="inlineStr">
        <is>
          <t xml:space="preserve"> </t>
        </is>
      </c>
      <c r="S211" s="103" t="inlineStr">
        <is>
          <t xml:space="preserve"> </t>
        </is>
      </c>
      <c r="T211" t="inlineStr">
        <is>
          <t>No se encontró ejecución en PIIP</t>
        </is>
      </c>
      <c r="U211">
        <v>1</v>
      </c>
      <c r="V211" s="104">
        <v>4</v>
      </c>
      <c r="W211" t="inlineStr">
        <is>
          <t>Hubo ejecución por encima de lo programado en SisPT</t>
        </is>
      </c>
    </row>
    <row r="212">
      <c r="A212" t="inlineStr">
        <is>
          <t>IP-221</t>
        </is>
      </c>
      <c r="B212" t="inlineStr">
        <is>
          <t>35</t>
        </is>
      </c>
      <c r="C212" t="inlineStr">
        <is>
          <t>Comercio, industria y turismo</t>
        </is>
      </c>
      <c r="D212" t="inlineStr">
        <is>
          <t>3502</t>
        </is>
      </c>
      <c r="E212" t="inlineStr">
        <is>
          <t>Productividad y competitividad de las empresas colombianas</t>
        </is>
      </c>
      <c r="F212" t="inlineStr">
        <is>
          <t>3502046</t>
        </is>
      </c>
      <c r="G212" t="inlineStr">
        <is>
          <t>Servicio de promoción turística</t>
        </is>
      </c>
      <c r="H212" t="inlineStr">
        <is>
          <t>350204603</t>
        </is>
      </c>
      <c r="I212" t="inlineStr">
        <is>
          <t>Regiones con planes de divulgación y promoción</t>
        </is>
      </c>
      <c r="J212" t="inlineStr">
        <is>
          <t>2024251260046</t>
        </is>
      </c>
      <c r="K212" t="inlineStr">
        <is>
          <t>No</t>
        </is>
      </c>
      <c r="L212" t="inlineStr">
        <is>
          <t>Número</t>
        </is>
      </c>
      <c r="M212">
        <v>1</v>
      </c>
      <c r="N212">
        <v>0.25</v>
      </c>
      <c r="O212">
        <v>0.25</v>
      </c>
      <c r="P212">
        <v>0.25</v>
      </c>
      <c r="Q212">
        <v>0.25</v>
      </c>
      <c r="R212">
        <v>1</v>
      </c>
      <c r="S212" s="103">
        <v>4</v>
      </c>
      <c r="T212" t="inlineStr">
        <is>
          <t>Hubo ejecución por encima de lo programado en SisPT</t>
        </is>
      </c>
      <c r="U212">
        <v>2</v>
      </c>
      <c r="V212" s="104">
        <v>8</v>
      </c>
      <c r="W212" t="inlineStr">
        <is>
          <t>Hubo ejecución por encima de lo programado en SisPT</t>
        </is>
      </c>
    </row>
    <row r="213">
      <c r="A213" t="inlineStr">
        <is>
          <t>IP-222</t>
        </is>
      </c>
      <c r="B213" t="inlineStr">
        <is>
          <t>35</t>
        </is>
      </c>
      <c r="C213" t="inlineStr">
        <is>
          <t>Comercio, industria y turismo</t>
        </is>
      </c>
      <c r="D213" t="inlineStr">
        <is>
          <t>3502</t>
        </is>
      </c>
      <c r="E213" t="inlineStr">
        <is>
          <t>Productividad y competitividad de las empresas colombianas</t>
        </is>
      </c>
      <c r="F213" t="inlineStr">
        <is>
          <t>3502003</t>
        </is>
      </c>
      <c r="G213" t="inlineStr">
        <is>
          <t>Servicio de asistencia técnica para el fortalecimiento de capacidades gerenciales</t>
        </is>
      </c>
      <c r="H213" t="inlineStr">
        <is>
          <t>350200300</t>
        </is>
      </c>
      <c r="I213" t="inlineStr">
        <is>
          <t>Programas de gestión empresarial ejecutados en unidades productivas</t>
        </is>
      </c>
      <c r="J213" t="inlineStr">
        <is>
          <t>2024251260046</t>
        </is>
      </c>
      <c r="K213" t="inlineStr">
        <is>
          <t>No</t>
        </is>
      </c>
      <c r="L213" t="inlineStr">
        <is>
          <t>Número</t>
        </is>
      </c>
      <c r="M213">
        <v>1</v>
      </c>
      <c r="N213">
        <v>0.25</v>
      </c>
      <c r="O213">
        <v>0.25</v>
      </c>
      <c r="P213">
        <v>0.25</v>
      </c>
      <c r="Q213">
        <v>0.25</v>
      </c>
      <c r="R213">
        <v>0</v>
      </c>
      <c r="S213" s="103">
        <v>0</v>
      </c>
      <c r="T213" t="inlineStr">
        <is>
          <t>No se ejecutó en la vigencia</t>
        </is>
      </c>
      <c r="U213">
        <v>1.5</v>
      </c>
      <c r="V213" s="104">
        <v>6</v>
      </c>
      <c r="W213" t="inlineStr">
        <is>
          <t>Hubo ejecución por encima de lo programado en SisPT</t>
        </is>
      </c>
    </row>
    <row r="214">
      <c r="A214" t="inlineStr">
        <is>
          <t>IP-223</t>
        </is>
      </c>
      <c r="B214" t="inlineStr">
        <is>
          <t>35</t>
        </is>
      </c>
      <c r="C214" t="inlineStr">
        <is>
          <t>Comercio, industria y turismo</t>
        </is>
      </c>
      <c r="D214" t="inlineStr">
        <is>
          <t>3502</t>
        </is>
      </c>
      <c r="E214" t="inlineStr">
        <is>
          <t>Productividad y competitividad de las empresas colombianas</t>
        </is>
      </c>
      <c r="F214" t="inlineStr">
        <is>
          <t>3502045</t>
        </is>
      </c>
      <c r="G214" t="inlineStr">
        <is>
          <t>Servicio de educación informal en asuntos turísticos</t>
        </is>
      </c>
      <c r="H214" t="inlineStr">
        <is>
          <t>350204500</t>
        </is>
      </c>
      <c r="I214" t="inlineStr">
        <is>
          <t>Personas capacitadas</t>
        </is>
      </c>
      <c r="J214" t="inlineStr">
        <is>
          <t>2024251260046</t>
        </is>
      </c>
      <c r="K214" t="inlineStr">
        <is>
          <t>No</t>
        </is>
      </c>
      <c r="L214" t="inlineStr">
        <is>
          <t>Número</t>
        </is>
      </c>
      <c r="M214">
        <v>1</v>
      </c>
      <c r="N214">
        <v>1</v>
      </c>
      <c r="O214">
        <v>1</v>
      </c>
      <c r="P214">
        <v>1</v>
      </c>
      <c r="Q214">
        <v>1</v>
      </c>
      <c r="R214">
        <v>60</v>
      </c>
      <c r="S214" s="103">
        <v>60</v>
      </c>
      <c r="T214" t="inlineStr">
        <is>
          <t>Hubo ejecución por encima de lo programado en SisPT</t>
        </is>
      </c>
      <c r="U214">
        <v>21</v>
      </c>
      <c r="V214" s="104">
        <v>21</v>
      </c>
      <c r="W214" t="inlineStr">
        <is>
          <t>Hubo ejecución por encima de lo programado en SisPT</t>
        </is>
      </c>
    </row>
    <row r="215">
      <c r="A215" t="inlineStr">
        <is>
          <t>IP-224</t>
        </is>
      </c>
      <c r="B215" t="inlineStr">
        <is>
          <t>35</t>
        </is>
      </c>
      <c r="C215" t="inlineStr">
        <is>
          <t>Comercio, industria y turismo</t>
        </is>
      </c>
      <c r="D215" t="inlineStr">
        <is>
          <t>3502</t>
        </is>
      </c>
      <c r="E215" t="inlineStr">
        <is>
          <t>Productividad y competitividad de las empresas colombianas</t>
        </is>
      </c>
      <c r="F215" t="inlineStr">
        <is>
          <t>3502039</t>
        </is>
      </c>
      <c r="G215" t="inlineStr">
        <is>
          <t>Servicio de asistencia técnica a los entes territoriales para el desarrollo turístico</t>
        </is>
      </c>
      <c r="H215" t="inlineStr">
        <is>
          <t>350203904</t>
        </is>
      </c>
      <c r="I215" t="inlineStr">
        <is>
          <t>Redes Temáticas de Turismo apoyadas</t>
        </is>
      </c>
      <c r="J215" t="inlineStr">
        <is>
          <t>2024251260046</t>
        </is>
      </c>
      <c r="K215" t="inlineStr">
        <is>
          <t>No</t>
        </is>
      </c>
      <c r="L215" t="inlineStr">
        <is>
          <t>Número</t>
        </is>
      </c>
      <c r="M215">
        <v>1</v>
      </c>
      <c r="N215">
        <v>1</v>
      </c>
      <c r="O215">
        <v>1</v>
      </c>
      <c r="P215">
        <v>1</v>
      </c>
      <c r="Q215">
        <v>1</v>
      </c>
      <c r="R215">
        <v>2</v>
      </c>
      <c r="S215" s="103">
        <v>2</v>
      </c>
      <c r="T215" t="inlineStr">
        <is>
          <t>Hubo ejecución por encima de lo programado en SisPT</t>
        </is>
      </c>
      <c r="U215">
        <v>0.5</v>
      </c>
      <c r="V215" s="104">
        <v>0.5</v>
      </c>
      <c r="W215" t="inlineStr">
        <is>
          <t>Lo ejecutado está por debajo de lo programado en la vigencia</t>
        </is>
      </c>
    </row>
    <row r="216">
      <c r="A216" t="inlineStr">
        <is>
          <t>IP-225</t>
        </is>
      </c>
      <c r="B216" t="inlineStr">
        <is>
          <t>36</t>
        </is>
      </c>
      <c r="C216" t="inlineStr">
        <is>
          <t>Trabajo</t>
        </is>
      </c>
      <c r="D216" t="inlineStr">
        <is>
          <t>3602</t>
        </is>
      </c>
      <c r="E216" t="inlineStr">
        <is>
          <t>Generación y formalización del empleo</t>
        </is>
      </c>
      <c r="F216" t="inlineStr">
        <is>
          <t>3602004</t>
        </is>
      </c>
      <c r="G216" t="inlineStr">
        <is>
          <t>Servicio de colocación laboral</t>
        </is>
      </c>
      <c r="H216" t="inlineStr">
        <is>
          <t>360200400</t>
        </is>
      </c>
      <c r="I216" t="inlineStr">
        <is>
          <t>Personas colocadas laboralmente</t>
        </is>
      </c>
      <c r="J216" t="inlineStr">
        <is>
          <t>2024251260048</t>
        </is>
      </c>
      <c r="K216" t="inlineStr">
        <is>
          <t>Si</t>
        </is>
      </c>
      <c r="L216" t="inlineStr">
        <is>
          <t>Número</t>
        </is>
      </c>
      <c r="M216">
        <v>1</v>
      </c>
      <c r="N216">
        <v>1</v>
      </c>
      <c r="O216">
        <v>1</v>
      </c>
      <c r="P216">
        <v>1</v>
      </c>
      <c r="Q216">
        <v>1</v>
      </c>
      <c r="R216">
        <v>500</v>
      </c>
      <c r="S216" s="103">
        <v>500</v>
      </c>
      <c r="T216" t="inlineStr">
        <is>
          <t>Hubo ejecución por encima de lo programado en SisPT</t>
        </is>
      </c>
      <c r="U216">
        <v>2967</v>
      </c>
      <c r="V216" s="104">
        <v>2967</v>
      </c>
      <c r="W216" t="inlineStr">
        <is>
          <t>Hubo ejecución por encima de lo programado en SisPT</t>
        </is>
      </c>
    </row>
    <row r="217">
      <c r="A217" t="inlineStr">
        <is>
          <t>IP-226</t>
        </is>
      </c>
      <c r="B217" t="inlineStr">
        <is>
          <t>36</t>
        </is>
      </c>
      <c r="C217" t="inlineStr">
        <is>
          <t>Trabajo</t>
        </is>
      </c>
      <c r="D217" t="inlineStr">
        <is>
          <t>3602</t>
        </is>
      </c>
      <c r="E217" t="inlineStr">
        <is>
          <t>Generación y formalización del empleo</t>
        </is>
      </c>
      <c r="F217" t="inlineStr">
        <is>
          <t>3602017</t>
        </is>
      </c>
      <c r="G217" t="inlineStr">
        <is>
          <t>Servicio de asistencia técnica para la generación y formalización de empresa</t>
        </is>
      </c>
      <c r="H217" t="inlineStr">
        <is>
          <t>360201702</t>
        </is>
      </c>
      <c r="I217" t="inlineStr">
        <is>
          <t>Empleos generados a través del emprendimiento</t>
        </is>
      </c>
      <c r="J217" t="inlineStr">
        <is>
          <t>2024251260048</t>
        </is>
      </c>
      <c r="K217" t="inlineStr">
        <is>
          <t>Si</t>
        </is>
      </c>
      <c r="L217" t="inlineStr">
        <is>
          <t>Número</t>
        </is>
      </c>
      <c r="M217">
        <v>1</v>
      </c>
      <c r="N217">
        <v>1</v>
      </c>
      <c r="O217">
        <v>1</v>
      </c>
      <c r="P217">
        <v>1</v>
      </c>
      <c r="Q217">
        <v>1</v>
      </c>
      <c r="R217">
        <v>10</v>
      </c>
      <c r="S217" s="103">
        <v>10</v>
      </c>
      <c r="T217" t="inlineStr">
        <is>
          <t>Hubo ejecución por encima de lo programado en SisPT</t>
        </is>
      </c>
      <c r="U217">
        <v>16</v>
      </c>
      <c r="V217" s="104">
        <v>16</v>
      </c>
      <c r="W217" t="inlineStr">
        <is>
          <t>Hubo ejecución por encima de lo programado en SisPT</t>
        </is>
      </c>
    </row>
    <row r="218">
      <c r="A218" t="inlineStr">
        <is>
          <t>IP-227</t>
        </is>
      </c>
      <c r="B218" t="inlineStr">
        <is>
          <t>36</t>
        </is>
      </c>
      <c r="C218" t="inlineStr">
        <is>
          <t>Trabajo</t>
        </is>
      </c>
      <c r="D218" t="inlineStr">
        <is>
          <t>3602</t>
        </is>
      </c>
      <c r="E218" t="inlineStr">
        <is>
          <t>Generación y formalización del empleo</t>
        </is>
      </c>
      <c r="F218" t="inlineStr">
        <is>
          <t>3602038</t>
        </is>
      </c>
      <c r="G218" t="inlineStr">
        <is>
          <t>Servicio de acompañamiento a planes de negocio</t>
        </is>
      </c>
      <c r="H218" t="inlineStr">
        <is>
          <t>360203802</t>
        </is>
      </c>
      <c r="I218" t="inlineStr">
        <is>
          <t>Empresas con asignación de recursos para sostenibilidad</t>
        </is>
      </c>
      <c r="J218" t="inlineStr">
        <is>
          <t>2024251260048</t>
        </is>
      </c>
      <c r="K218" t="inlineStr">
        <is>
          <t>No</t>
        </is>
      </c>
      <c r="L218" t="inlineStr">
        <is>
          <t>Número</t>
        </is>
      </c>
      <c r="M218">
        <v>1</v>
      </c>
      <c r="N218">
        <v>0</v>
      </c>
      <c r="O218">
        <v>0.33</v>
      </c>
      <c r="P218">
        <v>0.33</v>
      </c>
      <c r="Q218">
        <v>0.34</v>
      </c>
      <c r="R218">
        <v>1</v>
      </c>
      <c r="S218" s="103" t="inlineStr">
        <is>
          <t xml:space="preserve"> </t>
        </is>
      </c>
      <c r="T218" t="inlineStr">
        <is>
          <t>Se ejecutó un producto no programado en la vigencia</t>
        </is>
      </c>
      <c r="U218">
        <v>0</v>
      </c>
      <c r="V218" s="104">
        <v>0</v>
      </c>
      <c r="W218" t="inlineStr">
        <is>
          <t>No se ejecutó en la vigencia</t>
        </is>
      </c>
    </row>
    <row r="219">
      <c r="A219" t="inlineStr">
        <is>
          <t>IP-228</t>
        </is>
      </c>
      <c r="B219" t="inlineStr">
        <is>
          <t>36</t>
        </is>
      </c>
      <c r="C219" t="inlineStr">
        <is>
          <t>Trabajo</t>
        </is>
      </c>
      <c r="D219" t="inlineStr">
        <is>
          <t>3602</t>
        </is>
      </c>
      <c r="E219" t="inlineStr">
        <is>
          <t>Generación y formalización del empleo</t>
        </is>
      </c>
      <c r="F219" t="inlineStr">
        <is>
          <t>3602019</t>
        </is>
      </c>
      <c r="G219" t="inlineStr">
        <is>
          <t>Documentos normativos</t>
        </is>
      </c>
      <c r="H219" t="inlineStr">
        <is>
          <t>360201900</t>
        </is>
      </c>
      <c r="I219" t="inlineStr">
        <is>
          <t>Documentos normativos realizados</t>
        </is>
      </c>
      <c r="J219" t="inlineStr">
        <is>
          <t>2024251260048</t>
        </is>
      </c>
      <c r="K219" t="inlineStr">
        <is>
          <t>No</t>
        </is>
      </c>
      <c r="L219" t="inlineStr">
        <is>
          <t>Número</t>
        </is>
      </c>
      <c r="M219">
        <v>1</v>
      </c>
      <c r="N219">
        <v>1</v>
      </c>
      <c r="O219">
        <v>1</v>
      </c>
      <c r="P219">
        <v>1</v>
      </c>
      <c r="Q219">
        <v>1</v>
      </c>
      <c r="R219" t="inlineStr">
        <is>
          <t xml:space="preserve"> </t>
        </is>
      </c>
      <c r="S219" s="103" t="inlineStr">
        <is>
          <t xml:space="preserve"> </t>
        </is>
      </c>
      <c r="T219" t="inlineStr">
        <is>
          <t>No se encontró ejecución en PIIP</t>
        </is>
      </c>
      <c r="U219" t="inlineStr">
        <is>
          <t xml:space="preserve"> </t>
        </is>
      </c>
      <c r="V219" s="104" t="inlineStr">
        <is>
          <t xml:space="preserve"> </t>
        </is>
      </c>
      <c r="W219" t="inlineStr">
        <is>
          <t>No se encontró ejecución en PIIP</t>
        </is>
      </c>
    </row>
    <row r="220">
      <c r="A220" t="inlineStr">
        <is>
          <t>IP-229</t>
        </is>
      </c>
      <c r="B220" t="inlineStr">
        <is>
          <t>39</t>
        </is>
      </c>
      <c r="C220" t="inlineStr">
        <is>
          <t xml:space="preserve">Ciencia, tecnología e innovación
</t>
        </is>
      </c>
      <c r="D220" t="inlineStr">
        <is>
          <t>3906</t>
        </is>
      </c>
      <c r="E220" t="inlineStr">
        <is>
          <t>Fomento a vocaciones y formación, generación, uso y apropiación social del conocimiento de la ciencia, tecnología e innovación</t>
        </is>
      </c>
      <c r="F220" t="inlineStr">
        <is>
          <t>3906010</t>
        </is>
      </c>
      <c r="G220" t="inlineStr">
        <is>
          <t>Servicios de apoyo financiero para programas y proyectos de apropiación social del conocimiento</t>
        </is>
      </c>
      <c r="H220" t="inlineStr">
        <is>
          <t>390601000</t>
        </is>
      </c>
      <c r="I220" t="inlineStr">
        <is>
          <t>Programas y proyectos financiados</t>
        </is>
      </c>
      <c r="J220" t="inlineStr">
        <is>
          <t>2024251260049</t>
        </is>
      </c>
      <c r="K220" t="inlineStr">
        <is>
          <t>Si</t>
        </is>
      </c>
      <c r="L220" t="inlineStr">
        <is>
          <t>Número</t>
        </is>
      </c>
      <c r="M220">
        <v>100</v>
      </c>
      <c r="N220">
        <v>100</v>
      </c>
      <c r="O220">
        <v>100</v>
      </c>
      <c r="P220">
        <v>100</v>
      </c>
      <c r="Q220">
        <v>100</v>
      </c>
      <c r="R220">
        <v>0.25</v>
      </c>
      <c r="S220" s="103">
        <v>0.0025</v>
      </c>
      <c r="T220" t="inlineStr">
        <is>
          <t>Lo ejecutado está por debajo de lo programado en la vigencia</t>
        </is>
      </c>
      <c r="U220">
        <v>0.095</v>
      </c>
      <c r="V220" s="104">
        <v>0.00095</v>
      </c>
      <c r="W220" t="inlineStr">
        <is>
          <t>Lo ejecutado está por debajo de lo programado en la vigencia</t>
        </is>
      </c>
    </row>
    <row r="221">
      <c r="A221" t="inlineStr">
        <is>
          <t>IP-230</t>
        </is>
      </c>
      <c r="B221" t="inlineStr">
        <is>
          <t>39</t>
        </is>
      </c>
      <c r="C221" t="inlineStr">
        <is>
          <t xml:space="preserve">Ciencia, tecnología e innovación
</t>
        </is>
      </c>
      <c r="D221" t="inlineStr">
        <is>
          <t>3906</t>
        </is>
      </c>
      <c r="E221" t="inlineStr">
        <is>
          <t>Fomento a vocaciones y formación, generación, uso y apropiación social del conocimiento de la ciencia, tecnología e innovación</t>
        </is>
      </c>
      <c r="F221" t="inlineStr">
        <is>
          <t>3906006</t>
        </is>
      </c>
      <c r="G221" t="inlineStr">
        <is>
          <t>Servicio de apoyo financiero para programas y proyectos de infraestructura científica y tecnológica</t>
        </is>
      </c>
      <c r="H221" t="inlineStr">
        <is>
          <t>390600600</t>
        </is>
      </c>
      <c r="I221" t="inlineStr">
        <is>
          <t xml:space="preserve">Programas y proyectos financiados </t>
        </is>
      </c>
      <c r="J221" t="inlineStr">
        <is>
          <t>2024251260049</t>
        </is>
      </c>
      <c r="K221" t="inlineStr">
        <is>
          <t>Si</t>
        </is>
      </c>
      <c r="L221" t="inlineStr">
        <is>
          <t>Número</t>
        </is>
      </c>
      <c r="M221">
        <v>1</v>
      </c>
      <c r="N221">
        <v>1</v>
      </c>
      <c r="O221">
        <v>1</v>
      </c>
      <c r="P221">
        <v>1</v>
      </c>
      <c r="Q221">
        <v>1</v>
      </c>
      <c r="R221">
        <v>0</v>
      </c>
      <c r="S221" s="103">
        <v>0</v>
      </c>
      <c r="T221" t="inlineStr">
        <is>
          <t>No se ejecutó en la vigencia</t>
        </is>
      </c>
      <c r="U221">
        <v>0.0001</v>
      </c>
      <c r="V221" s="104">
        <v>0.0001</v>
      </c>
      <c r="W221" t="inlineStr">
        <is>
          <t>Lo ejecutado está por debajo de lo programado en la vigencia</t>
        </is>
      </c>
    </row>
    <row r="222">
      <c r="A222" t="inlineStr">
        <is>
          <t>IP-231</t>
        </is>
      </c>
      <c r="B222" t="inlineStr">
        <is>
          <t>39</t>
        </is>
      </c>
      <c r="C222" t="inlineStr">
        <is>
          <t xml:space="preserve">Ciencia, tecnología e innovación
</t>
        </is>
      </c>
      <c r="D222" t="inlineStr">
        <is>
          <t>3906</t>
        </is>
      </c>
      <c r="E222" t="inlineStr">
        <is>
          <t>Fomento a vocaciones y formación, generación, uso y apropiación social del conocimiento de la ciencia, tecnología e innovación</t>
        </is>
      </c>
      <c r="F222" t="inlineStr">
        <is>
          <t>3906017</t>
        </is>
      </c>
      <c r="G222" t="inlineStr">
        <is>
          <t>Servicios de apoyo para entrenamiento especializado en  I+D+i</t>
        </is>
      </c>
      <c r="H222" t="inlineStr">
        <is>
          <t>390601701</t>
        </is>
      </c>
      <c r="I222" t="inlineStr">
        <is>
          <t>Cursos de desarrollo tecnológico e innovación realizados</t>
        </is>
      </c>
      <c r="J222" t="inlineStr">
        <is>
          <t>2024251260049</t>
        </is>
      </c>
      <c r="K222" t="inlineStr">
        <is>
          <t>Si</t>
        </is>
      </c>
      <c r="L222" t="inlineStr">
        <is>
          <t>Número</t>
        </is>
      </c>
      <c r="M222">
        <v>5</v>
      </c>
      <c r="N222">
        <v>5</v>
      </c>
      <c r="O222">
        <v>5</v>
      </c>
      <c r="P222">
        <v>5</v>
      </c>
      <c r="Q222">
        <v>5</v>
      </c>
      <c r="R222">
        <v>1</v>
      </c>
      <c r="S222" s="103">
        <v>0.2</v>
      </c>
      <c r="T222" t="inlineStr">
        <is>
          <t>Lo ejecutado está por debajo de lo programado en la vigencia</t>
        </is>
      </c>
      <c r="U222">
        <v>1</v>
      </c>
      <c r="V222" s="104">
        <v>0.2</v>
      </c>
      <c r="W222" t="inlineStr">
        <is>
          <t>Lo ejecutado está por debajo de lo programado en la vigencia</t>
        </is>
      </c>
    </row>
    <row r="223">
      <c r="A223" t="inlineStr">
        <is>
          <t>IP-232</t>
        </is>
      </c>
      <c r="B223" t="inlineStr">
        <is>
          <t>39</t>
        </is>
      </c>
      <c r="C223" t="inlineStr">
        <is>
          <t xml:space="preserve">Ciencia, tecnología e innovación
</t>
        </is>
      </c>
      <c r="D223" t="inlineStr">
        <is>
          <t>3906</t>
        </is>
      </c>
      <c r="E223" t="inlineStr">
        <is>
          <t>Fomento a vocaciones y formación, generación, uso y apropiación social del conocimiento de la ciencia, tecnología e innovación</t>
        </is>
      </c>
      <c r="F223" t="inlineStr">
        <is>
          <t>3906011</t>
        </is>
      </c>
      <c r="G223" t="inlineStr">
        <is>
          <t>Servicio de apropiación social del conocimiento</t>
        </is>
      </c>
      <c r="H223" t="inlineStr">
        <is>
          <t>390601100</t>
        </is>
      </c>
      <c r="I223" t="inlineStr">
        <is>
          <t>Estrategias de apropiación realizadas</t>
        </is>
      </c>
      <c r="J223" t="inlineStr">
        <is>
          <t>2024251260049</t>
        </is>
      </c>
      <c r="K223" t="inlineStr">
        <is>
          <t>Si</t>
        </is>
      </c>
      <c r="L223" t="inlineStr">
        <is>
          <t>Número</t>
        </is>
      </c>
      <c r="M223">
        <v>1</v>
      </c>
      <c r="N223">
        <v>1</v>
      </c>
      <c r="O223">
        <v>1</v>
      </c>
      <c r="P223">
        <v>1</v>
      </c>
      <c r="Q223">
        <v>1</v>
      </c>
      <c r="R223">
        <v>0.25</v>
      </c>
      <c r="S223" s="103">
        <v>0.25</v>
      </c>
      <c r="T223" t="inlineStr">
        <is>
          <t>Lo ejecutado está por debajo de lo programado en la vigencia</t>
        </is>
      </c>
      <c r="U223">
        <v>0.0125</v>
      </c>
      <c r="V223" s="104">
        <v>0.0125</v>
      </c>
      <c r="W223" t="inlineStr">
        <is>
          <t>Lo ejecutado está por debajo de lo programado en la vigencia</t>
        </is>
      </c>
    </row>
    <row r="224">
      <c r="A224" t="inlineStr">
        <is>
          <t>IP-233</t>
        </is>
      </c>
      <c r="B224" t="inlineStr">
        <is>
          <t>17</t>
        </is>
      </c>
      <c r="C224" t="inlineStr">
        <is>
          <t xml:space="preserve">Agricultura y desarrollo rural
</t>
        </is>
      </c>
      <c r="D224" t="inlineStr">
        <is>
          <t>1702</t>
        </is>
      </c>
      <c r="E224" t="inlineStr">
        <is>
          <t>Inclusión productiva de pequeños productores rurales</t>
        </is>
      </c>
      <c r="F224" t="inlineStr">
        <is>
          <t>1702018</t>
        </is>
      </c>
      <c r="G224" t="inlineStr">
        <is>
          <t>Documentos de lineamientos técnicos</t>
        </is>
      </c>
      <c r="H224" t="inlineStr">
        <is>
          <t>170201800</t>
        </is>
      </c>
      <c r="I224" t="inlineStr">
        <is>
          <t>Documentos de lineamientos técnicos elaborados</t>
        </is>
      </c>
      <c r="J224" t="inlineStr">
        <is>
          <t>2024251260050</t>
        </is>
      </c>
      <c r="K224" t="inlineStr">
        <is>
          <t>No</t>
        </is>
      </c>
      <c r="L224" t="inlineStr">
        <is>
          <t>Número</t>
        </is>
      </c>
      <c r="M224">
        <v>1</v>
      </c>
      <c r="N224">
        <v>1</v>
      </c>
      <c r="O224">
        <v>1</v>
      </c>
      <c r="P224">
        <v>1</v>
      </c>
      <c r="Q224">
        <v>1</v>
      </c>
      <c r="R224">
        <v>1.1</v>
      </c>
      <c r="S224" s="103">
        <v>1.1</v>
      </c>
      <c r="T224" t="inlineStr">
        <is>
          <t>Hubo ejecución por encima de lo programado en SisPT</t>
        </is>
      </c>
      <c r="U224">
        <v>0.3</v>
      </c>
      <c r="V224" s="104">
        <v>0.3</v>
      </c>
      <c r="W224" t="inlineStr">
        <is>
          <t>Lo ejecutado está por debajo de lo programado en la vigencia</t>
        </is>
      </c>
    </row>
    <row r="225">
      <c r="A225" t="inlineStr">
        <is>
          <t>IP-234</t>
        </is>
      </c>
      <c r="B225" t="inlineStr">
        <is>
          <t>17</t>
        </is>
      </c>
      <c r="C225" t="inlineStr">
        <is>
          <t xml:space="preserve">Agricultura y desarrollo rural
</t>
        </is>
      </c>
      <c r="D225" t="inlineStr">
        <is>
          <t>1702</t>
        </is>
      </c>
      <c r="E225" t="inlineStr">
        <is>
          <t>Inclusión productiva de pequeños productores rurales</t>
        </is>
      </c>
      <c r="F225" t="inlineStr">
        <is>
          <t>1702035</t>
        </is>
      </c>
      <c r="G225" t="inlineStr">
        <is>
          <t>Servicio de educación informal en Buenas Prácticas Agrícolas y producción sostenible</t>
        </is>
      </c>
      <c r="H225" t="inlineStr">
        <is>
          <t>170203500</t>
        </is>
      </c>
      <c r="I225" t="inlineStr">
        <is>
          <t>Personas capacitadas</t>
        </is>
      </c>
      <c r="J225" t="inlineStr">
        <is>
          <t>2024251260050</t>
        </is>
      </c>
      <c r="K225" t="inlineStr">
        <is>
          <t>No</t>
        </is>
      </c>
      <c r="L225" t="inlineStr">
        <is>
          <t>Número</t>
        </is>
      </c>
      <c r="M225">
        <v>1</v>
      </c>
      <c r="N225">
        <v>1</v>
      </c>
      <c r="O225">
        <v>1</v>
      </c>
      <c r="P225">
        <v>1</v>
      </c>
      <c r="Q225">
        <v>1</v>
      </c>
      <c r="R225">
        <v>131</v>
      </c>
      <c r="S225" s="103">
        <v>131</v>
      </c>
      <c r="T225" t="inlineStr">
        <is>
          <t>Hubo ejecución por encima de lo programado en SisPT</t>
        </is>
      </c>
      <c r="U225">
        <v>575.25</v>
      </c>
      <c r="V225" s="104">
        <v>575.25</v>
      </c>
      <c r="W225" t="inlineStr">
        <is>
          <t>Hubo ejecución por encima de lo programado en SisPT</t>
        </is>
      </c>
    </row>
    <row r="226">
      <c r="A226" t="inlineStr">
        <is>
          <t>IP-235</t>
        </is>
      </c>
      <c r="B226" t="inlineStr">
        <is>
          <t>17</t>
        </is>
      </c>
      <c r="C226" t="inlineStr">
        <is>
          <t xml:space="preserve">Agricultura y desarrollo rural
</t>
        </is>
      </c>
      <c r="D226" t="inlineStr">
        <is>
          <t>1702</t>
        </is>
      </c>
      <c r="E226" t="inlineStr">
        <is>
          <t>Inclusión productiva de pequeños productores rurales</t>
        </is>
      </c>
      <c r="F226" t="inlineStr">
        <is>
          <t>1702038</t>
        </is>
      </c>
      <c r="G226" t="inlineStr">
        <is>
          <t>Servicio de apoyo a la comercialización</t>
        </is>
      </c>
      <c r="H226" t="inlineStr">
        <is>
          <t>170203801</t>
        </is>
      </c>
      <c r="I226" t="inlineStr">
        <is>
          <t>Productores apoyados para la participación en mercados campesinos</t>
        </is>
      </c>
      <c r="J226" t="inlineStr">
        <is>
          <t>2024251260050</t>
        </is>
      </c>
      <c r="K226" t="inlineStr">
        <is>
          <t>No</t>
        </is>
      </c>
      <c r="L226" t="inlineStr">
        <is>
          <t>Número</t>
        </is>
      </c>
      <c r="M226">
        <v>1</v>
      </c>
      <c r="N226">
        <v>1</v>
      </c>
      <c r="O226">
        <v>1</v>
      </c>
      <c r="P226">
        <v>1</v>
      </c>
      <c r="Q226">
        <v>1</v>
      </c>
      <c r="R226" t="inlineStr">
        <is>
          <t xml:space="preserve"> </t>
        </is>
      </c>
      <c r="S226" s="103" t="inlineStr">
        <is>
          <t xml:space="preserve"> </t>
        </is>
      </c>
      <c r="T226" t="inlineStr">
        <is>
          <t>No se encontró ejecución en PIIP</t>
        </is>
      </c>
      <c r="U226" t="inlineStr">
        <is>
          <t xml:space="preserve"> </t>
        </is>
      </c>
      <c r="V226" s="104" t="inlineStr">
        <is>
          <t xml:space="preserve"> </t>
        </is>
      </c>
      <c r="W226" t="inlineStr">
        <is>
          <t>No se encontró ejecución en PIIP</t>
        </is>
      </c>
    </row>
    <row r="227">
      <c r="A227" t="inlineStr">
        <is>
          <t>IP-236</t>
        </is>
      </c>
      <c r="B227" t="inlineStr">
        <is>
          <t>17</t>
        </is>
      </c>
      <c r="C227" t="inlineStr">
        <is>
          <t xml:space="preserve">Agricultura y desarrollo rural
</t>
        </is>
      </c>
      <c r="D227" t="inlineStr">
        <is>
          <t>1702</t>
        </is>
      </c>
      <c r="E227" t="inlineStr">
        <is>
          <t>Inclusión productiva de pequeños productores rurales</t>
        </is>
      </c>
      <c r="F227" t="inlineStr">
        <is>
          <t>1702041</t>
        </is>
      </c>
      <c r="G227" t="inlineStr">
        <is>
          <t>Documentos de evaluación</t>
        </is>
      </c>
      <c r="H227" t="inlineStr">
        <is>
          <t>170204100</t>
        </is>
      </c>
      <c r="I227" t="inlineStr">
        <is>
          <t>Documentos de evaluación elaborados</t>
        </is>
      </c>
      <c r="J227" t="inlineStr">
        <is>
          <t>2024251260080</t>
        </is>
      </c>
      <c r="K227" t="inlineStr">
        <is>
          <t>No</t>
        </is>
      </c>
      <c r="L227" t="inlineStr">
        <is>
          <t>Número</t>
        </is>
      </c>
      <c r="M227">
        <v>100</v>
      </c>
      <c r="N227">
        <v>100</v>
      </c>
      <c r="O227">
        <v>100</v>
      </c>
      <c r="P227">
        <v>100</v>
      </c>
      <c r="Q227">
        <v>100</v>
      </c>
      <c r="R227" t="inlineStr">
        <is>
          <t xml:space="preserve"> </t>
        </is>
      </c>
      <c r="S227" s="103" t="inlineStr">
        <is>
          <t xml:space="preserve"> </t>
        </is>
      </c>
      <c r="T227" t="inlineStr">
        <is>
          <t>No se encontró ejecución en PIIP</t>
        </is>
      </c>
      <c r="U227" t="inlineStr">
        <is>
          <t xml:space="preserve"> </t>
        </is>
      </c>
      <c r="V227" s="104" t="inlineStr">
        <is>
          <t xml:space="preserve"> </t>
        </is>
      </c>
      <c r="W227" t="inlineStr">
        <is>
          <t>No se encontró ejecución en PIIP</t>
        </is>
      </c>
    </row>
    <row r="228">
      <c r="A228" t="inlineStr">
        <is>
          <t>IP-237</t>
        </is>
      </c>
      <c r="B228" t="inlineStr">
        <is>
          <t>24</t>
        </is>
      </c>
      <c r="C228" t="inlineStr">
        <is>
          <t>Transporte</t>
        </is>
      </c>
      <c r="D228" t="inlineStr">
        <is>
          <t>2402</t>
        </is>
      </c>
      <c r="E228" t="inlineStr">
        <is>
          <t>Infraestructura red vial regional</t>
        </is>
      </c>
      <c r="F228" t="inlineStr">
        <is>
          <t>2402021</t>
        </is>
      </c>
      <c r="G228" t="inlineStr">
        <is>
          <t>Vía secundaria con mantenimiento periódico o rutinario</t>
        </is>
      </c>
      <c r="H228" t="inlineStr">
        <is>
          <t>240202101</t>
        </is>
      </c>
      <c r="I228" t="inlineStr">
        <is>
          <t>Vía secundaria con mantenimiento periódico</t>
        </is>
      </c>
      <c r="J228" t="inlineStr">
        <is>
          <t>2024251260051</t>
        </is>
      </c>
      <c r="K228" t="inlineStr">
        <is>
          <t>No</t>
        </is>
      </c>
      <c r="L228" t="inlineStr">
        <is>
          <t>Kilómetros</t>
        </is>
      </c>
      <c r="M228">
        <v>13</v>
      </c>
      <c r="N228">
        <v>13</v>
      </c>
      <c r="O228">
        <v>13</v>
      </c>
      <c r="P228">
        <v>13</v>
      </c>
      <c r="Q228">
        <v>13</v>
      </c>
      <c r="R228">
        <v>13</v>
      </c>
      <c r="S228" s="103">
        <v>1</v>
      </c>
      <c r="T228" t="inlineStr">
        <is>
          <t>Se ejecutó el 100% de lo programado en la vigencia</t>
        </is>
      </c>
      <c r="U228">
        <v>4.94</v>
      </c>
      <c r="V228" s="104">
        <v>0.38</v>
      </c>
      <c r="W228" t="inlineStr">
        <is>
          <t>Lo ejecutado está por debajo de lo programado en la vigencia</t>
        </is>
      </c>
    </row>
    <row r="229">
      <c r="A229" t="inlineStr">
        <is>
          <t>IP-238</t>
        </is>
      </c>
      <c r="B229" t="inlineStr">
        <is>
          <t>24</t>
        </is>
      </c>
      <c r="C229" t="inlineStr">
        <is>
          <t>Transporte</t>
        </is>
      </c>
      <c r="D229" t="inlineStr">
        <is>
          <t>2402</t>
        </is>
      </c>
      <c r="E229" t="inlineStr">
        <is>
          <t>Infraestructura red vial regional</t>
        </is>
      </c>
      <c r="F229" t="inlineStr">
        <is>
          <t>2402041</t>
        </is>
      </c>
      <c r="G229" t="inlineStr">
        <is>
          <t>Vía terciaria mejorada</t>
        </is>
      </c>
      <c r="H229" t="inlineStr">
        <is>
          <t>240204100</t>
        </is>
      </c>
      <c r="I229" t="inlineStr">
        <is>
          <t>Vía terciaria mejorada</t>
        </is>
      </c>
      <c r="J229" t="inlineStr">
        <is>
          <t>2024251260051</t>
        </is>
      </c>
      <c r="K229" t="inlineStr">
        <is>
          <t>Si</t>
        </is>
      </c>
      <c r="L229" t="inlineStr">
        <is>
          <t>Kilómetros</t>
        </is>
      </c>
      <c r="M229">
        <v>3000</v>
      </c>
      <c r="N229">
        <v>1500</v>
      </c>
      <c r="O229">
        <v>500</v>
      </c>
      <c r="P229">
        <v>500</v>
      </c>
      <c r="Q229">
        <v>500</v>
      </c>
      <c r="R229">
        <v>1.5</v>
      </c>
      <c r="S229" s="103">
        <v>0.001</v>
      </c>
      <c r="T229" t="inlineStr">
        <is>
          <t>Lo ejecutado está por debajo de lo programado en la vigencia</t>
        </is>
      </c>
      <c r="U229">
        <v>0.39</v>
      </c>
      <c r="V229" s="104">
        <v>0.00078</v>
      </c>
      <c r="W229" t="inlineStr">
        <is>
          <t>Lo ejecutado está por debajo de lo programado en la vigencia</t>
        </is>
      </c>
    </row>
    <row r="230">
      <c r="A230" t="inlineStr">
        <is>
          <t>IP-239</t>
        </is>
      </c>
      <c r="B230" t="inlineStr">
        <is>
          <t>24</t>
        </is>
      </c>
      <c r="C230" t="inlineStr">
        <is>
          <t>Transporte</t>
        </is>
      </c>
      <c r="D230" t="inlineStr">
        <is>
          <t>2402</t>
        </is>
      </c>
      <c r="E230" t="inlineStr">
        <is>
          <t>Infraestructura red vial regional</t>
        </is>
      </c>
      <c r="F230" t="inlineStr">
        <is>
          <t>2402114</t>
        </is>
      </c>
      <c r="G230" t="inlineStr">
        <is>
          <t>Vía urbana mejorada</t>
        </is>
      </c>
      <c r="H230" t="inlineStr">
        <is>
          <t>240211400</t>
        </is>
      </c>
      <c r="I230" t="inlineStr">
        <is>
          <t xml:space="preserve">Vía urbana mejorada </t>
        </is>
      </c>
      <c r="J230" t="inlineStr">
        <is>
          <t>2024251260051</t>
        </is>
      </c>
      <c r="K230" t="inlineStr">
        <is>
          <t>Si</t>
        </is>
      </c>
      <c r="L230" t="inlineStr">
        <is>
          <t>Kilómetros</t>
        </is>
      </c>
      <c r="M230">
        <v>1000</v>
      </c>
      <c r="N230">
        <v>250</v>
      </c>
      <c r="O230">
        <v>250</v>
      </c>
      <c r="P230">
        <v>250</v>
      </c>
      <c r="Q230">
        <v>250</v>
      </c>
      <c r="R230">
        <v>0.04</v>
      </c>
      <c r="S230" s="103">
        <v>0.00016</v>
      </c>
      <c r="T230" t="inlineStr">
        <is>
          <t>Lo ejecutado está por debajo de lo programado en la vigencia</t>
        </is>
      </c>
      <c r="U230">
        <v>0.37</v>
      </c>
      <c r="V230" s="104">
        <v>0.00148</v>
      </c>
      <c r="W230" t="inlineStr">
        <is>
          <t>Lo ejecutado está por debajo de lo programado en la vigencia</t>
        </is>
      </c>
    </row>
    <row r="231">
      <c r="A231" t="inlineStr">
        <is>
          <t>IP-240</t>
        </is>
      </c>
      <c r="B231" t="inlineStr">
        <is>
          <t>24</t>
        </is>
      </c>
      <c r="C231" t="inlineStr">
        <is>
          <t>Transporte</t>
        </is>
      </c>
      <c r="D231" t="inlineStr">
        <is>
          <t>2402</t>
        </is>
      </c>
      <c r="E231" t="inlineStr">
        <is>
          <t>Infraestructura red vial regional</t>
        </is>
      </c>
      <c r="F231" t="inlineStr">
        <is>
          <t>2402033</t>
        </is>
      </c>
      <c r="G231" t="inlineStr">
        <is>
          <t>Ciclo infraestructura construida en red vial secundaria</t>
        </is>
      </c>
      <c r="H231" t="inlineStr">
        <is>
          <t>240203300</t>
        </is>
      </c>
      <c r="I231" t="inlineStr">
        <is>
          <t>Ciclo infraestructura de la red secundaria construida</t>
        </is>
      </c>
      <c r="J231" t="inlineStr">
        <is>
          <t>2024251260052</t>
        </is>
      </c>
      <c r="K231" t="inlineStr">
        <is>
          <t>Si</t>
        </is>
      </c>
      <c r="L231" t="inlineStr">
        <is>
          <t>Metros lineales</t>
        </is>
      </c>
      <c r="M231">
        <v>1</v>
      </c>
      <c r="N231">
        <v>1</v>
      </c>
      <c r="O231">
        <v>1</v>
      </c>
      <c r="P231">
        <v>1</v>
      </c>
      <c r="Q231">
        <v>1</v>
      </c>
      <c r="R231">
        <v>300</v>
      </c>
      <c r="S231" s="103">
        <v>300</v>
      </c>
      <c r="T231" t="inlineStr">
        <is>
          <t>Hubo ejecución por encima de lo programado en SisPT</t>
        </is>
      </c>
      <c r="U231">
        <v>1970</v>
      </c>
      <c r="V231" s="104">
        <v>1970</v>
      </c>
      <c r="W231" t="inlineStr">
        <is>
          <t>Hubo ejecución por encima de lo programado en SisPT</t>
        </is>
      </c>
    </row>
    <row r="232">
      <c r="A232" t="inlineStr">
        <is>
          <t>IP-241</t>
        </is>
      </c>
      <c r="B232" t="inlineStr">
        <is>
          <t>24</t>
        </is>
      </c>
      <c r="C232" t="inlineStr">
        <is>
          <t>Transporte</t>
        </is>
      </c>
      <c r="D232" t="inlineStr">
        <is>
          <t>2402</t>
        </is>
      </c>
      <c r="E232" t="inlineStr">
        <is>
          <t>Infraestructura red vial regional</t>
        </is>
      </c>
      <c r="F232" t="inlineStr">
        <is>
          <t>2402034</t>
        </is>
      </c>
      <c r="G232" t="inlineStr">
        <is>
          <t>Ciclo infraestructura de la redsecundaria con mantenimiento</t>
        </is>
      </c>
      <c r="H232" t="inlineStr">
        <is>
          <t>240203401</t>
        </is>
      </c>
      <c r="I232" t="inlineStr">
        <is>
          <t>Ciclo infraestructura de la red secundaria con mantenimiento</t>
        </is>
      </c>
      <c r="J232" t="inlineStr">
        <is>
          <t>2024251260074</t>
        </is>
      </c>
      <c r="K232" t="inlineStr">
        <is>
          <t>No</t>
        </is>
      </c>
      <c r="L232" t="inlineStr">
        <is>
          <t>Kilómetros</t>
        </is>
      </c>
      <c r="M232">
        <v>1</v>
      </c>
      <c r="N232">
        <v>1</v>
      </c>
      <c r="O232">
        <v>1</v>
      </c>
      <c r="P232">
        <v>1</v>
      </c>
      <c r="Q232">
        <v>1</v>
      </c>
      <c r="R232">
        <v>0</v>
      </c>
      <c r="S232" s="103">
        <v>0</v>
      </c>
      <c r="T232" t="inlineStr">
        <is>
          <t>No se ejecutó en la vigencia</t>
        </is>
      </c>
      <c r="U232" t="inlineStr">
        <is>
          <t xml:space="preserve"> </t>
        </is>
      </c>
      <c r="V232" s="104" t="inlineStr">
        <is>
          <t xml:space="preserve"> </t>
        </is>
      </c>
      <c r="W232" t="inlineStr">
        <is>
          <t>No se encontró ejecución en PIIP</t>
        </is>
      </c>
    </row>
    <row r="233">
      <c r="A233" t="inlineStr">
        <is>
          <t>IP-242</t>
        </is>
      </c>
      <c r="B233" t="inlineStr">
        <is>
          <t>24</t>
        </is>
      </c>
      <c r="C233" t="inlineStr">
        <is>
          <t>Transporte</t>
        </is>
      </c>
      <c r="D233" t="inlineStr">
        <is>
          <t>2402</t>
        </is>
      </c>
      <c r="E233" t="inlineStr">
        <is>
          <t>Infraestructura red vial regional</t>
        </is>
      </c>
      <c r="F233" t="inlineStr">
        <is>
          <t>2402107</t>
        </is>
      </c>
      <c r="G233" t="inlineStr">
        <is>
          <t>Servicio de asistencia técnica en infraestructura y Servicio de la red vial regional</t>
        </is>
      </c>
      <c r="H233" t="inlineStr">
        <is>
          <t>240210701</t>
        </is>
      </c>
      <c r="I233" t="inlineStr">
        <is>
          <t>Proyectos soportados con asistencia técnica</t>
        </is>
      </c>
      <c r="J233" t="inlineStr">
        <is>
          <t>2024251260086</t>
        </is>
      </c>
      <c r="K233" t="inlineStr">
        <is>
          <t>Si</t>
        </is>
      </c>
      <c r="L233" t="inlineStr">
        <is>
          <t>Número</t>
        </is>
      </c>
      <c r="M233">
        <v>1</v>
      </c>
      <c r="N233">
        <v>0.25</v>
      </c>
      <c r="O233">
        <v>0.25</v>
      </c>
      <c r="P233">
        <v>0.25</v>
      </c>
      <c r="Q233">
        <v>0.25</v>
      </c>
      <c r="R233" t="inlineStr">
        <is>
          <t xml:space="preserve"> </t>
        </is>
      </c>
      <c r="S233" s="103" t="inlineStr">
        <is>
          <t xml:space="preserve"> </t>
        </is>
      </c>
      <c r="T233" t="inlineStr">
        <is>
          <t>No se encontró ejecución en PIIP</t>
        </is>
      </c>
      <c r="U233" t="inlineStr">
        <is>
          <t xml:space="preserve"> </t>
        </is>
      </c>
      <c r="V233" s="104" t="inlineStr">
        <is>
          <t xml:space="preserve"> </t>
        </is>
      </c>
      <c r="W233" t="inlineStr">
        <is>
          <t>No se encontró ejecución en PIIP</t>
        </is>
      </c>
    </row>
    <row r="234">
      <c r="A234" t="inlineStr">
        <is>
          <t>IP-243</t>
        </is>
      </c>
      <c r="B234" t="inlineStr">
        <is>
          <t>24</t>
        </is>
      </c>
      <c r="C234" t="inlineStr">
        <is>
          <t>Transporte</t>
        </is>
      </c>
      <c r="D234" t="inlineStr">
        <is>
          <t>2409</t>
        </is>
      </c>
      <c r="E234" t="inlineStr">
        <is>
          <t>Seguridad de transporte</t>
        </is>
      </c>
      <c r="F234" t="inlineStr">
        <is>
          <t>2409008</t>
        </is>
      </c>
      <c r="G234" t="inlineStr">
        <is>
          <t>Documentos de lineamientos técnicos</t>
        </is>
      </c>
      <c r="H234" t="inlineStr">
        <is>
          <t>240900801</t>
        </is>
      </c>
      <c r="I234" t="inlineStr">
        <is>
          <t>Documentos de lineamientos técnicos en temas de seguridad de transporte formulados</t>
        </is>
      </c>
      <c r="J234" t="inlineStr">
        <is>
          <t>2024251260064</t>
        </is>
      </c>
      <c r="K234" t="inlineStr">
        <is>
          <t>Si</t>
        </is>
      </c>
      <c r="L234" t="inlineStr">
        <is>
          <t>Número</t>
        </is>
      </c>
      <c r="M234">
        <v>100</v>
      </c>
      <c r="N234">
        <v>100</v>
      </c>
      <c r="O234">
        <v>100</v>
      </c>
      <c r="P234">
        <v>100</v>
      </c>
      <c r="Q234">
        <v>100</v>
      </c>
      <c r="R234">
        <v>0.25</v>
      </c>
      <c r="S234" s="103">
        <v>0.0025</v>
      </c>
      <c r="T234" t="inlineStr">
        <is>
          <t>Lo ejecutado está por debajo de lo programado en la vigencia</t>
        </is>
      </c>
      <c r="U234">
        <v>0.1</v>
      </c>
      <c r="V234" s="104">
        <v>0.001</v>
      </c>
      <c r="W234" t="inlineStr">
        <is>
          <t>Lo ejecutado está por debajo de lo programado en la vigencia</t>
        </is>
      </c>
    </row>
    <row r="235">
      <c r="A235" t="inlineStr">
        <is>
          <t>IP-244</t>
        </is>
      </c>
      <c r="B235" t="inlineStr">
        <is>
          <t>24</t>
        </is>
      </c>
      <c r="C235" t="inlineStr">
        <is>
          <t>Transporte</t>
        </is>
      </c>
      <c r="D235" t="inlineStr">
        <is>
          <t>2409</t>
        </is>
      </c>
      <c r="E235" t="inlineStr">
        <is>
          <t>Seguridad de transporte</t>
        </is>
      </c>
      <c r="F235" t="inlineStr">
        <is>
          <t>2409002</t>
        </is>
      </c>
      <c r="G235" t="inlineStr">
        <is>
          <t>Servicio de sensibilización a usuarios de los sistemas de transporte, en relación con la seguridad al desplazarse</t>
        </is>
      </c>
      <c r="H235" t="inlineStr">
        <is>
          <t>240900200</t>
        </is>
      </c>
      <c r="I235" t="inlineStr">
        <is>
          <t>Campañas realizadas</t>
        </is>
      </c>
      <c r="J235" t="inlineStr">
        <is>
          <t>2024251260064</t>
        </is>
      </c>
      <c r="K235" t="inlineStr">
        <is>
          <t>No</t>
        </is>
      </c>
      <c r="L235" t="inlineStr">
        <is>
          <t>Número</t>
        </is>
      </c>
      <c r="M235">
        <v>2</v>
      </c>
      <c r="N235">
        <v>2</v>
      </c>
      <c r="O235">
        <v>2</v>
      </c>
      <c r="P235">
        <v>2</v>
      </c>
      <c r="Q235">
        <v>2</v>
      </c>
      <c r="R235">
        <v>0.5</v>
      </c>
      <c r="S235" s="103">
        <v>0.25</v>
      </c>
      <c r="T235" t="inlineStr">
        <is>
          <t>Lo ejecutado está por debajo de lo programado en la vigencia</t>
        </is>
      </c>
      <c r="U235">
        <v>1.05</v>
      </c>
      <c r="V235" s="104">
        <v>0.525</v>
      </c>
      <c r="W235" t="inlineStr">
        <is>
          <t>Lo ejecutado está por debajo de lo programado en la vigencia</t>
        </is>
      </c>
    </row>
    <row r="236">
      <c r="A236" t="inlineStr">
        <is>
          <t>IP-245, IP-251</t>
        </is>
      </c>
      <c r="B236" t="inlineStr">
        <is>
          <t>24</t>
        </is>
      </c>
      <c r="C236" t="inlineStr">
        <is>
          <t>Transporte</t>
        </is>
      </c>
      <c r="D236" t="inlineStr">
        <is>
          <t>2409</t>
        </is>
      </c>
      <c r="E236" t="inlineStr">
        <is>
          <t>Seguridad de transporte</t>
        </is>
      </c>
      <c r="F236" t="inlineStr">
        <is>
          <t>2409009</t>
        </is>
      </c>
      <c r="G236" t="inlineStr">
        <is>
          <t>Servicio de promoción y difusión para la seguridad de transporte</t>
        </is>
      </c>
      <c r="H236" t="inlineStr">
        <is>
          <t>240900900</t>
        </is>
      </c>
      <c r="I236" t="inlineStr">
        <is>
          <t>Estrategias implementadas</t>
        </is>
      </c>
      <c r="J236" t="inlineStr">
        <is>
          <t>2024251260064</t>
        </is>
      </c>
      <c r="K236" t="inlineStr">
        <is>
          <t>Si</t>
        </is>
      </c>
      <c r="L236" t="inlineStr">
        <is>
          <t>Número</t>
        </is>
      </c>
      <c r="M236">
        <v>2</v>
      </c>
      <c r="N236">
        <v>0.25</v>
      </c>
      <c r="O236">
        <v>1.25</v>
      </c>
      <c r="P236">
        <v>0.25</v>
      </c>
      <c r="Q236">
        <v>0.25</v>
      </c>
      <c r="R236">
        <v>0.25</v>
      </c>
      <c r="S236" s="103">
        <v>1</v>
      </c>
      <c r="T236" t="inlineStr">
        <is>
          <t>Se ejecutó el 100% de lo programado en la vigencia</t>
        </is>
      </c>
      <c r="U236">
        <v>0.1625</v>
      </c>
      <c r="V236" s="104">
        <v>0.13</v>
      </c>
      <c r="W236" t="inlineStr">
        <is>
          <t>Lo ejecutado está por debajo de lo programado en la vigencia</t>
        </is>
      </c>
    </row>
    <row r="237">
      <c r="A237" t="inlineStr">
        <is>
          <t>IP-246</t>
        </is>
      </c>
      <c r="B237" t="inlineStr">
        <is>
          <t>24</t>
        </is>
      </c>
      <c r="C237" t="inlineStr">
        <is>
          <t>Transporte</t>
        </is>
      </c>
      <c r="D237" t="inlineStr">
        <is>
          <t>2409</t>
        </is>
      </c>
      <c r="E237" t="inlineStr">
        <is>
          <t>Seguridad de transporte</t>
        </is>
      </c>
      <c r="F237" t="inlineStr">
        <is>
          <t>2409013</t>
        </is>
      </c>
      <c r="G237" t="inlineStr">
        <is>
          <t>Infraestructura de transporte para la seguridad vial</t>
        </is>
      </c>
      <c r="H237" t="inlineStr">
        <is>
          <t>240901306</t>
        </is>
      </c>
      <c r="I237" t="inlineStr">
        <is>
          <t>Zonas escolares demarcadas</t>
        </is>
      </c>
      <c r="J237" t="inlineStr">
        <is>
          <t>2024251260064</t>
        </is>
      </c>
      <c r="K237" t="inlineStr">
        <is>
          <t>Si</t>
        </is>
      </c>
      <c r="L237" t="inlineStr">
        <is>
          <t>Número</t>
        </is>
      </c>
      <c r="M237">
        <v>1</v>
      </c>
      <c r="N237">
        <v>0.25</v>
      </c>
      <c r="O237">
        <v>0.25</v>
      </c>
      <c r="P237">
        <v>0.25</v>
      </c>
      <c r="Q237">
        <v>0.25</v>
      </c>
      <c r="R237">
        <v>0.25</v>
      </c>
      <c r="S237" s="103">
        <v>1</v>
      </c>
      <c r="T237" t="inlineStr">
        <is>
          <t>Se ejecutó el 100% de lo programado en la vigencia</t>
        </is>
      </c>
      <c r="U237">
        <v>0.105</v>
      </c>
      <c r="V237" s="104">
        <v>0.42</v>
      </c>
      <c r="W237" t="inlineStr">
        <is>
          <t>Lo ejecutado está por debajo de lo programado en la vigencia</t>
        </is>
      </c>
    </row>
    <row r="238">
      <c r="A238" t="inlineStr">
        <is>
          <t>IP-247</t>
        </is>
      </c>
      <c r="B238" t="inlineStr">
        <is>
          <t>24</t>
        </is>
      </c>
      <c r="C238" t="inlineStr">
        <is>
          <t>Transporte</t>
        </is>
      </c>
      <c r="D238" t="inlineStr">
        <is>
          <t>2409</t>
        </is>
      </c>
      <c r="E238" t="inlineStr">
        <is>
          <t>Seguridad de transporte</t>
        </is>
      </c>
      <c r="F238" t="inlineStr">
        <is>
          <t>2409025</t>
        </is>
      </c>
      <c r="G238" t="inlineStr">
        <is>
          <t>Documentos normativos</t>
        </is>
      </c>
      <c r="H238" t="inlineStr">
        <is>
          <t>240902500</t>
        </is>
      </c>
      <c r="I238" t="inlineStr">
        <is>
          <t>Documentos normativos elaborados</t>
        </is>
      </c>
      <c r="J238" t="inlineStr">
        <is>
          <t>2024251260064</t>
        </is>
      </c>
      <c r="K238" t="inlineStr">
        <is>
          <t>Si</t>
        </is>
      </c>
      <c r="L238" t="inlineStr">
        <is>
          <t>Número</t>
        </is>
      </c>
      <c r="M238">
        <v>1</v>
      </c>
      <c r="N238">
        <v>0</v>
      </c>
      <c r="O238">
        <v>1</v>
      </c>
      <c r="P238">
        <v>0</v>
      </c>
      <c r="Q238">
        <v>0</v>
      </c>
      <c r="R238">
        <v>0.25</v>
      </c>
      <c r="S238" s="103" t="inlineStr">
        <is>
          <t xml:space="preserve"> </t>
        </is>
      </c>
      <c r="T238" t="inlineStr">
        <is>
          <t>Se ejecutó un producto no programado en la vigencia</t>
        </is>
      </c>
      <c r="U238">
        <v>0</v>
      </c>
      <c r="V238" s="104">
        <v>0</v>
      </c>
      <c r="W238" t="inlineStr">
        <is>
          <t>No se ejecutó en la vigencia</t>
        </is>
      </c>
    </row>
    <row r="239">
      <c r="A239" t="inlineStr">
        <is>
          <t>IP-248</t>
        </is>
      </c>
      <c r="B239" t="inlineStr">
        <is>
          <t>24</t>
        </is>
      </c>
      <c r="C239" t="inlineStr">
        <is>
          <t>Transporte</t>
        </is>
      </c>
      <c r="D239" t="inlineStr">
        <is>
          <t>2409</t>
        </is>
      </c>
      <c r="E239" t="inlineStr">
        <is>
          <t>Seguridad de transporte</t>
        </is>
      </c>
      <c r="F239" t="inlineStr">
        <is>
          <t>2409011</t>
        </is>
      </c>
      <c r="G239" t="inlineStr">
        <is>
          <t>Servicio de control a la seguridad vial</t>
        </is>
      </c>
      <c r="H239" t="inlineStr">
        <is>
          <t>240901100</t>
        </is>
      </c>
      <c r="I239" t="inlineStr">
        <is>
          <t>Organismos de tránsito dotados con implementos para el control del tránsito</t>
        </is>
      </c>
      <c r="J239" t="inlineStr">
        <is>
          <t>2024251260064</t>
        </is>
      </c>
      <c r="K239" t="inlineStr">
        <is>
          <t>Si</t>
        </is>
      </c>
      <c r="L239" t="inlineStr">
        <is>
          <t>Número</t>
        </is>
      </c>
      <c r="M239">
        <v>1</v>
      </c>
      <c r="N239">
        <v>0.25</v>
      </c>
      <c r="O239">
        <v>0.25</v>
      </c>
      <c r="P239">
        <v>0.25</v>
      </c>
      <c r="Q239">
        <v>0.25</v>
      </c>
      <c r="R239">
        <v>3</v>
      </c>
      <c r="S239" s="103">
        <v>12</v>
      </c>
      <c r="T239" t="inlineStr">
        <is>
          <t>Hubo ejecución por encima de lo programado en SisPT</t>
        </is>
      </c>
      <c r="U239">
        <v>0.235</v>
      </c>
      <c r="V239" s="104">
        <v>0.94</v>
      </c>
      <c r="W239" t="inlineStr">
        <is>
          <t>Lo ejecutado está por debajo de lo programado en la vigencia</t>
        </is>
      </c>
    </row>
    <row r="240">
      <c r="A240" t="inlineStr">
        <is>
          <t>IP-249</t>
        </is>
      </c>
      <c r="B240" t="inlineStr">
        <is>
          <t>24</t>
        </is>
      </c>
      <c r="C240" t="inlineStr">
        <is>
          <t>Transporte</t>
        </is>
      </c>
      <c r="D240" t="inlineStr">
        <is>
          <t>2402</t>
        </is>
      </c>
      <c r="E240" t="inlineStr">
        <is>
          <t>Infraestructura red vial regional</t>
        </is>
      </c>
      <c r="F240" t="inlineStr">
        <is>
          <t>2402110</t>
        </is>
      </c>
      <c r="G240" t="inlineStr">
        <is>
          <t>Terminales de transporte construidas</t>
        </is>
      </c>
      <c r="H240" t="inlineStr">
        <is>
          <t>240211000</t>
        </is>
      </c>
      <c r="I240" t="inlineStr">
        <is>
          <t>Terminales de transporte construidas</t>
        </is>
      </c>
      <c r="J240" t="inlineStr">
        <is>
          <t>2024251260087</t>
        </is>
      </c>
      <c r="K240" t="inlineStr">
        <is>
          <t>No</t>
        </is>
      </c>
      <c r="L240" t="inlineStr">
        <is>
          <t>Número</t>
        </is>
      </c>
      <c r="M240">
        <v>1</v>
      </c>
      <c r="N240">
        <v>0</v>
      </c>
      <c r="O240">
        <v>0.33</v>
      </c>
      <c r="P240">
        <v>0.33</v>
      </c>
      <c r="Q240">
        <v>0.34</v>
      </c>
      <c r="R240" t="inlineStr">
        <is>
          <t xml:space="preserve"> </t>
        </is>
      </c>
      <c r="S240" s="103" t="inlineStr">
        <is>
          <t xml:space="preserve"> </t>
        </is>
      </c>
      <c r="T240" t="inlineStr">
        <is>
          <t>No se encontró ejecución en PIIP</t>
        </is>
      </c>
      <c r="U240" t="inlineStr">
        <is>
          <t xml:space="preserve"> </t>
        </is>
      </c>
      <c r="V240" s="104" t="inlineStr">
        <is>
          <t xml:space="preserve"> </t>
        </is>
      </c>
      <c r="W240" t="inlineStr">
        <is>
          <t>No se encontró ejecución en PIIP</t>
        </is>
      </c>
    </row>
    <row r="241">
      <c r="A241" t="inlineStr">
        <is>
          <t>IP-250</t>
        </is>
      </c>
      <c r="B241" t="inlineStr">
        <is>
          <t>24</t>
        </is>
      </c>
      <c r="C241" t="inlineStr">
        <is>
          <t>Transporte</t>
        </is>
      </c>
      <c r="D241" t="inlineStr">
        <is>
          <t>2409</t>
        </is>
      </c>
      <c r="E241" t="inlineStr">
        <is>
          <t>Seguridad de transporte</t>
        </is>
      </c>
      <c r="F241" t="inlineStr">
        <is>
          <t>2409008</t>
        </is>
      </c>
      <c r="G241" t="inlineStr">
        <is>
          <t>Documentos de lineamientos técnicos</t>
        </is>
      </c>
      <c r="H241" t="inlineStr">
        <is>
          <t>240900800</t>
        </is>
      </c>
      <c r="I241" t="inlineStr">
        <is>
          <t>Documentos de lineamientos técnicos realizados</t>
        </is>
      </c>
      <c r="J241" t="inlineStr">
        <is>
          <t>2024251260064</t>
        </is>
      </c>
      <c r="K241" t="inlineStr">
        <is>
          <t>Si</t>
        </is>
      </c>
      <c r="L241" t="inlineStr">
        <is>
          <t>Número</t>
        </is>
      </c>
      <c r="M241">
        <v>1</v>
      </c>
      <c r="N241">
        <v>0</v>
      </c>
      <c r="O241">
        <v>0.33</v>
      </c>
      <c r="P241">
        <v>0.33</v>
      </c>
      <c r="Q241">
        <v>0.34</v>
      </c>
      <c r="R241">
        <v>0.25</v>
      </c>
      <c r="S241" s="103" t="inlineStr">
        <is>
          <t xml:space="preserve"> </t>
        </is>
      </c>
      <c r="T241" t="inlineStr">
        <is>
          <t>Se ejecutó un producto no programado en la vigencia</t>
        </is>
      </c>
      <c r="U241">
        <v>0</v>
      </c>
      <c r="V241" s="104">
        <v>0</v>
      </c>
      <c r="W241" t="inlineStr">
        <is>
          <t>No se ejecutó en la vigencia</t>
        </is>
      </c>
    </row>
    <row r="242">
      <c r="A242" t="inlineStr">
        <is>
          <t>IP-252</t>
        </is>
      </c>
      <c r="B242" t="inlineStr">
        <is>
          <t>45</t>
        </is>
      </c>
      <c r="C242" t="inlineStr">
        <is>
          <t>Gobierno Territorial</t>
        </is>
      </c>
      <c r="D242" t="inlineStr">
        <is>
          <t>4599</t>
        </is>
      </c>
      <c r="E242" t="inlineStr">
        <is>
          <t>Fortalecimiento a la gestión y dirección de la administración pública territorial</t>
        </is>
      </c>
      <c r="F242" t="inlineStr">
        <is>
          <t>4599016</t>
        </is>
      </c>
      <c r="G242" t="inlineStr">
        <is>
          <t>Sedes mantenidas</t>
        </is>
      </c>
      <c r="H242" t="inlineStr">
        <is>
          <t>459901600</t>
        </is>
      </c>
      <c r="I242" t="inlineStr">
        <is>
          <t>Sedes mantenidas</t>
        </is>
      </c>
      <c r="J242" t="inlineStr">
        <is>
          <t>2024251260054</t>
        </is>
      </c>
      <c r="K242" t="inlineStr">
        <is>
          <t>No</t>
        </is>
      </c>
      <c r="L242" t="inlineStr">
        <is>
          <t>Número</t>
        </is>
      </c>
      <c r="M242">
        <v>1</v>
      </c>
      <c r="N242">
        <v>0.25</v>
      </c>
      <c r="O242">
        <v>0.25</v>
      </c>
      <c r="P242">
        <v>0.25</v>
      </c>
      <c r="Q242">
        <v>0.25</v>
      </c>
      <c r="R242">
        <v>12</v>
      </c>
      <c r="S242" s="103">
        <v>48</v>
      </c>
      <c r="T242" t="inlineStr">
        <is>
          <t>Hubo ejecución por encima de lo programado en SisPT</t>
        </is>
      </c>
      <c r="U242">
        <v>0</v>
      </c>
      <c r="V242" s="104">
        <v>0</v>
      </c>
      <c r="W242" t="inlineStr">
        <is>
          <t>No se ejecutó en la vigencia</t>
        </is>
      </c>
    </row>
    <row r="243">
      <c r="A243" t="inlineStr">
        <is>
          <t>IP-253</t>
        </is>
      </c>
      <c r="B243" t="inlineStr">
        <is>
          <t>45</t>
        </is>
      </c>
      <c r="C243" t="inlineStr">
        <is>
          <t>Gobierno Territorial</t>
        </is>
      </c>
      <c r="D243" t="inlineStr">
        <is>
          <t>4599</t>
        </is>
      </c>
      <c r="E243" t="inlineStr">
        <is>
          <t>Fortalecimiento a la gestión y dirección de la administración pública territorial</t>
        </is>
      </c>
      <c r="F243" t="inlineStr">
        <is>
          <t>4599008</t>
        </is>
      </c>
      <c r="G243" t="inlineStr">
        <is>
          <t>Sede construida y dotada</t>
        </is>
      </c>
      <c r="H243" t="inlineStr">
        <is>
          <t>459900800</t>
        </is>
      </c>
      <c r="I243" t="inlineStr">
        <is>
          <t>Sede construida y dotada</t>
        </is>
      </c>
      <c r="J243" t="inlineStr">
        <is>
          <t>2024251260091</t>
        </is>
      </c>
      <c r="K243" t="inlineStr">
        <is>
          <t>Si</t>
        </is>
      </c>
      <c r="L243" t="inlineStr">
        <is>
          <t>Número</t>
        </is>
      </c>
      <c r="M243">
        <v>1</v>
      </c>
      <c r="N243">
        <v>0.1</v>
      </c>
      <c r="O243">
        <v>0.33</v>
      </c>
      <c r="P243">
        <v>0.33</v>
      </c>
      <c r="Q243">
        <v>0.34</v>
      </c>
      <c r="R243" t="inlineStr">
        <is>
          <t xml:space="preserve"> </t>
        </is>
      </c>
      <c r="S243" s="103" t="inlineStr">
        <is>
          <t xml:space="preserve"> </t>
        </is>
      </c>
      <c r="T243" t="inlineStr">
        <is>
          <t>No se encontró ejecución en PIIP</t>
        </is>
      </c>
      <c r="U243" t="inlineStr">
        <is>
          <t xml:space="preserve"> </t>
        </is>
      </c>
      <c r="V243" s="104" t="inlineStr">
        <is>
          <t xml:space="preserve"> </t>
        </is>
      </c>
      <c r="W243" t="inlineStr">
        <is>
          <t>No se encontró ejecución en PIIP</t>
        </is>
      </c>
    </row>
    <row r="244">
      <c r="A244" t="inlineStr">
        <is>
          <t>IP-254</t>
        </is>
      </c>
      <c r="B244" t="inlineStr">
        <is>
          <t>45</t>
        </is>
      </c>
      <c r="C244" t="inlineStr">
        <is>
          <t>Gobierno Territorial</t>
        </is>
      </c>
      <c r="D244" t="inlineStr">
        <is>
          <t>4599</t>
        </is>
      </c>
      <c r="E244" t="inlineStr">
        <is>
          <t>Fortalecimiento a la gestión y dirección de la administración pública territorial</t>
        </is>
      </c>
      <c r="F244" t="inlineStr">
        <is>
          <t>4599015</t>
        </is>
      </c>
      <c r="G244" t="inlineStr">
        <is>
          <t>Sedes adquiridas</t>
        </is>
      </c>
      <c r="H244" t="inlineStr">
        <is>
          <t>459901500</t>
        </is>
      </c>
      <c r="I244" t="inlineStr">
        <is>
          <t>Sedes adquiridas</t>
        </is>
      </c>
      <c r="J244" t="inlineStr">
        <is>
          <t>2024251260054</t>
        </is>
      </c>
      <c r="K244" t="inlineStr">
        <is>
          <t>No</t>
        </is>
      </c>
      <c r="L244" t="inlineStr">
        <is>
          <t>Número</t>
        </is>
      </c>
      <c r="M244">
        <v>1</v>
      </c>
      <c r="N244">
        <v>0.25</v>
      </c>
      <c r="O244">
        <v>0.25</v>
      </c>
      <c r="P244">
        <v>0.25</v>
      </c>
      <c r="Q244">
        <v>0.25</v>
      </c>
      <c r="R244" t="inlineStr">
        <is>
          <t xml:space="preserve"> </t>
        </is>
      </c>
      <c r="S244" s="103" t="inlineStr">
        <is>
          <t xml:space="preserve"> </t>
        </is>
      </c>
      <c r="T244" t="inlineStr">
        <is>
          <t>No se encontró ejecución en PIIP</t>
        </is>
      </c>
      <c r="U244" t="inlineStr">
        <is>
          <t xml:space="preserve"> </t>
        </is>
      </c>
      <c r="V244" s="104" t="inlineStr">
        <is>
          <t xml:space="preserve"> </t>
        </is>
      </c>
      <c r="W244" t="inlineStr">
        <is>
          <t>No se encontró ejecución en PIIP</t>
        </is>
      </c>
    </row>
    <row r="245">
      <c r="A245" t="inlineStr">
        <is>
          <t>IP-255</t>
        </is>
      </c>
      <c r="B245" t="inlineStr">
        <is>
          <t>45</t>
        </is>
      </c>
      <c r="C245" t="inlineStr">
        <is>
          <t>Gobierno Territorial</t>
        </is>
      </c>
      <c r="D245" t="inlineStr">
        <is>
          <t>4599</t>
        </is>
      </c>
      <c r="E245" t="inlineStr">
        <is>
          <t>Fortalecimiento a la gestión y dirección de la administración pública territorial</t>
        </is>
      </c>
      <c r="F245" t="inlineStr">
        <is>
          <t>4599011</t>
        </is>
      </c>
      <c r="G245" t="inlineStr">
        <is>
          <t>Sedes adecuadas</t>
        </is>
      </c>
      <c r="H245" t="inlineStr">
        <is>
          <t>459901101</t>
        </is>
      </c>
      <c r="I245" t="inlineStr">
        <is>
          <t>Áreas físicas adecuadas</t>
        </is>
      </c>
      <c r="J245" t="inlineStr">
        <is>
          <t>2024251260088</t>
        </is>
      </c>
      <c r="K245" t="inlineStr">
        <is>
          <t>Si</t>
        </is>
      </c>
      <c r="L245" t="inlineStr">
        <is>
          <t>Metros cuadrados</t>
        </is>
      </c>
      <c r="M245">
        <v>1</v>
      </c>
      <c r="N245">
        <v>0</v>
      </c>
      <c r="O245">
        <v>1</v>
      </c>
      <c r="P245">
        <v>0</v>
      </c>
      <c r="Q245">
        <v>0</v>
      </c>
      <c r="R245" t="inlineStr">
        <is>
          <t xml:space="preserve"> </t>
        </is>
      </c>
      <c r="S245" s="103" t="inlineStr">
        <is>
          <t xml:space="preserve"> </t>
        </is>
      </c>
      <c r="T245" t="inlineStr">
        <is>
          <t>No se encontró ejecución en PIIP</t>
        </is>
      </c>
      <c r="U245" t="inlineStr">
        <is>
          <t xml:space="preserve"> </t>
        </is>
      </c>
      <c r="V245" s="104" t="inlineStr">
        <is>
          <t xml:space="preserve"> </t>
        </is>
      </c>
      <c r="W245" t="inlineStr">
        <is>
          <t>No se encontró ejecución en PIIP</t>
        </is>
      </c>
    </row>
    <row r="246">
      <c r="A246" t="inlineStr">
        <is>
          <t>IP-256</t>
        </is>
      </c>
      <c r="B246" t="inlineStr">
        <is>
          <t>45</t>
        </is>
      </c>
      <c r="C246" t="inlineStr">
        <is>
          <t>Gobierno Territorial</t>
        </is>
      </c>
      <c r="D246" t="inlineStr">
        <is>
          <t>4502</t>
        </is>
      </c>
      <c r="E246" t="inlineStr">
        <is>
          <t>Fortalecimiento del buen gobierno para el respeto y garantía de los derechos humanos.</t>
        </is>
      </c>
      <c r="F246" t="inlineStr">
        <is>
          <t>4502035</t>
        </is>
      </c>
      <c r="G246" t="inlineStr">
        <is>
          <t>Documentos de planeación</t>
        </is>
      </c>
      <c r="H246" t="inlineStr">
        <is>
          <t>450203500</t>
        </is>
      </c>
      <c r="I246" t="inlineStr">
        <is>
          <t>Documentos de planeación elaborados</t>
        </is>
      </c>
      <c r="J246" t="inlineStr">
        <is>
          <t>2024251260056</t>
        </is>
      </c>
      <c r="K246" t="inlineStr">
        <is>
          <t>No</t>
        </is>
      </c>
      <c r="L246" t="inlineStr">
        <is>
          <t>Número</t>
        </is>
      </c>
      <c r="M246">
        <v>100</v>
      </c>
      <c r="N246">
        <v>100</v>
      </c>
      <c r="O246">
        <v>100</v>
      </c>
      <c r="P246">
        <v>100</v>
      </c>
      <c r="Q246">
        <v>100</v>
      </c>
      <c r="R246" t="inlineStr">
        <is>
          <t xml:space="preserve"> </t>
        </is>
      </c>
      <c r="S246" s="103" t="inlineStr">
        <is>
          <t xml:space="preserve"> </t>
        </is>
      </c>
      <c r="T246" t="inlineStr">
        <is>
          <t>No se encontró ejecución en PIIP</t>
        </is>
      </c>
      <c r="U246" t="inlineStr">
        <is>
          <t xml:space="preserve"> </t>
        </is>
      </c>
      <c r="V246" s="104" t="inlineStr">
        <is>
          <t xml:space="preserve"> </t>
        </is>
      </c>
      <c r="W246" t="inlineStr">
        <is>
          <t>No se encontró ejecución en PIIP</t>
        </is>
      </c>
    </row>
    <row r="247">
      <c r="A247" t="inlineStr">
        <is>
          <t>IP-257</t>
        </is>
      </c>
      <c r="B247" t="inlineStr">
        <is>
          <t>45</t>
        </is>
      </c>
      <c r="C247" t="inlineStr">
        <is>
          <t>Gobierno Territorial</t>
        </is>
      </c>
      <c r="D247" t="inlineStr">
        <is>
          <t>4502</t>
        </is>
      </c>
      <c r="E247" t="inlineStr">
        <is>
          <t>Fortalecimiento del buen gobierno para el respeto y garantía de los derechos humanos.</t>
        </is>
      </c>
      <c r="F247" t="inlineStr">
        <is>
          <t>4502032</t>
        </is>
      </c>
      <c r="G247" t="inlineStr">
        <is>
          <t>Documentos de lineamientos técnicos</t>
        </is>
      </c>
      <c r="H247" t="inlineStr">
        <is>
          <t>450203200</t>
        </is>
      </c>
      <c r="I247" t="inlineStr">
        <is>
          <t>Documentos de lineamientos técnicos realizados</t>
        </is>
      </c>
      <c r="J247" t="inlineStr">
        <is>
          <t>2024251260056</t>
        </is>
      </c>
      <c r="K247" t="inlineStr">
        <is>
          <t>No</t>
        </is>
      </c>
      <c r="L247" t="inlineStr">
        <is>
          <t>Número</t>
        </is>
      </c>
      <c r="M247">
        <v>100</v>
      </c>
      <c r="N247">
        <v>100</v>
      </c>
      <c r="O247">
        <v>100</v>
      </c>
      <c r="P247">
        <v>100</v>
      </c>
      <c r="Q247">
        <v>100</v>
      </c>
      <c r="R247" t="inlineStr">
        <is>
          <t xml:space="preserve"> </t>
        </is>
      </c>
      <c r="S247" s="103" t="inlineStr">
        <is>
          <t xml:space="preserve"> </t>
        </is>
      </c>
      <c r="T247" t="inlineStr">
        <is>
          <t>No se encontró ejecución en PIIP</t>
        </is>
      </c>
      <c r="U247" t="inlineStr">
        <is>
          <t xml:space="preserve"> </t>
        </is>
      </c>
      <c r="V247" s="104" t="inlineStr">
        <is>
          <t xml:space="preserve"> </t>
        </is>
      </c>
      <c r="W247" t="inlineStr">
        <is>
          <t>No se encontró ejecución en PIIP</t>
        </is>
      </c>
    </row>
    <row r="248">
      <c r="A248" t="inlineStr">
        <is>
          <t>IP-258</t>
        </is>
      </c>
      <c r="B248" t="inlineStr">
        <is>
          <t>45</t>
        </is>
      </c>
      <c r="C248" t="inlineStr">
        <is>
          <t>Gobierno Territorial</t>
        </is>
      </c>
      <c r="D248" t="inlineStr">
        <is>
          <t>4599</t>
        </is>
      </c>
      <c r="E248" t="inlineStr">
        <is>
          <t>Fortalecimiento a la gestión y dirección de la administración pública territorial</t>
        </is>
      </c>
      <c r="F248" t="inlineStr">
        <is>
          <t>4599019</t>
        </is>
      </c>
      <c r="G248" t="inlineStr">
        <is>
          <t>Documentos de planeación</t>
        </is>
      </c>
      <c r="H248" t="inlineStr">
        <is>
          <t>459901901</t>
        </is>
      </c>
      <c r="I248" t="inlineStr">
        <is>
          <t>Planes estratégicos elaborados</t>
        </is>
      </c>
      <c r="J248" t="inlineStr">
        <is>
          <t>2024251260056</t>
        </is>
      </c>
      <c r="K248" t="inlineStr">
        <is>
          <t>No</t>
        </is>
      </c>
      <c r="L248" t="inlineStr">
        <is>
          <t>Número</t>
        </is>
      </c>
      <c r="M248">
        <v>100</v>
      </c>
      <c r="N248">
        <v>100</v>
      </c>
      <c r="O248">
        <v>100</v>
      </c>
      <c r="P248">
        <v>100</v>
      </c>
      <c r="Q248">
        <v>100</v>
      </c>
      <c r="R248" t="inlineStr">
        <is>
          <t xml:space="preserve"> </t>
        </is>
      </c>
      <c r="S248" s="103" t="inlineStr">
        <is>
          <t xml:space="preserve"> </t>
        </is>
      </c>
      <c r="T248" t="inlineStr">
        <is>
          <t>No se encontró ejecución en PIIP</t>
        </is>
      </c>
      <c r="U248" t="inlineStr">
        <is>
          <t xml:space="preserve"> </t>
        </is>
      </c>
      <c r="V248" s="104" t="inlineStr">
        <is>
          <t xml:space="preserve"> </t>
        </is>
      </c>
      <c r="W248" t="inlineStr">
        <is>
          <t>No se encontró ejecución en PIIP</t>
        </is>
      </c>
    </row>
    <row r="249">
      <c r="A249" t="inlineStr">
        <is>
          <t>IP-259</t>
        </is>
      </c>
      <c r="B249" t="inlineStr">
        <is>
          <t>45</t>
        </is>
      </c>
      <c r="C249" t="inlineStr">
        <is>
          <t>Gobierno Territorial</t>
        </is>
      </c>
      <c r="D249" t="inlineStr">
        <is>
          <t>4599</t>
        </is>
      </c>
      <c r="E249" t="inlineStr">
        <is>
          <t>Fortalecimiento a la gestión y dirección de la administración pública territorial</t>
        </is>
      </c>
      <c r="F249" t="inlineStr">
        <is>
          <t>4599035</t>
        </is>
      </c>
      <c r="G249" t="inlineStr">
        <is>
          <t>Servicio de saneamiento laboral y prestacional</t>
        </is>
      </c>
      <c r="H249" t="inlineStr">
        <is>
          <t>459903504</t>
        </is>
      </c>
      <c r="I249" t="inlineStr">
        <is>
          <t>Pago de pasivos laborales de la administración pública territorial realizados</t>
        </is>
      </c>
      <c r="J249" t="inlineStr">
        <is>
          <t>2024251260056</t>
        </is>
      </c>
      <c r="K249" t="inlineStr">
        <is>
          <t>No</t>
        </is>
      </c>
      <c r="L249" t="inlineStr">
        <is>
          <t>Número</t>
        </is>
      </c>
      <c r="M249">
        <v>1</v>
      </c>
      <c r="N249">
        <v>1</v>
      </c>
      <c r="O249">
        <v>1</v>
      </c>
      <c r="P249">
        <v>1</v>
      </c>
      <c r="Q249">
        <v>1</v>
      </c>
      <c r="R249" t="inlineStr">
        <is>
          <t xml:space="preserve"> </t>
        </is>
      </c>
      <c r="S249" s="103" t="inlineStr">
        <is>
          <t xml:space="preserve"> </t>
        </is>
      </c>
      <c r="T249" t="inlineStr">
        <is>
          <t>No se encontró ejecución en PIIP</t>
        </is>
      </c>
      <c r="U249" t="inlineStr">
        <is>
          <t xml:space="preserve"> </t>
        </is>
      </c>
      <c r="V249" s="104" t="inlineStr">
        <is>
          <t xml:space="preserve"> </t>
        </is>
      </c>
      <c r="W249" t="inlineStr">
        <is>
          <t>No se encontró ejecución en PIIP</t>
        </is>
      </c>
    </row>
    <row r="250">
      <c r="A250" t="inlineStr">
        <is>
          <t>IP-260</t>
        </is>
      </c>
      <c r="B250" t="inlineStr">
        <is>
          <t>45</t>
        </is>
      </c>
      <c r="C250" t="inlineStr">
        <is>
          <t>Gobierno Territorial</t>
        </is>
      </c>
      <c r="D250" t="inlineStr">
        <is>
          <t>4502</t>
        </is>
      </c>
      <c r="E250" t="inlineStr">
        <is>
          <t>Fortalecimiento del buen gobierno para el respeto y garantía de los derechos humanos.</t>
        </is>
      </c>
      <c r="F250" t="inlineStr">
        <is>
          <t>4502010</t>
        </is>
      </c>
      <c r="G250" t="inlineStr">
        <is>
          <t>Oficina para la atención y orientación ciudadana adecuada</t>
        </is>
      </c>
      <c r="H250" t="inlineStr">
        <is>
          <t>450201000</t>
        </is>
      </c>
      <c r="I250" t="inlineStr">
        <is>
          <t>Oficinas para la atención y orientación ciudadana adecuada</t>
        </is>
      </c>
      <c r="J250" t="inlineStr">
        <is>
          <t>2024251260057</t>
        </is>
      </c>
      <c r="K250" t="inlineStr">
        <is>
          <t>No</t>
        </is>
      </c>
      <c r="L250" t="inlineStr">
        <is>
          <t>Número</t>
        </is>
      </c>
      <c r="M250">
        <v>1</v>
      </c>
      <c r="N250">
        <v>1</v>
      </c>
      <c r="O250">
        <v>1</v>
      </c>
      <c r="P250">
        <v>1</v>
      </c>
      <c r="Q250">
        <v>1</v>
      </c>
      <c r="R250" t="inlineStr">
        <is>
          <t xml:space="preserve"> </t>
        </is>
      </c>
      <c r="S250" s="103" t="inlineStr">
        <is>
          <t xml:space="preserve"> </t>
        </is>
      </c>
      <c r="T250" t="inlineStr">
        <is>
          <t>No se encontró ejecución en PIIP</t>
        </is>
      </c>
      <c r="U250" t="inlineStr">
        <is>
          <t xml:space="preserve"> </t>
        </is>
      </c>
      <c r="V250" s="104" t="inlineStr">
        <is>
          <t xml:space="preserve"> </t>
        </is>
      </c>
      <c r="W250" t="inlineStr">
        <is>
          <t>No se encontró ejecución en PIIP</t>
        </is>
      </c>
    </row>
    <row r="251">
      <c r="A251" t="inlineStr">
        <is>
          <t>IP-261</t>
        </is>
      </c>
      <c r="B251" t="inlineStr">
        <is>
          <t>45</t>
        </is>
      </c>
      <c r="C251" t="inlineStr">
        <is>
          <t>Gobierno Territorial</t>
        </is>
      </c>
      <c r="D251" t="inlineStr">
        <is>
          <t>4599</t>
        </is>
      </c>
      <c r="E251" t="inlineStr">
        <is>
          <t>Fortalecimiento a la gestión y dirección de la administración pública territorial</t>
        </is>
      </c>
      <c r="F251" t="inlineStr">
        <is>
          <t>4599034</t>
        </is>
      </c>
      <c r="G251" t="inlineStr">
        <is>
          <t>Sedes dotadas</t>
        </is>
      </c>
      <c r="H251" t="inlineStr">
        <is>
          <t>459903400</t>
        </is>
      </c>
      <c r="I251" t="inlineStr">
        <is>
          <t>Sedes dotadas</t>
        </is>
      </c>
      <c r="J251" t="inlineStr">
        <is>
          <t>2024251260057</t>
        </is>
      </c>
      <c r="K251" t="inlineStr">
        <is>
          <t>No</t>
        </is>
      </c>
      <c r="L251" t="inlineStr">
        <is>
          <t>Número</t>
        </is>
      </c>
      <c r="M251">
        <v>1</v>
      </c>
      <c r="N251">
        <v>1</v>
      </c>
      <c r="O251">
        <v>1</v>
      </c>
      <c r="P251">
        <v>1</v>
      </c>
      <c r="Q251">
        <v>1</v>
      </c>
      <c r="R251">
        <v>1</v>
      </c>
      <c r="S251" s="103">
        <v>1</v>
      </c>
      <c r="T251" t="inlineStr">
        <is>
          <t>Se ejecutó el 100% de lo programado en la vigencia</t>
        </is>
      </c>
      <c r="U251">
        <v>0.5</v>
      </c>
      <c r="V251" s="104">
        <v>0.5</v>
      </c>
      <c r="W251" t="inlineStr">
        <is>
          <t>Lo ejecutado está por debajo de lo programado en la vigencia</t>
        </is>
      </c>
    </row>
    <row r="252">
      <c r="A252" t="inlineStr">
        <is>
          <t>IP-262</t>
        </is>
      </c>
      <c r="B252" t="inlineStr">
        <is>
          <t>45</t>
        </is>
      </c>
      <c r="C252" t="inlineStr">
        <is>
          <t>Gobierno Territorial</t>
        </is>
      </c>
      <c r="D252" t="inlineStr">
        <is>
          <t>4599</t>
        </is>
      </c>
      <c r="E252" t="inlineStr">
        <is>
          <t>Fortalecimiento a la gestión y dirección de la administración pública territorial</t>
        </is>
      </c>
      <c r="F252" t="inlineStr">
        <is>
          <t>4599038</t>
        </is>
      </c>
      <c r="G252" t="inlineStr">
        <is>
          <t>Servicio de apoyo financiero para el fortalecimiento del talento humano</t>
        </is>
      </c>
      <c r="H252" t="inlineStr">
        <is>
          <t>459903800</t>
        </is>
      </c>
      <c r="I252" t="inlineStr">
        <is>
          <t>Funcionarios apoyados</t>
        </is>
      </c>
      <c r="J252" t="inlineStr">
        <is>
          <t>2024251260057</t>
        </is>
      </c>
      <c r="K252" t="inlineStr">
        <is>
          <t>No</t>
        </is>
      </c>
      <c r="L252" t="inlineStr">
        <is>
          <t>Número</t>
        </is>
      </c>
      <c r="M252">
        <v>100</v>
      </c>
      <c r="N252">
        <v>100</v>
      </c>
      <c r="O252">
        <v>100</v>
      </c>
      <c r="P252">
        <v>100</v>
      </c>
      <c r="Q252">
        <v>100</v>
      </c>
      <c r="R252">
        <v>100</v>
      </c>
      <c r="S252" s="103">
        <v>1</v>
      </c>
      <c r="T252" t="inlineStr">
        <is>
          <t>Se ejecutó el 100% de lo programado en la vigencia</t>
        </is>
      </c>
      <c r="U252">
        <v>50</v>
      </c>
      <c r="V252" s="104">
        <v>0.5</v>
      </c>
      <c r="W252" t="inlineStr">
        <is>
          <t>Lo ejecutado está por debajo de lo programado en la vigencia</t>
        </is>
      </c>
    </row>
    <row r="253">
      <c r="A253" t="inlineStr">
        <is>
          <t>IP-263</t>
        </is>
      </c>
      <c r="B253" t="inlineStr">
        <is>
          <t>45</t>
        </is>
      </c>
      <c r="C253" t="inlineStr">
        <is>
          <t>Gobierno Territorial</t>
        </is>
      </c>
      <c r="D253" t="inlineStr">
        <is>
          <t>4599</t>
        </is>
      </c>
      <c r="E253" t="inlineStr">
        <is>
          <t>Fortalecimiento a la gestión y dirección de la administración pública territorial</t>
        </is>
      </c>
      <c r="F253" t="inlineStr">
        <is>
          <t>4599031</t>
        </is>
      </c>
      <c r="G253" t="inlineStr">
        <is>
          <t>Servicio de asistencia técnica</t>
        </is>
      </c>
      <c r="H253" t="inlineStr">
        <is>
          <t>459903106</t>
        </is>
      </c>
      <c r="I253" t="inlineStr">
        <is>
          <t>Organismos asistidos técnicamente</t>
        </is>
      </c>
      <c r="J253" t="inlineStr">
        <is>
          <t>2024251260057</t>
        </is>
      </c>
      <c r="K253" t="inlineStr">
        <is>
          <t>No</t>
        </is>
      </c>
      <c r="L253" t="inlineStr">
        <is>
          <t>Número</t>
        </is>
      </c>
      <c r="M253">
        <v>100</v>
      </c>
      <c r="N253">
        <v>100</v>
      </c>
      <c r="O253">
        <v>100</v>
      </c>
      <c r="P253">
        <v>100</v>
      </c>
      <c r="Q253">
        <v>100</v>
      </c>
      <c r="R253" t="inlineStr">
        <is>
          <t xml:space="preserve"> </t>
        </is>
      </c>
      <c r="S253" s="103" t="inlineStr">
        <is>
          <t xml:space="preserve"> </t>
        </is>
      </c>
      <c r="T253" t="inlineStr">
        <is>
          <t>No se encontró ejecución en PIIP</t>
        </is>
      </c>
      <c r="U253" t="inlineStr">
        <is>
          <t xml:space="preserve"> </t>
        </is>
      </c>
      <c r="V253" s="104" t="inlineStr">
        <is>
          <t xml:space="preserve"> </t>
        </is>
      </c>
      <c r="W253" t="inlineStr">
        <is>
          <t>No se encontró ejecución en PIIP</t>
        </is>
      </c>
    </row>
    <row r="254">
      <c r="A254" t="inlineStr">
        <is>
          <t>IP-264</t>
        </is>
      </c>
      <c r="B254" t="inlineStr">
        <is>
          <t>45</t>
        </is>
      </c>
      <c r="C254" t="inlineStr">
        <is>
          <t>Gobierno Territorial</t>
        </is>
      </c>
      <c r="D254" t="inlineStr">
        <is>
          <t>4599</t>
        </is>
      </c>
      <c r="E254" t="inlineStr">
        <is>
          <t>Fortalecimiento a la gestión y dirección de la administración pública territorial</t>
        </is>
      </c>
      <c r="F254" t="inlineStr">
        <is>
          <t>4599017</t>
        </is>
      </c>
      <c r="G254" t="inlineStr">
        <is>
          <t>Servicio de gestión documental</t>
        </is>
      </c>
      <c r="H254" t="inlineStr">
        <is>
          <t>459901701</t>
        </is>
      </c>
      <c r="I254" t="inlineStr">
        <is>
          <t>Archivos gestionados</t>
        </is>
      </c>
      <c r="J254" t="inlineStr">
        <is>
          <t>2024251260057</t>
        </is>
      </c>
      <c r="K254" t="inlineStr">
        <is>
          <t>No</t>
        </is>
      </c>
      <c r="L254" t="inlineStr">
        <is>
          <t>Número</t>
        </is>
      </c>
      <c r="M254">
        <v>100</v>
      </c>
      <c r="N254">
        <v>100</v>
      </c>
      <c r="O254">
        <v>100</v>
      </c>
      <c r="P254">
        <v>100</v>
      </c>
      <c r="Q254">
        <v>100</v>
      </c>
      <c r="R254" t="inlineStr">
        <is>
          <t xml:space="preserve"> </t>
        </is>
      </c>
      <c r="S254" s="103" t="inlineStr">
        <is>
          <t xml:space="preserve"> </t>
        </is>
      </c>
      <c r="T254" t="inlineStr">
        <is>
          <t>No se encontró ejecución en PIIP</t>
        </is>
      </c>
      <c r="U254" t="inlineStr">
        <is>
          <t xml:space="preserve"> </t>
        </is>
      </c>
      <c r="V254" s="104" t="inlineStr">
        <is>
          <t xml:space="preserve"> </t>
        </is>
      </c>
      <c r="W254" t="inlineStr">
        <is>
          <t>No se encontró ejecución en PIIP</t>
        </is>
      </c>
    </row>
    <row r="255">
      <c r="A255" t="inlineStr">
        <is>
          <t>IP-265</t>
        </is>
      </c>
      <c r="B255" t="inlineStr">
        <is>
          <t>45</t>
        </is>
      </c>
      <c r="C255" t="inlineStr">
        <is>
          <t>Gobierno Territorial</t>
        </is>
      </c>
      <c r="D255" t="inlineStr">
        <is>
          <t>4599</t>
        </is>
      </c>
      <c r="E255" t="inlineStr">
        <is>
          <t>Fortalecimiento a la gestión y dirección de la administración pública territorial</t>
        </is>
      </c>
      <c r="F255" t="inlineStr">
        <is>
          <t>4599023</t>
        </is>
      </c>
      <c r="G255" t="inlineStr">
        <is>
          <t>Servicio de Implementación Sistemas de Gestión</t>
        </is>
      </c>
      <c r="H255" t="inlineStr">
        <is>
          <t>459902300</t>
        </is>
      </c>
      <c r="I255" t="inlineStr">
        <is>
          <t>Sistema de Gestión implementado</t>
        </is>
      </c>
      <c r="J255" t="inlineStr">
        <is>
          <t>2024251260002</t>
        </is>
      </c>
      <c r="K255" t="inlineStr">
        <is>
          <t>No</t>
        </is>
      </c>
      <c r="L255" t="inlineStr">
        <is>
          <t>Número</t>
        </is>
      </c>
      <c r="M255">
        <v>1</v>
      </c>
      <c r="N255">
        <v>1</v>
      </c>
      <c r="O255">
        <v>1</v>
      </c>
      <c r="P255">
        <v>1</v>
      </c>
      <c r="Q255">
        <v>1</v>
      </c>
      <c r="R255">
        <v>1</v>
      </c>
      <c r="S255" s="103">
        <v>1</v>
      </c>
      <c r="T255" t="inlineStr">
        <is>
          <t>Se ejecutó el 100% de lo programado en la vigencia</t>
        </is>
      </c>
      <c r="U255">
        <v>0.5</v>
      </c>
      <c r="V255" s="104">
        <v>0.5</v>
      </c>
      <c r="W255" t="inlineStr">
        <is>
          <t>Lo ejecutado está por debajo de lo programado en la vigencia</t>
        </is>
      </c>
    </row>
    <row r="256">
      <c r="A256" t="inlineStr">
        <is>
          <t>IP-266</t>
        </is>
      </c>
      <c r="B256" t="inlineStr">
        <is>
          <t>45</t>
        </is>
      </c>
      <c r="C256" t="inlineStr">
        <is>
          <t>Gobierno Territorial</t>
        </is>
      </c>
      <c r="D256" t="inlineStr">
        <is>
          <t>4599</t>
        </is>
      </c>
      <c r="E256" t="inlineStr">
        <is>
          <t>Fortalecimiento a la gestión y dirección de la administración pública territorial</t>
        </is>
      </c>
      <c r="F256" t="inlineStr">
        <is>
          <t>4599019</t>
        </is>
      </c>
      <c r="G256" t="inlineStr">
        <is>
          <t>Documentos de planeación</t>
        </is>
      </c>
      <c r="H256" t="inlineStr">
        <is>
          <t>459901900</t>
        </is>
      </c>
      <c r="I256" t="inlineStr">
        <is>
          <t>Documentos de planeación realizados</t>
        </is>
      </c>
      <c r="J256" t="inlineStr">
        <is>
          <t>2024251260002</t>
        </is>
      </c>
      <c r="K256" t="inlineStr">
        <is>
          <t>Si</t>
        </is>
      </c>
      <c r="L256" t="inlineStr">
        <is>
          <t>Número</t>
        </is>
      </c>
      <c r="M256">
        <v>1</v>
      </c>
      <c r="N256">
        <v>1</v>
      </c>
      <c r="O256">
        <v>0</v>
      </c>
      <c r="P256">
        <v>0</v>
      </c>
      <c r="Q256">
        <v>0</v>
      </c>
      <c r="R256">
        <v>1.1</v>
      </c>
      <c r="S256" s="103">
        <v>1.1</v>
      </c>
      <c r="T256" t="inlineStr">
        <is>
          <t>Hubo ejecución por encima de lo programado en SisPT</t>
        </is>
      </c>
      <c r="U256">
        <v>0.5</v>
      </c>
      <c r="V256" s="104" t="inlineStr">
        <is>
          <t xml:space="preserve"> </t>
        </is>
      </c>
      <c r="W256" t="inlineStr">
        <is>
          <t>Se ejecutó un producto no programado en la vigencia</t>
        </is>
      </c>
    </row>
    <row r="257">
      <c r="A257" t="inlineStr">
        <is>
          <t>IP-267</t>
        </is>
      </c>
      <c r="B257" t="inlineStr">
        <is>
          <t>45</t>
        </is>
      </c>
      <c r="C257" t="inlineStr">
        <is>
          <t>Gobierno Territorial</t>
        </is>
      </c>
      <c r="D257" t="inlineStr">
        <is>
          <t>4599</t>
        </is>
      </c>
      <c r="E257" t="inlineStr">
        <is>
          <t>Fortalecimiento a la gestión y dirección de la administración pública territorial</t>
        </is>
      </c>
      <c r="F257" t="inlineStr">
        <is>
          <t>4599031</t>
        </is>
      </c>
      <c r="G257" t="inlineStr">
        <is>
          <t>Servicio de asistencia técnica</t>
        </is>
      </c>
      <c r="H257" t="inlineStr">
        <is>
          <t>459903104</t>
        </is>
      </c>
      <c r="I257" t="inlineStr">
        <is>
          <t>Proyectos asistidos técnicamente</t>
        </is>
      </c>
      <c r="J257" t="inlineStr">
        <is>
          <t>2024251260002</t>
        </is>
      </c>
      <c r="K257" t="inlineStr">
        <is>
          <t>No</t>
        </is>
      </c>
      <c r="L257" t="inlineStr">
        <is>
          <t>Número</t>
        </is>
      </c>
      <c r="M257">
        <v>100</v>
      </c>
      <c r="N257">
        <v>100</v>
      </c>
      <c r="O257">
        <v>100</v>
      </c>
      <c r="P257">
        <v>100</v>
      </c>
      <c r="Q257">
        <v>100</v>
      </c>
      <c r="R257" t="inlineStr">
        <is>
          <t xml:space="preserve"> </t>
        </is>
      </c>
      <c r="S257" s="103" t="inlineStr">
        <is>
          <t xml:space="preserve"> </t>
        </is>
      </c>
      <c r="T257" t="inlineStr">
        <is>
          <t>No se encontró ejecución en PIIP</t>
        </is>
      </c>
      <c r="U257" t="inlineStr">
        <is>
          <t xml:space="preserve"> </t>
        </is>
      </c>
      <c r="V257" s="104" t="inlineStr">
        <is>
          <t xml:space="preserve"> </t>
        </is>
      </c>
      <c r="W257" t="inlineStr">
        <is>
          <t>No se encontró ejecución en PIIP</t>
        </is>
      </c>
    </row>
    <row r="258">
      <c r="A258" t="inlineStr">
        <is>
          <t>IP-268</t>
        </is>
      </c>
      <c r="B258" t="inlineStr">
        <is>
          <t>45</t>
        </is>
      </c>
      <c r="C258" t="inlineStr">
        <is>
          <t>Gobierno Territorial</t>
        </is>
      </c>
      <c r="D258" t="inlineStr">
        <is>
          <t>4599</t>
        </is>
      </c>
      <c r="E258" t="inlineStr">
        <is>
          <t>Fortalecimiento a la gestión y dirección de la administración pública territorial</t>
        </is>
      </c>
      <c r="F258" t="inlineStr">
        <is>
          <t>4599023</t>
        </is>
      </c>
      <c r="G258" t="inlineStr">
        <is>
          <t>Servicio de Implementación Sistemas de Gestión</t>
        </is>
      </c>
      <c r="H258" t="inlineStr">
        <is>
          <t>459902303</t>
        </is>
      </c>
      <c r="I258" t="inlineStr">
        <is>
          <t>Sistema de Gestión certificado</t>
        </is>
      </c>
      <c r="J258" t="inlineStr">
        <is>
          <t>2024251260002</t>
        </is>
      </c>
      <c r="K258" t="inlineStr">
        <is>
          <t>No</t>
        </is>
      </c>
      <c r="L258" t="inlineStr">
        <is>
          <t>Número</t>
        </is>
      </c>
      <c r="M258">
        <v>1</v>
      </c>
      <c r="N258">
        <v>1</v>
      </c>
      <c r="O258">
        <v>1</v>
      </c>
      <c r="P258">
        <v>1</v>
      </c>
      <c r="Q258">
        <v>1</v>
      </c>
      <c r="R258" t="inlineStr">
        <is>
          <t xml:space="preserve"> </t>
        </is>
      </c>
      <c r="S258" s="103" t="inlineStr">
        <is>
          <t xml:space="preserve"> </t>
        </is>
      </c>
      <c r="T258" t="inlineStr">
        <is>
          <t>No se encontró ejecución en PIIP</t>
        </is>
      </c>
      <c r="U258" t="inlineStr">
        <is>
          <t xml:space="preserve"> </t>
        </is>
      </c>
      <c r="V258" s="104" t="inlineStr">
        <is>
          <t xml:space="preserve"> </t>
        </is>
      </c>
      <c r="W258" t="inlineStr">
        <is>
          <t>No se encontró ejecución en PIIP</t>
        </is>
      </c>
    </row>
    <row r="259">
      <c r="A259" t="inlineStr">
        <is>
          <t>IP-269</t>
        </is>
      </c>
      <c r="B259" t="inlineStr">
        <is>
          <t>45</t>
        </is>
      </c>
      <c r="C259" t="inlineStr">
        <is>
          <t>Gobierno Territorial</t>
        </is>
      </c>
      <c r="D259" t="inlineStr">
        <is>
          <t>4599</t>
        </is>
      </c>
      <c r="E259" t="inlineStr">
        <is>
          <t>Fortalecimiento a la gestión y dirección de la administración pública territorial</t>
        </is>
      </c>
      <c r="F259" t="inlineStr">
        <is>
          <t>4599020</t>
        </is>
      </c>
      <c r="G259" t="inlineStr">
        <is>
          <t>Documentos metodológicos</t>
        </is>
      </c>
      <c r="H259" t="inlineStr">
        <is>
          <t>459902000</t>
        </is>
      </c>
      <c r="I259" t="inlineStr">
        <is>
          <t>Documentos metodológicos realizados</t>
        </is>
      </c>
      <c r="J259" t="inlineStr">
        <is>
          <t>2024251260002</t>
        </is>
      </c>
      <c r="K259" t="inlineStr">
        <is>
          <t>No</t>
        </is>
      </c>
      <c r="L259" t="inlineStr">
        <is>
          <t>Número</t>
        </is>
      </c>
      <c r="M259">
        <v>1</v>
      </c>
      <c r="N259">
        <v>1</v>
      </c>
      <c r="O259">
        <v>1</v>
      </c>
      <c r="P259">
        <v>1</v>
      </c>
      <c r="Q259">
        <v>1</v>
      </c>
      <c r="R259">
        <v>1</v>
      </c>
      <c r="S259" s="103">
        <v>1</v>
      </c>
      <c r="T259" t="inlineStr">
        <is>
          <t>Se ejecutó el 100% de lo programado en la vigencia</t>
        </is>
      </c>
      <c r="U259">
        <v>0.5</v>
      </c>
      <c r="V259" s="104">
        <v>0.5</v>
      </c>
      <c r="W259" t="inlineStr">
        <is>
          <t>Lo ejecutado está por debajo de lo programado en la vigencia</t>
        </is>
      </c>
    </row>
    <row r="260">
      <c r="A260" t="inlineStr">
        <is>
          <t>IP-270</t>
        </is>
      </c>
      <c r="B260" t="inlineStr">
        <is>
          <t>45</t>
        </is>
      </c>
      <c r="C260" t="inlineStr">
        <is>
          <t>Gobierno Territorial</t>
        </is>
      </c>
      <c r="D260" t="inlineStr">
        <is>
          <t>4599</t>
        </is>
      </c>
      <c r="E260" t="inlineStr">
        <is>
          <t>Fortalecimiento a la gestión y dirección de la administración pública territorial</t>
        </is>
      </c>
      <c r="F260" t="inlineStr">
        <is>
          <t>4599033</t>
        </is>
      </c>
      <c r="G260" t="inlineStr">
        <is>
          <t>Servicio de información para el registro administrativo de SISBEN</t>
        </is>
      </c>
      <c r="H260" t="inlineStr">
        <is>
          <t>459903300</t>
        </is>
      </c>
      <c r="I260" t="inlineStr">
        <is>
          <t>Hogares que realizaron la encuesta</t>
        </is>
      </c>
      <c r="J260" t="inlineStr">
        <is>
          <t>2024251260002</t>
        </is>
      </c>
      <c r="K260" t="inlineStr">
        <is>
          <t>No</t>
        </is>
      </c>
      <c r="L260" t="inlineStr">
        <is>
          <t>Número</t>
        </is>
      </c>
      <c r="M260">
        <v>100</v>
      </c>
      <c r="N260">
        <v>100</v>
      </c>
      <c r="O260">
        <v>100</v>
      </c>
      <c r="P260">
        <v>100</v>
      </c>
      <c r="Q260">
        <v>100</v>
      </c>
      <c r="R260">
        <v>100.381</v>
      </c>
      <c r="S260" s="103">
        <v>1.00381</v>
      </c>
      <c r="T260" t="inlineStr">
        <is>
          <t>Hubo ejecución por encima de lo programado en SisPT</t>
        </is>
      </c>
      <c r="U260">
        <v>50</v>
      </c>
      <c r="V260" s="104">
        <v>0.5</v>
      </c>
      <c r="W260" t="inlineStr">
        <is>
          <t>Lo ejecutado está por debajo de lo programado en la vigencia</t>
        </is>
      </c>
    </row>
    <row r="261">
      <c r="A261" t="inlineStr">
        <is>
          <t>IP-271</t>
        </is>
      </c>
      <c r="B261" t="inlineStr">
        <is>
          <t>45</t>
        </is>
      </c>
      <c r="C261" t="inlineStr">
        <is>
          <t>Gobierno Territorial</t>
        </is>
      </c>
      <c r="D261" t="inlineStr">
        <is>
          <t>4503</t>
        </is>
      </c>
      <c r="E261" t="inlineStr">
        <is>
          <t>Gestión del riesgo de desastres y emergencias</t>
        </is>
      </c>
      <c r="F261" t="inlineStr">
        <is>
          <t>4503023</t>
        </is>
      </c>
      <c r="G261" t="inlineStr">
        <is>
          <t>Documentos de planeación</t>
        </is>
      </c>
      <c r="H261" t="inlineStr">
        <is>
          <t>450302301</t>
        </is>
      </c>
      <c r="I261" t="inlineStr">
        <is>
          <t>Plan de gestión del riesgo de desastres formulado</t>
        </is>
      </c>
      <c r="J261" t="inlineStr">
        <is>
          <t>2024251260058</t>
        </is>
      </c>
      <c r="K261" t="inlineStr">
        <is>
          <t>No</t>
        </is>
      </c>
      <c r="L261" t="inlineStr">
        <is>
          <t>Número</t>
        </is>
      </c>
      <c r="M261">
        <v>100</v>
      </c>
      <c r="N261">
        <v>100</v>
      </c>
      <c r="O261">
        <v>100</v>
      </c>
      <c r="P261">
        <v>100</v>
      </c>
      <c r="Q261">
        <v>100</v>
      </c>
      <c r="R261">
        <v>1</v>
      </c>
      <c r="S261" s="103">
        <v>0.01</v>
      </c>
      <c r="T261" t="inlineStr">
        <is>
          <t>Lo ejecutado está por debajo de lo programado en la vigencia</t>
        </is>
      </c>
      <c r="U261">
        <v>0.7</v>
      </c>
      <c r="V261" s="104">
        <v>0.007</v>
      </c>
      <c r="W261" t="inlineStr">
        <is>
          <t>Lo ejecutado está por debajo de lo programado en la vigencia</t>
        </is>
      </c>
    </row>
    <row r="262">
      <c r="A262" t="inlineStr">
        <is>
          <t>IP-272</t>
        </is>
      </c>
      <c r="B262" t="inlineStr">
        <is>
          <t>45</t>
        </is>
      </c>
      <c r="C262" t="inlineStr">
        <is>
          <t>Gobierno Territorial</t>
        </is>
      </c>
      <c r="D262" t="inlineStr">
        <is>
          <t>4503</t>
        </is>
      </c>
      <c r="E262" t="inlineStr">
        <is>
          <t>Gestión del riesgo de desastres y emergencias</t>
        </is>
      </c>
      <c r="F262" t="inlineStr">
        <is>
          <t>4503017</t>
        </is>
      </c>
      <c r="G262" t="inlineStr">
        <is>
          <t>Estudios de riesgo de desastres</t>
        </is>
      </c>
      <c r="H262" t="inlineStr">
        <is>
          <t>450301700</t>
        </is>
      </c>
      <c r="I262" t="inlineStr">
        <is>
          <t>Estudios de riesgo de desastres elaborados</t>
        </is>
      </c>
      <c r="J262" t="inlineStr">
        <is>
          <t>2024251260058</t>
        </is>
      </c>
      <c r="K262" t="inlineStr">
        <is>
          <t>No</t>
        </is>
      </c>
      <c r="L262" t="inlineStr">
        <is>
          <t>Número</t>
        </is>
      </c>
      <c r="M262">
        <v>1</v>
      </c>
      <c r="N262">
        <v>1</v>
      </c>
      <c r="O262">
        <v>1</v>
      </c>
      <c r="P262">
        <v>1</v>
      </c>
      <c r="Q262">
        <v>1</v>
      </c>
      <c r="R262">
        <v>0</v>
      </c>
      <c r="S262" s="103">
        <v>0</v>
      </c>
      <c r="T262" t="inlineStr">
        <is>
          <t>No se ejecutó en la vigencia</t>
        </is>
      </c>
      <c r="U262">
        <v>0.062</v>
      </c>
      <c r="V262" s="104">
        <v>0.062</v>
      </c>
      <c r="W262" t="inlineStr">
        <is>
          <t>Lo ejecutado está por debajo de lo programado en la vigencia</t>
        </is>
      </c>
    </row>
    <row r="263">
      <c r="A263" t="inlineStr">
        <is>
          <t>IP-273</t>
        </is>
      </c>
      <c r="B263" t="inlineStr">
        <is>
          <t>45</t>
        </is>
      </c>
      <c r="C263" t="inlineStr">
        <is>
          <t>Gobierno Territorial</t>
        </is>
      </c>
      <c r="D263" t="inlineStr">
        <is>
          <t>4503</t>
        </is>
      </c>
      <c r="E263" t="inlineStr">
        <is>
          <t>Gestión del riesgo de desastres y emergencias</t>
        </is>
      </c>
      <c r="F263" t="inlineStr">
        <is>
          <t>4503002</t>
        </is>
      </c>
      <c r="G263" t="inlineStr">
        <is>
          <t>Servicio de educación informal</t>
        </is>
      </c>
      <c r="H263" t="inlineStr">
        <is>
          <t>450300201</t>
        </is>
      </c>
      <c r="I263" t="inlineStr">
        <is>
          <t>Campañas de educación para la prevención y atención de desastres desarrolladas</t>
        </is>
      </c>
      <c r="J263" t="inlineStr">
        <is>
          <t>2024251260058</t>
        </is>
      </c>
      <c r="K263" t="inlineStr">
        <is>
          <t>No</t>
        </is>
      </c>
      <c r="L263" t="inlineStr">
        <is>
          <t>Número</t>
        </is>
      </c>
      <c r="M263">
        <v>1</v>
      </c>
      <c r="N263">
        <v>1</v>
      </c>
      <c r="O263">
        <v>1</v>
      </c>
      <c r="P263">
        <v>1</v>
      </c>
      <c r="Q263">
        <v>1</v>
      </c>
      <c r="R263">
        <v>1650</v>
      </c>
      <c r="S263" s="103">
        <v>1650</v>
      </c>
      <c r="T263" t="inlineStr">
        <is>
          <t>Hubo ejecución por encima de lo programado en SisPT</t>
        </is>
      </c>
      <c r="U263">
        <v>1931</v>
      </c>
      <c r="V263" s="104">
        <v>1931</v>
      </c>
      <c r="W263" t="inlineStr">
        <is>
          <t>Hubo ejecución por encima de lo programado en SisPT</t>
        </is>
      </c>
    </row>
    <row r="264">
      <c r="A264" t="inlineStr">
        <is>
          <t>IP-274</t>
        </is>
      </c>
      <c r="B264" t="inlineStr">
        <is>
          <t>45</t>
        </is>
      </c>
      <c r="C264" t="inlineStr">
        <is>
          <t>Gobierno Territorial</t>
        </is>
      </c>
      <c r="D264" t="inlineStr">
        <is>
          <t>4503</t>
        </is>
      </c>
      <c r="E264" t="inlineStr">
        <is>
          <t>Gestión del riesgo de desastres y emergencias</t>
        </is>
      </c>
      <c r="F264" t="inlineStr">
        <is>
          <t>4503031</t>
        </is>
      </c>
      <c r="G264" t="inlineStr">
        <is>
          <t>Documentos de lineamientos técnicos</t>
        </is>
      </c>
      <c r="H264" t="inlineStr">
        <is>
          <t>450303100</t>
        </is>
      </c>
      <c r="I264" t="inlineStr">
        <is>
          <t>Documentos de lineamientos técnicos realizados</t>
        </is>
      </c>
      <c r="J264" t="inlineStr">
        <is>
          <t>2024251260058</t>
        </is>
      </c>
      <c r="K264" t="inlineStr">
        <is>
          <t>No</t>
        </is>
      </c>
      <c r="L264" t="inlineStr">
        <is>
          <t>Número</t>
        </is>
      </c>
      <c r="M264">
        <v>1</v>
      </c>
      <c r="N264">
        <v>1</v>
      </c>
      <c r="O264">
        <v>1</v>
      </c>
      <c r="P264">
        <v>1</v>
      </c>
      <c r="Q264">
        <v>1</v>
      </c>
      <c r="R264">
        <v>0.25</v>
      </c>
      <c r="S264" s="103">
        <v>0.25</v>
      </c>
      <c r="T264" t="inlineStr">
        <is>
          <t>Lo ejecutado está por debajo de lo programado en la vigencia</t>
        </is>
      </c>
      <c r="U264">
        <v>0.13</v>
      </c>
      <c r="V264" s="104">
        <v>0.13</v>
      </c>
      <c r="W264" t="inlineStr">
        <is>
          <t>Lo ejecutado está por debajo de lo programado en la vigencia</t>
        </is>
      </c>
    </row>
    <row r="265">
      <c r="A265" t="inlineStr">
        <is>
          <t>IP-275</t>
        </is>
      </c>
      <c r="B265" t="inlineStr">
        <is>
          <t>45</t>
        </is>
      </c>
      <c r="C265" t="inlineStr">
        <is>
          <t>Gobierno Territorial</t>
        </is>
      </c>
      <c r="D265" t="inlineStr">
        <is>
          <t>4503</t>
        </is>
      </c>
      <c r="E265" t="inlineStr">
        <is>
          <t>Gestión del riesgo de desastres y emergencias</t>
        </is>
      </c>
      <c r="F265" t="inlineStr">
        <is>
          <t>4503004</t>
        </is>
      </c>
      <c r="G265" t="inlineStr">
        <is>
          <t>Servicio de atención a emergencias y desastres</t>
        </is>
      </c>
      <c r="H265" t="inlineStr">
        <is>
          <t>450300401</t>
        </is>
      </c>
      <c r="I265" t="inlineStr">
        <is>
          <t>Organismos de atención de emergencias equipados</t>
        </is>
      </c>
      <c r="J265" t="inlineStr">
        <is>
          <t>2024251260058</t>
        </is>
      </c>
      <c r="K265" t="inlineStr">
        <is>
          <t>Si</t>
        </is>
      </c>
      <c r="L265" t="inlineStr">
        <is>
          <t>Número</t>
        </is>
      </c>
      <c r="M265">
        <v>100</v>
      </c>
      <c r="N265">
        <v>1</v>
      </c>
      <c r="O265">
        <v>1</v>
      </c>
      <c r="P265">
        <v>1</v>
      </c>
      <c r="Q265">
        <v>1</v>
      </c>
      <c r="R265">
        <v>0.25</v>
      </c>
      <c r="S265" s="103">
        <v>0.25</v>
      </c>
      <c r="T265" t="inlineStr">
        <is>
          <t>Lo ejecutado está por debajo de lo programado en la vigencia</t>
        </is>
      </c>
      <c r="U265">
        <v>0.167</v>
      </c>
      <c r="V265" s="104">
        <v>0.167</v>
      </c>
      <c r="W265" t="inlineStr">
        <is>
          <t>Lo ejecutado está por debajo de lo programado en la vigencia</t>
        </is>
      </c>
    </row>
    <row r="266">
      <c r="A266" t="inlineStr">
        <is>
          <t>IP-276</t>
        </is>
      </c>
      <c r="B266" t="inlineStr">
        <is>
          <t>45</t>
        </is>
      </c>
      <c r="C266" t="inlineStr">
        <is>
          <t>Gobierno Territorial</t>
        </is>
      </c>
      <c r="D266" t="inlineStr">
        <is>
          <t>4503</t>
        </is>
      </c>
      <c r="E266" t="inlineStr">
        <is>
          <t>Gestión del riesgo de desastres y emergencias</t>
        </is>
      </c>
      <c r="F266" t="inlineStr">
        <is>
          <t>4503032</t>
        </is>
      </c>
      <c r="G266" t="inlineStr">
        <is>
          <t>Servicio de información actualizado</t>
        </is>
      </c>
      <c r="H266" t="inlineStr">
        <is>
          <t>450303200</t>
        </is>
      </c>
      <c r="I266" t="inlineStr">
        <is>
          <t>Sistemas de información actualizados</t>
        </is>
      </c>
      <c r="J266" t="inlineStr">
        <is>
          <t>2024251260058</t>
        </is>
      </c>
      <c r="K266" t="inlineStr">
        <is>
          <t>No</t>
        </is>
      </c>
      <c r="L266" t="inlineStr">
        <is>
          <t>Número</t>
        </is>
      </c>
      <c r="M266">
        <v>1</v>
      </c>
      <c r="N266">
        <v>0</v>
      </c>
      <c r="O266">
        <v>1</v>
      </c>
      <c r="P266">
        <v>0</v>
      </c>
      <c r="Q266">
        <v>0</v>
      </c>
      <c r="R266">
        <v>0</v>
      </c>
      <c r="S266" s="103" t="inlineStr">
        <is>
          <t xml:space="preserve"> </t>
        </is>
      </c>
      <c r="T266" t="inlineStr">
        <is>
          <t>No se programó ni ejecutó en la vigencia</t>
        </is>
      </c>
      <c r="U266" t="inlineStr">
        <is>
          <t xml:space="preserve"> </t>
        </is>
      </c>
      <c r="V266" s="104" t="inlineStr">
        <is>
          <t xml:space="preserve"> </t>
        </is>
      </c>
      <c r="W266" t="inlineStr">
        <is>
          <t>No se encontró ejecución en PIIP</t>
        </is>
      </c>
    </row>
    <row r="267">
      <c r="A267" t="inlineStr">
        <is>
          <t>IP-277</t>
        </is>
      </c>
      <c r="B267" t="inlineStr">
        <is>
          <t>45</t>
        </is>
      </c>
      <c r="C267" t="inlineStr">
        <is>
          <t>Gobierno Territorial</t>
        </is>
      </c>
      <c r="D267" t="inlineStr">
        <is>
          <t>4503</t>
        </is>
      </c>
      <c r="E267" t="inlineStr">
        <is>
          <t>Gestión del riesgo de desastres y emergencias</t>
        </is>
      </c>
      <c r="F267" t="inlineStr">
        <is>
          <t>4503023</t>
        </is>
      </c>
      <c r="G267" t="inlineStr">
        <is>
          <t>Documentos de planeación</t>
        </is>
      </c>
      <c r="H267" t="inlineStr">
        <is>
          <t>450302300</t>
        </is>
      </c>
      <c r="I267" t="inlineStr">
        <is>
          <t>Documentos de planeación elaborados</t>
        </is>
      </c>
      <c r="J267" t="inlineStr">
        <is>
          <t>2024251260058</t>
        </is>
      </c>
      <c r="K267" t="inlineStr">
        <is>
          <t>Si</t>
        </is>
      </c>
      <c r="L267" t="inlineStr">
        <is>
          <t>Número</t>
        </is>
      </c>
      <c r="M267">
        <v>1</v>
      </c>
      <c r="N267">
        <v>1</v>
      </c>
      <c r="O267">
        <v>1</v>
      </c>
      <c r="P267">
        <v>1</v>
      </c>
      <c r="Q267">
        <v>1</v>
      </c>
      <c r="R267">
        <v>0.5</v>
      </c>
      <c r="S267" s="103">
        <v>0.5</v>
      </c>
      <c r="T267" t="inlineStr">
        <is>
          <t>Lo ejecutado está por debajo de lo programado en la vigencia</t>
        </is>
      </c>
      <c r="U267">
        <v>0.082</v>
      </c>
      <c r="V267" s="104">
        <v>0.082</v>
      </c>
      <c r="W267" t="inlineStr">
        <is>
          <t>Lo ejecutado está por debajo de lo programado en la vigencia</t>
        </is>
      </c>
    </row>
    <row r="268">
      <c r="A268" t="inlineStr">
        <is>
          <t>IP-278</t>
        </is>
      </c>
      <c r="B268" t="inlineStr">
        <is>
          <t>45</t>
        </is>
      </c>
      <c r="C268" t="inlineStr">
        <is>
          <t>Gobierno Territorial</t>
        </is>
      </c>
      <c r="D268" t="inlineStr">
        <is>
          <t>4599</t>
        </is>
      </c>
      <c r="E268" t="inlineStr">
        <is>
          <t>Fortalecimiento a la gestión y dirección de la administración pública territorial</t>
        </is>
      </c>
      <c r="F268" t="inlineStr">
        <is>
          <t>4599020</t>
        </is>
      </c>
      <c r="G268" t="inlineStr">
        <is>
          <t>Documentos metodológicos</t>
        </is>
      </c>
      <c r="H268" t="inlineStr">
        <is>
          <t>459902000</t>
        </is>
      </c>
      <c r="I268" t="inlineStr">
        <is>
          <t>Documentos metodológicos realizados</t>
        </is>
      </c>
      <c r="J268" t="inlineStr">
        <is>
          <t>2024251260059</t>
        </is>
      </c>
      <c r="K268" t="inlineStr">
        <is>
          <t>No</t>
        </is>
      </c>
      <c r="L268" t="inlineStr">
        <is>
          <t>Número</t>
        </is>
      </c>
      <c r="M268">
        <v>1</v>
      </c>
      <c r="N268">
        <v>1</v>
      </c>
      <c r="O268">
        <v>1</v>
      </c>
      <c r="P268">
        <v>1</v>
      </c>
      <c r="Q268">
        <v>1</v>
      </c>
      <c r="R268">
        <v>1</v>
      </c>
      <c r="S268" s="103">
        <v>1</v>
      </c>
      <c r="T268" t="inlineStr">
        <is>
          <t>Se ejecutó el 100% de lo programado en la vigencia</t>
        </is>
      </c>
      <c r="U268">
        <v>76</v>
      </c>
      <c r="V268" s="104">
        <v>76</v>
      </c>
      <c r="W268" t="inlineStr">
        <is>
          <t>Hubo ejecución por encima de lo programado en SisPT</t>
        </is>
      </c>
    </row>
    <row r="269">
      <c r="A269" t="inlineStr">
        <is>
          <t>IP-279</t>
        </is>
      </c>
      <c r="B269" t="inlineStr">
        <is>
          <t>45</t>
        </is>
      </c>
      <c r="C269" t="inlineStr">
        <is>
          <t>Gobierno Territorial</t>
        </is>
      </c>
      <c r="D269" t="inlineStr">
        <is>
          <t>4599</t>
        </is>
      </c>
      <c r="E269" t="inlineStr">
        <is>
          <t>Fortalecimiento a la gestión y dirección de la administración pública territorial</t>
        </is>
      </c>
      <c r="F269" t="inlineStr">
        <is>
          <t>4599002</t>
        </is>
      </c>
      <c r="G269" t="inlineStr">
        <is>
          <t>Servicio de saneamiento fiscal y financiero</t>
        </is>
      </c>
      <c r="H269" t="inlineStr">
        <is>
          <t>459900201</t>
        </is>
      </c>
      <c r="I269" t="inlineStr">
        <is>
          <t>Estrategia para el mejoramiento del Índice de Desempeño Fiscal ejecutada</t>
        </is>
      </c>
      <c r="J269" t="inlineStr">
        <is>
          <t>2024251260059</t>
        </is>
      </c>
      <c r="K269" t="inlineStr">
        <is>
          <t>Si</t>
        </is>
      </c>
      <c r="L269" t="inlineStr">
        <is>
          <t>Número</t>
        </is>
      </c>
      <c r="M269">
        <v>1</v>
      </c>
      <c r="N269">
        <v>0</v>
      </c>
      <c r="O269">
        <v>1</v>
      </c>
      <c r="P269">
        <v>0</v>
      </c>
      <c r="Q269">
        <v>0</v>
      </c>
      <c r="R269" t="inlineStr">
        <is>
          <t xml:space="preserve"> </t>
        </is>
      </c>
      <c r="S269" s="103" t="inlineStr">
        <is>
          <t xml:space="preserve"> </t>
        </is>
      </c>
      <c r="T269" t="inlineStr">
        <is>
          <t>No se encontró ejecución en PIIP</t>
        </is>
      </c>
      <c r="U269" t="inlineStr">
        <is>
          <t xml:space="preserve"> </t>
        </is>
      </c>
      <c r="V269" s="104" t="inlineStr">
        <is>
          <t xml:space="preserve"> </t>
        </is>
      </c>
      <c r="W269" t="inlineStr">
        <is>
          <t>No se encontró ejecución en PIIP</t>
        </is>
      </c>
    </row>
    <row r="270">
      <c r="A270" t="inlineStr">
        <is>
          <t>IP-280</t>
        </is>
      </c>
      <c r="B270" t="inlineStr">
        <is>
          <t>45</t>
        </is>
      </c>
      <c r="C270" t="inlineStr">
        <is>
          <t>Gobierno Territorial</t>
        </is>
      </c>
      <c r="D270" t="inlineStr">
        <is>
          <t>4501</t>
        </is>
      </c>
      <c r="E270" t="inlineStr">
        <is>
          <t>Fortalecimiento de la convivencia y la seguridad ciudadana</t>
        </is>
      </c>
      <c r="F270" t="inlineStr">
        <is>
          <t>4501061</t>
        </is>
      </c>
      <c r="G270" t="inlineStr">
        <is>
          <t>Servicio de atención integral a la fauna</t>
        </is>
      </c>
      <c r="H270" t="inlineStr">
        <is>
          <t>450106100</t>
        </is>
      </c>
      <c r="I270" t="inlineStr">
        <is>
          <t>Animales atendidos</t>
        </is>
      </c>
      <c r="J270" t="inlineStr">
        <is>
          <t>2024251260016</t>
        </is>
      </c>
      <c r="K270" t="inlineStr">
        <is>
          <t>No</t>
        </is>
      </c>
      <c r="L270" t="inlineStr">
        <is>
          <t>Número</t>
        </is>
      </c>
      <c r="M270">
        <v>100</v>
      </c>
      <c r="N270">
        <v>100</v>
      </c>
      <c r="O270">
        <v>100</v>
      </c>
      <c r="P270">
        <v>100</v>
      </c>
      <c r="Q270">
        <v>100</v>
      </c>
      <c r="R270">
        <v>141</v>
      </c>
      <c r="S270" s="103">
        <v>1.41</v>
      </c>
      <c r="T270" t="inlineStr">
        <is>
          <t>Hubo ejecución por encima de lo programado en SisPT</t>
        </is>
      </c>
      <c r="U270">
        <v>9</v>
      </c>
      <c r="V270" s="104">
        <v>0.09</v>
      </c>
      <c r="W270" t="inlineStr">
        <is>
          <t>Lo ejecutado está por debajo de lo programado en la vigencia</t>
        </is>
      </c>
    </row>
    <row r="271">
      <c r="A271" t="inlineStr">
        <is>
          <t>IP-281</t>
        </is>
      </c>
      <c r="B271" t="inlineStr">
        <is>
          <t>45</t>
        </is>
      </c>
      <c r="C271" t="inlineStr">
        <is>
          <t>Gobierno Territorial</t>
        </is>
      </c>
      <c r="D271" t="inlineStr">
        <is>
          <t>4501</t>
        </is>
      </c>
      <c r="E271" t="inlineStr">
        <is>
          <t>Fortalecimiento de la convivencia y la seguridad ciudadana</t>
        </is>
      </c>
      <c r="F271" t="inlineStr">
        <is>
          <t>4501061</t>
        </is>
      </c>
      <c r="G271" t="inlineStr">
        <is>
          <t>Servicio de atención integral a la fauna</t>
        </is>
      </c>
      <c r="H271" t="inlineStr">
        <is>
          <t>450106105</t>
        </is>
      </c>
      <c r="I271" t="inlineStr">
        <is>
          <t>Animales atendidos por presunto maltrato</t>
        </is>
      </c>
      <c r="J271" t="inlineStr">
        <is>
          <t>2024251260016</t>
        </is>
      </c>
      <c r="K271" t="inlineStr">
        <is>
          <t>No</t>
        </is>
      </c>
      <c r="L271" t="inlineStr">
        <is>
          <t>Número</t>
        </is>
      </c>
      <c r="M271">
        <v>1</v>
      </c>
      <c r="N271">
        <v>1</v>
      </c>
      <c r="O271">
        <v>1</v>
      </c>
      <c r="P271">
        <v>1</v>
      </c>
      <c r="Q271">
        <v>1</v>
      </c>
      <c r="R271" t="inlineStr">
        <is>
          <t xml:space="preserve"> </t>
        </is>
      </c>
      <c r="S271" s="103" t="inlineStr">
        <is>
          <t xml:space="preserve"> </t>
        </is>
      </c>
      <c r="T271" t="inlineStr">
        <is>
          <t>No se encontró ejecución en PIIP</t>
        </is>
      </c>
      <c r="U271" t="inlineStr">
        <is>
          <t xml:space="preserve"> </t>
        </is>
      </c>
      <c r="V271" s="104" t="inlineStr">
        <is>
          <t xml:space="preserve"> </t>
        </is>
      </c>
      <c r="W271" t="inlineStr">
        <is>
          <t>No se encontró ejecución en PIIP</t>
        </is>
      </c>
    </row>
    <row r="272">
      <c r="A272" t="inlineStr">
        <is>
          <t>IP-282</t>
        </is>
      </c>
      <c r="B272" t="inlineStr">
        <is>
          <t>45</t>
        </is>
      </c>
      <c r="C272" t="inlineStr">
        <is>
          <t>Gobierno Territorial</t>
        </is>
      </c>
      <c r="D272" t="inlineStr">
        <is>
          <t>4501</t>
        </is>
      </c>
      <c r="E272" t="inlineStr">
        <is>
          <t>Fortalecimiento de la convivencia y la seguridad ciudadana</t>
        </is>
      </c>
      <c r="F272" t="inlineStr">
        <is>
          <t>4501059</t>
        </is>
      </c>
      <c r="G272" t="inlineStr">
        <is>
          <t>Infraestructura para el bienestar animal ampliada</t>
        </is>
      </c>
      <c r="H272" t="inlineStr">
        <is>
          <t>450105900</t>
        </is>
      </c>
      <c r="I272" t="inlineStr">
        <is>
          <t>Infraestructura para el bienestar animal ampliados</t>
        </is>
      </c>
      <c r="J272" t="inlineStr">
        <is>
          <t>2024251260016</t>
        </is>
      </c>
      <c r="K272" t="inlineStr">
        <is>
          <t>No</t>
        </is>
      </c>
      <c r="L272" t="inlineStr">
        <is>
          <t>Número</t>
        </is>
      </c>
      <c r="M272">
        <v>100</v>
      </c>
      <c r="N272">
        <v>100</v>
      </c>
      <c r="O272">
        <v>100</v>
      </c>
      <c r="P272">
        <v>100</v>
      </c>
      <c r="Q272">
        <v>100</v>
      </c>
      <c r="R272">
        <v>1</v>
      </c>
      <c r="S272" s="103">
        <v>0.01</v>
      </c>
      <c r="T272" t="inlineStr">
        <is>
          <t>Lo ejecutado está por debajo de lo programado en la vigencia</t>
        </is>
      </c>
      <c r="U272">
        <v>0.25</v>
      </c>
      <c r="V272" s="104">
        <v>0.0025</v>
      </c>
      <c r="W272" t="inlineStr">
        <is>
          <t>Lo ejecutado está por debajo de lo programado en la vigencia</t>
        </is>
      </c>
    </row>
    <row r="273">
      <c r="A273" t="inlineStr">
        <is>
          <t>IP-283</t>
        </is>
      </c>
      <c r="B273" t="inlineStr">
        <is>
          <t>45</t>
        </is>
      </c>
      <c r="C273" t="inlineStr">
        <is>
          <t>Gobierno Territorial</t>
        </is>
      </c>
      <c r="D273" t="inlineStr">
        <is>
          <t>4501</t>
        </is>
      </c>
      <c r="E273" t="inlineStr">
        <is>
          <t>Fortalecimiento de la convivencia y la seguridad ciudadana</t>
        </is>
      </c>
      <c r="F273" t="inlineStr">
        <is>
          <t>4501058</t>
        </is>
      </c>
      <c r="G273" t="inlineStr">
        <is>
          <t>Infraestructura para el bienestar animal construida y dotada</t>
        </is>
      </c>
      <c r="H273" t="inlineStr">
        <is>
          <t>450105802</t>
        </is>
      </c>
      <c r="I273" t="inlineStr">
        <is>
          <t>Infraestructura para el bienestar animal construida y dotada</t>
        </is>
      </c>
      <c r="J273" t="inlineStr">
        <is>
          <t>2024251260061</t>
        </is>
      </c>
      <c r="K273" t="inlineStr">
        <is>
          <t>Si</t>
        </is>
      </c>
      <c r="L273" t="inlineStr">
        <is>
          <t>Número</t>
        </is>
      </c>
      <c r="M273">
        <v>1</v>
      </c>
      <c r="N273">
        <v>0.1</v>
      </c>
      <c r="O273">
        <v>0.9</v>
      </c>
      <c r="P273">
        <v>0</v>
      </c>
      <c r="Q273">
        <v>0</v>
      </c>
      <c r="R273">
        <v>0.5</v>
      </c>
      <c r="S273" s="103">
        <v>5</v>
      </c>
      <c r="T273" t="inlineStr">
        <is>
          <t>Hubo ejecución por encima de lo programado en SisPT</t>
        </is>
      </c>
      <c r="U273">
        <v>0.0245</v>
      </c>
      <c r="V273" s="104">
        <v>0.0272222222222222</v>
      </c>
      <c r="W273" t="inlineStr">
        <is>
          <t>Lo ejecutado está por debajo de lo programado en la vigencia</t>
        </is>
      </c>
    </row>
    <row r="274">
      <c r="A274" t="inlineStr">
        <is>
          <t>IP-284</t>
        </is>
      </c>
      <c r="B274" t="inlineStr">
        <is>
          <t>45</t>
        </is>
      </c>
      <c r="C274" t="inlineStr">
        <is>
          <t>Gobierno Territorial</t>
        </is>
      </c>
      <c r="D274" t="inlineStr">
        <is>
          <t>4501</t>
        </is>
      </c>
      <c r="E274" t="inlineStr">
        <is>
          <t>Fortalecimiento de la convivencia y la seguridad ciudadana</t>
        </is>
      </c>
      <c r="F274" t="inlineStr">
        <is>
          <t>4501061</t>
        </is>
      </c>
      <c r="G274" t="inlineStr">
        <is>
          <t>Servicio de atención integral a la fauna</t>
        </is>
      </c>
      <c r="H274" t="inlineStr">
        <is>
          <t>450106102</t>
        </is>
      </c>
      <c r="I274" t="inlineStr">
        <is>
          <t>Animales atendidos por urgencias veterinarias</t>
        </is>
      </c>
      <c r="J274" t="inlineStr">
        <is>
          <t>2024251260016</t>
        </is>
      </c>
      <c r="K274" t="inlineStr">
        <is>
          <t>Si</t>
        </is>
      </c>
      <c r="L274" t="inlineStr">
        <is>
          <t>Número</t>
        </is>
      </c>
      <c r="M274">
        <v>1</v>
      </c>
      <c r="N274">
        <v>0</v>
      </c>
      <c r="O274">
        <v>1</v>
      </c>
      <c r="P274">
        <v>0</v>
      </c>
      <c r="Q274">
        <v>0</v>
      </c>
      <c r="R274" t="inlineStr">
        <is>
          <t xml:space="preserve"> </t>
        </is>
      </c>
      <c r="S274" s="103" t="inlineStr">
        <is>
          <t xml:space="preserve"> </t>
        </is>
      </c>
      <c r="T274" t="inlineStr">
        <is>
          <t>No se encontró ejecución en PIIP</t>
        </is>
      </c>
      <c r="U274" t="inlineStr">
        <is>
          <t xml:space="preserve"> </t>
        </is>
      </c>
      <c r="V274" s="104" t="inlineStr">
        <is>
          <t xml:space="preserve"> </t>
        </is>
      </c>
      <c r="W274" t="inlineStr">
        <is>
          <t>No se encontró ejecución en PIIP</t>
        </is>
      </c>
    </row>
    <row r="275">
      <c r="A275" t="inlineStr">
        <is>
          <t>IP-285</t>
        </is>
      </c>
      <c r="B275" t="inlineStr">
        <is>
          <t>45</t>
        </is>
      </c>
      <c r="C275" t="inlineStr">
        <is>
          <t>Gobierno Territorial</t>
        </is>
      </c>
      <c r="D275" t="inlineStr">
        <is>
          <t>4501</t>
        </is>
      </c>
      <c r="E275" t="inlineStr">
        <is>
          <t>Fortalecimiento de la convivencia y la seguridad ciudadana</t>
        </is>
      </c>
      <c r="F275" t="inlineStr">
        <is>
          <t>4501026</t>
        </is>
      </c>
      <c r="G275" t="inlineStr">
        <is>
          <t>Documentos Planeacion</t>
        </is>
      </c>
      <c r="H275" t="inlineStr">
        <is>
          <t>450102602</t>
        </is>
      </c>
      <c r="I275" t="inlineStr">
        <is>
          <t>Planes Integrales de Seguridad y Convivencia -PISCC con enfoque de género elaborados</t>
        </is>
      </c>
      <c r="J275" t="inlineStr">
        <is>
          <t>2024251260062</t>
        </is>
      </c>
      <c r="K275" t="inlineStr">
        <is>
          <t>No</t>
        </is>
      </c>
      <c r="L275" t="inlineStr">
        <is>
          <t>Número</t>
        </is>
      </c>
      <c r="M275">
        <v>100</v>
      </c>
      <c r="N275">
        <v>100</v>
      </c>
      <c r="O275">
        <v>100</v>
      </c>
      <c r="P275">
        <v>100</v>
      </c>
      <c r="Q275">
        <v>100</v>
      </c>
      <c r="R275" t="inlineStr">
        <is>
          <t xml:space="preserve"> </t>
        </is>
      </c>
      <c r="S275" s="103" t="inlineStr">
        <is>
          <t xml:space="preserve"> </t>
        </is>
      </c>
      <c r="T275" t="inlineStr">
        <is>
          <t>No se encontró ejecución en PIIP</t>
        </is>
      </c>
      <c r="U275" t="inlineStr">
        <is>
          <t xml:space="preserve"> </t>
        </is>
      </c>
      <c r="V275" s="104" t="inlineStr">
        <is>
          <t xml:space="preserve"> </t>
        </is>
      </c>
      <c r="W275" t="inlineStr">
        <is>
          <t>No se encontró ejecución en PIIP</t>
        </is>
      </c>
    </row>
    <row r="276">
      <c r="A276" t="inlineStr">
        <is>
          <t>IP-286</t>
        </is>
      </c>
      <c r="B276" t="inlineStr">
        <is>
          <t>45</t>
        </is>
      </c>
      <c r="C276" t="inlineStr">
        <is>
          <t>Gobierno Territorial</t>
        </is>
      </c>
      <c r="D276" t="inlineStr">
        <is>
          <t>4501</t>
        </is>
      </c>
      <c r="E276" t="inlineStr">
        <is>
          <t>Fortalecimiento de la convivencia y la seguridad ciudadana</t>
        </is>
      </c>
      <c r="F276" t="inlineStr">
        <is>
          <t>4501057</t>
        </is>
      </c>
      <c r="G276" t="inlineStr">
        <is>
          <t>Servicio de apoyo financiero para dotar a miembros de la fuerza publica</t>
        </is>
      </c>
      <c r="H276" t="inlineStr">
        <is>
          <t>450105700</t>
        </is>
      </c>
      <c r="I276" t="inlineStr">
        <is>
          <t>Miembros de la fuerza publica apoyados</t>
        </is>
      </c>
      <c r="J276" t="inlineStr">
        <is>
          <t>2024251260062</t>
        </is>
      </c>
      <c r="K276" t="inlineStr">
        <is>
          <t>No</t>
        </is>
      </c>
      <c r="L276" t="inlineStr">
        <is>
          <t>Número</t>
        </is>
      </c>
      <c r="M276">
        <v>1</v>
      </c>
      <c r="N276">
        <v>1</v>
      </c>
      <c r="O276">
        <v>1</v>
      </c>
      <c r="P276">
        <v>1</v>
      </c>
      <c r="Q276">
        <v>1</v>
      </c>
      <c r="R276">
        <v>100</v>
      </c>
      <c r="S276" s="103">
        <v>100</v>
      </c>
      <c r="T276" t="inlineStr">
        <is>
          <t>Hubo ejecución por encima de lo programado en SisPT</t>
        </is>
      </c>
      <c r="U276">
        <v>66.6666</v>
      </c>
      <c r="V276" s="104">
        <v>66.6666</v>
      </c>
      <c r="W276" t="inlineStr">
        <is>
          <t>Hubo ejecución por encima de lo programado en SisPT</t>
        </is>
      </c>
    </row>
    <row r="277">
      <c r="A277" t="inlineStr">
        <is>
          <t>IP-287</t>
        </is>
      </c>
      <c r="B277" t="inlineStr">
        <is>
          <t>45</t>
        </is>
      </c>
      <c r="C277" t="inlineStr">
        <is>
          <t>Gobierno Territorial</t>
        </is>
      </c>
      <c r="D277" t="inlineStr">
        <is>
          <t>4501</t>
        </is>
      </c>
      <c r="E277" t="inlineStr">
        <is>
          <t>Fortalecimiento de la convivencia y la seguridad ciudadana</t>
        </is>
      </c>
      <c r="F277" t="inlineStr">
        <is>
          <t>4501032</t>
        </is>
      </c>
      <c r="G277" t="inlineStr">
        <is>
          <t>Servicio de atención de seguridad y emergencias de los Centros de Información Estratégica Policía Seccional</t>
        </is>
      </c>
      <c r="H277" t="inlineStr">
        <is>
          <t>450103200</t>
        </is>
      </c>
      <c r="I277" t="inlineStr">
        <is>
          <t>Centros de Información Estratégica Policía Seccional instalados y dotados</t>
        </is>
      </c>
      <c r="J277" t="inlineStr">
        <is>
          <t>2024251260062</t>
        </is>
      </c>
      <c r="K277" t="inlineStr">
        <is>
          <t>No</t>
        </is>
      </c>
      <c r="L277" t="inlineStr">
        <is>
          <t>Número</t>
        </is>
      </c>
      <c r="M277">
        <v>1</v>
      </c>
      <c r="N277">
        <v>1</v>
      </c>
      <c r="O277">
        <v>1</v>
      </c>
      <c r="P277">
        <v>1</v>
      </c>
      <c r="Q277">
        <v>1</v>
      </c>
      <c r="R277">
        <v>0.5</v>
      </c>
      <c r="S277" s="103">
        <v>0.5</v>
      </c>
      <c r="T277" t="inlineStr">
        <is>
          <t>Lo ejecutado está por debajo de lo programado en la vigencia</t>
        </is>
      </c>
      <c r="U277">
        <v>0.636</v>
      </c>
      <c r="V277" s="104">
        <v>0.636</v>
      </c>
      <c r="W277" t="inlineStr">
        <is>
          <t>Lo ejecutado está por debajo de lo programado en la vigencia</t>
        </is>
      </c>
    </row>
    <row r="278">
      <c r="A278" t="inlineStr">
        <is>
          <t>IP-288</t>
        </is>
      </c>
      <c r="B278" t="inlineStr">
        <is>
          <t>45</t>
        </is>
      </c>
      <c r="C278" t="inlineStr">
        <is>
          <t>Gobierno Territorial</t>
        </is>
      </c>
      <c r="D278" t="inlineStr">
        <is>
          <t>4501</t>
        </is>
      </c>
      <c r="E278" t="inlineStr">
        <is>
          <t>Fortalecimiento de la convivencia y la seguridad ciudadana</t>
        </is>
      </c>
      <c r="F278" t="inlineStr">
        <is>
          <t>4501065</t>
        </is>
      </c>
      <c r="G278" t="inlineStr">
        <is>
          <t>Comandos  de policía construidas y dotadas</t>
        </is>
      </c>
      <c r="H278" t="inlineStr">
        <is>
          <t>450106500</t>
        </is>
      </c>
      <c r="I278" t="inlineStr">
        <is>
          <t>Comandos de policía construidos y dotadas</t>
        </is>
      </c>
      <c r="J278" t="inlineStr">
        <is>
          <t>2024251260063</t>
        </is>
      </c>
      <c r="K278" t="inlineStr">
        <is>
          <t>No</t>
        </is>
      </c>
      <c r="L278" t="inlineStr">
        <is>
          <t>Número</t>
        </is>
      </c>
      <c r="M278">
        <v>1</v>
      </c>
      <c r="N278">
        <v>0.1</v>
      </c>
      <c r="O278">
        <v>0.9</v>
      </c>
      <c r="P278">
        <v>0</v>
      </c>
      <c r="Q278">
        <v>0</v>
      </c>
      <c r="R278">
        <v>0</v>
      </c>
      <c r="S278" s="103">
        <v>0</v>
      </c>
      <c r="T278" t="inlineStr">
        <is>
          <t>No se ejecutó en la vigencia</t>
        </is>
      </c>
      <c r="U278" t="inlineStr">
        <is>
          <t xml:space="preserve"> </t>
        </is>
      </c>
      <c r="V278" s="104" t="inlineStr">
        <is>
          <t xml:space="preserve"> </t>
        </is>
      </c>
      <c r="W278" t="inlineStr">
        <is>
          <t>No se encontró ejecución en PIIP</t>
        </is>
      </c>
    </row>
    <row r="279">
      <c r="A279" t="inlineStr">
        <is>
          <t>IP-289</t>
        </is>
      </c>
      <c r="B279" t="inlineStr">
        <is>
          <t>45</t>
        </is>
      </c>
      <c r="C279" t="inlineStr">
        <is>
          <t>Gobierno Territorial</t>
        </is>
      </c>
      <c r="D279" t="inlineStr">
        <is>
          <t>4501</t>
        </is>
      </c>
      <c r="E279" t="inlineStr">
        <is>
          <t>Fortalecimiento de la convivencia y la seguridad ciudadana</t>
        </is>
      </c>
      <c r="F279" t="inlineStr">
        <is>
          <t>4501007</t>
        </is>
      </c>
      <c r="G279" t="inlineStr">
        <is>
          <t>Servicio información implementado</t>
        </is>
      </c>
      <c r="H279" t="inlineStr">
        <is>
          <t>450100701</t>
        </is>
      </c>
      <c r="I279" t="inlineStr">
        <is>
          <t>Módulos de Tecnologías de Información y Comunicaciones (TIC) implementados</t>
        </is>
      </c>
      <c r="J279" t="inlineStr">
        <is>
          <t>2024251260062</t>
        </is>
      </c>
      <c r="K279" t="inlineStr">
        <is>
          <t>No</t>
        </is>
      </c>
      <c r="L279" t="inlineStr">
        <is>
          <t>Número</t>
        </is>
      </c>
      <c r="M279">
        <v>1</v>
      </c>
      <c r="N279">
        <v>1</v>
      </c>
      <c r="O279">
        <v>1</v>
      </c>
      <c r="P279">
        <v>1</v>
      </c>
      <c r="Q279">
        <v>1</v>
      </c>
      <c r="R279" t="inlineStr">
        <is>
          <t xml:space="preserve"> </t>
        </is>
      </c>
      <c r="S279" s="103" t="inlineStr">
        <is>
          <t xml:space="preserve"> </t>
        </is>
      </c>
      <c r="T279" t="inlineStr">
        <is>
          <t>No se encontró ejecución en PIIP</t>
        </is>
      </c>
      <c r="U279" t="inlineStr">
        <is>
          <t xml:space="preserve"> </t>
        </is>
      </c>
      <c r="V279" s="104" t="inlineStr">
        <is>
          <t xml:space="preserve"> </t>
        </is>
      </c>
      <c r="W279" t="inlineStr">
        <is>
          <t>No se encontró ejecución en PIIP</t>
        </is>
      </c>
    </row>
    <row r="280">
      <c r="A280" t="inlineStr">
        <is>
          <t>IP-290, IP-291, IP-292, IP-293, IP-294</t>
        </is>
      </c>
      <c r="B280" t="inlineStr">
        <is>
          <t>45</t>
        </is>
      </c>
      <c r="C280" t="inlineStr">
        <is>
          <t>Gobierno Territorial</t>
        </is>
      </c>
      <c r="D280" t="inlineStr">
        <is>
          <t>4501</t>
        </is>
      </c>
      <c r="E280" t="inlineStr">
        <is>
          <t>Fortalecimiento de la convivencia y la seguridad ciudadana</t>
        </is>
      </c>
      <c r="F280" t="inlineStr">
        <is>
          <t>4501048</t>
        </is>
      </c>
      <c r="G280" t="inlineStr">
        <is>
          <t>Servicio de apoyo para el acceso a la justicia policiva</t>
        </is>
      </c>
      <c r="H280" t="inlineStr">
        <is>
          <t>450104800</t>
        </is>
      </c>
      <c r="I280" t="inlineStr">
        <is>
          <t>Estrategias implementadas</t>
        </is>
      </c>
      <c r="J280" t="inlineStr">
        <is>
          <t>2024251260062</t>
        </is>
      </c>
      <c r="K280" t="inlineStr">
        <is>
          <t>No</t>
        </is>
      </c>
      <c r="L280" t="inlineStr">
        <is>
          <t>Número</t>
        </is>
      </c>
      <c r="M280">
        <v>10</v>
      </c>
      <c r="N280">
        <v>10</v>
      </c>
      <c r="O280">
        <v>10</v>
      </c>
      <c r="P280">
        <v>10</v>
      </c>
      <c r="Q280">
        <v>10</v>
      </c>
      <c r="R280">
        <v>1</v>
      </c>
      <c r="S280" s="103">
        <v>0.1</v>
      </c>
      <c r="T280" t="inlineStr">
        <is>
          <t>Lo ejecutado está por debajo de lo programado en la vigencia</t>
        </is>
      </c>
      <c r="U280">
        <v>3.818</v>
      </c>
      <c r="V280" s="104">
        <v>0.3818</v>
      </c>
      <c r="W280" t="inlineStr">
        <is>
          <t>Lo ejecutado está por debajo de lo programado en la vigencia</t>
        </is>
      </c>
    </row>
    <row r="281">
      <c r="A281" t="inlineStr">
        <is>
          <t>IP-295</t>
        </is>
      </c>
      <c r="B281" t="inlineStr">
        <is>
          <t>45</t>
        </is>
      </c>
      <c r="C281" t="inlineStr">
        <is>
          <t>Gobierno Territorial</t>
        </is>
      </c>
      <c r="D281" t="inlineStr">
        <is>
          <t>4501</t>
        </is>
      </c>
      <c r="E281" t="inlineStr">
        <is>
          <t>Fortalecimiento de la convivencia y la seguridad ciudadana</t>
        </is>
      </c>
      <c r="F281" t="inlineStr">
        <is>
          <t>4501008</t>
        </is>
      </c>
      <c r="G281" t="inlineStr">
        <is>
          <t>Servicio de información actualizado</t>
        </is>
      </c>
      <c r="H281" t="inlineStr">
        <is>
          <t>450100800</t>
        </is>
      </c>
      <c r="I281" t="inlineStr">
        <is>
          <t>Sistemas de información actualizados</t>
        </is>
      </c>
      <c r="J281" t="inlineStr">
        <is>
          <t>2024251260062</t>
        </is>
      </c>
      <c r="K281" t="inlineStr">
        <is>
          <t>No</t>
        </is>
      </c>
      <c r="L281" t="inlineStr">
        <is>
          <t>Número</t>
        </is>
      </c>
      <c r="M281">
        <v>1</v>
      </c>
      <c r="N281">
        <v>1</v>
      </c>
      <c r="O281">
        <v>1</v>
      </c>
      <c r="P281">
        <v>1</v>
      </c>
      <c r="Q281">
        <v>1</v>
      </c>
      <c r="R281">
        <v>1</v>
      </c>
      <c r="S281" s="103">
        <v>1</v>
      </c>
      <c r="T281" t="inlineStr">
        <is>
          <t>Se ejecutó el 100% de lo programado en la vigencia</t>
        </is>
      </c>
      <c r="U281">
        <v>0.636</v>
      </c>
      <c r="V281" s="104">
        <v>0.636</v>
      </c>
      <c r="W281" t="inlineStr">
        <is>
          <t>Lo ejecutado está por debajo de lo programado en la vigencia</t>
        </is>
      </c>
    </row>
    <row r="282">
      <c r="A282" t="inlineStr">
        <is>
          <t>IP-296</t>
        </is>
      </c>
      <c r="B282" t="inlineStr">
        <is>
          <t>45</t>
        </is>
      </c>
      <c r="C282" t="inlineStr">
        <is>
          <t>Gobierno Territorial</t>
        </is>
      </c>
      <c r="D282" t="inlineStr">
        <is>
          <t>4501</t>
        </is>
      </c>
      <c r="E282" t="inlineStr">
        <is>
          <t>Fortalecimiento de la convivencia y la seguridad ciudadana</t>
        </is>
      </c>
      <c r="F282" t="inlineStr">
        <is>
          <t>4501026</t>
        </is>
      </c>
      <c r="G282" t="inlineStr">
        <is>
          <t>Documentos Planeacion</t>
        </is>
      </c>
      <c r="H282" t="inlineStr">
        <is>
          <t>450102601</t>
        </is>
      </c>
      <c r="I282" t="inlineStr">
        <is>
          <t>Documentos de planeación con seguimiento realizados</t>
        </is>
      </c>
      <c r="J282" t="inlineStr">
        <is>
          <t/>
        </is>
      </c>
      <c r="K282" t="inlineStr">
        <is>
          <t>No</t>
        </is>
      </c>
      <c r="L282" t="inlineStr">
        <is>
          <t>Número</t>
        </is>
      </c>
      <c r="M282">
        <v>100</v>
      </c>
      <c r="N282">
        <v>100</v>
      </c>
      <c r="O282">
        <v>100</v>
      </c>
      <c r="P282">
        <v>100</v>
      </c>
      <c r="Q282">
        <v>100</v>
      </c>
      <c r="R282" t="inlineStr">
        <is>
          <t xml:space="preserve"> </t>
        </is>
      </c>
      <c r="S282" s="103" t="inlineStr">
        <is>
          <t xml:space="preserve"> </t>
        </is>
      </c>
      <c r="T282" t="inlineStr">
        <is>
          <t>Por falta de código BPIN, no se encontró ejecución en PIIP</t>
        </is>
      </c>
      <c r="U282" t="inlineStr">
        <is>
          <t xml:space="preserve"> </t>
        </is>
      </c>
      <c r="V282" s="104" t="inlineStr">
        <is>
          <t xml:space="preserve"> </t>
        </is>
      </c>
      <c r="W282" t="inlineStr">
        <is>
          <t>Por falta de código BPIN, no se encontró ejecución en PIIP</t>
        </is>
      </c>
    </row>
    <row r="283">
      <c r="A283" t="inlineStr">
        <is>
          <t>IP-297</t>
        </is>
      </c>
      <c r="B283" t="inlineStr">
        <is>
          <t>45</t>
        </is>
      </c>
      <c r="C283" t="inlineStr">
        <is>
          <t>Gobierno Territorial</t>
        </is>
      </c>
      <c r="D283" t="inlineStr">
        <is>
          <t>4502</t>
        </is>
      </c>
      <c r="E283" t="inlineStr">
        <is>
          <t>Fortalecimiento del buen gobierno para el respeto y garantía de los derechos humanos.</t>
        </is>
      </c>
      <c r="F283" t="inlineStr">
        <is>
          <t>4502035</t>
        </is>
      </c>
      <c r="G283" t="inlineStr">
        <is>
          <t>Documentos de planeación</t>
        </is>
      </c>
      <c r="H283" t="inlineStr">
        <is>
          <t>450203502</t>
        </is>
      </c>
      <c r="I283" t="inlineStr">
        <is>
          <t>Documentos de planeación con seguimiento realizado</t>
        </is>
      </c>
      <c r="J283" t="inlineStr">
        <is>
          <t>2024251260065</t>
        </is>
      </c>
      <c r="K283" t="inlineStr">
        <is>
          <t>No</t>
        </is>
      </c>
      <c r="L283" t="inlineStr">
        <is>
          <t>Número</t>
        </is>
      </c>
      <c r="M283">
        <v>100</v>
      </c>
      <c r="N283">
        <v>100</v>
      </c>
      <c r="O283">
        <v>100</v>
      </c>
      <c r="P283">
        <v>100</v>
      </c>
      <c r="Q283">
        <v>100</v>
      </c>
      <c r="R283">
        <v>0.25</v>
      </c>
      <c r="S283" s="103">
        <v>0.0025</v>
      </c>
      <c r="T283" t="inlineStr">
        <is>
          <t>Lo ejecutado está por debajo de lo programado en la vigencia</t>
        </is>
      </c>
      <c r="U283">
        <v>0.0362</v>
      </c>
      <c r="V283" s="104">
        <v>0.000362</v>
      </c>
      <c r="W283" t="inlineStr">
        <is>
          <t>Lo ejecutado está por debajo de lo programado en la vigencia</t>
        </is>
      </c>
    </row>
    <row r="284">
      <c r="A284" t="inlineStr">
        <is>
          <t>IP-298</t>
        </is>
      </c>
      <c r="B284" t="inlineStr">
        <is>
          <t>45</t>
        </is>
      </c>
      <c r="C284" t="inlineStr">
        <is>
          <t>Gobierno Territorial</t>
        </is>
      </c>
      <c r="D284" t="inlineStr">
        <is>
          <t>4502</t>
        </is>
      </c>
      <c r="E284" t="inlineStr">
        <is>
          <t>Fortalecimiento del buen gobierno para el respeto y garantía de los derechos humanos.</t>
        </is>
      </c>
      <c r="F284" t="inlineStr">
        <is>
          <t>4502034</t>
        </is>
      </c>
      <c r="G284" t="inlineStr">
        <is>
          <t xml:space="preserve">Servicio de educación informal </t>
        </is>
      </c>
      <c r="H284" t="inlineStr">
        <is>
          <t>450203400</t>
        </is>
      </c>
      <c r="I284" t="inlineStr">
        <is>
          <t>Personas capacitadas</t>
        </is>
      </c>
      <c r="J284" t="inlineStr">
        <is>
          <t>2024251260065</t>
        </is>
      </c>
      <c r="K284" t="inlineStr">
        <is>
          <t>No</t>
        </is>
      </c>
      <c r="L284" t="inlineStr">
        <is>
          <t>Número</t>
        </is>
      </c>
      <c r="M284">
        <v>1</v>
      </c>
      <c r="N284">
        <v>1</v>
      </c>
      <c r="O284">
        <v>1</v>
      </c>
      <c r="P284">
        <v>1</v>
      </c>
      <c r="Q284">
        <v>1</v>
      </c>
      <c r="R284">
        <v>0</v>
      </c>
      <c r="S284" s="103">
        <v>0</v>
      </c>
      <c r="T284" t="inlineStr">
        <is>
          <t>No se ejecutó en la vigencia</t>
        </is>
      </c>
      <c r="U284">
        <v>0</v>
      </c>
      <c r="V284" s="104">
        <v>0</v>
      </c>
      <c r="W284" t="inlineStr">
        <is>
          <t>No se ejecutó en la vigencia</t>
        </is>
      </c>
    </row>
    <row r="285">
      <c r="A285" t="inlineStr">
        <is>
          <t>IP-299</t>
        </is>
      </c>
      <c r="B285" t="inlineStr">
        <is>
          <t>45</t>
        </is>
      </c>
      <c r="C285" t="inlineStr">
        <is>
          <t>Gobierno Territorial</t>
        </is>
      </c>
      <c r="D285" t="inlineStr">
        <is>
          <t>4502</t>
        </is>
      </c>
      <c r="E285" t="inlineStr">
        <is>
          <t>Fortalecimiento del buen gobierno para el respeto y garantía de los derechos humanos.</t>
        </is>
      </c>
      <c r="F285" t="inlineStr">
        <is>
          <t>4502001</t>
        </is>
      </c>
      <c r="G285" t="inlineStr">
        <is>
          <t>Servicio de promoción a la participación ciudadana</t>
        </is>
      </c>
      <c r="H285" t="inlineStr">
        <is>
          <t>450200113</t>
        </is>
      </c>
      <c r="I285" t="inlineStr">
        <is>
          <t>Estrategias de promoción a la participación ciudadana implementadas</t>
        </is>
      </c>
      <c r="J285" t="inlineStr">
        <is>
          <t>2024251260065</t>
        </is>
      </c>
      <c r="K285" t="inlineStr">
        <is>
          <t>No</t>
        </is>
      </c>
      <c r="L285" t="inlineStr">
        <is>
          <t>Número</t>
        </is>
      </c>
      <c r="M285">
        <v>1</v>
      </c>
      <c r="N285">
        <v>1</v>
      </c>
      <c r="O285">
        <v>1</v>
      </c>
      <c r="P285">
        <v>1</v>
      </c>
      <c r="Q285">
        <v>1</v>
      </c>
      <c r="R285">
        <v>1</v>
      </c>
      <c r="S285" s="103">
        <v>1</v>
      </c>
      <c r="T285" t="inlineStr">
        <is>
          <t>Se ejecutó el 100% de lo programado en la vigencia</t>
        </is>
      </c>
      <c r="U285">
        <v>0</v>
      </c>
      <c r="V285" s="104">
        <v>0</v>
      </c>
      <c r="W285" t="inlineStr">
        <is>
          <t>No se ejecutó en la vigencia</t>
        </is>
      </c>
    </row>
    <row r="286">
      <c r="A286" t="inlineStr">
        <is>
          <t>IP-300</t>
        </is>
      </c>
      <c r="B286" t="inlineStr">
        <is>
          <t>45</t>
        </is>
      </c>
      <c r="C286" t="inlineStr">
        <is>
          <t>Gobierno Territorial</t>
        </is>
      </c>
      <c r="D286" t="inlineStr">
        <is>
          <t>4502</t>
        </is>
      </c>
      <c r="E286" t="inlineStr">
        <is>
          <t>Fortalecimiento del buen gobierno para el respeto y garantía de los derechos humanos.</t>
        </is>
      </c>
      <c r="F286" t="inlineStr">
        <is>
          <t>4502001</t>
        </is>
      </c>
      <c r="G286" t="inlineStr">
        <is>
          <t>Servicio de promoción a la participación ciudadana</t>
        </is>
      </c>
      <c r="H286" t="inlineStr">
        <is>
          <t>450200110</t>
        </is>
      </c>
      <c r="I286" t="inlineStr">
        <is>
          <t>Instancias formales y no formales de participación fortalecidas</t>
        </is>
      </c>
      <c r="J286" t="inlineStr">
        <is>
          <t>2024251260065</t>
        </is>
      </c>
      <c r="K286" t="inlineStr">
        <is>
          <t>No</t>
        </is>
      </c>
      <c r="L286" t="inlineStr">
        <is>
          <t>Número</t>
        </is>
      </c>
      <c r="M286">
        <v>1</v>
      </c>
      <c r="N286">
        <v>1</v>
      </c>
      <c r="O286">
        <v>1</v>
      </c>
      <c r="P286">
        <v>1</v>
      </c>
      <c r="Q286">
        <v>1</v>
      </c>
      <c r="R286">
        <v>0.25</v>
      </c>
      <c r="S286" s="103">
        <v>0.25</v>
      </c>
      <c r="T286" t="inlineStr">
        <is>
          <t>Lo ejecutado está por debajo de lo programado en la vigencia</t>
        </is>
      </c>
      <c r="U286">
        <v>0.075</v>
      </c>
      <c r="V286" s="104">
        <v>0.075</v>
      </c>
      <c r="W286" t="inlineStr">
        <is>
          <t>Lo ejecutado está por debajo de lo programado en la vigencia</t>
        </is>
      </c>
    </row>
    <row r="287">
      <c r="A287" t="inlineStr">
        <is>
          <t>IP-301</t>
        </is>
      </c>
      <c r="B287" t="inlineStr">
        <is>
          <t>45</t>
        </is>
      </c>
      <c r="C287" t="inlineStr">
        <is>
          <t>Gobierno Territorial</t>
        </is>
      </c>
      <c r="D287" t="inlineStr">
        <is>
          <t>4502</t>
        </is>
      </c>
      <c r="E287" t="inlineStr">
        <is>
          <t>Fortalecimiento del buen gobierno para el respeto y garantía de los derechos humanos.</t>
        </is>
      </c>
      <c r="F287" t="inlineStr">
        <is>
          <t>4502001</t>
        </is>
      </c>
      <c r="G287" t="inlineStr">
        <is>
          <t>Servicio de promoción a la participación ciudadana</t>
        </is>
      </c>
      <c r="H287" t="inlineStr">
        <is>
          <t>450200107</t>
        </is>
      </c>
      <c r="I287" t="inlineStr">
        <is>
          <t>Iniciativas creadas</t>
        </is>
      </c>
      <c r="J287" t="inlineStr">
        <is>
          <t>2024251260010</t>
        </is>
      </c>
      <c r="K287" t="inlineStr">
        <is>
          <t>No</t>
        </is>
      </c>
      <c r="L287" t="inlineStr">
        <is>
          <t>Número</t>
        </is>
      </c>
      <c r="M287">
        <v>1</v>
      </c>
      <c r="N287">
        <v>1</v>
      </c>
      <c r="O287">
        <v>1</v>
      </c>
      <c r="P287">
        <v>1</v>
      </c>
      <c r="Q287">
        <v>1</v>
      </c>
      <c r="R287" t="inlineStr">
        <is>
          <t xml:space="preserve"> </t>
        </is>
      </c>
      <c r="S287" s="103" t="inlineStr">
        <is>
          <t xml:space="preserve"> </t>
        </is>
      </c>
      <c r="T287" t="inlineStr">
        <is>
          <t>No se encontró ejecución en PIIP</t>
        </is>
      </c>
      <c r="U287" t="inlineStr">
        <is>
          <t xml:space="preserve"> </t>
        </is>
      </c>
      <c r="V287" s="104" t="inlineStr">
        <is>
          <t xml:space="preserve"> </t>
        </is>
      </c>
      <c r="W287" t="inlineStr">
        <is>
          <t>No se encontró ejecución en PIIP</t>
        </is>
      </c>
    </row>
    <row r="288">
      <c r="A288" t="inlineStr">
        <is>
          <t>IP-302</t>
        </is>
      </c>
      <c r="B288" t="inlineStr">
        <is>
          <t>45</t>
        </is>
      </c>
      <c r="C288" t="inlineStr">
        <is>
          <t>Gobierno Territorial</t>
        </is>
      </c>
      <c r="D288" t="inlineStr">
        <is>
          <t>4502</t>
        </is>
      </c>
      <c r="E288" t="inlineStr">
        <is>
          <t>Fortalecimiento del buen gobierno para el respeto y garantía de los derechos humanos.</t>
        </is>
      </c>
      <c r="F288" t="inlineStr">
        <is>
          <t>4502001</t>
        </is>
      </c>
      <c r="G288" t="inlineStr">
        <is>
          <t>Servicio de promoción a la participación ciudadana</t>
        </is>
      </c>
      <c r="H288" t="inlineStr">
        <is>
          <t>450200109</t>
        </is>
      </c>
      <c r="I288" t="inlineStr">
        <is>
          <t>Iniciativas organizativas de participación ciudadana promovidas</t>
        </is>
      </c>
      <c r="J288" t="inlineStr">
        <is>
          <t>2024251260065</t>
        </is>
      </c>
      <c r="K288" t="inlineStr">
        <is>
          <t>No</t>
        </is>
      </c>
      <c r="L288" t="inlineStr">
        <is>
          <t>Número</t>
        </is>
      </c>
      <c r="M288">
        <v>1</v>
      </c>
      <c r="N288">
        <v>1</v>
      </c>
      <c r="O288">
        <v>1</v>
      </c>
      <c r="P288">
        <v>1</v>
      </c>
      <c r="Q288">
        <v>1</v>
      </c>
      <c r="R288">
        <v>0.25</v>
      </c>
      <c r="S288" s="103">
        <v>0.25</v>
      </c>
      <c r="T288" t="inlineStr">
        <is>
          <t>Lo ejecutado está por debajo de lo programado en la vigencia</t>
        </is>
      </c>
      <c r="U288">
        <v>0.125</v>
      </c>
      <c r="V288" s="104">
        <v>0.125</v>
      </c>
      <c r="W288" t="inlineStr">
        <is>
          <t>Lo ejecutado está por debajo de lo programado en la vigencia</t>
        </is>
      </c>
    </row>
    <row r="289">
      <c r="A289" t="inlineStr">
        <is>
          <t>IP-303</t>
        </is>
      </c>
      <c r="B289" t="inlineStr">
        <is>
          <t>45</t>
        </is>
      </c>
      <c r="C289" t="inlineStr">
        <is>
          <t>Gobierno Territorial</t>
        </is>
      </c>
      <c r="D289" t="inlineStr">
        <is>
          <t>4599</t>
        </is>
      </c>
      <c r="E289" t="inlineStr">
        <is>
          <t>Fortalecimiento a la gestión y dirección de la administración pública territorial</t>
        </is>
      </c>
      <c r="F289" t="inlineStr">
        <is>
          <t>4599002</t>
        </is>
      </c>
      <c r="G289" t="inlineStr">
        <is>
          <t>Servicio de saneamiento fiscal y financiero</t>
        </is>
      </c>
      <c r="H289" t="inlineStr">
        <is>
          <t>459900200</t>
        </is>
      </c>
      <c r="I289" t="inlineStr">
        <is>
          <t>Programa de sanemiento fiscal y financiero ejecutado</t>
        </is>
      </c>
      <c r="J289" t="inlineStr">
        <is>
          <t>2024251260066</t>
        </is>
      </c>
      <c r="K289" t="inlineStr">
        <is>
          <t>Si</t>
        </is>
      </c>
      <c r="L289" t="inlineStr">
        <is>
          <t>Porcentaje</t>
        </is>
      </c>
      <c r="M289">
        <v>1</v>
      </c>
      <c r="N289">
        <v>1</v>
      </c>
      <c r="O289">
        <v>1</v>
      </c>
      <c r="P289">
        <v>1</v>
      </c>
      <c r="Q289">
        <v>1</v>
      </c>
      <c r="R289" t="inlineStr">
        <is>
          <t xml:space="preserve"> </t>
        </is>
      </c>
      <c r="S289" s="103" t="inlineStr">
        <is>
          <t xml:space="preserve"> </t>
        </is>
      </c>
      <c r="T289" t="inlineStr">
        <is>
          <t>No se encontró ejecución en PIIP</t>
        </is>
      </c>
      <c r="U289" t="inlineStr">
        <is>
          <t xml:space="preserve"> </t>
        </is>
      </c>
      <c r="V289" s="104" t="inlineStr">
        <is>
          <t xml:space="preserve"> </t>
        </is>
      </c>
      <c r="W289" t="inlineStr">
        <is>
          <t>No se encontró ejecución en PIIP</t>
        </is>
      </c>
    </row>
    <row r="290">
      <c r="A290" t="inlineStr">
        <is>
          <t>IP-304</t>
        </is>
      </c>
      <c r="B290" t="inlineStr">
        <is>
          <t>45</t>
        </is>
      </c>
      <c r="C290" t="inlineStr">
        <is>
          <t>Gobierno Territorial</t>
        </is>
      </c>
      <c r="D290" t="inlineStr">
        <is>
          <t>4599</t>
        </is>
      </c>
      <c r="E290" t="inlineStr">
        <is>
          <t>Fortalecimiento a la gestión y dirección de la administración pública territorial</t>
        </is>
      </c>
      <c r="F290" t="inlineStr">
        <is>
          <t>4599031</t>
        </is>
      </c>
      <c r="G290" t="inlineStr">
        <is>
          <t>Servicio de asistencia técnica</t>
        </is>
      </c>
      <c r="H290" t="inlineStr">
        <is>
          <t>459903102</t>
        </is>
      </c>
      <c r="I290" t="inlineStr">
        <is>
          <t>Dependencias asistidas técnicamente</t>
        </is>
      </c>
      <c r="J290" t="inlineStr">
        <is>
          <t>2024251260066</t>
        </is>
      </c>
      <c r="K290" t="inlineStr">
        <is>
          <t>Si</t>
        </is>
      </c>
      <c r="L290" t="inlineStr">
        <is>
          <t>Número</t>
        </is>
      </c>
      <c r="M290">
        <v>1</v>
      </c>
      <c r="N290">
        <v>0.25</v>
      </c>
      <c r="O290">
        <v>0.25</v>
      </c>
      <c r="P290">
        <v>0.25</v>
      </c>
      <c r="Q290">
        <v>0.25</v>
      </c>
      <c r="R290" t="inlineStr">
        <is>
          <t xml:space="preserve"> </t>
        </is>
      </c>
      <c r="S290" s="103" t="inlineStr">
        <is>
          <t xml:space="preserve"> </t>
        </is>
      </c>
      <c r="T290" t="inlineStr">
        <is>
          <t>No se encontró ejecución en PIIP</t>
        </is>
      </c>
      <c r="U290" t="inlineStr">
        <is>
          <t xml:space="preserve"> </t>
        </is>
      </c>
      <c r="V290" s="104" t="inlineStr">
        <is>
          <t xml:space="preserve"> </t>
        </is>
      </c>
      <c r="W290" t="inlineStr">
        <is>
          <t>No se encontró ejecución en PIIP</t>
        </is>
      </c>
    </row>
    <row r="291">
      <c r="A291" t="inlineStr">
        <is>
          <t>IP-305, IP-306</t>
        </is>
      </c>
      <c r="B291" t="inlineStr">
        <is>
          <t>45</t>
        </is>
      </c>
      <c r="C291" t="inlineStr">
        <is>
          <t>Gobierno Territorial</t>
        </is>
      </c>
      <c r="D291" t="inlineStr">
        <is>
          <t>4599</t>
        </is>
      </c>
      <c r="E291" t="inlineStr">
        <is>
          <t>Fortalecimiento a la gestión y dirección de la administración pública territorial</t>
        </is>
      </c>
      <c r="F291" t="inlineStr">
        <is>
          <t>4599031</t>
        </is>
      </c>
      <c r="G291" t="inlineStr">
        <is>
          <t>Servicio de asistencia técnica</t>
        </is>
      </c>
      <c r="H291" t="inlineStr">
        <is>
          <t>459903100</t>
        </is>
      </c>
      <c r="I291" t="inlineStr">
        <is>
          <t>Entidades, organismos y dependencias asistidos técnicamente</t>
        </is>
      </c>
      <c r="J291" t="inlineStr">
        <is>
          <t>2024251260066</t>
        </is>
      </c>
      <c r="K291" t="inlineStr">
        <is>
          <t>Si</t>
        </is>
      </c>
      <c r="L291" t="inlineStr">
        <is>
          <t>Número</t>
        </is>
      </c>
      <c r="M291">
        <v>2</v>
      </c>
      <c r="N291">
        <v>2</v>
      </c>
      <c r="O291">
        <v>2</v>
      </c>
      <c r="P291">
        <v>2</v>
      </c>
      <c r="Q291">
        <v>2</v>
      </c>
      <c r="R291" t="inlineStr">
        <is>
          <t xml:space="preserve"> </t>
        </is>
      </c>
      <c r="S291" s="103" t="inlineStr">
        <is>
          <t xml:space="preserve"> </t>
        </is>
      </c>
      <c r="T291" t="inlineStr">
        <is>
          <t>No se encontró ejecución en PIIP</t>
        </is>
      </c>
      <c r="U291" t="inlineStr">
        <is>
          <t xml:space="preserve"> </t>
        </is>
      </c>
      <c r="V291" s="104" t="inlineStr">
        <is>
          <t xml:space="preserve"> </t>
        </is>
      </c>
      <c r="W291" t="inlineStr">
        <is>
          <t>No se encontró ejecución en PIIP</t>
        </is>
      </c>
    </row>
    <row r="292">
      <c r="A292" t="inlineStr">
        <is>
          <t>IP-307</t>
        </is>
      </c>
      <c r="B292" t="inlineStr">
        <is>
          <t>45</t>
        </is>
      </c>
      <c r="C292" t="inlineStr">
        <is>
          <t>Gobierno Territorial</t>
        </is>
      </c>
      <c r="D292" t="inlineStr">
        <is>
          <t>4502</t>
        </is>
      </c>
      <c r="E292" t="inlineStr">
        <is>
          <t>Fortalecimiento del buen gobierno para el respeto y garantía de los derechos humanos.</t>
        </is>
      </c>
      <c r="F292" t="inlineStr">
        <is>
          <t>4502035</t>
        </is>
      </c>
      <c r="G292" t="inlineStr">
        <is>
          <t>Documentos de planeación</t>
        </is>
      </c>
      <c r="H292" t="inlineStr">
        <is>
          <t>450203500</t>
        </is>
      </c>
      <c r="I292" t="inlineStr">
        <is>
          <t>Documentos de planeación elaborados</t>
        </is>
      </c>
      <c r="J292" t="inlineStr">
        <is>
          <t>2024251260065</t>
        </is>
      </c>
      <c r="K292" t="inlineStr">
        <is>
          <t>No</t>
        </is>
      </c>
      <c r="L292" t="inlineStr">
        <is>
          <t>Número</t>
        </is>
      </c>
      <c r="M292">
        <v>100</v>
      </c>
      <c r="N292">
        <v>100</v>
      </c>
      <c r="O292">
        <v>100</v>
      </c>
      <c r="P292">
        <v>100</v>
      </c>
      <c r="Q292">
        <v>100</v>
      </c>
      <c r="R292">
        <v>25</v>
      </c>
      <c r="S292" s="103">
        <v>0.25</v>
      </c>
      <c r="T292" t="inlineStr">
        <is>
          <t>Lo ejecutado está por debajo de lo programado en la vigencia</t>
        </is>
      </c>
      <c r="U292">
        <v>0.0425</v>
      </c>
      <c r="V292" s="104">
        <v>0.000425</v>
      </c>
      <c r="W292" t="inlineStr">
        <is>
          <t>Lo ejecutado está por debajo de lo programado en la vigencia</t>
        </is>
      </c>
    </row>
    <row r="293">
      <c r="A293" t="inlineStr">
        <is>
          <t>IP-308</t>
        </is>
      </c>
      <c r="B293" t="inlineStr">
        <is>
          <t>45</t>
        </is>
      </c>
      <c r="C293" t="inlineStr">
        <is>
          <t>Gobierno Territorial</t>
        </is>
      </c>
      <c r="D293" t="inlineStr">
        <is>
          <t>4502</t>
        </is>
      </c>
      <c r="E293" t="inlineStr">
        <is>
          <t>Fortalecimiento del buen gobierno para el respeto y garantía de los derechos humanos.</t>
        </is>
      </c>
      <c r="F293" t="inlineStr">
        <is>
          <t>4502016</t>
        </is>
      </c>
      <c r="G293" t="inlineStr">
        <is>
          <t>Servicio de información implementado</t>
        </is>
      </c>
      <c r="H293" t="inlineStr">
        <is>
          <t>450201602</t>
        </is>
      </c>
      <c r="I293" t="inlineStr">
        <is>
          <t>Personas capacitadas en uso de Tecnologías de Información y Comunicaciones (TIC)</t>
        </is>
      </c>
      <c r="J293" t="inlineStr">
        <is>
          <t>2024251260065</t>
        </is>
      </c>
      <c r="K293" t="inlineStr">
        <is>
          <t>Si</t>
        </is>
      </c>
      <c r="L293" t="inlineStr">
        <is>
          <t>Número</t>
        </is>
      </c>
      <c r="M293">
        <v>1</v>
      </c>
      <c r="N293">
        <v>0.25</v>
      </c>
      <c r="O293">
        <v>0.25</v>
      </c>
      <c r="P293">
        <v>0.25</v>
      </c>
      <c r="Q293">
        <v>0.25</v>
      </c>
      <c r="R293">
        <v>25</v>
      </c>
      <c r="S293" s="103">
        <v>100</v>
      </c>
      <c r="T293" t="inlineStr">
        <is>
          <t>Hubo ejecución por encima de lo programado en SisPT</t>
        </is>
      </c>
      <c r="U293">
        <v>0</v>
      </c>
      <c r="V293" s="104">
        <v>0</v>
      </c>
      <c r="W293" t="inlineStr">
        <is>
          <t>No se ejecutó en la vigencia</t>
        </is>
      </c>
    </row>
    <row r="294">
      <c r="A294" t="inlineStr">
        <is>
          <t>IP-309</t>
        </is>
      </c>
      <c r="B294" t="inlineStr">
        <is>
          <t>45</t>
        </is>
      </c>
      <c r="C294" t="inlineStr">
        <is>
          <t>Gobierno Territorial</t>
        </is>
      </c>
      <c r="D294" t="inlineStr">
        <is>
          <t>4502</t>
        </is>
      </c>
      <c r="E294" t="inlineStr">
        <is>
          <t>Fortalecimiento del buen gobierno para el respeto y garantía de los derechos humanos.</t>
        </is>
      </c>
      <c r="F294" t="inlineStr">
        <is>
          <t>4502022</t>
        </is>
      </c>
      <c r="G294" t="inlineStr">
        <is>
          <t>Servicio de asistencia técnica</t>
        </is>
      </c>
      <c r="H294" t="inlineStr">
        <is>
          <t>450202208</t>
        </is>
      </c>
      <c r="I294" t="inlineStr">
        <is>
          <t>Personas asistidas técnicamente para el ejercicio del control social, rendición de cuentas y participación ciudadana</t>
        </is>
      </c>
      <c r="J294" t="inlineStr">
        <is>
          <t>2024251260065</t>
        </is>
      </c>
      <c r="K294" t="inlineStr">
        <is>
          <t>No</t>
        </is>
      </c>
      <c r="L294" t="inlineStr">
        <is>
          <t>Número</t>
        </is>
      </c>
      <c r="M294">
        <v>1</v>
      </c>
      <c r="N294">
        <v>1</v>
      </c>
      <c r="O294">
        <v>1</v>
      </c>
      <c r="P294">
        <v>1</v>
      </c>
      <c r="Q294">
        <v>1</v>
      </c>
      <c r="R294">
        <v>0</v>
      </c>
      <c r="S294" s="103">
        <v>0</v>
      </c>
      <c r="T294" t="inlineStr">
        <is>
          <t>No se ejecutó en la vigencia</t>
        </is>
      </c>
      <c r="U294" t="inlineStr">
        <is>
          <t xml:space="preserve"> </t>
        </is>
      </c>
      <c r="V294" s="104" t="inlineStr">
        <is>
          <t xml:space="preserve"> </t>
        </is>
      </c>
      <c r="W294" t="inlineStr">
        <is>
          <t>No se encontró ejecución en PIIP</t>
        </is>
      </c>
    </row>
    <row r="295">
      <c r="A295" t="inlineStr">
        <is>
          <t>IP-310</t>
        </is>
      </c>
      <c r="B295" t="inlineStr">
        <is>
          <t>45</t>
        </is>
      </c>
      <c r="C295" t="inlineStr">
        <is>
          <t>Gobierno Territorial</t>
        </is>
      </c>
      <c r="D295" t="inlineStr">
        <is>
          <t>4599</t>
        </is>
      </c>
      <c r="E295" t="inlineStr">
        <is>
          <t>Fortalecimiento a la gestión y dirección de la administración pública territorial</t>
        </is>
      </c>
      <c r="F295" t="inlineStr">
        <is>
          <t>4599031</t>
        </is>
      </c>
      <c r="G295" t="inlineStr">
        <is>
          <t>Servicio de asistencia técnica</t>
        </is>
      </c>
      <c r="H295" t="inlineStr">
        <is>
          <t>459903102</t>
        </is>
      </c>
      <c r="I295" t="inlineStr">
        <is>
          <t>Dependencias asistidas técnicamente</t>
        </is>
      </c>
      <c r="J295" t="inlineStr">
        <is>
          <t>2024251260067</t>
        </is>
      </c>
      <c r="K295" t="inlineStr">
        <is>
          <t>Si</t>
        </is>
      </c>
      <c r="L295" t="inlineStr">
        <is>
          <t>Número</t>
        </is>
      </c>
      <c r="M295">
        <v>1</v>
      </c>
      <c r="N295">
        <v>0.25</v>
      </c>
      <c r="O295">
        <v>0.25</v>
      </c>
      <c r="P295">
        <v>0.25</v>
      </c>
      <c r="Q295">
        <v>0.25</v>
      </c>
      <c r="R295">
        <v>25</v>
      </c>
      <c r="S295" s="103">
        <v>100</v>
      </c>
      <c r="T295" t="inlineStr">
        <is>
          <t>Hubo ejecución por encima de lo programado en SisPT</t>
        </is>
      </c>
      <c r="U295">
        <v>17</v>
      </c>
      <c r="V295" s="104">
        <v>68</v>
      </c>
      <c r="W295" t="inlineStr">
        <is>
          <t>Hubo ejecución por encima de lo programado en SisPT</t>
        </is>
      </c>
    </row>
    <row r="296">
      <c r="A296" t="inlineStr">
        <is>
          <t>IP-311</t>
        </is>
      </c>
      <c r="B296" t="inlineStr">
        <is>
          <t>45</t>
        </is>
      </c>
      <c r="C296" t="inlineStr">
        <is>
          <t>Gobierno Territorial</t>
        </is>
      </c>
      <c r="D296" t="inlineStr">
        <is>
          <t>4599</t>
        </is>
      </c>
      <c r="E296" t="inlineStr">
        <is>
          <t>Fortalecimiento a la gestión y dirección de la administración pública territorial</t>
        </is>
      </c>
      <c r="F296" t="inlineStr">
        <is>
          <t>4599019</t>
        </is>
      </c>
      <c r="G296" t="inlineStr">
        <is>
          <t>Documentos de planeación</t>
        </is>
      </c>
      <c r="H296" t="inlineStr">
        <is>
          <t>459901902</t>
        </is>
      </c>
      <c r="I296" t="inlineStr">
        <is>
          <t>Documentos de planeación con seguimiento realizado</t>
        </is>
      </c>
      <c r="J296" t="inlineStr">
        <is>
          <t>2024251260068</t>
        </is>
      </c>
      <c r="K296" t="inlineStr">
        <is>
          <t>Si</t>
        </is>
      </c>
      <c r="L296" t="inlineStr">
        <is>
          <t>Número</t>
        </is>
      </c>
      <c r="M296">
        <v>100</v>
      </c>
      <c r="N296">
        <v>100</v>
      </c>
      <c r="O296">
        <v>100</v>
      </c>
      <c r="P296">
        <v>100</v>
      </c>
      <c r="Q296">
        <v>100</v>
      </c>
      <c r="R296">
        <v>0.25</v>
      </c>
      <c r="S296" s="103">
        <v>0.0025</v>
      </c>
      <c r="T296" t="inlineStr">
        <is>
          <t>Lo ejecutado está por debajo de lo programado en la vigencia</t>
        </is>
      </c>
      <c r="U296">
        <v>0.125</v>
      </c>
      <c r="V296" s="104">
        <v>0.00125</v>
      </c>
      <c r="W296" t="inlineStr">
        <is>
          <t>Lo ejecutado está por debajo de lo programado en la vigencia</t>
        </is>
      </c>
    </row>
    <row r="297">
      <c r="A297" t="inlineStr">
        <is>
          <t>IP-312</t>
        </is>
      </c>
      <c r="B297" t="inlineStr">
        <is>
          <t>45</t>
        </is>
      </c>
      <c r="C297" t="inlineStr">
        <is>
          <t>Gobierno Territorial</t>
        </is>
      </c>
      <c r="D297" t="inlineStr">
        <is>
          <t>4599</t>
        </is>
      </c>
      <c r="E297" t="inlineStr">
        <is>
          <t>Fortalecimiento a la gestión y dirección de la administración pública territorial</t>
        </is>
      </c>
      <c r="F297" t="inlineStr">
        <is>
          <t>4599031</t>
        </is>
      </c>
      <c r="G297" t="inlineStr">
        <is>
          <t>Servicio de asistencia técnica</t>
        </is>
      </c>
      <c r="H297" t="inlineStr">
        <is>
          <t>459903103</t>
        </is>
      </c>
      <c r="I297" t="inlineStr">
        <is>
          <t>Planes asistidos técnicamente</t>
        </is>
      </c>
      <c r="J297" t="inlineStr">
        <is>
          <t>2024251260068</t>
        </is>
      </c>
      <c r="K297" t="inlineStr">
        <is>
          <t>Si</t>
        </is>
      </c>
      <c r="L297" t="inlineStr">
        <is>
          <t>Número</t>
        </is>
      </c>
      <c r="M297">
        <v>1</v>
      </c>
      <c r="N297">
        <v>1</v>
      </c>
      <c r="O297">
        <v>1</v>
      </c>
      <c r="P297">
        <v>1</v>
      </c>
      <c r="Q297">
        <v>1</v>
      </c>
      <c r="R297" t="inlineStr">
        <is>
          <t xml:space="preserve"> </t>
        </is>
      </c>
      <c r="S297" s="103" t="inlineStr">
        <is>
          <t xml:space="preserve"> </t>
        </is>
      </c>
      <c r="T297" t="inlineStr">
        <is>
          <t>No se encontró ejecución en PIIP</t>
        </is>
      </c>
      <c r="U297" t="inlineStr">
        <is>
          <t xml:space="preserve"> </t>
        </is>
      </c>
      <c r="V297" s="104" t="inlineStr">
        <is>
          <t xml:space="preserve"> </t>
        </is>
      </c>
      <c r="W297" t="inlineStr">
        <is>
          <t>No se encontró ejecución en PIIP</t>
        </is>
      </c>
    </row>
    <row r="298">
      <c r="A298" t="inlineStr">
        <is>
          <t>IP-313</t>
        </is>
      </c>
      <c r="B298" t="inlineStr">
        <is>
          <t>45</t>
        </is>
      </c>
      <c r="C298" t="inlineStr">
        <is>
          <t>Gobierno Territorial</t>
        </is>
      </c>
      <c r="D298" t="inlineStr">
        <is>
          <t>4599</t>
        </is>
      </c>
      <c r="E298" t="inlineStr">
        <is>
          <t>Fortalecimiento a la gestión y dirección de la administración pública territorial</t>
        </is>
      </c>
      <c r="F298" t="inlineStr">
        <is>
          <t>4599031</t>
        </is>
      </c>
      <c r="G298" t="inlineStr">
        <is>
          <t>Servicio de asistencia técnica</t>
        </is>
      </c>
      <c r="H298" t="inlineStr">
        <is>
          <t>459903105</t>
        </is>
      </c>
      <c r="I298" t="inlineStr">
        <is>
          <t>Programas asistidos técnicamente</t>
        </is>
      </c>
      <c r="J298" t="inlineStr">
        <is>
          <t>2024251260068</t>
        </is>
      </c>
      <c r="K298" t="inlineStr">
        <is>
          <t>Si</t>
        </is>
      </c>
      <c r="L298" t="inlineStr">
        <is>
          <t>Número</t>
        </is>
      </c>
      <c r="M298">
        <v>1</v>
      </c>
      <c r="N298">
        <v>1</v>
      </c>
      <c r="O298">
        <v>1</v>
      </c>
      <c r="P298">
        <v>1</v>
      </c>
      <c r="Q298">
        <v>1</v>
      </c>
      <c r="R298">
        <v>0.25</v>
      </c>
      <c r="S298" s="103">
        <v>0.25</v>
      </c>
      <c r="T298" t="inlineStr">
        <is>
          <t>Lo ejecutado está por debajo de lo programado en la vigencia</t>
        </is>
      </c>
      <c r="U298">
        <v>0.007</v>
      </c>
      <c r="V298" s="104">
        <v>0.007</v>
      </c>
      <c r="W298" t="inlineStr">
        <is>
          <t>Lo ejecutado está por debajo de lo programado en la vigencia</t>
        </is>
      </c>
    </row>
    <row r="299">
      <c r="A299" t="inlineStr">
        <is>
          <t>IP-314</t>
        </is>
      </c>
      <c r="B299" t="inlineStr">
        <is>
          <t>45</t>
        </is>
      </c>
      <c r="C299" t="inlineStr">
        <is>
          <t>Gobierno Territorial</t>
        </is>
      </c>
      <c r="D299" t="inlineStr">
        <is>
          <t>4599</t>
        </is>
      </c>
      <c r="E299" t="inlineStr">
        <is>
          <t>Fortalecimiento a la gestión y dirección de la administración pública territorial</t>
        </is>
      </c>
      <c r="F299" t="inlineStr">
        <is>
          <t>4599029</t>
        </is>
      </c>
      <c r="G299" t="inlineStr">
        <is>
          <t>Servicio de integración de la oferta pública</t>
        </is>
      </c>
      <c r="H299" t="inlineStr">
        <is>
          <t>459902901</t>
        </is>
      </c>
      <c r="I299" t="inlineStr">
        <is>
          <t>Personas atendidas con oferta institucional articulada</t>
        </is>
      </c>
      <c r="J299" t="inlineStr">
        <is>
          <t>2024251260002</t>
        </is>
      </c>
      <c r="K299" t="inlineStr">
        <is>
          <t>No</t>
        </is>
      </c>
      <c r="L299" t="inlineStr">
        <is>
          <t>Número</t>
        </is>
      </c>
      <c r="M299">
        <v>1</v>
      </c>
      <c r="N299">
        <v>1</v>
      </c>
      <c r="O299">
        <v>1</v>
      </c>
      <c r="P299">
        <v>1</v>
      </c>
      <c r="Q299">
        <v>1</v>
      </c>
      <c r="R299" t="inlineStr">
        <is>
          <t xml:space="preserve"> </t>
        </is>
      </c>
      <c r="S299" s="103" t="inlineStr">
        <is>
          <t xml:space="preserve"> </t>
        </is>
      </c>
      <c r="T299" t="inlineStr">
        <is>
          <t>No se encontró ejecución en PIIP</t>
        </is>
      </c>
      <c r="U299" t="inlineStr">
        <is>
          <t xml:space="preserve"> </t>
        </is>
      </c>
      <c r="V299" s="104" t="inlineStr">
        <is>
          <t xml:space="preserve"> </t>
        </is>
      </c>
      <c r="W299" t="inlineStr">
        <is>
          <t>No se encontró ejecución en PIIP</t>
        </is>
      </c>
    </row>
    <row r="300">
      <c r="A300" t="inlineStr">
        <is>
          <t>IP-315</t>
        </is>
      </c>
      <c r="B300" t="inlineStr">
        <is>
          <t>04</t>
        </is>
      </c>
      <c r="C300" t="inlineStr">
        <is>
          <t>Información Estadística</t>
        </is>
      </c>
      <c r="D300" t="inlineStr">
        <is>
          <t>0406</t>
        </is>
      </c>
      <c r="E300" t="inlineStr">
        <is>
          <t>Generación de la información geográfica del territorio nacional</t>
        </is>
      </c>
      <c r="F300" t="inlineStr">
        <is>
          <t>0406016</t>
        </is>
      </c>
      <c r="G300" t="inlineStr">
        <is>
          <t>Servicio de actualización catastral con enfoque multipropósito</t>
        </is>
      </c>
      <c r="H300" t="inlineStr">
        <is>
          <t>040601600</t>
        </is>
      </c>
      <c r="I300" t="inlineStr">
        <is>
          <t>Área geográfica actualizada catastralmente con enfoque multipropósito</t>
        </is>
      </c>
      <c r="J300" t="inlineStr">
        <is>
          <t>2024251260069</t>
        </is>
      </c>
      <c r="K300" t="inlineStr">
        <is>
          <t>Si</t>
        </is>
      </c>
      <c r="L300" t="inlineStr">
        <is>
          <t>Número</t>
        </is>
      </c>
      <c r="M300">
        <v>1</v>
      </c>
      <c r="N300">
        <v>0.25</v>
      </c>
      <c r="O300">
        <v>0.25</v>
      </c>
      <c r="P300">
        <v>0.25</v>
      </c>
      <c r="Q300">
        <v>0.25</v>
      </c>
      <c r="R300" t="inlineStr">
        <is>
          <t xml:space="preserve"> </t>
        </is>
      </c>
      <c r="S300" s="103" t="inlineStr">
        <is>
          <t xml:space="preserve"> </t>
        </is>
      </c>
      <c r="T300" t="inlineStr">
        <is>
          <t>No se encontró ejecución en PIIP</t>
        </is>
      </c>
      <c r="U300" t="inlineStr">
        <is>
          <t xml:space="preserve"> </t>
        </is>
      </c>
      <c r="V300" s="104" t="inlineStr">
        <is>
          <t xml:space="preserve"> </t>
        </is>
      </c>
      <c r="W300" t="inlineStr">
        <is>
          <t>No se encontró ejecución en PIIP</t>
        </is>
      </c>
    </row>
    <row r="301">
      <c r="A301" t="inlineStr">
        <is>
          <t>IP-316</t>
        </is>
      </c>
      <c r="B301" t="inlineStr">
        <is>
          <t>04</t>
        </is>
      </c>
      <c r="C301" t="inlineStr">
        <is>
          <t>Información Estadística</t>
        </is>
      </c>
      <c r="D301" t="inlineStr">
        <is>
          <t>0406</t>
        </is>
      </c>
      <c r="E301" t="inlineStr">
        <is>
          <t>Generación de la información geográfica del territorio nacional</t>
        </is>
      </c>
      <c r="F301" t="inlineStr">
        <is>
          <t>0406004</t>
        </is>
      </c>
      <c r="G301" t="inlineStr">
        <is>
          <t>Servicio de información catastral actualizado</t>
        </is>
      </c>
      <c r="H301" t="inlineStr">
        <is>
          <t>040600400</t>
        </is>
      </c>
      <c r="I301" t="inlineStr">
        <is>
          <t>Sistema de Información catastral actualizado</t>
        </is>
      </c>
      <c r="J301" t="inlineStr">
        <is>
          <t>2024251260069</t>
        </is>
      </c>
      <c r="K301" t="inlineStr">
        <is>
          <t>Si</t>
        </is>
      </c>
      <c r="L301" t="inlineStr">
        <is>
          <t>Número</t>
        </is>
      </c>
      <c r="M301">
        <v>1</v>
      </c>
      <c r="N301">
        <v>0.25</v>
      </c>
      <c r="O301">
        <v>0.25</v>
      </c>
      <c r="P301">
        <v>0.25</v>
      </c>
      <c r="Q301">
        <v>0.25</v>
      </c>
      <c r="R301" t="inlineStr">
        <is>
          <t xml:space="preserve"> </t>
        </is>
      </c>
      <c r="S301" s="103" t="inlineStr">
        <is>
          <t xml:space="preserve"> </t>
        </is>
      </c>
      <c r="T301" t="inlineStr">
        <is>
          <t>No se encontró ejecución en PIIP</t>
        </is>
      </c>
      <c r="U301" t="inlineStr">
        <is>
          <t xml:space="preserve"> </t>
        </is>
      </c>
      <c r="V301" s="104" t="inlineStr">
        <is>
          <t xml:space="preserve"> </t>
        </is>
      </c>
      <c r="W301" t="inlineStr">
        <is>
          <t>No se encontró ejecución en PIIP</t>
        </is>
      </c>
    </row>
    <row r="302">
      <c r="A302" t="inlineStr">
        <is>
          <t>IP-317, IP-321</t>
        </is>
      </c>
      <c r="B302" t="inlineStr">
        <is>
          <t>23</t>
        </is>
      </c>
      <c r="C302" t="inlineStr">
        <is>
          <t>Tecnologías de la información y las comunicaciones</t>
        </is>
      </c>
      <c r="D302" t="inlineStr">
        <is>
          <t>2301</t>
        </is>
      </c>
      <c r="E302" t="inlineStr">
        <is>
          <t>Facilitar el acceso y uso de las Tecnologías de la Información y las Comunicaciones (TIC) en todo el territorio nacional</t>
        </is>
      </c>
      <c r="F302" t="inlineStr">
        <is>
          <t>2301004</t>
        </is>
      </c>
      <c r="G302" t="inlineStr">
        <is>
          <t>Documentos de planeación</t>
        </is>
      </c>
      <c r="H302" t="inlineStr">
        <is>
          <t>230100400</t>
        </is>
      </c>
      <c r="I302" t="inlineStr">
        <is>
          <t>Documentos de planeación elaborados</t>
        </is>
      </c>
      <c r="J302" t="inlineStr">
        <is>
          <t>2024251260079</t>
        </is>
      </c>
      <c r="K302" t="inlineStr">
        <is>
          <t>Si</t>
        </is>
      </c>
      <c r="L302" t="inlineStr">
        <is>
          <t>Número</t>
        </is>
      </c>
      <c r="M302">
        <v>101</v>
      </c>
      <c r="N302">
        <v>101</v>
      </c>
      <c r="O302">
        <v>101</v>
      </c>
      <c r="P302">
        <v>101</v>
      </c>
      <c r="Q302">
        <v>101</v>
      </c>
      <c r="R302">
        <v>0.75</v>
      </c>
      <c r="S302" s="103">
        <v>0.00742574257425743</v>
      </c>
      <c r="T302" t="inlineStr">
        <is>
          <t>Lo ejecutado está por debajo de lo programado en la vigencia</t>
        </is>
      </c>
      <c r="U302">
        <v>0.19</v>
      </c>
      <c r="V302" s="104">
        <v>0.00188118811881188</v>
      </c>
      <c r="W302" t="inlineStr">
        <is>
          <t>Lo ejecutado está por debajo de lo programado en la vigencia</t>
        </is>
      </c>
    </row>
    <row r="303">
      <c r="A303" t="inlineStr">
        <is>
          <t>IP-318</t>
        </is>
      </c>
      <c r="B303" t="inlineStr">
        <is>
          <t>23</t>
        </is>
      </c>
      <c r="C303" t="inlineStr">
        <is>
          <t>Tecnologías de la información y las comunicaciones</t>
        </is>
      </c>
      <c r="D303" t="inlineStr">
        <is>
          <t>2301</t>
        </is>
      </c>
      <c r="E303" t="inlineStr">
        <is>
          <t>Facilitar el acceso y uso de las Tecnologías de la Información y las Comunicaciones (TIC) en todo el territorio nacional</t>
        </is>
      </c>
      <c r="F303" t="inlineStr">
        <is>
          <t>2301024</t>
        </is>
      </c>
      <c r="G303" t="inlineStr">
        <is>
          <t>Servicio de acceso y uso de Tecnologías de la Información y las Comunicaciones</t>
        </is>
      </c>
      <c r="H303" t="inlineStr">
        <is>
          <t>230102404</t>
        </is>
      </c>
      <c r="I303" t="inlineStr">
        <is>
          <t>Soluciones de conectividad en instituciones públicas instaladas</t>
        </is>
      </c>
      <c r="J303" t="inlineStr">
        <is>
          <t>2024251260079</t>
        </is>
      </c>
      <c r="K303" t="inlineStr">
        <is>
          <t>No</t>
        </is>
      </c>
      <c r="L303" t="inlineStr">
        <is>
          <t>Número</t>
        </is>
      </c>
      <c r="M303">
        <v>1</v>
      </c>
      <c r="N303">
        <v>1</v>
      </c>
      <c r="O303">
        <v>1</v>
      </c>
      <c r="P303">
        <v>1</v>
      </c>
      <c r="Q303">
        <v>1</v>
      </c>
      <c r="R303">
        <v>0.25</v>
      </c>
      <c r="S303" s="103">
        <v>0.25</v>
      </c>
      <c r="T303" t="inlineStr">
        <is>
          <t>Lo ejecutado está por debajo de lo programado en la vigencia</t>
        </is>
      </c>
      <c r="U303">
        <v>0.1175</v>
      </c>
      <c r="V303" s="104">
        <v>0.1175</v>
      </c>
      <c r="W303" t="inlineStr">
        <is>
          <t>Lo ejecutado está por debajo de lo programado en la vigencia</t>
        </is>
      </c>
    </row>
    <row r="304">
      <c r="A304" t="inlineStr">
        <is>
          <t>IP-319</t>
        </is>
      </c>
      <c r="B304" t="inlineStr">
        <is>
          <t>23</t>
        </is>
      </c>
      <c r="C304" t="inlineStr">
        <is>
          <t>Tecnologías de la información y las comunicaciones</t>
        </is>
      </c>
      <c r="D304" t="inlineStr">
        <is>
          <t>2301</t>
        </is>
      </c>
      <c r="E304" t="inlineStr">
        <is>
          <t>Facilitar el acceso y uso de las Tecnologías de la Información y las Comunicaciones (TIC) en todo el territorio nacional</t>
        </is>
      </c>
      <c r="F304" t="inlineStr">
        <is>
          <t>2301079</t>
        </is>
      </c>
      <c r="G304" t="inlineStr">
        <is>
          <t xml:space="preserve"> Servicio de acceso zonas digitales</t>
        </is>
      </c>
      <c r="H304" t="inlineStr">
        <is>
          <t>230107900</t>
        </is>
      </c>
      <c r="I304" t="inlineStr">
        <is>
          <t>Zonas digitales instaladas</t>
        </is>
      </c>
      <c r="J304" t="inlineStr">
        <is>
          <t>2024251260079</t>
        </is>
      </c>
      <c r="K304" t="inlineStr">
        <is>
          <t>Si</t>
        </is>
      </c>
      <c r="L304" t="inlineStr">
        <is>
          <t>Número</t>
        </is>
      </c>
      <c r="M304">
        <v>80</v>
      </c>
      <c r="N304">
        <v>1</v>
      </c>
      <c r="O304">
        <v>1</v>
      </c>
      <c r="P304">
        <v>1</v>
      </c>
      <c r="Q304">
        <v>1</v>
      </c>
      <c r="R304">
        <v>46</v>
      </c>
      <c r="S304" s="103">
        <v>46</v>
      </c>
      <c r="T304" t="inlineStr">
        <is>
          <t>Hubo ejecución por encima de lo programado en SisPT</t>
        </is>
      </c>
      <c r="U304">
        <v>16.675</v>
      </c>
      <c r="V304" s="104">
        <v>16.675</v>
      </c>
      <c r="W304" t="inlineStr">
        <is>
          <t>Hubo ejecución por encima de lo programado en SisPT</t>
        </is>
      </c>
    </row>
    <row r="305">
      <c r="A305" t="inlineStr">
        <is>
          <t>IP-320</t>
        </is>
      </c>
      <c r="B305" t="inlineStr">
        <is>
          <t>23</t>
        </is>
      </c>
      <c r="C305" t="inlineStr">
        <is>
          <t>Tecnologías de la información y las comunicaciones</t>
        </is>
      </c>
      <c r="D305" t="inlineStr">
        <is>
          <t>2301</t>
        </is>
      </c>
      <c r="E305" t="inlineStr">
        <is>
          <t>Facilitar el acceso y uso de las Tecnologías de la Información y las Comunicaciones (TIC) en todo el territorio nacional</t>
        </is>
      </c>
      <c r="F305" t="inlineStr">
        <is>
          <t>2301030</t>
        </is>
      </c>
      <c r="G305" t="inlineStr">
        <is>
          <t>Servicio de educación informal en tecnologías de la información y las comunicaciones.</t>
        </is>
      </c>
      <c r="H305" t="inlineStr">
        <is>
          <t>230103000</t>
        </is>
      </c>
      <c r="I305" t="inlineStr">
        <is>
          <t>Personas capacitadas en tecnologías de la información y las comunicaciones</t>
        </is>
      </c>
      <c r="J305" t="inlineStr">
        <is>
          <t>2024251260079</t>
        </is>
      </c>
      <c r="K305" t="inlineStr">
        <is>
          <t>Si</t>
        </is>
      </c>
      <c r="L305" t="inlineStr">
        <is>
          <t>Número</t>
        </is>
      </c>
      <c r="M305">
        <v>6</v>
      </c>
      <c r="N305">
        <v>6</v>
      </c>
      <c r="O305">
        <v>6</v>
      </c>
      <c r="P305">
        <v>6</v>
      </c>
      <c r="Q305">
        <v>6</v>
      </c>
      <c r="R305">
        <v>250</v>
      </c>
      <c r="S305" s="103">
        <v>41.6666666666667</v>
      </c>
      <c r="T305" t="inlineStr">
        <is>
          <t>Hubo ejecución por encima de lo programado en SisPT</t>
        </is>
      </c>
      <c r="U305">
        <v>525</v>
      </c>
      <c r="V305" s="104">
        <v>87.5</v>
      </c>
      <c r="W305" t="inlineStr">
        <is>
          <t>Hubo ejecución por encima de lo programado en SisPT</t>
        </is>
      </c>
    </row>
    <row r="306">
      <c r="A306" t="inlineStr">
        <is>
          <t>IP-322</t>
        </is>
      </c>
      <c r="B306" t="inlineStr">
        <is>
          <t>23</t>
        </is>
      </c>
      <c r="C306" t="inlineStr">
        <is>
          <t>Tecnologías de la información y las comunicaciones</t>
        </is>
      </c>
      <c r="D306" t="inlineStr">
        <is>
          <t>2302</t>
        </is>
      </c>
      <c r="E306" t="inlineStr">
        <is>
          <t>Fomento del desarrollo de aplicaciones, software y contenidos para impulsar la apropiación de las Tecnologías de la Información y las Comunicaciones (TIC)</t>
        </is>
      </c>
      <c r="F306" t="inlineStr">
        <is>
          <t>2302002</t>
        </is>
      </c>
      <c r="G306" t="inlineStr">
        <is>
          <t>Contenidos digitales</t>
        </is>
      </c>
      <c r="H306" t="inlineStr">
        <is>
          <t>230200200</t>
        </is>
      </c>
      <c r="I306" t="inlineStr">
        <is>
          <t>Contenidos digitales publicados</t>
        </is>
      </c>
      <c r="J306" t="inlineStr">
        <is>
          <t>2024251260070</t>
        </is>
      </c>
      <c r="K306" t="inlineStr">
        <is>
          <t>Si</t>
        </is>
      </c>
      <c r="L306" t="inlineStr">
        <is>
          <t>Número</t>
        </is>
      </c>
      <c r="M306">
        <v>1</v>
      </c>
      <c r="N306">
        <v>1</v>
      </c>
      <c r="O306">
        <v>1</v>
      </c>
      <c r="P306">
        <v>1</v>
      </c>
      <c r="Q306">
        <v>1</v>
      </c>
      <c r="R306">
        <v>1617</v>
      </c>
      <c r="S306" s="103">
        <v>1617</v>
      </c>
      <c r="T306" t="inlineStr">
        <is>
          <t>Hubo ejecución por encima de lo programado en SisPT</t>
        </is>
      </c>
      <c r="U306">
        <v>0.68</v>
      </c>
      <c r="V306" s="104">
        <v>0.68</v>
      </c>
      <c r="W306" t="inlineStr">
        <is>
          <t>Lo ejecutado está por debajo de lo programado en la vigencia</t>
        </is>
      </c>
    </row>
    <row r="307">
      <c r="A307" t="inlineStr">
        <is>
          <t>IP-323</t>
        </is>
      </c>
      <c r="B307" t="inlineStr">
        <is>
          <t>23</t>
        </is>
      </c>
      <c r="C307" t="inlineStr">
        <is>
          <t>Tecnologías de la información y las comunicaciones</t>
        </is>
      </c>
      <c r="D307" t="inlineStr">
        <is>
          <t>2301</t>
        </is>
      </c>
      <c r="E307" t="inlineStr">
        <is>
          <t>Facilitar el acceso y uso de las Tecnologías de la Información y las Comunicaciones (TIC) en todo el territorio nacional</t>
        </is>
      </c>
      <c r="F307" t="inlineStr">
        <is>
          <t>2301075</t>
        </is>
      </c>
      <c r="G307" t="inlineStr">
        <is>
          <t>Servicio de Información implementado</t>
        </is>
      </c>
      <c r="H307" t="inlineStr">
        <is>
          <t>230107500</t>
        </is>
      </c>
      <c r="I307" t="inlineStr">
        <is>
          <t>Sistemas de información implementados</t>
        </is>
      </c>
      <c r="J307" t="inlineStr">
        <is>
          <t>2024251260083</t>
        </is>
      </c>
      <c r="K307" t="inlineStr">
        <is>
          <t>Si</t>
        </is>
      </c>
      <c r="L307" t="inlineStr">
        <is>
          <t>Número</t>
        </is>
      </c>
      <c r="M307">
        <v>1</v>
      </c>
      <c r="N307">
        <v>0.25</v>
      </c>
      <c r="O307">
        <v>0.25</v>
      </c>
      <c r="P307">
        <v>0.25</v>
      </c>
      <c r="Q307">
        <v>0.25</v>
      </c>
      <c r="R307" t="inlineStr">
        <is>
          <t xml:space="preserve"> </t>
        </is>
      </c>
      <c r="S307" s="103" t="inlineStr">
        <is>
          <t xml:space="preserve"> </t>
        </is>
      </c>
      <c r="T307" t="inlineStr">
        <is>
          <t>No se encontró ejecución en PIIP</t>
        </is>
      </c>
      <c r="U307" t="inlineStr">
        <is>
          <t xml:space="preserve"> </t>
        </is>
      </c>
      <c r="V307" s="104" t="inlineStr">
        <is>
          <t xml:space="preserve"> </t>
        </is>
      </c>
      <c r="W307" t="inlineStr">
        <is>
          <t>No se encontró ejecución en PIIP</t>
        </is>
      </c>
    </row>
    <row r="308">
      <c r="A308" t="inlineStr">
        <is>
          <t>IP-324</t>
        </is>
      </c>
      <c r="B308" t="inlineStr">
        <is>
          <t>23</t>
        </is>
      </c>
      <c r="C308" t="inlineStr">
        <is>
          <t>Tecnologías de la información y las comunicaciones</t>
        </is>
      </c>
      <c r="D308" t="inlineStr">
        <is>
          <t>2301</t>
        </is>
      </c>
      <c r="E308" t="inlineStr">
        <is>
          <t>Facilitar el acceso y uso de las Tecnologías de la Información y las Comunicaciones (TIC) en todo el territorio nacional</t>
        </is>
      </c>
      <c r="F308" t="inlineStr">
        <is>
          <t>2301077</t>
        </is>
      </c>
      <c r="G308" t="inlineStr">
        <is>
          <t>Servicio de información actualizado</t>
        </is>
      </c>
      <c r="H308" t="inlineStr">
        <is>
          <t>230107700</t>
        </is>
      </c>
      <c r="I308" t="inlineStr">
        <is>
          <t>Sistemas de información actualizados</t>
        </is>
      </c>
      <c r="J308" t="inlineStr">
        <is>
          <t>2024251260083</t>
        </is>
      </c>
      <c r="K308" t="inlineStr">
        <is>
          <t>Si</t>
        </is>
      </c>
      <c r="L308" t="inlineStr">
        <is>
          <t>Número</t>
        </is>
      </c>
      <c r="M308">
        <v>1</v>
      </c>
      <c r="N308">
        <v>0.25</v>
      </c>
      <c r="O308">
        <v>0.25</v>
      </c>
      <c r="P308">
        <v>0.25</v>
      </c>
      <c r="Q308">
        <v>0.25</v>
      </c>
      <c r="R308" t="inlineStr">
        <is>
          <t xml:space="preserve"> </t>
        </is>
      </c>
      <c r="S308" s="103" t="inlineStr">
        <is>
          <t xml:space="preserve"> </t>
        </is>
      </c>
      <c r="T308" t="inlineStr">
        <is>
          <t>No se encontró ejecución en PIIP</t>
        </is>
      </c>
      <c r="U308" t="inlineStr">
        <is>
          <t xml:space="preserve"> </t>
        </is>
      </c>
      <c r="V308" s="104" t="inlineStr">
        <is>
          <t xml:space="preserve"> </t>
        </is>
      </c>
      <c r="W308" t="inlineStr">
        <is>
          <t>No se encontró ejecución en PIIP</t>
        </is>
      </c>
    </row>
    <row r="309">
      <c r="A309" t="inlineStr">
        <is>
          <t>IP-325</t>
        </is>
      </c>
      <c r="B309" t="inlineStr">
        <is>
          <t>23</t>
        </is>
      </c>
      <c r="C309" t="inlineStr">
        <is>
          <t>Tecnologías de la información y las comunicaciones</t>
        </is>
      </c>
      <c r="D309" t="inlineStr">
        <is>
          <t>2302</t>
        </is>
      </c>
      <c r="E309" t="inlineStr">
        <is>
          <t>Fomento del desarrollo de aplicaciones, software y contenidos para impulsar la apropiación de las Tecnologías de la Información y las Comunicaciones (TIC)</t>
        </is>
      </c>
      <c r="F309" t="inlineStr">
        <is>
          <t>2302002</t>
        </is>
      </c>
      <c r="G309" t="inlineStr">
        <is>
          <t>Contenidos digitales</t>
        </is>
      </c>
      <c r="H309" t="inlineStr">
        <is>
          <t>230200201</t>
        </is>
      </c>
      <c r="I309" t="inlineStr">
        <is>
          <t xml:space="preserve">Contenidos  digitales con enfoque diferencial para la socialización de las Tecnologías de la Información y las Comunicaciones publicados </t>
        </is>
      </c>
      <c r="J309" t="inlineStr">
        <is>
          <t>2024251260070</t>
        </is>
      </c>
      <c r="K309" t="inlineStr">
        <is>
          <t>Si</t>
        </is>
      </c>
      <c r="L309" t="inlineStr">
        <is>
          <t>Número</t>
        </is>
      </c>
      <c r="M309">
        <v>1</v>
      </c>
      <c r="N309">
        <v>1</v>
      </c>
      <c r="O309">
        <v>1</v>
      </c>
      <c r="P309">
        <v>1</v>
      </c>
      <c r="Q309">
        <v>1</v>
      </c>
      <c r="R309">
        <v>1</v>
      </c>
      <c r="S309" s="103">
        <v>1</v>
      </c>
      <c r="T309" t="inlineStr">
        <is>
          <t>Se ejecutó el 100% de lo programado en la vigencia</t>
        </is>
      </c>
      <c r="U309">
        <v>0.5</v>
      </c>
      <c r="V309" s="104">
        <v>0.5</v>
      </c>
      <c r="W309" t="inlineStr">
        <is>
          <t>Lo ejecutado está por debajo de lo programado en la vigencia</t>
        </is>
      </c>
    </row>
    <row r="310">
      <c r="A310" t="inlineStr">
        <is>
          <t>IP-326</t>
        </is>
      </c>
      <c r="B310" t="inlineStr">
        <is>
          <t>12</t>
        </is>
      </c>
      <c r="C310" t="inlineStr">
        <is>
          <t>Justicia y del derecho</t>
        </is>
      </c>
      <c r="D310" t="inlineStr">
        <is>
          <t>1203</t>
        </is>
      </c>
      <c r="E310" t="inlineStr">
        <is>
          <t>Promoción de los métodos de resolución de conflictos</t>
        </is>
      </c>
      <c r="F310" t="inlineStr">
        <is>
          <t>1203002</t>
        </is>
      </c>
      <c r="G310" t="inlineStr">
        <is>
          <t>Servicio de asistencia técnica para la implementación de los métodos de resolución de conflictos</t>
        </is>
      </c>
      <c r="H310" t="inlineStr">
        <is>
          <t>120300200</t>
        </is>
      </c>
      <c r="I310" t="inlineStr">
        <is>
          <t>Instituciones públicas y privadas asistidas técnicamente en métodos de resolución de conflictos</t>
        </is>
      </c>
      <c r="J310" t="inlineStr">
        <is>
          <t>2024251260071</t>
        </is>
      </c>
      <c r="K310" t="inlineStr">
        <is>
          <t>No</t>
        </is>
      </c>
      <c r="L310" t="inlineStr">
        <is>
          <t>Número</t>
        </is>
      </c>
      <c r="M310">
        <v>100</v>
      </c>
      <c r="N310">
        <v>100</v>
      </c>
      <c r="O310">
        <v>100</v>
      </c>
      <c r="P310">
        <v>100</v>
      </c>
      <c r="Q310">
        <v>100</v>
      </c>
      <c r="R310">
        <v>3</v>
      </c>
      <c r="S310" s="103">
        <v>0.03</v>
      </c>
      <c r="T310" t="inlineStr">
        <is>
          <t>Lo ejecutado está por debajo de lo programado en la vigencia</t>
        </is>
      </c>
      <c r="U310">
        <v>2.25</v>
      </c>
      <c r="V310" s="104">
        <v>0.0225</v>
      </c>
      <c r="W310" t="inlineStr">
        <is>
          <t>Lo ejecutado está por debajo de lo programado en la vigencia</t>
        </is>
      </c>
    </row>
    <row r="311">
      <c r="A311" t="inlineStr">
        <is>
          <t>IP-327</t>
        </is>
      </c>
      <c r="B311" t="inlineStr">
        <is>
          <t>12</t>
        </is>
      </c>
      <c r="C311" t="inlineStr">
        <is>
          <t>Justicia y del derecho</t>
        </is>
      </c>
      <c r="D311" t="inlineStr">
        <is>
          <t>1203</t>
        </is>
      </c>
      <c r="E311" t="inlineStr">
        <is>
          <t>Promoción de los métodos de resolución de conflictos</t>
        </is>
      </c>
      <c r="F311" t="inlineStr">
        <is>
          <t>1203011</t>
        </is>
      </c>
      <c r="G311" t="inlineStr">
        <is>
          <t>Servicio de asistencia técnica para la implementación de los métodos de solución de conflictos</t>
        </is>
      </c>
      <c r="H311" t="inlineStr">
        <is>
          <t>120301101</t>
        </is>
      </c>
      <c r="I311" t="inlineStr">
        <is>
          <t>Entidades asistidas técnicamente</t>
        </is>
      </c>
      <c r="J311" t="inlineStr">
        <is>
          <t>2024251260077</t>
        </is>
      </c>
      <c r="K311" t="inlineStr">
        <is>
          <t>No</t>
        </is>
      </c>
      <c r="L311" t="inlineStr">
        <is>
          <t>Número</t>
        </is>
      </c>
      <c r="M311">
        <v>100</v>
      </c>
      <c r="N311">
        <v>100</v>
      </c>
      <c r="O311">
        <v>100</v>
      </c>
      <c r="P311">
        <v>100</v>
      </c>
      <c r="Q311">
        <v>100</v>
      </c>
      <c r="R311">
        <v>25</v>
      </c>
      <c r="S311" s="103">
        <v>0.25</v>
      </c>
      <c r="T311" t="inlineStr">
        <is>
          <t>Lo ejecutado está por debajo de lo programado en la vigencia</t>
        </is>
      </c>
      <c r="U311">
        <v>0.62</v>
      </c>
      <c r="V311" s="104">
        <v>0.0062</v>
      </c>
      <c r="W311" t="inlineStr">
        <is>
          <t>Lo ejecutado está por debajo de lo programado en la vigencia</t>
        </is>
      </c>
    </row>
    <row r="312">
      <c r="A312" t="inlineStr">
        <is>
          <t>IP-328</t>
        </is>
      </c>
      <c r="B312" t="inlineStr">
        <is>
          <t>12</t>
        </is>
      </c>
      <c r="C312" t="inlineStr">
        <is>
          <t>Justicia y del derecho</t>
        </is>
      </c>
      <c r="D312" t="inlineStr">
        <is>
          <t>1202</t>
        </is>
      </c>
      <c r="E312" t="inlineStr">
        <is>
          <t>Promoción al acceso a la justicia</t>
        </is>
      </c>
      <c r="F312" t="inlineStr">
        <is>
          <t>1202023</t>
        </is>
      </c>
      <c r="G312" t="inlineStr">
        <is>
          <t>Servicio de asistencia técnica en la promoción y articulación de los servicios de justicia</t>
        </is>
      </c>
      <c r="H312" t="inlineStr">
        <is>
          <t>120202300</t>
        </is>
      </c>
      <c r="I312" t="inlineStr">
        <is>
          <t>Asistencias técnicas realizadas</t>
        </is>
      </c>
      <c r="J312" t="inlineStr">
        <is>
          <t>2024251260072</t>
        </is>
      </c>
      <c r="K312" t="inlineStr">
        <is>
          <t>Si</t>
        </is>
      </c>
      <c r="L312" t="inlineStr">
        <is>
          <t>Número</t>
        </is>
      </c>
      <c r="M312">
        <v>100</v>
      </c>
      <c r="N312">
        <v>100</v>
      </c>
      <c r="O312">
        <v>100</v>
      </c>
      <c r="P312">
        <v>100</v>
      </c>
      <c r="Q312">
        <v>100</v>
      </c>
      <c r="R312">
        <v>0</v>
      </c>
      <c r="S312" s="103">
        <v>0</v>
      </c>
      <c r="T312" t="inlineStr">
        <is>
          <t>No se ejecutó en la vigencia</t>
        </is>
      </c>
      <c r="U312">
        <v>50</v>
      </c>
      <c r="V312" s="104">
        <v>0.5</v>
      </c>
      <c r="W312" t="inlineStr">
        <is>
          <t>Lo ejecutado está por debajo de lo programado en la vigencia</t>
        </is>
      </c>
    </row>
    <row r="313">
      <c r="A313" t="inlineStr">
        <is>
          <t>IP-329</t>
        </is>
      </c>
      <c r="B313" t="inlineStr">
        <is>
          <t>12</t>
        </is>
      </c>
      <c r="C313" t="inlineStr">
        <is>
          <t>Justicia y del derecho</t>
        </is>
      </c>
      <c r="D313" t="inlineStr">
        <is>
          <t>1206</t>
        </is>
      </c>
      <c r="E313" t="inlineStr">
        <is>
          <t>Sistema penitenciario y carcelario en el marco de los derechos humanos</t>
        </is>
      </c>
      <c r="F313" t="inlineStr">
        <is>
          <t>1206008</t>
        </is>
      </c>
      <c r="G313" t="inlineStr">
        <is>
          <t>Infraestructura penitenciaria y carcelaria dotada</t>
        </is>
      </c>
      <c r="H313" t="inlineStr">
        <is>
          <t>120600800</t>
        </is>
      </c>
      <c r="I313" t="inlineStr">
        <is>
          <t>Establecimientos de reclusión (nacionales y territoriales) dotados</t>
        </is>
      </c>
      <c r="J313" t="inlineStr">
        <is>
          <t>2024251260075</t>
        </is>
      </c>
      <c r="K313" t="inlineStr">
        <is>
          <t>No</t>
        </is>
      </c>
      <c r="L313" t="inlineStr">
        <is>
          <t>Número</t>
        </is>
      </c>
      <c r="M313">
        <v>1</v>
      </c>
      <c r="N313">
        <v>1</v>
      </c>
      <c r="O313">
        <v>1</v>
      </c>
      <c r="P313">
        <v>1</v>
      </c>
      <c r="Q313">
        <v>1</v>
      </c>
      <c r="R313" t="inlineStr">
        <is>
          <t xml:space="preserve"> </t>
        </is>
      </c>
      <c r="S313" s="103" t="inlineStr">
        <is>
          <t xml:space="preserve"> </t>
        </is>
      </c>
      <c r="T313" t="inlineStr">
        <is>
          <t>No se encontró ejecución en PIIP</t>
        </is>
      </c>
      <c r="U313" t="inlineStr">
        <is>
          <t xml:space="preserve"> </t>
        </is>
      </c>
      <c r="V313" s="104" t="inlineStr">
        <is>
          <t xml:space="preserve"> </t>
        </is>
      </c>
      <c r="W313" t="inlineStr">
        <is>
          <t>No se encontró ejecución en PIIP</t>
        </is>
      </c>
    </row>
    <row r="314">
      <c r="A314" t="inlineStr">
        <is>
          <t>IP-330</t>
        </is>
      </c>
      <c r="B314" t="inlineStr">
        <is>
          <t>12</t>
        </is>
      </c>
      <c r="C314" t="inlineStr">
        <is>
          <t>Justicia y del derecho</t>
        </is>
      </c>
      <c r="D314" t="inlineStr">
        <is>
          <t>1202</t>
        </is>
      </c>
      <c r="E314" t="inlineStr">
        <is>
          <t>Promoción al acceso a la justicia</t>
        </is>
      </c>
      <c r="F314" t="inlineStr">
        <is>
          <t>1202013</t>
        </is>
      </c>
      <c r="G314" t="inlineStr">
        <is>
          <t>Casa de justicia dotada</t>
        </is>
      </c>
      <c r="H314" t="inlineStr">
        <is>
          <t>120201300</t>
        </is>
      </c>
      <c r="I314" t="inlineStr">
        <is>
          <t>Casas de justicia dotadas</t>
        </is>
      </c>
      <c r="J314" t="inlineStr">
        <is>
          <t>2024251260072</t>
        </is>
      </c>
      <c r="K314" t="inlineStr">
        <is>
          <t>Si</t>
        </is>
      </c>
      <c r="L314" t="inlineStr">
        <is>
          <t>Número</t>
        </is>
      </c>
      <c r="M314">
        <v>100</v>
      </c>
      <c r="N314">
        <v>100</v>
      </c>
      <c r="O314">
        <v>100</v>
      </c>
      <c r="P314">
        <v>100</v>
      </c>
      <c r="Q314">
        <v>100</v>
      </c>
      <c r="R314">
        <v>1</v>
      </c>
      <c r="S314" s="103">
        <v>0.01</v>
      </c>
      <c r="T314" t="inlineStr">
        <is>
          <t>Lo ejecutado está por debajo de lo programado en la vigencia</t>
        </is>
      </c>
      <c r="U314">
        <v>0.4416</v>
      </c>
      <c r="V314" s="104">
        <v>0.004416</v>
      </c>
      <c r="W314" t="inlineStr">
        <is>
          <t>Lo ejecutado está por debajo de lo programado en la vigencia</t>
        </is>
      </c>
    </row>
    <row r="315">
      <c r="A315" t="inlineStr">
        <is>
          <t>IP-331</t>
        </is>
      </c>
      <c r="B315" t="inlineStr">
        <is>
          <t>12</t>
        </is>
      </c>
      <c r="C315" t="inlineStr">
        <is>
          <t>Justicia y del derecho</t>
        </is>
      </c>
      <c r="D315" t="inlineStr">
        <is>
          <t>1202</t>
        </is>
      </c>
      <c r="E315" t="inlineStr">
        <is>
          <t>Promoción al acceso a la justicia</t>
        </is>
      </c>
      <c r="F315" t="inlineStr">
        <is>
          <t>1202032</t>
        </is>
      </c>
      <c r="G315" t="inlineStr">
        <is>
          <t>Servicio de articulación entre la Rama Ejecutiva y la Rama Judicial</t>
        </is>
      </c>
      <c r="H315" t="inlineStr">
        <is>
          <t>120203201</t>
        </is>
      </c>
      <c r="I315" t="inlineStr">
        <is>
          <t>Espacios establecidos</t>
        </is>
      </c>
      <c r="J315" t="inlineStr">
        <is>
          <t>2024251260072</t>
        </is>
      </c>
      <c r="K315" t="inlineStr">
        <is>
          <t>Si</t>
        </is>
      </c>
      <c r="L315" t="inlineStr">
        <is>
          <t>Número</t>
        </is>
      </c>
      <c r="M315">
        <v>1</v>
      </c>
      <c r="N315">
        <v>0</v>
      </c>
      <c r="O315">
        <v>0.25</v>
      </c>
      <c r="P315">
        <v>0.25</v>
      </c>
      <c r="Q315">
        <v>0.25</v>
      </c>
      <c r="R315">
        <v>0</v>
      </c>
      <c r="S315" s="103" t="inlineStr">
        <is>
          <t xml:space="preserve"> </t>
        </is>
      </c>
      <c r="T315" t="inlineStr">
        <is>
          <t>No se programó ni ejecutó en la vigencia</t>
        </is>
      </c>
      <c r="U315" t="inlineStr">
        <is>
          <t xml:space="preserve"> </t>
        </is>
      </c>
      <c r="V315" s="104" t="inlineStr">
        <is>
          <t xml:space="preserve"> </t>
        </is>
      </c>
      <c r="W315" t="inlineStr">
        <is>
          <t>No se encontró ejecución en PIIP</t>
        </is>
      </c>
    </row>
    <row r="316">
      <c r="A316" t="inlineStr">
        <is>
          <t>IP-332</t>
        </is>
      </c>
      <c r="B316" t="inlineStr">
        <is>
          <t>12</t>
        </is>
      </c>
      <c r="C316" t="inlineStr">
        <is>
          <t>Justicia y del derecho</t>
        </is>
      </c>
      <c r="D316" t="inlineStr">
        <is>
          <t>1202</t>
        </is>
      </c>
      <c r="E316" t="inlineStr">
        <is>
          <t>Promoción al acceso a la justicia</t>
        </is>
      </c>
      <c r="F316" t="inlineStr">
        <is>
          <t>1202002</t>
        </is>
      </c>
      <c r="G316" t="inlineStr">
        <is>
          <t>Servicio de justicia a los ciudadanos</t>
        </is>
      </c>
      <c r="H316" t="inlineStr">
        <is>
          <t>120200201</t>
        </is>
      </c>
      <c r="I316" t="inlineStr">
        <is>
          <t>Ciudadanos con servicio de justicia prestado en los centros de convivencia ciudadana</t>
        </is>
      </c>
      <c r="J316" t="inlineStr">
        <is>
          <t>2024251260090</t>
        </is>
      </c>
      <c r="K316" t="inlineStr">
        <is>
          <t>Si</t>
        </is>
      </c>
      <c r="L316" t="inlineStr">
        <is>
          <t>Número</t>
        </is>
      </c>
      <c r="M316">
        <v>1</v>
      </c>
      <c r="N316">
        <v>0.25</v>
      </c>
      <c r="O316">
        <v>0.25</v>
      </c>
      <c r="P316">
        <v>0.25</v>
      </c>
      <c r="Q316">
        <v>0.25</v>
      </c>
      <c r="R316" t="inlineStr">
        <is>
          <t xml:space="preserve"> </t>
        </is>
      </c>
      <c r="S316" s="103" t="inlineStr">
        <is>
          <t xml:space="preserve"> </t>
        </is>
      </c>
      <c r="T316" t="inlineStr">
        <is>
          <t>No se encontró ejecución en PIIP</t>
        </is>
      </c>
      <c r="U316" t="inlineStr">
        <is>
          <t xml:space="preserve"> </t>
        </is>
      </c>
      <c r="V316" s="104" t="inlineStr">
        <is>
          <t xml:space="preserve"> </t>
        </is>
      </c>
      <c r="W316" t="inlineStr">
        <is>
          <t>No se encontró ejecución en PIIP</t>
        </is>
      </c>
    </row>
    <row r="317">
      <c r="A317" t="inlineStr">
        <is>
          <t>IP-333</t>
        </is>
      </c>
      <c r="B317" t="inlineStr">
        <is>
          <t>25</t>
        </is>
      </c>
      <c r="C317" t="inlineStr">
        <is>
          <t>Organismos de Control</t>
        </is>
      </c>
      <c r="D317" t="inlineStr">
        <is>
          <t>2501</t>
        </is>
      </c>
      <c r="E317" t="inlineStr">
        <is>
          <t>Fortalecimiento del control y la vigilancia de la gestión fiscal y resarcimiento al daño del patrimonio público</t>
        </is>
      </c>
      <c r="F317" t="inlineStr">
        <is>
          <t>2501004</t>
        </is>
      </c>
      <c r="G317" t="inlineStr">
        <is>
          <t>Servicio de control fiscal participativo</t>
        </is>
      </c>
      <c r="H317" t="inlineStr">
        <is>
          <t>250100401</t>
        </is>
      </c>
      <c r="I317" t="inlineStr">
        <is>
          <t>Estrategias  implementadas</t>
        </is>
      </c>
      <c r="J317" t="inlineStr">
        <is>
          <t>2024251260073</t>
        </is>
      </c>
      <c r="K317" t="inlineStr">
        <is>
          <t>No</t>
        </is>
      </c>
      <c r="L317" t="inlineStr">
        <is>
          <t>Número</t>
        </is>
      </c>
      <c r="M317">
        <v>1</v>
      </c>
      <c r="N317">
        <v>0.25</v>
      </c>
      <c r="O317">
        <v>0.25</v>
      </c>
      <c r="P317">
        <v>0.25</v>
      </c>
      <c r="Q317">
        <v>0.25</v>
      </c>
      <c r="R317" t="inlineStr">
        <is>
          <t xml:space="preserve"> </t>
        </is>
      </c>
      <c r="S317" s="103" t="inlineStr">
        <is>
          <t xml:space="preserve"> </t>
        </is>
      </c>
      <c r="T317" t="inlineStr">
        <is>
          <t>No se encontró ejecución en PIIP</t>
        </is>
      </c>
      <c r="U317" t="inlineStr">
        <is>
          <t xml:space="preserve"> </t>
        </is>
      </c>
      <c r="V317" s="104" t="inlineStr">
        <is>
          <t xml:space="preserve"> </t>
        </is>
      </c>
      <c r="W317" t="inlineStr">
        <is>
          <t>No se encontró ejecución en PIIP</t>
        </is>
      </c>
    </row>
    <row r="318">
      <c r="A318" t="inlineStr">
        <is>
          <t>IP-334</t>
        </is>
      </c>
      <c r="B318" t="inlineStr">
        <is>
          <t>25</t>
        </is>
      </c>
      <c r="C318" t="inlineStr">
        <is>
          <t>Organismos de Control</t>
        </is>
      </c>
      <c r="D318" t="inlineStr">
        <is>
          <t>2501</t>
        </is>
      </c>
      <c r="E318" t="inlineStr">
        <is>
          <t>Fortalecimiento del control y la vigilancia de la gestión fiscal y resarcimiento al daño del patrimonio público</t>
        </is>
      </c>
      <c r="F318" t="inlineStr">
        <is>
          <t>2501017</t>
        </is>
      </c>
      <c r="G318" t="inlineStr">
        <is>
          <t>Servicio de seguimiento de políticas publicas</t>
        </is>
      </c>
      <c r="H318" t="inlineStr">
        <is>
          <t>250101700</t>
        </is>
      </c>
      <c r="I318" t="inlineStr">
        <is>
          <t>Políticas públicas de control y vigilancia fiscal con procesos de seguimiento realizados</t>
        </is>
      </c>
      <c r="J318" t="inlineStr">
        <is>
          <t>2024251260073</t>
        </is>
      </c>
      <c r="K318" t="inlineStr">
        <is>
          <t>No</t>
        </is>
      </c>
      <c r="L318" t="inlineStr">
        <is>
          <t>Número</t>
        </is>
      </c>
      <c r="M318">
        <v>1</v>
      </c>
      <c r="N318">
        <v>1</v>
      </c>
      <c r="O318">
        <v>1</v>
      </c>
      <c r="P318">
        <v>1</v>
      </c>
      <c r="Q318">
        <v>1</v>
      </c>
      <c r="R318">
        <v>1</v>
      </c>
      <c r="S318" s="103">
        <v>1</v>
      </c>
      <c r="T318" t="inlineStr">
        <is>
          <t>Se ejecutó el 100% de lo programado en la vigencia</t>
        </is>
      </c>
      <c r="U318">
        <v>0.23</v>
      </c>
      <c r="V318" s="104">
        <v>0.23</v>
      </c>
      <c r="W318" t="inlineStr">
        <is>
          <t>Lo ejecutado está por debajo de lo programado en la vigencia</t>
        </is>
      </c>
    </row>
    <row r="319">
      <c r="A319" t="inlineStr">
        <is>
          <t>IP-335</t>
        </is>
      </c>
      <c r="B319" t="inlineStr">
        <is>
          <t>25</t>
        </is>
      </c>
      <c r="C319" t="inlineStr">
        <is>
          <t>Organismos de Control</t>
        </is>
      </c>
      <c r="D319" t="inlineStr">
        <is>
          <t>2501</t>
        </is>
      </c>
      <c r="E319" t="inlineStr">
        <is>
          <t>Fortalecimiento del control y la vigilancia de la gestión fiscal y resarcimiento al daño del patrimonio público</t>
        </is>
      </c>
      <c r="F319" t="inlineStr">
        <is>
          <t>2501006</t>
        </is>
      </c>
      <c r="G319" t="inlineStr">
        <is>
          <t>Servicio de divulgación para fortalecer la imagen de control fiscal</t>
        </is>
      </c>
      <c r="H319" t="inlineStr">
        <is>
          <t>250100600</t>
        </is>
      </c>
      <c r="I319" t="inlineStr">
        <is>
          <t xml:space="preserve">Estrategias de comunicación y posicionamiento institucional implementadas </t>
        </is>
      </c>
      <c r="J319" t="inlineStr">
        <is>
          <t>2024251260073</t>
        </is>
      </c>
      <c r="K319" t="inlineStr">
        <is>
          <t>No</t>
        </is>
      </c>
      <c r="L319" t="inlineStr">
        <is>
          <t>Número</t>
        </is>
      </c>
      <c r="M319">
        <v>1</v>
      </c>
      <c r="N319">
        <v>1</v>
      </c>
      <c r="O319">
        <v>1</v>
      </c>
      <c r="P319">
        <v>1</v>
      </c>
      <c r="Q319">
        <v>1</v>
      </c>
      <c r="R319">
        <v>1</v>
      </c>
      <c r="S319" s="103">
        <v>1</v>
      </c>
      <c r="T319" t="inlineStr">
        <is>
          <t>Se ejecutó el 100% de lo programado en la vigencia</t>
        </is>
      </c>
      <c r="U319">
        <v>0.5</v>
      </c>
      <c r="V319" s="104">
        <v>0.5</v>
      </c>
      <c r="W319" t="inlineStr">
        <is>
          <t>Lo ejecutado está por debajo de lo programado en la vigencia</t>
        </is>
      </c>
    </row>
    <row r="320">
      <c r="A320" t="inlineStr">
        <is>
          <t>IP-336</t>
        </is>
      </c>
      <c r="B320" t="inlineStr">
        <is>
          <t>25</t>
        </is>
      </c>
      <c r="C320" t="inlineStr">
        <is>
          <t>Organismos de Control</t>
        </is>
      </c>
      <c r="D320" t="inlineStr">
        <is>
          <t>2501</t>
        </is>
      </c>
      <c r="E320" t="inlineStr">
        <is>
          <t>Fortalecimiento del control y la vigilancia de la gestión fiscal y resarcimiento al daño del patrimonio público</t>
        </is>
      </c>
      <c r="F320" t="inlineStr">
        <is>
          <t>2501016</t>
        </is>
      </c>
      <c r="G320" t="inlineStr">
        <is>
          <t>Servicio de información implementado</t>
        </is>
      </c>
      <c r="H320" t="inlineStr">
        <is>
          <t>250101600</t>
        </is>
      </c>
      <c r="I320" t="inlineStr">
        <is>
          <t>Sistemas de información para el control y vigilancia fiscal implementados</t>
        </is>
      </c>
      <c r="J320" t="inlineStr">
        <is>
          <t>2024251260073</t>
        </is>
      </c>
      <c r="K320" t="inlineStr">
        <is>
          <t>No</t>
        </is>
      </c>
      <c r="L320" t="inlineStr">
        <is>
          <t>Número</t>
        </is>
      </c>
      <c r="M320">
        <v>1</v>
      </c>
      <c r="N320">
        <v>1</v>
      </c>
      <c r="O320">
        <v>1</v>
      </c>
      <c r="P320">
        <v>1</v>
      </c>
      <c r="Q320">
        <v>1</v>
      </c>
      <c r="R320">
        <v>1</v>
      </c>
      <c r="S320" s="103">
        <v>1</v>
      </c>
      <c r="T320" t="inlineStr">
        <is>
          <t>Se ejecutó el 100% de lo programado en la vigencia</t>
        </is>
      </c>
      <c r="U320">
        <v>0.5</v>
      </c>
      <c r="V320" s="104">
        <v>0.5</v>
      </c>
      <c r="W320" t="inlineStr">
        <is>
          <t>Lo ejecutado está por debajo de lo programado en la vigencia</t>
        </is>
      </c>
    </row>
    <row r="321">
      <c r="A321" t="inlineStr">
        <is>
          <t>IP-337</t>
        </is>
      </c>
      <c r="B321" t="inlineStr">
        <is>
          <t>25</t>
        </is>
      </c>
      <c r="C321" t="inlineStr">
        <is>
          <t>Organismos de Control</t>
        </is>
      </c>
      <c r="D321" t="inlineStr">
        <is>
          <t>2501</t>
        </is>
      </c>
      <c r="E321" t="inlineStr">
        <is>
          <t>Fortalecimiento del control y la vigilancia de la gestión fiscal y resarcimiento al daño del patrimonio público</t>
        </is>
      </c>
      <c r="F321" t="inlineStr">
        <is>
          <t>2501018</t>
        </is>
      </c>
      <c r="G321" t="inlineStr">
        <is>
          <t>Servicio de educación informal en áreas relacionadas con el control fiscal</t>
        </is>
      </c>
      <c r="H321" t="inlineStr">
        <is>
          <t>250101800</t>
        </is>
      </c>
      <c r="I321" t="inlineStr">
        <is>
          <t>Personas capacitadas</t>
        </is>
      </c>
      <c r="J321" t="inlineStr">
        <is>
          <t>2024251260073</t>
        </is>
      </c>
      <c r="K321" t="inlineStr">
        <is>
          <t>No</t>
        </is>
      </c>
      <c r="L321" t="inlineStr">
        <is>
          <t>Número</t>
        </is>
      </c>
      <c r="M321">
        <v>100</v>
      </c>
      <c r="N321">
        <v>100</v>
      </c>
      <c r="O321">
        <v>100</v>
      </c>
      <c r="P321">
        <v>100</v>
      </c>
      <c r="Q321">
        <v>100</v>
      </c>
      <c r="R321">
        <v>1</v>
      </c>
      <c r="S321" s="103">
        <v>0.01</v>
      </c>
      <c r="T321" t="inlineStr">
        <is>
          <t>Lo ejecutado está por debajo de lo programado en la vigencia</t>
        </is>
      </c>
      <c r="U321">
        <v>0.75</v>
      </c>
      <c r="V321" s="104">
        <v>0.0075</v>
      </c>
      <c r="W321" t="inlineStr">
        <is>
          <t>Lo ejecutado está por debajo de lo programado en la vigencia</t>
        </is>
      </c>
    </row>
    <row r="322">
      <c r="A322" t="inlineStr">
        <is>
          <t>IP-338</t>
        </is>
      </c>
      <c r="B322" t="inlineStr">
        <is>
          <t>25</t>
        </is>
      </c>
      <c r="C322" t="inlineStr">
        <is>
          <t>Organismos de Control</t>
        </is>
      </c>
      <c r="D322" t="inlineStr">
        <is>
          <t>2501</t>
        </is>
      </c>
      <c r="E322" t="inlineStr">
        <is>
          <t>Fortalecimiento del control y la vigilancia de la gestión fiscal y resarcimiento al daño del patrimonio público</t>
        </is>
      </c>
      <c r="F322" t="inlineStr">
        <is>
          <t>2501001</t>
        </is>
      </c>
      <c r="G322" t="inlineStr">
        <is>
          <t>Documentos de lineamientos técnicos</t>
        </is>
      </c>
      <c r="H322" t="inlineStr">
        <is>
          <t>250100100</t>
        </is>
      </c>
      <c r="I322" t="inlineStr">
        <is>
          <t>Documentos de lineamientos técnicos realizados</t>
        </is>
      </c>
      <c r="J322" t="inlineStr">
        <is>
          <t>2024251260076</t>
        </is>
      </c>
      <c r="K322" t="inlineStr">
        <is>
          <t>No</t>
        </is>
      </c>
      <c r="L322" t="inlineStr">
        <is>
          <t>Número</t>
        </is>
      </c>
      <c r="M322">
        <v>1</v>
      </c>
      <c r="N322">
        <v>1</v>
      </c>
      <c r="O322">
        <v>1</v>
      </c>
      <c r="P322">
        <v>1</v>
      </c>
      <c r="Q322">
        <v>1</v>
      </c>
      <c r="R322">
        <v>0.25</v>
      </c>
      <c r="S322" s="103">
        <v>0.25</v>
      </c>
      <c r="T322" t="inlineStr">
        <is>
          <t>Lo ejecutado está por debajo de lo programado en la vigencia</t>
        </is>
      </c>
      <c r="U322">
        <v>0.0986</v>
      </c>
      <c r="V322" s="104">
        <v>0.0986</v>
      </c>
      <c r="W322" t="inlineStr">
        <is>
          <t>Lo ejecutado está por debajo de lo programado en la vigencia</t>
        </is>
      </c>
    </row>
    <row r="323">
      <c r="A323" t="inlineStr">
        <is>
          <t>IP-339</t>
        </is>
      </c>
      <c r="B323" t="inlineStr">
        <is>
          <t>25</t>
        </is>
      </c>
      <c r="C323" t="inlineStr">
        <is>
          <t>Organismos de Control</t>
        </is>
      </c>
      <c r="D323" t="inlineStr">
        <is>
          <t>2501</t>
        </is>
      </c>
      <c r="E323" t="inlineStr">
        <is>
          <t>Fortalecimiento del control y la vigilancia de la gestión fiscal y resarcimiento al daño del patrimonio público</t>
        </is>
      </c>
      <c r="F323" t="inlineStr">
        <is>
          <t>2501021</t>
        </is>
      </c>
      <c r="G323" t="inlineStr">
        <is>
          <t>Servicio de control fiscal participativo</t>
        </is>
      </c>
      <c r="H323" t="inlineStr">
        <is>
          <t>250102100</t>
        </is>
      </c>
      <c r="I323" t="inlineStr">
        <is>
          <t>Estrategias de fortalecimiento de capacidades ciudadanas para el control social implementadas</t>
        </is>
      </c>
      <c r="J323" t="inlineStr">
        <is>
          <t>2024251260073</t>
        </is>
      </c>
      <c r="K323" t="inlineStr">
        <is>
          <t>No</t>
        </is>
      </c>
      <c r="L323" t="inlineStr">
        <is>
          <t>Número</t>
        </is>
      </c>
      <c r="M323">
        <v>1</v>
      </c>
      <c r="N323">
        <v>1</v>
      </c>
      <c r="O323">
        <v>1</v>
      </c>
      <c r="P323">
        <v>1</v>
      </c>
      <c r="Q323">
        <v>1</v>
      </c>
      <c r="R323">
        <v>1</v>
      </c>
      <c r="S323" s="103">
        <v>1</v>
      </c>
      <c r="T323" t="inlineStr">
        <is>
          <t>Se ejecutó el 100% de lo programado en la vigencia</t>
        </is>
      </c>
      <c r="U323">
        <v>0.35</v>
      </c>
      <c r="V323" s="104">
        <v>0.35</v>
      </c>
      <c r="W323" t="inlineStr">
        <is>
          <t>Lo ejecutado está por debajo de lo programado en la vigencia</t>
        </is>
      </c>
    </row>
    <row r="324">
      <c r="S324" s="103"/>
      <c r="V324"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Hojas de cálculo</vt:lpstr>
      </vt:variant>
      <vt:variant>
        <vt:i4>3</vt:i4>
      </vt:variant>
    </vt:vector>
  </HeadingPairs>
  <HyperlinksChanged>false</HyperlinksChanged>
  <LinksUpToDate>false</LinksUpToDate>
  <ScaleCrop>false</ScaleCrop>
  <SharedDoc>false</SharedDoc>
  <TitlesOfParts>
    <vt:vector size="3" baseType="lpstr">
      <vt:lpstr>Resumen</vt:lpstr>
      <vt:lpstr>Detalle seguimiento financiero</vt:lpstr>
      <vt:lpstr>Detalle seguimiento físico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Andres Gallegos Vargas</dc:creator>
  <cp:lastModifiedBy>German Andres Gallegos Vargas</cp:lastModifiedBy>
  <dcterms:created xsi:type="dcterms:W3CDTF">2025-07-07T13:41:15Z</dcterms:created>
  <dcterms:modified xsi:type="dcterms:W3CDTF">2025-11-20T23:01:40Z</dcterms:modified>
</cp:coreProperties>
</file>