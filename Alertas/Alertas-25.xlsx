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laneacionnacional-my.sharepoint.com/personal/jfernandez_dnp_gov_co1/Documents/1.Exceles_Diarios_DNP/1_raw/"/>
    </mc:Choice>
  </mc:AlternateContent>
  <xr:revisionPtr revIDLastSave="2545" documentId="8_{3E500AA4-C9A2-4767-9875-2B272A2641EF}" xr6:coauthVersionLast="47" xr6:coauthVersionMax="47" xr10:uidLastSave="{A7CE8F52-050E-4401-930F-797FAE297FD3}"/>
  <bookViews>
    <workbookView xWindow="-38510" yWindow="-110" windowWidth="38620" windowHeight="21100" tabRatio="761" activeTab="2"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<sst xmlns="http://schemas.openxmlformats.org/spreadsheetml/2006/main" count="135" uniqueCount="135">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</sst>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22" fillId="2" borderId="0" xfId="0" applyFont="1" applyFill="1" applyAlignment="1">
      <alignment horizontal="left" vertical="center"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2" fillId="2" borderId="0" xfId="0" applyFont="1" applyFill="1" applyAlignment="1">
      <alignment horizontal="center" vertical="top"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323A844-59F6-4CFF-B2A2-BF0212CF539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B7CD8E8E-8D81-4C80-B960-D4AFD8411CF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FFA0A7AD-A4DD-411F-8510-0B78C5FE52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FC4949ED-574F-4761-8733-80FC43E126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5F243644-0A4D-4AD3-BC98-3570269081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746F36F2-E967-4A5B-94BF-021A30EBADE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84FAD4F1-C49E-4A93-9478-8185A3570E3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2DF6305C-921E-4A32-A989-9C516849275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D7D233EA-0DF7-482A-949D-CD82A0C568D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86B84B9B-56F7-45CD-AFFC-A89204BD12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7D4104C1-8971-4F00-959A-EEEF9D0C5A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D6917C3C-8610-4F98-864C-E71ACBA3EB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D3B53EEF-7B35-48ED-8CE5-C6511C1C56A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DCAEDE21-FA12-4AC4-80FE-DA28F77763E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B45FA368-D803-45FF-B7A8-D374AFC408B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5D1761A8-8ADC-4481-A497-8F23BD791C7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DF34915E-900B-4D15-8741-922E79F5225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7341B5B2-D554-4A6A-9664-B8EAEAC254A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2AA8811C-D37A-4608-A706-AE244525789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95802F64-4154-4964-ADDB-22DFC1531B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5384FEB2-BD30-467C-B56F-3C413698720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7909BA9-503D-4235-8870-13CC19E4A14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DD9DC57F-022B-4A05-AF12-05578C7902C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5C4691E8-A4AF-48C7-88DA-2083A5A344F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2E3AE7D1-954D-48B5-8F8B-FBB0CD601C4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82350AAF-5EE0-47C8-A464-1E9BDD4EB72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DDE7D480-D3A4-43E1-9FCF-F293AC9BD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DFA61345-A336-4820-AA4B-F2A4E938593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A2C64689-3FA1-434A-8210-02844E82CCD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2264854B-AE4C-4911-A873-4301A71660E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14A3250B-29C1-4FFC-A1D1-F3D08EC352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66C00F5-9240-4105-8AED-023ECFDADE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454D0E62-D3A5-47C1-B495-3EF52688A8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6D86DC65-9C81-4C2E-98E8-E92F36034B6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D9CB5666-C64B-4EC0-85E2-ACE5E1DE05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B048170D-CA86-4780-B7D4-0AA1752BF82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DB92CD00-CFB3-420D-822B-189F1257992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C1034B20-8DFB-4F66-95E0-1A5B5245E7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BBAD76A8-8158-48BC-A07A-2F8C3C62EA3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133D8D48-CA7A-4736-BBFE-AA0673FE737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573BDA0E-984D-4DC4-B53E-87B8D97C4D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6FF80B81-0BDB-46D2-B93F-06525F82E82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62E90F78-9D57-41EA-923F-5214B1E7632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77EAEA10-3334-492E-833E-B5639C3EDF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FB97E7E-052A-4127-BDFD-BD8459E137E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86B504A4-39AD-4D05-9ADA-1236B8713BF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A31778E5-122C-4872-940E-FDA6DB6647F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398FFCD4-BF38-4FEB-B885-585E6F7DFB0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9CFEB6CF-D399-4C53-9A93-6EDA4933E24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C0F8FB15-AE96-4044-A34D-492AEDF78D2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878294" y="22688176"/>
          <a:ext cx="4332941" cy="1494118"/>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878294" y="16883529"/>
          <a:ext cx="4332941" cy="1553883"/>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54205" y="26770852"/>
          <a:ext cx="4575736" cy="31749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357" totalsRowCount="0" totalsRowShown="0">
  <autoFilter ref="A7:X357"/>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366" totalsRowCount="0" totalsRowShown="0">
  <autoFilter ref="A7:W366"/>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zoomScale="85" zoomScaleNormal="85" workbookViewId="0">
      <selection activeCell="D16" sqref="D16:E16"/>
    </sheetView>
  </sheetViews>
  <sheetFormatPr baseColWidth="10" defaultColWidth="0" defaultRowHeight="14.5" zeroHeight="1" x14ac:dyDescent="0.35"/>
  <cols>
    <col min="1" max="1" width="4.81640625" style="1" customWidth="1"/>
    <col min="2" max="2" width="18.453125" style="1" customWidth="1"/>
    <col min="3" max="12" width="15.453125" style="1" customWidth="1"/>
    <col min="13" max="13" width="18.453125" style="1" customWidth="1"/>
    <col min="14" max="14" width="4.81640625" style="1" customWidth="1"/>
    <col min="15" max="15" width="14.26953125" style="1" hidden="1" customWidth="1"/>
    <col min="16" max="23" width="11.54296875" style="1" hidden="1" customWidth="1"/>
    <col min="24" max="27" width="8" style="1" hidden="1" customWidth="1"/>
    <col min="28" max="16384" width="11.54296875" style="1" hidden="1"/>
  </cols>
  <sheetData>
    <row r="1" spans="2:28" ht="75.650000000000006" customHeight="1" x14ac:dyDescent="0.35">
      <c r="D1" s="79" t="str">
        <f>CONCATENATE("Informe de Seguimiento al PDT
Vigencia ",X1)</f>
        <v>Informe de Seguimiento al PDT
Vigencia (Dar clic en Habilitar Edición)</v>
      </c>
      <c r="E1" s="79"/>
      <c r="F1" s="79"/>
      <c r="G1" s="79"/>
      <c r="H1" s="79"/>
      <c r="I1" s="79"/>
      <c r="J1" s="79"/>
      <c r="K1" s="79"/>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3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49999999999999" customHeight="1" x14ac:dyDescent="0.45">
      <c r="B3" s="4"/>
      <c r="C3" s="77" t="inlineStr">
        <is>
          <t>Gobernando: más que un plan</t>
        </is>
      </c>
      <c r="D3" s="77"/>
      <c r="E3" s="77"/>
      <c r="F3" s="77"/>
      <c r="G3" s="77"/>
      <c r="H3" s="77"/>
      <c r="I3" s="77"/>
      <c r="J3" s="77"/>
      <c r="K3" s="77"/>
      <c r="L3" s="77"/>
      <c r="M3" s="4"/>
      <c r="Q3" s="1" t="s">
        <v>52</v>
      </c>
      <c r="S3" s="1" t="str">
        <f>IF(S2=".",",",".")</f>
        <v>,</v>
      </c>
      <c r="U3" s="1" t="str">
        <f>_xlfn.CONCAT("#",$S$3,"##0",$S$2,"0")</f>
        <v>#,##0.0</v>
      </c>
      <c r="X3" s="1">
        <f>IFERROR(INDEX(X5:AB5,MATCH($D$16,$C$23:$G$23,0)),0)</f>
        <v>0</v>
      </c>
    </row>
    <row r="4" spans="2:28" ht="18.649999999999999" customHeight="1" x14ac:dyDescent="0.45">
      <c r="B4" s="4"/>
      <c r="C4" s="77"/>
      <c r="D4" s="77"/>
      <c r="E4" s="77"/>
      <c r="F4" s="77"/>
      <c r="G4" s="77"/>
      <c r="H4" s="77"/>
      <c r="I4" s="77"/>
      <c r="J4" s="77"/>
      <c r="K4" s="77"/>
      <c r="L4" s="77"/>
      <c r="M4" s="4"/>
      <c r="Q4" s="1" t="s">
        <v>53</v>
      </c>
      <c r="X4" s="1">
        <v>2024</v>
      </c>
      <c r="Y4" s="1">
        <v>2025</v>
      </c>
      <c r="Z4" s="1">
        <v>2026</v>
      </c>
      <c r="AA4" s="1">
        <v>2027</v>
      </c>
      <c r="AB4" s="1" t="s">
        <v>6</v>
      </c>
    </row>
    <row r="5" spans="2:28" ht="25" x14ac:dyDescent="0.7">
      <c r="B5" s="78" t="inlineStr">
        <is>
          <t>Cundinamarca</t>
        </is>
      </c>
      <c r="C5" s="78"/>
      <c r="D5" s="78"/>
      <c r="E5" s="78"/>
      <c r="F5" s="78"/>
      <c r="G5" s="78"/>
      <c r="H5" s="78"/>
      <c r="I5" s="78"/>
      <c r="J5" s="78"/>
      <c r="K5" s="78"/>
      <c r="L5" s="78"/>
      <c r="M5" s="78"/>
      <c r="Q5" s="2" t="s">
        <v>6</v>
      </c>
      <c r="X5" s="1">
        <v>0</v>
      </c>
      <c r="Y5" s="1">
        <v>0</v>
      </c>
      <c r="Z5" s="1">
        <v>0</v>
      </c>
      <c r="AA5" s="1">
        <v>0</v>
      </c>
      <c r="AB5" s="1">
        <f>IFERROR(SUM(X5:AA5),0)</f>
        <v>0</v>
      </c>
    </row>
    <row r="6" spans="2:28" x14ac:dyDescent="0.35">
      <c r="P6" t="inlineStr">
        <is>
          <t>LineaEstrategica</t>
        </is>
      </c>
      <c r="Q6" t="inlineStr">
        <is>
          <t>2024</t>
        </is>
      </c>
      <c r="R6" t="inlineStr">
        <is>
          <t>2025</t>
        </is>
      </c>
      <c r="S6" t="inlineStr">
        <is>
          <t>2026</t>
        </is>
      </c>
      <c r="T6" t="inlineStr">
        <is>
          <t>2027</t>
        </is>
      </c>
    </row>
    <row r="7" spans="2:28" x14ac:dyDescent="0.35">
      <c r="E7" s="28"/>
      <c r="F7" s="28"/>
      <c r="G7" s="28"/>
      <c r="H7" s="30" t="s">
        <v>49</v>
      </c>
      <c r="I7" s="22" t="inlineStr">
        <is>
          <t>9 de marzo de 2026</t>
        </is>
      </c>
      <c r="J7" s="28"/>
      <c r="O7" s="5"/>
      <c r="P7" s="6" t="inlineStr">
        <is>
          <t>Línea estratégica “Bien Gobernar”</t>
        </is>
      </c>
      <c r="Q7" s="6">
        <v>239448.957364</v>
      </c>
      <c r="R7" s="6">
        <v>493386.836742</v>
      </c>
      <c r="S7" s="6">
        <v>466121.235606</v>
      </c>
      <c r="T7" s="6">
        <v>277061.051215</v>
      </c>
      <c r="U7" s="7">
        <f t="shared" ref="U7" si="0">SUM(Q7:T7)</f>
        <v>0</v>
      </c>
      <c r="V7" s="8">
        <f t="shared" ref="V7:V70" si="1">IF(P7="","",INDEX(Q7:U7,MATCH($D$16,$C$23:$G$23,0)))</f>
        <v>0</v>
      </c>
      <c r="W7" s="42" t="str">
        <f>IFERROR(IF(P7="","",CONCATENATE(TEXT(V7,$U$2)," (",TEXT(V7*100/$I$23,$U$3),"%)")),"")</f>
      </c>
    </row>
    <row r="8" spans="2:28" x14ac:dyDescent="0.35">
      <c r="P8" s="6" t="inlineStr">
        <is>
          <t>Línea estratégica “Bienestar verde”.</t>
        </is>
      </c>
      <c r="Q8" s="6">
        <v>94844.520173</v>
      </c>
      <c r="R8" s="6">
        <v>206465.887966</v>
      </c>
      <c r="S8" s="6">
        <v>194817.893618</v>
      </c>
      <c r="T8" s="6">
        <v>143329.84699</v>
      </c>
      <c r="U8" s="7">
        <f t="shared" ref="U8" si="2">SUM(Q8:T8)</f>
        <v>0</v>
      </c>
      <c r="V8" s="8" t="str">
        <f t="shared" si="1"/>
      </c>
      <c r="W8" s="42" t="str">
        <f t="shared" ref="W8:W71" si="3">IFERROR(IF(P8="","",CONCATENATE(TEXT(V8,$U$2)," (",TEXT(V8*100/$I$23,$U$3),"%)")),"")</f>
      </c>
    </row>
    <row r="9" spans="2:28" ht="30" customHeight="1" x14ac:dyDescent="0.35">
      <c r="B9" s="76" t="s">
        <v>128</v>
      </c>
      <c r="C9" s="76"/>
      <c r="D9" s="76"/>
      <c r="E9" s="76"/>
      <c r="F9" s="76"/>
      <c r="G9" s="76"/>
      <c r="H9" s="76"/>
      <c r="I9" s="76"/>
      <c r="J9" s="76"/>
      <c r="K9" s="76"/>
      <c r="L9" s="76"/>
      <c r="M9" s="76"/>
      <c r="P9" s="6" t="inlineStr">
        <is>
          <t>Línea estratégica “Competitividad compartida”</t>
        </is>
      </c>
      <c r="Q9" s="6">
        <v>620400.17871</v>
      </c>
      <c r="R9" s="6">
        <v>1294107.290396</v>
      </c>
      <c r="S9" s="6">
        <v>863770.918639</v>
      </c>
      <c r="T9" s="6">
        <v>360251.040042</v>
      </c>
      <c r="U9" s="7">
        <f t="shared" ref="U9:U40" si="4">SUM(Q9:T9)</f>
        <v>0</v>
      </c>
      <c r="V9" s="8" t="str">
        <f t="shared" si="1"/>
      </c>
      <c r="W9" s="42" t="str">
        <f t="shared" si="3"/>
      </c>
    </row>
    <row r="10" spans="2:28" ht="30" customHeight="1" x14ac:dyDescent="0.35">
      <c r="B10" s="76"/>
      <c r="C10" s="76"/>
      <c r="D10" s="76"/>
      <c r="E10" s="76"/>
      <c r="F10" s="76"/>
      <c r="G10" s="76"/>
      <c r="H10" s="76"/>
      <c r="I10" s="76"/>
      <c r="J10" s="76"/>
      <c r="K10" s="76"/>
      <c r="L10" s="76"/>
      <c r="M10" s="76"/>
      <c r="P10" s="6" t="inlineStr">
        <is>
          <t>Línea estratégica “Con-unidad”</t>
        </is>
      </c>
      <c r="Q10" s="6">
        <v>2014294.725684</v>
      </c>
      <c r="R10" s="6">
        <v>3074109.936043</v>
      </c>
      <c r="S10" s="6">
        <v>2764875.515611</v>
      </c>
      <c r="T10" s="6">
        <v>2466710.240505</v>
      </c>
      <c r="U10" s="7">
        <f t="shared" si="4"/>
        <v>0</v>
      </c>
      <c r="V10" s="8" t="str">
        <f t="shared" si="1"/>
      </c>
      <c r="W10" s="42" t="str">
        <f t="shared" si="3"/>
      </c>
    </row>
    <row r="11" spans="2:28" x14ac:dyDescent="0.35">
      <c r="P11" s="6"/>
      <c r="Q11" s="6"/>
      <c r="R11" s="6"/>
      <c r="S11" s="6"/>
      <c r="T11" s="6"/>
      <c r="U11" s="7">
        <f t="shared" si="4"/>
        <v>0</v>
      </c>
      <c r="V11" s="8" t="str">
        <f t="shared" si="1"/>
      </c>
      <c r="W11" s="42" t="str">
        <f t="shared" si="3"/>
      </c>
    </row>
    <row r="12" spans="2:28" ht="17.5" x14ac:dyDescent="0.45">
      <c r="B12" s="11" t="s">
        <v>105</v>
      </c>
      <c r="C12" s="12"/>
      <c r="D12" s="12"/>
      <c r="E12" s="12"/>
      <c r="F12" s="12"/>
      <c r="G12" s="12"/>
      <c r="H12" s="12"/>
      <c r="I12" s="12"/>
      <c r="J12" s="12"/>
      <c r="K12" s="12"/>
      <c r="L12" s="12"/>
      <c r="M12" s="12"/>
      <c r="P12" s="6"/>
      <c r="Q12" s="6"/>
      <c r="R12" s="6"/>
      <c r="S12" s="6"/>
      <c r="T12" s="6"/>
      <c r="U12" s="7">
        <f t="shared" si="4"/>
        <v>0</v>
      </c>
      <c r="V12" s="8" t="str">
        <f t="shared" si="1"/>
      </c>
      <c r="W12" s="42" t="str">
        <f t="shared" si="3"/>
      </c>
    </row>
    <row r="13" spans="2:28" x14ac:dyDescent="0.35">
      <c r="P13" s="6"/>
      <c r="Q13" s="6"/>
      <c r="R13" s="6"/>
      <c r="S13" s="6"/>
      <c r="T13" s="6"/>
      <c r="U13" s="7">
        <f t="shared" si="4"/>
        <v>0</v>
      </c>
      <c r="V13" s="8" t="str">
        <f t="shared" si="1"/>
      </c>
      <c r="W13" s="42" t="str">
        <f t="shared" si="3"/>
      </c>
    </row>
    <row r="14" spans="2:28" x14ac:dyDescent="0.35">
      <c r="B14" s="28" t="s">
        <v>4</v>
      </c>
      <c r="C14" s="28"/>
      <c r="D14" s="28"/>
      <c r="E14" s="28"/>
      <c r="F14" s="28"/>
      <c r="G14" s="28"/>
      <c r="H14" s="28"/>
      <c r="I14" s="28"/>
      <c r="U14" s="7">
        <f t="shared" si="4"/>
        <v>0</v>
      </c>
      <c r="V14" s="8" t="str">
        <f t="shared" si="1"/>
      </c>
      <c r="W14" s="42" t="str">
        <f t="shared" si="3"/>
      </c>
    </row>
    <row r="15" spans="2:28" x14ac:dyDescent="0.35">
      <c r="B15" s="28"/>
      <c r="C15" s="29"/>
      <c r="D15" s="28"/>
      <c r="E15" s="28"/>
      <c r="F15" s="28"/>
      <c r="G15" s="28"/>
      <c r="H15" s="35"/>
      <c r="I15" s="35"/>
      <c r="J15" s="3"/>
      <c r="U15" s="7">
        <f t="shared" si="4"/>
        <v>0</v>
      </c>
      <c r="V15" s="8" t="str">
        <f t="shared" si="1"/>
      </c>
      <c r="W15" s="42" t="str">
        <f t="shared" si="3"/>
      </c>
    </row>
    <row r="16" spans="2:28" x14ac:dyDescent="0.35">
      <c r="B16" s="80" t="s">
        <v>5</v>
      </c>
      <c r="C16" s="80"/>
      <c r="D16" s="81" t="s">
        <v>6</v>
      </c>
      <c r="E16" s="82"/>
      <c r="F16" s="28"/>
      <c r="G16" s="28"/>
      <c r="H16" s="35"/>
      <c r="I16" s="35"/>
      <c r="J16" s="3"/>
      <c r="U16" s="7">
        <f t="shared" si="4"/>
        <v>0</v>
      </c>
      <c r="V16" s="8" t="str">
        <f t="shared" si="1"/>
      </c>
      <c r="W16" s="42" t="str">
        <f t="shared" si="3"/>
      </c>
    </row>
    <row r="17" spans="1:23" x14ac:dyDescent="0.35">
      <c r="B17" s="28"/>
      <c r="C17" s="28"/>
      <c r="D17" s="28"/>
      <c r="E17" s="28"/>
      <c r="F17" s="28"/>
      <c r="G17" s="28"/>
      <c r="H17" s="35"/>
      <c r="I17" s="35"/>
      <c r="J17" s="3"/>
      <c r="U17" s="7">
        <f t="shared" si="4"/>
        <v>0</v>
      </c>
      <c r="V17" s="8" t="str">
        <f t="shared" si="1"/>
      </c>
      <c r="W17" s="42" t="str">
        <f t="shared" si="3"/>
      </c>
    </row>
    <row r="18" spans="1:23" ht="21" customHeight="1" x14ac:dyDescent="0.35">
      <c r="B18" s="75" t="str">
        <f>CONCATENATE("Monto total programado ",D16," (en millones de pesos): ",TEXT(I23,$U$2))</f>
        <v>Monto total programado Total Cuatrienio (en millones de pesos): 0</v>
      </c>
      <c r="C18" s="75"/>
      <c r="D18" s="75"/>
      <c r="E18" s="75"/>
      <c r="F18" s="75"/>
      <c r="G18" s="75"/>
      <c r="H18" s="35"/>
      <c r="I18" s="35"/>
      <c r="J18" s="3"/>
      <c r="U18" s="7">
        <f t="shared" si="4"/>
        <v>0</v>
      </c>
      <c r="V18" s="8" t="str">
        <f t="shared" si="1"/>
      </c>
      <c r="W18" s="42" t="str">
        <f t="shared" si="3"/>
      </c>
    </row>
    <row r="19" spans="1:23" x14ac:dyDescent="0.35">
      <c r="A19" s="3"/>
      <c r="B19" s="36"/>
      <c r="C19" s="36"/>
      <c r="D19" s="36"/>
      <c r="E19" s="3"/>
      <c r="F19" s="3"/>
      <c r="G19" s="3"/>
      <c r="H19" s="3"/>
      <c r="I19" s="3"/>
      <c r="J19" s="3"/>
      <c r="U19" s="7">
        <f t="shared" si="4"/>
        <v>0</v>
      </c>
      <c r="V19" s="8" t="str">
        <f t="shared" si="1"/>
      </c>
      <c r="W19" s="42" t="str">
        <f t="shared" si="3"/>
      </c>
    </row>
    <row r="20" spans="1:23" x14ac:dyDescent="0.35">
      <c r="A20" s="3"/>
      <c r="B20" s="36"/>
      <c r="C20" s="36"/>
      <c r="D20" s="36"/>
      <c r="E20" s="3"/>
      <c r="F20" s="3"/>
      <c r="G20" s="3"/>
      <c r="H20" s="3"/>
      <c r="I20" s="3"/>
      <c r="J20" s="3"/>
      <c r="U20" s="7">
        <f t="shared" si="4"/>
        <v>0</v>
      </c>
      <c r="V20" s="8" t="str">
        <f t="shared" si="1"/>
      </c>
      <c r="W20" s="42" t="str">
        <f t="shared" si="3"/>
      </c>
    </row>
    <row r="21" spans="1:23" x14ac:dyDescent="0.35">
      <c r="A21" s="3"/>
      <c r="B21" s="3"/>
      <c r="C21" s="3"/>
      <c r="D21" s="3"/>
      <c r="E21" s="3"/>
      <c r="F21" s="3"/>
      <c r="G21" s="3"/>
      <c r="H21" s="3"/>
      <c r="I21" s="3"/>
      <c r="J21" s="3"/>
      <c r="U21" s="7">
        <f t="shared" si="4"/>
        <v>0</v>
      </c>
      <c r="V21" s="8" t="str">
        <f t="shared" si="1"/>
      </c>
      <c r="W21" s="42" t="str">
        <f t="shared" si="3"/>
      </c>
    </row>
    <row r="22" spans="1:23" x14ac:dyDescent="0.3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3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35">
      <c r="A24" s="9"/>
      <c r="B24" s="9" t="inlineStr">
        <is>
          <t xml:space="preserve">Agricultura y desarrollo rural
</t>
        </is>
      </c>
      <c r="C24" s="9">
        <v>50172.968269</v>
      </c>
      <c r="D24" s="14">
        <v>90820.907822</v>
      </c>
      <c r="E24" s="14">
        <v>57192.821938</v>
      </c>
      <c r="F24" s="14">
        <v>34552.873</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35">
      <c r="A25" s="9"/>
      <c r="B25" s="9" t="inlineStr">
        <is>
          <t>Ambiente y desarrollo sostenible</t>
        </is>
      </c>
      <c r="C25" s="9">
        <v>32927.714446</v>
      </c>
      <c r="D25" s="14">
        <v>56564.858975</v>
      </c>
      <c r="E25" s="14">
        <v>30487.056937</v>
      </c>
      <c r="F25" s="14">
        <v>25404.224</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35">
      <c r="A26" s="9"/>
      <c r="B26" s="9" t="inlineStr">
        <is>
          <t xml:space="preserve">Ciencia, tecnología e innovación
</t>
        </is>
      </c>
      <c r="C26" s="9">
        <v>4374.4</v>
      </c>
      <c r="D26" s="14">
        <v>8784.653867</v>
      </c>
      <c r="E26" s="14">
        <v>5949.594</v>
      </c>
      <c r="F26" s="14">
        <v>1994.5</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35">
      <c r="A27" s="9"/>
      <c r="B27" s="9" t="inlineStr">
        <is>
          <t>Comercio, industria y turismo</t>
        </is>
      </c>
      <c r="C27" s="9">
        <v>8829.180035</v>
      </c>
      <c r="D27" s="9">
        <v>25885.734078</v>
      </c>
      <c r="E27" s="9">
        <v>20882.053595</v>
      </c>
      <c r="F27" s="9">
        <v>9602.902313</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35">
      <c r="A28" s="9"/>
      <c r="B28" s="9" t="inlineStr">
        <is>
          <t>Cultura</t>
        </is>
      </c>
      <c r="C28" s="9">
        <v>19427.041478</v>
      </c>
      <c r="D28" s="9">
        <v>41430.953014</v>
      </c>
      <c r="E28" s="9">
        <v>23968.466812</v>
      </c>
      <c r="F28" s="9">
        <v>11372.312237</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3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35">
      <c r="A30" s="9"/>
      <c r="B30" s="9" t="inlineStr">
        <is>
          <t>Deporte y Recreación</t>
        </is>
      </c>
      <c r="C30" s="9">
        <v>123656.825778</v>
      </c>
      <c r="D30" s="9">
        <v>127601.570475</v>
      </c>
      <c r="E30" s="9">
        <v>104734.76415</v>
      </c>
      <c r="F30" s="9">
        <v>77152.334</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35">
      <c r="A31" s="9"/>
      <c r="B31" s="9" t="inlineStr">
        <is>
          <t>Educación</t>
        </is>
      </c>
      <c r="C31" s="9">
        <v>1192021.49628</v>
      </c>
      <c r="D31" s="9">
        <v>1973909.224834</v>
      </c>
      <c r="E31" s="9">
        <v>1899218.381236</v>
      </c>
      <c r="F31" s="9">
        <v>1701613.677314</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35">
      <c r="A32" s="9"/>
      <c r="B32" s="9" t="inlineStr">
        <is>
          <t>Gobierno Territorial</t>
        </is>
      </c>
      <c r="C32" s="9">
        <v>133030.482646</v>
      </c>
      <c r="D32" s="9">
        <v>303623.420426</v>
      </c>
      <c r="E32" s="9">
        <v>242936.206094</v>
      </c>
      <c r="F32" s="9">
        <v>118705.792298</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35">
      <c r="A33" s="9"/>
      <c r="B33" s="9" t="inlineStr">
        <is>
          <t xml:space="preserve">Inclusión social y reconciliación </t>
        </is>
      </c>
      <c r="C33" s="9">
        <v>67101.385897</v>
      </c>
      <c r="D33" s="9">
        <v>91872.927538</v>
      </c>
      <c r="E33" s="9">
        <v>74689.092094</v>
      </c>
      <c r="F33" s="9">
        <v>33070.296573</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35">
      <c r="A34" s="9"/>
      <c r="B34" s="9" t="inlineStr">
        <is>
          <t>Información Estadística</t>
        </is>
      </c>
      <c r="C34" s="9">
        <v>6713.806941</v>
      </c>
      <c r="D34" s="9">
        <v>7286.419364</v>
      </c>
      <c r="E34" s="9">
        <v>14822.660936</v>
      </c>
      <c r="F34" s="9">
        <v>12854.8</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35">
      <c r="A35" s="9"/>
      <c r="B35" s="9" t="inlineStr">
        <is>
          <t>Justicia y del derecho</t>
        </is>
      </c>
      <c r="C35" s="9">
        <v>1910.665448</v>
      </c>
      <c r="D35" s="9">
        <v>1368.59229</v>
      </c>
      <c r="E35" s="9">
        <v>10959.872562</v>
      </c>
      <c r="F35" s="9">
        <v>886.4421</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35">
      <c r="A36" s="9"/>
      <c r="B36" s="9" t="inlineStr">
        <is>
          <t>Minas y Energía</t>
        </is>
      </c>
      <c r="C36" s="9">
        <v>6848.440249</v>
      </c>
      <c r="D36" s="9">
        <v>14293.128919</v>
      </c>
      <c r="E36" s="9">
        <v>18670.454907</v>
      </c>
      <c r="F36" s="9">
        <v>4666.116</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35">
      <c r="A37" s="9"/>
      <c r="B37" s="9" t="inlineStr">
        <is>
          <t>Organismos de Control</t>
        </is>
      </c>
      <c r="C37" s="9">
        <v>521.137602</v>
      </c>
      <c r="D37" s="9">
        <v>802.101107</v>
      </c>
      <c r="E37" s="9">
        <v>90</v>
      </c>
      <c r="F37" s="9">
        <v>150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35">
      <c r="A38" s="9"/>
      <c r="B38" s="9" t="inlineStr">
        <is>
          <t>Salud y protección social</t>
        </is>
      </c>
      <c r="C38" s="9">
        <v>680210.523997</v>
      </c>
      <c r="D38" s="9">
        <v>982680.063498</v>
      </c>
      <c r="E38" s="9">
        <v>819429.9926</v>
      </c>
      <c r="F38" s="9">
        <v>772646.785819</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35">
      <c r="A39" s="9"/>
      <c r="B39" s="9" t="inlineStr">
        <is>
          <t>Tecnologías de la información y las comunicaciones</t>
        </is>
      </c>
      <c r="C39" s="9">
        <v>15486.250893</v>
      </c>
      <c r="D39" s="9">
        <v>50311.570406</v>
      </c>
      <c r="E39" s="9">
        <v>17934.516717</v>
      </c>
      <c r="F39" s="9">
        <v>9917.319786</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35">
      <c r="A40" s="9"/>
      <c r="B40" s="9" t="inlineStr">
        <is>
          <t>Trabajo</t>
        </is>
      </c>
      <c r="C40" s="9">
        <v>180</v>
      </c>
      <c r="D40" s="9">
        <v>0</v>
      </c>
      <c r="E40" s="9">
        <v>0</v>
      </c>
      <c r="F40" s="9">
        <v>252.88704</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35">
      <c r="A41" s="9"/>
      <c r="B41" s="9" t="inlineStr">
        <is>
          <t>Transporte</t>
        </is>
      </c>
      <c r="C41" s="9">
        <v>546186.396795</v>
      </c>
      <c r="D41" s="9">
        <v>1109947.205598</v>
      </c>
      <c r="E41" s="9">
        <v>806181.855943</v>
      </c>
      <c r="F41" s="9">
        <v>302398.863523</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35">
      <c r="A42" s="9"/>
      <c r="B42" s="9" t="inlineStr">
        <is>
          <t>Vivienda, ciudad y territorio</t>
        </is>
      </c>
      <c r="C42" s="9">
        <v>79389.665177</v>
      </c>
      <c r="D42" s="9">
        <v>180886.618936</v>
      </c>
      <c r="E42" s="9">
        <v>141437.772953</v>
      </c>
      <c r="F42" s="9">
        <v>130110.052749</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35">
      <c r="A43" s="9"/>
      <c r="B43" s="9" t="inlineStr">
        <is>
          <t>Recursos Propios</t>
        </is>
      </c>
      <c r="C43" s="9">
        <v>1698695.389268</v>
      </c>
      <c r="D43" s="9">
        <v>2534642.331779</v>
      </c>
      <c r="E43" s="9">
        <v>2258817.158143</v>
      </c>
      <c r="F43" s="9">
        <v>1414992.592752</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35">
      <c r="A44" s="9"/>
      <c r="B44" s="9" t="inlineStr">
        <is>
          <t>SGP Educación</t>
        </is>
      </c>
      <c r="C44" s="9">
        <v>1029297.252404</v>
      </c>
      <c r="D44" s="9">
        <v>1613264.471499</v>
      </c>
      <c r="E44" s="9">
        <v>1566887.973</v>
      </c>
      <c r="F44" s="9">
        <v>1498909.592</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35">
      <c r="A45" s="9"/>
      <c r="B45" s="9" t="inlineStr">
        <is>
          <t>SGP Salud</t>
        </is>
      </c>
      <c r="C45" s="9">
        <v>75265.020334</v>
      </c>
      <c r="D45" s="9">
        <v>105018.176484</v>
      </c>
      <c r="E45" s="9">
        <v>82853.05</v>
      </c>
      <c r="F45" s="9">
        <v>60731.955</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35">
      <c r="A46" s="9"/>
      <c r="B46" s="9" t="inlineStr">
        <is>
          <t>SGP Deporte</t>
        </is>
      </c>
      <c r="C46" s="9">
        <v>0</v>
      </c>
      <c r="D46" s="9">
        <v>0</v>
      </c>
      <c r="E46" s="9">
        <v>0</v>
      </c>
      <c r="F46" s="9">
        <v>0</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35">
      <c r="A47" s="9"/>
      <c r="B47" s="9" t="inlineStr">
        <is>
          <t>SGP Cultura</t>
        </is>
      </c>
      <c r="C47" s="9">
        <v>0</v>
      </c>
      <c r="D47" s="9">
        <v>0</v>
      </c>
      <c r="E47" s="9">
        <v>0</v>
      </c>
      <c r="F47" s="9">
        <v>0</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35">
      <c r="A48" s="9"/>
      <c r="B48" s="9" t="inlineStr">
        <is>
          <t>SGP Libre Inversión</t>
        </is>
      </c>
      <c r="C48" s="9">
        <v>0</v>
      </c>
      <c r="D48" s="9">
        <v>0</v>
      </c>
      <c r="E48" s="9">
        <v>0</v>
      </c>
      <c r="F48" s="9">
        <v>0</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3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35">
      <c r="A50" s="9"/>
      <c r="B50" s="9" t="inlineStr">
        <is>
          <t>SGP Alimentación Escolar</t>
        </is>
      </c>
      <c r="C50" s="9">
        <v>0</v>
      </c>
      <c r="D50" s="9">
        <v>0</v>
      </c>
      <c r="E50" s="9">
        <v>0</v>
      </c>
      <c r="F50" s="9">
        <v>0</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3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35">
      <c r="A52" s="9"/>
      <c r="B52" s="9" t="inlineStr">
        <is>
          <t>SGP APSB</t>
        </is>
      </c>
      <c r="C52" s="9">
        <v>13314.327295</v>
      </c>
      <c r="D52" s="9">
        <v>38985.292284</v>
      </c>
      <c r="E52" s="9">
        <v>40856.586</v>
      </c>
      <c r="F52" s="9">
        <v>22718.039</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35">
      <c r="A53" s="9"/>
      <c r="B53" s="9" t="inlineStr">
        <is>
          <t>Crédito</t>
        </is>
      </c>
      <c r="C53" s="9">
        <v>50000</v>
      </c>
      <c r="D53" s="9">
        <v>623079.2098</v>
      </c>
      <c r="E53" s="9">
        <v>260000</v>
      </c>
      <c r="F53" s="9">
        <v>250000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35">
      <c r="A54" s="9"/>
      <c r="B54" s="9" t="inlineStr">
        <is>
          <t>Transf. capital - Cof. Territorial</t>
        </is>
      </c>
      <c r="C54" s="9">
        <v>0</v>
      </c>
      <c r="D54" s="9">
        <v>0</v>
      </c>
      <c r="E54" s="9">
        <v>0</v>
      </c>
      <c r="F54" s="9">
        <v>0</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35">
      <c r="A55" s="9"/>
      <c r="B55" s="9" t="inlineStr">
        <is>
          <t>Transf. capital - Cof. Nación</t>
        </is>
      </c>
      <c r="C55" s="9">
        <v>35942.289918</v>
      </c>
      <c r="D55" s="9">
        <v>86043.133621</v>
      </c>
      <c r="E55" s="9">
        <v>80170.796331</v>
      </c>
      <c r="F55" s="9">
        <v>0</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35">
      <c r="A56" s="9"/>
      <c r="B56" s="9" t="inlineStr">
        <is>
          <t>Otros</t>
        </is>
      </c>
      <c r="C56" s="9">
        <v>66474.102712</v>
      </c>
      <c r="D56" s="9">
        <v>67037.33568</v>
      </c>
      <c r="E56" s="9">
        <v>0</v>
      </c>
      <c r="F56" s="9">
        <v>0</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35">
      <c r="A57" s="9"/>
      <c r="B57" s="9" t="inlineStr">
        <is>
          <t>1. Fin de la pobreza</t>
        </is>
      </c>
      <c r="C57" s="9">
        <v>47594.089755</v>
      </c>
      <c r="D57" s="9">
        <v>59758.015579</v>
      </c>
      <c r="E57" s="9">
        <v>59640.054691</v>
      </c>
      <c r="F57" s="9">
        <v>26924.948294</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35">
      <c r="A58" s="9"/>
      <c r="B58" s="9" t="inlineStr">
        <is>
          <t>2. Hambre cero</t>
        </is>
      </c>
      <c r="C58" s="9">
        <v>45238.001534</v>
      </c>
      <c r="D58" s="9">
        <v>70390.18222</v>
      </c>
      <c r="E58" s="9">
        <v>44418.966372</v>
      </c>
      <c r="F58" s="9">
        <v>32672.873</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35">
      <c r="A59" s="9"/>
      <c r="B59" s="9" t="inlineStr">
        <is>
          <t>3. Salud y bienestar</t>
        </is>
      </c>
      <c r="C59" s="9">
        <v>685220.44337</v>
      </c>
      <c r="D59" s="9">
        <v>977486.276659</v>
      </c>
      <c r="E59" s="9">
        <v>832884.125678</v>
      </c>
      <c r="F59" s="9">
        <v>792466.021418</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35">
      <c r="A60" s="9"/>
      <c r="B60" s="9" t="inlineStr">
        <is>
          <t>4. Educación de calidad</t>
        </is>
      </c>
      <c r="C60" s="9">
        <v>1222248.453304</v>
      </c>
      <c r="D60" s="9">
        <v>2001543.381827</v>
      </c>
      <c r="E60" s="9">
        <v>1920640.403801</v>
      </c>
      <c r="F60" s="9">
        <v>1724795.555925</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35">
      <c r="A61" s="9"/>
      <c r="B61" s="9" t="inlineStr">
        <is>
          <t>5. Igualdad de género</t>
        </is>
      </c>
      <c r="C61" s="9">
        <v>5826.895071</v>
      </c>
      <c r="D61" s="9">
        <v>15766.255836</v>
      </c>
      <c r="E61" s="9">
        <v>15960.058689</v>
      </c>
      <c r="F61" s="9">
        <v>3988.02915</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35">
      <c r="A62" s="9"/>
      <c r="B62" s="9" t="inlineStr">
        <is>
          <t>6. Agua limpia y saneamiento</t>
        </is>
      </c>
      <c r="C62" s="9">
        <v>64105.939336</v>
      </c>
      <c r="D62" s="9">
        <v>120129.179722</v>
      </c>
      <c r="E62" s="9">
        <v>122427.741902</v>
      </c>
      <c r="F62" s="9">
        <v>120119.91019</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35">
      <c r="A63" s="9"/>
      <c r="B63" s="9" t="inlineStr">
        <is>
          <t>7. Energía asequible y no contaminante</t>
        </is>
      </c>
      <c r="C63" s="9">
        <v>6584.59377</v>
      </c>
      <c r="D63" s="9">
        <v>13257.425586</v>
      </c>
      <c r="E63" s="9">
        <v>17073.596977</v>
      </c>
      <c r="F63" s="9">
        <v>4186.116</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35">
      <c r="A64" s="9"/>
      <c r="B64" s="9" t="inlineStr">
        <is>
          <t>8. Trabajo decente y crecimiento económico</t>
        </is>
      </c>
      <c r="C64" s="9">
        <v>6289.690688</v>
      </c>
      <c r="D64" s="9">
        <v>14879.944411</v>
      </c>
      <c r="E64" s="9">
        <v>11461.980205</v>
      </c>
      <c r="F64" s="9">
        <v>4833.743433</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35">
      <c r="A65" s="9"/>
      <c r="B65" s="9" t="inlineStr">
        <is>
          <t>9. Industria, innovación e infraestructura</t>
        </is>
      </c>
      <c r="C65" s="9">
        <v>498080.209683</v>
      </c>
      <c r="D65" s="9">
        <v>1090581.085128</v>
      </c>
      <c r="E65" s="9">
        <v>754070.447251</v>
      </c>
      <c r="F65" s="9">
        <v>282200.155471</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35">
      <c r="A66" s="9"/>
      <c r="B66" s="9" t="inlineStr">
        <is>
          <t>10. Reducción de las desigualdades</t>
        </is>
      </c>
      <c r="C66" s="9">
        <v>7383.982264</v>
      </c>
      <c r="D66" s="9">
        <v>14481.441666</v>
      </c>
      <c r="E66" s="9">
        <v>4269.7044</v>
      </c>
      <c r="F66" s="9">
        <v>4782.917754</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35">
      <c r="A67" s="9"/>
      <c r="B67" s="9" t="inlineStr">
        <is>
          <t>11. Ciudades y comunidades sostenibles</t>
        </is>
      </c>
      <c r="C67" s="9">
        <v>152622.786424</v>
      </c>
      <c r="D67" s="9">
        <v>199151.242384</v>
      </c>
      <c r="E67" s="9">
        <v>158663.488091</v>
      </c>
      <c r="F67" s="9">
        <v>58482.569984</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35">
      <c r="A68" s="9"/>
      <c r="B68" s="9" t="inlineStr">
        <is>
          <t>12. Producción y consumo responsables</t>
        </is>
      </c>
      <c r="C68" s="9">
        <v>1269.7</v>
      </c>
      <c r="D68" s="9">
        <v>754.98</v>
      </c>
      <c r="E68" s="9">
        <v>592.6045</v>
      </c>
      <c r="F68" s="9">
        <v>650</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35">
      <c r="A69" s="9"/>
      <c r="B69" s="9" t="inlineStr">
        <is>
          <t>13. Acción por el clima</t>
        </is>
      </c>
      <c r="C69" s="9">
        <v>5033.830032</v>
      </c>
      <c r="D69" s="9">
        <v>34209.245686</v>
      </c>
      <c r="E69" s="9">
        <v>35127.570032</v>
      </c>
      <c r="F69" s="9">
        <v>8156.963</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3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35">
      <c r="A71" s="9"/>
      <c r="B71" s="9" t="inlineStr">
        <is>
          <t>15. Vida de ecosistemas terrestres</t>
        </is>
      </c>
      <c r="C71" s="9">
        <v>7707.9157</v>
      </c>
      <c r="D71" s="9">
        <v>14974.195852</v>
      </c>
      <c r="E71" s="9">
        <v>12763.8471</v>
      </c>
      <c r="F71" s="9">
        <v>7049.1571</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35">
      <c r="A72" s="9"/>
      <c r="B72" s="9" t="inlineStr">
        <is>
          <t>16. Paz, justicia e instituciones sólidas</t>
        </is>
      </c>
      <c r="C72" s="9">
        <v>182563.999837</v>
      </c>
      <c r="D72" s="9">
        <v>355395.739709</v>
      </c>
      <c r="E72" s="9">
        <v>227839.00617</v>
      </c>
      <c r="F72" s="9">
        <v>119519.026188</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35">
      <c r="A73" s="9"/>
      <c r="B73" s="9" t="inlineStr">
        <is>
          <t>17. Alianzas para lograr los objetivos</t>
        </is>
      </c>
      <c r="C73" s="9">
        <v>31217.851163</v>
      </c>
      <c r="D73" s="9">
        <v>85311.358882</v>
      </c>
      <c r="E73" s="9">
        <v>71751.967615</v>
      </c>
      <c r="F73" s="9">
        <v>56524.191845</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3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35">
      <c r="K75" s="3"/>
      <c r="U75" s="7">
        <f t="shared" si="16"/>
        <v>0</v>
      </c>
      <c r="V75" s="8" t="str">
        <f t="shared" si="13"/>
      </c>
      <c r="W75" s="42" t="str">
        <f t="shared" si="15"/>
      </c>
    </row>
    <row r="76" spans="1:23" ht="17.5" x14ac:dyDescent="0.45">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35"/>
    <row r="78" spans="1:23" x14ac:dyDescent="0.3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5" customHeight="1" x14ac:dyDescent="0.35">
      <c r="B79" s="70"/>
      <c r="C79" s="70"/>
      <c r="D79" s="70"/>
      <c r="E79" s="70"/>
      <c r="F79" s="70"/>
      <c r="G79" s="70"/>
      <c r="H79" s="70"/>
      <c r="I79" s="70"/>
      <c r="J79" s="70"/>
      <c r="K79" s="70"/>
      <c r="L79" s="70"/>
      <c r="M79" s="70"/>
    </row>
    <row r="80" spans="1:23" ht="15.65" customHeight="1" x14ac:dyDescent="0.3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5" customHeight="1" x14ac:dyDescent="0.35">
      <c r="B81" s="70"/>
      <c r="C81" s="70"/>
      <c r="D81" s="70"/>
      <c r="E81" s="70"/>
      <c r="F81" s="70"/>
      <c r="G81" s="70"/>
      <c r="H81" s="70"/>
      <c r="I81" s="70"/>
      <c r="J81" s="70"/>
      <c r="K81" s="70"/>
      <c r="L81" s="70"/>
      <c r="M81" s="70"/>
    </row>
    <row r="82" spans="2:20" ht="15.65" customHeight="1" x14ac:dyDescent="0.35">
      <c r="F82" s="10"/>
      <c r="G82" s="10"/>
      <c r="H82" s="10"/>
      <c r="I82" s="10"/>
      <c r="J82" s="10"/>
      <c r="K82" s="10"/>
      <c r="L82" s="10"/>
      <c r="M82" s="10"/>
    </row>
    <row r="83" spans="2:20" ht="15.65" customHeight="1" x14ac:dyDescent="0.35">
      <c r="F83" s="10"/>
      <c r="G83" s="10"/>
      <c r="H83" s="10"/>
      <c r="I83" s="10"/>
      <c r="J83" s="10"/>
      <c r="K83" s="10"/>
      <c r="L83" s="10"/>
      <c r="M83" s="10"/>
    </row>
    <row r="84" spans="2:20" ht="15.65" customHeight="1" x14ac:dyDescent="0.35">
      <c r="D84" s="84" t="s">
        <v>82</v>
      </c>
      <c r="E84" s="84"/>
      <c r="F84" s="33"/>
      <c r="G84" s="33"/>
      <c r="H84" s="33"/>
      <c r="I84" s="34"/>
      <c r="J84" s="87" t="s">
        <v>88</v>
      </c>
      <c r="K84" s="87"/>
      <c r="L84" s="10"/>
      <c r="M84" s="10"/>
    </row>
    <row r="85" spans="2:20" ht="15.65" customHeight="1" x14ac:dyDescent="0.35">
      <c r="D85" s="83" t="str">
        <f>CONCATENATE(SUM(Q92:Q93)," combinaciones BPIN-Ind. Producto-Tipo Acumulación")</f>
        <v>0 combinaciones BPIN-Ind. Producto-Tipo Acumulación</v>
      </c>
      <c r="E85" s="83"/>
      <c r="F85" s="33"/>
      <c r="G85" s="33"/>
      <c r="H85" s="33"/>
      <c r="I85" s="34"/>
      <c r="J85" s="83" t="str">
        <f>CONCATENATE(SUM(Q93:Q94)," combinaciones BPIN-Ind. Producto-Tipo Acumulación")</f>
        <v>0 combinaciones BPIN-Ind. Producto-Tipo Acumulación</v>
      </c>
      <c r="K85" s="83"/>
      <c r="L85" s="10"/>
      <c r="M85" s="10"/>
    </row>
    <row r="86" spans="2:20" ht="15.65" customHeight="1" x14ac:dyDescent="0.35">
      <c r="D86" s="83"/>
      <c r="E86" s="83"/>
      <c r="F86" s="33"/>
      <c r="G86" s="33"/>
      <c r="H86" s="33"/>
      <c r="I86" s="34"/>
      <c r="J86" s="83"/>
      <c r="K86" s="83"/>
      <c r="L86" s="10"/>
      <c r="M86" s="10"/>
    </row>
    <row r="87" spans="2:20" ht="15.65" customHeight="1" x14ac:dyDescent="0.45">
      <c r="D87" s="83"/>
      <c r="E87" s="83"/>
      <c r="F87" s="33"/>
      <c r="G87" s="33"/>
      <c r="H87" s="33"/>
      <c r="I87" s="34"/>
      <c r="J87" s="83"/>
      <c r="K87" s="83"/>
      <c r="L87" s="10"/>
      <c r="M87" s="10"/>
      <c r="T87" s="49"/>
    </row>
    <row r="88" spans="2:20" ht="15.65" customHeight="1" x14ac:dyDescent="0.35">
      <c r="D88" s="15"/>
      <c r="E88" s="10"/>
      <c r="F88" s="10"/>
      <c r="G88" s="10"/>
      <c r="H88" s="10"/>
      <c r="J88" s="10"/>
      <c r="K88" s="10"/>
      <c r="L88" s="10"/>
      <c r="M88" s="10"/>
    </row>
    <row r="89" spans="2:20" ht="15.65" customHeight="1" x14ac:dyDescent="0.35">
      <c r="D89" s="15"/>
      <c r="E89" s="10"/>
      <c r="F89" s="10"/>
      <c r="G89" s="10"/>
      <c r="H89" s="10"/>
      <c r="J89" s="10"/>
      <c r="K89" s="10"/>
      <c r="L89" s="10"/>
      <c r="M89" s="10"/>
    </row>
    <row r="90" spans="2:20" ht="15.65" customHeight="1" x14ac:dyDescent="0.35">
      <c r="D90" s="10"/>
      <c r="E90" s="10"/>
      <c r="F90" s="10"/>
      <c r="G90" s="10"/>
      <c r="H90" s="10"/>
      <c r="I90" s="2"/>
      <c r="J90" s="10"/>
      <c r="K90" s="10"/>
      <c r="L90" s="10"/>
      <c r="M90" s="10"/>
    </row>
    <row r="91" spans="2:20" ht="15.65" customHeight="1" x14ac:dyDescent="0.35">
      <c r="B91" s="62"/>
      <c r="C91" s="63"/>
      <c r="F91" s="10"/>
      <c r="G91" s="10"/>
      <c r="H91" s="10"/>
      <c r="I91" s="2"/>
      <c r="J91" s="10"/>
      <c r="K91" s="10"/>
      <c r="L91" s="10"/>
      <c r="M91" s="10"/>
    </row>
    <row r="92" spans="2:20" ht="15.65" customHeight="1" x14ac:dyDescent="0.35">
      <c r="B92" s="68"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68"/>
      <c r="D92" s="68"/>
      <c r="E92" s="68"/>
      <c r="F92" s="68"/>
      <c r="G92" s="68"/>
      <c r="H92" s="68"/>
      <c r="I92" s="68"/>
      <c r="J92" s="68"/>
      <c r="K92" s="68"/>
      <c r="L92" s="68"/>
      <c r="M92" s="68"/>
      <c r="P92" s="1" t="s">
        <v>79</v>
      </c>
      <c r="Q92" s="1">
        <f>SUM(B95:B99)</f>
        <v>0</v>
      </c>
    </row>
    <row r="93" spans="2:20" ht="15.65" customHeight="1" x14ac:dyDescent="0.35">
      <c r="B93" s="68"/>
      <c r="C93" s="68"/>
      <c r="D93" s="68"/>
      <c r="E93" s="68"/>
      <c r="F93" s="68"/>
      <c r="G93" s="68"/>
      <c r="H93" s="68"/>
      <c r="I93" s="68"/>
      <c r="J93" s="68"/>
      <c r="K93" s="68"/>
      <c r="L93" s="68"/>
      <c r="M93" s="68"/>
      <c r="P93" s="1" t="s">
        <v>80</v>
      </c>
      <c r="Q93" s="1">
        <f>B100</f>
        <v>0</v>
      </c>
      <c r="R93" s="1" t="str">
        <f>IF(Q93=1,CONCATENATE(Q93," coincidencia"),CONCATENATE(Q93," coincidencias"))</f>
        <v>0 coincidencias</v>
      </c>
    </row>
    <row r="94" spans="2:20" ht="15.65" customHeight="1" x14ac:dyDescent="0.35">
      <c r="B94" s="17"/>
      <c r="C94" s="10"/>
      <c r="L94" s="10"/>
      <c r="M94" s="10"/>
      <c r="P94" s="1" t="s">
        <v>89</v>
      </c>
      <c r="Q94" s="1">
        <f>B101</f>
        <v>0</v>
      </c>
    </row>
    <row r="95" spans="2:20" ht="15.65" customHeight="1" x14ac:dyDescent="0.35">
      <c r="B95" s="21">
        <v>0</v>
      </c>
      <c r="C95" s="22" t="s">
        <v>76</v>
      </c>
      <c r="L95" s="10"/>
      <c r="M95" s="10"/>
    </row>
    <row r="96" spans="2:20" ht="15.65" customHeight="1" x14ac:dyDescent="0.35">
      <c r="B96" s="23">
        <v>47</v>
      </c>
      <c r="C96" s="22" t="s">
        <v>77</v>
      </c>
    </row>
    <row r="97" spans="2:18" ht="15.65" customHeight="1" x14ac:dyDescent="0.35">
      <c r="B97" s="24">
        <v>33</v>
      </c>
      <c r="C97" s="22" t="s">
        <v>87</v>
      </c>
    </row>
    <row r="98" spans="2:18" ht="15.65" customHeight="1" x14ac:dyDescent="0.35">
      <c r="B98" s="25">
        <v>0</v>
      </c>
      <c r="C98" s="22" t="s">
        <v>91</v>
      </c>
      <c r="D98" s="10"/>
      <c r="E98" s="10"/>
      <c r="F98" s="10"/>
      <c r="G98" s="10"/>
      <c r="H98" s="10"/>
      <c r="I98" s="2"/>
      <c r="J98" s="10"/>
      <c r="K98" s="10"/>
      <c r="L98" s="10"/>
      <c r="M98" s="10"/>
    </row>
    <row r="99" spans="2:18" ht="15.65" customHeight="1" x14ac:dyDescent="0.35">
      <c r="B99" s="26">
        <v>118</v>
      </c>
      <c r="C99" s="22" t="s">
        <v>78</v>
      </c>
      <c r="D99" s="10"/>
      <c r="E99" s="10"/>
      <c r="F99" s="10"/>
      <c r="G99" s="10"/>
      <c r="H99" s="10"/>
      <c r="I99" s="2"/>
      <c r="J99" s="10"/>
      <c r="K99" s="10"/>
      <c r="L99" s="10"/>
      <c r="M99" s="10"/>
    </row>
    <row r="100" spans="2:18" ht="15.65" customHeight="1" x14ac:dyDescent="0.35">
      <c r="B100" s="27">
        <v>175</v>
      </c>
      <c r="C100" s="22" t="s">
        <v>92</v>
      </c>
      <c r="D100" s="56"/>
      <c r="E100" s="56"/>
      <c r="F100" s="56"/>
      <c r="G100" s="56"/>
      <c r="H100" s="56"/>
      <c r="I100" s="56"/>
      <c r="J100" s="56"/>
      <c r="K100" s="56"/>
      <c r="L100" s="56"/>
      <c r="M100" s="56"/>
    </row>
    <row r="101" spans="2:18" ht="15.65" customHeight="1" x14ac:dyDescent="0.35">
      <c r="B101" s="17">
        <v>207</v>
      </c>
      <c r="C101" s="63"/>
    </row>
    <row r="102" spans="2:18" ht="15.65" customHeight="1" x14ac:dyDescent="0.35">
      <c r="B102" s="68" t="s">
        <v>130</v>
      </c>
      <c r="C102" s="68"/>
      <c r="D102" s="68"/>
      <c r="E102" s="68"/>
      <c r="F102" s="68"/>
      <c r="G102" s="68"/>
      <c r="H102" s="68"/>
      <c r="I102" s="68"/>
      <c r="J102" s="68"/>
      <c r="K102" s="68"/>
      <c r="L102" s="68"/>
      <c r="M102" s="68"/>
    </row>
    <row r="103" spans="2:18" ht="15.65" customHeight="1" x14ac:dyDescent="0.35">
      <c r="B103" s="68"/>
      <c r="C103" s="68"/>
      <c r="D103" s="68"/>
      <c r="E103" s="68"/>
      <c r="F103" s="68"/>
      <c r="G103" s="68"/>
      <c r="H103" s="68"/>
      <c r="I103" s="68"/>
      <c r="J103" s="68"/>
      <c r="K103" s="68"/>
      <c r="L103" s="68"/>
      <c r="M103" s="68"/>
    </row>
    <row r="104" spans="2:18" ht="15.65" customHeight="1" x14ac:dyDescent="0.35">
      <c r="B104" s="10"/>
      <c r="C104" s="10"/>
      <c r="D104" s="10"/>
      <c r="E104" s="10"/>
      <c r="F104" s="10"/>
      <c r="G104" s="10"/>
      <c r="H104" s="10"/>
      <c r="I104" s="10"/>
      <c r="J104" s="10"/>
      <c r="K104" s="10"/>
      <c r="L104" s="10"/>
      <c r="M104" s="10"/>
    </row>
    <row r="105" spans="2:18" x14ac:dyDescent="0.35"/>
    <row r="106" spans="2:18" ht="17.5" x14ac:dyDescent="0.45">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35"/>
    <row r="108" spans="2:18" x14ac:dyDescent="0.3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35">
      <c r="B109" s="70"/>
      <c r="C109" s="70"/>
      <c r="D109" s="70"/>
      <c r="E109" s="70"/>
      <c r="F109" s="70"/>
      <c r="G109" s="70"/>
      <c r="H109" s="70"/>
      <c r="I109" s="70"/>
      <c r="J109" s="70"/>
      <c r="K109" s="70"/>
      <c r="L109" s="70"/>
      <c r="M109" s="70"/>
      <c r="P109" s="1" t="s">
        <v>79</v>
      </c>
      <c r="Q109" s="1">
        <v>56</v>
      </c>
    </row>
    <row r="110" spans="2:18" x14ac:dyDescent="0.3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308</v>
      </c>
      <c r="R110" s="1" t="str">
        <f>IF(Q110=1,CONCATENATE(Q110," coincidencia"),CONCATENATE(Q110," coincidencias"))</f>
        <v>0 coincidencias</v>
      </c>
    </row>
    <row r="111" spans="2:18" x14ac:dyDescent="0.35">
      <c r="B111" s="70"/>
      <c r="C111" s="70"/>
      <c r="D111" s="70"/>
      <c r="E111" s="70"/>
      <c r="F111" s="70"/>
      <c r="G111" s="70"/>
      <c r="H111" s="70"/>
      <c r="I111" s="70"/>
      <c r="J111" s="70"/>
      <c r="K111" s="70"/>
      <c r="L111" s="70"/>
      <c r="M111" s="70"/>
      <c r="P111" s="1" t="s">
        <v>81</v>
      </c>
      <c r="Q111" s="1">
        <v>237</v>
      </c>
    </row>
    <row r="112" spans="2:18" x14ac:dyDescent="0.35"/>
    <row r="113" spans="2:13" x14ac:dyDescent="0.35"/>
    <row r="114" spans="2:13" x14ac:dyDescent="0.35">
      <c r="D114" s="84" t="s">
        <v>82</v>
      </c>
      <c r="E114" s="84"/>
      <c r="F114" s="32"/>
      <c r="G114" s="32"/>
      <c r="H114" s="32"/>
      <c r="I114" s="32"/>
      <c r="J114" s="86" t="s">
        <v>83</v>
      </c>
      <c r="K114" s="86"/>
    </row>
    <row r="115" spans="2:13" x14ac:dyDescent="0.35">
      <c r="D115" s="85" t="str">
        <f>CONCATENATE(SUM(Q109:Q110)," combinaciones BPIN-Producto")</f>
        <v>0 combinaciones BPIN-Producto</v>
      </c>
      <c r="E115" s="85"/>
      <c r="F115" s="32"/>
      <c r="G115" s="32"/>
      <c r="H115" s="32"/>
      <c r="I115" s="32"/>
      <c r="J115" s="85" t="str">
        <f>CONCATENATE(SUM(Q110:Q111)," combinaciones BPIN-Producto")</f>
        <v>0 combinaciones BPIN-Producto</v>
      </c>
      <c r="K115" s="85"/>
    </row>
    <row r="116" spans="2:13" x14ac:dyDescent="0.35">
      <c r="D116" s="85"/>
      <c r="E116" s="85"/>
      <c r="F116" s="32"/>
      <c r="G116" s="32"/>
      <c r="H116" s="32"/>
      <c r="I116" s="32"/>
      <c r="J116" s="85"/>
      <c r="K116" s="85"/>
    </row>
    <row r="117" spans="2:13" x14ac:dyDescent="0.35"/>
    <row r="118" spans="2:13" x14ac:dyDescent="0.35"/>
    <row r="119" spans="2:13" x14ac:dyDescent="0.35"/>
    <row r="120" spans="2:13" x14ac:dyDescent="0.35"/>
    <row r="121" spans="2:13" x14ac:dyDescent="0.35"/>
    <row r="122" spans="2:13" x14ac:dyDescent="0.35"/>
    <row r="123" spans="2:13" x14ac:dyDescent="0.35">
      <c r="B123" s="69" t="s">
        <v>90</v>
      </c>
      <c r="C123" s="69"/>
      <c r="D123" s="69"/>
      <c r="E123" s="69"/>
      <c r="F123" s="69"/>
      <c r="G123" s="69"/>
      <c r="H123" s="69"/>
      <c r="I123" s="69"/>
      <c r="J123" s="69"/>
      <c r="K123" s="69"/>
      <c r="L123" s="69"/>
      <c r="M123" s="69"/>
    </row>
    <row r="124" spans="2:13" x14ac:dyDescent="0.35">
      <c r="B124" s="69"/>
      <c r="C124" s="69"/>
      <c r="D124" s="69"/>
      <c r="E124" s="69"/>
      <c r="F124" s="69"/>
      <c r="G124" s="69"/>
      <c r="H124" s="69"/>
      <c r="I124" s="69"/>
      <c r="J124" s="69"/>
      <c r="K124" s="69"/>
      <c r="L124" s="69"/>
      <c r="M124" s="69"/>
    </row>
    <row r="125" spans="2:13" ht="14.5" customHeight="1" x14ac:dyDescent="0.35">
      <c r="B125" s="56"/>
      <c r="C125" s="56"/>
      <c r="D125" s="56"/>
      <c r="E125" s="56"/>
      <c r="F125" s="56"/>
      <c r="G125" s="56"/>
      <c r="H125" s="56"/>
      <c r="I125" s="56"/>
      <c r="J125" s="56"/>
      <c r="K125" s="56"/>
      <c r="L125" s="56"/>
      <c r="M125" s="56"/>
    </row>
    <row r="126" spans="2:13" x14ac:dyDescent="0.35">
      <c r="B126" s="68" t="s">
        <v>129</v>
      </c>
      <c r="C126" s="68"/>
      <c r="D126" s="68"/>
      <c r="E126" s="68"/>
      <c r="F126" s="68"/>
      <c r="G126" s="68"/>
      <c r="H126" s="68"/>
      <c r="I126" s="68"/>
      <c r="J126" s="68"/>
      <c r="K126" s="68"/>
      <c r="L126" s="68"/>
      <c r="M126" s="68"/>
    </row>
    <row r="127" spans="2:13" x14ac:dyDescent="0.35">
      <c r="B127" s="68"/>
      <c r="C127" s="68"/>
      <c r="D127" s="68"/>
      <c r="E127" s="68"/>
      <c r="F127" s="68"/>
      <c r="G127" s="68"/>
      <c r="H127" s="68"/>
      <c r="I127" s="68"/>
      <c r="J127" s="68"/>
      <c r="K127" s="68"/>
      <c r="L127" s="68"/>
      <c r="M127" s="68"/>
    </row>
    <row r="128" spans="2:13" x14ac:dyDescent="0.35"/>
    <row r="129" spans="1:17" x14ac:dyDescent="0.35"/>
    <row r="130" spans="1:17" ht="17.5" x14ac:dyDescent="0.45">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35"/>
    <row r="132" spans="1:17" x14ac:dyDescent="0.35">
      <c r="B132" s="70" t="s">
        <v>93</v>
      </c>
      <c r="C132" s="70"/>
      <c r="D132" s="70"/>
      <c r="E132" s="70"/>
      <c r="F132" s="70"/>
      <c r="G132" s="70"/>
      <c r="H132" s="70"/>
      <c r="I132" s="70"/>
      <c r="J132" s="70"/>
      <c r="K132" s="70"/>
      <c r="L132" s="70"/>
      <c r="M132" s="70"/>
    </row>
    <row r="133" spans="1:17" x14ac:dyDescent="0.35">
      <c r="B133" s="70"/>
      <c r="C133" s="70"/>
      <c r="D133" s="70"/>
      <c r="E133" s="70"/>
      <c r="F133" s="70"/>
      <c r="G133" s="70"/>
      <c r="H133" s="70"/>
      <c r="I133" s="70"/>
      <c r="J133" s="70"/>
      <c r="K133" s="70"/>
      <c r="L133" s="70"/>
      <c r="M133" s="70"/>
    </row>
    <row r="134" spans="1:17" x14ac:dyDescent="0.35"/>
    <row r="135" spans="1:17" x14ac:dyDescent="0.35">
      <c r="B135" s="39" t="s">
        <v>82</v>
      </c>
      <c r="C135" s="44"/>
      <c r="G135" s="40" t="s">
        <v>83</v>
      </c>
      <c r="I135" s="70" t="s">
        <v>94</v>
      </c>
      <c r="J135" s="70"/>
      <c r="K135" s="70"/>
      <c r="L135" s="70"/>
      <c r="M135" s="71">
        <f>SUM(Q135:Q141)</f>
        <v>0</v>
      </c>
      <c r="P135" s="1" t="s">
        <v>97</v>
      </c>
      <c r="Q135">
        <v>180</v>
      </c>
    </row>
    <row r="136" spans="1:17" x14ac:dyDescent="0.35">
      <c r="B136" s="45">
        <f>Q137+Q139+Q140+Q141</f>
        <v>0</v>
      </c>
      <c r="G136" s="45">
        <f>Q135+Q138+Q139+Q141</f>
        <v>0</v>
      </c>
      <c r="I136" s="70"/>
      <c r="J136" s="70"/>
      <c r="K136" s="70"/>
      <c r="L136" s="70"/>
      <c r="M136" s="72"/>
      <c r="P136" s="1" t="s">
        <v>98</v>
      </c>
      <c r="Q136">
        <v>32</v>
      </c>
    </row>
    <row r="137" spans="1:17" x14ac:dyDescent="0.35">
      <c r="I137" s="28"/>
      <c r="J137" s="28"/>
      <c r="K137" s="28"/>
      <c r="L137" s="28"/>
      <c r="M137" s="28"/>
      <c r="P137" s="1" t="s">
        <v>99</v>
      </c>
      <c r="Q137">
        <v>34</v>
      </c>
    </row>
    <row r="138" spans="1:17" x14ac:dyDescent="0.35">
      <c r="I138" s="70" t="s">
        <v>95</v>
      </c>
      <c r="J138" s="70"/>
      <c r="K138" s="70"/>
      <c r="L138" s="70"/>
      <c r="M138" s="71">
        <f>Q141</f>
        <v>0</v>
      </c>
      <c r="P138" s="1" t="s">
        <v>100</v>
      </c>
      <c r="Q138">
        <v>57</v>
      </c>
    </row>
    <row r="139" spans="1:17" x14ac:dyDescent="0.35">
      <c r="I139" s="70"/>
      <c r="J139" s="70"/>
      <c r="K139" s="70"/>
      <c r="L139" s="70"/>
      <c r="M139" s="72"/>
      <c r="P139" s="1" t="s">
        <v>101</v>
      </c>
      <c r="Q139">
        <v>42</v>
      </c>
    </row>
    <row r="140" spans="1:17" x14ac:dyDescent="0.35">
      <c r="I140" s="28"/>
      <c r="J140" s="28"/>
      <c r="K140" s="28"/>
      <c r="L140" s="28"/>
      <c r="M140" s="28"/>
      <c r="P140" s="1" t="s">
        <v>102</v>
      </c>
      <c r="Q140">
        <v>22</v>
      </c>
    </row>
    <row r="141" spans="1:17" x14ac:dyDescent="0.35">
      <c r="I141" s="70" t="s">
        <v>96</v>
      </c>
      <c r="J141" s="70"/>
      <c r="K141" s="70"/>
      <c r="L141" s="70"/>
      <c r="M141" s="73" t="str">
        <f>IFERROR(M138/M135,"-")</f>
        <v>-</v>
      </c>
      <c r="P141" s="1" t="s">
        <v>103</v>
      </c>
      <c r="Q141">
        <v>266</v>
      </c>
    </row>
    <row r="142" spans="1:17" x14ac:dyDescent="0.35">
      <c r="I142" s="70"/>
      <c r="J142" s="70"/>
      <c r="K142" s="70"/>
      <c r="L142" s="70"/>
      <c r="M142" s="74"/>
    </row>
    <row r="143" spans="1:17" x14ac:dyDescent="0.35"/>
    <row r="144" spans="1:17" x14ac:dyDescent="0.3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35">
      <c r="H145" s="69"/>
      <c r="I145" s="69"/>
      <c r="J145" s="69"/>
      <c r="K145" s="69"/>
      <c r="L145" s="69"/>
      <c r="M145" s="69"/>
    </row>
    <row r="146" spans="1:13" x14ac:dyDescent="0.35">
      <c r="H146" s="69"/>
      <c r="I146" s="69"/>
      <c r="J146" s="69"/>
      <c r="K146" s="69"/>
      <c r="L146" s="69"/>
      <c r="M146" s="69"/>
    </row>
    <row r="147" spans="1:13" x14ac:dyDescent="0.35">
      <c r="H147" s="69"/>
      <c r="I147" s="69"/>
      <c r="J147" s="69"/>
      <c r="K147" s="69"/>
      <c r="L147" s="69"/>
      <c r="M147" s="69"/>
    </row>
    <row r="148" spans="1:13" x14ac:dyDescent="0.35">
      <c r="H148" s="69"/>
      <c r="I148" s="69"/>
      <c r="J148" s="69"/>
      <c r="K148" s="69"/>
      <c r="L148" s="69"/>
      <c r="M148" s="69"/>
    </row>
    <row r="149" spans="1:13" x14ac:dyDescent="0.35">
      <c r="B149" s="41" t="s">
        <v>88</v>
      </c>
    </row>
    <row r="150" spans="1:13" x14ac:dyDescent="0.35">
      <c r="B150" s="45">
        <f>Q136+Q138+Q140+Q141</f>
        <v>0</v>
      </c>
    </row>
    <row r="151" spans="1:13" x14ac:dyDescent="0.35"/>
    <row r="152" spans="1:13" x14ac:dyDescent="0.35"/>
    <row r="153" spans="1:13" x14ac:dyDescent="0.35"/>
    <row r="154" spans="1:13" x14ac:dyDescent="0.35">
      <c r="A154" s="9" t="s">
        <v>104</v>
      </c>
    </row>
  </sheetData>
  <sheetProtection sheet="1" objects="1" scenarios="1" selectLockedCells="1"/>
  <mergeCells count="31">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 ref="B18:G18"/>
    <mergeCell ref="B9:M10"/>
    <mergeCell ref="C3:L4"/>
    <mergeCell ref="B5:M5"/>
    <mergeCell ref="D1:K1"/>
    <mergeCell ref="B16:C16"/>
    <mergeCell ref="D16:E16"/>
    <mergeCell ref="B126:M127"/>
    <mergeCell ref="H144:M148"/>
    <mergeCell ref="B132:M133"/>
    <mergeCell ref="I135:L136"/>
    <mergeCell ref="I138:L139"/>
    <mergeCell ref="I141:L142"/>
    <mergeCell ref="M135:M136"/>
    <mergeCell ref="M138:M139"/>
    <mergeCell ref="M141:M142"/>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358"/>
  <sheetViews>
    <sheetView showGridLines="0" zoomScale="85" zoomScaleNormal="85" workbookViewId="0">
      <selection activeCell="A7" sqref="A7"/>
    </sheetView>
  </sheetViews>
  <sheetFormatPr baseColWidth="10" defaultColWidth="11.453125" defaultRowHeight="14.5" x14ac:dyDescent="0.35"/>
  <cols>
    <col min="1" max="1" width="13.453125" customWidth="1"/>
    <col min="2" max="2" width="9" customWidth="1"/>
    <col min="3" max="3" width="19.26953125" customWidth="1"/>
    <col min="4" max="4" width="10.7265625" customWidth="1"/>
    <col min="5" max="5" width="19.26953125" customWidth="1"/>
    <col min="6" max="6" width="10.453125" customWidth="1"/>
    <col min="7" max="7" width="19.26953125" customWidth="1"/>
    <col min="8" max="8" width="23.1796875" customWidth="1"/>
    <col min="9" max="9" width="17.7265625" customWidth="1"/>
    <col min="10" max="10" width="13.7265625" customWidth="1"/>
    <col min="11" max="14" width="16" style="37" customWidth="1"/>
    <col min="15" max="17" width="14.54296875" style="37" customWidth="1"/>
    <col min="18" max="18" width="16" style="38" customWidth="1"/>
    <col min="19" max="19" width="27.54296875" customWidth="1"/>
    <col min="20" max="22" width="14.54296875" customWidth="1"/>
    <col min="23" max="23" width="16" customWidth="1"/>
    <col min="24" max="24" width="27.54296875" customWidth="1"/>
  </cols>
  <sheetData>
    <row r="1" spans="1:24" s="20" ht="26" customFormat="1" x14ac:dyDescent="0.45">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45">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45">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45">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45">
      <c r="A5" s="46"/>
      <c r="B5" s="46"/>
      <c r="C5" s="46"/>
      <c r="D5" s="46"/>
      <c r="E5" s="46"/>
      <c r="F5" s="46"/>
      <c r="G5" s="46"/>
      <c r="H5" s="46"/>
      <c r="I5" s="46"/>
      <c r="J5" s="46"/>
      <c r="K5" s="46"/>
      <c r="L5" s="46"/>
      <c r="M5" s="46"/>
      <c r="N5" s="46"/>
      <c r="O5" s="18"/>
      <c r="P5" s="18"/>
      <c r="Q5" s="18"/>
      <c r="R5" s="19"/>
      <c r="S5" s="4"/>
      <c r="T5" s="4"/>
      <c r="U5" s="4"/>
      <c r="V5" s="4"/>
      <c r="W5" s="4"/>
      <c r="X5" s="4"/>
    </row>
    <row r="6" spans="1:24" s="20" ht="20.5" customFormat="1" customHeight="1" x14ac:dyDescent="0.45">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45">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t>
        </is>
      </c>
      <c r="B8" t="inlineStr">
        <is>
          <t>32</t>
        </is>
      </c>
      <c r="C8" t="inlineStr">
        <is>
          <t>Ambiente y desarrollo sostenible</t>
        </is>
      </c>
      <c r="D8" t="inlineStr">
        <is>
          <t>3202</t>
        </is>
      </c>
      <c r="E8" t="inlineStr">
        <is>
          <t>Conservación de la biodiversidad y sus servicios ecosistémicos</t>
        </is>
      </c>
      <c r="F8" t="inlineStr">
        <is>
          <t>3202043</t>
        </is>
      </c>
      <c r="G8" t="inlineStr">
        <is>
          <t>Servicio apoyo financiero para la implementación de esquemas de pago por Servicio ambientales</t>
        </is>
      </c>
      <c r="H8" t="inlineStr">
        <is>
          <t>Incluye el diseño y entrega de instrumentos económicos para dar incentivos a los usuarios del suelo, de manera que continúen ofreciendo un servicio ambiental (ecológico) que beneficia a la sociedad como un todo.</t>
        </is>
      </c>
      <c r="I8" t="inlineStr">
        <is>
          <t>2024004250022</t>
        </is>
      </c>
      <c r="J8" s="99">
        <v>29407006552</v>
      </c>
      <c r="K8" s="99">
        <v>5417915700</v>
      </c>
      <c r="L8" s="99">
        <v>9312851752</v>
      </c>
      <c r="M8" s="99">
        <v>9062082000</v>
      </c>
      <c r="N8" s="99">
        <v>5614157100</v>
      </c>
      <c r="O8" s="99">
        <v>5091666875</v>
      </c>
      <c r="P8" s="99">
        <v>5091666875</v>
      </c>
      <c r="Q8" s="99">
        <v>5091666875</v>
      </c>
      <c r="R8" s="100">
        <v>0.939783333099849</v>
      </c>
      <c r="S8" t="inlineStr">
        <is>
          <t>Lo obligado está por debajo de lo programado en la vigencia</t>
        </is>
      </c>
      <c r="T8" s="101">
        <v>5861797157</v>
      </c>
      <c r="U8" s="101">
        <v>3479104339</v>
      </c>
      <c r="V8" s="101">
        <v>3467525339</v>
      </c>
      <c r="W8" s="102">
        <v>0.373580985894341</v>
      </c>
      <c r="X8" t="inlineStr">
        <is>
          <t>Lo obligado está por debajo de lo programado en la vigencia</t>
        </is>
      </c>
    </row>
    <row r="9">
      <c r="A9" t="inlineStr">
        <is>
          <t>IP-2</t>
        </is>
      </c>
      <c r="B9" t="inlineStr">
        <is>
          <t>32</t>
        </is>
      </c>
      <c r="C9" t="inlineStr">
        <is>
          <t>Ambiente y desarrollo sostenible</t>
        </is>
      </c>
      <c r="D9" t="inlineStr">
        <is>
          <t>3203</t>
        </is>
      </c>
      <c r="E9" t="inlineStr">
        <is>
          <t>Gestión integral del recurso hídrico</t>
        </is>
      </c>
      <c r="F9" t="inlineStr">
        <is>
          <t>3203050</t>
        </is>
      </c>
      <c r="G9" t="inlineStr">
        <is>
          <t>Servicio de protección del recurso hídrico</t>
        </is>
      </c>
      <c r="H9" t="inlineStr">
        <is>
          <t>Incluye acciones orientadas a la administración y manejo de áreas de reserva hídrica o zonas de reserva natural para la protección de las fuentes hídricas.</t>
        </is>
      </c>
      <c r="I9" t="inlineStr">
        <is>
          <t>2024004250174</t>
        </is>
      </c>
      <c r="J9" s="99">
        <v>39747906800</v>
      </c>
      <c r="K9" s="99">
        <v>9935831400</v>
      </c>
      <c r="L9" s="99">
        <v>10583761200</v>
      </c>
      <c r="M9" s="99">
        <v>8000000000</v>
      </c>
      <c r="N9" s="99">
        <v>11228314200</v>
      </c>
      <c r="O9" s="99">
        <v>9595831400</v>
      </c>
      <c r="P9" s="99">
        <v>9595831400</v>
      </c>
      <c r="Q9" s="99">
        <v>9595831400</v>
      </c>
      <c r="R9" s="100">
        <v>0.965780417731323</v>
      </c>
      <c r="S9" t="inlineStr">
        <is>
          <t>Lo obligado está por debajo de lo programado en la vigencia</t>
        </is>
      </c>
      <c r="T9" s="101" t="inlineStr">
        <is>
          <t xml:space="preserve"> </t>
        </is>
      </c>
      <c r="U9" s="101" t="inlineStr">
        <is>
          <t xml:space="preserve"> </t>
        </is>
      </c>
      <c r="V9" s="101" t="inlineStr">
        <is>
          <t xml:space="preserve"> </t>
        </is>
      </c>
      <c r="W9" s="102" t="inlineStr">
        <is>
          <t xml:space="preserve"> </t>
        </is>
      </c>
      <c r="X9" t="inlineStr">
        <is>
          <t>No se encontró ejecución en CUIPO</t>
        </is>
      </c>
    </row>
    <row r="10">
      <c r="A10" t="inlineStr">
        <is>
          <t>IP-3</t>
        </is>
      </c>
      <c r="B10" t="inlineStr">
        <is>
          <t>32</t>
        </is>
      </c>
      <c r="C10" t="inlineStr">
        <is>
          <t>Ambiente y desarrollo sostenible</t>
        </is>
      </c>
      <c r="D10" t="inlineStr">
        <is>
          <t>3203</t>
        </is>
      </c>
      <c r="E10" t="inlineStr">
        <is>
          <t>Gestión integral del recurso hídrico</t>
        </is>
      </c>
      <c r="F10" t="inlineStr">
        <is>
          <t>3203034</t>
        </is>
      </c>
      <c r="G10" t="inlineStr">
        <is>
          <t>Servicio de asistencia técnica para la implementación de lineamientos sobre el mejoramiento de la calidad del recurso hídrico</t>
        </is>
      </c>
      <c r="H10" t="inlineStr">
        <is>
          <t>Acciones regionales orientadas al ordenamiento del recurso hídrico  en cuencas priorizadas y a combatir las principales causas y contaminación del recurso.</t>
        </is>
      </c>
      <c r="I10" t="inlineStr">
        <is>
          <t>2024004250174</t>
        </is>
      </c>
      <c r="J10" s="99">
        <v>15647973181</v>
      </c>
      <c r="K10" s="99">
        <v>6966587481</v>
      </c>
      <c r="L10" s="99">
        <v>2200000000</v>
      </c>
      <c r="M10" s="99">
        <v>4610000000</v>
      </c>
      <c r="N10" s="99">
        <v>1871385700</v>
      </c>
      <c r="O10" s="99">
        <v>4992449182</v>
      </c>
      <c r="P10" s="99">
        <v>4992449182</v>
      </c>
      <c r="Q10" s="99">
        <v>4992449182</v>
      </c>
      <c r="R10" s="100">
        <v>0.71662764525902</v>
      </c>
      <c r="S10" t="inlineStr">
        <is>
          <t>Lo obligado está por debajo de lo programado en la vigencia</t>
        </is>
      </c>
      <c r="T10" s="101">
        <v>772784497</v>
      </c>
      <c r="U10" s="101">
        <v>495736631</v>
      </c>
      <c r="V10" s="101">
        <v>483045506</v>
      </c>
      <c r="W10" s="102">
        <v>0.225334832272727</v>
      </c>
      <c r="X10" t="inlineStr">
        <is>
          <t>Lo obligado está por debajo de lo programado en la vigencia</t>
        </is>
      </c>
    </row>
    <row r="11">
      <c r="A11" t="inlineStr">
        <is>
          <t>IP-4</t>
        </is>
      </c>
      <c r="B11" t="inlineStr">
        <is>
          <t>32</t>
        </is>
      </c>
      <c r="C11" t="inlineStr">
        <is>
          <t>Ambiente y desarrollo sostenible</t>
        </is>
      </c>
      <c r="D11" t="inlineStr">
        <is>
          <t>3202</t>
        </is>
      </c>
      <c r="E11" t="inlineStr">
        <is>
          <t>Conservación de la biodiversidad y sus servicios ecosistémicos</t>
        </is>
      </c>
      <c r="F11" t="inlineStr">
        <is>
          <t>3202049</t>
        </is>
      </c>
      <c r="G11" t="inlineStr">
        <is>
          <t>Servicio de recuperación de ecosistemas</t>
        </is>
      </c>
      <c r="H11" t="inlineStr">
        <is>
          <t>Incluye al recuperación de áreas disturbadas en ecosistemas boscosos y no boscosos a través del análisis de tensionantes en el territorio, el análisis de suelos para conocer su estado, la plantación de árboles y arbustos de especies nativas relacionadas con el ecosistema de referencia, el aislamiento de áreas más afectadas por el tensionante identificado, la suscripción de acuerdo voluntarios con la comunidad para el mantenimiento de las acciones implementadas y el seguimiento y monitoreo a las intervenciones adelantadas.</t>
        </is>
      </c>
      <c r="I11" t="inlineStr">
        <is>
          <t>2024004250101</t>
        </is>
      </c>
      <c r="J11" s="99">
        <v>1255060000</v>
      </c>
      <c r="K11" s="99">
        <v>250000000</v>
      </c>
      <c r="L11" s="99">
        <v>439250000</v>
      </c>
      <c r="M11" s="99">
        <v>315810000</v>
      </c>
      <c r="N11" s="99">
        <v>250000000</v>
      </c>
      <c r="O11" s="99" t="inlineStr">
        <is>
          <t xml:space="preserve"> </t>
        </is>
      </c>
      <c r="P11" s="99" t="inlineStr">
        <is>
          <t xml:space="preserve"> </t>
        </is>
      </c>
      <c r="Q11" s="99" t="inlineStr">
        <is>
          <t xml:space="preserve"> </t>
        </is>
      </c>
      <c r="R11" s="100" t="inlineStr">
        <is>
          <t xml:space="preserve"> </t>
        </is>
      </c>
      <c r="S11" t="inlineStr">
        <is>
          <t>No se encontró ejecución en CUIPO</t>
        </is>
      </c>
      <c r="T11" s="101" t="inlineStr">
        <is>
          <t xml:space="preserve"> </t>
        </is>
      </c>
      <c r="U11" s="101" t="inlineStr">
        <is>
          <t xml:space="preserve"> </t>
        </is>
      </c>
      <c r="V11" s="101" t="inlineStr">
        <is>
          <t xml:space="preserve"> </t>
        </is>
      </c>
      <c r="W11" s="102" t="inlineStr">
        <is>
          <t xml:space="preserve"> </t>
        </is>
      </c>
      <c r="X11" t="inlineStr">
        <is>
          <t>No se encontró ejecución en CUIPO</t>
        </is>
      </c>
    </row>
    <row r="12">
      <c r="A12" t="inlineStr">
        <is>
          <t>IP-5</t>
        </is>
      </c>
      <c r="B12" t="inlineStr">
        <is>
          <t>40</t>
        </is>
      </c>
      <c r="C12" t="inlineStr">
        <is>
          <t>Vivienda, ciudad y territorio</t>
        </is>
      </c>
      <c r="D12" t="inlineStr">
        <is>
          <t>4003</t>
        </is>
      </c>
      <c r="E12" t="inlineStr">
        <is>
          <t>Acceso de la población a los servicios de agua potable y saneamiento básico</t>
        </is>
      </c>
      <c r="F12" t="inlineStr">
        <is>
          <t>4003025</t>
        </is>
      </c>
      <c r="G12" t="inlineStr">
        <is>
          <t>Servicios de apoyo financiero para la ejecución de proyectos de acueductos y alcantarillado</t>
        </is>
      </c>
      <c r="H12" t="inlineStr">
        <is>
          <t/>
        </is>
      </c>
      <c r="I12" t="inlineStr">
        <is>
          <t>2021004250583</t>
        </is>
      </c>
      <c r="J12" s="99">
        <v>340549637360</v>
      </c>
      <c r="K12" s="99">
        <v>42159034614</v>
      </c>
      <c r="L12" s="99">
        <v>98232931854</v>
      </c>
      <c r="M12" s="99">
        <v>103930441902</v>
      </c>
      <c r="N12" s="99">
        <v>96227228990</v>
      </c>
      <c r="O12" s="99">
        <v>93102813696</v>
      </c>
      <c r="P12" s="99">
        <v>93102813696</v>
      </c>
      <c r="Q12" s="99">
        <v>93102813696</v>
      </c>
      <c r="R12" s="100">
        <v>2.20837157559302</v>
      </c>
      <c r="S12" t="inlineStr">
        <is>
          <t>Hubo ejecución por encima de lo programado en SisPT</t>
        </is>
      </c>
      <c r="T12" s="101">
        <v>98232931854</v>
      </c>
      <c r="U12" s="101">
        <v>69803284260</v>
      </c>
      <c r="V12" s="101">
        <v>61273874198</v>
      </c>
      <c r="W12" s="102">
        <v>0.71058944228343</v>
      </c>
      <c r="X12" t="inlineStr">
        <is>
          <t>Lo obligado está por debajo de lo programado en la vigencia</t>
        </is>
      </c>
    </row>
    <row r="13">
      <c r="A13" t="inlineStr">
        <is>
          <t>IP-6</t>
        </is>
      </c>
      <c r="B13" t="inlineStr">
        <is>
          <t>17</t>
        </is>
      </c>
      <c r="C13" t="inlineStr">
        <is>
          <t xml:space="preserve">Agricultura y desarrollo rural
</t>
        </is>
      </c>
      <c r="D13" t="inlineStr">
        <is>
          <t>1709</t>
        </is>
      </c>
      <c r="E13" t="inlineStr">
        <is>
          <t>Infraestructura productiva y comercialización</t>
        </is>
      </c>
      <c r="F13" t="inlineStr">
        <is>
          <t>1709105</t>
        </is>
      </c>
      <c r="G13" t="inlineStr">
        <is>
          <t>Servicio de apoyo a la producción de las cadenas agrícolas, forestales, pecuarias, pesqueras y acuícolas</t>
        </is>
      </c>
      <c r="H13" t="inlineStr">
        <is>
          <t xml:space="preserve">Con el servicio de apoyo a la producción de las cadenas agrícolas, forestales, pecuarias, pesqueras y acuícolas, los productores afectados por condiciones climáticas desfavorables y emergencias sanitarias, reciben apoyo para la reactivación y continuidad en sus sistemas de producción. </t>
        </is>
      </c>
      <c r="I13" t="inlineStr">
        <is>
          <t>2024004250113</t>
        </is>
      </c>
      <c r="J13" s="99">
        <v>2999581756</v>
      </c>
      <c r="K13" s="99">
        <v>1098253756</v>
      </c>
      <c r="L13" s="99">
        <v>788070000</v>
      </c>
      <c r="M13" s="99">
        <v>713258000</v>
      </c>
      <c r="N13" s="99">
        <v>400000000</v>
      </c>
      <c r="O13" s="99">
        <v>1071585547</v>
      </c>
      <c r="P13" s="99">
        <v>1071585547</v>
      </c>
      <c r="Q13" s="99">
        <v>1028087089</v>
      </c>
      <c r="R13" s="100">
        <v>0.975717625499293</v>
      </c>
      <c r="S13" t="inlineStr">
        <is>
          <t>Lo obligado está por debajo de lo programado en la vigencia</t>
        </is>
      </c>
      <c r="T13" s="101">
        <v>738909238</v>
      </c>
      <c r="U13" s="101">
        <v>341587747</v>
      </c>
      <c r="V13" s="101">
        <v>341587747</v>
      </c>
      <c r="W13" s="102">
        <v>0.433448484271702</v>
      </c>
      <c r="X13" t="inlineStr">
        <is>
          <t>Lo obligado está por debajo de lo programado en la vigencia</t>
        </is>
      </c>
    </row>
    <row r="14">
      <c r="A14" t="inlineStr">
        <is>
          <t>IP-7</t>
        </is>
      </c>
      <c r="B14" t="inlineStr">
        <is>
          <t>17</t>
        </is>
      </c>
      <c r="C14" t="inlineStr">
        <is>
          <t xml:space="preserve">Agricultura y desarrollo rural
</t>
        </is>
      </c>
      <c r="D14" t="inlineStr">
        <is>
          <t>1702</t>
        </is>
      </c>
      <c r="E14" t="inlineStr">
        <is>
          <t>Inclusión productiva de pequeños productores rurales</t>
        </is>
      </c>
      <c r="F14" t="inlineStr">
        <is>
          <t>1702021</t>
        </is>
      </c>
      <c r="G14" t="inlineStr">
        <is>
          <t>Servicio de acompañamiento productivo y empresarial</t>
        </is>
      </c>
      <c r="H14" t="inlineStr">
        <is>
          <t>Incluye la identificación del estado de los procesos productivos y definición de planes de mejoramiento.</t>
        </is>
      </c>
      <c r="I14" t="inlineStr">
        <is>
          <t>2024004250089</t>
        </is>
      </c>
      <c r="J14" s="99">
        <v>1772654650</v>
      </c>
      <c r="K14" s="99">
        <v>296353666</v>
      </c>
      <c r="L14" s="99">
        <v>576300984</v>
      </c>
      <c r="M14" s="99">
        <v>600000000</v>
      </c>
      <c r="N14" s="99">
        <v>300000000</v>
      </c>
      <c r="O14" s="99">
        <v>296353666</v>
      </c>
      <c r="P14" s="99">
        <v>296353666</v>
      </c>
      <c r="Q14" s="99">
        <v>296353666</v>
      </c>
      <c r="R14" s="100">
        <v>1</v>
      </c>
      <c r="S14" t="inlineStr">
        <is>
          <t>Se ejecutó el 100% de lo programado en la vigencia</t>
        </is>
      </c>
      <c r="T14" s="101">
        <v>567967651</v>
      </c>
      <c r="U14" s="101">
        <v>272000000</v>
      </c>
      <c r="V14" s="101">
        <v>272000000</v>
      </c>
      <c r="W14" s="102">
        <v>0.471975595308024</v>
      </c>
      <c r="X14" t="inlineStr">
        <is>
          <t>Lo obligado está por debajo de lo programado en la vigencia</t>
        </is>
      </c>
    </row>
    <row r="15">
      <c r="A15" t="inlineStr">
        <is>
          <t>IP-8</t>
        </is>
      </c>
      <c r="B15" t="inlineStr">
        <is>
          <t>40</t>
        </is>
      </c>
      <c r="C15" t="inlineStr">
        <is>
          <t>Vivienda, ciudad y territorio</t>
        </is>
      </c>
      <c r="D15" t="inlineStr">
        <is>
          <t>4003</t>
        </is>
      </c>
      <c r="E15" t="inlineStr">
        <is>
          <t>Acceso de la población a los servicios de agua potable y saneamiento básico</t>
        </is>
      </c>
      <c r="F15" t="inlineStr">
        <is>
          <t>4003055</t>
        </is>
      </c>
      <c r="G15" t="inlineStr">
        <is>
          <t>Servicio de asistencia técnica</t>
        </is>
      </c>
      <c r="H15"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15" t="inlineStr">
        <is>
          <t>2024004250171</t>
        </is>
      </c>
      <c r="J15" s="99">
        <v>4469117553</v>
      </c>
      <c r="K15" s="99">
        <v>650000000</v>
      </c>
      <c r="L15" s="99">
        <v>3107337553</v>
      </c>
      <c r="M15" s="99">
        <v>511780000</v>
      </c>
      <c r="N15" s="99">
        <v>200000000</v>
      </c>
      <c r="O15" s="99">
        <v>646950033</v>
      </c>
      <c r="P15" s="99">
        <v>168971674</v>
      </c>
      <c r="Q15" s="99">
        <v>168971674</v>
      </c>
      <c r="R15" s="100">
        <v>0.259956421538462</v>
      </c>
      <c r="S15" t="inlineStr">
        <is>
          <t>Lo obligado está por debajo de lo programado en la vigencia</t>
        </is>
      </c>
      <c r="T15" s="101">
        <v>2718511290</v>
      </c>
      <c r="U15" s="101">
        <v>2353765651</v>
      </c>
      <c r="V15" s="101">
        <v>2353765651</v>
      </c>
      <c r="W15" s="102">
        <v>0.757486308086336</v>
      </c>
      <c r="X15" t="inlineStr">
        <is>
          <t>Lo obligado está por debajo de lo programado en la vigencia</t>
        </is>
      </c>
    </row>
    <row r="16">
      <c r="A16" t="inlineStr">
        <is>
          <t>IP-9</t>
        </is>
      </c>
      <c r="B16" t="inlineStr">
        <is>
          <t>40</t>
        </is>
      </c>
      <c r="C16" t="inlineStr">
        <is>
          <t>Vivienda, ciudad y territorio</t>
        </is>
      </c>
      <c r="D16" t="inlineStr">
        <is>
          <t>4003</t>
        </is>
      </c>
      <c r="E16" t="inlineStr">
        <is>
          <t>Acceso de la población a los servicios de agua potable y saneamiento básico</t>
        </is>
      </c>
      <c r="F16" t="inlineStr">
        <is>
          <t>4003008</t>
        </is>
      </c>
      <c r="G16" t="inlineStr">
        <is>
          <t>Servicio de apoyo financiero a los planes, programas y proyectos de Agua Potable y Saneamiento Básico</t>
        </is>
      </c>
      <c r="H16" t="inlineStr">
        <is>
          <t>Financiación o Cofinanciación a planes, programas y proyectos relacionados con Agua Potable y Saneamiento Básico</t>
        </is>
      </c>
      <c r="I16" t="inlineStr">
        <is>
          <t>2024004250171</t>
        </is>
      </c>
      <c r="J16" s="99">
        <v>504896000</v>
      </c>
      <c r="K16" s="99">
        <v>164896000</v>
      </c>
      <c r="L16" s="99">
        <v>20000000</v>
      </c>
      <c r="M16" s="99">
        <v>120000000</v>
      </c>
      <c r="N16" s="99">
        <v>200000000</v>
      </c>
      <c r="O16" s="99">
        <v>164896000</v>
      </c>
      <c r="P16" s="99">
        <v>164896000</v>
      </c>
      <c r="Q16" s="99">
        <v>164896000</v>
      </c>
      <c r="R16" s="100">
        <v>1</v>
      </c>
      <c r="S16" t="inlineStr">
        <is>
          <t>Se ejecutó el 100% de lo programado en la vigencia</t>
        </is>
      </c>
      <c r="T16" s="101" t="inlineStr">
        <is>
          <t xml:space="preserve"> </t>
        </is>
      </c>
      <c r="U16" s="101" t="inlineStr">
        <is>
          <t xml:space="preserve"> </t>
        </is>
      </c>
      <c r="V16" s="101" t="inlineStr">
        <is>
          <t xml:space="preserve"> </t>
        </is>
      </c>
      <c r="W16" s="102" t="inlineStr">
        <is>
          <t xml:space="preserve"> </t>
        </is>
      </c>
      <c r="X16" t="inlineStr">
        <is>
          <t>No se encontró ejecución en CUIPO</t>
        </is>
      </c>
    </row>
    <row r="17">
      <c r="A17" t="inlineStr">
        <is>
          <t>IP-10</t>
        </is>
      </c>
      <c r="B17" t="inlineStr">
        <is>
          <t>32</t>
        </is>
      </c>
      <c r="C17" t="inlineStr">
        <is>
          <t>Ambiente y desarrollo sostenible</t>
        </is>
      </c>
      <c r="D17" t="inlineStr">
        <is>
          <t>3202</t>
        </is>
      </c>
      <c r="E17" t="inlineStr">
        <is>
          <t>Conservación de la biodiversidad y sus servicios ecosistémicos</t>
        </is>
      </c>
      <c r="F17" t="inlineStr">
        <is>
          <t>3202062</t>
        </is>
      </c>
      <c r="G17" t="inlineStr">
        <is>
          <t>Centro de transformación productiva construido y dotado para actividades de bioeconomía</t>
        </is>
      </c>
      <c r="H17" t="inlineStr">
        <is>
          <t xml:space="preserve">Incluye el diseño y construcción de la infraestructura que apoye el funcionamiento de centros de transformación productiva para realizar actividades derivadas del uso de la biodiversidad que impulsen la bioeconomía. También incluye la identificación de necesidades de dotación, así como la adquisición e instalación de mobiliario y demás elementos no consumibles requeridos para apoyar el funcionamiento de los centros de transformación productiva. </t>
        </is>
      </c>
      <c r="I17" t="inlineStr">
        <is>
          <t>2024004250225</t>
        </is>
      </c>
      <c r="J17" s="99">
        <v>598000000</v>
      </c>
      <c r="K17" s="99">
        <v>500000000</v>
      </c>
      <c r="L17" s="99">
        <v>48000000</v>
      </c>
      <c r="M17" s="99">
        <v>0</v>
      </c>
      <c r="N17" s="99">
        <v>50000000</v>
      </c>
      <c r="O17" s="99">
        <v>500000000</v>
      </c>
      <c r="P17" s="99">
        <v>500000000</v>
      </c>
      <c r="Q17" s="99">
        <v>500000000</v>
      </c>
      <c r="R17" s="100">
        <v>1</v>
      </c>
      <c r="S17" t="inlineStr">
        <is>
          <t>Se ejecutó el 100% de lo programado en la vigencia</t>
        </is>
      </c>
      <c r="T17" s="101" t="inlineStr">
        <is>
          <t xml:space="preserve"> </t>
        </is>
      </c>
      <c r="U17" s="101" t="inlineStr">
        <is>
          <t xml:space="preserve"> </t>
        </is>
      </c>
      <c r="V17" s="101" t="inlineStr">
        <is>
          <t xml:space="preserve"> </t>
        </is>
      </c>
      <c r="W17" s="102" t="inlineStr">
        <is>
          <t xml:space="preserve"> </t>
        </is>
      </c>
      <c r="X17" t="inlineStr">
        <is>
          <t>No se encontró ejecución en CUIPO</t>
        </is>
      </c>
    </row>
    <row r="18">
      <c r="A18" t="inlineStr">
        <is>
          <t>IP-11</t>
        </is>
      </c>
      <c r="B18" t="inlineStr">
        <is>
          <t>40</t>
        </is>
      </c>
      <c r="C18" t="inlineStr">
        <is>
          <t>Vivienda, ciudad y territorio</t>
        </is>
      </c>
      <c r="D18" t="inlineStr">
        <is>
          <t>4003</t>
        </is>
      </c>
      <c r="E18" t="inlineStr">
        <is>
          <t>Acceso de la población a los servicios de agua potable y saneamiento básico</t>
        </is>
      </c>
      <c r="F18" t="inlineStr">
        <is>
          <t>4003021</t>
        </is>
      </c>
      <c r="G18" t="inlineStr">
        <is>
          <t>Servicios de asistencia técnica en manejo de residuos solidos</t>
        </is>
      </c>
      <c r="H18" t="inlineStr">
        <is>
          <t/>
        </is>
      </c>
      <c r="I18" t="inlineStr">
        <is>
          <t>2024004250171</t>
        </is>
      </c>
      <c r="J18" s="99">
        <v>905400000</v>
      </c>
      <c r="K18" s="99">
        <v>254000000</v>
      </c>
      <c r="L18" s="99">
        <v>210000000</v>
      </c>
      <c r="M18" s="99">
        <v>141400000</v>
      </c>
      <c r="N18" s="99">
        <v>300000000</v>
      </c>
      <c r="O18" s="99">
        <v>253166399</v>
      </c>
      <c r="P18" s="99">
        <v>139654030</v>
      </c>
      <c r="Q18" s="99">
        <v>123079630</v>
      </c>
      <c r="R18" s="100">
        <v>0.549819015748031</v>
      </c>
      <c r="S18" t="inlineStr">
        <is>
          <t>Lo obligado está por debajo de lo programado en la vigencia</t>
        </is>
      </c>
      <c r="T18" s="101">
        <v>199359787</v>
      </c>
      <c r="U18" s="101">
        <v>28032000</v>
      </c>
      <c r="V18" s="101">
        <v>24032000</v>
      </c>
      <c r="W18" s="102">
        <v>0.133485714285714</v>
      </c>
      <c r="X18" t="inlineStr">
        <is>
          <t>Lo obligado está por debajo de lo programado en la vigencia</t>
        </is>
      </c>
    </row>
    <row r="19">
      <c r="A19" t="inlineStr">
        <is>
          <t>IP-12</t>
        </is>
      </c>
      <c r="B19" t="inlineStr">
        <is>
          <t>23</t>
        </is>
      </c>
      <c r="C19" t="inlineStr">
        <is>
          <t>Tecnologías de la información y las comunicaciones</t>
        </is>
      </c>
      <c r="D19" t="inlineStr">
        <is>
          <t>2301</t>
        </is>
      </c>
      <c r="E19" t="inlineStr">
        <is>
          <t>Facilitar el acceso y uso de las Tecnologías de la Información y las Comunicaciones (TIC) en todo el territorio nacional</t>
        </is>
      </c>
      <c r="F19" t="inlineStr">
        <is>
          <t>2301064</t>
        </is>
      </c>
      <c r="G19" t="inlineStr">
        <is>
          <t>Servicio de recolección y gestión de residuos electrónicos</t>
        </is>
      </c>
      <c r="H19" t="inlineStr">
        <is>
          <t>Corresponde a la retoma de equipos obsoletos, la de manufactura y la correcta disposición de residuos electrónicos</t>
        </is>
      </c>
      <c r="I19" t="inlineStr">
        <is>
          <t>2024004250201</t>
        </is>
      </c>
      <c r="J19" s="99">
        <v>269400000</v>
      </c>
      <c r="K19" s="99">
        <v>50000000</v>
      </c>
      <c r="L19" s="99">
        <v>100000000</v>
      </c>
      <c r="M19" s="99">
        <v>69400000</v>
      </c>
      <c r="N19" s="99">
        <v>50000000</v>
      </c>
      <c r="O19" s="99">
        <v>50000000</v>
      </c>
      <c r="P19" s="99">
        <v>50000000</v>
      </c>
      <c r="Q19" s="99">
        <v>50000000</v>
      </c>
      <c r="R19" s="100">
        <v>1</v>
      </c>
      <c r="S19" t="inlineStr">
        <is>
          <t>Se ejecutó el 100% de lo programado en la vigencia</t>
        </is>
      </c>
      <c r="T19" s="101">
        <v>70539630</v>
      </c>
      <c r="U19" s="101">
        <v>0</v>
      </c>
      <c r="V19" s="101">
        <v>0</v>
      </c>
      <c r="W19" s="102">
        <v>0</v>
      </c>
      <c r="X19" t="inlineStr">
        <is>
          <t>No se ejecutó en la vigencia</t>
        </is>
      </c>
    </row>
    <row r="20">
      <c r="A20" t="inlineStr">
        <is>
          <t>IP-13</t>
        </is>
      </c>
      <c r="B20" t="inlineStr">
        <is>
          <t>40</t>
        </is>
      </c>
      <c r="C20" t="inlineStr">
        <is>
          <t>Vivienda, ciudad y territorio</t>
        </is>
      </c>
      <c r="D20" t="inlineStr">
        <is>
          <t>4003</t>
        </is>
      </c>
      <c r="E20" t="inlineStr">
        <is>
          <t>Acceso de la población a los servicios de agua potable y saneamiento básico</t>
        </is>
      </c>
      <c r="F20" t="inlineStr">
        <is>
          <t>4003022</t>
        </is>
      </c>
      <c r="G20" t="inlineStr">
        <is>
          <t>Servicios de implementación del Plan de Gestión Integral de Residuos Solidos PGIRS</t>
        </is>
      </c>
      <c r="H20" t="inlineStr">
        <is>
          <t>Contempla acciones realizadas para implementar el Plan de Gestión Integral de Residuos Solidos </t>
        </is>
      </c>
      <c r="I20" t="inlineStr">
        <is>
          <t>2024004250099</t>
        </is>
      </c>
      <c r="J20" s="99">
        <v>1963667333</v>
      </c>
      <c r="K20" s="99">
        <v>600104000</v>
      </c>
      <c r="L20" s="99">
        <v>737383333</v>
      </c>
      <c r="M20" s="99">
        <v>426180000</v>
      </c>
      <c r="N20" s="99">
        <v>200000000</v>
      </c>
      <c r="O20" s="99">
        <v>587828477</v>
      </c>
      <c r="P20" s="99">
        <v>587828477</v>
      </c>
      <c r="Q20" s="99">
        <v>587828477</v>
      </c>
      <c r="R20" s="100">
        <v>0.979544340647621</v>
      </c>
      <c r="S20" t="inlineStr">
        <is>
          <t>Lo obligado está por debajo de lo programado en la vigencia</t>
        </is>
      </c>
      <c r="T20" s="101">
        <v>730016427</v>
      </c>
      <c r="U20" s="101">
        <v>654157880</v>
      </c>
      <c r="V20" s="101">
        <v>654157880</v>
      </c>
      <c r="W20" s="102">
        <v>0.887134073587747</v>
      </c>
      <c r="X20" t="inlineStr">
        <is>
          <t>Lo obligado está por debajo de lo programado en la vigencia</t>
        </is>
      </c>
    </row>
    <row r="21">
      <c r="A21" t="inlineStr">
        <is>
          <t>IP-14</t>
        </is>
      </c>
      <c r="B21" t="inlineStr">
        <is>
          <t>32</t>
        </is>
      </c>
      <c r="C21" t="inlineStr">
        <is>
          <t>Ambiente y desarrollo sostenible</t>
        </is>
      </c>
      <c r="D21" t="inlineStr">
        <is>
          <t>3201</t>
        </is>
      </c>
      <c r="E21" t="inlineStr">
        <is>
          <t>Fortalecimiento del desempeño ambiental de los sectores productivos</t>
        </is>
      </c>
      <c r="F21" t="inlineStr">
        <is>
          <t>3201003</t>
        </is>
      </c>
      <c r="G21" t="inlineStr">
        <is>
          <t>Servicio de asistencia técnica para la consolidación de negocios verdes</t>
        </is>
      </c>
      <c r="H21" t="inlineStr">
        <is>
          <t>Incluye la verificación y asesoría técnica en la consolidación de negocios verdes </t>
        </is>
      </c>
      <c r="I21" t="inlineStr">
        <is>
          <t>2024004250109</t>
        </is>
      </c>
      <c r="J21" s="99">
        <v>2246978636</v>
      </c>
      <c r="K21" s="99">
        <v>587440688</v>
      </c>
      <c r="L21" s="99">
        <v>823192948</v>
      </c>
      <c r="M21" s="99">
        <v>586345000</v>
      </c>
      <c r="N21" s="99">
        <v>250000000</v>
      </c>
      <c r="O21" s="99">
        <v>521564258</v>
      </c>
      <c r="P21" s="99">
        <v>521564258</v>
      </c>
      <c r="Q21" s="99">
        <v>516663182</v>
      </c>
      <c r="R21" s="100">
        <v>0.887858584967475</v>
      </c>
      <c r="S21" t="inlineStr">
        <is>
          <t>Lo obligado está por debajo de lo programado en la vigencia</t>
        </is>
      </c>
      <c r="T21" s="101">
        <v>590304303</v>
      </c>
      <c r="U21" s="101">
        <v>419447450</v>
      </c>
      <c r="V21" s="101">
        <v>399147450</v>
      </c>
      <c r="W21" s="102">
        <v>0.50953722455844</v>
      </c>
      <c r="X21" t="inlineStr">
        <is>
          <t>Lo obligado está por debajo de lo programado en la vigencia</t>
        </is>
      </c>
    </row>
    <row r="22">
      <c r="A22" t="inlineStr">
        <is>
          <t>IP-15</t>
        </is>
      </c>
      <c r="B22" t="inlineStr">
        <is>
          <t>32</t>
        </is>
      </c>
      <c r="C22" t="inlineStr">
        <is>
          <t>Ambiente y desarrollo sostenible</t>
        </is>
      </c>
      <c r="D22" t="inlineStr">
        <is>
          <t>3206</t>
        </is>
      </c>
      <c r="E22" t="inlineStr">
        <is>
          <t>Gestión del cambio climático para un desarrollo bajo en carbono y resiliente al clima</t>
        </is>
      </c>
      <c r="F22" t="inlineStr">
        <is>
          <t>3206011</t>
        </is>
      </c>
      <c r="G22" t="inlineStr">
        <is>
          <t>Servicios de información para el seguimiento a los compromisos en cambio climático de Colombia</t>
        </is>
      </c>
      <c r="H22" t="inlineStr">
        <is>
          <t xml:space="preserve">Incluye el monitoreo de los indicadores y variables climáticas, gases efecto invernadero, y vulnerabilidad, ex ante y . </t>
        </is>
      </c>
      <c r="I22" t="inlineStr">
        <is>
          <t>2024004250111</t>
        </is>
      </c>
      <c r="J22" s="99">
        <v>876870334</v>
      </c>
      <c r="K22" s="99">
        <v>191770334</v>
      </c>
      <c r="L22" s="99">
        <v>239500000</v>
      </c>
      <c r="M22" s="99">
        <v>245600000</v>
      </c>
      <c r="N22" s="99">
        <v>200000000</v>
      </c>
      <c r="O22" s="99">
        <v>191770334</v>
      </c>
      <c r="P22" s="99">
        <v>191770334</v>
      </c>
      <c r="Q22" s="99">
        <v>191770334</v>
      </c>
      <c r="R22" s="100">
        <v>1</v>
      </c>
      <c r="S22" t="inlineStr">
        <is>
          <t>Se ejecutó el 100% de lo programado en la vigencia</t>
        </is>
      </c>
      <c r="T22" s="101">
        <v>121633333</v>
      </c>
      <c r="U22" s="101">
        <v>89179167</v>
      </c>
      <c r="V22" s="101">
        <v>89179167</v>
      </c>
      <c r="W22" s="102">
        <v>0.372355603340292</v>
      </c>
      <c r="X22" t="inlineStr">
        <is>
          <t>Lo obligado está por debajo de lo programado en la vigencia</t>
        </is>
      </c>
    </row>
    <row r="23">
      <c r="A23" t="inlineStr">
        <is>
          <t>IP-16</t>
        </is>
      </c>
      <c r="B23" t="inlineStr">
        <is>
          <t>32</t>
        </is>
      </c>
      <c r="C23" t="inlineStr">
        <is>
          <t>Ambiente y desarrollo sostenible</t>
        </is>
      </c>
      <c r="D23" t="inlineStr">
        <is>
          <t>3206</t>
        </is>
      </c>
      <c r="E23" t="inlineStr">
        <is>
          <t>Gestión del cambio climático para un desarrollo bajo en carbono y resiliente al clima</t>
        </is>
      </c>
      <c r="F23" t="inlineStr">
        <is>
          <t>3206003</t>
        </is>
      </c>
      <c r="G23" t="inlineStr">
        <is>
          <t>Servicio de apoyo técnico para la implementación de acciones de mitigación y adaptación al cambio climático</t>
        </is>
      </c>
      <c r="H23"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23" t="inlineStr">
        <is>
          <t>2024004250056</t>
        </is>
      </c>
      <c r="J23" s="99">
        <v>25576140088</v>
      </c>
      <c r="K23" s="99">
        <v>1247907001</v>
      </c>
      <c r="L23" s="99">
        <v>23152550000</v>
      </c>
      <c r="M23" s="99">
        <v>775683087</v>
      </c>
      <c r="N23" s="99">
        <v>400000000</v>
      </c>
      <c r="O23" s="99">
        <v>1236007000</v>
      </c>
      <c r="P23" s="99">
        <v>1136007000</v>
      </c>
      <c r="Q23" s="99">
        <v>1136007000</v>
      </c>
      <c r="R23" s="100">
        <v>0.910329855581922</v>
      </c>
      <c r="S23" t="inlineStr">
        <is>
          <t>Lo obligado está por debajo de lo programado en la vigencia</t>
        </is>
      </c>
      <c r="T23" s="101">
        <v>12661705858</v>
      </c>
      <c r="U23" s="101">
        <v>12343774581</v>
      </c>
      <c r="V23" s="101">
        <v>12337274581</v>
      </c>
      <c r="W23" s="102">
        <v>0.533149678156402</v>
      </c>
      <c r="X23" t="inlineStr">
        <is>
          <t>Lo obligado está por debajo de lo programado en la vigencia</t>
        </is>
      </c>
    </row>
    <row r="24">
      <c r="A24" t="inlineStr">
        <is>
          <t>IP-17</t>
        </is>
      </c>
      <c r="B24" t="inlineStr">
        <is>
          <t>32</t>
        </is>
      </c>
      <c r="C24" t="inlineStr">
        <is>
          <t>Ambiente y desarrollo sostenible</t>
        </is>
      </c>
      <c r="D24" t="inlineStr">
        <is>
          <t>3202</t>
        </is>
      </c>
      <c r="E24" t="inlineStr">
        <is>
          <t>Conservación de la biodiversidad y sus servicios ecosistémicos</t>
        </is>
      </c>
      <c r="F24" t="inlineStr">
        <is>
          <t>3202005</t>
        </is>
      </c>
      <c r="G24" t="inlineStr">
        <is>
          <t>Servicio de restauración de ecosistemas</t>
        </is>
      </c>
      <c r="H24" t="inlineStr">
        <is>
          <t>Incluye el restablecimiento del ecosistema degradado a una condición similar al ecosistema pre disturbio respecto a su composición, estructura, y funcionamiento. </t>
        </is>
      </c>
      <c r="I24" t="inlineStr">
        <is>
          <t>2024004250170</t>
        </is>
      </c>
      <c r="J24" s="99">
        <v>1533232000</v>
      </c>
      <c r="K24" s="99">
        <v>400000000</v>
      </c>
      <c r="L24" s="99">
        <v>419732000</v>
      </c>
      <c r="M24" s="99">
        <v>413500000</v>
      </c>
      <c r="N24" s="99">
        <v>300000000</v>
      </c>
      <c r="O24" s="99">
        <v>400000000</v>
      </c>
      <c r="P24" s="99">
        <v>400000000</v>
      </c>
      <c r="Q24" s="99">
        <v>400000000</v>
      </c>
      <c r="R24" s="100">
        <v>1</v>
      </c>
      <c r="S24" t="inlineStr">
        <is>
          <t>Se ejecutó el 100% de lo programado en la vigencia</t>
        </is>
      </c>
      <c r="T24" s="101">
        <v>401828533</v>
      </c>
      <c r="U24" s="101">
        <v>64732000</v>
      </c>
      <c r="V24" s="101">
        <v>64732000</v>
      </c>
      <c r="W24" s="102">
        <v>0.154222217986715</v>
      </c>
      <c r="X24" t="inlineStr">
        <is>
          <t>Lo obligado está por debajo de lo programado en la vigencia</t>
        </is>
      </c>
    </row>
    <row r="25">
      <c r="A25" t="inlineStr">
        <is>
          <t>IP-18</t>
        </is>
      </c>
      <c r="B25" t="inlineStr">
        <is>
          <t>40</t>
        </is>
      </c>
      <c r="C25" t="inlineStr">
        <is>
          <t>Vivienda, ciudad y territorio</t>
        </is>
      </c>
      <c r="D25" t="inlineStr">
        <is>
          <t>4003</t>
        </is>
      </c>
      <c r="E25" t="inlineStr">
        <is>
          <t>Acceso de la población a los servicios de agua potable y saneamiento básico</t>
        </is>
      </c>
      <c r="F25" t="inlineStr">
        <is>
          <t>4003026</t>
        </is>
      </c>
      <c r="G25" t="inlineStr">
        <is>
          <t>Servicios de apoyo financiero para la ejecución de proyectos de acueductos y de manejo de aguas residuales</t>
        </is>
      </c>
      <c r="H25" t="inlineStr">
        <is>
          <t/>
        </is>
      </c>
      <c r="I25" t="inlineStr">
        <is>
          <t>2021004250560</t>
        </is>
      </c>
      <c r="J25" s="99">
        <v>38570000000</v>
      </c>
      <c r="K25" s="99">
        <v>9219000000</v>
      </c>
      <c r="L25" s="99">
        <v>9496000000</v>
      </c>
      <c r="M25" s="99">
        <v>9781000000</v>
      </c>
      <c r="N25" s="99">
        <v>10074000000</v>
      </c>
      <c r="O25" s="99">
        <v>9219000000</v>
      </c>
      <c r="P25" s="99">
        <v>9219000000</v>
      </c>
      <c r="Q25" s="99">
        <v>9219000000</v>
      </c>
      <c r="R25" s="100">
        <v>1</v>
      </c>
      <c r="S25" t="inlineStr">
        <is>
          <t>Se ejecutó el 100% de lo programado en la vigencia</t>
        </is>
      </c>
      <c r="T25" s="101">
        <v>9496000000</v>
      </c>
      <c r="U25" s="101">
        <v>9496000000</v>
      </c>
      <c r="V25" s="101">
        <v>9496000000</v>
      </c>
      <c r="W25" s="102">
        <v>1</v>
      </c>
      <c r="X25" t="inlineStr">
        <is>
          <t>Se ejecutó el 100% de lo programado en la vigencia</t>
        </is>
      </c>
    </row>
    <row r="26">
      <c r="A26" t="inlineStr">
        <is>
          <t>IP-19</t>
        </is>
      </c>
      <c r="B26" t="inlineStr">
        <is>
          <t>45</t>
        </is>
      </c>
      <c r="C26" t="inlineStr">
        <is>
          <t>Gobierno Territorial</t>
        </is>
      </c>
      <c r="D26" t="inlineStr">
        <is>
          <t>4503</t>
        </is>
      </c>
      <c r="E26" t="inlineStr">
        <is>
          <t>Gestión del riesgo de desastres y emergencias</t>
        </is>
      </c>
      <c r="F26" t="inlineStr">
        <is>
          <t>4503033</t>
        </is>
      </c>
      <c r="G26" t="inlineStr">
        <is>
          <t>Servicio de información implementado</t>
        </is>
      </c>
      <c r="H26" t="inlineStr">
        <is>
          <t>Corresponde al proceso que mejora en la disposición de la información para asegurar que sea accesible, confiable y oportuna.</t>
        </is>
      </c>
      <c r="I26" t="inlineStr">
        <is>
          <t>2024004250202</t>
        </is>
      </c>
      <c r="J26" s="99">
        <v>1153250000</v>
      </c>
      <c r="K26" s="99">
        <v>0</v>
      </c>
      <c r="L26" s="99">
        <v>400000000</v>
      </c>
      <c r="M26" s="99">
        <v>353250000</v>
      </c>
      <c r="N26" s="99">
        <v>400000000</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v>197283333</v>
      </c>
      <c r="U26" s="101">
        <v>138783333</v>
      </c>
      <c r="V26" s="101">
        <v>138783333</v>
      </c>
      <c r="W26" s="102">
        <v>0.3469583325</v>
      </c>
      <c r="X26" t="inlineStr">
        <is>
          <t>Lo obligado está por debajo de lo programado en la vigencia</t>
        </is>
      </c>
    </row>
    <row r="27">
      <c r="A27" t="inlineStr">
        <is>
          <t>IP-20</t>
        </is>
      </c>
      <c r="B27" t="inlineStr">
        <is>
          <t>45</t>
        </is>
      </c>
      <c r="C27" t="inlineStr">
        <is>
          <t>Gobierno Territorial</t>
        </is>
      </c>
      <c r="D27" t="inlineStr">
        <is>
          <t>4503</t>
        </is>
      </c>
      <c r="E27" t="inlineStr">
        <is>
          <t>Gestión del riesgo de desastres y emergencias</t>
        </is>
      </c>
      <c r="F27" t="inlineStr">
        <is>
          <t>4503033</t>
        </is>
      </c>
      <c r="G27" t="inlineStr">
        <is>
          <t>Servicio de información implementado</t>
        </is>
      </c>
      <c r="H27" t="inlineStr">
        <is>
          <t>Corresponde al proceso que mejora en la disposición de la información para asegurar que sea accesible, confiable y oportuna.</t>
        </is>
      </c>
      <c r="I27" t="inlineStr">
        <is>
          <t>2024004250218</t>
        </is>
      </c>
      <c r="J27" s="99">
        <v>970421100</v>
      </c>
      <c r="K27" s="99">
        <v>0</v>
      </c>
      <c r="L27" s="99">
        <v>180000000</v>
      </c>
      <c r="M27" s="99">
        <v>610421100</v>
      </c>
      <c r="N27" s="99">
        <v>180000000</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v>180000000</v>
      </c>
      <c r="U27" s="101">
        <v>0</v>
      </c>
      <c r="V27" s="101">
        <v>0</v>
      </c>
      <c r="W27" s="102">
        <v>0</v>
      </c>
      <c r="X27" t="inlineStr">
        <is>
          <t>No se ejecutó en la vigencia</t>
        </is>
      </c>
    </row>
    <row r="28">
      <c r="A28" t="inlineStr">
        <is>
          <t>IP-21</t>
        </is>
      </c>
      <c r="B28" t="inlineStr">
        <is>
          <t>45</t>
        </is>
      </c>
      <c r="C28" t="inlineStr">
        <is>
          <t>Gobierno Territorial</t>
        </is>
      </c>
      <c r="D28" t="inlineStr">
        <is>
          <t>4503</t>
        </is>
      </c>
      <c r="E28" t="inlineStr">
        <is>
          <t>Gestión del riesgo de desastres y emergencias</t>
        </is>
      </c>
      <c r="F28" t="inlineStr">
        <is>
          <t>4503026</t>
        </is>
      </c>
      <c r="G28" t="inlineStr">
        <is>
          <t>Centros logísticos construidos y dotados</t>
        </is>
      </c>
      <c r="H28" t="inlineStr">
        <is>
          <t xml:space="preserve">Incluye la construcción de centros logísticos en terrenos no construidos o cuya área esté libre por autorización de demolición total. A su vez, contiene la dotación a la infraestructura construida. </t>
        </is>
      </c>
      <c r="I28" t="inlineStr">
        <is>
          <t>2024004250215</t>
        </is>
      </c>
      <c r="J28" s="99">
        <v>2434446388</v>
      </c>
      <c r="K28" s="99">
        <v>58381000</v>
      </c>
      <c r="L28" s="99">
        <v>496813000</v>
      </c>
      <c r="M28" s="99">
        <v>1254252388</v>
      </c>
      <c r="N28" s="99">
        <v>625000000</v>
      </c>
      <c r="O28" s="99">
        <v>58381000</v>
      </c>
      <c r="P28" s="99">
        <v>58381000</v>
      </c>
      <c r="Q28" s="99">
        <v>58381000</v>
      </c>
      <c r="R28" s="100">
        <v>1</v>
      </c>
      <c r="S28" t="inlineStr">
        <is>
          <t>Se ejecutó el 100% de lo programado en la vigencia</t>
        </is>
      </c>
      <c r="T28" s="101">
        <v>480627163</v>
      </c>
      <c r="U28" s="101">
        <v>154097511</v>
      </c>
      <c r="V28" s="101">
        <v>154097511</v>
      </c>
      <c r="W28" s="102">
        <v>0.310172058702168</v>
      </c>
      <c r="X28" t="inlineStr">
        <is>
          <t>Lo obligado está por debajo de lo programado en la vigencia</t>
        </is>
      </c>
    </row>
    <row r="29">
      <c r="A29" t="inlineStr">
        <is>
          <t>IP-22</t>
        </is>
      </c>
      <c r="B29" t="inlineStr">
        <is>
          <t>45</t>
        </is>
      </c>
      <c r="C29" t="inlineStr">
        <is>
          <t>Gobierno Territorial</t>
        </is>
      </c>
      <c r="D29" t="inlineStr">
        <is>
          <t>4503</t>
        </is>
      </c>
      <c r="E29" t="inlineStr">
        <is>
          <t>Gestión del riesgo de desastres y emergencias</t>
        </is>
      </c>
      <c r="F29" t="inlineStr">
        <is>
          <t>4503022</t>
        </is>
      </c>
      <c r="G29" t="inlineStr">
        <is>
          <t>Obras de infraestructura para la reducción del riesgo de desastres</t>
        </is>
      </c>
      <c r="H29" t="inlineStr">
        <is>
          <t>Intervenciones que buscan reducir el nivel de riesgo existente en un determinado sitio, mediante acciones de carácter estructural – físicas que conlleven a corregir o reducir las condiciones de amenaza, cuando esto sea posible, y/o la vulnerabilidad de los elementos expuestos.</t>
        </is>
      </c>
      <c r="I29" t="inlineStr">
        <is>
          <t>2024004250200</t>
        </is>
      </c>
      <c r="J29" s="99">
        <v>47671475731</v>
      </c>
      <c r="K29" s="99">
        <v>802992947</v>
      </c>
      <c r="L29" s="99">
        <v>7980537830</v>
      </c>
      <c r="M29" s="99">
        <v>32837944954</v>
      </c>
      <c r="N29" s="99">
        <v>6050000000</v>
      </c>
      <c r="O29" s="99">
        <v>802992945</v>
      </c>
      <c r="P29" s="99">
        <v>593992945</v>
      </c>
      <c r="Q29" s="99">
        <v>593992945</v>
      </c>
      <c r="R29" s="100">
        <v>0.739723738818842</v>
      </c>
      <c r="S29" t="inlineStr">
        <is>
          <t>Lo obligado está por debajo de lo programado en la vigencia</t>
        </is>
      </c>
      <c r="T29" s="101">
        <v>2406812980</v>
      </c>
      <c r="U29" s="101">
        <v>893397059</v>
      </c>
      <c r="V29" s="101">
        <v>893397059</v>
      </c>
      <c r="W29" s="102">
        <v>0.111946973754274</v>
      </c>
      <c r="X29" t="inlineStr">
        <is>
          <t>Lo obligado está por debajo de lo programado en la vigencia</t>
        </is>
      </c>
    </row>
    <row r="30">
      <c r="A30" t="inlineStr">
        <is>
          <t>IP-23</t>
        </is>
      </c>
      <c r="B30" t="inlineStr">
        <is>
          <t>45</t>
        </is>
      </c>
      <c r="C30" t="inlineStr">
        <is>
          <t>Gobierno Territorial</t>
        </is>
      </c>
      <c r="D30" t="inlineStr">
        <is>
          <t>4503</t>
        </is>
      </c>
      <c r="E30" t="inlineStr">
        <is>
          <t>Gestión del riesgo de desastres y emergencias</t>
        </is>
      </c>
      <c r="F30" t="inlineStr">
        <is>
          <t>4503016</t>
        </is>
      </c>
      <c r="G30" t="inlineStr">
        <is>
          <t>Servicio de fortalecimiento a las salas de crisis territorial</t>
        </is>
      </c>
      <c r="H30" t="inlineStr">
        <is>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is>
      </c>
      <c r="I30" t="inlineStr">
        <is>
          <t>2023004250046, 2024004250199</t>
        </is>
      </c>
      <c r="J30" s="99">
        <v>16905285765</v>
      </c>
      <c r="K30" s="99">
        <v>3320000000</v>
      </c>
      <c r="L30" s="99">
        <v>9649329030</v>
      </c>
      <c r="M30" s="99">
        <v>3434971735</v>
      </c>
      <c r="N30" s="99">
        <v>500985000</v>
      </c>
      <c r="O30" s="99">
        <v>3319872115</v>
      </c>
      <c r="P30" s="99">
        <v>3319872115</v>
      </c>
      <c r="Q30" s="99">
        <v>2315800670</v>
      </c>
      <c r="R30" s="100">
        <v>0.999961480421687</v>
      </c>
      <c r="S30" t="inlineStr">
        <is>
          <t>Lo obligado está por debajo de lo programado en la vigencia</t>
        </is>
      </c>
      <c r="T30" s="101">
        <v>1567220408</v>
      </c>
      <c r="U30" s="101">
        <v>725071959</v>
      </c>
      <c r="V30" s="101">
        <v>725071959</v>
      </c>
      <c r="W30" s="102">
        <v>0.0751422152510018</v>
      </c>
      <c r="X30" t="inlineStr">
        <is>
          <t>Lo obligado está por debajo de lo programado en la vigencia</t>
        </is>
      </c>
    </row>
    <row r="31">
      <c r="A31" t="inlineStr">
        <is>
          <t>IP-24</t>
        </is>
      </c>
      <c r="B31" t="inlineStr">
        <is>
          <t>45</t>
        </is>
      </c>
      <c r="C31" t="inlineStr">
        <is>
          <t>Gobierno Territorial</t>
        </is>
      </c>
      <c r="D31" t="inlineStr">
        <is>
          <t>4503</t>
        </is>
      </c>
      <c r="E31" t="inlineStr">
        <is>
          <t>Gestión del riesgo de desastres y emergencias</t>
        </is>
      </c>
      <c r="F31" t="inlineStr">
        <is>
          <t>4503002</t>
        </is>
      </c>
      <c r="G31" t="inlineStr">
        <is>
          <t>Servicio de educación informal</t>
        </is>
      </c>
      <c r="H31"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31" t="inlineStr">
        <is>
          <t>2024004250216</t>
        </is>
      </c>
      <c r="J31" s="99">
        <v>7925447931</v>
      </c>
      <c r="K31" s="99">
        <v>2482930084</v>
      </c>
      <c r="L31" s="99">
        <v>2776157856</v>
      </c>
      <c r="M31" s="99">
        <v>1359396991</v>
      </c>
      <c r="N31" s="99">
        <v>1306963000</v>
      </c>
      <c r="O31" s="99">
        <v>2482919339</v>
      </c>
      <c r="P31" s="99">
        <v>2357679839</v>
      </c>
      <c r="Q31" s="99">
        <v>2156881219</v>
      </c>
      <c r="R31" s="100">
        <v>0.9495554684334</v>
      </c>
      <c r="S31" t="inlineStr">
        <is>
          <t>Lo obligado está por debajo de lo programado en la vigencia</t>
        </is>
      </c>
      <c r="T31" s="101">
        <v>2499215437</v>
      </c>
      <c r="U31" s="101">
        <v>1278121025</v>
      </c>
      <c r="V31" s="101">
        <v>1278121025</v>
      </c>
      <c r="W31" s="102">
        <v>0.460392056682817</v>
      </c>
      <c r="X31" t="inlineStr">
        <is>
          <t>Lo obligado está por debajo de lo programado en la vigencia</t>
        </is>
      </c>
    </row>
    <row r="32">
      <c r="A32" t="inlineStr">
        <is>
          <t>IP-25</t>
        </is>
      </c>
      <c r="B32" t="inlineStr">
        <is>
          <t>45</t>
        </is>
      </c>
      <c r="C32" t="inlineStr">
        <is>
          <t>Gobierno Territorial</t>
        </is>
      </c>
      <c r="D32" t="inlineStr">
        <is>
          <t>4503</t>
        </is>
      </c>
      <c r="E32" t="inlineStr">
        <is>
          <t>Gestión del riesgo de desastres y emergencias</t>
        </is>
      </c>
      <c r="F32" t="inlineStr">
        <is>
          <t>4503004</t>
        </is>
      </c>
      <c r="G32" t="inlineStr">
        <is>
          <t>Servicio de atención a emergencias y desastres</t>
        </is>
      </c>
      <c r="H32"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32" t="inlineStr">
        <is>
          <t>2024004250203</t>
        </is>
      </c>
      <c r="J32" s="99">
        <v>11750383457</v>
      </c>
      <c r="K32" s="99">
        <v>856164982</v>
      </c>
      <c r="L32" s="99">
        <v>7567569704</v>
      </c>
      <c r="M32" s="99">
        <v>1584835771</v>
      </c>
      <c r="N32" s="99">
        <v>1741813000</v>
      </c>
      <c r="O32" s="99">
        <v>856149051</v>
      </c>
      <c r="P32" s="99">
        <v>856149051</v>
      </c>
      <c r="Q32" s="99">
        <v>856149051</v>
      </c>
      <c r="R32" s="100">
        <v>0.999981392605006</v>
      </c>
      <c r="S32" t="inlineStr">
        <is>
          <t>Lo obligado está por debajo de lo programado en la vigencia</t>
        </is>
      </c>
      <c r="T32" s="101">
        <v>4008747152</v>
      </c>
      <c r="U32" s="101">
        <v>1310898306</v>
      </c>
      <c r="V32" s="101">
        <v>1310898306</v>
      </c>
      <c r="W32" s="102">
        <v>0.173225798674454</v>
      </c>
      <c r="X32" t="inlineStr">
        <is>
          <t>Lo obligado está por debajo de lo programado en la vigencia</t>
        </is>
      </c>
    </row>
    <row r="33">
      <c r="A33" t="inlineStr">
        <is>
          <t>IP-26</t>
        </is>
      </c>
      <c r="B33" t="inlineStr">
        <is>
          <t>45</t>
        </is>
      </c>
      <c r="C33" t="inlineStr">
        <is>
          <t>Gobierno Territorial</t>
        </is>
      </c>
      <c r="D33" t="inlineStr">
        <is>
          <t>4501</t>
        </is>
      </c>
      <c r="E33" t="inlineStr">
        <is>
          <t>Fortalecimiento de la convivencia y la seguridad ciudadana</t>
        </is>
      </c>
      <c r="F33" t="inlineStr">
        <is>
          <t>4501049</t>
        </is>
      </c>
      <c r="G33" t="inlineStr">
        <is>
          <t>Servicio de educación informal</t>
        </is>
      </c>
      <c r="H33" t="inlineStr">
        <is>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is>
      </c>
      <c r="I33" t="inlineStr">
        <is>
          <t>2024004250180</t>
        </is>
      </c>
      <c r="J33" s="99">
        <v>1409558266</v>
      </c>
      <c r="K33" s="99">
        <v>218462967</v>
      </c>
      <c r="L33" s="99">
        <v>510903999</v>
      </c>
      <c r="M33" s="99">
        <v>577365300</v>
      </c>
      <c r="N33" s="99">
        <v>102826000</v>
      </c>
      <c r="O33" s="99">
        <v>218462967</v>
      </c>
      <c r="P33" s="99">
        <v>218462967</v>
      </c>
      <c r="Q33" s="99">
        <v>218462967</v>
      </c>
      <c r="R33" s="100">
        <v>1</v>
      </c>
      <c r="S33" t="inlineStr">
        <is>
          <t>Se ejecutó el 100% de lo programado en la vigencia</t>
        </is>
      </c>
      <c r="T33" s="101">
        <v>289428000</v>
      </c>
      <c r="U33" s="101">
        <v>289428000</v>
      </c>
      <c r="V33" s="101">
        <v>289428000</v>
      </c>
      <c r="W33" s="102">
        <v>0.566501731375174</v>
      </c>
      <c r="X33" t="inlineStr">
        <is>
          <t>Lo obligado está por debajo de lo programado en la vigencia</t>
        </is>
      </c>
    </row>
    <row r="34">
      <c r="A34" t="inlineStr">
        <is>
          <t>IP-27</t>
        </is>
      </c>
      <c r="B34" t="inlineStr">
        <is>
          <t>45</t>
        </is>
      </c>
      <c r="C34" t="inlineStr">
        <is>
          <t>Gobierno Territorial</t>
        </is>
      </c>
      <c r="D34" t="inlineStr">
        <is>
          <t>4501</t>
        </is>
      </c>
      <c r="E34" t="inlineStr">
        <is>
          <t>Fortalecimiento de la convivencia y la seguridad ciudadana</t>
        </is>
      </c>
      <c r="F34" t="inlineStr">
        <is>
          <t>4501058</t>
        </is>
      </c>
      <c r="G34" t="inlineStr">
        <is>
          <t>Infraestructura para el bienestar animal construida y dotada</t>
        </is>
      </c>
      <c r="H34" t="inlineStr">
        <is>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is>
      </c>
      <c r="I34" t="inlineStr">
        <is>
          <t>2024004250239</t>
        </is>
      </c>
      <c r="J34" s="99">
        <v>3604517200</v>
      </c>
      <c r="K34" s="99">
        <v>0</v>
      </c>
      <c r="L34" s="99">
        <v>2040187100</v>
      </c>
      <c r="M34" s="99">
        <v>1544330100</v>
      </c>
      <c r="N34" s="99">
        <v>20000000</v>
      </c>
      <c r="O34" s="99" t="inlineStr">
        <is>
          <t xml:space="preserve"> </t>
        </is>
      </c>
      <c r="P34" s="99" t="inlineStr">
        <is>
          <t xml:space="preserve"> </t>
        </is>
      </c>
      <c r="Q34" s="99" t="inlineStr">
        <is>
          <t xml:space="preserve"> </t>
        </is>
      </c>
      <c r="R34" s="100" t="inlineStr">
        <is>
          <t xml:space="preserve"> </t>
        </is>
      </c>
      <c r="S34" t="inlineStr">
        <is>
          <t>No se encontró ejecución en CUIPO</t>
        </is>
      </c>
      <c r="T34" s="101">
        <v>24858000</v>
      </c>
      <c r="U34" s="101">
        <v>24858000</v>
      </c>
      <c r="V34" s="101">
        <v>24858000</v>
      </c>
      <c r="W34" s="102">
        <v>0.0121841766375251</v>
      </c>
      <c r="X34" t="inlineStr">
        <is>
          <t>Lo obligado está por debajo de lo programado en la vigencia</t>
        </is>
      </c>
    </row>
    <row r="35">
      <c r="A35" t="inlineStr">
        <is>
          <t>IP-28</t>
        </is>
      </c>
      <c r="B35" t="inlineStr">
        <is>
          <t>45</t>
        </is>
      </c>
      <c r="C35" t="inlineStr">
        <is>
          <t>Gobierno Territorial</t>
        </is>
      </c>
      <c r="D35" t="inlineStr">
        <is>
          <t>4501</t>
        </is>
      </c>
      <c r="E35" t="inlineStr">
        <is>
          <t>Fortalecimiento de la convivencia y la seguridad ciudadana</t>
        </is>
      </c>
      <c r="F35" t="inlineStr">
        <is>
          <t>4501058</t>
        </is>
      </c>
      <c r="G35" t="inlineStr">
        <is>
          <t>Infraestructura para el bienestar animal construida y dotada</t>
        </is>
      </c>
      <c r="H35" t="inlineStr">
        <is>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is>
      </c>
      <c r="I35" t="inlineStr">
        <is>
          <t>2024004250180</t>
        </is>
      </c>
      <c r="J35" s="99">
        <v>745000000</v>
      </c>
      <c r="K35" s="99">
        <v>240000000</v>
      </c>
      <c r="L35" s="99">
        <v>250000000</v>
      </c>
      <c r="M35" s="99">
        <v>240000000</v>
      </c>
      <c r="N35" s="99">
        <v>15000000</v>
      </c>
      <c r="O35" s="99">
        <v>240000000</v>
      </c>
      <c r="P35" s="99">
        <v>240000000</v>
      </c>
      <c r="Q35" s="99">
        <v>240000000</v>
      </c>
      <c r="R35" s="100">
        <v>1</v>
      </c>
      <c r="S35" t="inlineStr">
        <is>
          <t>Se ejecutó el 100% de lo programado en la vigencia</t>
        </is>
      </c>
      <c r="T35" s="101" t="inlineStr">
        <is>
          <t xml:space="preserve"> </t>
        </is>
      </c>
      <c r="U35" s="101" t="inlineStr">
        <is>
          <t xml:space="preserve"> </t>
        </is>
      </c>
      <c r="V35" s="101" t="inlineStr">
        <is>
          <t xml:space="preserve"> </t>
        </is>
      </c>
      <c r="W35" s="102" t="inlineStr">
        <is>
          <t xml:space="preserve"> </t>
        </is>
      </c>
      <c r="X35" t="inlineStr">
        <is>
          <t>No se encontró ejecución en CUIPO</t>
        </is>
      </c>
    </row>
    <row r="36">
      <c r="A36" t="inlineStr">
        <is>
          <t>IP-29</t>
        </is>
      </c>
      <c r="B36" t="inlineStr">
        <is>
          <t>45</t>
        </is>
      </c>
      <c r="C36" t="inlineStr">
        <is>
          <t>Gobierno Territorial</t>
        </is>
      </c>
      <c r="D36" t="inlineStr">
        <is>
          <t>4501</t>
        </is>
      </c>
      <c r="E36" t="inlineStr">
        <is>
          <t>Fortalecimiento de la convivencia y la seguridad ciudadana</t>
        </is>
      </c>
      <c r="F36" t="inlineStr">
        <is>
          <t>4501061</t>
        </is>
      </c>
      <c r="G36" t="inlineStr">
        <is>
          <t>Servicio de atención integral a la fauna</t>
        </is>
      </c>
      <c r="H36" t="inlineStr">
        <is>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is>
      </c>
      <c r="I36" t="inlineStr">
        <is>
          <t>2024004250180</t>
        </is>
      </c>
      <c r="J36" s="99">
        <v>5487205397</v>
      </c>
      <c r="K36" s="99">
        <v>964484433</v>
      </c>
      <c r="L36" s="99">
        <v>1832939998</v>
      </c>
      <c r="M36" s="99">
        <v>1931854300</v>
      </c>
      <c r="N36" s="99">
        <v>757926666</v>
      </c>
      <c r="O36" s="99">
        <v>964484433</v>
      </c>
      <c r="P36" s="99">
        <v>964484433</v>
      </c>
      <c r="Q36" s="99">
        <v>964484433</v>
      </c>
      <c r="R36" s="100">
        <v>1</v>
      </c>
      <c r="S36" t="inlineStr">
        <is>
          <t>Se ejecutó el 100% de lo programado en la vigencia</t>
        </is>
      </c>
      <c r="T36" s="101">
        <v>975100000</v>
      </c>
      <c r="U36" s="101">
        <v>975100000</v>
      </c>
      <c r="V36" s="101">
        <v>975100000</v>
      </c>
      <c r="W36" s="102">
        <v>0.531986863216458</v>
      </c>
      <c r="X36" t="inlineStr">
        <is>
          <t>Lo obligado está por debajo de lo programado en la vigencia</t>
        </is>
      </c>
    </row>
    <row r="37">
      <c r="A37" t="inlineStr">
        <is>
          <t>IP-30</t>
        </is>
      </c>
      <c r="B37" t="inlineStr">
        <is>
          <t>45</t>
        </is>
      </c>
      <c r="C37" t="inlineStr">
        <is>
          <t>Gobierno Territorial</t>
        </is>
      </c>
      <c r="D37" t="inlineStr">
        <is>
          <t>4501</t>
        </is>
      </c>
      <c r="E37" t="inlineStr">
        <is>
          <t>Fortalecimiento de la convivencia y la seguridad ciudadana</t>
        </is>
      </c>
      <c r="F37" t="inlineStr">
        <is>
          <t>4501001</t>
        </is>
      </c>
      <c r="G37" t="inlineStr">
        <is>
          <t>Servicio de asistencia técnica</t>
        </is>
      </c>
      <c r="H37" t="inlineStr">
        <is>
          <t xml:space="preserve">Incluye las acciones de transferencia de conocimientos y procesos para la implementación de políticas y lineamientos sobre convivencia y seguridad ciudadana, prestados por los actores competentes. </t>
        </is>
      </c>
      <c r="I37" t="inlineStr">
        <is>
          <t>2024004250180</t>
        </is>
      </c>
      <c r="J37" s="99">
        <v>1817786600</v>
      </c>
      <c r="K37" s="99">
        <v>228924600</v>
      </c>
      <c r="L37" s="99">
        <v>542564133</v>
      </c>
      <c r="M37" s="99">
        <v>942599200</v>
      </c>
      <c r="N37" s="99">
        <v>103698667</v>
      </c>
      <c r="O37" s="99">
        <v>228924600</v>
      </c>
      <c r="P37" s="99">
        <v>228924600</v>
      </c>
      <c r="Q37" s="99">
        <v>228924600</v>
      </c>
      <c r="R37" s="100">
        <v>1</v>
      </c>
      <c r="S37" t="inlineStr">
        <is>
          <t>Se ejecutó el 100% de lo programado en la vigencia</t>
        </is>
      </c>
      <c r="T37" s="101">
        <v>250242000</v>
      </c>
      <c r="U37" s="101">
        <v>250242000</v>
      </c>
      <c r="V37" s="101">
        <v>250242000</v>
      </c>
      <c r="W37" s="102">
        <v>0.461221051631881</v>
      </c>
      <c r="X37" t="inlineStr">
        <is>
          <t>Lo obligado está por debajo de lo programado en la vigencia</t>
        </is>
      </c>
    </row>
    <row r="38">
      <c r="A38" t="inlineStr">
        <is>
          <t>IP-31</t>
        </is>
      </c>
      <c r="B38" t="inlineStr">
        <is>
          <t>45</t>
        </is>
      </c>
      <c r="C38" t="inlineStr">
        <is>
          <t>Gobierno Territorial</t>
        </is>
      </c>
      <c r="D38" t="inlineStr">
        <is>
          <t>4599</t>
        </is>
      </c>
      <c r="E38" t="inlineStr">
        <is>
          <t>Fortalecimiento a la gestión y dirección de la administración pública territorial</t>
        </is>
      </c>
      <c r="F38" t="inlineStr">
        <is>
          <t>4599025</t>
        </is>
      </c>
      <c r="G38" t="inlineStr">
        <is>
          <t>Servicios de información implementados</t>
        </is>
      </c>
      <c r="H38" t="inlineStr">
        <is>
          <t>Corresponde al proceso que asegura la disposición de la información de manera accesible, confiable y oportuna.</t>
        </is>
      </c>
      <c r="I38" t="inlineStr">
        <is>
          <t>2024004250235</t>
        </is>
      </c>
      <c r="J38" s="99">
        <v>319882667</v>
      </c>
      <c r="K38" s="99">
        <v>0</v>
      </c>
      <c r="L38" s="99">
        <v>80493600</v>
      </c>
      <c r="M38" s="99">
        <v>138840400</v>
      </c>
      <c r="N38" s="99">
        <v>100548667</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v>46638000</v>
      </c>
      <c r="U38" s="101">
        <v>46638000</v>
      </c>
      <c r="V38" s="101">
        <v>46638000</v>
      </c>
      <c r="W38" s="102">
        <v>0.579400101374519</v>
      </c>
      <c r="X38" t="inlineStr">
        <is>
          <t>Lo obligado está por debajo de lo programado en la vigencia</t>
        </is>
      </c>
    </row>
    <row r="39">
      <c r="A39" t="inlineStr">
        <is>
          <t>IP-32</t>
        </is>
      </c>
      <c r="B39" t="inlineStr">
        <is>
          <t>32</t>
        </is>
      </c>
      <c r="C39" t="inlineStr">
        <is>
          <t>Ambiente y desarrollo sostenible</t>
        </is>
      </c>
      <c r="D39" t="inlineStr">
        <is>
          <t>3203</t>
        </is>
      </c>
      <c r="E39" t="inlineStr">
        <is>
          <t>Gestión integral del recurso hídrico</t>
        </is>
      </c>
      <c r="F39" t="inlineStr">
        <is>
          <t>3203033</t>
        </is>
      </c>
      <c r="G39" t="inlineStr">
        <is>
          <t>Servicio de asistencia técnica para la promoción del uso eficiente y ahorro del agua</t>
        </is>
      </c>
      <c r="H39" t="inlineStr">
        <is>
          <t> Acciones enfocadas a definir y promover la implementación de programas y mecanismos a los diferentes usuarios del agua que permita crear un habito sostenible en el uso del agua</t>
        </is>
      </c>
      <c r="I39" t="inlineStr">
        <is>
          <t>2024004250134</t>
        </is>
      </c>
      <c r="J39" s="99">
        <v>4300183832</v>
      </c>
      <c r="K39" s="99">
        <v>803000000</v>
      </c>
      <c r="L39" s="99">
        <v>1376880000</v>
      </c>
      <c r="M39" s="99">
        <v>1720303832</v>
      </c>
      <c r="N39" s="99">
        <v>400000000</v>
      </c>
      <c r="O39" s="99">
        <v>803000000</v>
      </c>
      <c r="P39" s="99">
        <v>803000000</v>
      </c>
      <c r="Q39" s="99">
        <v>803000000</v>
      </c>
      <c r="R39" s="100">
        <v>1</v>
      </c>
      <c r="S39" t="inlineStr">
        <is>
          <t>Se ejecutó el 100% de lo programado en la vigencia</t>
        </is>
      </c>
      <c r="T39" s="101">
        <v>1215880000</v>
      </c>
      <c r="U39" s="101">
        <v>1215880000</v>
      </c>
      <c r="V39" s="101">
        <v>1215880000</v>
      </c>
      <c r="W39" s="102">
        <v>0.883068967520772</v>
      </c>
      <c r="X39" t="inlineStr">
        <is>
          <t>Lo obligado está por debajo de lo programado en la vigencia</t>
        </is>
      </c>
    </row>
    <row r="40">
      <c r="A40" t="inlineStr">
        <is>
          <t>IP-33</t>
        </is>
      </c>
      <c r="B40" t="inlineStr">
        <is>
          <t>32</t>
        </is>
      </c>
      <c r="C40" t="inlineStr">
        <is>
          <t>Ambiente y desarrollo sostenible</t>
        </is>
      </c>
      <c r="D40" t="inlineStr">
        <is>
          <t>3208</t>
        </is>
      </c>
      <c r="E40" t="inlineStr">
        <is>
          <t xml:space="preserve">Educación Ambiental </t>
        </is>
      </c>
      <c r="F40" t="inlineStr">
        <is>
          <t>3208006</t>
        </is>
      </c>
      <c r="G40" t="inlineStr">
        <is>
          <t>Servicio de asistencia técnica para la implementación de lasestrategias educativo ambientales y de participación</t>
        </is>
      </c>
      <c r="H40" t="inlineStr">
        <is>
          <t>Acciones encaminadas a implementar estrategias educativo ambientales y de participación en las entidades territoriales, por medio de los proyectos ambientales implementados </t>
        </is>
      </c>
      <c r="I40" t="inlineStr">
        <is>
          <t>2024004250077</t>
        </is>
      </c>
      <c r="J40" s="99">
        <v>4238408446</v>
      </c>
      <c r="K40" s="99">
        <v>700084520</v>
      </c>
      <c r="L40" s="99">
        <v>1568285408</v>
      </c>
      <c r="M40" s="99">
        <v>1620038518</v>
      </c>
      <c r="N40" s="99">
        <v>350000000</v>
      </c>
      <c r="O40" s="99">
        <v>687119221</v>
      </c>
      <c r="P40" s="99">
        <v>627816219</v>
      </c>
      <c r="Q40" s="99">
        <v>601440780</v>
      </c>
      <c r="R40" s="100">
        <v>0.896772034039547</v>
      </c>
      <c r="S40" t="inlineStr">
        <is>
          <t>Lo obligado está por debajo de lo programado en la vigencia</t>
        </is>
      </c>
      <c r="T40" s="101">
        <v>1019091056</v>
      </c>
      <c r="U40" s="101">
        <v>386114000</v>
      </c>
      <c r="V40" s="101">
        <v>386114000</v>
      </c>
      <c r="W40" s="102">
        <v>0.246201359797387</v>
      </c>
      <c r="X40" t="inlineStr">
        <is>
          <t>Lo obligado está por debajo de lo programado en la vigencia</t>
        </is>
      </c>
    </row>
    <row r="41">
      <c r="A41" t="inlineStr">
        <is>
          <t>IP-34</t>
        </is>
      </c>
      <c r="B41" t="inlineStr">
        <is>
          <t>32</t>
        </is>
      </c>
      <c r="C41" t="inlineStr">
        <is>
          <t>Ambiente y desarrollo sostenible</t>
        </is>
      </c>
      <c r="D41" t="inlineStr">
        <is>
          <t>3204</t>
        </is>
      </c>
      <c r="E41" t="inlineStr">
        <is>
          <t>Gestión de la información y el conocimiento ambiental</t>
        </is>
      </c>
      <c r="F41" t="inlineStr">
        <is>
          <t>3204056</t>
        </is>
      </c>
      <c r="G41" t="inlineStr">
        <is>
          <t>Servicios tecnológicos para el sistema de información ambiental </t>
        </is>
      </c>
      <c r="H41" t="inlineStr">
        <is>
          <t>Corresponde al proceso que asegura la disponibilidad del servicio a través de la infraestructura informática tanto de software como de hardware, y lo relacionado con seguridad informática; así como también corresponde a las acciones orientadas a crear, mantener y actualizar la información del SIAC, asi como la socialización y difusión de las misma. Hace referencia a información ambiental nacional y regional actualizada en el portal y visor del SIAC; divulgación y capacitación de los servicios de información ambiental; actualización del PETI sectorial; ventanilla VITAL.</t>
        </is>
      </c>
      <c r="I41" t="inlineStr">
        <is>
          <t>2024004250119</t>
        </is>
      </c>
      <c r="J41" s="99">
        <v>1503104500</v>
      </c>
      <c r="K41" s="99">
        <v>500000000</v>
      </c>
      <c r="L41" s="99">
        <v>346980000</v>
      </c>
      <c r="M41" s="99">
        <v>356124500</v>
      </c>
      <c r="N41" s="99">
        <v>300000000</v>
      </c>
      <c r="O41" s="99">
        <v>476286828</v>
      </c>
      <c r="P41" s="99">
        <v>476286828</v>
      </c>
      <c r="Q41" s="99">
        <v>461414091</v>
      </c>
      <c r="R41" s="100">
        <v>0.952573656</v>
      </c>
      <c r="S41" t="inlineStr">
        <is>
          <t>Lo obligado está por debajo de lo programado en la vigencia</t>
        </is>
      </c>
      <c r="T41" s="101">
        <v>346980000</v>
      </c>
      <c r="U41" s="101">
        <v>262564000</v>
      </c>
      <c r="V41" s="101">
        <v>256964000</v>
      </c>
      <c r="W41" s="102">
        <v>0.756712202432417</v>
      </c>
      <c r="X41" t="inlineStr">
        <is>
          <t>Lo obligado está por debajo de lo programado en la vigencia</t>
        </is>
      </c>
    </row>
    <row r="42">
      <c r="A42" t="inlineStr">
        <is>
          <t>IP-35</t>
        </is>
      </c>
      <c r="B42" t="inlineStr">
        <is>
          <t>32</t>
        </is>
      </c>
      <c r="C42" t="inlineStr">
        <is>
          <t>Ambiente y desarrollo sostenible</t>
        </is>
      </c>
      <c r="D42" t="inlineStr">
        <is>
          <t>3205</t>
        </is>
      </c>
      <c r="E42" t="inlineStr">
        <is>
          <t>Ordenamiento ambiental territorial</t>
        </is>
      </c>
      <c r="F42" t="inlineStr">
        <is>
          <t>3205006</t>
        </is>
      </c>
      <c r="G42" t="inlineStr">
        <is>
          <t>Servicio de divulgación y socialización ambiental en el marco del ordenamiento ambiental territorial</t>
        </is>
      </c>
      <c r="H42" t="inlineStr">
        <is>
          <t>Acciones orientadas a difundir la información ambiental en el marco del ordenamiento ambiental territorial </t>
        </is>
      </c>
      <c r="I42" t="inlineStr">
        <is>
          <t>2024004250063</t>
        </is>
      </c>
      <c r="J42" s="99">
        <v>1821993333</v>
      </c>
      <c r="K42" s="99">
        <v>300000000</v>
      </c>
      <c r="L42" s="99">
        <v>822033333</v>
      </c>
      <c r="M42" s="99">
        <v>399960000</v>
      </c>
      <c r="N42" s="99">
        <v>300000000</v>
      </c>
      <c r="O42" s="99">
        <v>295499960</v>
      </c>
      <c r="P42" s="99">
        <v>295499960</v>
      </c>
      <c r="Q42" s="99">
        <v>286395758</v>
      </c>
      <c r="R42" s="100">
        <v>0.984999866666667</v>
      </c>
      <c r="S42" t="inlineStr">
        <is>
          <t>Lo obligado está por debajo de lo programado en la vigencia</t>
        </is>
      </c>
      <c r="T42" s="101">
        <v>755853334</v>
      </c>
      <c r="U42" s="101">
        <v>454088700</v>
      </c>
      <c r="V42" s="101">
        <v>454088700</v>
      </c>
      <c r="W42" s="102">
        <v>0.55239694276485</v>
      </c>
      <c r="X42" t="inlineStr">
        <is>
          <t>Lo obligado está por debajo de lo programado en la vigencia</t>
        </is>
      </c>
    </row>
    <row r="43">
      <c r="A43" t="inlineStr">
        <is>
          <t>IP-36</t>
        </is>
      </c>
      <c r="B43" t="inlineStr">
        <is>
          <t>32</t>
        </is>
      </c>
      <c r="C43" t="inlineStr">
        <is>
          <t>Ambiente y desarrollo sostenible</t>
        </is>
      </c>
      <c r="D43" t="inlineStr">
        <is>
          <t>3206</t>
        </is>
      </c>
      <c r="E43" t="inlineStr">
        <is>
          <t>Gestión del cambio climático para un desarrollo bajo en carbono y resiliente al clima</t>
        </is>
      </c>
      <c r="F43" t="inlineStr">
        <is>
          <t>3206003</t>
        </is>
      </c>
      <c r="G43" t="inlineStr">
        <is>
          <t>Servicio de apoyo técnico para la implementación de acciones de mitigación y adaptación al cambio climático</t>
        </is>
      </c>
      <c r="H43"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43" t="inlineStr">
        <is>
          <t>2024004250149</t>
        </is>
      </c>
      <c r="J43" s="99">
        <v>1354545000</v>
      </c>
      <c r="K43" s="99">
        <v>500000000</v>
      </c>
      <c r="L43" s="99">
        <v>300000000</v>
      </c>
      <c r="M43" s="99">
        <v>154545000</v>
      </c>
      <c r="N43" s="99">
        <v>400000000</v>
      </c>
      <c r="O43" s="99">
        <v>499990000</v>
      </c>
      <c r="P43" s="99">
        <v>499990000</v>
      </c>
      <c r="Q43" s="99">
        <v>499990000</v>
      </c>
      <c r="R43" s="100">
        <v>0.99998</v>
      </c>
      <c r="S43" t="inlineStr">
        <is>
          <t>Lo obligado está por debajo de lo programado en la vigencia</t>
        </is>
      </c>
      <c r="T43" s="101" t="inlineStr">
        <is>
          <t xml:space="preserve"> </t>
        </is>
      </c>
      <c r="U43" s="101" t="inlineStr">
        <is>
          <t xml:space="preserve"> </t>
        </is>
      </c>
      <c r="V43" s="101" t="inlineStr">
        <is>
          <t xml:space="preserve"> </t>
        </is>
      </c>
      <c r="W43" s="102" t="inlineStr">
        <is>
          <t xml:space="preserve"> </t>
        </is>
      </c>
      <c r="X43" t="inlineStr">
        <is>
          <t>No se encontró ejecución en CUIPO</t>
        </is>
      </c>
    </row>
    <row r="44">
      <c r="A44" t="inlineStr">
        <is>
          <t>IP-37</t>
        </is>
      </c>
      <c r="B44" t="inlineStr">
        <is>
          <t>32</t>
        </is>
      </c>
      <c r="C44" t="inlineStr">
        <is>
          <t>Ambiente y desarrollo sostenible</t>
        </is>
      </c>
      <c r="D44" t="inlineStr">
        <is>
          <t>3205</t>
        </is>
      </c>
      <c r="E44" t="inlineStr">
        <is>
          <t>Ordenamiento ambiental territorial</t>
        </is>
      </c>
      <c r="F44" t="inlineStr">
        <is>
          <t>3205015</t>
        </is>
      </c>
      <c r="G44" t="inlineStr">
        <is>
          <t>Documentos de estudios técnicos hidrológicos e hidrogeológicos</t>
        </is>
      </c>
      <c r="H44" t="inlineStr">
        <is>
          <t>Incluye la elaboración de estudios técnicos hidrológicos e hidrogeológicos como insumo para la toma de decisiones</t>
        </is>
      </c>
      <c r="I44" t="inlineStr">
        <is>
          <t>2024004250227</t>
        </is>
      </c>
      <c r="J44" s="99">
        <v>763200000</v>
      </c>
      <c r="K44" s="99">
        <v>80000000</v>
      </c>
      <c r="L44" s="99">
        <v>526900000</v>
      </c>
      <c r="M44" s="99">
        <v>96300000</v>
      </c>
      <c r="N44" s="99">
        <v>60000000</v>
      </c>
      <c r="O44" s="99">
        <v>79999980</v>
      </c>
      <c r="P44" s="99">
        <v>79999980</v>
      </c>
      <c r="Q44" s="99">
        <v>79999980</v>
      </c>
      <c r="R44" s="100">
        <v>0.99999975</v>
      </c>
      <c r="S44" t="inlineStr">
        <is>
          <t>Lo obligado está por debajo de lo programado en la vigencia</t>
        </is>
      </c>
      <c r="T44" s="101">
        <v>199853333</v>
      </c>
      <c r="U44" s="101">
        <v>131000000</v>
      </c>
      <c r="V44" s="101">
        <v>131000000</v>
      </c>
      <c r="W44" s="102">
        <v>0.248624027329664</v>
      </c>
      <c r="X44" t="inlineStr">
        <is>
          <t>Lo obligado está por debajo de lo programado en la vigencia</t>
        </is>
      </c>
    </row>
    <row r="45">
      <c r="A45" t="inlineStr">
        <is>
          <t>IP-38</t>
        </is>
      </c>
      <c r="B45" t="inlineStr">
        <is>
          <t>32</t>
        </is>
      </c>
      <c r="C45" t="inlineStr">
        <is>
          <t>Ambiente y desarrollo sostenible</t>
        </is>
      </c>
      <c r="D45" t="inlineStr">
        <is>
          <t>3206</t>
        </is>
      </c>
      <c r="E45" t="inlineStr">
        <is>
          <t>Gestión del cambio climático para un desarrollo bajo en carbono y resiliente al clima</t>
        </is>
      </c>
      <c r="F45" t="inlineStr">
        <is>
          <t>3206014</t>
        </is>
      </c>
      <c r="G45" t="inlineStr">
        <is>
          <t>Servicio de producción de plántulas en viveros</t>
        </is>
      </c>
      <c r="H45" t="inlineStr">
        <is>
          <t>Acciones orientadas a producir plántulas en viveros que serán utilizadas en la recuperación de ecosistemas degradados</t>
        </is>
      </c>
      <c r="I45" t="inlineStr">
        <is>
          <t>2024004250095</t>
        </is>
      </c>
      <c r="J45" s="99">
        <v>2163700000</v>
      </c>
      <c r="K45" s="99">
        <v>500000000</v>
      </c>
      <c r="L45" s="99">
        <v>881800000</v>
      </c>
      <c r="M45" s="99">
        <v>481900000</v>
      </c>
      <c r="N45" s="99">
        <v>300000000</v>
      </c>
      <c r="O45" s="99">
        <v>496282600</v>
      </c>
      <c r="P45" s="99">
        <v>441670500</v>
      </c>
      <c r="Q45" s="99">
        <v>441670500</v>
      </c>
      <c r="R45" s="100">
        <v>0.883341</v>
      </c>
      <c r="S45" t="inlineStr">
        <is>
          <t>Lo obligado está por debajo de lo programado en la vigencia</t>
        </is>
      </c>
      <c r="T45" s="101">
        <v>381600000</v>
      </c>
      <c r="U45" s="101">
        <v>274464804</v>
      </c>
      <c r="V45" s="101">
        <v>274464804</v>
      </c>
      <c r="W45" s="102">
        <v>0.31125516443638</v>
      </c>
      <c r="X45" t="inlineStr">
        <is>
          <t>Lo obligado está por debajo de lo programado en la vigencia</t>
        </is>
      </c>
    </row>
    <row r="46">
      <c r="A46" t="inlineStr">
        <is>
          <t>IP-39</t>
        </is>
      </c>
      <c r="B46" t="inlineStr">
        <is>
          <t>32</t>
        </is>
      </c>
      <c r="C46" t="inlineStr">
        <is>
          <t>Ambiente y desarrollo sostenible</t>
        </is>
      </c>
      <c r="D46" t="inlineStr">
        <is>
          <t>3202</t>
        </is>
      </c>
      <c r="E46" t="inlineStr">
        <is>
          <t>Conservación de la biodiversidad y sus servicios ecosistémicos</t>
        </is>
      </c>
      <c r="F46" t="inlineStr">
        <is>
          <t>3202001</t>
        </is>
      </c>
      <c r="G46" t="inlineStr">
        <is>
          <t>Documentos de lineamientos técnicos para la conservación de la biodiversidad y sus servicios eco sistémicos</t>
        </is>
      </c>
      <c r="H46" t="inlineStr">
        <is>
          <t>Documentos cuyo objetivo es brindar directrices para la conservación de una o varias especies (terrestres, dulceacuícolas o marinas) y de ecosistemas de importancia estratégica para el país.</t>
        </is>
      </c>
      <c r="I46" t="inlineStr">
        <is>
          <t>2024004250179</t>
        </is>
      </c>
      <c r="J46" s="99">
        <v>2142550000</v>
      </c>
      <c r="K46" s="99">
        <v>400000000</v>
      </c>
      <c r="L46" s="99">
        <v>1022500000</v>
      </c>
      <c r="M46" s="99">
        <v>470050000</v>
      </c>
      <c r="N46" s="99">
        <v>250000000</v>
      </c>
      <c r="O46" s="99">
        <v>397994000</v>
      </c>
      <c r="P46" s="99">
        <v>397994000</v>
      </c>
      <c r="Q46" s="99">
        <v>386407200</v>
      </c>
      <c r="R46" s="100">
        <v>0.994985</v>
      </c>
      <c r="S46" t="inlineStr">
        <is>
          <t>Lo obligado está por debajo de lo programado en la vigencia</t>
        </is>
      </c>
      <c r="T46" s="101">
        <v>436511945</v>
      </c>
      <c r="U46" s="101">
        <v>202907800</v>
      </c>
      <c r="V46" s="101">
        <v>129215000</v>
      </c>
      <c r="W46" s="102">
        <v>0.198442836185819</v>
      </c>
      <c r="X46" t="inlineStr">
        <is>
          <t>Lo obligado está por debajo de lo programado en la vigencia</t>
        </is>
      </c>
    </row>
    <row r="47">
      <c r="A47" t="inlineStr">
        <is>
          <t>IP-40</t>
        </is>
      </c>
      <c r="B47" t="inlineStr">
        <is>
          <t>32</t>
        </is>
      </c>
      <c r="C47" t="inlineStr">
        <is>
          <t>Ambiente y desarrollo sostenible</t>
        </is>
      </c>
      <c r="D47" t="inlineStr">
        <is>
          <t>3203</t>
        </is>
      </c>
      <c r="E47" t="inlineStr">
        <is>
          <t>Gestión integral del recurso hídrico</t>
        </is>
      </c>
      <c r="F47" t="inlineStr">
        <is>
          <t>3203034</t>
        </is>
      </c>
      <c r="G47" t="inlineStr">
        <is>
          <t>Servicio de asistencia técnica para la implementación de lineamientos sobre el mejoramiento de la calidad del recurso hídrico</t>
        </is>
      </c>
      <c r="H47" t="inlineStr">
        <is>
          <t>Acciones regionales orientadas al ordenamiento del recurso hídrico  en cuencas priorizadas y a combatir las principales causas y contaminación del recurso.</t>
        </is>
      </c>
      <c r="I47" t="inlineStr">
        <is>
          <t>2024004250105</t>
        </is>
      </c>
      <c r="J47" s="99">
        <v>1915820666</v>
      </c>
      <c r="K47" s="99">
        <v>600000000</v>
      </c>
      <c r="L47" s="99">
        <v>623180666</v>
      </c>
      <c r="M47" s="99">
        <v>442640000</v>
      </c>
      <c r="N47" s="99">
        <v>250000000</v>
      </c>
      <c r="O47" s="99">
        <v>600000000</v>
      </c>
      <c r="P47" s="99">
        <v>596515328</v>
      </c>
      <c r="Q47" s="99">
        <v>557755242</v>
      </c>
      <c r="R47" s="100">
        <v>0.994192213333333</v>
      </c>
      <c r="S47" t="inlineStr">
        <is>
          <t>Lo obligado está por debajo de lo programado en la vigencia</t>
        </is>
      </c>
      <c r="T47" s="101">
        <v>372687552</v>
      </c>
      <c r="U47" s="101">
        <v>264571480</v>
      </c>
      <c r="V47" s="101">
        <v>264571480</v>
      </c>
      <c r="W47" s="102">
        <v>0.424550205798586</v>
      </c>
      <c r="X47" t="inlineStr">
        <is>
          <t>Lo obligado está por debajo de lo programado en la vigencia</t>
        </is>
      </c>
    </row>
    <row r="48">
      <c r="A48" t="inlineStr">
        <is>
          <t>IP-41</t>
        </is>
      </c>
      <c r="B48" t="inlineStr">
        <is>
          <t>40</t>
        </is>
      </c>
      <c r="C48" t="inlineStr">
        <is>
          <t>Vivienda, ciudad y territorio</t>
        </is>
      </c>
      <c r="D48" t="inlineStr">
        <is>
          <t>4003</t>
        </is>
      </c>
      <c r="E48" t="inlineStr">
        <is>
          <t>Acceso de la población a los servicios de agua potable y saneamiento básico</t>
        </is>
      </c>
      <c r="F48" t="inlineStr">
        <is>
          <t>4003055</t>
        </is>
      </c>
      <c r="G48" t="inlineStr">
        <is>
          <t>Servicio de asistencia técnica</t>
        </is>
      </c>
      <c r="H48" t="inlineStr">
        <is>
          <t>Corresponde al acompañamiento, asesoría y seguimiento técnico para la transferencia de herramientas de gestión y conocimiento a entidades nacionales y territoriales, o a grupos de valor, en procedimientos y trámites institucionales de competencia de la entidad.</t>
        </is>
      </c>
      <c r="I48" t="inlineStr">
        <is>
          <t>2024004250144</t>
        </is>
      </c>
      <c r="J48" s="99">
        <v>5602410225</v>
      </c>
      <c r="K48" s="99">
        <v>600000000</v>
      </c>
      <c r="L48" s="99">
        <v>3280095685</v>
      </c>
      <c r="M48" s="99">
        <v>1422314540</v>
      </c>
      <c r="N48" s="99">
        <v>300000000</v>
      </c>
      <c r="O48" s="99">
        <v>600000000</v>
      </c>
      <c r="P48" s="99">
        <v>600000000</v>
      </c>
      <c r="Q48" s="99">
        <v>548155207</v>
      </c>
      <c r="R48" s="100">
        <v>1</v>
      </c>
      <c r="S48" t="inlineStr">
        <is>
          <t>Se ejecutó el 100% de lo programado en la vigencia</t>
        </is>
      </c>
      <c r="T48" s="101">
        <v>839421881</v>
      </c>
      <c r="U48" s="101">
        <v>447277679</v>
      </c>
      <c r="V48" s="101">
        <v>442777679</v>
      </c>
      <c r="W48" s="102">
        <v>0.136361168073669</v>
      </c>
      <c r="X48" t="inlineStr">
        <is>
          <t>Lo obligado está por debajo de lo programado en la vigencia</t>
        </is>
      </c>
    </row>
    <row r="49">
      <c r="A49" t="inlineStr">
        <is>
          <t>IP-42</t>
        </is>
      </c>
      <c r="B49" t="inlineStr">
        <is>
          <t>32</t>
        </is>
      </c>
      <c r="C49" t="inlineStr">
        <is>
          <t>Ambiente y desarrollo sostenible</t>
        </is>
      </c>
      <c r="D49" t="inlineStr">
        <is>
          <t>3202</t>
        </is>
      </c>
      <c r="E49" t="inlineStr">
        <is>
          <t>Conservación de la biodiversidad y sus servicios ecosistémicos</t>
        </is>
      </c>
      <c r="F49" t="inlineStr">
        <is>
          <t>3202012</t>
        </is>
      </c>
      <c r="G49" t="inlineStr">
        <is>
          <t>Servicio de protección de ecosistemas</t>
        </is>
      </c>
      <c r="H49" t="inlineStr">
        <is>
          <t xml:space="preserve">Incluye las acciones orientadas a la administración y manejo de áreas bajo el control de las corporaciones autónomas regionales y de las corporaciones de desarrollo sostenible </t>
        </is>
      </c>
      <c r="I49" t="inlineStr">
        <is>
          <t>2024004250083</t>
        </is>
      </c>
      <c r="J49" s="99">
        <v>1644050000</v>
      </c>
      <c r="K49" s="99">
        <v>500000000</v>
      </c>
      <c r="L49" s="99">
        <v>607875000</v>
      </c>
      <c r="M49" s="99">
        <v>236175000</v>
      </c>
      <c r="N49" s="99">
        <v>300000000</v>
      </c>
      <c r="O49" s="99">
        <v>499999500</v>
      </c>
      <c r="P49" s="99">
        <v>499999500</v>
      </c>
      <c r="Q49" s="99">
        <v>495610357</v>
      </c>
      <c r="R49" s="100">
        <v>0.999999</v>
      </c>
      <c r="S49" t="inlineStr">
        <is>
          <t>Lo obligado está por debajo de lo programado en la vigencia</t>
        </is>
      </c>
      <c r="T49" s="101">
        <v>339339920</v>
      </c>
      <c r="U49" s="101">
        <v>142750000</v>
      </c>
      <c r="V49" s="101">
        <v>142750000</v>
      </c>
      <c r="W49" s="102">
        <v>0.234834464322435</v>
      </c>
      <c r="X49" t="inlineStr">
        <is>
          <t>Lo obligado está por debajo de lo programado en la vigencia</t>
        </is>
      </c>
    </row>
    <row r="50">
      <c r="A50" t="inlineStr">
        <is>
          <t>IP-43</t>
        </is>
      </c>
      <c r="B50" t="inlineStr">
        <is>
          <t>17</t>
        </is>
      </c>
      <c r="C50" t="inlineStr">
        <is>
          <t xml:space="preserve">Agricultura y desarrollo rural
</t>
        </is>
      </c>
      <c r="D50" t="inlineStr">
        <is>
          <t>1709</t>
        </is>
      </c>
      <c r="E50" t="inlineStr">
        <is>
          <t>Infraestructura productiva y comercialización</t>
        </is>
      </c>
      <c r="F50" t="inlineStr">
        <is>
          <t>1709106</t>
        </is>
      </c>
      <c r="G50" t="inlineStr">
        <is>
          <t>Servicio de apoyo a la comercialización de las cadenas agrícolas, forestales, pecuarias, pesqueras y acuícolas</t>
        </is>
      </c>
      <c r="H50" t="inlineStr">
        <is>
          <t>En beneficio del mejoramiento del ingreso al productor, el servicio de apoyo a la comercialización de las cadenas agrícolas, forestales, pecuarias, pesqueras y acuícolas, promueve estrategias para: i.Afrontar las variaciones atípicas en la demanda, oferta y en el precio de los productos, ii. la generación de valor agregado y iii. Permite el acceso de productos a canales de comercialización formales con estándares de calidad; mediante el fortalecimiento en los procesos de poscosecha, de transformación y en el acompañamiento técnico para la apertura a nuevos mercados.</t>
        </is>
      </c>
      <c r="I50" t="inlineStr">
        <is>
          <t>2024004250223</t>
        </is>
      </c>
      <c r="J50" s="99">
        <v>920000000</v>
      </c>
      <c r="K50" s="99">
        <v>200000000</v>
      </c>
      <c r="L50" s="99">
        <v>315000000</v>
      </c>
      <c r="M50" s="99">
        <v>305000000</v>
      </c>
      <c r="N50" s="99">
        <v>100000000</v>
      </c>
      <c r="O50" s="99">
        <v>199303571</v>
      </c>
      <c r="P50" s="99">
        <v>199303571</v>
      </c>
      <c r="Q50" s="99">
        <v>109303571</v>
      </c>
      <c r="R50" s="100">
        <v>0.996517855</v>
      </c>
      <c r="S50" t="inlineStr">
        <is>
          <t>Lo obligado está por debajo de lo programado en la vigencia</t>
        </is>
      </c>
      <c r="T50" s="101">
        <v>40000000</v>
      </c>
      <c r="U50" s="101">
        <v>40000000</v>
      </c>
      <c r="V50" s="101">
        <v>40000000</v>
      </c>
      <c r="W50" s="102">
        <v>0.126984126984127</v>
      </c>
      <c r="X50" t="inlineStr">
        <is>
          <t>Lo obligado está por debajo de lo programado en la vigencia</t>
        </is>
      </c>
    </row>
    <row r="51">
      <c r="A51" t="inlineStr">
        <is>
          <t>IP-44, IP-64</t>
        </is>
      </c>
      <c r="B51" t="inlineStr">
        <is>
          <t>41</t>
        </is>
      </c>
      <c r="C51" t="inlineStr">
        <is>
          <t xml:space="preserve">Inclusión social y reconciliación </t>
        </is>
      </c>
      <c r="D51" t="inlineStr">
        <is>
          <t>4102</t>
        </is>
      </c>
      <c r="E51" t="inlineStr">
        <is>
          <t>Desarrollo integral de la primera infancia a la juventud, y fortalecimiento de las capacidades de las familias de niñas, niños y adolescentes</t>
        </is>
      </c>
      <c r="F51" t="inlineStr">
        <is>
          <t>4102052</t>
        </is>
      </c>
      <c r="G51" t="inlineStr">
        <is>
          <t>Servicio de protección integral a niños, niñas, adolescentes y jóvenes</t>
        </is>
      </c>
      <c r="H51" t="inlineStr">
        <is>
          <t>Servicios enfocados a garantizar los derechos fundamentales , la prevención de amenazas o vulneración y restablecimiento de derechos.</t>
        </is>
      </c>
      <c r="I51" t="inlineStr">
        <is>
          <t>2024004250183</t>
        </is>
      </c>
      <c r="J51" s="99">
        <v>4121567501</v>
      </c>
      <c r="K51" s="99">
        <v>593816689</v>
      </c>
      <c r="L51" s="99">
        <v>1350135000</v>
      </c>
      <c r="M51" s="99">
        <v>1852309500</v>
      </c>
      <c r="N51" s="99">
        <v>325306312</v>
      </c>
      <c r="O51" s="99">
        <v>591816688</v>
      </c>
      <c r="P51" s="99">
        <v>591816688</v>
      </c>
      <c r="Q51" s="99">
        <v>591816688</v>
      </c>
      <c r="R51" s="100">
        <v>0.996631955556237</v>
      </c>
      <c r="S51" t="inlineStr">
        <is>
          <t>Lo obligado está por debajo de lo programado en la vigencia</t>
        </is>
      </c>
      <c r="T51" s="101">
        <v>1179974333</v>
      </c>
      <c r="U51" s="101">
        <v>798947670</v>
      </c>
      <c r="V51" s="101">
        <v>798947670</v>
      </c>
      <c r="W51" s="102">
        <v>0.591753913497539</v>
      </c>
      <c r="X51" t="inlineStr">
        <is>
          <t>Lo obligado está por debajo de lo programado en la vigencia</t>
        </is>
      </c>
    </row>
    <row r="52">
      <c r="A52" t="inlineStr">
        <is>
          <t>IP-45</t>
        </is>
      </c>
      <c r="B52" t="inlineStr">
        <is>
          <t>41</t>
        </is>
      </c>
      <c r="C52" t="inlineStr">
        <is>
          <t xml:space="preserve">Inclusión social y reconciliación </t>
        </is>
      </c>
      <c r="D52" t="inlineStr">
        <is>
          <t>4103</t>
        </is>
      </c>
      <c r="E52" t="inlineStr">
        <is>
          <t>Inclusión social y productiva para la población en situación de vulnerabilidad</t>
        </is>
      </c>
      <c r="F52" t="inlineStr">
        <is>
          <t>4103031</t>
        </is>
      </c>
      <c r="G52" t="inlineStr">
        <is>
          <t>Centros comunitarios dotados</t>
        </is>
      </c>
      <c r="H52" t="inlineStr">
        <is>
          <t xml:space="preserve">Dotación de infraestructura dispuesta a la comunidad para que pueda desarrollar actividades culturales, sociales y de formación. </t>
        </is>
      </c>
      <c r="I52" t="inlineStr">
        <is>
          <t>2024004250249</t>
        </is>
      </c>
      <c r="J52" s="99">
        <v>421107000</v>
      </c>
      <c r="K52" s="99">
        <v>0</v>
      </c>
      <c r="L52" s="99">
        <v>36050000</v>
      </c>
      <c r="M52" s="99">
        <v>175105000</v>
      </c>
      <c r="N52" s="99">
        <v>209952000</v>
      </c>
      <c r="O52" s="99" t="inlineStr">
        <is>
          <t xml:space="preserve"> </t>
        </is>
      </c>
      <c r="P52" s="99" t="inlineStr">
        <is>
          <t xml:space="preserve"> </t>
        </is>
      </c>
      <c r="Q52" s="99" t="inlineStr">
        <is>
          <t xml:space="preserve"> </t>
        </is>
      </c>
      <c r="R52" s="100" t="inlineStr">
        <is>
          <t xml:space="preserve"> </t>
        </is>
      </c>
      <c r="S52" t="inlineStr">
        <is>
          <t>No se encontró ejecución en CUIPO</t>
        </is>
      </c>
      <c r="T52" s="101" t="inlineStr">
        <is>
          <t xml:space="preserve"> </t>
        </is>
      </c>
      <c r="U52" s="101" t="inlineStr">
        <is>
          <t xml:space="preserve"> </t>
        </is>
      </c>
      <c r="V52" s="101" t="inlineStr">
        <is>
          <t xml:space="preserve"> </t>
        </is>
      </c>
      <c r="W52" s="102" t="inlineStr">
        <is>
          <t xml:space="preserve"> </t>
        </is>
      </c>
      <c r="X52" t="inlineStr">
        <is>
          <t>No se encontró ejecución en CUIPO</t>
        </is>
      </c>
    </row>
    <row r="53">
      <c r="A53" t="inlineStr">
        <is>
          <t>IP-46</t>
        </is>
      </c>
      <c r="B53" t="inlineStr">
        <is>
          <t>45</t>
        </is>
      </c>
      <c r="C53" t="inlineStr">
        <is>
          <t>Gobierno Territorial</t>
        </is>
      </c>
      <c r="D53" t="inlineStr">
        <is>
          <t>4502</t>
        </is>
      </c>
      <c r="E53" t="inlineStr">
        <is>
          <t>Fortalecimiento del buen gobierno para el respeto y garantía de los derechos humanos.</t>
        </is>
      </c>
      <c r="F53" t="inlineStr">
        <is>
          <t>4502038</t>
        </is>
      </c>
      <c r="G53" t="inlineStr">
        <is>
          <t>Servicio de promoción de la garantía de derechos</t>
        </is>
      </c>
      <c r="H53" t="inlineStr">
        <is>
          <t>Incluye el desarrollo de acciones orientadas a divulgar y promover los mecanismos de atención, protección y ejercicio de los derechos de las mujeres, población LGTBI y personas y comunidades en riesgo así como la prevención de su vulneración.</t>
        </is>
      </c>
      <c r="I53" t="inlineStr">
        <is>
          <t>2024004250187</t>
        </is>
      </c>
      <c r="J53" s="99">
        <v>1774238721</v>
      </c>
      <c r="K53" s="99">
        <v>324479334</v>
      </c>
      <c r="L53" s="99">
        <v>759823667</v>
      </c>
      <c r="M53" s="99">
        <v>614353000</v>
      </c>
      <c r="N53" s="99">
        <v>75582720</v>
      </c>
      <c r="O53" s="99">
        <v>324471690</v>
      </c>
      <c r="P53" s="99">
        <v>324471690</v>
      </c>
      <c r="Q53" s="99">
        <v>288479334</v>
      </c>
      <c r="R53" s="100">
        <v>0.99997644225934</v>
      </c>
      <c r="S53" t="inlineStr">
        <is>
          <t>Lo obligado está por debajo de lo programado en la vigencia</t>
        </is>
      </c>
      <c r="T53" s="101">
        <v>411416667</v>
      </c>
      <c r="U53" s="101">
        <v>266164517</v>
      </c>
      <c r="V53" s="101">
        <v>266164517</v>
      </c>
      <c r="W53" s="102">
        <v>0.350297744805572</v>
      </c>
      <c r="X53" t="inlineStr">
        <is>
          <t>Lo obligado está por debajo de lo programado en la vigencia</t>
        </is>
      </c>
    </row>
    <row r="54">
      <c r="A54" t="inlineStr">
        <is>
          <t>IP-47</t>
        </is>
      </c>
      <c r="B54" t="inlineStr">
        <is>
          <t>41</t>
        </is>
      </c>
      <c r="C54" t="inlineStr">
        <is>
          <t xml:space="preserve">Inclusión social y reconciliación </t>
        </is>
      </c>
      <c r="D54" t="inlineStr">
        <is>
          <t>4101</t>
        </is>
      </c>
      <c r="E54" t="inlineStr">
        <is>
          <t>Atención, asistencia y reparación integral a las víctimas</t>
        </is>
      </c>
      <c r="F54" t="inlineStr">
        <is>
          <t>4101038</t>
        </is>
      </c>
      <c r="G54" t="inlineStr">
        <is>
          <t>Servicio de asistencia técnica para la participación de las víctimas</t>
        </is>
      </c>
      <c r="H54" t="inlineStr">
        <is>
          <t>Orientados a generar mecanismos mediante los cuales las víctimas tengan participación conjunta y activa en la determinación de las medidas y programas que se desarrollan en su proceso de atención y reparación.</t>
        </is>
      </c>
      <c r="I54" t="inlineStr">
        <is>
          <t>2024004250065</t>
        </is>
      </c>
      <c r="J54" s="99">
        <v>1678355090</v>
      </c>
      <c r="K54" s="99">
        <v>358355090</v>
      </c>
      <c r="L54" s="99">
        <v>545000000</v>
      </c>
      <c r="M54" s="99">
        <v>300000000</v>
      </c>
      <c r="N54" s="99">
        <v>475000000</v>
      </c>
      <c r="O54" s="99">
        <v>355942983</v>
      </c>
      <c r="P54" s="99">
        <v>355942983</v>
      </c>
      <c r="Q54" s="99">
        <v>298198983</v>
      </c>
      <c r="R54" s="100">
        <v>0.993268947289126</v>
      </c>
      <c r="S54" t="inlineStr">
        <is>
          <t>Lo obligado está por debajo de lo programado en la vigencia</t>
        </is>
      </c>
      <c r="T54" s="101">
        <v>341657674</v>
      </c>
      <c r="U54" s="101">
        <v>335341310</v>
      </c>
      <c r="V54" s="101">
        <v>335341310</v>
      </c>
      <c r="W54" s="102">
        <v>0.615305155963303</v>
      </c>
      <c r="X54" t="inlineStr">
        <is>
          <t>Lo obligado está por debajo de lo programado en la vigencia</t>
        </is>
      </c>
    </row>
    <row r="55">
      <c r="A55" t="inlineStr">
        <is>
          <t>IP-48</t>
        </is>
      </c>
      <c r="B55" t="inlineStr">
        <is>
          <t>41</t>
        </is>
      </c>
      <c r="C55" t="inlineStr">
        <is>
          <t xml:space="preserve">Inclusión social y reconciliación </t>
        </is>
      </c>
      <c r="D55" t="inlineStr">
        <is>
          <t>4103</t>
        </is>
      </c>
      <c r="E55" t="inlineStr">
        <is>
          <t>Inclusión social y productiva para la población en situación de vulnerabilidad</t>
        </is>
      </c>
      <c r="F55" t="inlineStr">
        <is>
          <t>4103025</t>
        </is>
      </c>
      <c r="G55" t="inlineStr">
        <is>
          <t>Centros comunitarios construidos</t>
        </is>
      </c>
      <c r="H55" t="inlineStr">
        <is>
          <t xml:space="preserve">Construcción de infraestructura dispuesta a la comunidad para que pueda desarrollar actividades culturales, sociales y de formación. </t>
        </is>
      </c>
      <c r="I55" t="inlineStr">
        <is>
          <t>2024004250151</t>
        </is>
      </c>
      <c r="J55" s="99">
        <v>18896388214</v>
      </c>
      <c r="K55" s="99">
        <v>4760000000</v>
      </c>
      <c r="L55" s="99">
        <v>9593080000</v>
      </c>
      <c r="M55" s="99">
        <v>1566041400</v>
      </c>
      <c r="N55" s="99">
        <v>2977266814</v>
      </c>
      <c r="O55" s="99">
        <v>2900000000</v>
      </c>
      <c r="P55" s="99">
        <v>2900000000</v>
      </c>
      <c r="Q55" s="99">
        <v>2900000000</v>
      </c>
      <c r="R55" s="100">
        <v>0.609243697478992</v>
      </c>
      <c r="S55" t="inlineStr">
        <is>
          <t>Lo obligado está por debajo de lo programado en la vigencia</t>
        </is>
      </c>
      <c r="T55" s="101" t="inlineStr">
        <is>
          <t xml:space="preserve"> </t>
        </is>
      </c>
      <c r="U55" s="101" t="inlineStr">
        <is>
          <t xml:space="preserve"> </t>
        </is>
      </c>
      <c r="V55" s="101" t="inlineStr">
        <is>
          <t xml:space="preserve"> </t>
        </is>
      </c>
      <c r="W55" s="102" t="inlineStr">
        <is>
          <t xml:space="preserve"> </t>
        </is>
      </c>
      <c r="X55" t="inlineStr">
        <is>
          <t>No se encontró ejecución en CUIPO</t>
        </is>
      </c>
    </row>
    <row r="56">
      <c r="A56" t="inlineStr">
        <is>
          <t>IP-49</t>
        </is>
      </c>
      <c r="B56" t="inlineStr">
        <is>
          <t>45</t>
        </is>
      </c>
      <c r="C56" t="inlineStr">
        <is>
          <t>Gobierno Territorial</t>
        </is>
      </c>
      <c r="D56" t="inlineStr">
        <is>
          <t>4502</t>
        </is>
      </c>
      <c r="E56" t="inlineStr">
        <is>
          <t>Fortalecimiento del buen gobierno para el respeto y garantía de los derechos humanos.</t>
        </is>
      </c>
      <c r="F56" t="inlineStr">
        <is>
          <t>4502034</t>
        </is>
      </c>
      <c r="G56" t="inlineStr">
        <is>
          <t xml:space="preserve">Servicio de educación informal </t>
        </is>
      </c>
      <c r="H56"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56" t="inlineStr">
        <is>
          <t>2024004250157</t>
        </is>
      </c>
      <c r="J56" s="99">
        <v>1828444042</v>
      </c>
      <c r="K56" s="99">
        <v>300000000</v>
      </c>
      <c r="L56" s="99">
        <v>605380000</v>
      </c>
      <c r="M56" s="99">
        <v>546041400</v>
      </c>
      <c r="N56" s="99">
        <v>377022642</v>
      </c>
      <c r="O56" s="99">
        <v>300000000</v>
      </c>
      <c r="P56" s="99">
        <v>0</v>
      </c>
      <c r="Q56" s="99">
        <v>0</v>
      </c>
      <c r="R56" s="100">
        <v>0</v>
      </c>
      <c r="S56" t="inlineStr">
        <is>
          <t>No se ejecutó en la vigencia</t>
        </is>
      </c>
      <c r="T56" s="101">
        <v>100000000</v>
      </c>
      <c r="U56" s="101">
        <v>100000000</v>
      </c>
      <c r="V56" s="101">
        <v>100000000</v>
      </c>
      <c r="W56" s="102">
        <v>0.165185503320229</v>
      </c>
      <c r="X56" t="inlineStr">
        <is>
          <t>Lo obligado está por debajo de lo programado en la vigencia</t>
        </is>
      </c>
    </row>
    <row r="57">
      <c r="A57" t="inlineStr">
        <is>
          <t>IP-50, IP-51</t>
        </is>
      </c>
      <c r="B57" t="inlineStr">
        <is>
          <t>45</t>
        </is>
      </c>
      <c r="C57" t="inlineStr">
        <is>
          <t>Gobierno Territorial</t>
        </is>
      </c>
      <c r="D57" t="inlineStr">
        <is>
          <t>4502</t>
        </is>
      </c>
      <c r="E57" t="inlineStr">
        <is>
          <t>Fortalecimiento del buen gobierno para el respeto y garantía de los derechos humanos.</t>
        </is>
      </c>
      <c r="F57" t="inlineStr">
        <is>
          <t>4502001</t>
        </is>
      </c>
      <c r="G57" t="inlineStr">
        <is>
          <t>Servicio de promoción a la participación ciudadana</t>
        </is>
      </c>
      <c r="H57" t="inlineStr">
        <is>
          <t>Corresponde al diseño e implementación de acciones y estrategias que promuevan el ejercicio de la participación ciudadana para el respeto y garantía de los derechos humanos</t>
        </is>
      </c>
      <c r="I57" t="inlineStr">
        <is>
          <t>2024004250157</t>
        </is>
      </c>
      <c r="J57" s="99">
        <v>1322545052</v>
      </c>
      <c r="K57" s="99">
        <v>320560216</v>
      </c>
      <c r="L57" s="99">
        <v>357996000</v>
      </c>
      <c r="M57" s="99">
        <v>317235880</v>
      </c>
      <c r="N57" s="99">
        <v>326752956</v>
      </c>
      <c r="O57" s="99">
        <v>169460685</v>
      </c>
      <c r="P57" s="99">
        <v>169460685</v>
      </c>
      <c r="Q57" s="99">
        <v>147960300</v>
      </c>
      <c r="R57" s="100">
        <v>0.528639165254368</v>
      </c>
      <c r="S57" t="inlineStr">
        <is>
          <t>Lo obligado está por debajo de lo programado en la vigencia</t>
        </is>
      </c>
      <c r="T57" s="101">
        <v>315136000</v>
      </c>
      <c r="U57" s="101">
        <v>45280234</v>
      </c>
      <c r="V57" s="101">
        <v>45280234</v>
      </c>
      <c r="W57" s="102">
        <v>0.126482513771104</v>
      </c>
      <c r="X57" t="inlineStr">
        <is>
          <t>Lo obligado está por debajo de lo programado en la vigencia</t>
        </is>
      </c>
    </row>
    <row r="58">
      <c r="A58" t="inlineStr">
        <is>
          <t>IP-52</t>
        </is>
      </c>
      <c r="B58" t="inlineStr">
        <is>
          <t>45</t>
        </is>
      </c>
      <c r="C58" t="inlineStr">
        <is>
          <t>Gobierno Territorial</t>
        </is>
      </c>
      <c r="D58" t="inlineStr">
        <is>
          <t>4502</t>
        </is>
      </c>
      <c r="E58" t="inlineStr">
        <is>
          <t>Fortalecimiento del buen gobierno para el respeto y garantía de los derechos humanos.</t>
        </is>
      </c>
      <c r="F58" t="inlineStr">
        <is>
          <t>4502038</t>
        </is>
      </c>
      <c r="G58" t="inlineStr">
        <is>
          <t>Servicio de promoción de la garantía de derechos</t>
        </is>
      </c>
      <c r="H58" t="inlineStr">
        <is>
          <t>Incluye el desarrollo de acciones orientadas a divulgar y promover los mecanismos de atención, protección y ejercicio de los derechos de las mujeres, población LGTBI y personas y comunidades en riesgo así como la prevención de su vulneración.</t>
        </is>
      </c>
      <c r="I58" t="inlineStr">
        <is>
          <t>2024004250157</t>
        </is>
      </c>
      <c r="J58" s="99">
        <v>1248444042</v>
      </c>
      <c r="K58" s="99">
        <v>80000000</v>
      </c>
      <c r="L58" s="99">
        <v>305380000</v>
      </c>
      <c r="M58" s="99">
        <v>486041400</v>
      </c>
      <c r="N58" s="99">
        <v>377022642</v>
      </c>
      <c r="O58" s="99">
        <v>80000000</v>
      </c>
      <c r="P58" s="99">
        <v>80000000</v>
      </c>
      <c r="Q58" s="99">
        <v>80000000</v>
      </c>
      <c r="R58" s="100">
        <v>1</v>
      </c>
      <c r="S58" t="inlineStr">
        <is>
          <t>Se ejecutó el 100% de lo programado en la vigencia</t>
        </is>
      </c>
      <c r="T58" s="101">
        <v>259840162</v>
      </c>
      <c r="U58" s="101">
        <v>84460162</v>
      </c>
      <c r="V58" s="101">
        <v>84460162</v>
      </c>
      <c r="W58" s="102">
        <v>0.276573979959395</v>
      </c>
      <c r="X58" t="inlineStr">
        <is>
          <t>Lo obligado está por debajo de lo programado en la vigencia</t>
        </is>
      </c>
    </row>
    <row r="59">
      <c r="A59" t="inlineStr">
        <is>
          <t>IP-53, IP-82</t>
        </is>
      </c>
      <c r="B59" t="inlineStr">
        <is>
          <t>45</t>
        </is>
      </c>
      <c r="C59" t="inlineStr">
        <is>
          <t>Gobierno Territorial</t>
        </is>
      </c>
      <c r="D59" t="inlineStr">
        <is>
          <t>4599</t>
        </is>
      </c>
      <c r="E59" t="inlineStr">
        <is>
          <t>Fortalecimiento a la gestión y dirección de la administración pública territorial</t>
        </is>
      </c>
      <c r="F59" t="inlineStr">
        <is>
          <t>4599025</t>
        </is>
      </c>
      <c r="G59" t="inlineStr">
        <is>
          <t>Servicios de información implementados</t>
        </is>
      </c>
      <c r="H59" t="inlineStr">
        <is>
          <t>Corresponde al proceso que asegura la disposición de la información de manera accesible, confiable y oportuna.</t>
        </is>
      </c>
      <c r="I59" t="inlineStr">
        <is>
          <t>2024004250162</t>
        </is>
      </c>
      <c r="J59" s="99">
        <v>3369037018</v>
      </c>
      <c r="K59" s="99">
        <v>163845204</v>
      </c>
      <c r="L59" s="99">
        <v>1760504000</v>
      </c>
      <c r="M59" s="99">
        <v>1168319120</v>
      </c>
      <c r="N59" s="99">
        <v>276368694</v>
      </c>
      <c r="O59" s="99">
        <v>109570184</v>
      </c>
      <c r="P59" s="99">
        <v>109570184</v>
      </c>
      <c r="Q59" s="99">
        <v>109570184</v>
      </c>
      <c r="R59" s="100">
        <v>0.668742089026909</v>
      </c>
      <c r="S59" t="inlineStr">
        <is>
          <t>Lo obligado está por debajo de lo programado en la vigencia</t>
        </is>
      </c>
      <c r="T59" s="101">
        <v>1189345200</v>
      </c>
      <c r="U59" s="101">
        <v>564707874</v>
      </c>
      <c r="V59" s="101">
        <v>564707874</v>
      </c>
      <c r="W59" s="102">
        <v>0.32076489119025</v>
      </c>
      <c r="X59" t="inlineStr">
        <is>
          <t>Lo obligado está por debajo de lo programado en la vigencia</t>
        </is>
      </c>
    </row>
    <row r="60">
      <c r="A60" t="inlineStr">
        <is>
          <t>IP-54</t>
        </is>
      </c>
      <c r="B60" t="inlineStr">
        <is>
          <t>19</t>
        </is>
      </c>
      <c r="C60" t="inlineStr">
        <is>
          <t>Salud y protección social</t>
        </is>
      </c>
      <c r="D60" t="inlineStr">
        <is>
          <t>1905</t>
        </is>
      </c>
      <c r="E60" t="inlineStr">
        <is>
          <t>Salud pública</t>
        </is>
      </c>
      <c r="F60" t="inlineStr">
        <is>
          <t>1905040</t>
        </is>
      </c>
      <c r="G60" t="inlineStr">
        <is>
          <t>Servicio de certificación de discapacidad para las personas con discapacidad</t>
        </is>
      </c>
      <c r="H60" t="inlineStr">
        <is>
          <t>Corresponde a las acciones para la valoración clínica multidisciplinaria simultánea para identificar la condición de discapacidad, registro de localización y caracterización de las personas con discapacidad y generación del certificado de discapacidad.</t>
        </is>
      </c>
      <c r="I60" t="inlineStr">
        <is>
          <t>2024004250192</t>
        </is>
      </c>
      <c r="J60" s="99">
        <v>755364932</v>
      </c>
      <c r="K60" s="99">
        <v>34219799</v>
      </c>
      <c r="L60" s="99">
        <v>203768333</v>
      </c>
      <c r="M60" s="99">
        <v>328420000</v>
      </c>
      <c r="N60" s="99">
        <v>188956800</v>
      </c>
      <c r="O60" s="99">
        <v>34219799</v>
      </c>
      <c r="P60" s="99">
        <v>34219799</v>
      </c>
      <c r="Q60" s="99">
        <v>34219799</v>
      </c>
      <c r="R60" s="100">
        <v>1</v>
      </c>
      <c r="S60" t="inlineStr">
        <is>
          <t>Se ejecutó el 100% de lo programado en la vigencia</t>
        </is>
      </c>
      <c r="T60" s="101">
        <v>173383334</v>
      </c>
      <c r="U60" s="101">
        <v>141968333</v>
      </c>
      <c r="V60" s="101">
        <v>141968333</v>
      </c>
      <c r="W60" s="102">
        <v>0.696714405569584</v>
      </c>
      <c r="X60" t="inlineStr">
        <is>
          <t>Lo obligado está por debajo de lo programado en la vigencia</t>
        </is>
      </c>
    </row>
    <row r="61">
      <c r="A61" t="inlineStr">
        <is>
          <t>IP-55</t>
        </is>
      </c>
      <c r="B61" t="inlineStr">
        <is>
          <t>17</t>
        </is>
      </c>
      <c r="C61" t="inlineStr">
        <is>
          <t xml:space="preserve">Agricultura y desarrollo rural
</t>
        </is>
      </c>
      <c r="D61" t="inlineStr">
        <is>
          <t>1702</t>
        </is>
      </c>
      <c r="E61" t="inlineStr">
        <is>
          <t>Inclusión productiva de pequeños productores rurales</t>
        </is>
      </c>
      <c r="F61" t="inlineStr">
        <is>
          <t>1702021</t>
        </is>
      </c>
      <c r="G61" t="inlineStr">
        <is>
          <t>Servicio de acompañamiento productivo y empresarial</t>
        </is>
      </c>
      <c r="H61" t="inlineStr">
        <is>
          <t>Incluye la identificación del estado de los procesos productivos y definición de planes de mejoramiento.</t>
        </is>
      </c>
      <c r="I61" t="inlineStr">
        <is>
          <t>2024004250207</t>
        </is>
      </c>
      <c r="J61" s="99">
        <v>3190606667</v>
      </c>
      <c r="K61" s="99">
        <v>838400000</v>
      </c>
      <c r="L61" s="99">
        <v>752206667</v>
      </c>
      <c r="M61" s="99">
        <v>900000000</v>
      </c>
      <c r="N61" s="99">
        <v>700000000</v>
      </c>
      <c r="O61" s="99">
        <v>670774587</v>
      </c>
      <c r="P61" s="99">
        <v>670774587</v>
      </c>
      <c r="Q61" s="99">
        <v>149105000</v>
      </c>
      <c r="R61" s="100">
        <v>0.800065108540076</v>
      </c>
      <c r="S61" t="inlineStr">
        <is>
          <t>Lo obligado está por debajo de lo programado en la vigencia</t>
        </is>
      </c>
      <c r="T61" s="101">
        <v>238800000</v>
      </c>
      <c r="U61" s="101">
        <v>187200000</v>
      </c>
      <c r="V61" s="101">
        <v>175700000</v>
      </c>
      <c r="W61" s="102">
        <v>0.248867775589657</v>
      </c>
      <c r="X61" t="inlineStr">
        <is>
          <t>Lo obligado está por debajo de lo programado en la vigencia</t>
        </is>
      </c>
    </row>
    <row r="62">
      <c r="A62" t="inlineStr">
        <is>
          <t>IP-56</t>
        </is>
      </c>
      <c r="B62" t="inlineStr">
        <is>
          <t>41</t>
        </is>
      </c>
      <c r="C62" t="inlineStr">
        <is>
          <t xml:space="preserve">Inclusión social y reconciliación </t>
        </is>
      </c>
      <c r="D62" t="inlineStr">
        <is>
          <t>4101</t>
        </is>
      </c>
      <c r="E62" t="inlineStr">
        <is>
          <t>Atención, asistencia y reparación integral a las víctimas</t>
        </is>
      </c>
      <c r="F62" t="inlineStr">
        <is>
          <t>4101073</t>
        </is>
      </c>
      <c r="G62" t="inlineStr">
        <is>
          <t>Servicio de apoyo para la generación de ingresos</t>
        </is>
      </c>
      <c r="H62" t="inlineStr">
        <is>
          <t>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t>
        </is>
      </c>
      <c r="I62" t="inlineStr">
        <is>
          <t>2024004250065</t>
        </is>
      </c>
      <c r="J62" s="99">
        <v>1059225000</v>
      </c>
      <c r="K62" s="99">
        <v>137241000</v>
      </c>
      <c r="L62" s="99">
        <v>383984000</v>
      </c>
      <c r="M62" s="99">
        <v>180000000</v>
      </c>
      <c r="N62" s="99">
        <v>358000000</v>
      </c>
      <c r="O62" s="99">
        <v>137241000</v>
      </c>
      <c r="P62" s="99">
        <v>137241000</v>
      </c>
      <c r="Q62" s="99">
        <v>137241000</v>
      </c>
      <c r="R62" s="100">
        <v>1</v>
      </c>
      <c r="S62" t="inlineStr">
        <is>
          <t>Se ejecutó el 100% de lo programado en la vigencia</t>
        </is>
      </c>
      <c r="T62" s="101">
        <v>117576562</v>
      </c>
      <c r="U62" s="101">
        <v>0</v>
      </c>
      <c r="V62" s="101">
        <v>0</v>
      </c>
      <c r="W62" s="102">
        <v>0</v>
      </c>
      <c r="X62" t="inlineStr">
        <is>
          <t>No se ejecutó en la vigencia</t>
        </is>
      </c>
    </row>
    <row r="63">
      <c r="A63" t="inlineStr">
        <is>
          <t>IP-57</t>
        </is>
      </c>
      <c r="B63" t="inlineStr">
        <is>
          <t>36</t>
        </is>
      </c>
      <c r="C63" t="inlineStr">
        <is>
          <t>Trabajo</t>
        </is>
      </c>
      <c r="D63" t="inlineStr">
        <is>
          <t>3601</t>
        </is>
      </c>
      <c r="E63" t="inlineStr">
        <is>
          <t>Protección Social</t>
        </is>
      </c>
      <c r="F63" t="inlineStr">
        <is>
          <t>3601009</t>
        </is>
      </c>
      <c r="G63" t="inlineStr">
        <is>
          <t>Servicio de divulgación sobre el Sistema General de Pensiones y Cajas de Compensación</t>
        </is>
      </c>
      <c r="H63" t="inlineStr">
        <is>
          <t>Se trata de la promoción y divulgación frente a temas relacionados con el Sistema General de Pensiones y Cajas de Compensación</t>
        </is>
      </c>
      <c r="I63" t="inlineStr">
        <is>
          <t>2024004250153</t>
        </is>
      </c>
      <c r="J63" s="99">
        <v>432887040</v>
      </c>
      <c r="K63" s="99">
        <v>180000000</v>
      </c>
      <c r="L63" s="99">
        <v>0</v>
      </c>
      <c r="M63" s="99">
        <v>0</v>
      </c>
      <c r="N63" s="99">
        <v>252887040</v>
      </c>
      <c r="O63" s="99">
        <v>180000000</v>
      </c>
      <c r="P63" s="99">
        <v>180000000</v>
      </c>
      <c r="Q63" s="99">
        <v>180000000</v>
      </c>
      <c r="R63" s="100">
        <v>1</v>
      </c>
      <c r="S63" t="inlineStr">
        <is>
          <t>Se ejecutó el 100% de lo programado en la vigencia</t>
        </is>
      </c>
      <c r="T63" s="101" t="inlineStr">
        <is>
          <t xml:space="preserve"> </t>
        </is>
      </c>
      <c r="U63" s="101" t="inlineStr">
        <is>
          <t xml:space="preserve"> </t>
        </is>
      </c>
      <c r="V63" s="101" t="inlineStr">
        <is>
          <t xml:space="preserve"> </t>
        </is>
      </c>
      <c r="W63" s="102" t="inlineStr">
        <is>
          <t xml:space="preserve"> </t>
        </is>
      </c>
      <c r="X63" t="inlineStr">
        <is>
          <t>No se encontró ejecución en CUIPO</t>
        </is>
      </c>
    </row>
    <row r="64">
      <c r="A64" t="inlineStr">
        <is>
          <t>IP-58, IP-59, IP-60, IP-61</t>
        </is>
      </c>
      <c r="B64" t="inlineStr">
        <is>
          <t>45</t>
        </is>
      </c>
      <c r="C64" t="inlineStr">
        <is>
          <t>Gobierno Territorial</t>
        </is>
      </c>
      <c r="D64" t="inlineStr">
        <is>
          <t>4502</t>
        </is>
      </c>
      <c r="E64" t="inlineStr">
        <is>
          <t>Fortalecimiento del buen gobierno para el respeto y garantía de los derechos humanos.</t>
        </is>
      </c>
      <c r="F64" t="inlineStr">
        <is>
          <t>4502038</t>
        </is>
      </c>
      <c r="G64" t="inlineStr">
        <is>
          <t>Servicio de promoción de la garantía de derechos</t>
        </is>
      </c>
      <c r="H64" t="inlineStr">
        <is>
          <t>Incluye el desarrollo de acciones orientadas a divulgar y promover los mecanismos de atención, protección y ejercicio de los derechos de las mujeres, población LGTBI y personas y comunidades en riesgo así como la prevención de su vulneración.</t>
        </is>
      </c>
      <c r="I64" t="inlineStr">
        <is>
          <t>2024004250167</t>
        </is>
      </c>
      <c r="J64" s="99">
        <v>31038052882</v>
      </c>
      <c r="K64" s="99">
        <v>4856862936</v>
      </c>
      <c r="L64" s="99">
        <v>11922328919</v>
      </c>
      <c r="M64" s="99">
        <v>11499879339</v>
      </c>
      <c r="N64" s="99">
        <v>2758981688</v>
      </c>
      <c r="O64" s="99">
        <v>4166379130</v>
      </c>
      <c r="P64" s="99">
        <v>3592241769</v>
      </c>
      <c r="Q64" s="99">
        <v>3588897769</v>
      </c>
      <c r="R64" s="100">
        <v>0.739621812749463</v>
      </c>
      <c r="S64" t="inlineStr">
        <is>
          <t>Lo obligado está por debajo de lo programado en la vigencia</t>
        </is>
      </c>
      <c r="T64" s="101">
        <v>10032156151</v>
      </c>
      <c r="U64" s="101">
        <v>5845228663</v>
      </c>
      <c r="V64" s="101">
        <v>5841228663</v>
      </c>
      <c r="W64" s="102">
        <v>0.490275742492288</v>
      </c>
      <c r="X64" t="inlineStr">
        <is>
          <t>Lo obligado está por debajo de lo programado en la vigencia</t>
        </is>
      </c>
    </row>
    <row r="65">
      <c r="A65" t="inlineStr">
        <is>
          <t>IP-62</t>
        </is>
      </c>
      <c r="B65" t="inlineStr">
        <is>
          <t>41</t>
        </is>
      </c>
      <c r="C65" t="inlineStr">
        <is>
          <t xml:space="preserve">Inclusión social y reconciliación </t>
        </is>
      </c>
      <c r="D65" t="inlineStr">
        <is>
          <t>4104</t>
        </is>
      </c>
      <c r="E65" t="inlineStr">
        <is>
          <t>Atención integral de población en situación permanente de desprotección social y/o familiar</t>
        </is>
      </c>
      <c r="F65" t="inlineStr">
        <is>
          <t>4104008</t>
        </is>
      </c>
      <c r="G65" t="inlineStr">
        <is>
          <t>Servicio de atención y protección integral al adulto mayor</t>
        </is>
      </c>
      <c r="H65" t="inlineStr">
        <is>
          <t>Servicios integrales que incluyen aspectos relacionados con protección a la salud y bienestar social, educación, cultura, recreación, entorno físico y social favorable, productividad para los adultos mayores.</t>
        </is>
      </c>
      <c r="I65" t="inlineStr">
        <is>
          <t>2024004250028</t>
        </is>
      </c>
      <c r="J65" s="99">
        <v>32296564165</v>
      </c>
      <c r="K65" s="99">
        <v>10474980459</v>
      </c>
      <c r="L65" s="99">
        <v>10821583706</v>
      </c>
      <c r="M65" s="99">
        <v>11000000000</v>
      </c>
      <c r="N65" s="99">
        <v>0</v>
      </c>
      <c r="O65" s="99">
        <v>10474980458</v>
      </c>
      <c r="P65" s="99">
        <v>10474980458</v>
      </c>
      <c r="Q65" s="99">
        <v>10474980458</v>
      </c>
      <c r="R65" s="100">
        <v>0.999999999904534</v>
      </c>
      <c r="S65" t="inlineStr">
        <is>
          <t>Lo obligado está por debajo de lo programado en la vigencia</t>
        </is>
      </c>
      <c r="T65" s="101">
        <v>9634083706</v>
      </c>
      <c r="U65" s="101">
        <v>9634083706</v>
      </c>
      <c r="V65" s="101">
        <v>9634083706</v>
      </c>
      <c r="W65" s="102">
        <v>0.890265599540519</v>
      </c>
      <c r="X65" t="inlineStr">
        <is>
          <t>Lo obligado está por debajo de lo programado en la vigencia</t>
        </is>
      </c>
    </row>
    <row r="66">
      <c r="A66" t="inlineStr">
        <is>
          <t>IP-63</t>
        </is>
      </c>
      <c r="B66" t="inlineStr">
        <is>
          <t>41</t>
        </is>
      </c>
      <c r="C66" t="inlineStr">
        <is>
          <t xml:space="preserve">Inclusión social y reconciliación </t>
        </is>
      </c>
      <c r="D66" t="inlineStr">
        <is>
          <t>4103</t>
        </is>
      </c>
      <c r="E66" t="inlineStr">
        <is>
          <t>Inclusión social y productiva para la población en situación de vulnerabilidad</t>
        </is>
      </c>
      <c r="F66" t="inlineStr">
        <is>
          <t>4103052</t>
        </is>
      </c>
      <c r="G66" t="inlineStr">
        <is>
          <t>Servicio de gestión de oferta social para la población vulnerable</t>
        </is>
      </c>
      <c r="H66" t="inlineStr">
        <is>
          <t>Incluye el desarrollo de acciones encaminadas a generar dinámicas de atención conjunta, articulada y eficiente entre las instituciones del estado hacia la población vulnerable.</t>
        </is>
      </c>
      <c r="I66" t="inlineStr">
        <is>
          <t>2024004250255</t>
        </is>
      </c>
      <c r="J66" s="99">
        <v>1000000000</v>
      </c>
      <c r="K66" s="99">
        <v>0</v>
      </c>
      <c r="L66" s="99">
        <v>1000000000</v>
      </c>
      <c r="M66" s="99">
        <v>0</v>
      </c>
      <c r="N66" s="99">
        <v>0</v>
      </c>
      <c r="O66" s="99" t="inlineStr">
        <is>
          <t xml:space="preserve"> </t>
        </is>
      </c>
      <c r="P66" s="99" t="inlineStr">
        <is>
          <t xml:space="preserve"> </t>
        </is>
      </c>
      <c r="Q66" s="99" t="inlineStr">
        <is>
          <t xml:space="preserve"> </t>
        </is>
      </c>
      <c r="R66" s="100" t="inlineStr">
        <is>
          <t xml:space="preserve"> </t>
        </is>
      </c>
      <c r="S66" t="inlineStr">
        <is>
          <t>No se encontró ejecución en CUIPO</t>
        </is>
      </c>
      <c r="T66" s="101" t="inlineStr">
        <is>
          <t xml:space="preserve"> </t>
        </is>
      </c>
      <c r="U66" s="101" t="inlineStr">
        <is>
          <t xml:space="preserve"> </t>
        </is>
      </c>
      <c r="V66" s="101" t="inlineStr">
        <is>
          <t xml:space="preserve"> </t>
        </is>
      </c>
      <c r="W66" s="102" t="inlineStr">
        <is>
          <t xml:space="preserve"> </t>
        </is>
      </c>
      <c r="X66" t="inlineStr">
        <is>
          <t>No se encontró ejecución en CUIPO</t>
        </is>
      </c>
    </row>
    <row r="67">
      <c r="A67" t="inlineStr">
        <is>
          <t>IP-65</t>
        </is>
      </c>
      <c r="B67" t="inlineStr">
        <is>
          <t>41</t>
        </is>
      </c>
      <c r="C67" t="inlineStr">
        <is>
          <t xml:space="preserve">Inclusión social y reconciliación </t>
        </is>
      </c>
      <c r="D67" t="inlineStr">
        <is>
          <t>4103</t>
        </is>
      </c>
      <c r="E67" t="inlineStr">
        <is>
          <t>Inclusión social y productiva para la población en situación de vulnerabilidad</t>
        </is>
      </c>
      <c r="F67" t="inlineStr">
        <is>
          <t>4103061</t>
        </is>
      </c>
      <c r="G67" t="inlineStr">
        <is>
          <t>Servicio de apoyo financiero para la entrega de transferencias monetarias no condicionadas</t>
        </is>
      </c>
      <c r="H67" t="inlineStr">
        <is>
          <t>Corresponde al apoyo financiero otorgado a la población en situación de vulnerabilidad o pobreza, con el fin de ser un complemento a los ingresos de dicha población.</t>
        </is>
      </c>
      <c r="I67" t="inlineStr">
        <is>
          <t>2024004250197</t>
        </is>
      </c>
      <c r="J67" s="99">
        <v>37562894616</v>
      </c>
      <c r="K67" s="99">
        <v>5165440409</v>
      </c>
      <c r="L67" s="99">
        <v>12853993833</v>
      </c>
      <c r="M67" s="99">
        <v>9862380000</v>
      </c>
      <c r="N67" s="99">
        <v>9681080374</v>
      </c>
      <c r="O67" s="99">
        <v>5164590409</v>
      </c>
      <c r="P67" s="99">
        <v>5164590409</v>
      </c>
      <c r="Q67" s="99">
        <v>5164590409</v>
      </c>
      <c r="R67" s="100">
        <v>0.999835444815408</v>
      </c>
      <c r="S67" t="inlineStr">
        <is>
          <t>Lo obligado está por debajo de lo programado en la vigencia</t>
        </is>
      </c>
      <c r="T67" s="101">
        <v>8501351622</v>
      </c>
      <c r="U67" s="101">
        <v>7752991452</v>
      </c>
      <c r="V67" s="101">
        <v>7752991452</v>
      </c>
      <c r="W67" s="102">
        <v>0.60315817423965</v>
      </c>
      <c r="X67" t="inlineStr">
        <is>
          <t>Lo obligado está por debajo de lo programado en la vigencia</t>
        </is>
      </c>
    </row>
    <row r="68">
      <c r="A68" t="inlineStr">
        <is>
          <t>IP-66</t>
        </is>
      </c>
      <c r="B68" t="inlineStr">
        <is>
          <t>41</t>
        </is>
      </c>
      <c r="C68" t="inlineStr">
        <is>
          <t xml:space="preserve">Inclusión social y reconciliación </t>
        </is>
      </c>
      <c r="D68" t="inlineStr">
        <is>
          <t>4104</t>
        </is>
      </c>
      <c r="E68" t="inlineStr">
        <is>
          <t>Atención integral de población en situación permanente de desprotección social y/o familiar</t>
        </is>
      </c>
      <c r="F68" t="inlineStr">
        <is>
          <t>4104008</t>
        </is>
      </c>
      <c r="G68" t="inlineStr">
        <is>
          <t>Servicio de atención y protección integral al adulto mayor</t>
        </is>
      </c>
      <c r="H68" t="inlineStr">
        <is>
          <t>Servicios integrales que incluyen aspectos relacionados con protección a la salud y bienestar social, educación, cultura, recreación, entorno físico y social favorable, productividad para los adultos mayores.</t>
        </is>
      </c>
      <c r="I68" t="inlineStr">
        <is>
          <t>2024004250195</t>
        </is>
      </c>
      <c r="J68" s="99">
        <v>48768029661</v>
      </c>
      <c r="K68" s="99">
        <v>12041524661</v>
      </c>
      <c r="L68" s="99">
        <v>13278786000</v>
      </c>
      <c r="M68" s="99">
        <v>13809744000</v>
      </c>
      <c r="N68" s="99">
        <v>9637975000</v>
      </c>
      <c r="O68" s="99">
        <v>12041073327</v>
      </c>
      <c r="P68" s="99">
        <v>12041073327</v>
      </c>
      <c r="Q68" s="99">
        <v>12041073327</v>
      </c>
      <c r="R68" s="100">
        <v>0.999962518533765</v>
      </c>
      <c r="S68" t="inlineStr">
        <is>
          <t>Lo obligado está por debajo de lo programado en la vigencia</t>
        </is>
      </c>
      <c r="T68" s="101">
        <v>3022443345</v>
      </c>
      <c r="U68" s="101">
        <v>2034330000</v>
      </c>
      <c r="V68" s="101">
        <v>2034330000</v>
      </c>
      <c r="W68" s="102">
        <v>0.1532015050171</v>
      </c>
      <c r="X68" t="inlineStr">
        <is>
          <t>Lo obligado está por debajo de lo programado en la vigencia</t>
        </is>
      </c>
    </row>
    <row r="69">
      <c r="A69" t="inlineStr">
        <is>
          <t>IP-67</t>
        </is>
      </c>
      <c r="B69" t="inlineStr">
        <is>
          <t>41</t>
        </is>
      </c>
      <c r="C69" t="inlineStr">
        <is>
          <t xml:space="preserve">Inclusión social y reconciliación </t>
        </is>
      </c>
      <c r="D69" t="inlineStr">
        <is>
          <t>4104</t>
        </is>
      </c>
      <c r="E69" t="inlineStr">
        <is>
          <t>Atención integral de población en situación permanente de desprotección social y/o familiar</t>
        </is>
      </c>
      <c r="F69" t="inlineStr">
        <is>
          <t>4104008</t>
        </is>
      </c>
      <c r="G69" t="inlineStr">
        <is>
          <t>Servicio de atención y protección integral al adulto mayor</t>
        </is>
      </c>
      <c r="H69" t="inlineStr">
        <is>
          <t>Servicios integrales que incluyen aspectos relacionados con protección a la salud y bienestar social, educación, cultura, recreación, entorno físico y social favorable, productividad para los adultos mayores.</t>
        </is>
      </c>
      <c r="I69" t="inlineStr">
        <is>
          <t>2024004250194</t>
        </is>
      </c>
      <c r="J69" s="99">
        <v>5148527727</v>
      </c>
      <c r="K69" s="99">
        <v>2810833332</v>
      </c>
      <c r="L69" s="99">
        <v>1411236667</v>
      </c>
      <c r="M69" s="99">
        <v>575525000</v>
      </c>
      <c r="N69" s="99">
        <v>350932728</v>
      </c>
      <c r="O69" s="99">
        <v>2810706556</v>
      </c>
      <c r="P69" s="99">
        <v>2810706556</v>
      </c>
      <c r="Q69" s="99">
        <v>2810706556</v>
      </c>
      <c r="R69" s="100">
        <v>0.999954897361378</v>
      </c>
      <c r="S69" t="inlineStr">
        <is>
          <t>Lo obligado está por debajo de lo programado en la vigencia</t>
        </is>
      </c>
      <c r="T69" s="101">
        <v>1128750000</v>
      </c>
      <c r="U69" s="101">
        <v>128750000</v>
      </c>
      <c r="V69" s="101">
        <v>128750000</v>
      </c>
      <c r="W69" s="102">
        <v>0.091232039962295</v>
      </c>
      <c r="X69" t="inlineStr">
        <is>
          <t>Lo obligado está por debajo de lo programado en la vigencia</t>
        </is>
      </c>
    </row>
    <row r="70">
      <c r="A70" t="inlineStr">
        <is>
          <t>IP-68</t>
        </is>
      </c>
      <c r="B70" t="inlineStr">
        <is>
          <t>41</t>
        </is>
      </c>
      <c r="C70" t="inlineStr">
        <is>
          <t xml:space="preserve">Inclusión social y reconciliación </t>
        </is>
      </c>
      <c r="D70" t="inlineStr">
        <is>
          <t>4102</t>
        </is>
      </c>
      <c r="E70" t="inlineStr">
        <is>
          <t>Desarrollo integral de la primera infancia a la juventud, y fortalecimiento de las capacidades de las familias de niñas, niños y adolescentes</t>
        </is>
      </c>
      <c r="F70" t="inlineStr">
        <is>
          <t>4102043</t>
        </is>
      </c>
      <c r="G70" t="inlineStr">
        <is>
          <t>Servicio de promoción de temas de dinámica relacional y desarrollo autónomo</t>
        </is>
      </c>
      <c r="H70"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70" t="inlineStr">
        <is>
          <t>2024004250193</t>
        </is>
      </c>
      <c r="J70" s="99">
        <v>1485661713</v>
      </c>
      <c r="K70" s="99">
        <v>490853334</v>
      </c>
      <c r="L70" s="99">
        <v>318055667</v>
      </c>
      <c r="M70" s="99">
        <v>518029000</v>
      </c>
      <c r="N70" s="99">
        <v>158723712</v>
      </c>
      <c r="O70" s="99">
        <v>490843581</v>
      </c>
      <c r="P70" s="99">
        <v>490843581</v>
      </c>
      <c r="Q70" s="99">
        <v>490843581</v>
      </c>
      <c r="R70" s="100">
        <v>0.999980130521024</v>
      </c>
      <c r="S70" t="inlineStr">
        <is>
          <t>Lo obligado está por debajo de lo programado en la vigencia</t>
        </is>
      </c>
      <c r="T70" s="101">
        <v>283980000</v>
      </c>
      <c r="U70" s="101">
        <v>209961333</v>
      </c>
      <c r="V70" s="101">
        <v>209961333</v>
      </c>
      <c r="W70" s="102">
        <v>0.660140204324672</v>
      </c>
      <c r="X70" t="inlineStr">
        <is>
          <t>Lo obligado está por debajo de lo programado en la vigencia</t>
        </is>
      </c>
    </row>
    <row r="71">
      <c r="A71" t="inlineStr">
        <is>
          <t>IP-69</t>
        </is>
      </c>
      <c r="B71" t="inlineStr">
        <is>
          <t>41</t>
        </is>
      </c>
      <c r="C71" t="inlineStr">
        <is>
          <t xml:space="preserve">Inclusión social y reconciliación </t>
        </is>
      </c>
      <c r="D71" t="inlineStr">
        <is>
          <t>4103</t>
        </is>
      </c>
      <c r="E71" t="inlineStr">
        <is>
          <t>Inclusión social y productiva para la población en situación de vulnerabilidad</t>
        </is>
      </c>
      <c r="F71" t="inlineStr">
        <is>
          <t>4103052</t>
        </is>
      </c>
      <c r="G71" t="inlineStr">
        <is>
          <t>Servicio de gestión de oferta social para la población vulnerable</t>
        </is>
      </c>
      <c r="H71" t="inlineStr">
        <is>
          <t>Incluye el desarrollo de acciones encaminadas a generar dinámicas de atención conjunta, articulada y eficiente entre las instituciones del estado hacia la población vulnerable.</t>
        </is>
      </c>
      <c r="I71" t="inlineStr">
        <is>
          <t>2024004250165</t>
        </is>
      </c>
      <c r="J71" s="99">
        <v>5705704294</v>
      </c>
      <c r="K71" s="99">
        <v>1161600128</v>
      </c>
      <c r="L71" s="99">
        <v>748607666</v>
      </c>
      <c r="M71" s="99">
        <v>1217752500</v>
      </c>
      <c r="N71" s="99">
        <v>2577744000</v>
      </c>
      <c r="O71" s="99">
        <v>1161600128</v>
      </c>
      <c r="P71" s="99">
        <v>1161600128</v>
      </c>
      <c r="Q71" s="99">
        <v>0</v>
      </c>
      <c r="R71" s="100">
        <v>1</v>
      </c>
      <c r="S71" t="inlineStr">
        <is>
          <t>Se ejecutó el 100% de lo programado en la vigencia</t>
        </is>
      </c>
      <c r="T71" s="101">
        <v>709879666</v>
      </c>
      <c r="U71" s="101">
        <v>151410000</v>
      </c>
      <c r="V71" s="101">
        <v>151410000</v>
      </c>
      <c r="W71" s="102">
        <v>0.202255476234998</v>
      </c>
      <c r="X71" t="inlineStr">
        <is>
          <t>Lo obligado está por debajo de lo programado en la vigencia</t>
        </is>
      </c>
    </row>
    <row r="72">
      <c r="A72" t="inlineStr">
        <is>
          <t>IP-70</t>
        </is>
      </c>
      <c r="B72" t="inlineStr">
        <is>
          <t>41</t>
        </is>
      </c>
      <c r="C72" t="inlineStr">
        <is>
          <t xml:space="preserve">Inclusión social y reconciliación </t>
        </is>
      </c>
      <c r="D72" t="inlineStr">
        <is>
          <t>4104</t>
        </is>
      </c>
      <c r="E72" t="inlineStr">
        <is>
          <t>Atención integral de población en situación permanente de desprotección social y/o familiar</t>
        </is>
      </c>
      <c r="F72" t="inlineStr">
        <is>
          <t>4104020</t>
        </is>
      </c>
      <c r="G72" t="inlineStr">
        <is>
          <t>Servicio de atención integral a población en condición de discapacidad</t>
        </is>
      </c>
      <c r="H72" t="inlineStr">
        <is>
          <t>Servicios integrales que incluyen aspectos relacionados con atención en salud, cuidado, alimentación, hospedaje, formación para el trabajo, inclusión productiva, recreación, entre otros, para población en condición de discapacidad.</t>
        </is>
      </c>
      <c r="I72" t="inlineStr">
        <is>
          <t>2024004250040</t>
        </is>
      </c>
      <c r="J72" s="99">
        <v>33038903246</v>
      </c>
      <c r="K72" s="99">
        <v>11717319541</v>
      </c>
      <c r="L72" s="99">
        <v>9821583705</v>
      </c>
      <c r="M72" s="99">
        <v>9000000000</v>
      </c>
      <c r="N72" s="99">
        <v>2500000000</v>
      </c>
      <c r="O72" s="99">
        <v>11717319540</v>
      </c>
      <c r="P72" s="99">
        <v>11717319540</v>
      </c>
      <c r="Q72" s="99">
        <v>11717319540</v>
      </c>
      <c r="R72" s="100">
        <v>0.999999999914656</v>
      </c>
      <c r="S72" t="inlineStr">
        <is>
          <t>Lo obligado está por debajo de lo programado en la vigencia</t>
        </is>
      </c>
      <c r="T72" s="101">
        <v>8884083705</v>
      </c>
      <c r="U72" s="101">
        <v>8884083705</v>
      </c>
      <c r="V72" s="101">
        <v>8884083705</v>
      </c>
      <c r="W72" s="102">
        <v>0.904546962266102</v>
      </c>
      <c r="X72" t="inlineStr">
        <is>
          <t>Lo obligado está por debajo de lo programado en la vigencia</t>
        </is>
      </c>
    </row>
    <row r="73">
      <c r="A73" t="inlineStr">
        <is>
          <t>IP-71</t>
        </is>
      </c>
      <c r="B73" t="inlineStr">
        <is>
          <t>41</t>
        </is>
      </c>
      <c r="C73" t="inlineStr">
        <is>
          <t xml:space="preserve">Inclusión social y reconciliación </t>
        </is>
      </c>
      <c r="D73" t="inlineStr">
        <is>
          <t>4102</t>
        </is>
      </c>
      <c r="E73" t="inlineStr">
        <is>
          <t>Desarrollo integral de la primera infancia a la juventud, y fortalecimiento de las capacidades de las familias de niñas, niños y adolescentes</t>
        </is>
      </c>
      <c r="F73" t="inlineStr">
        <is>
          <t>4102001</t>
        </is>
      </c>
      <c r="G73" t="inlineStr">
        <is>
          <t>Servicio de atención integral a la primera infancia</t>
        </is>
      </c>
      <c r="H73"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73" t="inlineStr">
        <is>
          <t>2024004250189</t>
        </is>
      </c>
      <c r="J73" s="99">
        <v>5736350031</v>
      </c>
      <c r="K73" s="99">
        <v>1189708422</v>
      </c>
      <c r="L73" s="99">
        <v>1765208149</v>
      </c>
      <c r="M73" s="99">
        <v>1943642100</v>
      </c>
      <c r="N73" s="99">
        <v>837791360</v>
      </c>
      <c r="O73" s="99">
        <v>1185515088</v>
      </c>
      <c r="P73" s="99">
        <v>1185515088</v>
      </c>
      <c r="Q73" s="99">
        <v>1185515088</v>
      </c>
      <c r="R73" s="100">
        <v>0.996475326287973</v>
      </c>
      <c r="S73" t="inlineStr">
        <is>
          <t>Lo obligado está por debajo de lo programado en la vigencia</t>
        </is>
      </c>
      <c r="T73" s="101">
        <v>991791209</v>
      </c>
      <c r="U73" s="101">
        <v>821236512</v>
      </c>
      <c r="V73" s="101">
        <v>821236512</v>
      </c>
      <c r="W73" s="102">
        <v>0.465234942669642</v>
      </c>
      <c r="X73" t="inlineStr">
        <is>
          <t>Lo obligado está por debajo de lo programado en la vigencia</t>
        </is>
      </c>
    </row>
    <row r="74">
      <c r="A74" t="inlineStr">
        <is>
          <t>IP-72, IP-76</t>
        </is>
      </c>
      <c r="B74" t="inlineStr">
        <is>
          <t>41</t>
        </is>
      </c>
      <c r="C74" t="inlineStr">
        <is>
          <t xml:space="preserve">Inclusión social y reconciliación </t>
        </is>
      </c>
      <c r="D74" t="inlineStr">
        <is>
          <t>4102</t>
        </is>
      </c>
      <c r="E74" t="inlineStr">
        <is>
          <t>Desarrollo integral de la primera infancia a la juventud, y fortalecimiento de las capacidades de las familias de niñas, niños y adolescentes</t>
        </is>
      </c>
      <c r="F74" t="inlineStr">
        <is>
          <t>4102043</t>
        </is>
      </c>
      <c r="G74" t="inlineStr">
        <is>
          <t>Servicio de promoción de temas de dinámica relacional y desarrollo autónomo</t>
        </is>
      </c>
      <c r="H74"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74" t="inlineStr">
        <is>
          <t>2024004250189</t>
        </is>
      </c>
      <c r="J74" s="99">
        <v>6916698392</v>
      </c>
      <c r="K74" s="99">
        <v>969987204</v>
      </c>
      <c r="L74" s="99">
        <v>2866572189</v>
      </c>
      <c r="M74" s="99">
        <v>2859689399</v>
      </c>
      <c r="N74" s="99">
        <v>220449600</v>
      </c>
      <c r="O74" s="99">
        <v>969979183</v>
      </c>
      <c r="P74" s="99">
        <v>969979183</v>
      </c>
      <c r="Q74" s="99">
        <v>839979183</v>
      </c>
      <c r="R74" s="100">
        <v>0.99999173081875</v>
      </c>
      <c r="S74" t="inlineStr">
        <is>
          <t>Lo obligado está por debajo de lo programado en la vigencia</t>
        </is>
      </c>
      <c r="T74" s="101">
        <v>2082462151</v>
      </c>
      <c r="U74" s="101">
        <v>1351018938</v>
      </c>
      <c r="V74" s="101">
        <v>1351018938</v>
      </c>
      <c r="W74" s="102">
        <v>0.471301208873899</v>
      </c>
      <c r="X74" t="inlineStr">
        <is>
          <t>Lo obligado está por debajo de lo programado en la vigencia</t>
        </is>
      </c>
    </row>
    <row r="75">
      <c r="A75" t="inlineStr">
        <is>
          <t>IP-73</t>
        </is>
      </c>
      <c r="B75" t="inlineStr">
        <is>
          <t>19</t>
        </is>
      </c>
      <c r="C75" t="inlineStr">
        <is>
          <t>Salud y protección social</t>
        </is>
      </c>
      <c r="D75" t="inlineStr">
        <is>
          <t>1906</t>
        </is>
      </c>
      <c r="E75" t="inlineStr">
        <is>
          <t>Aseguramiento y prestación integral de servicios de salud</t>
        </is>
      </c>
      <c r="F75" t="inlineStr">
        <is>
          <t>1906028</t>
        </is>
      </c>
      <c r="G75" t="inlineStr">
        <is>
          <t>Servicio para la habilitación y la rehabilitación funcional</t>
        </is>
      </c>
      <c r="H75" t="inlineStr">
        <is>
          <t>Acciones orientadas a garantizar el acceso a los servicios y tecnologías de apoyo y dispositivos para la habilitación y rehabilitación funcional de poblaciones vulnerables y en condiciones especiales (salud mental, con discapacidad y desplazados) que no se encuentran cubiertas por el Plan Básico en Salud (Art. 62 de la Resolución 5521 de 2013).</t>
        </is>
      </c>
      <c r="I75" t="inlineStr">
        <is>
          <t>2024004250191</t>
        </is>
      </c>
      <c r="J75" s="99">
        <v>1692882422</v>
      </c>
      <c r="K75" s="99">
        <v>146705045</v>
      </c>
      <c r="L75" s="99">
        <v>642348665</v>
      </c>
      <c r="M75" s="99">
        <v>695105000</v>
      </c>
      <c r="N75" s="99">
        <v>208723712</v>
      </c>
      <c r="O75" s="99">
        <v>146705045</v>
      </c>
      <c r="P75" s="99">
        <v>146705045</v>
      </c>
      <c r="Q75" s="99">
        <v>146705045</v>
      </c>
      <c r="R75" s="100">
        <v>1</v>
      </c>
      <c r="S75" t="inlineStr">
        <is>
          <t>Se ejecutó el 100% de lo programado en la vigencia</t>
        </is>
      </c>
      <c r="T75" s="101">
        <v>500729416</v>
      </c>
      <c r="U75" s="101">
        <v>154676667</v>
      </c>
      <c r="V75" s="101">
        <v>154676667</v>
      </c>
      <c r="W75" s="102">
        <v>0.240798612074643</v>
      </c>
      <c r="X75" t="inlineStr">
        <is>
          <t>Lo obligado está por debajo de lo programado en la vigencia</t>
        </is>
      </c>
    </row>
    <row r="76">
      <c r="A76" t="inlineStr">
        <is>
          <t>IP-74</t>
        </is>
      </c>
      <c r="B76" t="inlineStr">
        <is>
          <t>41</t>
        </is>
      </c>
      <c r="C76" t="inlineStr">
        <is>
          <t xml:space="preserve">Inclusión social y reconciliación </t>
        </is>
      </c>
      <c r="D76" t="inlineStr">
        <is>
          <t>4104</t>
        </is>
      </c>
      <c r="E76" t="inlineStr">
        <is>
          <t>Atención integral de población en situación permanente de desprotección social y/o familiar</t>
        </is>
      </c>
      <c r="F76" t="inlineStr">
        <is>
          <t>4104020</t>
        </is>
      </c>
      <c r="G76" t="inlineStr">
        <is>
          <t>Servicio de atención integral a población en condición de discapacidad</t>
        </is>
      </c>
      <c r="H76" t="inlineStr">
        <is>
          <t>Servicios integrales que incluyen aspectos relacionados con atención en salud, cuidado, alimentación, hospedaje, formación para el trabajo, inclusión productiva, recreación, entre otros, para población en condición de discapacidad.</t>
        </is>
      </c>
      <c r="I76" t="inlineStr">
        <is>
          <t>2024004250194</t>
        </is>
      </c>
      <c r="J76" s="99">
        <v>2518761944</v>
      </c>
      <c r="K76" s="99">
        <v>555369904</v>
      </c>
      <c r="L76" s="99">
        <v>1128914000</v>
      </c>
      <c r="M76" s="99">
        <v>577791000</v>
      </c>
      <c r="N76" s="99">
        <v>256687040</v>
      </c>
      <c r="O76" s="99">
        <v>555368676</v>
      </c>
      <c r="P76" s="99">
        <v>555368676</v>
      </c>
      <c r="Q76" s="99">
        <v>555368676</v>
      </c>
      <c r="R76" s="100">
        <v>0.999997788861097</v>
      </c>
      <c r="S76" t="inlineStr">
        <is>
          <t>Lo obligado está por debajo de lo programado en la vigencia</t>
        </is>
      </c>
      <c r="T76" s="101">
        <v>207295000</v>
      </c>
      <c r="U76" s="101">
        <v>143706667</v>
      </c>
      <c r="V76" s="101">
        <v>143706667</v>
      </c>
      <c r="W76" s="102">
        <v>0.127296381300967</v>
      </c>
      <c r="X76" t="inlineStr">
        <is>
          <t>Lo obligado está por debajo de lo programado en la vigencia</t>
        </is>
      </c>
    </row>
    <row r="77">
      <c r="A77" t="inlineStr">
        <is>
          <t>IP-75</t>
        </is>
      </c>
      <c r="B77" t="inlineStr">
        <is>
          <t>45</t>
        </is>
      </c>
      <c r="C77" t="inlineStr">
        <is>
          <t>Gobierno Territorial</t>
        </is>
      </c>
      <c r="D77" t="inlineStr">
        <is>
          <t>4502</t>
        </is>
      </c>
      <c r="E77" t="inlineStr">
        <is>
          <t>Fortalecimiento del buen gobierno para el respeto y garantía de los derechos humanos.</t>
        </is>
      </c>
      <c r="F77" t="inlineStr">
        <is>
          <t>4502033</t>
        </is>
      </c>
      <c r="G77" t="inlineStr">
        <is>
          <t>Servicio de integración de la oferta pública</t>
        </is>
      </c>
      <c r="H77" t="inlineStr">
        <is>
          <t>Corresponde al diseño e implementación de espacios que articulen la oferta institucional para que los ciudadanos conozcan sus derechos y deberes y los mecanismos de acceso a la oferta publica.</t>
        </is>
      </c>
      <c r="I77" t="inlineStr">
        <is>
          <t>2024004250117</t>
        </is>
      </c>
      <c r="J77" s="99">
        <v>2175539981</v>
      </c>
      <c r="K77" s="99">
        <v>149075000</v>
      </c>
      <c r="L77" s="99">
        <v>1840240000</v>
      </c>
      <c r="M77" s="99">
        <v>128038243</v>
      </c>
      <c r="N77" s="99">
        <v>58186738</v>
      </c>
      <c r="O77" s="99">
        <v>66200000</v>
      </c>
      <c r="P77" s="99">
        <v>66200000</v>
      </c>
      <c r="Q77" s="99">
        <v>66200000</v>
      </c>
      <c r="R77" s="100">
        <v>0.444071775951702</v>
      </c>
      <c r="S77" t="inlineStr">
        <is>
          <t>Lo obligado está por debajo de lo programado en la vigencia</t>
        </is>
      </c>
      <c r="T77" s="101" t="inlineStr">
        <is>
          <t xml:space="preserve"> </t>
        </is>
      </c>
      <c r="U77" s="101" t="inlineStr">
        <is>
          <t xml:space="preserve"> </t>
        </is>
      </c>
      <c r="V77" s="101" t="inlineStr">
        <is>
          <t xml:space="preserve"> </t>
        </is>
      </c>
      <c r="W77" s="102" t="inlineStr">
        <is>
          <t xml:space="preserve"> </t>
        </is>
      </c>
      <c r="X77" t="inlineStr">
        <is>
          <t>No se encontró ejecución en CUIPO</t>
        </is>
      </c>
    </row>
    <row r="78">
      <c r="A78" t="inlineStr">
        <is>
          <t>IP-77</t>
        </is>
      </c>
      <c r="B78" t="inlineStr">
        <is>
          <t>41</t>
        </is>
      </c>
      <c r="C78" t="inlineStr">
        <is>
          <t xml:space="preserve">Inclusión social y reconciliación </t>
        </is>
      </c>
      <c r="D78" t="inlineStr">
        <is>
          <t>4101</t>
        </is>
      </c>
      <c r="E78" t="inlineStr">
        <is>
          <t>Atención, asistencia y reparación integral a las víctimas</t>
        </is>
      </c>
      <c r="F78" t="inlineStr">
        <is>
          <t>4101025</t>
        </is>
      </c>
      <c r="G78" t="inlineStr">
        <is>
          <t>Servicio de ayuda y atención humanitaria</t>
        </is>
      </c>
      <c r="H78"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78" t="inlineStr">
        <is>
          <t>2024004250065</t>
        </is>
      </c>
      <c r="J78" s="99">
        <v>868816892</v>
      </c>
      <c r="K78" s="99">
        <v>188816892</v>
      </c>
      <c r="L78" s="99">
        <v>200000000</v>
      </c>
      <c r="M78" s="99">
        <v>180000000</v>
      </c>
      <c r="N78" s="99">
        <v>300000000</v>
      </c>
      <c r="O78" s="99">
        <v>188804162</v>
      </c>
      <c r="P78" s="99">
        <v>188804162</v>
      </c>
      <c r="Q78" s="99">
        <v>35243792</v>
      </c>
      <c r="R78" s="100">
        <v>0.999932580184616</v>
      </c>
      <c r="S78" t="inlineStr">
        <is>
          <t>Lo obligado está por debajo de lo programado en la vigencia</t>
        </is>
      </c>
      <c r="T78" s="101" t="inlineStr">
        <is>
          <t xml:space="preserve"> </t>
        </is>
      </c>
      <c r="U78" s="101" t="inlineStr">
        <is>
          <t xml:space="preserve"> </t>
        </is>
      </c>
      <c r="V78" s="101" t="inlineStr">
        <is>
          <t xml:space="preserve"> </t>
        </is>
      </c>
      <c r="W78" s="102" t="inlineStr">
        <is>
          <t xml:space="preserve"> </t>
        </is>
      </c>
      <c r="X78" t="inlineStr">
        <is>
          <t>No se encontró ejecución en CUIPO</t>
        </is>
      </c>
    </row>
    <row r="79">
      <c r="A79" t="inlineStr">
        <is>
          <t>IP-78</t>
        </is>
      </c>
      <c r="B79" t="inlineStr">
        <is>
          <t>41</t>
        </is>
      </c>
      <c r="C79" t="inlineStr">
        <is>
          <t xml:space="preserve">Inclusión social y reconciliación </t>
        </is>
      </c>
      <c r="D79" t="inlineStr">
        <is>
          <t>4101</t>
        </is>
      </c>
      <c r="E79" t="inlineStr">
        <is>
          <t>Atención, asistencia y reparación integral a las víctimas</t>
        </is>
      </c>
      <c r="F79" t="inlineStr">
        <is>
          <t>4101063</t>
        </is>
      </c>
      <c r="G79" t="inlineStr">
        <is>
          <t>Servicios de asistencia técnica para la articulación interinstitucional en la implementación de la polìtica pública para las víctimas</t>
        </is>
      </c>
      <c r="H79" t="inlineStr">
        <is>
          <t>Corresponde a los planes de acción de los subcomités y plan marco de implementación de los acuerdos que respondan al cumplimiento de la ley de víctimas</t>
        </is>
      </c>
      <c r="I79" t="inlineStr">
        <is>
          <t>2024004250065</t>
        </is>
      </c>
      <c r="J79" s="99">
        <v>1384951815</v>
      </c>
      <c r="K79" s="99">
        <v>115045000</v>
      </c>
      <c r="L79" s="99">
        <v>535998500</v>
      </c>
      <c r="M79" s="99">
        <v>479068262</v>
      </c>
      <c r="N79" s="99">
        <v>254840053</v>
      </c>
      <c r="O79" s="99">
        <v>115045000</v>
      </c>
      <c r="P79" s="99">
        <v>115045000</v>
      </c>
      <c r="Q79" s="99">
        <v>115045000</v>
      </c>
      <c r="R79" s="100">
        <v>1</v>
      </c>
      <c r="S79" t="inlineStr">
        <is>
          <t>Se ejecutó el 100% de lo programado en la vigencia</t>
        </is>
      </c>
      <c r="T79" s="101">
        <v>458619000</v>
      </c>
      <c r="U79" s="101">
        <v>330564000</v>
      </c>
      <c r="V79" s="101">
        <v>330564000</v>
      </c>
      <c r="W79" s="102">
        <v>0.616725606508227</v>
      </c>
      <c r="X79" t="inlineStr">
        <is>
          <t>Lo obligado está por debajo de lo programado en la vigencia</t>
        </is>
      </c>
    </row>
    <row r="80">
      <c r="A80" t="inlineStr">
        <is>
          <t>IP-79</t>
        </is>
      </c>
      <c r="B80" t="inlineStr">
        <is>
          <t>41</t>
        </is>
      </c>
      <c r="C80" t="inlineStr">
        <is>
          <t xml:space="preserve">Inclusión social y reconciliación </t>
        </is>
      </c>
      <c r="D80" t="inlineStr">
        <is>
          <t>4101</t>
        </is>
      </c>
      <c r="E80" t="inlineStr">
        <is>
          <t>Atención, asistencia y reparación integral a las víctimas</t>
        </is>
      </c>
      <c r="F80" t="inlineStr">
        <is>
          <t>4101018</t>
        </is>
      </c>
      <c r="G80" t="inlineStr">
        <is>
          <t>Centros regionales o puntos de atención a víctimas dotados</t>
        </is>
      </c>
      <c r="H80" t="inlineStr">
        <is>
          <t>Dotación de infraestructura en la cual se reúne la oferta institucional del nivel nacional y territorial que tiene como objetivo atender, orientar, remitir y acompañar a las víctimas del conflicto.</t>
        </is>
      </c>
      <c r="I80" t="inlineStr">
        <is>
          <t>2024004250139</t>
        </is>
      </c>
      <c r="J80" s="99">
        <v>1251729289</v>
      </c>
      <c r="K80" s="99">
        <v>700000000</v>
      </c>
      <c r="L80" s="99">
        <v>56774700</v>
      </c>
      <c r="M80" s="99">
        <v>274954589</v>
      </c>
      <c r="N80" s="99">
        <v>220000000</v>
      </c>
      <c r="O80" s="99">
        <v>700000000</v>
      </c>
      <c r="P80" s="99">
        <v>700000000</v>
      </c>
      <c r="Q80" s="99">
        <v>21492000</v>
      </c>
      <c r="R80" s="100">
        <v>1</v>
      </c>
      <c r="S80" t="inlineStr">
        <is>
          <t>Se ejecutó el 100% de lo programado en la vigencia</t>
        </is>
      </c>
      <c r="T80" s="101">
        <v>42984000</v>
      </c>
      <c r="U80" s="101">
        <v>37611000</v>
      </c>
      <c r="V80" s="101">
        <v>37611000</v>
      </c>
      <c r="W80" s="102">
        <v>0.662460567823344</v>
      </c>
      <c r="X80" t="inlineStr">
        <is>
          <t>Lo obligado está por debajo de lo programado en la vigencia</t>
        </is>
      </c>
    </row>
    <row r="81">
      <c r="A81" t="inlineStr">
        <is>
          <t>IP-80</t>
        </is>
      </c>
      <c r="B81" t="inlineStr">
        <is>
          <t>41</t>
        </is>
      </c>
      <c r="C81" t="inlineStr">
        <is>
          <t xml:space="preserve">Inclusión social y reconciliación </t>
        </is>
      </c>
      <c r="D81" t="inlineStr">
        <is>
          <t>4101</t>
        </is>
      </c>
      <c r="E81" t="inlineStr">
        <is>
          <t>Atención, asistencia y reparación integral a las víctimas</t>
        </is>
      </c>
      <c r="F81" t="inlineStr">
        <is>
          <t>4101092</t>
        </is>
      </c>
      <c r="G81" t="inlineStr">
        <is>
          <t>Servicios de satisfacción y garantías de no repetición a víctimas del conflicto armado</t>
        </is>
      </c>
      <c r="H81" t="inlineStr">
        <is>
          <t>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t>
        </is>
      </c>
      <c r="I81" t="inlineStr">
        <is>
          <t>2024004250065</t>
        </is>
      </c>
      <c r="J81" s="99">
        <v>369186053</v>
      </c>
      <c r="K81" s="99">
        <v>46202053</v>
      </c>
      <c r="L81" s="99">
        <v>42984000</v>
      </c>
      <c r="M81" s="99">
        <v>180000000</v>
      </c>
      <c r="N81" s="99">
        <v>100000000</v>
      </c>
      <c r="O81" s="99">
        <v>46189005</v>
      </c>
      <c r="P81" s="99">
        <v>46189005</v>
      </c>
      <c r="Q81" s="99">
        <v>46189005</v>
      </c>
      <c r="R81" s="100">
        <v>0.999717588307169</v>
      </c>
      <c r="S81" t="inlineStr">
        <is>
          <t>Lo obligado está por debajo de lo programado en la vigencia</t>
        </is>
      </c>
      <c r="T81" s="101">
        <v>16570750</v>
      </c>
      <c r="U81" s="101">
        <v>16570750</v>
      </c>
      <c r="V81" s="101">
        <v>16570750</v>
      </c>
      <c r="W81" s="102">
        <v>0.385509724548669</v>
      </c>
      <c r="X81" t="inlineStr">
        <is>
          <t>Lo obligado está por debajo de lo programado en la vigencia</t>
        </is>
      </c>
    </row>
    <row r="82">
      <c r="A82" t="inlineStr">
        <is>
          <t>IP-81</t>
        </is>
      </c>
      <c r="B82" t="inlineStr">
        <is>
          <t>45</t>
        </is>
      </c>
      <c r="C82" t="inlineStr">
        <is>
          <t>Gobierno Territorial</t>
        </is>
      </c>
      <c r="D82" t="inlineStr">
        <is>
          <t>4599</t>
        </is>
      </c>
      <c r="E82" t="inlineStr">
        <is>
          <t>Fortalecimiento a la gestión y dirección de la administración pública territorial</t>
        </is>
      </c>
      <c r="F82" t="inlineStr">
        <is>
          <t>4599032</t>
        </is>
      </c>
      <c r="G82" t="inlineStr">
        <is>
          <t>Documentos de política</t>
        </is>
      </c>
      <c r="H82"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82" t="inlineStr">
        <is>
          <t>2024004250120</t>
        </is>
      </c>
      <c r="J82" s="99">
        <v>1270825406</v>
      </c>
      <c r="K82" s="99">
        <v>60000000</v>
      </c>
      <c r="L82" s="99">
        <v>1120493000</v>
      </c>
      <c r="M82" s="99">
        <v>70332406</v>
      </c>
      <c r="N82" s="99">
        <v>20000000</v>
      </c>
      <c r="O82" s="99">
        <v>58572695</v>
      </c>
      <c r="P82" s="99">
        <v>58572695</v>
      </c>
      <c r="Q82" s="99">
        <v>58572695</v>
      </c>
      <c r="R82" s="100">
        <v>0.976211583333333</v>
      </c>
      <c r="S82" t="inlineStr">
        <is>
          <t>Lo obligado está por debajo de lo programado en la vigencia</t>
        </is>
      </c>
      <c r="T82" s="101">
        <v>116456000</v>
      </c>
      <c r="U82" s="101">
        <v>77399000</v>
      </c>
      <c r="V82" s="101">
        <v>77399000</v>
      </c>
      <c r="W82" s="102">
        <v>0.0690758442935386</v>
      </c>
      <c r="X82" t="inlineStr">
        <is>
          <t>Lo obligado está por debajo de lo programado en la vigencia</t>
        </is>
      </c>
    </row>
    <row r="83">
      <c r="A83" t="inlineStr">
        <is>
          <t>IP-83, IP-84, IP-86</t>
        </is>
      </c>
      <c r="B83" t="inlineStr">
        <is>
          <t>19</t>
        </is>
      </c>
      <c r="C83" t="inlineStr">
        <is>
          <t>Salud y protección social</t>
        </is>
      </c>
      <c r="D83" t="inlineStr">
        <is>
          <t>1905</t>
        </is>
      </c>
      <c r="E83" t="inlineStr">
        <is>
          <t>Salud pública</t>
        </is>
      </c>
      <c r="F83" t="inlineStr">
        <is>
          <t>1905050</t>
        </is>
      </c>
      <c r="G83" t="inlineStr">
        <is>
          <t>Servicio de asistencia técnica</t>
        </is>
      </c>
      <c r="H83"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83" t="inlineStr">
        <is>
          <t>2024004250058</t>
        </is>
      </c>
      <c r="J83" s="99">
        <v>4801751275</v>
      </c>
      <c r="K83" s="99">
        <v>876216648</v>
      </c>
      <c r="L83" s="99">
        <v>1570769295</v>
      </c>
      <c r="M83" s="99">
        <v>1274633744</v>
      </c>
      <c r="N83" s="99">
        <v>1080131588</v>
      </c>
      <c r="O83" s="99">
        <v>833522262</v>
      </c>
      <c r="P83" s="99">
        <v>833522262</v>
      </c>
      <c r="Q83" s="99">
        <v>790501857</v>
      </c>
      <c r="R83" s="100">
        <v>0.951274167071064</v>
      </c>
      <c r="S83" t="inlineStr">
        <is>
          <t>Lo obligado está por debajo de lo programado en la vigencia</t>
        </is>
      </c>
      <c r="T83" s="101">
        <v>1055391044</v>
      </c>
      <c r="U83" s="101">
        <v>660744815</v>
      </c>
      <c r="V83" s="101">
        <v>660744815</v>
      </c>
      <c r="W83" s="102">
        <v>0.420650452681531</v>
      </c>
      <c r="X83" t="inlineStr">
        <is>
          <t>Lo obligado está por debajo de lo programado en la vigencia</t>
        </is>
      </c>
    </row>
    <row r="84">
      <c r="A84" t="inlineStr">
        <is>
          <t>IP-85</t>
        </is>
      </c>
      <c r="B84" t="inlineStr">
        <is>
          <t>19</t>
        </is>
      </c>
      <c r="C84" t="inlineStr">
        <is>
          <t>Salud y protección social</t>
        </is>
      </c>
      <c r="D84" t="inlineStr">
        <is>
          <t>1905</t>
        </is>
      </c>
      <c r="E84" t="inlineStr">
        <is>
          <t>Salud pública</t>
        </is>
      </c>
      <c r="F84" t="inlineStr">
        <is>
          <t>1905050</t>
        </is>
      </c>
      <c r="G84" t="inlineStr">
        <is>
          <t>Servicio de asistencia técnica</t>
        </is>
      </c>
      <c r="H84"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84" t="inlineStr">
        <is>
          <t>2024004250148</t>
        </is>
      </c>
      <c r="J84" s="99">
        <v>2519484463</v>
      </c>
      <c r="K84" s="99">
        <v>404290805</v>
      </c>
      <c r="L84" s="99">
        <v>886745417</v>
      </c>
      <c r="M84" s="99">
        <v>748783048</v>
      </c>
      <c r="N84" s="99">
        <v>479665193</v>
      </c>
      <c r="O84" s="99">
        <v>401351667</v>
      </c>
      <c r="P84" s="99">
        <v>401238912</v>
      </c>
      <c r="Q84" s="99">
        <v>383118798</v>
      </c>
      <c r="R84" s="100">
        <v>0.992451243109524</v>
      </c>
      <c r="S84" t="inlineStr">
        <is>
          <t>Lo obligado está por debajo de lo programado en la vigencia</t>
        </is>
      </c>
      <c r="T84" s="101">
        <v>689852177</v>
      </c>
      <c r="U84" s="101">
        <v>489465652</v>
      </c>
      <c r="V84" s="101">
        <v>489465652</v>
      </c>
      <c r="W84" s="102">
        <v>0.551979906088424</v>
      </c>
      <c r="X84" t="inlineStr">
        <is>
          <t>Lo obligado está por debajo de lo programado en la vigencia</t>
        </is>
      </c>
    </row>
    <row r="85">
      <c r="A85" t="inlineStr">
        <is>
          <t>IP-87</t>
        </is>
      </c>
      <c r="B85" t="inlineStr">
        <is>
          <t>19</t>
        </is>
      </c>
      <c r="C85" t="inlineStr">
        <is>
          <t>Salud y protección social</t>
        </is>
      </c>
      <c r="D85" t="inlineStr">
        <is>
          <t>1905</t>
        </is>
      </c>
      <c r="E85" t="inlineStr">
        <is>
          <t>Salud pública</t>
        </is>
      </c>
      <c r="F85" t="inlineStr">
        <is>
          <t>1905027</t>
        </is>
      </c>
      <c r="G85" t="inlineStr">
        <is>
          <t>Servicio de gestión del riesgo para enfermedades inmunoprevenibles</t>
        </is>
      </c>
      <c r="H85" t="inlineStr">
        <is>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is>
      </c>
      <c r="I85" t="inlineStr">
        <is>
          <t>2024004250045</t>
        </is>
      </c>
      <c r="J85" s="99">
        <v>31693433373</v>
      </c>
      <c r="K85" s="99">
        <v>9561278942</v>
      </c>
      <c r="L85" s="99">
        <v>15013552742</v>
      </c>
      <c r="M85" s="99">
        <v>2587958400</v>
      </c>
      <c r="N85" s="99">
        <v>4530643289</v>
      </c>
      <c r="O85" s="99">
        <v>3637219096</v>
      </c>
      <c r="P85" s="99">
        <v>1968422475</v>
      </c>
      <c r="Q85" s="99">
        <v>1437525923</v>
      </c>
      <c r="R85" s="100">
        <v>0.205874390543432</v>
      </c>
      <c r="S85" t="inlineStr">
        <is>
          <t>Lo obligado está por debajo de lo programado en la vigencia</t>
        </is>
      </c>
      <c r="T85" s="101">
        <v>1599877371</v>
      </c>
      <c r="U85" s="101">
        <v>719453308</v>
      </c>
      <c r="V85" s="101">
        <v>719453308</v>
      </c>
      <c r="W85" s="102">
        <v>0.0479202571412261</v>
      </c>
      <c r="X85" t="inlineStr">
        <is>
          <t>Lo obligado está por debajo de lo programado en la vigencia</t>
        </is>
      </c>
    </row>
    <row r="86">
      <c r="A86" t="inlineStr">
        <is>
          <t>IP-88</t>
        </is>
      </c>
      <c r="B86" t="inlineStr">
        <is>
          <t>19</t>
        </is>
      </c>
      <c r="C86" t="inlineStr">
        <is>
          <t>Salud y protección social</t>
        </is>
      </c>
      <c r="D86" t="inlineStr">
        <is>
          <t>1906</t>
        </is>
      </c>
      <c r="E86" t="inlineStr">
        <is>
          <t>Aseguramiento y prestación integral de servicios de salud</t>
        </is>
      </c>
      <c r="F86" t="inlineStr">
        <is>
          <t>1906004</t>
        </is>
      </c>
      <c r="G86" t="inlineStr">
        <is>
          <t>Servicio de atención en salud a la población</t>
        </is>
      </c>
      <c r="H86" t="inlineStr">
        <is>
          <t>Incluye el servicio de atención en salud a la población dentro del Sistema General de Seguridad Social en Salud y los servicios de atención en urgencias a la población migrante no afiliada dentro del Sistema General de Seguridad Social en Salud.</t>
        </is>
      </c>
      <c r="I86" t="inlineStr">
        <is>
          <t>2024004250129</t>
        </is>
      </c>
      <c r="J86" s="99">
        <v>367995518175</v>
      </c>
      <c r="K86" s="99">
        <v>101171853226</v>
      </c>
      <c r="L86" s="99">
        <v>103638384143</v>
      </c>
      <c r="M86" s="99">
        <v>85807835250</v>
      </c>
      <c r="N86" s="99">
        <v>77377445556</v>
      </c>
      <c r="O86" s="99">
        <v>23979421891</v>
      </c>
      <c r="P86" s="99">
        <v>23272880491</v>
      </c>
      <c r="Q86" s="99">
        <v>22622528265</v>
      </c>
      <c r="R86" s="100">
        <v>0.230033153974283</v>
      </c>
      <c r="S86" t="inlineStr">
        <is>
          <t>Lo obligado está por debajo de lo programado en la vigencia</t>
        </is>
      </c>
      <c r="T86" s="101">
        <v>50543929365</v>
      </c>
      <c r="U86" s="101">
        <v>16084438465</v>
      </c>
      <c r="V86" s="101">
        <v>16043023601</v>
      </c>
      <c r="W86" s="102">
        <v>0.155197696278309</v>
      </c>
      <c r="X86" t="inlineStr">
        <is>
          <t>Lo obligado está por debajo de lo programado en la vigencia</t>
        </is>
      </c>
    </row>
    <row r="87">
      <c r="A87" t="inlineStr">
        <is>
          <t>IP-89</t>
        </is>
      </c>
      <c r="B87" t="inlineStr">
        <is>
          <t>19</t>
        </is>
      </c>
      <c r="C87" t="inlineStr">
        <is>
          <t>Salud y protección social</t>
        </is>
      </c>
      <c r="D87" t="inlineStr">
        <is>
          <t>1906</t>
        </is>
      </c>
      <c r="E87" t="inlineStr">
        <is>
          <t>Aseguramiento y prestación integral de servicios de salud</t>
        </is>
      </c>
      <c r="F87" t="inlineStr">
        <is>
          <t>1906004</t>
        </is>
      </c>
      <c r="G87" t="inlineStr">
        <is>
          <t>Servicio de atención en salud a la población</t>
        </is>
      </c>
      <c r="H87" t="inlineStr">
        <is>
          <t>Incluye el servicio de atención en salud a la población dentro del Sistema General de Seguridad Social en Salud y los servicios de atención en urgencias a la población migrante no afiliada dentro del Sistema General de Seguridad Social en Salud.</t>
        </is>
      </c>
      <c r="I87" t="inlineStr">
        <is>
          <t>2024004250160</t>
        </is>
      </c>
      <c r="J87" s="99">
        <v>1335760457542</v>
      </c>
      <c r="K87" s="99">
        <v>318788904707</v>
      </c>
      <c r="L87" s="99">
        <v>341068361702</v>
      </c>
      <c r="M87" s="99">
        <v>341696045935</v>
      </c>
      <c r="N87" s="99">
        <v>334207145198</v>
      </c>
      <c r="O87" s="99">
        <v>239893655843</v>
      </c>
      <c r="P87" s="99">
        <v>228236885456</v>
      </c>
      <c r="Q87" s="99">
        <v>228236885456</v>
      </c>
      <c r="R87" s="100">
        <v>0.71594990316797</v>
      </c>
      <c r="S87" t="inlineStr">
        <is>
          <t>Lo obligado está por debajo de lo programado en la vigencia</t>
        </is>
      </c>
      <c r="T87" s="101">
        <v>211812396994</v>
      </c>
      <c r="U87" s="101">
        <v>205339689361</v>
      </c>
      <c r="V87" s="101">
        <v>173233579119</v>
      </c>
      <c r="W87" s="102">
        <v>0.602048481824328</v>
      </c>
      <c r="X87" t="inlineStr">
        <is>
          <t>Lo obligado está por debajo de lo programado en la vigencia</t>
        </is>
      </c>
    </row>
    <row r="88">
      <c r="A88" t="inlineStr">
        <is>
          <t>IP-90</t>
        </is>
      </c>
      <c r="B88" t="inlineStr">
        <is>
          <t>19</t>
        </is>
      </c>
      <c r="C88" t="inlineStr">
        <is>
          <t>Salud y protección social</t>
        </is>
      </c>
      <c r="D88" t="inlineStr">
        <is>
          <t>1906</t>
        </is>
      </c>
      <c r="E88" t="inlineStr">
        <is>
          <t>Aseguramiento y prestación integral de servicios de salud</t>
        </is>
      </c>
      <c r="F88" t="inlineStr">
        <is>
          <t>1906004</t>
        </is>
      </c>
      <c r="G88" t="inlineStr">
        <is>
          <t>Servicio de atención en salud a la población</t>
        </is>
      </c>
      <c r="H88" t="inlineStr">
        <is>
          <t>Incluye el servicio de atención en salud a la población dentro del Sistema General de Seguridad Social en Salud y los servicios de atención en urgencias a la población migrante no afiliada dentro del Sistema General de Seguridad Social en Salud.</t>
        </is>
      </c>
      <c r="I88" t="inlineStr">
        <is>
          <t>2024004250074, 2024004250237</t>
        </is>
      </c>
      <c r="J88" s="99">
        <v>8544625855</v>
      </c>
      <c r="K88" s="99">
        <v>1066506963</v>
      </c>
      <c r="L88" s="99">
        <v>2576563659</v>
      </c>
      <c r="M88" s="99">
        <v>2919293210</v>
      </c>
      <c r="N88" s="99">
        <v>1982262023</v>
      </c>
      <c r="O88" s="99" t="inlineStr">
        <is>
          <t xml:space="preserve"> </t>
        </is>
      </c>
      <c r="P88" s="99" t="inlineStr">
        <is>
          <t xml:space="preserve"> </t>
        </is>
      </c>
      <c r="Q88" s="99" t="inlineStr">
        <is>
          <t xml:space="preserve"> </t>
        </is>
      </c>
      <c r="R88" s="100" t="inlineStr">
        <is>
          <t xml:space="preserve"> </t>
        </is>
      </c>
      <c r="S88" t="inlineStr">
        <is>
          <t>No se encontró ejecución en CUIPO</t>
        </is>
      </c>
      <c r="T88" s="101" t="inlineStr">
        <is>
          <t xml:space="preserve"> </t>
        </is>
      </c>
      <c r="U88" s="101" t="inlineStr">
        <is>
          <t xml:space="preserve"> </t>
        </is>
      </c>
      <c r="V88" s="101" t="inlineStr">
        <is>
          <t xml:space="preserve"> </t>
        </is>
      </c>
      <c r="W88" s="102" t="inlineStr">
        <is>
          <t xml:space="preserve"> </t>
        </is>
      </c>
      <c r="X88" t="inlineStr">
        <is>
          <t>No se encontró ejecución en CUIPO</t>
        </is>
      </c>
    </row>
    <row r="89">
      <c r="A89" t="inlineStr">
        <is>
          <t>IP-91</t>
        </is>
      </c>
      <c r="B89" t="inlineStr">
        <is>
          <t>19</t>
        </is>
      </c>
      <c r="C89" t="inlineStr">
        <is>
          <t>Salud y protección social</t>
        </is>
      </c>
      <c r="D89" t="inlineStr">
        <is>
          <t>1903</t>
        </is>
      </c>
      <c r="E89" t="inlineStr">
        <is>
          <t>Inspección, vigilancia y control</t>
        </is>
      </c>
      <c r="F89" t="inlineStr">
        <is>
          <t>1903011</t>
        </is>
      </c>
      <c r="G89" t="inlineStr">
        <is>
          <t>Servicio de inspección, vigilancia y control</t>
        </is>
      </c>
      <c r="H89" t="inlineStr">
        <is>
          <t>El servicio de inspección, vigilancia y control permite mantener los estándares en las entidades del sector salud</t>
        </is>
      </c>
      <c r="I89" t="inlineStr">
        <is>
          <t>2024004250046</t>
        </is>
      </c>
      <c r="J89" s="99">
        <v>11856153072</v>
      </c>
      <c r="K89" s="99">
        <v>1585002464</v>
      </c>
      <c r="L89" s="99">
        <v>3005450922</v>
      </c>
      <c r="M89" s="99">
        <v>4738254370</v>
      </c>
      <c r="N89" s="99">
        <v>2527445316</v>
      </c>
      <c r="O89" s="99">
        <v>1207746771</v>
      </c>
      <c r="P89" s="99">
        <v>1206444445</v>
      </c>
      <c r="Q89" s="99">
        <v>1145579529</v>
      </c>
      <c r="R89" s="100">
        <v>0.761162504413621</v>
      </c>
      <c r="S89" t="inlineStr">
        <is>
          <t>Lo obligado está por debajo de lo programado en la vigencia</t>
        </is>
      </c>
      <c r="T89" s="101">
        <v>2532670416</v>
      </c>
      <c r="U89" s="101">
        <v>1638388378</v>
      </c>
      <c r="V89" s="101">
        <v>1638388378</v>
      </c>
      <c r="W89" s="102">
        <v>0.545138956023851</v>
      </c>
      <c r="X89" t="inlineStr">
        <is>
          <t>Lo obligado está por debajo de lo programado en la vigencia</t>
        </is>
      </c>
    </row>
    <row r="90">
      <c r="A90" t="inlineStr">
        <is>
          <t>IP-92</t>
        </is>
      </c>
      <c r="B90" t="inlineStr">
        <is>
          <t>19</t>
        </is>
      </c>
      <c r="C90" t="inlineStr">
        <is>
          <t>Salud y protección social</t>
        </is>
      </c>
      <c r="D90" t="inlineStr">
        <is>
          <t>1906</t>
        </is>
      </c>
      <c r="E90" t="inlineStr">
        <is>
          <t>Aseguramiento y prestación integral de servicios de salud</t>
        </is>
      </c>
      <c r="F90" t="inlineStr">
        <is>
          <t>1906024</t>
        </is>
      </c>
      <c r="G90" t="inlineStr">
        <is>
          <t>Servicio de apoyo financiero para el fortalecimiento del talento humano en salud</t>
        </is>
      </c>
      <c r="H90" t="inlineStr">
        <is>
          <t>Recursos monetarios otorgados para el fortalecimiento de la formación del Talento Humano en Salud.</t>
        </is>
      </c>
      <c r="I90" t="inlineStr">
        <is>
          <t>2024004250147</t>
        </is>
      </c>
      <c r="J90" s="99">
        <v>92227767617</v>
      </c>
      <c r="K90" s="99">
        <v>12127840000</v>
      </c>
      <c r="L90" s="99">
        <v>28186288800</v>
      </c>
      <c r="M90" s="99">
        <v>17570273472</v>
      </c>
      <c r="N90" s="99">
        <v>34343365345</v>
      </c>
      <c r="O90" s="99">
        <v>8018552600</v>
      </c>
      <c r="P90" s="99">
        <v>7993552600</v>
      </c>
      <c r="Q90" s="99">
        <v>7980952600</v>
      </c>
      <c r="R90" s="100">
        <v>0.659107689415428</v>
      </c>
      <c r="S90" t="inlineStr">
        <is>
          <t>Lo obligado está por debajo de lo programado en la vigencia</t>
        </is>
      </c>
      <c r="T90" s="101">
        <v>26476996800</v>
      </c>
      <c r="U90" s="101">
        <v>19506351404</v>
      </c>
      <c r="V90" s="101">
        <v>19506351404</v>
      </c>
      <c r="W90" s="102">
        <v>0.692051072860646</v>
      </c>
      <c r="X90" t="inlineStr">
        <is>
          <t>Lo obligado está por debajo de lo programado en la vigencia</t>
        </is>
      </c>
    </row>
    <row r="91">
      <c r="A91" t="inlineStr">
        <is>
          <t>IP-94</t>
        </is>
      </c>
      <c r="B91" t="inlineStr">
        <is>
          <t>19</t>
        </is>
      </c>
      <c r="C91" t="inlineStr">
        <is>
          <t>Salud y protección social</t>
        </is>
      </c>
      <c r="D91" t="inlineStr">
        <is>
          <t>1903</t>
        </is>
      </c>
      <c r="E91" t="inlineStr">
        <is>
          <t>Inspección, vigilancia y control</t>
        </is>
      </c>
      <c r="F91" t="inlineStr">
        <is>
          <t>1903035</t>
        </is>
      </c>
      <c r="G91" t="inlineStr">
        <is>
          <t>Servicio de inspección, vigilancia y control de los factores del riesgo del ambiente que afectan la salud humana</t>
        </is>
      </c>
      <c r="H91" t="inlineStr">
        <is>
          <t>El Servicio  de Inspección Vigilancia y Control de los factores del riesgo del ambiente permite que las entidades territoriales cuenten con acciones de Inspección Vigilancia y Control, reales y efectivas  que permitan identificar  los factores de riesgo ambiente que afectan la salud humana.</t>
        </is>
      </c>
      <c r="I91" t="inlineStr">
        <is>
          <t>2024004250068</t>
        </is>
      </c>
      <c r="J91" s="99">
        <v>20263942761</v>
      </c>
      <c r="K91" s="99">
        <v>3415951437</v>
      </c>
      <c r="L91" s="99">
        <v>5238091994</v>
      </c>
      <c r="M91" s="99">
        <v>5693408579</v>
      </c>
      <c r="N91" s="99">
        <v>5916490751</v>
      </c>
      <c r="O91" s="99">
        <v>2571922159</v>
      </c>
      <c r="P91" s="99">
        <v>2566219959</v>
      </c>
      <c r="Q91" s="99">
        <v>2456775455</v>
      </c>
      <c r="R91" s="100">
        <v>0.751246030960481</v>
      </c>
      <c r="S91" t="inlineStr">
        <is>
          <t>Lo obligado está por debajo de lo programado en la vigencia</t>
        </is>
      </c>
      <c r="T91" s="101">
        <v>3715100407</v>
      </c>
      <c r="U91" s="101">
        <v>2320270455</v>
      </c>
      <c r="V91" s="101">
        <v>2320270455</v>
      </c>
      <c r="W91" s="102">
        <v>0.442960997565099</v>
      </c>
      <c r="X91" t="inlineStr">
        <is>
          <t>Lo obligado está por debajo de lo programado en la vigencia</t>
        </is>
      </c>
    </row>
    <row r="92">
      <c r="A92" t="inlineStr">
        <is>
          <t>IP-95</t>
        </is>
      </c>
      <c r="B92" t="inlineStr">
        <is>
          <t>19</t>
        </is>
      </c>
      <c r="C92" t="inlineStr">
        <is>
          <t>Salud y protección social</t>
        </is>
      </c>
      <c r="D92" t="inlineStr">
        <is>
          <t>1905</t>
        </is>
      </c>
      <c r="E92" t="inlineStr">
        <is>
          <t>Salud pública</t>
        </is>
      </c>
      <c r="F92" t="inlineStr">
        <is>
          <t>1905050</t>
        </is>
      </c>
      <c r="G92" t="inlineStr">
        <is>
          <t>Servicio de asistencia técnica</t>
        </is>
      </c>
      <c r="H92"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92" t="inlineStr">
        <is>
          <t>2024004250072</t>
        </is>
      </c>
      <c r="J92" s="99">
        <v>13535429835</v>
      </c>
      <c r="K92" s="99">
        <v>2477618491</v>
      </c>
      <c r="L92" s="99">
        <v>5466409242</v>
      </c>
      <c r="M92" s="99">
        <v>3288233676</v>
      </c>
      <c r="N92" s="99">
        <v>2303168426</v>
      </c>
      <c r="O92" s="99">
        <v>1977807960</v>
      </c>
      <c r="P92" s="99">
        <v>1940671028</v>
      </c>
      <c r="Q92" s="99">
        <v>1877221128</v>
      </c>
      <c r="R92" s="100">
        <v>0.783280813833739</v>
      </c>
      <c r="S92" t="inlineStr">
        <is>
          <t>Lo obligado está por debajo de lo programado en la vigencia</t>
        </is>
      </c>
      <c r="T92" s="101">
        <v>3738050729</v>
      </c>
      <c r="U92" s="101">
        <v>1389527512</v>
      </c>
      <c r="V92" s="101">
        <v>1389527512</v>
      </c>
      <c r="W92" s="102">
        <v>0.254193831907765</v>
      </c>
      <c r="X92" t="inlineStr">
        <is>
          <t>Lo obligado está por debajo de lo programado en la vigencia</t>
        </is>
      </c>
    </row>
    <row r="93">
      <c r="A93" t="inlineStr">
        <is>
          <t>IP-96</t>
        </is>
      </c>
      <c r="B93" t="inlineStr">
        <is>
          <t>19</t>
        </is>
      </c>
      <c r="C93" t="inlineStr">
        <is>
          <t>Salud y protección social</t>
        </is>
      </c>
      <c r="D93" t="inlineStr">
        <is>
          <t>1905</t>
        </is>
      </c>
      <c r="E93" t="inlineStr">
        <is>
          <t>Salud pública</t>
        </is>
      </c>
      <c r="F93" t="inlineStr">
        <is>
          <t>1905026</t>
        </is>
      </c>
      <c r="G93" t="inlineStr">
        <is>
          <t>Servicio de gestión del riesgo para enfermedades emergentes, reemergentes y desatendidas</t>
        </is>
      </c>
      <c r="H93" t="inlineStr">
        <is>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is>
      </c>
      <c r="I93" t="inlineStr">
        <is>
          <t>2024004250071</t>
        </is>
      </c>
      <c r="J93" s="99">
        <v>4220605346</v>
      </c>
      <c r="K93" s="99">
        <v>846932230</v>
      </c>
      <c r="L93" s="99">
        <v>2158598367</v>
      </c>
      <c r="M93" s="99">
        <v>574035336</v>
      </c>
      <c r="N93" s="99">
        <v>641039413</v>
      </c>
      <c r="O93" s="99">
        <v>508527817</v>
      </c>
      <c r="P93" s="99">
        <v>451444150</v>
      </c>
      <c r="Q93" s="99">
        <v>330720089</v>
      </c>
      <c r="R93" s="100">
        <v>0.533034561690963</v>
      </c>
      <c r="S93" t="inlineStr">
        <is>
          <t>Lo obligado está por debajo de lo programado en la vigencia</t>
        </is>
      </c>
      <c r="T93" s="101">
        <v>1344527629</v>
      </c>
      <c r="U93" s="101">
        <v>231134698</v>
      </c>
      <c r="V93" s="101">
        <v>231134698</v>
      </c>
      <c r="W93" s="102">
        <v>0.107076286878336</v>
      </c>
      <c r="X93" t="inlineStr">
        <is>
          <t>Lo obligado está por debajo de lo programado en la vigencia</t>
        </is>
      </c>
    </row>
    <row r="94">
      <c r="A94" t="inlineStr">
        <is>
          <t>IP-97</t>
        </is>
      </c>
      <c r="B94" t="inlineStr">
        <is>
          <t>19</t>
        </is>
      </c>
      <c r="C94" t="inlineStr">
        <is>
          <t>Salud y protección social</t>
        </is>
      </c>
      <c r="D94" t="inlineStr">
        <is>
          <t>1905</t>
        </is>
      </c>
      <c r="E94" t="inlineStr">
        <is>
          <t>Salud pública</t>
        </is>
      </c>
      <c r="F94" t="inlineStr">
        <is>
          <t>1905024</t>
        </is>
      </c>
      <c r="G94" t="inlineStr">
        <is>
          <t>Servicio de gestión del riesgo para abordar situaciones de salud relacionadas con condiciones ambientales</t>
        </is>
      </c>
      <c r="H94" t="inlineStr">
        <is>
          <t>Incluye la gestión integral relacionada con la prevención de enfermedades generadas por sustancias químicas, por animales (zoonosis), vectores de contaminación en el aire y el agua, entre otros factores.</t>
        </is>
      </c>
      <c r="I94" t="inlineStr">
        <is>
          <t>2024004250071</t>
        </is>
      </c>
      <c r="J94" s="99">
        <v>45495408435</v>
      </c>
      <c r="K94" s="99">
        <v>12394945017</v>
      </c>
      <c r="L94" s="99">
        <v>17729032167</v>
      </c>
      <c r="M94" s="99">
        <v>8756942064</v>
      </c>
      <c r="N94" s="99">
        <v>6614489187</v>
      </c>
      <c r="O94" s="99">
        <v>5603921715</v>
      </c>
      <c r="P94" s="99">
        <v>5268352314</v>
      </c>
      <c r="Q94" s="99">
        <v>4976261824</v>
      </c>
      <c r="R94" s="100">
        <v>0.425040394029527</v>
      </c>
      <c r="S94" t="inlineStr">
        <is>
          <t>Lo obligado está por debajo de lo programado en la vigencia</t>
        </is>
      </c>
      <c r="T94" s="101">
        <v>8093605923</v>
      </c>
      <c r="U94" s="101">
        <v>2788141970</v>
      </c>
      <c r="V94" s="101">
        <v>2721094993</v>
      </c>
      <c r="W94" s="102">
        <v>0.15726419489439</v>
      </c>
      <c r="X94" t="inlineStr">
        <is>
          <t>Lo obligado está por debajo de lo programado en la vigencia</t>
        </is>
      </c>
    </row>
    <row r="95">
      <c r="A95" t="inlineStr">
        <is>
          <t>IP-98</t>
        </is>
      </c>
      <c r="B95" t="inlineStr">
        <is>
          <t>19</t>
        </is>
      </c>
      <c r="C95" t="inlineStr">
        <is>
          <t>Salud y protección social</t>
        </is>
      </c>
      <c r="D95" t="inlineStr">
        <is>
          <t>1905</t>
        </is>
      </c>
      <c r="E95" t="inlineStr">
        <is>
          <t>Salud pública</t>
        </is>
      </c>
      <c r="F95" t="inlineStr">
        <is>
          <t>1905054</t>
        </is>
      </c>
      <c r="G95" t="inlineStr">
        <is>
          <t>Servicio de promoción de la salud</t>
        </is>
      </c>
      <c r="H95"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95" t="inlineStr">
        <is>
          <t>2024004250048</t>
        </is>
      </c>
      <c r="J95" s="99">
        <v>34815548449</v>
      </c>
      <c r="K95" s="99">
        <v>9297685944</v>
      </c>
      <c r="L95" s="99">
        <v>17660080970</v>
      </c>
      <c r="M95" s="99">
        <v>7202707730</v>
      </c>
      <c r="N95" s="99">
        <v>655073805</v>
      </c>
      <c r="O95" s="99">
        <v>5586896966</v>
      </c>
      <c r="P95" s="99">
        <v>5586896966</v>
      </c>
      <c r="Q95" s="99">
        <v>5535549121</v>
      </c>
      <c r="R95" s="100">
        <v>0.600891124915372</v>
      </c>
      <c r="S95" t="inlineStr">
        <is>
          <t>Lo obligado está por debajo de lo programado en la vigencia</t>
        </is>
      </c>
      <c r="T95" s="101">
        <v>6748659586</v>
      </c>
      <c r="U95" s="101">
        <v>354683682</v>
      </c>
      <c r="V95" s="101">
        <v>352271213</v>
      </c>
      <c r="W95" s="102">
        <v>0.0200839216197546</v>
      </c>
      <c r="X95" t="inlineStr">
        <is>
          <t>Lo obligado está por debajo de lo programado en la vigencia</t>
        </is>
      </c>
    </row>
    <row r="96">
      <c r="A96" t="inlineStr">
        <is>
          <t>IP-99</t>
        </is>
      </c>
      <c r="B96" t="inlineStr">
        <is>
          <t>19</t>
        </is>
      </c>
      <c r="C96" t="inlineStr">
        <is>
          <t>Salud y protección social</t>
        </is>
      </c>
      <c r="D96" t="inlineStr">
        <is>
          <t>1905</t>
        </is>
      </c>
      <c r="E96" t="inlineStr">
        <is>
          <t>Salud pública</t>
        </is>
      </c>
      <c r="F96" t="inlineStr">
        <is>
          <t>1905054</t>
        </is>
      </c>
      <c r="G96" t="inlineStr">
        <is>
          <t>Servicio de promoción de la salud</t>
        </is>
      </c>
      <c r="H96"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96" t="inlineStr">
        <is>
          <t>2024004250110</t>
        </is>
      </c>
      <c r="J96" s="99">
        <v>1731206685</v>
      </c>
      <c r="K96" s="99">
        <v>563792574</v>
      </c>
      <c r="L96" s="99">
        <v>419977094</v>
      </c>
      <c r="M96" s="99">
        <v>392293344</v>
      </c>
      <c r="N96" s="99">
        <v>355143673</v>
      </c>
      <c r="O96" s="99">
        <v>216521758</v>
      </c>
      <c r="P96" s="99">
        <v>216521758</v>
      </c>
      <c r="Q96" s="99">
        <v>193659934</v>
      </c>
      <c r="R96" s="100">
        <v>0.384045069029235</v>
      </c>
      <c r="S96" t="inlineStr">
        <is>
          <t>Lo obligado está por debajo de lo programado en la vigencia</t>
        </is>
      </c>
      <c r="T96" s="101">
        <v>358661161</v>
      </c>
      <c r="U96" s="101">
        <v>212851351</v>
      </c>
      <c r="V96" s="101">
        <v>212851351</v>
      </c>
      <c r="W96" s="102">
        <v>0.50681657176284</v>
      </c>
      <c r="X96" t="inlineStr">
        <is>
          <t>Lo obligado está por debajo de lo programado en la vigencia</t>
        </is>
      </c>
    </row>
    <row r="97">
      <c r="A97" t="inlineStr">
        <is>
          <t>IP-100</t>
        </is>
      </c>
      <c r="B97" t="inlineStr">
        <is>
          <t>19</t>
        </is>
      </c>
      <c r="C97" t="inlineStr">
        <is>
          <t>Salud y protección social</t>
        </is>
      </c>
      <c r="D97" t="inlineStr">
        <is>
          <t>1905</t>
        </is>
      </c>
      <c r="E97" t="inlineStr">
        <is>
          <t>Salud pública</t>
        </is>
      </c>
      <c r="F97" t="inlineStr">
        <is>
          <t>1905050</t>
        </is>
      </c>
      <c r="G97" t="inlineStr">
        <is>
          <t>Servicio de asistencia técnica</t>
        </is>
      </c>
      <c r="H97"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97" t="inlineStr">
        <is>
          <t>2024004250097</t>
        </is>
      </c>
      <c r="J97" s="99">
        <v>1392820028</v>
      </c>
      <c r="K97" s="99">
        <v>268561396</v>
      </c>
      <c r="L97" s="99">
        <v>448878299</v>
      </c>
      <c r="M97" s="99">
        <v>364612776</v>
      </c>
      <c r="N97" s="99">
        <v>310767557</v>
      </c>
      <c r="O97" s="99">
        <v>203271786</v>
      </c>
      <c r="P97" s="99">
        <v>203271786</v>
      </c>
      <c r="Q97" s="99">
        <v>186569075</v>
      </c>
      <c r="R97" s="100">
        <v>0.756891306895054</v>
      </c>
      <c r="S97" t="inlineStr">
        <is>
          <t>Lo obligado está por debajo de lo programado en la vigencia</t>
        </is>
      </c>
      <c r="T97" s="101">
        <v>368517662</v>
      </c>
      <c r="U97" s="101">
        <v>241946106</v>
      </c>
      <c r="V97" s="101">
        <v>241946106</v>
      </c>
      <c r="W97" s="102">
        <v>0.539001565767384</v>
      </c>
      <c r="X97" t="inlineStr">
        <is>
          <t>Lo obligado está por debajo de lo programado en la vigencia</t>
        </is>
      </c>
    </row>
    <row r="98">
      <c r="A98" t="inlineStr">
        <is>
          <t>IP-101</t>
        </is>
      </c>
      <c r="B98" t="inlineStr">
        <is>
          <t>19</t>
        </is>
      </c>
      <c r="C98" t="inlineStr">
        <is>
          <t>Salud y protección social</t>
        </is>
      </c>
      <c r="D98" t="inlineStr">
        <is>
          <t>1905</t>
        </is>
      </c>
      <c r="E98" t="inlineStr">
        <is>
          <t>Salud pública</t>
        </is>
      </c>
      <c r="F98" t="inlineStr">
        <is>
          <t>1905050</t>
        </is>
      </c>
      <c r="G98" t="inlineStr">
        <is>
          <t>Servicio de asistencia técnica</t>
        </is>
      </c>
      <c r="H98"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98" t="inlineStr">
        <is>
          <t>2024004250100</t>
        </is>
      </c>
      <c r="J98" s="99">
        <v>3457711766</v>
      </c>
      <c r="K98" s="99">
        <v>727515402</v>
      </c>
      <c r="L98" s="99">
        <v>916564548</v>
      </c>
      <c r="M98" s="99">
        <v>913004008</v>
      </c>
      <c r="N98" s="99">
        <v>900627808</v>
      </c>
      <c r="O98" s="99">
        <v>294127752</v>
      </c>
      <c r="P98" s="99">
        <v>281188145</v>
      </c>
      <c r="Q98" s="99">
        <v>236397039</v>
      </c>
      <c r="R98" s="100">
        <v>0.38650473134588</v>
      </c>
      <c r="S98" t="inlineStr">
        <is>
          <t>Lo obligado está por debajo de lo programado en la vigencia</t>
        </is>
      </c>
      <c r="T98" s="101">
        <v>551786084</v>
      </c>
      <c r="U98" s="101">
        <v>215750263</v>
      </c>
      <c r="V98" s="101">
        <v>215750263</v>
      </c>
      <c r="W98" s="102">
        <v>0.235390146248598</v>
      </c>
      <c r="X98" t="inlineStr">
        <is>
          <t>Lo obligado está por debajo de lo programado en la vigencia</t>
        </is>
      </c>
    </row>
    <row r="99">
      <c r="A99" t="inlineStr">
        <is>
          <t>IP-102, IP-103, IP-104</t>
        </is>
      </c>
      <c r="B99" t="inlineStr">
        <is>
          <t>19</t>
        </is>
      </c>
      <c r="C99" t="inlineStr">
        <is>
          <t>Salud y protección social</t>
        </is>
      </c>
      <c r="D99" t="inlineStr">
        <is>
          <t>1905</t>
        </is>
      </c>
      <c r="E99" t="inlineStr">
        <is>
          <t>Salud pública</t>
        </is>
      </c>
      <c r="F99" t="inlineStr">
        <is>
          <t>1905028</t>
        </is>
      </c>
      <c r="G99" t="inlineStr">
        <is>
          <t>Servicio de gestión del riesgo para temas de consumo, aprovechamiento biológico, calidad e inocuidad de los alimentos</t>
        </is>
      </c>
      <c r="H99" t="inlineStr">
        <is>
          <t>Comprende acciones para disminuir la probabilidad de ocurrencia de eventos no deseados, evitables y negativos para la salud del individuo relacionado con la alimentación, como la obesidad, la desnutrición, la intoxicación, entre otros.</t>
        </is>
      </c>
      <c r="I99" t="inlineStr">
        <is>
          <t>2024004250042</t>
        </is>
      </c>
      <c r="J99" s="99">
        <v>4625702030</v>
      </c>
      <c r="K99" s="99">
        <v>1230513275</v>
      </c>
      <c r="L99" s="99">
        <v>1551603277</v>
      </c>
      <c r="M99" s="99">
        <v>1305842008</v>
      </c>
      <c r="N99" s="99">
        <v>537743470</v>
      </c>
      <c r="O99" s="99">
        <v>844194398</v>
      </c>
      <c r="P99" s="99">
        <v>837614937</v>
      </c>
      <c r="Q99" s="99">
        <v>644948337</v>
      </c>
      <c r="R99" s="100">
        <v>0.68070369821894</v>
      </c>
      <c r="S99" t="inlineStr">
        <is>
          <t>Lo obligado está por debajo de lo programado en la vigencia</t>
        </is>
      </c>
      <c r="T99" s="101">
        <v>367394227</v>
      </c>
      <c r="U99" s="101">
        <v>129177406</v>
      </c>
      <c r="V99" s="101">
        <v>129177406</v>
      </c>
      <c r="W99" s="102">
        <v>0.0832541461563309</v>
      </c>
      <c r="X99" t="inlineStr">
        <is>
          <t>Lo obligado está por debajo de lo programado en la vigencia</t>
        </is>
      </c>
    </row>
    <row r="100">
      <c r="A100" t="inlineStr">
        <is>
          <t>IP-105</t>
        </is>
      </c>
      <c r="B100" t="inlineStr">
        <is>
          <t>19</t>
        </is>
      </c>
      <c r="C100" t="inlineStr">
        <is>
          <t>Salud y protección social</t>
        </is>
      </c>
      <c r="D100" t="inlineStr">
        <is>
          <t>1905</t>
        </is>
      </c>
      <c r="E100" t="inlineStr">
        <is>
          <t>Salud pública</t>
        </is>
      </c>
      <c r="F100" t="inlineStr">
        <is>
          <t>1905050</t>
        </is>
      </c>
      <c r="G100" t="inlineStr">
        <is>
          <t>Servicio de asistencia técnica</t>
        </is>
      </c>
      <c r="H100"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100" t="inlineStr">
        <is>
          <t>2024004250110</t>
        </is>
      </c>
      <c r="J100" s="99">
        <v>694527690</v>
      </c>
      <c r="K100" s="99">
        <v>98235397</v>
      </c>
      <c r="L100" s="99">
        <v>267414609</v>
      </c>
      <c r="M100" s="99">
        <v>221726064</v>
      </c>
      <c r="N100" s="99">
        <v>107151620</v>
      </c>
      <c r="O100" s="99">
        <v>84002746</v>
      </c>
      <c r="P100" s="99">
        <v>59878056</v>
      </c>
      <c r="Q100" s="99">
        <v>53079280</v>
      </c>
      <c r="R100" s="100">
        <v>0.60953645863517</v>
      </c>
      <c r="S100" t="inlineStr">
        <is>
          <t>Lo obligado está por debajo de lo programado en la vigencia</t>
        </is>
      </c>
      <c r="T100" s="101">
        <v>206871971</v>
      </c>
      <c r="U100" s="101">
        <v>120831813</v>
      </c>
      <c r="V100" s="101">
        <v>120831813</v>
      </c>
      <c r="W100" s="102">
        <v>0.451851951738358</v>
      </c>
      <c r="X100" t="inlineStr">
        <is>
          <t>Lo obligado está por debajo de lo programado en la vigencia</t>
        </is>
      </c>
    </row>
    <row r="101">
      <c r="A101" t="inlineStr">
        <is>
          <t>IP-106, IP-93</t>
        </is>
      </c>
      <c r="B101" t="inlineStr">
        <is>
          <t>19</t>
        </is>
      </c>
      <c r="C101" t="inlineStr">
        <is>
          <t>Salud y protección social</t>
        </is>
      </c>
      <c r="D101" t="inlineStr">
        <is>
          <t>1905</t>
        </is>
      </c>
      <c r="E101" t="inlineStr">
        <is>
          <t>Salud pública</t>
        </is>
      </c>
      <c r="F101" t="inlineStr">
        <is>
          <t>1905050</t>
        </is>
      </c>
      <c r="G101" t="inlineStr">
        <is>
          <t>Servicio de asistencia técnica</t>
        </is>
      </c>
      <c r="H101"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101" t="inlineStr">
        <is>
          <t>2024004250050</t>
        </is>
      </c>
      <c r="J101" s="99">
        <v>98578747036</v>
      </c>
      <c r="K101" s="99">
        <v>19875936282</v>
      </c>
      <c r="L101" s="99">
        <v>41947182871</v>
      </c>
      <c r="M101" s="99">
        <v>23776415102</v>
      </c>
      <c r="N101" s="99">
        <v>12979212781</v>
      </c>
      <c r="O101" s="99">
        <v>2408014336</v>
      </c>
      <c r="P101" s="99">
        <v>2402071183</v>
      </c>
      <c r="Q101" s="99">
        <v>2256976587</v>
      </c>
      <c r="R101" s="100">
        <v>0.120853234228536</v>
      </c>
      <c r="S101" t="inlineStr">
        <is>
          <t>Lo obligado está por debajo de lo programado en la vigencia</t>
        </is>
      </c>
      <c r="T101" s="101">
        <v>4230258890</v>
      </c>
      <c r="U101" s="101">
        <v>2613877945</v>
      </c>
      <c r="V101" s="101">
        <v>2613877945</v>
      </c>
      <c r="W101" s="102">
        <v>0.0623135516165281</v>
      </c>
      <c r="X101" t="inlineStr">
        <is>
          <t>Lo obligado está por debajo de lo programado en la vigencia</t>
        </is>
      </c>
    </row>
    <row r="102">
      <c r="A102" t="inlineStr">
        <is>
          <t>IP-107</t>
        </is>
      </c>
      <c r="B102" t="inlineStr">
        <is>
          <t>19</t>
        </is>
      </c>
      <c r="C102" t="inlineStr">
        <is>
          <t>Salud y protección social</t>
        </is>
      </c>
      <c r="D102" t="inlineStr">
        <is>
          <t>1905</t>
        </is>
      </c>
      <c r="E102" t="inlineStr">
        <is>
          <t>Salud pública</t>
        </is>
      </c>
      <c r="F102" t="inlineStr">
        <is>
          <t>1905028</t>
        </is>
      </c>
      <c r="G102" t="inlineStr">
        <is>
          <t>Servicio de gestión del riesgo para temas de consumo, aprovechamiento biológico, calidad e inocuidad de los alimentos</t>
        </is>
      </c>
      <c r="H102" t="inlineStr">
        <is>
          <t>Comprende acciones para disminuir la probabilidad de ocurrencia de eventos no deseados, evitables y negativos para la salud del individuo relacionado con la alimentación, como la obesidad, la desnutrición, la intoxicación, entre otros.</t>
        </is>
      </c>
      <c r="I102" t="inlineStr">
        <is>
          <t>2024004250041</t>
        </is>
      </c>
      <c r="J102" s="99">
        <v>2451889670</v>
      </c>
      <c r="K102" s="99">
        <v>390830118</v>
      </c>
      <c r="L102" s="99">
        <v>748632856</v>
      </c>
      <c r="M102" s="99">
        <v>697951144</v>
      </c>
      <c r="N102" s="99">
        <v>614475552</v>
      </c>
      <c r="O102" s="99">
        <v>309187673</v>
      </c>
      <c r="P102" s="99">
        <v>309187673</v>
      </c>
      <c r="Q102" s="99">
        <v>294307662</v>
      </c>
      <c r="R102" s="100">
        <v>0.791105031982208</v>
      </c>
      <c r="S102" t="inlineStr">
        <is>
          <t>Lo obligado está por debajo de lo programado en la vigencia</t>
        </is>
      </c>
      <c r="T102" s="101">
        <v>458681099</v>
      </c>
      <c r="U102" s="101">
        <v>329185051</v>
      </c>
      <c r="V102" s="101">
        <v>329185051</v>
      </c>
      <c r="W102" s="102">
        <v>0.439714939521703</v>
      </c>
      <c r="X102" t="inlineStr">
        <is>
          <t>Lo obligado está por debajo de lo programado en la vigencia</t>
        </is>
      </c>
    </row>
    <row r="103">
      <c r="A103" t="inlineStr">
        <is>
          <t>IP-108</t>
        </is>
      </c>
      <c r="B103" t="inlineStr">
        <is>
          <t>22</t>
        </is>
      </c>
      <c r="C103" t="inlineStr">
        <is>
          <t>Educación</t>
        </is>
      </c>
      <c r="D103" t="inlineStr">
        <is>
          <t>2201</t>
        </is>
      </c>
      <c r="E103" t="inlineStr">
        <is>
          <t>Calidad, cobertura y fortalecimiento de la educación inicial, prescolar, básica y media</t>
        </is>
      </c>
      <c r="F103" t="inlineStr">
        <is>
          <t>2201081</t>
        </is>
      </c>
      <c r="G103" t="inlineStr">
        <is>
          <t>Servicio de apoyo a la atención integral para la convivencia escolar</t>
        </is>
      </c>
      <c r="H103" t="inlineStr">
        <is>
          <t>Incluye las acciones de promoción, prevención, atención y seguimiento a situaciones que afectan la convivencia escolar y el ejercicio de los derechos humanos sexuales y reproductivos  y que apoyan los procesos y procedimientos que en la materia adelantan las sedes educativas.</t>
        </is>
      </c>
      <c r="I103" t="inlineStr">
        <is>
          <t>2024004250018</t>
        </is>
      </c>
      <c r="J103" s="99">
        <v>849932421</v>
      </c>
      <c r="K103" s="99">
        <v>225000000</v>
      </c>
      <c r="L103" s="99">
        <v>129990000</v>
      </c>
      <c r="M103" s="99">
        <v>0</v>
      </c>
      <c r="N103" s="99">
        <v>494942421</v>
      </c>
      <c r="O103" s="99" t="inlineStr">
        <is>
          <t xml:space="preserve"> </t>
        </is>
      </c>
      <c r="P103" s="99" t="inlineStr">
        <is>
          <t xml:space="preserve"> </t>
        </is>
      </c>
      <c r="Q103" s="99" t="inlineStr">
        <is>
          <t xml:space="preserve"> </t>
        </is>
      </c>
      <c r="R103" s="100" t="inlineStr">
        <is>
          <t xml:space="preserve"> </t>
        </is>
      </c>
      <c r="S103" t="inlineStr">
        <is>
          <t>No se encontró ejecución en CUIPO</t>
        </is>
      </c>
      <c r="T103" s="101" t="inlineStr">
        <is>
          <t xml:space="preserve"> </t>
        </is>
      </c>
      <c r="U103" s="101" t="inlineStr">
        <is>
          <t xml:space="preserve"> </t>
        </is>
      </c>
      <c r="V103" s="101" t="inlineStr">
        <is>
          <t xml:space="preserve"> </t>
        </is>
      </c>
      <c r="W103" s="102" t="inlineStr">
        <is>
          <t xml:space="preserve"> </t>
        </is>
      </c>
      <c r="X103" t="inlineStr">
        <is>
          <t>No se encontró ejecución en CUIPO</t>
        </is>
      </c>
    </row>
    <row r="104">
      <c r="A104" t="inlineStr">
        <is>
          <t>IP-109</t>
        </is>
      </c>
      <c r="B104" t="inlineStr">
        <is>
          <t>22</t>
        </is>
      </c>
      <c r="C104" t="inlineStr">
        <is>
          <t>Educación</t>
        </is>
      </c>
      <c r="D104" t="inlineStr">
        <is>
          <t>2201</t>
        </is>
      </c>
      <c r="E104" t="inlineStr">
        <is>
          <t>Calidad, cobertura y fortalecimiento de la educación inicial, prescolar, básica y media</t>
        </is>
      </c>
      <c r="F104" t="inlineStr">
        <is>
          <t>2201071</t>
        </is>
      </c>
      <c r="G104" t="inlineStr">
        <is>
          <t>Servicio educativo</t>
        </is>
      </c>
      <c r="H104"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104" t="inlineStr">
        <is>
          <t>2024004250020</t>
        </is>
      </c>
      <c r="J104" s="99">
        <v>5506407303782</v>
      </c>
      <c r="K104" s="99">
        <v>996393213882</v>
      </c>
      <c r="L104" s="99">
        <v>1565498027896</v>
      </c>
      <c r="M104" s="99">
        <v>1519414605214</v>
      </c>
      <c r="N104" s="99">
        <v>1425101456790</v>
      </c>
      <c r="O104" s="99">
        <v>970387970682</v>
      </c>
      <c r="P104" s="99">
        <v>970353060572</v>
      </c>
      <c r="Q104" s="99">
        <v>957147796402</v>
      </c>
      <c r="R104" s="100">
        <v>0.973865585446386</v>
      </c>
      <c r="S104" t="inlineStr">
        <is>
          <t>Lo obligado está por debajo de lo programado en la vigencia</t>
        </is>
      </c>
      <c r="T104" s="101">
        <v>919142771974</v>
      </c>
      <c r="U104" s="101">
        <v>914875232080</v>
      </c>
      <c r="V104" s="101">
        <v>891516969422</v>
      </c>
      <c r="W104" s="102">
        <v>0.584398840354705</v>
      </c>
      <c r="X104" t="inlineStr">
        <is>
          <t>Lo obligado está por debajo de lo programado en la vigencia</t>
        </is>
      </c>
    </row>
    <row r="105">
      <c r="A105" t="inlineStr">
        <is>
          <t>IP-110</t>
        </is>
      </c>
      <c r="B105" t="inlineStr">
        <is>
          <t>22</t>
        </is>
      </c>
      <c r="C105" t="inlineStr">
        <is>
          <t>Educación</t>
        </is>
      </c>
      <c r="D105" t="inlineStr">
        <is>
          <t>2201</t>
        </is>
      </c>
      <c r="E105" t="inlineStr">
        <is>
          <t>Calidad, cobertura y fortalecimiento de la educación inicial, prescolar, básica y media</t>
        </is>
      </c>
      <c r="F105" t="inlineStr">
        <is>
          <t>2201037</t>
        </is>
      </c>
      <c r="G105" t="inlineStr">
        <is>
          <t>Servicio de atención integral para la primera infancia</t>
        </is>
      </c>
      <c r="H105" t="inlineStr">
        <is>
          <t>Incluye las acciones dirigidas a desarrollar los Planes de Atención Integral a la Primera Infancia</t>
        </is>
      </c>
      <c r="I105" t="inlineStr">
        <is>
          <t>2024004250018</t>
        </is>
      </c>
      <c r="J105" s="99">
        <v>1877953937</v>
      </c>
      <c r="K105" s="99">
        <v>432000000</v>
      </c>
      <c r="L105" s="99">
        <v>450000000</v>
      </c>
      <c r="M105" s="99">
        <v>600000000</v>
      </c>
      <c r="N105" s="99">
        <v>395953937</v>
      </c>
      <c r="O105" s="99">
        <v>432000000</v>
      </c>
      <c r="P105" s="99">
        <v>432000000</v>
      </c>
      <c r="Q105" s="99">
        <v>432000000</v>
      </c>
      <c r="R105" s="100">
        <v>1</v>
      </c>
      <c r="S105" t="inlineStr">
        <is>
          <t>Se ejecutó el 100% de lo programado en la vigencia</t>
        </is>
      </c>
      <c r="T105" s="101" t="inlineStr">
        <is>
          <t xml:space="preserve"> </t>
        </is>
      </c>
      <c r="U105" s="101" t="inlineStr">
        <is>
          <t xml:space="preserve"> </t>
        </is>
      </c>
      <c r="V105" s="101" t="inlineStr">
        <is>
          <t xml:space="preserve"> </t>
        </is>
      </c>
      <c r="W105" s="102" t="inlineStr">
        <is>
          <t xml:space="preserve"> </t>
        </is>
      </c>
      <c r="X105" t="inlineStr">
        <is>
          <t>No se encontró ejecución en CUIPO</t>
        </is>
      </c>
    </row>
    <row r="106">
      <c r="A106" t="inlineStr">
        <is>
          <t>IP-111</t>
        </is>
      </c>
      <c r="B106" t="inlineStr">
        <is>
          <t>22</t>
        </is>
      </c>
      <c r="C106" t="inlineStr">
        <is>
          <t>Educación</t>
        </is>
      </c>
      <c r="D106" t="inlineStr">
        <is>
          <t>2201</t>
        </is>
      </c>
      <c r="E106" t="inlineStr">
        <is>
          <t>Calidad, cobertura y fortalecimiento de la educación inicial, prescolar, básica y media</t>
        </is>
      </c>
      <c r="F106" t="inlineStr">
        <is>
          <t>2201084</t>
        </is>
      </c>
      <c r="G106" t="inlineStr">
        <is>
          <t>Servicio de apoyo pedagógico para  la oferta de educación inclusiva para preescolar, básica y media</t>
        </is>
      </c>
      <c r="H106" t="inlineStr">
        <is>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is>
      </c>
      <c r="I106" t="inlineStr">
        <is>
          <t>2024004250007</t>
        </is>
      </c>
      <c r="J106" s="99">
        <v>10227325469</v>
      </c>
      <c r="K106" s="99">
        <v>499040258</v>
      </c>
      <c r="L106" s="99">
        <v>2139975714</v>
      </c>
      <c r="M106" s="99">
        <v>2834149400</v>
      </c>
      <c r="N106" s="99">
        <v>4754160097</v>
      </c>
      <c r="O106" s="99">
        <v>51610002</v>
      </c>
      <c r="P106" s="99">
        <v>51610002</v>
      </c>
      <c r="Q106" s="99">
        <v>51610002</v>
      </c>
      <c r="R106" s="100">
        <v>0.103418514183279</v>
      </c>
      <c r="S106" t="inlineStr">
        <is>
          <t>Lo obligado está por debajo de lo programado en la vigencia</t>
        </is>
      </c>
      <c r="T106" s="101">
        <v>1779975714</v>
      </c>
      <c r="U106" s="101">
        <v>1758207792</v>
      </c>
      <c r="V106" s="101">
        <v>1758207792</v>
      </c>
      <c r="W106" s="102">
        <v>0.821601750196311</v>
      </c>
      <c r="X106" t="inlineStr">
        <is>
          <t>Lo obligado está por debajo de lo programado en la vigencia</t>
        </is>
      </c>
    </row>
    <row r="107">
      <c r="A107" t="inlineStr">
        <is>
          <t>IP-112</t>
        </is>
      </c>
      <c r="B107" t="inlineStr">
        <is>
          <t>22</t>
        </is>
      </c>
      <c r="C107" t="inlineStr">
        <is>
          <t>Educación</t>
        </is>
      </c>
      <c r="D107" t="inlineStr">
        <is>
          <t>2201</t>
        </is>
      </c>
      <c r="E107" t="inlineStr">
        <is>
          <t>Calidad, cobertura y fortalecimiento de la educación inicial, prescolar, básica y media</t>
        </is>
      </c>
      <c r="F107" t="inlineStr">
        <is>
          <t>2201069</t>
        </is>
      </c>
      <c r="G107" t="inlineStr">
        <is>
          <t>Infraestructura educativa dotada</t>
        </is>
      </c>
      <c r="H107"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07" t="inlineStr">
        <is>
          <t>2024004250007</t>
        </is>
      </c>
      <c r="J107" s="99">
        <v>9087810292</v>
      </c>
      <c r="K107" s="99">
        <v>3637949164</v>
      </c>
      <c r="L107" s="99">
        <v>2030742023</v>
      </c>
      <c r="M107" s="99">
        <v>900000000</v>
      </c>
      <c r="N107" s="99">
        <v>2519119105</v>
      </c>
      <c r="O107" s="99">
        <v>3599360850</v>
      </c>
      <c r="P107" s="99">
        <v>3599360850</v>
      </c>
      <c r="Q107" s="99">
        <v>1099360850</v>
      </c>
      <c r="R107" s="100">
        <v>0.989392838585581</v>
      </c>
      <c r="S107" t="inlineStr">
        <is>
          <t>Lo obligado está por debajo de lo programado en la vigencia</t>
        </is>
      </c>
      <c r="T107" s="101">
        <v>1190742023</v>
      </c>
      <c r="U107" s="101">
        <v>1110614871</v>
      </c>
      <c r="V107" s="101">
        <v>1110614871</v>
      </c>
      <c r="W107" s="102">
        <v>0.546901013728616</v>
      </c>
      <c r="X107" t="inlineStr">
        <is>
          <t>Lo obligado está por debajo de lo programado en la vigencia</t>
        </is>
      </c>
    </row>
    <row r="108">
      <c r="A108" t="inlineStr">
        <is>
          <t>IP-113</t>
        </is>
      </c>
      <c r="B108" t="inlineStr">
        <is>
          <t>22</t>
        </is>
      </c>
      <c r="C108" t="inlineStr">
        <is>
          <t>Educación</t>
        </is>
      </c>
      <c r="D108" t="inlineStr">
        <is>
          <t>2201</t>
        </is>
      </c>
      <c r="E108" t="inlineStr">
        <is>
          <t>Calidad, cobertura y fortalecimiento de la educación inicial, prescolar, básica y media</t>
        </is>
      </c>
      <c r="F108" t="inlineStr">
        <is>
          <t>2201079</t>
        </is>
      </c>
      <c r="G108" t="inlineStr">
        <is>
          <t>Servicio de apoyo financiero a entidades territoriales para la ejecución de estrategias de permanencia con alimentación escolar</t>
        </is>
      </c>
      <c r="H108" t="inlineStr">
        <is>
          <t xml:space="preserve">Corresponde a la entrega de recursos para apoyar la implementación de las estrategias de permanencia escolar desarrolladas por las entidades territoriales a través de alimentación escolar. </t>
        </is>
      </c>
      <c r="I108" t="inlineStr">
        <is>
          <t>2024004250001, 2024004250007</t>
        </is>
      </c>
      <c r="J108" s="99">
        <v>221471444667</v>
      </c>
      <c r="K108" s="99">
        <v>12673367660</v>
      </c>
      <c r="L108" s="99">
        <v>70521110225</v>
      </c>
      <c r="M108" s="99">
        <v>81298011782</v>
      </c>
      <c r="N108" s="99">
        <v>56978955000</v>
      </c>
      <c r="O108" s="99" t="inlineStr">
        <is>
          <t xml:space="preserve"> </t>
        </is>
      </c>
      <c r="P108" s="99" t="inlineStr">
        <is>
          <t xml:space="preserve"> </t>
        </is>
      </c>
      <c r="Q108" s="99" t="inlineStr">
        <is>
          <t xml:space="preserve"> </t>
        </is>
      </c>
      <c r="R108" s="100" t="inlineStr">
        <is>
          <t xml:space="preserve"> </t>
        </is>
      </c>
      <c r="S108" t="inlineStr">
        <is>
          <t>No se encontró ejecución en CUIPO</t>
        </is>
      </c>
      <c r="T108" s="101" t="inlineStr">
        <is>
          <t xml:space="preserve"> </t>
        </is>
      </c>
      <c r="U108" s="101" t="inlineStr">
        <is>
          <t xml:space="preserve"> </t>
        </is>
      </c>
      <c r="V108" s="101" t="inlineStr">
        <is>
          <t xml:space="preserve"> </t>
        </is>
      </c>
      <c r="W108" s="102" t="inlineStr">
        <is>
          <t xml:space="preserve"> </t>
        </is>
      </c>
      <c r="X108" t="inlineStr">
        <is>
          <t>No se encontró ejecución en CUIPO</t>
        </is>
      </c>
    </row>
    <row r="109">
      <c r="A109" t="inlineStr">
        <is>
          <t>IP-114</t>
        </is>
      </c>
      <c r="B109" t="inlineStr">
        <is>
          <t>22</t>
        </is>
      </c>
      <c r="C109" t="inlineStr">
        <is>
          <t>Educación</t>
        </is>
      </c>
      <c r="D109" t="inlineStr">
        <is>
          <t>2201</t>
        </is>
      </c>
      <c r="E109" t="inlineStr">
        <is>
          <t>Calidad, cobertura y fortalecimiento de la educación inicial, prescolar, básica y media</t>
        </is>
      </c>
      <c r="F109" t="inlineStr">
        <is>
          <t>2201029</t>
        </is>
      </c>
      <c r="G109" t="inlineStr">
        <is>
          <t>Servicio de apoyo a la permanencia con transporte escolar</t>
        </is>
      </c>
      <c r="H109" t="inlineStr">
        <is>
          <t>Incluye la implementación de estrategias de transporte escolar para fortalecer las acciones de retención estudiantil</t>
        </is>
      </c>
      <c r="I109" t="inlineStr">
        <is>
          <t>2024004250007</t>
        </is>
      </c>
      <c r="J109" s="99">
        <v>62498543685</v>
      </c>
      <c r="K109" s="99">
        <v>27926342010</v>
      </c>
      <c r="L109" s="99">
        <v>34572201675</v>
      </c>
      <c r="M109" s="99">
        <v>0</v>
      </c>
      <c r="N109" s="99">
        <v>0</v>
      </c>
      <c r="O109" s="99" t="inlineStr">
        <is>
          <t xml:space="preserve"> </t>
        </is>
      </c>
      <c r="P109" s="99" t="inlineStr">
        <is>
          <t xml:space="preserve"> </t>
        </is>
      </c>
      <c r="Q109" s="99" t="inlineStr">
        <is>
          <t xml:space="preserve"> </t>
        </is>
      </c>
      <c r="R109" s="100" t="inlineStr">
        <is>
          <t xml:space="preserve"> </t>
        </is>
      </c>
      <c r="S109" t="inlineStr">
        <is>
          <t>No se encontró ejecución en CUIPO</t>
        </is>
      </c>
      <c r="T109" s="101" t="inlineStr">
        <is>
          <t xml:space="preserve"> </t>
        </is>
      </c>
      <c r="U109" s="101" t="inlineStr">
        <is>
          <t xml:space="preserve"> </t>
        </is>
      </c>
      <c r="V109" s="101" t="inlineStr">
        <is>
          <t xml:space="preserve"> </t>
        </is>
      </c>
      <c r="W109" s="102" t="inlineStr">
        <is>
          <t xml:space="preserve"> </t>
        </is>
      </c>
      <c r="X109" t="inlineStr">
        <is>
          <t>No se encontró ejecución en CUIPO</t>
        </is>
      </c>
    </row>
    <row r="110">
      <c r="A110" t="inlineStr">
        <is>
          <t>IP-115</t>
        </is>
      </c>
      <c r="B110" t="inlineStr">
        <is>
          <t>22</t>
        </is>
      </c>
      <c r="C110" t="inlineStr">
        <is>
          <t>Educación</t>
        </is>
      </c>
      <c r="D110" t="inlineStr">
        <is>
          <t>2201</t>
        </is>
      </c>
      <c r="E110" t="inlineStr">
        <is>
          <t>Calidad, cobertura y fortalecimiento de la educación inicial, prescolar, básica y media</t>
        </is>
      </c>
      <c r="F110" t="inlineStr">
        <is>
          <t>2201050</t>
        </is>
      </c>
      <c r="G110" t="inlineStr">
        <is>
          <t>Servicio de accesibilidad a contenidos web para fines pedagógicos</t>
        </is>
      </c>
      <c r="H110" t="inlineStr">
        <is>
          <t>Corresponde a la instalación del servicio de internet en los establecimientos educativos para fines pedagógicos</t>
        </is>
      </c>
      <c r="I110" t="inlineStr">
        <is>
          <t>2024004250008</t>
        </is>
      </c>
      <c r="J110" s="99">
        <v>14531992320</v>
      </c>
      <c r="K110" s="99">
        <v>0</v>
      </c>
      <c r="L110" s="99">
        <v>4088992320</v>
      </c>
      <c r="M110" s="99">
        <v>6450000000</v>
      </c>
      <c r="N110" s="99">
        <v>3993000000</v>
      </c>
      <c r="O110" s="99" t="inlineStr">
        <is>
          <t xml:space="preserve"> </t>
        </is>
      </c>
      <c r="P110" s="99" t="inlineStr">
        <is>
          <t xml:space="preserve"> </t>
        </is>
      </c>
      <c r="Q110" s="99" t="inlineStr">
        <is>
          <t xml:space="preserve"> </t>
        </is>
      </c>
      <c r="R110" s="100" t="inlineStr">
        <is>
          <t xml:space="preserve"> </t>
        </is>
      </c>
      <c r="S110" t="inlineStr">
        <is>
          <t>No se encontró ejecución en CUIPO</t>
        </is>
      </c>
      <c r="T110" s="101">
        <v>4088992320</v>
      </c>
      <c r="U110" s="101">
        <v>0</v>
      </c>
      <c r="V110" s="101">
        <v>0</v>
      </c>
      <c r="W110" s="102">
        <v>0</v>
      </c>
      <c r="X110" t="inlineStr">
        <is>
          <t>No se ejecutó en la vigencia</t>
        </is>
      </c>
    </row>
    <row r="111">
      <c r="A111" t="inlineStr">
        <is>
          <t>IP-116</t>
        </is>
      </c>
      <c r="B111" t="inlineStr">
        <is>
          <t>22</t>
        </is>
      </c>
      <c r="C111" t="inlineStr">
        <is>
          <t>Educación</t>
        </is>
      </c>
      <c r="D111" t="inlineStr">
        <is>
          <t>2201</t>
        </is>
      </c>
      <c r="E111" t="inlineStr">
        <is>
          <t>Calidad, cobertura y fortalecimiento de la educación inicial, prescolar, básica y media</t>
        </is>
      </c>
      <c r="F111" t="inlineStr">
        <is>
          <t>2201069</t>
        </is>
      </c>
      <c r="G111" t="inlineStr">
        <is>
          <t>Infraestructura educativa dotada</t>
        </is>
      </c>
      <c r="H111"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11" t="inlineStr">
        <is>
          <t>2024004250008</t>
        </is>
      </c>
      <c r="J111" s="99">
        <v>30775476803</v>
      </c>
      <c r="K111" s="99">
        <v>0</v>
      </c>
      <c r="L111" s="99">
        <v>4999407087</v>
      </c>
      <c r="M111" s="99">
        <v>16000000000</v>
      </c>
      <c r="N111" s="99">
        <v>9776069716</v>
      </c>
      <c r="O111" s="99" t="inlineStr">
        <is>
          <t xml:space="preserve"> </t>
        </is>
      </c>
      <c r="P111" s="99" t="inlineStr">
        <is>
          <t xml:space="preserve"> </t>
        </is>
      </c>
      <c r="Q111" s="99" t="inlineStr">
        <is>
          <t xml:space="preserve"> </t>
        </is>
      </c>
      <c r="R111" s="100" t="inlineStr">
        <is>
          <t xml:space="preserve"> </t>
        </is>
      </c>
      <c r="S111" t="inlineStr">
        <is>
          <t>No se encontró ejecución en CUIPO</t>
        </is>
      </c>
      <c r="T111" s="101">
        <v>4766142611</v>
      </c>
      <c r="U111" s="101">
        <v>566142611</v>
      </c>
      <c r="V111" s="101">
        <v>566142611</v>
      </c>
      <c r="W111" s="102">
        <v>0.113241950724946</v>
      </c>
      <c r="X111" t="inlineStr">
        <is>
          <t>Lo obligado está por debajo de lo programado en la vigencia</t>
        </is>
      </c>
    </row>
    <row r="112">
      <c r="A112" t="inlineStr">
        <is>
          <t>IP-117</t>
        </is>
      </c>
      <c r="B112" t="inlineStr">
        <is>
          <t>22</t>
        </is>
      </c>
      <c r="C112" t="inlineStr">
        <is>
          <t>Educación</t>
        </is>
      </c>
      <c r="D112" t="inlineStr">
        <is>
          <t>2201</t>
        </is>
      </c>
      <c r="E112" t="inlineStr">
        <is>
          <t>Calidad, cobertura y fortalecimiento de la educación inicial, prescolar, básica y media</t>
        </is>
      </c>
      <c r="F112" t="inlineStr">
        <is>
          <t>2201032</t>
        </is>
      </c>
      <c r="G112" t="inlineStr">
        <is>
          <t>Servicio de alfabetización</t>
        </is>
      </c>
      <c r="H112" t="inlineStr">
        <is>
          <t>Procesos de formación encaminados a la enseñanza de la lectura y la escritura a población joven y adulta iletrada</t>
        </is>
      </c>
      <c r="I112" t="inlineStr">
        <is>
          <t>2024004250007</t>
        </is>
      </c>
      <c r="J112" s="99">
        <v>160000000</v>
      </c>
      <c r="K112" s="99">
        <v>0</v>
      </c>
      <c r="L112" s="99">
        <v>0</v>
      </c>
      <c r="M112" s="99">
        <v>60000000</v>
      </c>
      <c r="N112" s="99">
        <v>100000000</v>
      </c>
      <c r="O112" s="99" t="inlineStr">
        <is>
          <t xml:space="preserve"> </t>
        </is>
      </c>
      <c r="P112" s="99" t="inlineStr">
        <is>
          <t xml:space="preserve"> </t>
        </is>
      </c>
      <c r="Q112" s="99" t="inlineStr">
        <is>
          <t xml:space="preserve"> </t>
        </is>
      </c>
      <c r="R112" s="100" t="inlineStr">
        <is>
          <t xml:space="preserve"> </t>
        </is>
      </c>
      <c r="S112" t="inlineStr">
        <is>
          <t>No se encontró ejecución en CUIPO</t>
        </is>
      </c>
      <c r="T112" s="101" t="inlineStr">
        <is>
          <t xml:space="preserve"> </t>
        </is>
      </c>
      <c r="U112" s="101" t="inlineStr">
        <is>
          <t xml:space="preserve"> </t>
        </is>
      </c>
      <c r="V112" s="101" t="inlineStr">
        <is>
          <t xml:space="preserve"> </t>
        </is>
      </c>
      <c r="W112" s="102" t="inlineStr">
        <is>
          <t xml:space="preserve"> </t>
        </is>
      </c>
      <c r="X112" t="inlineStr">
        <is>
          <t>No se encontró ejecución en CUIPO</t>
        </is>
      </c>
    </row>
    <row r="113">
      <c r="A113" t="inlineStr">
        <is>
          <t>IP-118</t>
        </is>
      </c>
      <c r="B113" t="inlineStr">
        <is>
          <t>22</t>
        </is>
      </c>
      <c r="C113" t="inlineStr">
        <is>
          <t>Educación</t>
        </is>
      </c>
      <c r="D113" t="inlineStr">
        <is>
          <t>2201</t>
        </is>
      </c>
      <c r="E113" t="inlineStr">
        <is>
          <t>Calidad, cobertura y fortalecimiento de la educación inicial, prescolar, básica y media</t>
        </is>
      </c>
      <c r="F113" t="inlineStr">
        <is>
          <t>2201074</t>
        </is>
      </c>
      <c r="G113" t="inlineStr">
        <is>
          <t>Servicio de fortalecimiento a las capacidades de los docentes de educación Inicial, preescolar, básica y media</t>
        </is>
      </c>
      <c r="H113" t="inlineStr">
        <is>
          <t>Incluye el apoyo prestado a docentes, directivos docentes y agentes educativos para la realización de estudios en los diferentes niveles educativos con el fin de que estos fortalezcan sus capacidades.</t>
        </is>
      </c>
      <c r="I113" t="inlineStr">
        <is>
          <t>2024004250018</t>
        </is>
      </c>
      <c r="J113" s="99">
        <v>2750242312</v>
      </c>
      <c r="K113" s="99">
        <v>0</v>
      </c>
      <c r="L113" s="99">
        <v>1913226951</v>
      </c>
      <c r="M113" s="99">
        <v>342072940</v>
      </c>
      <c r="N113" s="99">
        <v>494942421</v>
      </c>
      <c r="O113" s="99" t="inlineStr">
        <is>
          <t xml:space="preserve"> </t>
        </is>
      </c>
      <c r="P113" s="99" t="inlineStr">
        <is>
          <t xml:space="preserve"> </t>
        </is>
      </c>
      <c r="Q113" s="99" t="inlineStr">
        <is>
          <t xml:space="preserve"> </t>
        </is>
      </c>
      <c r="R113" s="100" t="inlineStr">
        <is>
          <t xml:space="preserve"> </t>
        </is>
      </c>
      <c r="S113" t="inlineStr">
        <is>
          <t>No se encontró ejecución en CUIPO</t>
        </is>
      </c>
      <c r="T113" s="101" t="inlineStr">
        <is>
          <t xml:space="preserve"> </t>
        </is>
      </c>
      <c r="U113" s="101" t="inlineStr">
        <is>
          <t xml:space="preserve"> </t>
        </is>
      </c>
      <c r="V113" s="101" t="inlineStr">
        <is>
          <t xml:space="preserve"> </t>
        </is>
      </c>
      <c r="W113" s="102" t="inlineStr">
        <is>
          <t xml:space="preserve"> </t>
        </is>
      </c>
      <c r="X113" t="inlineStr">
        <is>
          <t>No se encontró ejecución en CUIPO</t>
        </is>
      </c>
    </row>
    <row r="114">
      <c r="A114" t="inlineStr">
        <is>
          <t>IP-119</t>
        </is>
      </c>
      <c r="B114" t="inlineStr">
        <is>
          <t>22</t>
        </is>
      </c>
      <c r="C114" t="inlineStr">
        <is>
          <t>Educación</t>
        </is>
      </c>
      <c r="D114" t="inlineStr">
        <is>
          <t>2201</t>
        </is>
      </c>
      <c r="E114" t="inlineStr">
        <is>
          <t>Calidad, cobertura y fortalecimiento de la educación inicial, prescolar, básica y media</t>
        </is>
      </c>
      <c r="F114" t="inlineStr">
        <is>
          <t>2201046</t>
        </is>
      </c>
      <c r="G114" t="inlineStr">
        <is>
          <t>Servicios de asistencia técnica en innovación educativa en la educación inicial, preescolar, básica y media</t>
        </is>
      </c>
      <c r="H114" t="inlineStr">
        <is>
          <t>Es el servicio que se presta para generar y fortalecer la capacidad institucional de entidades públicas y privadas en temas de innovación educativa en la educación inicial, preescolar, básica y media </t>
        </is>
      </c>
      <c r="I114" t="inlineStr">
        <is>
          <t>2024004250018</t>
        </is>
      </c>
      <c r="J114" s="99">
        <v>1304884842</v>
      </c>
      <c r="K114" s="99">
        <v>143000000</v>
      </c>
      <c r="L114" s="99">
        <v>222000000</v>
      </c>
      <c r="M114" s="99">
        <v>0</v>
      </c>
      <c r="N114" s="99">
        <v>939884842</v>
      </c>
      <c r="O114" s="99" t="inlineStr">
        <is>
          <t xml:space="preserve"> </t>
        </is>
      </c>
      <c r="P114" s="99" t="inlineStr">
        <is>
          <t xml:space="preserve"> </t>
        </is>
      </c>
      <c r="Q114" s="99" t="inlineStr">
        <is>
          <t xml:space="preserve"> </t>
        </is>
      </c>
      <c r="R114" s="100" t="inlineStr">
        <is>
          <t xml:space="preserve"> </t>
        </is>
      </c>
      <c r="S114" t="inlineStr">
        <is>
          <t>No se encontró ejecución en CUIPO</t>
        </is>
      </c>
      <c r="T114" s="101">
        <v>222000000</v>
      </c>
      <c r="U114" s="101">
        <v>0</v>
      </c>
      <c r="V114" s="101">
        <v>0</v>
      </c>
      <c r="W114" s="102">
        <v>0</v>
      </c>
      <c r="X114" t="inlineStr">
        <is>
          <t>No se ejecutó en la vigencia</t>
        </is>
      </c>
    </row>
    <row r="115">
      <c r="A115" t="inlineStr">
        <is>
          <t>IP-120, IP-122</t>
        </is>
      </c>
      <c r="B115" t="inlineStr">
        <is>
          <t>22</t>
        </is>
      </c>
      <c r="C115" t="inlineStr">
        <is>
          <t>Educación</t>
        </is>
      </c>
      <c r="D115" t="inlineStr">
        <is>
          <t>2201</t>
        </is>
      </c>
      <c r="E115" t="inlineStr">
        <is>
          <t>Calidad, cobertura y fortalecimiento de la educación inicial, prescolar, básica y media</t>
        </is>
      </c>
      <c r="F115" t="inlineStr">
        <is>
          <t>2201056</t>
        </is>
      </c>
      <c r="G115" t="inlineStr">
        <is>
          <t>Servicio de acompañamiento para el desarrollo de modelos educativos interculturales</t>
        </is>
      </c>
      <c r="H115" t="inlineStr">
        <is>
          <t>Incluye las acciones de  acompañamiento en la construcción concertada y participativa de las fases de los modelos educativos:  formulación, diseño y ajuste e implementación.</t>
        </is>
      </c>
      <c r="I115" t="inlineStr">
        <is>
          <t>2024004250018</t>
        </is>
      </c>
      <c r="J115" s="99">
        <v>2448856600</v>
      </c>
      <c r="K115" s="99">
        <v>600000000</v>
      </c>
      <c r="L115" s="99">
        <v>558466000</v>
      </c>
      <c r="M115" s="99">
        <v>400000000</v>
      </c>
      <c r="N115" s="99">
        <v>890390600</v>
      </c>
      <c r="O115" s="99">
        <v>350000000</v>
      </c>
      <c r="P115" s="99">
        <v>350000000</v>
      </c>
      <c r="Q115" s="99">
        <v>350000000</v>
      </c>
      <c r="R115" s="100">
        <v>0.583333333333333</v>
      </c>
      <c r="S115" t="inlineStr">
        <is>
          <t>Lo obligado está por debajo de lo programado en la vigencia</t>
        </is>
      </c>
      <c r="T115" s="101">
        <v>249320000</v>
      </c>
      <c r="U115" s="101">
        <v>79690000</v>
      </c>
      <c r="V115" s="101">
        <v>79690000</v>
      </c>
      <c r="W115" s="102">
        <v>0.142694452303274</v>
      </c>
      <c r="X115" t="inlineStr">
        <is>
          <t>Lo obligado está por debajo de lo programado en la vigencia</t>
        </is>
      </c>
    </row>
    <row r="116">
      <c r="A116" t="inlineStr">
        <is>
          <t>IP-121</t>
        </is>
      </c>
      <c r="B116" t="inlineStr">
        <is>
          <t>22</t>
        </is>
      </c>
      <c r="C116" t="inlineStr">
        <is>
          <t>Educación</t>
        </is>
      </c>
      <c r="D116" t="inlineStr">
        <is>
          <t>2201</t>
        </is>
      </c>
      <c r="E116" t="inlineStr">
        <is>
          <t>Calidad, cobertura y fortalecimiento de la educación inicial, prescolar, básica y media</t>
        </is>
      </c>
      <c r="F116" t="inlineStr">
        <is>
          <t>2201034</t>
        </is>
      </c>
      <c r="G116" t="inlineStr">
        <is>
          <t>Servicio educativos de promoción del bilingüismo</t>
        </is>
      </c>
      <c r="H116" t="inlineStr">
        <is>
          <t xml:space="preserve">Procesos de formación para el desarrollo de competencias en un segundo idioma </t>
        </is>
      </c>
      <c r="I116" t="inlineStr">
        <is>
          <t>2024004250018</t>
        </is>
      </c>
      <c r="J116" s="99">
        <v>2994754906</v>
      </c>
      <c r="K116" s="99">
        <v>1000000000</v>
      </c>
      <c r="L116" s="99">
        <v>970824000</v>
      </c>
      <c r="M116" s="99">
        <v>480000000</v>
      </c>
      <c r="N116" s="99">
        <v>543930906</v>
      </c>
      <c r="O116" s="99">
        <v>700000000</v>
      </c>
      <c r="P116" s="99">
        <v>700000000</v>
      </c>
      <c r="Q116" s="99">
        <v>700000000</v>
      </c>
      <c r="R116" s="100">
        <v>0.7</v>
      </c>
      <c r="S116" t="inlineStr">
        <is>
          <t>Lo obligado está por debajo de lo programado en la vigencia</t>
        </is>
      </c>
      <c r="T116" s="101">
        <v>970824000</v>
      </c>
      <c r="U116" s="101">
        <v>38912000</v>
      </c>
      <c r="V116" s="101">
        <v>17912000</v>
      </c>
      <c r="W116" s="102">
        <v>0.0400814153749804</v>
      </c>
      <c r="X116" t="inlineStr">
        <is>
          <t>Lo obligado está por debajo de lo programado en la vigencia</t>
        </is>
      </c>
    </row>
    <row r="117">
      <c r="A117" t="inlineStr">
        <is>
          <t>IP-123</t>
        </is>
      </c>
      <c r="B117" t="inlineStr">
        <is>
          <t>22</t>
        </is>
      </c>
      <c r="C117" t="inlineStr">
        <is>
          <t>Educación</t>
        </is>
      </c>
      <c r="D117" t="inlineStr">
        <is>
          <t>2201</t>
        </is>
      </c>
      <c r="E117" t="inlineStr">
        <is>
          <t>Calidad, cobertura y fortalecimiento de la educación inicial, prescolar, básica y media</t>
        </is>
      </c>
      <c r="F117" t="inlineStr">
        <is>
          <t>2201047</t>
        </is>
      </c>
      <c r="G117" t="inlineStr">
        <is>
          <t>Servicios de apoyo a la implementación de modelos de innovación educativa</t>
        </is>
      </c>
      <c r="H117" t="inlineStr">
        <is>
          <t>Corresponde a la implementación de ideas, procesos y estrategias de innovación educativa en la educación inicial preescolar básica y media</t>
        </is>
      </c>
      <c r="I117" t="inlineStr">
        <is>
          <t>2024004250018</t>
        </is>
      </c>
      <c r="J117" s="99">
        <v>1779488485</v>
      </c>
      <c r="K117" s="99">
        <v>0</v>
      </c>
      <c r="L117" s="99">
        <v>1199718800</v>
      </c>
      <c r="M117" s="99">
        <v>180000000</v>
      </c>
      <c r="N117" s="99">
        <v>399769685</v>
      </c>
      <c r="O117" s="99" t="inlineStr">
        <is>
          <t xml:space="preserve"> </t>
        </is>
      </c>
      <c r="P117" s="99" t="inlineStr">
        <is>
          <t xml:space="preserve"> </t>
        </is>
      </c>
      <c r="Q117" s="99" t="inlineStr">
        <is>
          <t xml:space="preserve"> </t>
        </is>
      </c>
      <c r="R117" s="100" t="inlineStr">
        <is>
          <t xml:space="preserve"> </t>
        </is>
      </c>
      <c r="S117" t="inlineStr">
        <is>
          <t>No se encontró ejecución en CUIPO</t>
        </is>
      </c>
      <c r="T117" s="101">
        <v>1199718800</v>
      </c>
      <c r="U117" s="101">
        <v>0</v>
      </c>
      <c r="V117" s="101">
        <v>0</v>
      </c>
      <c r="W117" s="102">
        <v>0</v>
      </c>
      <c r="X117" t="inlineStr">
        <is>
          <t>No se ejecutó en la vigencia</t>
        </is>
      </c>
    </row>
    <row r="118">
      <c r="A118" t="inlineStr">
        <is>
          <t>IP-124</t>
        </is>
      </c>
      <c r="B118" t="inlineStr">
        <is>
          <t>22</t>
        </is>
      </c>
      <c r="C118" t="inlineStr">
        <is>
          <t>Educación</t>
        </is>
      </c>
      <c r="D118" t="inlineStr">
        <is>
          <t>2201</t>
        </is>
      </c>
      <c r="E118" t="inlineStr">
        <is>
          <t>Calidad, cobertura y fortalecimiento de la educación inicial, prescolar, básica y media</t>
        </is>
      </c>
      <c r="F118" t="inlineStr">
        <is>
          <t>2201073</t>
        </is>
      </c>
      <c r="G118" t="inlineStr">
        <is>
          <t>Servicio de evaluación de la calidad de la educación inicial, preescolar, básica y media</t>
        </is>
      </c>
      <c r="H118" t="inlineStr">
        <is>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is>
      </c>
      <c r="I118" t="inlineStr">
        <is>
          <t>2024004250018</t>
        </is>
      </c>
      <c r="J118" s="99">
        <v>18747698237</v>
      </c>
      <c r="K118" s="99">
        <v>2955375032</v>
      </c>
      <c r="L118" s="99">
        <v>6999909573</v>
      </c>
      <c r="M118" s="99">
        <v>5000000000</v>
      </c>
      <c r="N118" s="99">
        <v>3792413632</v>
      </c>
      <c r="O118" s="99">
        <v>2946800000</v>
      </c>
      <c r="P118" s="99">
        <v>2946800000</v>
      </c>
      <c r="Q118" s="99">
        <v>2946800000</v>
      </c>
      <c r="R118" s="100">
        <v>0.997098496161349</v>
      </c>
      <c r="S118" t="inlineStr">
        <is>
          <t>Lo obligado está por debajo de lo programado en la vigencia</t>
        </is>
      </c>
      <c r="T118" s="101">
        <v>6999909573</v>
      </c>
      <c r="U118" s="101">
        <v>5960657826</v>
      </c>
      <c r="V118" s="101">
        <v>2483599941</v>
      </c>
      <c r="W118" s="102">
        <v>0.851533546803434</v>
      </c>
      <c r="X118" t="inlineStr">
        <is>
          <t>Lo obligado está por debajo de lo programado en la vigencia</t>
        </is>
      </c>
    </row>
    <row r="119">
      <c r="A119" t="inlineStr">
        <is>
          <t>IP-125</t>
        </is>
      </c>
      <c r="B119" t="inlineStr">
        <is>
          <t>22</t>
        </is>
      </c>
      <c r="C119" t="inlineStr">
        <is>
          <t>Educación</t>
        </is>
      </c>
      <c r="D119" t="inlineStr">
        <is>
          <t>2201</t>
        </is>
      </c>
      <c r="E119" t="inlineStr">
        <is>
          <t>Calidad, cobertura y fortalecimiento de la educación inicial, prescolar, básica y media</t>
        </is>
      </c>
      <c r="F119" t="inlineStr">
        <is>
          <t>2201061</t>
        </is>
      </c>
      <c r="G119" t="inlineStr">
        <is>
          <t>Servicio de apoyo a proyectos pedagógicos productivos</t>
        </is>
      </c>
      <c r="H119" t="inlineStr">
        <is>
          <t>Corresponden al apoyo financiero o en especie para la implementación de proyectos pedagógicos productivos.</t>
        </is>
      </c>
      <c r="I119" t="inlineStr">
        <is>
          <t>2024004250018</t>
        </is>
      </c>
      <c r="J119" s="99">
        <v>1115953937</v>
      </c>
      <c r="K119" s="99">
        <v>270000000</v>
      </c>
      <c r="L119" s="99">
        <v>270000000</v>
      </c>
      <c r="M119" s="99">
        <v>180000000</v>
      </c>
      <c r="N119" s="99">
        <v>395953937</v>
      </c>
      <c r="O119" s="99">
        <v>270000000</v>
      </c>
      <c r="P119" s="99">
        <v>270000000</v>
      </c>
      <c r="Q119" s="99">
        <v>270000000</v>
      </c>
      <c r="R119" s="100">
        <v>1</v>
      </c>
      <c r="S119" t="inlineStr">
        <is>
          <t>Se ejecutó el 100% de lo programado en la vigencia</t>
        </is>
      </c>
      <c r="T119" s="101">
        <v>270000000</v>
      </c>
      <c r="U119" s="101">
        <v>270000000</v>
      </c>
      <c r="V119" s="101">
        <v>270000000</v>
      </c>
      <c r="W119" s="102">
        <v>1</v>
      </c>
      <c r="X119" t="inlineStr">
        <is>
          <t>Se ejecutó el 100% de lo programado en la vigencia</t>
        </is>
      </c>
    </row>
    <row r="120">
      <c r="A120" t="inlineStr">
        <is>
          <t>IP-126</t>
        </is>
      </c>
      <c r="B120" t="inlineStr">
        <is>
          <t>22</t>
        </is>
      </c>
      <c r="C120" t="inlineStr">
        <is>
          <t>Educación</t>
        </is>
      </c>
      <c r="D120" t="inlineStr">
        <is>
          <t>2201</t>
        </is>
      </c>
      <c r="E120" t="inlineStr">
        <is>
          <t>Calidad, cobertura y fortalecimiento de la educación inicial, prescolar, básica y media</t>
        </is>
      </c>
      <c r="F120" t="inlineStr">
        <is>
          <t>2201061</t>
        </is>
      </c>
      <c r="G120" t="inlineStr">
        <is>
          <t>Servicio de apoyo a proyectos pedagógicos productivos</t>
        </is>
      </c>
      <c r="H120" t="inlineStr">
        <is>
          <t>Corresponden al apoyo financiero o en especie para la implementación de proyectos pedagógicos productivos.</t>
        </is>
      </c>
      <c r="I120" t="inlineStr">
        <is>
          <t>2024004250017</t>
        </is>
      </c>
      <c r="J120" s="99">
        <v>1203965453</v>
      </c>
      <c r="K120" s="99">
        <v>7000000</v>
      </c>
      <c r="L120" s="99">
        <v>600000000</v>
      </c>
      <c r="M120" s="99">
        <v>300000000</v>
      </c>
      <c r="N120" s="99">
        <v>296965453</v>
      </c>
      <c r="O120" s="99">
        <v>7000000</v>
      </c>
      <c r="P120" s="99">
        <v>7000000</v>
      </c>
      <c r="Q120" s="99">
        <v>7000000</v>
      </c>
      <c r="R120" s="100">
        <v>1</v>
      </c>
      <c r="S120" t="inlineStr">
        <is>
          <t>Se ejecutó el 100% de lo programado en la vigencia</t>
        </is>
      </c>
      <c r="T120" s="101">
        <v>600000000</v>
      </c>
      <c r="U120" s="101">
        <v>484252752</v>
      </c>
      <c r="V120" s="101">
        <v>484252752</v>
      </c>
      <c r="W120" s="102">
        <v>0.80708792</v>
      </c>
      <c r="X120" t="inlineStr">
        <is>
          <t>Lo obligado está por debajo de lo programado en la vigencia</t>
        </is>
      </c>
    </row>
    <row r="121">
      <c r="A121" t="inlineStr">
        <is>
          <t>IP-127</t>
        </is>
      </c>
      <c r="B121" t="inlineStr">
        <is>
          <t>39</t>
        </is>
      </c>
      <c r="C121" t="inlineStr">
        <is>
          <t xml:space="preserve">Ciencia, tecnología e innovación
</t>
        </is>
      </c>
      <c r="D121" t="inlineStr">
        <is>
          <t>3906</t>
        </is>
      </c>
      <c r="E121" t="inlineStr">
        <is>
          <t>Fomento a vocaciones y formación, generación, uso y apropiación social del conocimiento de la ciencia, tecnología e innovación</t>
        </is>
      </c>
      <c r="F121" t="inlineStr">
        <is>
          <t>3906001</t>
        </is>
      </c>
      <c r="G121" t="inlineStr">
        <is>
          <t>Servicio de apoyo financiero para el fortalecimiento de las vocaciones científicas en CTI</t>
        </is>
      </c>
      <c r="H121" t="inlineStr">
        <is>
          <t>Servicio mediante el cual se otorga apoyo financiero para incentivar las vocaciones científicas en niños, niñas y adolescentes mediante las cuales se promueve el desarrollo de actitudes y habilidades de investigación en CTI</t>
        </is>
      </c>
      <c r="I121" t="inlineStr">
        <is>
          <t>2024004250104</t>
        </is>
      </c>
      <c r="J121" s="99">
        <v>652087500</v>
      </c>
      <c r="K121" s="99">
        <v>100000000</v>
      </c>
      <c r="L121" s="99">
        <v>194087500</v>
      </c>
      <c r="M121" s="99">
        <v>298000000</v>
      </c>
      <c r="N121" s="99">
        <v>60000000</v>
      </c>
      <c r="O121" s="99">
        <v>100000000</v>
      </c>
      <c r="P121" s="99">
        <v>100000000</v>
      </c>
      <c r="Q121" s="99">
        <v>100000000</v>
      </c>
      <c r="R121" s="100">
        <v>1</v>
      </c>
      <c r="S121" t="inlineStr">
        <is>
          <t>Se ejecutó el 100% de lo programado en la vigencia</t>
        </is>
      </c>
      <c r="T121" s="101">
        <v>157600000</v>
      </c>
      <c r="U121" s="101">
        <v>56235000</v>
      </c>
      <c r="V121" s="101">
        <v>56235000</v>
      </c>
      <c r="W121" s="102">
        <v>0.289740452115669</v>
      </c>
      <c r="X121" t="inlineStr">
        <is>
          <t>Lo obligado está por debajo de lo programado en la vigencia</t>
        </is>
      </c>
    </row>
    <row r="122">
      <c r="A122" t="inlineStr">
        <is>
          <t>IP-128</t>
        </is>
      </c>
      <c r="B122" t="inlineStr">
        <is>
          <t>22</t>
        </is>
      </c>
      <c r="C122" t="inlineStr">
        <is>
          <t>Educación</t>
        </is>
      </c>
      <c r="D122" t="inlineStr">
        <is>
          <t>2202</t>
        </is>
      </c>
      <c r="E122" t="inlineStr">
        <is>
          <t>Calidad y fomento de la educación superior</t>
        </is>
      </c>
      <c r="F122" t="inlineStr">
        <is>
          <t>2202073</t>
        </is>
      </c>
      <c r="G122" t="inlineStr">
        <is>
          <t xml:space="preserve">Servicio de fomento para la regionalización en la educación superior </t>
        </is>
      </c>
      <c r="H122" t="inlineStr">
        <is>
          <t>Incluye el desarrollo de estrategias de regionalización para el fomento de la educación superior .</t>
        </is>
      </c>
      <c r="I122" t="inlineStr">
        <is>
          <t>2024004250021</t>
        </is>
      </c>
      <c r="J122" s="99">
        <v>7058220709</v>
      </c>
      <c r="K122" s="99">
        <v>1700000000</v>
      </c>
      <c r="L122" s="99">
        <v>3500000000</v>
      </c>
      <c r="M122" s="99">
        <v>1437580000</v>
      </c>
      <c r="N122" s="99">
        <v>420640709</v>
      </c>
      <c r="O122" s="99">
        <v>1587460000</v>
      </c>
      <c r="P122" s="99">
        <v>809604600</v>
      </c>
      <c r="Q122" s="99">
        <v>476238000</v>
      </c>
      <c r="R122" s="100">
        <v>0.476238</v>
      </c>
      <c r="S122" t="inlineStr">
        <is>
          <t>Lo obligado está por debajo de lo programado en la vigencia</t>
        </is>
      </c>
      <c r="T122" s="101">
        <v>59000000</v>
      </c>
      <c r="U122" s="101">
        <v>26000000</v>
      </c>
      <c r="V122" s="101">
        <v>26000000</v>
      </c>
      <c r="W122" s="102">
        <v>0.00742857142857143</v>
      </c>
      <c r="X122" t="inlineStr">
        <is>
          <t>Lo obligado está por debajo de lo programado en la vigencia</t>
        </is>
      </c>
    </row>
    <row r="123">
      <c r="A123" t="inlineStr">
        <is>
          <t>IP-129</t>
        </is>
      </c>
      <c r="B123" t="inlineStr">
        <is>
          <t>22</t>
        </is>
      </c>
      <c r="C123" t="inlineStr">
        <is>
          <t>Educación</t>
        </is>
      </c>
      <c r="D123" t="inlineStr">
        <is>
          <t>2202</t>
        </is>
      </c>
      <c r="E123" t="inlineStr">
        <is>
          <t>Calidad y fomento de la educación superior</t>
        </is>
      </c>
      <c r="F123" t="inlineStr">
        <is>
          <t>2202068</t>
        </is>
      </c>
      <c r="G123" t="inlineStr">
        <is>
          <t>Servicio de innovación pedagógica en la educación  superior</t>
        </is>
      </c>
      <c r="H123" t="inlineStr">
        <is>
          <t>Incluye las acciones orientadas a proponer la incorporación de metodologías y enfoques disruptivos, el uso de tecnologías digitales, procesos de apropiación digital, el monitoreo de resultados,  la sistematización y el intercambio de experiencias pedagógicas innovadoras en las prácticas educativas para fortalecer el aprendizaje autónomo, crítico, reflexivo, diverso y significativo.</t>
        </is>
      </c>
      <c r="I123" t="inlineStr">
        <is>
          <t>2024004250021</t>
        </is>
      </c>
      <c r="J123" s="99">
        <v>2700000000</v>
      </c>
      <c r="K123" s="99">
        <v>0</v>
      </c>
      <c r="L123" s="99">
        <v>300000000</v>
      </c>
      <c r="M123" s="99">
        <v>2000000000</v>
      </c>
      <c r="N123" s="99">
        <v>400000000</v>
      </c>
      <c r="O123" s="99" t="inlineStr">
        <is>
          <t xml:space="preserve"> </t>
        </is>
      </c>
      <c r="P123" s="99" t="inlineStr">
        <is>
          <t xml:space="preserve"> </t>
        </is>
      </c>
      <c r="Q123" s="99" t="inlineStr">
        <is>
          <t xml:space="preserve"> </t>
        </is>
      </c>
      <c r="R123" s="100" t="inlineStr">
        <is>
          <t xml:space="preserve"> </t>
        </is>
      </c>
      <c r="S123" t="inlineStr">
        <is>
          <t>No se encontró ejecución en CUIPO</t>
        </is>
      </c>
      <c r="T123" s="101" t="inlineStr">
        <is>
          <t xml:space="preserve"> </t>
        </is>
      </c>
      <c r="U123" s="101" t="inlineStr">
        <is>
          <t xml:space="preserve"> </t>
        </is>
      </c>
      <c r="V123" s="101" t="inlineStr">
        <is>
          <t xml:space="preserve"> </t>
        </is>
      </c>
      <c r="W123" s="102" t="inlineStr">
        <is>
          <t xml:space="preserve"> </t>
        </is>
      </c>
      <c r="X123" t="inlineStr">
        <is>
          <t>No se encontró ejecución en CUIPO</t>
        </is>
      </c>
    </row>
    <row r="124">
      <c r="A124" t="inlineStr">
        <is>
          <t>IP-130</t>
        </is>
      </c>
      <c r="B124" t="inlineStr">
        <is>
          <t>22</t>
        </is>
      </c>
      <c r="C124" t="inlineStr">
        <is>
          <t>Educación</t>
        </is>
      </c>
      <c r="D124" t="inlineStr">
        <is>
          <t>2201</t>
        </is>
      </c>
      <c r="E124" t="inlineStr">
        <is>
          <t>Calidad, cobertura y fortalecimiento de la educación inicial, prescolar, básica y media</t>
        </is>
      </c>
      <c r="F124" t="inlineStr">
        <is>
          <t>2201085</t>
        </is>
      </c>
      <c r="G124" t="inlineStr">
        <is>
          <t>Servicio de orientación socio ocupacional</t>
        </is>
      </c>
      <c r="H124" t="inlineStr">
        <is>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is>
      </c>
      <c r="I124" t="inlineStr">
        <is>
          <t>2024004250017</t>
        </is>
      </c>
      <c r="J124" s="99">
        <v>1248865702</v>
      </c>
      <c r="K124" s="99">
        <v>0</v>
      </c>
      <c r="L124" s="99">
        <v>800000000</v>
      </c>
      <c r="M124" s="99">
        <v>240000000</v>
      </c>
      <c r="N124" s="99">
        <v>208865702</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v>800000000</v>
      </c>
      <c r="U124" s="101">
        <v>137825000</v>
      </c>
      <c r="V124" s="101">
        <v>125825000</v>
      </c>
      <c r="W124" s="102">
        <v>0.17228125</v>
      </c>
      <c r="X124" t="inlineStr">
        <is>
          <t>Lo obligado está por debajo de lo programado en la vigencia</t>
        </is>
      </c>
    </row>
    <row r="125">
      <c r="A125" t="inlineStr">
        <is>
          <t>IP-131</t>
        </is>
      </c>
      <c r="B125" t="inlineStr">
        <is>
          <t>22</t>
        </is>
      </c>
      <c r="C125" t="inlineStr">
        <is>
          <t>Educación</t>
        </is>
      </c>
      <c r="D125" t="inlineStr">
        <is>
          <t>2202</t>
        </is>
      </c>
      <c r="E125" t="inlineStr">
        <is>
          <t>Calidad y fomento de la educación superior</t>
        </is>
      </c>
      <c r="F125" t="inlineStr">
        <is>
          <t>2202062</t>
        </is>
      </c>
      <c r="G125" t="inlineStr">
        <is>
          <t xml:space="preserve">Servicio de fomento para el acceso a la educación superior </t>
        </is>
      </c>
      <c r="H125" t="inlineStr">
        <is>
          <t xml:space="preserve">Incluye el desarrollo de estrategias diferentes a las de apoyo financiero para el acceso a educación superior
</t>
        </is>
      </c>
      <c r="I125" t="inlineStr">
        <is>
          <t>2024004250021</t>
        </is>
      </c>
      <c r="J125" s="99">
        <v>1851907874</v>
      </c>
      <c r="K125" s="99">
        <v>0</v>
      </c>
      <c r="L125" s="99">
        <v>0</v>
      </c>
      <c r="M125" s="99">
        <v>360000000</v>
      </c>
      <c r="N125" s="99">
        <v>1491907874</v>
      </c>
      <c r="O125" s="99" t="inlineStr">
        <is>
          <t xml:space="preserve"> </t>
        </is>
      </c>
      <c r="P125" s="99" t="inlineStr">
        <is>
          <t xml:space="preserve"> </t>
        </is>
      </c>
      <c r="Q125" s="99" t="inlineStr">
        <is>
          <t xml:space="preserve"> </t>
        </is>
      </c>
      <c r="R125" s="100" t="inlineStr">
        <is>
          <t xml:space="preserve"> </t>
        </is>
      </c>
      <c r="S125" t="inlineStr">
        <is>
          <t>No se encontró ejecución en CUIPO</t>
        </is>
      </c>
      <c r="T125" s="101" t="inlineStr">
        <is>
          <t xml:space="preserve"> </t>
        </is>
      </c>
      <c r="U125" s="101" t="inlineStr">
        <is>
          <t xml:space="preserve"> </t>
        </is>
      </c>
      <c r="V125" s="101" t="inlineStr">
        <is>
          <t xml:space="preserve"> </t>
        </is>
      </c>
      <c r="W125" s="102" t="inlineStr">
        <is>
          <t xml:space="preserve"> </t>
        </is>
      </c>
      <c r="X125" t="inlineStr">
        <is>
          <t>No se encontró ejecución en CUIPO</t>
        </is>
      </c>
    </row>
    <row r="126">
      <c r="A126" t="inlineStr">
        <is>
          <t>IP-132</t>
        </is>
      </c>
      <c r="B126" t="inlineStr">
        <is>
          <t>22</t>
        </is>
      </c>
      <c r="C126" t="inlineStr">
        <is>
          <t>Educación</t>
        </is>
      </c>
      <c r="D126" t="inlineStr">
        <is>
          <t>2202</t>
        </is>
      </c>
      <c r="E126" t="inlineStr">
        <is>
          <t>Calidad y fomento de la educación superior</t>
        </is>
      </c>
      <c r="F126" t="inlineStr">
        <is>
          <t>2202065</t>
        </is>
      </c>
      <c r="G126" t="inlineStr">
        <is>
          <t xml:space="preserve">Servicio de apoyo financiero para el acceso y permanencia a la educación superior </t>
        </is>
      </c>
      <c r="H126" t="inlineStr">
        <is>
          <t xml:space="preserve">Incluye créditos - beca y subsidios en todas sus modalidades  para fortalecer las acciones para el acceso más la permanencia estudiantil en la educación superior </t>
        </is>
      </c>
      <c r="I126" t="inlineStr">
        <is>
          <t>2024004250021</t>
        </is>
      </c>
      <c r="J126" s="99">
        <v>59762771414</v>
      </c>
      <c r="K126" s="99">
        <v>6500000000</v>
      </c>
      <c r="L126" s="99">
        <v>33198769317</v>
      </c>
      <c r="M126" s="99">
        <v>15000000000</v>
      </c>
      <c r="N126" s="99">
        <v>5064002097</v>
      </c>
      <c r="O126" s="99">
        <v>6416068552</v>
      </c>
      <c r="P126" s="99">
        <v>6416068552</v>
      </c>
      <c r="Q126" s="99">
        <v>6400000000</v>
      </c>
      <c r="R126" s="100">
        <v>0.987087469538461</v>
      </c>
      <c r="S126" t="inlineStr">
        <is>
          <t>Lo obligado está por debajo de lo programado en la vigencia</t>
        </is>
      </c>
      <c r="T126" s="101">
        <v>10500000000</v>
      </c>
      <c r="U126" s="101">
        <v>676334100</v>
      </c>
      <c r="V126" s="101">
        <v>676334100</v>
      </c>
      <c r="W126" s="102">
        <v>0.0203722642108204</v>
      </c>
      <c r="X126" t="inlineStr">
        <is>
          <t>Lo obligado está por debajo de lo programado en la vigencia</t>
        </is>
      </c>
    </row>
    <row r="127">
      <c r="A127" t="inlineStr">
        <is>
          <t>IP-133</t>
        </is>
      </c>
      <c r="B127" t="inlineStr">
        <is>
          <t>22</t>
        </is>
      </c>
      <c r="C127" t="inlineStr">
        <is>
          <t>Educación</t>
        </is>
      </c>
      <c r="D127" t="inlineStr">
        <is>
          <t>2202</t>
        </is>
      </c>
      <c r="E127" t="inlineStr">
        <is>
          <t>Calidad y fomento de la educación superior</t>
        </is>
      </c>
      <c r="F127" t="inlineStr">
        <is>
          <t>2202063</t>
        </is>
      </c>
      <c r="G127" t="inlineStr">
        <is>
          <t>Servicio de apoyo financiero para el acceso a la educación superior</t>
        </is>
      </c>
      <c r="H127" t="inlineStr">
        <is>
          <t>Incluye becas y créditos en todas sus modalidades</t>
        </is>
      </c>
      <c r="I127" t="inlineStr">
        <is>
          <t>2024004250021</t>
        </is>
      </c>
      <c r="J127" s="99">
        <v>206250801331</v>
      </c>
      <c r="K127" s="99">
        <v>55571936682</v>
      </c>
      <c r="L127" s="99">
        <v>48481902713</v>
      </c>
      <c r="M127" s="99">
        <v>50193254000</v>
      </c>
      <c r="N127" s="99">
        <v>52003707936</v>
      </c>
      <c r="O127" s="99">
        <v>55571936682</v>
      </c>
      <c r="P127" s="99">
        <v>55571936682</v>
      </c>
      <c r="Q127" s="99">
        <v>55571936682</v>
      </c>
      <c r="R127" s="100">
        <v>1</v>
      </c>
      <c r="S127" t="inlineStr">
        <is>
          <t>Se ejecutó el 100% de lo programado en la vigencia</t>
        </is>
      </c>
      <c r="T127" s="101">
        <v>48481902713</v>
      </c>
      <c r="U127" s="101">
        <v>36689677126</v>
      </c>
      <c r="V127" s="101">
        <v>25328539376</v>
      </c>
      <c r="W127" s="102">
        <v>0.756770569488437</v>
      </c>
      <c r="X127" t="inlineStr">
        <is>
          <t>Lo obligado está por debajo de lo programado en la vigencia</t>
        </is>
      </c>
    </row>
    <row r="128">
      <c r="A128" t="inlineStr">
        <is>
          <t>IP-134</t>
        </is>
      </c>
      <c r="B128" t="inlineStr">
        <is>
          <t>22</t>
        </is>
      </c>
      <c r="C128" t="inlineStr">
        <is>
          <t>Educación</t>
        </is>
      </c>
      <c r="D128" t="inlineStr">
        <is>
          <t>2201</t>
        </is>
      </c>
      <c r="E128" t="inlineStr">
        <is>
          <t>Calidad, cobertura y fortalecimiento de la educación inicial, prescolar, básica y media</t>
        </is>
      </c>
      <c r="F128" t="inlineStr">
        <is>
          <t>2201044</t>
        </is>
      </c>
      <c r="G128" t="inlineStr">
        <is>
          <t>Servicios conexos a la prestación del servicio educativo oficial</t>
        </is>
      </c>
      <c r="H128" t="inlineStr">
        <is>
          <t>Corresponde al pago de gastos inherentes, distintos a la nómina, al personal docente, directivo docente y administrativo cuando sea con recursos del SGP para el último caso, de las Instituciones Educativas Oficiales.</t>
        </is>
      </c>
      <c r="I128" t="inlineStr">
        <is>
          <t>2024004250020</t>
        </is>
      </c>
      <c r="J128" s="99">
        <v>230035718738</v>
      </c>
      <c r="K128" s="99">
        <v>39157191157</v>
      </c>
      <c r="L128" s="99">
        <v>53942427581</v>
      </c>
      <c r="M128" s="99">
        <v>66126900000</v>
      </c>
      <c r="N128" s="99">
        <v>70809200000</v>
      </c>
      <c r="O128" s="99">
        <v>37023539117</v>
      </c>
      <c r="P128" s="99">
        <v>37023539117</v>
      </c>
      <c r="Q128" s="99">
        <v>37023539117</v>
      </c>
      <c r="R128" s="100">
        <v>0.945510595194503</v>
      </c>
      <c r="S128" t="inlineStr">
        <is>
          <t>Lo obligado está por debajo de lo programado en la vigencia</t>
        </is>
      </c>
      <c r="T128" s="101">
        <v>37350549666</v>
      </c>
      <c r="U128" s="101">
        <v>37350549666</v>
      </c>
      <c r="V128" s="101">
        <v>37335806617</v>
      </c>
      <c r="W128" s="102">
        <v>0.69241506808188</v>
      </c>
      <c r="X128" t="inlineStr">
        <is>
          <t>Lo obligado está por debajo de lo programado en la vigencia</t>
        </is>
      </c>
    </row>
    <row r="129">
      <c r="A129" t="inlineStr">
        <is>
          <t>IP-135</t>
        </is>
      </c>
      <c r="B129" t="inlineStr">
        <is>
          <t>17</t>
        </is>
      </c>
      <c r="C129" t="inlineStr">
        <is>
          <t xml:space="preserve">Agricultura y desarrollo rural
</t>
        </is>
      </c>
      <c r="D129" t="inlineStr">
        <is>
          <t>1709</t>
        </is>
      </c>
      <c r="E129" t="inlineStr">
        <is>
          <t>Infraestructura productiva y comercialización</t>
        </is>
      </c>
      <c r="F129" t="inlineStr">
        <is>
          <t>1709119</t>
        </is>
      </c>
      <c r="G129" t="inlineStr">
        <is>
          <t>Servicio de repoblamiento ictiológico realizado</t>
        </is>
      </c>
      <c r="H129" t="inlineStr">
        <is>
          <t>Corresponde a actividades de repoblamiento ictiológico multi especie a medios naturales, como estrategia para beneficiar a población dedicada a la pesca artesanal y de subsistencia</t>
        </is>
      </c>
      <c r="I129" t="inlineStr">
        <is>
          <t>2024004250209</t>
        </is>
      </c>
      <c r="J129" s="99">
        <v>149730242</v>
      </c>
      <c r="K129" s="99">
        <v>39730242</v>
      </c>
      <c r="L129" s="99">
        <v>20000000</v>
      </c>
      <c r="M129" s="99">
        <v>50000000</v>
      </c>
      <c r="N129" s="99">
        <v>40000000</v>
      </c>
      <c r="O129" s="99">
        <v>39730242</v>
      </c>
      <c r="P129" s="99">
        <v>39730242</v>
      </c>
      <c r="Q129" s="99">
        <v>39730242</v>
      </c>
      <c r="R129" s="100">
        <v>1</v>
      </c>
      <c r="S129" t="inlineStr">
        <is>
          <t>Se ejecutó el 100% de lo programado en la vigencia</t>
        </is>
      </c>
      <c r="T129" s="101">
        <v>17982000</v>
      </c>
      <c r="U129" s="101">
        <v>17982000</v>
      </c>
      <c r="V129" s="101">
        <v>17982000</v>
      </c>
      <c r="W129" s="102">
        <v>0.8991</v>
      </c>
      <c r="X129" t="inlineStr">
        <is>
          <t>Lo obligado está por debajo de lo programado en la vigencia</t>
        </is>
      </c>
    </row>
    <row r="130">
      <c r="A130" t="inlineStr">
        <is>
          <t>IP-136</t>
        </is>
      </c>
      <c r="B130" t="inlineStr">
        <is>
          <t>41</t>
        </is>
      </c>
      <c r="C130" t="inlineStr">
        <is>
          <t xml:space="preserve">Inclusión social y reconciliación </t>
        </is>
      </c>
      <c r="D130" t="inlineStr">
        <is>
          <t>4103</t>
        </is>
      </c>
      <c r="E130" t="inlineStr">
        <is>
          <t>Inclusión social y productiva para la población en situación de vulnerabilidad</t>
        </is>
      </c>
      <c r="F130" t="inlineStr">
        <is>
          <t>4103060</t>
        </is>
      </c>
      <c r="G130" t="inlineStr">
        <is>
          <t>Documento de lineamientos técnicos</t>
        </is>
      </c>
      <c r="H130" t="inlineStr">
        <is>
          <t>Documentos cuyo objetivo es describir y explicar instrumentos, estándares, requisitos y condiciones necesarias para llevar a cabo un proceso o actividad.</t>
        </is>
      </c>
      <c r="I130" t="inlineStr">
        <is>
          <t>2024004250166</t>
        </is>
      </c>
      <c r="J130" s="99">
        <v>9976328796</v>
      </c>
      <c r="K130" s="99">
        <v>1554287031</v>
      </c>
      <c r="L130" s="99">
        <v>1678413421</v>
      </c>
      <c r="M130" s="99">
        <v>6743628344</v>
      </c>
      <c r="N130" s="99">
        <v>0</v>
      </c>
      <c r="O130" s="99">
        <v>1554287031</v>
      </c>
      <c r="P130" s="99">
        <v>1554287031</v>
      </c>
      <c r="Q130" s="99">
        <v>1554287031</v>
      </c>
      <c r="R130" s="100">
        <v>1</v>
      </c>
      <c r="S130" t="inlineStr">
        <is>
          <t>Se ejecutó el 100% de lo programado en la vigencia</t>
        </is>
      </c>
      <c r="T130" s="101">
        <v>1613015623</v>
      </c>
      <c r="U130" s="101">
        <v>1064941774</v>
      </c>
      <c r="V130" s="101">
        <v>1064941774</v>
      </c>
      <c r="W130" s="102">
        <v>0.634493123491295</v>
      </c>
      <c r="X130" t="inlineStr">
        <is>
          <t>Lo obligado está por debajo de lo programado en la vigencia</t>
        </is>
      </c>
    </row>
    <row r="131">
      <c r="A131" t="inlineStr">
        <is>
          <t>IP-137</t>
        </is>
      </c>
      <c r="B131" t="inlineStr">
        <is>
          <t>33</t>
        </is>
      </c>
      <c r="C131" t="inlineStr">
        <is>
          <t>Cultura</t>
        </is>
      </c>
      <c r="D131" t="inlineStr">
        <is>
          <t>3301</t>
        </is>
      </c>
      <c r="E131" t="inlineStr">
        <is>
          <t>Promoción y acceso efectivo a procesos culturales y artísticos</t>
        </is>
      </c>
      <c r="F131" t="inlineStr">
        <is>
          <t>3301051</t>
        </is>
      </c>
      <c r="G131" t="inlineStr">
        <is>
          <t>Servicio de educación informal al sector artístico y cultural</t>
        </is>
      </c>
      <c r="H131" t="inlineStr">
        <is>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is>
      </c>
      <c r="I131" t="inlineStr">
        <is>
          <t>2024004250084</t>
        </is>
      </c>
      <c r="J131" s="99">
        <v>11840150343</v>
      </c>
      <c r="K131" s="99">
        <v>1881095044</v>
      </c>
      <c r="L131" s="99">
        <v>4232076667</v>
      </c>
      <c r="M131" s="99">
        <v>3556763800</v>
      </c>
      <c r="N131" s="99">
        <v>2170214832</v>
      </c>
      <c r="O131" s="99">
        <v>1881095044</v>
      </c>
      <c r="P131" s="99">
        <v>1881095044</v>
      </c>
      <c r="Q131" s="99">
        <v>1881095044</v>
      </c>
      <c r="R131" s="100">
        <v>1</v>
      </c>
      <c r="S131" t="inlineStr">
        <is>
          <t>Se ejecutó el 100% de lo programado en la vigencia</t>
        </is>
      </c>
      <c r="T131" s="101">
        <v>3425171204</v>
      </c>
      <c r="U131" s="101">
        <v>3425171204</v>
      </c>
      <c r="V131" s="101">
        <v>3187322020</v>
      </c>
      <c r="W131" s="102">
        <v>0.80933581159058</v>
      </c>
      <c r="X131" t="inlineStr">
        <is>
          <t>Lo obligado está por debajo de lo programado en la vigencia</t>
        </is>
      </c>
    </row>
    <row r="132">
      <c r="A132" t="inlineStr">
        <is>
          <t>IP-138</t>
        </is>
      </c>
      <c r="B132" t="inlineStr">
        <is>
          <t>33</t>
        </is>
      </c>
      <c r="C132" t="inlineStr">
        <is>
          <t>Cultura</t>
        </is>
      </c>
      <c r="D132" t="inlineStr">
        <is>
          <t>3301</t>
        </is>
      </c>
      <c r="E132" t="inlineStr">
        <is>
          <t>Promoción y acceso efectivo a procesos culturales y artísticos</t>
        </is>
      </c>
      <c r="F132" t="inlineStr">
        <is>
          <t>3301054</t>
        </is>
      </c>
      <c r="G132" t="inlineStr">
        <is>
          <t>Servicio de apoyo financiero al sector artístico y cultural</t>
        </is>
      </c>
      <c r="H132"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32" t="inlineStr">
        <is>
          <t>2024004250084</t>
        </is>
      </c>
      <c r="J132" s="99">
        <v>4286666329</v>
      </c>
      <c r="K132" s="99">
        <v>950000000</v>
      </c>
      <c r="L132" s="99">
        <v>1236416667</v>
      </c>
      <c r="M132" s="99">
        <v>1078506087</v>
      </c>
      <c r="N132" s="99">
        <v>1021743575</v>
      </c>
      <c r="O132" s="99">
        <v>950000000</v>
      </c>
      <c r="P132" s="99">
        <v>950000000</v>
      </c>
      <c r="Q132" s="99">
        <v>950000000</v>
      </c>
      <c r="R132" s="100">
        <v>1</v>
      </c>
      <c r="S132" t="inlineStr">
        <is>
          <t>Se ejecutó el 100% de lo programado en la vigencia</t>
        </is>
      </c>
      <c r="T132" s="101">
        <v>164500000</v>
      </c>
      <c r="U132" s="101">
        <v>164500000</v>
      </c>
      <c r="V132" s="101">
        <v>154500000</v>
      </c>
      <c r="W132" s="102">
        <v>0.133045763932589</v>
      </c>
      <c r="X132" t="inlineStr">
        <is>
          <t>Lo obligado está por debajo de lo programado en la vigencia</t>
        </is>
      </c>
    </row>
    <row r="133">
      <c r="A133" t="inlineStr">
        <is>
          <t>IP-139</t>
        </is>
      </c>
      <c r="B133" t="inlineStr">
        <is>
          <t>33</t>
        </is>
      </c>
      <c r="C133" t="inlineStr">
        <is>
          <t>Cultura</t>
        </is>
      </c>
      <c r="D133" t="inlineStr">
        <is>
          <t>3301</t>
        </is>
      </c>
      <c r="E133" t="inlineStr">
        <is>
          <t>Promoción y acceso efectivo a procesos culturales y artísticos</t>
        </is>
      </c>
      <c r="F133" t="inlineStr">
        <is>
          <t>3301087</t>
        </is>
      </c>
      <c r="G133" t="inlineStr">
        <is>
          <t>Servicio de educación informal en áreas artísticas y culturales</t>
        </is>
      </c>
      <c r="H133" t="inlineStr">
        <is>
          <t>Oferta educativa entregada  a la ciudadanía con el fin de fortalecer sus capacidades en diferentes disciplinas artísticas como la música, la danza, la lectura, entre otros.</t>
        </is>
      </c>
      <c r="I133" t="inlineStr">
        <is>
          <t>2024004250084</t>
        </is>
      </c>
      <c r="J133" s="99">
        <v>9894542054</v>
      </c>
      <c r="K133" s="99">
        <v>2336823000</v>
      </c>
      <c r="L133" s="99">
        <v>3525482980</v>
      </c>
      <c r="M133" s="99">
        <v>2212000238</v>
      </c>
      <c r="N133" s="99">
        <v>1820235836</v>
      </c>
      <c r="O133" s="99">
        <v>2336823000</v>
      </c>
      <c r="P133" s="99">
        <v>2336823000</v>
      </c>
      <c r="Q133" s="99">
        <v>2336823000</v>
      </c>
      <c r="R133" s="100">
        <v>1</v>
      </c>
      <c r="S133" t="inlineStr">
        <is>
          <t>Se ejecutó el 100% de lo programado en la vigencia</t>
        </is>
      </c>
      <c r="T133" s="101">
        <v>2569196313</v>
      </c>
      <c r="U133" s="101">
        <v>2569196313</v>
      </c>
      <c r="V133" s="101">
        <v>2539196313</v>
      </c>
      <c r="W133" s="102">
        <v>0.728750167728792</v>
      </c>
      <c r="X133" t="inlineStr">
        <is>
          <t>Lo obligado está por debajo de lo programado en la vigencia</t>
        </is>
      </c>
    </row>
    <row r="134">
      <c r="A134" t="inlineStr">
        <is>
          <t>IP-140</t>
        </is>
      </c>
      <c r="B134" t="inlineStr">
        <is>
          <t>33</t>
        </is>
      </c>
      <c r="C134" t="inlineStr">
        <is>
          <t>Cultura</t>
        </is>
      </c>
      <c r="D134" t="inlineStr">
        <is>
          <t>3301</t>
        </is>
      </c>
      <c r="E134" t="inlineStr">
        <is>
          <t>Promoción y acceso efectivo a procesos culturales y artísticos</t>
        </is>
      </c>
      <c r="F134" t="inlineStr">
        <is>
          <t>3301065</t>
        </is>
      </c>
      <c r="G134" t="inlineStr">
        <is>
          <t>Servicio de asistencia técnica en asuntos de gestión de bibliotecas públicas y lectura.</t>
        </is>
      </c>
      <c r="H134" t="inlineStr">
        <is>
          <t>Asistencias técnicas a bibliotecarios, administraciones locales, entidades públicas y privadas entre otros, en el campo de las bibliotecas públicas y la lectura.</t>
        </is>
      </c>
      <c r="I134" t="inlineStr">
        <is>
          <t>2024004250084</t>
        </is>
      </c>
      <c r="J134" s="99">
        <v>3986242656</v>
      </c>
      <c r="K134" s="99">
        <v>1007720720</v>
      </c>
      <c r="L134" s="99">
        <v>1249523726</v>
      </c>
      <c r="M134" s="99">
        <v>1153878000</v>
      </c>
      <c r="N134" s="99">
        <v>575120210</v>
      </c>
      <c r="O134" s="99">
        <v>1007720720</v>
      </c>
      <c r="P134" s="99">
        <v>1007720720</v>
      </c>
      <c r="Q134" s="99">
        <v>1007720720</v>
      </c>
      <c r="R134" s="100">
        <v>1</v>
      </c>
      <c r="S134" t="inlineStr">
        <is>
          <t>Se ejecutó el 100% de lo programado en la vigencia</t>
        </is>
      </c>
      <c r="T134" s="101">
        <v>979743726</v>
      </c>
      <c r="U134" s="101">
        <v>979743726</v>
      </c>
      <c r="V134" s="101">
        <v>833523726</v>
      </c>
      <c r="W134" s="102">
        <v>0.784093735567851</v>
      </c>
      <c r="X134" t="inlineStr">
        <is>
          <t>Lo obligado está por debajo de lo programado en la vigencia</t>
        </is>
      </c>
    </row>
    <row r="135">
      <c r="A135" t="inlineStr">
        <is>
          <t>IP-141, IP-145</t>
        </is>
      </c>
      <c r="B135" t="inlineStr">
        <is>
          <t>33</t>
        </is>
      </c>
      <c r="C135" t="inlineStr">
        <is>
          <t>Cultura</t>
        </is>
      </c>
      <c r="D135" t="inlineStr">
        <is>
          <t>3301</t>
        </is>
      </c>
      <c r="E135" t="inlineStr">
        <is>
          <t>Promoción y acceso efectivo a procesos culturales y artísticos</t>
        </is>
      </c>
      <c r="F135" t="inlineStr">
        <is>
          <t>3301053</t>
        </is>
      </c>
      <c r="G135" t="inlineStr">
        <is>
          <t>Servicio de promoción de actividades culturales</t>
        </is>
      </c>
      <c r="H135" t="inlineStr">
        <is>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is>
      </c>
      <c r="I135" t="inlineStr">
        <is>
          <t>2024004250084</t>
        </is>
      </c>
      <c r="J135" s="99">
        <v>9785285327</v>
      </c>
      <c r="K135" s="99">
        <v>3402756370</v>
      </c>
      <c r="L135" s="99">
        <v>5541436667</v>
      </c>
      <c r="M135" s="99">
        <v>555000000</v>
      </c>
      <c r="N135" s="99">
        <v>286092290</v>
      </c>
      <c r="O135" s="99">
        <v>3402756370</v>
      </c>
      <c r="P135" s="99">
        <v>3402756370</v>
      </c>
      <c r="Q135" s="99">
        <v>3402756370</v>
      </c>
      <c r="R135" s="100">
        <v>1</v>
      </c>
      <c r="S135" t="inlineStr">
        <is>
          <t>Se ejecutó el 100% de lo programado en la vigencia</t>
        </is>
      </c>
      <c r="T135" s="101">
        <v>3190000000</v>
      </c>
      <c r="U135" s="101">
        <v>3190000000</v>
      </c>
      <c r="V135" s="101">
        <v>3068000000</v>
      </c>
      <c r="W135" s="102">
        <v>0.575662989887961</v>
      </c>
      <c r="X135" t="inlineStr">
        <is>
          <t>Lo obligado está por debajo de lo programado en la vigencia</t>
        </is>
      </c>
    </row>
    <row r="136">
      <c r="A136" t="inlineStr">
        <is>
          <t>IP-142, IP-143</t>
        </is>
      </c>
      <c r="B136" t="inlineStr">
        <is>
          <t>33</t>
        </is>
      </c>
      <c r="C136" t="inlineStr">
        <is>
          <t>Cultura</t>
        </is>
      </c>
      <c r="D136" t="inlineStr">
        <is>
          <t>3301</t>
        </is>
      </c>
      <c r="E136" t="inlineStr">
        <is>
          <t>Promoción y acceso efectivo a procesos culturales y artísticos</t>
        </is>
      </c>
      <c r="F136" t="inlineStr">
        <is>
          <t>3301122</t>
        </is>
      </c>
      <c r="G136" t="inlineStr">
        <is>
          <t>Servicio de fomento para el acceso de la oferta cultural</t>
        </is>
      </c>
      <c r="H136" t="inlineStr">
        <is>
          <t>Beneficios otorgados para que la ciudadanía acceda a la oferta cultural, entre ellos cine.</t>
        </is>
      </c>
      <c r="I136" t="inlineStr">
        <is>
          <t>2024004250084</t>
        </is>
      </c>
      <c r="J136" s="99">
        <v>1766590865</v>
      </c>
      <c r="K136" s="99">
        <v>142295350</v>
      </c>
      <c r="L136" s="99">
        <v>284040565</v>
      </c>
      <c r="M136" s="99">
        <v>609150000</v>
      </c>
      <c r="N136" s="99">
        <v>731104950</v>
      </c>
      <c r="O136" s="99">
        <v>142295350</v>
      </c>
      <c r="P136" s="99">
        <v>142295350</v>
      </c>
      <c r="Q136" s="99">
        <v>142295350</v>
      </c>
      <c r="R136" s="100">
        <v>1</v>
      </c>
      <c r="S136" t="inlineStr">
        <is>
          <t>Se ejecutó el 100% de lo programado en la vigencia</t>
        </is>
      </c>
      <c r="T136" s="101">
        <v>214500000</v>
      </c>
      <c r="U136" s="101">
        <v>214500000</v>
      </c>
      <c r="V136" s="101">
        <v>199500000</v>
      </c>
      <c r="W136" s="102">
        <v>0.755173825259783</v>
      </c>
      <c r="X136" t="inlineStr">
        <is>
          <t>Lo obligado está por debajo de lo programado en la vigencia</t>
        </is>
      </c>
    </row>
    <row r="137">
      <c r="A137" t="inlineStr">
        <is>
          <t>IP-144</t>
        </is>
      </c>
      <c r="B137" t="inlineStr">
        <is>
          <t>33</t>
        </is>
      </c>
      <c r="C137" t="inlineStr">
        <is>
          <t>Cultura</t>
        </is>
      </c>
      <c r="D137" t="inlineStr">
        <is>
          <t>3301</t>
        </is>
      </c>
      <c r="E137" t="inlineStr">
        <is>
          <t>Promoción y acceso efectivo a procesos culturales y artísticos</t>
        </is>
      </c>
      <c r="F137" t="inlineStr">
        <is>
          <t>3301095</t>
        </is>
      </c>
      <c r="G137" t="inlineStr">
        <is>
          <t>Servicio de asistencia técnica en gestión artística y cultural</t>
        </is>
      </c>
      <c r="H137" t="inlineStr">
        <is>
          <t>Hace referencia a las visitas de asistencia técnica a la institucionalidad cultural brindadas a los consejos y territoriales de cultura y a los gestores culturales, en temas relacionados con procesos de planeación, formulación de proyectos, fuentes de financiación, formación y participación ciudadana.</t>
        </is>
      </c>
      <c r="I137" t="inlineStr">
        <is>
          <t>2024004250084</t>
        </is>
      </c>
      <c r="J137" s="99">
        <v>15265935114</v>
      </c>
      <c r="K137" s="99">
        <v>3391785988</v>
      </c>
      <c r="L137" s="99">
        <v>4764207505</v>
      </c>
      <c r="M137" s="99">
        <v>5093602475</v>
      </c>
      <c r="N137" s="99">
        <v>2016339146</v>
      </c>
      <c r="O137" s="99">
        <v>1702148846</v>
      </c>
      <c r="P137" s="99">
        <v>1702148846</v>
      </c>
      <c r="Q137" s="99">
        <v>1702148846</v>
      </c>
      <c r="R137" s="100">
        <v>0.501844412360371</v>
      </c>
      <c r="S137" t="inlineStr">
        <is>
          <t>Lo obligado está por debajo de lo programado en la vigencia</t>
        </is>
      </c>
      <c r="T137" s="101">
        <v>2618134272</v>
      </c>
      <c r="U137" s="101">
        <v>2618134272</v>
      </c>
      <c r="V137" s="101">
        <v>2088631372</v>
      </c>
      <c r="W137" s="102">
        <v>0.549542451551971</v>
      </c>
      <c r="X137" t="inlineStr">
        <is>
          <t>Lo obligado está por debajo de lo programado en la vigencia</t>
        </is>
      </c>
    </row>
    <row r="138">
      <c r="A138" t="inlineStr">
        <is>
          <t>IP-146</t>
        </is>
      </c>
      <c r="B138" t="inlineStr">
        <is>
          <t>33</t>
        </is>
      </c>
      <c r="C138" t="inlineStr">
        <is>
          <t>Cultura</t>
        </is>
      </c>
      <c r="D138" t="inlineStr">
        <is>
          <t>3301</t>
        </is>
      </c>
      <c r="E138" t="inlineStr">
        <is>
          <t>Promoción y acceso efectivo a procesos culturales y artísticos</t>
        </is>
      </c>
      <c r="F138" t="inlineStr">
        <is>
          <t>3301064</t>
        </is>
      </c>
      <c r="G138" t="inlineStr">
        <is>
          <t>Servicio de asistencia técnica en educación artística y cultural</t>
        </is>
      </c>
      <c r="H138" t="inlineStr">
        <is>
          <t>Asesorías de carácter pedagógico, metodológico y de gestión  a entidades de educación oferentes de programas de formación en educación artística y cultural en el marco de los procesos formativos para crear las condiciones propicias para el desarrollo de dicho programa.</t>
        </is>
      </c>
      <c r="I138" t="inlineStr">
        <is>
          <t>2024004250084</t>
        </is>
      </c>
      <c r="J138" s="99">
        <v>839828237</v>
      </c>
      <c r="K138" s="99">
        <v>328400000</v>
      </c>
      <c r="L138" s="99">
        <v>288000000</v>
      </c>
      <c r="M138" s="99">
        <v>173428237</v>
      </c>
      <c r="N138" s="99">
        <v>50000000</v>
      </c>
      <c r="O138" s="99">
        <v>328400000</v>
      </c>
      <c r="P138" s="99">
        <v>328400000</v>
      </c>
      <c r="Q138" s="99">
        <v>328400000</v>
      </c>
      <c r="R138" s="100">
        <v>1</v>
      </c>
      <c r="S138" t="inlineStr">
        <is>
          <t>Se ejecutó el 100% de lo programado en la vigencia</t>
        </is>
      </c>
      <c r="T138" s="101">
        <v>206160749</v>
      </c>
      <c r="U138" s="101">
        <v>206160749</v>
      </c>
      <c r="V138" s="101">
        <v>177160749</v>
      </c>
      <c r="W138" s="102">
        <v>0.715835934027778</v>
      </c>
      <c r="X138" t="inlineStr">
        <is>
          <t>Lo obligado está por debajo de lo programado en la vigencia</t>
        </is>
      </c>
    </row>
    <row r="139">
      <c r="A139" t="inlineStr">
        <is>
          <t>IP-147</t>
        </is>
      </c>
      <c r="B139" t="inlineStr">
        <is>
          <t>33</t>
        </is>
      </c>
      <c r="C139" t="inlineStr">
        <is>
          <t>Cultura</t>
        </is>
      </c>
      <c r="D139" t="inlineStr">
        <is>
          <t>3301</t>
        </is>
      </c>
      <c r="E139" t="inlineStr">
        <is>
          <t>Promoción y acceso efectivo a procesos culturales y artísticos</t>
        </is>
      </c>
      <c r="F139" t="inlineStr">
        <is>
          <t>3301051</t>
        </is>
      </c>
      <c r="G139" t="inlineStr">
        <is>
          <t>Servicio de educación informal al sector artístico y cultural</t>
        </is>
      </c>
      <c r="H139" t="inlineStr">
        <is>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is>
      </c>
      <c r="I139" t="inlineStr">
        <is>
          <t>2024004250163</t>
        </is>
      </c>
      <c r="J139" s="99">
        <v>1750244172</v>
      </c>
      <c r="K139" s="99">
        <v>50000000</v>
      </c>
      <c r="L139" s="99">
        <v>100000000</v>
      </c>
      <c r="M139" s="99">
        <v>0</v>
      </c>
      <c r="N139" s="99">
        <v>1600244172</v>
      </c>
      <c r="O139" s="99">
        <v>49694400</v>
      </c>
      <c r="P139" s="99">
        <v>49694400</v>
      </c>
      <c r="Q139" s="99">
        <v>49694400</v>
      </c>
      <c r="R139" s="100">
        <v>0.993888</v>
      </c>
      <c r="S139" t="inlineStr">
        <is>
          <t>Lo obligado está por debajo de lo programado en la vigencia</t>
        </is>
      </c>
      <c r="T139" s="101">
        <v>80659993</v>
      </c>
      <c r="U139" s="101">
        <v>0</v>
      </c>
      <c r="V139" s="101">
        <v>0</v>
      </c>
      <c r="W139" s="102">
        <v>0</v>
      </c>
      <c r="X139" t="inlineStr">
        <is>
          <t>No se ejecutó en la vigencia</t>
        </is>
      </c>
    </row>
    <row r="140">
      <c r="A140" t="inlineStr">
        <is>
          <t>IP-148</t>
        </is>
      </c>
      <c r="B140" t="inlineStr">
        <is>
          <t>35</t>
        </is>
      </c>
      <c r="C140" t="inlineStr">
        <is>
          <t>Comercio, industria y turismo</t>
        </is>
      </c>
      <c r="D140" t="inlineStr">
        <is>
          <t>3502</t>
        </is>
      </c>
      <c r="E140" t="inlineStr">
        <is>
          <t>Productividad y competitividad de las empresas colombianas</t>
        </is>
      </c>
      <c r="F140" t="inlineStr">
        <is>
          <t>3502024</t>
        </is>
      </c>
      <c r="G140" t="inlineStr">
        <is>
          <t>Servicio de asistencia técnica para la actividad artesanal</t>
        </is>
      </c>
      <c r="H140" t="inlineStr">
        <is>
          <t xml:space="preserve">Brindar asesorías puntuales y capacitación por medio de talleres, acompañamiento técnico y transferencia de metodologías para enfrentar las debilidades de la actividad productiva y de acceso a los mercados. </t>
        </is>
      </c>
      <c r="I140" t="inlineStr">
        <is>
          <t>2024004250229</t>
        </is>
      </c>
      <c r="J140" s="99">
        <v>1076438621</v>
      </c>
      <c r="K140" s="99">
        <v>120000000</v>
      </c>
      <c r="L140" s="99">
        <v>612306833</v>
      </c>
      <c r="M140" s="99">
        <v>233260000</v>
      </c>
      <c r="N140" s="99">
        <v>110871788</v>
      </c>
      <c r="O140" s="99">
        <v>120000000</v>
      </c>
      <c r="P140" s="99">
        <v>120000000</v>
      </c>
      <c r="Q140" s="99">
        <v>120000000</v>
      </c>
      <c r="R140" s="100">
        <v>1</v>
      </c>
      <c r="S140" t="inlineStr">
        <is>
          <t>Se ejecutó el 100% de lo programado en la vigencia</t>
        </is>
      </c>
      <c r="T140" s="101">
        <v>222710500</v>
      </c>
      <c r="U140" s="101">
        <v>222710500</v>
      </c>
      <c r="V140" s="101">
        <v>222710500</v>
      </c>
      <c r="W140" s="102">
        <v>0.36372368883886</v>
      </c>
      <c r="X140" t="inlineStr">
        <is>
          <t>Lo obligado está por debajo de lo programado en la vigencia</t>
        </is>
      </c>
    </row>
    <row r="141">
      <c r="A141" t="inlineStr">
        <is>
          <t>IP-149</t>
        </is>
      </c>
      <c r="B141" t="inlineStr">
        <is>
          <t>43</t>
        </is>
      </c>
      <c r="C141" t="inlineStr">
        <is>
          <t>Deporte y Recreación</t>
        </is>
      </c>
      <c r="D141" t="inlineStr">
        <is>
          <t>4302</t>
        </is>
      </c>
      <c r="E141" t="inlineStr">
        <is>
          <t>Formación y preparación de deportistas</t>
        </is>
      </c>
      <c r="F141" t="inlineStr">
        <is>
          <t>4302001</t>
        </is>
      </c>
      <c r="G141" t="inlineStr">
        <is>
          <t>Servicio de preparación deportiva</t>
        </is>
      </c>
      <c r="H141" t="inlineStr">
        <is>
          <t>Corresponde a la preparación para las competencias de alto rendimiento deportivas que debe garantizarle al deportista un entrenador, una concentración deportiva para su entrenamiento y hospedaje</t>
        </is>
      </c>
      <c r="I141" t="inlineStr">
        <is>
          <t>2024004250136</t>
        </is>
      </c>
      <c r="J141" s="99">
        <v>63721032190</v>
      </c>
      <c r="K141" s="99">
        <v>16392105590</v>
      </c>
      <c r="L141" s="99">
        <v>12228926600</v>
      </c>
      <c r="M141" s="99">
        <v>14100000000</v>
      </c>
      <c r="N141" s="99">
        <v>21000000000</v>
      </c>
      <c r="O141" s="99">
        <v>16392105590</v>
      </c>
      <c r="P141" s="99">
        <v>16392105590</v>
      </c>
      <c r="Q141" s="99">
        <v>16392105590</v>
      </c>
      <c r="R141" s="100">
        <v>1</v>
      </c>
      <c r="S141" t="inlineStr">
        <is>
          <t>Se ejecutó el 100% de lo programado en la vigencia</t>
        </is>
      </c>
      <c r="T141" s="101">
        <v>9444928269</v>
      </c>
      <c r="U141" s="101">
        <v>9444928269</v>
      </c>
      <c r="V141" s="101">
        <v>9444928269</v>
      </c>
      <c r="W141" s="102">
        <v>0.772343197235316</v>
      </c>
      <c r="X141" t="inlineStr">
        <is>
          <t>Lo obligado está por debajo de lo programado en la vigencia</t>
        </is>
      </c>
    </row>
    <row r="142">
      <c r="A142" t="inlineStr">
        <is>
          <t>IP-150</t>
        </is>
      </c>
      <c r="B142" t="inlineStr">
        <is>
          <t>43</t>
        </is>
      </c>
      <c r="C142" t="inlineStr">
        <is>
          <t>Deporte y Recreación</t>
        </is>
      </c>
      <c r="D142" t="inlineStr">
        <is>
          <t>4302</t>
        </is>
      </c>
      <c r="E142" t="inlineStr">
        <is>
          <t>Formación y preparación de deportistas</t>
        </is>
      </c>
      <c r="F142" t="inlineStr">
        <is>
          <t>4302002</t>
        </is>
      </c>
      <c r="G142" t="inlineStr">
        <is>
          <t>Servicio de apoyo financiero a atletas</t>
        </is>
      </c>
      <c r="H142" t="inlineStr">
        <is>
          <t>Corresponde a los estímulos económicos entregados a los deportistas para que éstos tengan una buena preparación y oportunidades para competir.</t>
        </is>
      </c>
      <c r="I142" t="inlineStr">
        <is>
          <t>2024004250136</t>
        </is>
      </c>
      <c r="J142" s="99">
        <v>25413280324</v>
      </c>
      <c r="K142" s="99">
        <v>5500000000</v>
      </c>
      <c r="L142" s="99">
        <v>7913280324</v>
      </c>
      <c r="M142" s="99">
        <v>7000000000</v>
      </c>
      <c r="N142" s="99">
        <v>5000000000</v>
      </c>
      <c r="O142" s="99">
        <v>5500000000</v>
      </c>
      <c r="P142" s="99">
        <v>5500000000</v>
      </c>
      <c r="Q142" s="99">
        <v>5500000000</v>
      </c>
      <c r="R142" s="100">
        <v>1</v>
      </c>
      <c r="S142" t="inlineStr">
        <is>
          <t>Se ejecutó el 100% de lo programado en la vigencia</t>
        </is>
      </c>
      <c r="T142" s="101">
        <v>4843250650</v>
      </c>
      <c r="U142" s="101">
        <v>4843250650</v>
      </c>
      <c r="V142" s="101">
        <v>4843250650</v>
      </c>
      <c r="W142" s="102">
        <v>0.61204082904924</v>
      </c>
      <c r="X142" t="inlineStr">
        <is>
          <t>Lo obligado está por debajo de lo programado en la vigencia</t>
        </is>
      </c>
    </row>
    <row r="143">
      <c r="A143" t="inlineStr">
        <is>
          <t>IP-151, IP-155</t>
        </is>
      </c>
      <c r="B143" t="inlineStr">
        <is>
          <t>43</t>
        </is>
      </c>
      <c r="C143" t="inlineStr">
        <is>
          <t>Deporte y Recreación</t>
        </is>
      </c>
      <c r="D143" t="inlineStr">
        <is>
          <t>4302</t>
        </is>
      </c>
      <c r="E143" t="inlineStr">
        <is>
          <t>Formación y preparación de deportistas</t>
        </is>
      </c>
      <c r="F143" t="inlineStr">
        <is>
          <t>4302004</t>
        </is>
      </c>
      <c r="G143" t="inlineStr">
        <is>
          <t>Servicio de organización de eventos deportivos de alto rendimiento</t>
        </is>
      </c>
      <c r="H143" t="inlineStr">
        <is>
          <t>Corresponde a la planeación, organización y realización de eventos deportivos con sede en Colombia</t>
        </is>
      </c>
      <c r="I143" t="inlineStr">
        <is>
          <t>2024004250136</t>
        </is>
      </c>
      <c r="J143" s="99">
        <v>20133519107</v>
      </c>
      <c r="K143" s="99">
        <v>1556519107</v>
      </c>
      <c r="L143" s="99">
        <v>10577000000</v>
      </c>
      <c r="M143" s="99">
        <v>5000000000</v>
      </c>
      <c r="N143" s="99">
        <v>3000000000</v>
      </c>
      <c r="O143" s="99">
        <v>1556519107</v>
      </c>
      <c r="P143" s="99">
        <v>1556519107</v>
      </c>
      <c r="Q143" s="99">
        <v>1556519107</v>
      </c>
      <c r="R143" s="100">
        <v>1</v>
      </c>
      <c r="S143" t="inlineStr">
        <is>
          <t>Se ejecutó el 100% de lo programado en la vigencia</t>
        </is>
      </c>
      <c r="T143" s="101">
        <v>5320510308</v>
      </c>
      <c r="U143" s="101">
        <v>5320510308</v>
      </c>
      <c r="V143" s="101">
        <v>5320510308</v>
      </c>
      <c r="W143" s="102">
        <v>0.503026407109766</v>
      </c>
      <c r="X143" t="inlineStr">
        <is>
          <t>Lo obligado está por debajo de lo programado en la vigencia</t>
        </is>
      </c>
    </row>
    <row r="144">
      <c r="A144" t="inlineStr">
        <is>
          <t>IP-152, IP-162</t>
        </is>
      </c>
      <c r="B144" t="inlineStr">
        <is>
          <t>43</t>
        </is>
      </c>
      <c r="C144" t="inlineStr">
        <is>
          <t>Deporte y Recreación</t>
        </is>
      </c>
      <c r="D144" t="inlineStr">
        <is>
          <t>4301</t>
        </is>
      </c>
      <c r="E144" t="inlineStr">
        <is>
          <t>Fomento a la recreación, la actividad física y el deporte para desarrollar entornos de convivencia y paz</t>
        </is>
      </c>
      <c r="F144" t="inlineStr">
        <is>
          <t>4301038</t>
        </is>
      </c>
      <c r="G144" t="inlineStr">
        <is>
          <t>Servicio de organización de eventos recreativos comunitarios</t>
        </is>
      </c>
      <c r="H144" t="inlineStr">
        <is>
          <t>Corresponde a la planeación, organización y realización de eventos recreativos y de esparcimiento del tiempo libre con la comunidad.</t>
        </is>
      </c>
      <c r="I144" t="inlineStr">
        <is>
          <t>2024004250106</t>
        </is>
      </c>
      <c r="J144" s="99">
        <v>7161684000</v>
      </c>
      <c r="K144" s="99">
        <v>462500000</v>
      </c>
      <c r="L144" s="99">
        <v>4212000000</v>
      </c>
      <c r="M144" s="99">
        <v>535000000</v>
      </c>
      <c r="N144" s="99">
        <v>1952184000</v>
      </c>
      <c r="O144" s="99">
        <v>462500000</v>
      </c>
      <c r="P144" s="99">
        <v>462500000</v>
      </c>
      <c r="Q144" s="99">
        <v>462500000</v>
      </c>
      <c r="R144" s="100">
        <v>1</v>
      </c>
      <c r="S144" t="inlineStr">
        <is>
          <t>Se ejecutó el 100% de lo programado en la vigencia</t>
        </is>
      </c>
      <c r="T144" s="101">
        <v>1483850467</v>
      </c>
      <c r="U144" s="101">
        <v>1483850467</v>
      </c>
      <c r="V144" s="101">
        <v>1483850467</v>
      </c>
      <c r="W144" s="102">
        <v>0.352291183998101</v>
      </c>
      <c r="X144" t="inlineStr">
        <is>
          <t>Lo obligado está por debajo de lo programado en la vigencia</t>
        </is>
      </c>
    </row>
    <row r="145">
      <c r="A145" t="inlineStr">
        <is>
          <t>IP-153</t>
        </is>
      </c>
      <c r="B145" t="inlineStr">
        <is>
          <t>43</t>
        </is>
      </c>
      <c r="C145" t="inlineStr">
        <is>
          <t>Deporte y Recreación</t>
        </is>
      </c>
      <c r="D145" t="inlineStr">
        <is>
          <t>4302</t>
        </is>
      </c>
      <c r="E145" t="inlineStr">
        <is>
          <t>Formación y preparación de deportistas</t>
        </is>
      </c>
      <c r="F145" t="inlineStr">
        <is>
          <t>4302073</t>
        </is>
      </c>
      <c r="G145" t="inlineStr">
        <is>
          <t>Servicio de identificación de talentos deportivos</t>
        </is>
      </c>
      <c r="H145" t="inlineStr">
        <is>
          <t>Es el proceso a través del cual se individualizan personas dotadas de talento y actitudes favorables para el deporte con ayuda de entrenadores especializados y pruebas físicas, fisiológicas y de destrezas. </t>
        </is>
      </c>
      <c r="I145" t="inlineStr">
        <is>
          <t>2024004250136</t>
        </is>
      </c>
      <c r="J145" s="99">
        <v>14385000000</v>
      </c>
      <c r="K145" s="99">
        <v>4220000000</v>
      </c>
      <c r="L145" s="99">
        <v>1630000000</v>
      </c>
      <c r="M145" s="99">
        <v>1400000000</v>
      </c>
      <c r="N145" s="99">
        <v>7135000000</v>
      </c>
      <c r="O145" s="99">
        <v>4220000000</v>
      </c>
      <c r="P145" s="99">
        <v>4220000000</v>
      </c>
      <c r="Q145" s="99">
        <v>4220000000</v>
      </c>
      <c r="R145" s="100">
        <v>1</v>
      </c>
      <c r="S145" t="inlineStr">
        <is>
          <t>Se ejecutó el 100% de lo programado en la vigencia</t>
        </is>
      </c>
      <c r="T145" s="101">
        <v>976540170</v>
      </c>
      <c r="U145" s="101">
        <v>976540170</v>
      </c>
      <c r="V145" s="101">
        <v>976540170</v>
      </c>
      <c r="W145" s="102">
        <v>0.599104398773006</v>
      </c>
      <c r="X145" t="inlineStr">
        <is>
          <t>Lo obligado está por debajo de lo programado en la vigencia</t>
        </is>
      </c>
    </row>
    <row r="146">
      <c r="A146" t="inlineStr">
        <is>
          <t>IP-154</t>
        </is>
      </c>
      <c r="B146" t="inlineStr">
        <is>
          <t>43</t>
        </is>
      </c>
      <c r="C146" t="inlineStr">
        <is>
          <t>Deporte y Recreación</t>
        </is>
      </c>
      <c r="D146" t="inlineStr">
        <is>
          <t>4302</t>
        </is>
      </c>
      <c r="E146" t="inlineStr">
        <is>
          <t>Formación y preparación de deportistas</t>
        </is>
      </c>
      <c r="F146" t="inlineStr">
        <is>
          <t>4302004</t>
        </is>
      </c>
      <c r="G146" t="inlineStr">
        <is>
          <t>Servicio de organización de eventos deportivos de alto rendimiento</t>
        </is>
      </c>
      <c r="H146" t="inlineStr">
        <is>
          <t>Corresponde a la planeación, organización y realización de eventos deportivos con sede en Colombia</t>
        </is>
      </c>
      <c r="I146" t="inlineStr">
        <is>
          <t>2024004250135</t>
        </is>
      </c>
      <c r="J146" s="99">
        <v>2530000000</v>
      </c>
      <c r="K146" s="99">
        <v>600000000</v>
      </c>
      <c r="L146" s="99">
        <v>500000000</v>
      </c>
      <c r="M146" s="99">
        <v>830000000</v>
      </c>
      <c r="N146" s="99">
        <v>600000000</v>
      </c>
      <c r="O146" s="99">
        <v>600000000</v>
      </c>
      <c r="P146" s="99">
        <v>600000000</v>
      </c>
      <c r="Q146" s="99">
        <v>600000000</v>
      </c>
      <c r="R146" s="100">
        <v>1</v>
      </c>
      <c r="S146" t="inlineStr">
        <is>
          <t>Se ejecutó el 100% de lo programado en la vigencia</t>
        </is>
      </c>
      <c r="T146" s="101">
        <v>130314600</v>
      </c>
      <c r="U146" s="101">
        <v>130314600</v>
      </c>
      <c r="V146" s="101">
        <v>130314600</v>
      </c>
      <c r="W146" s="102">
        <v>0.2606292</v>
      </c>
      <c r="X146" t="inlineStr">
        <is>
          <t>Lo obligado está por debajo de lo programado en la vigencia</t>
        </is>
      </c>
    </row>
    <row r="147">
      <c r="A147" t="inlineStr">
        <is>
          <t>IP-156, IP-157, IP-159, IP-160</t>
        </is>
      </c>
      <c r="B147" t="inlineStr">
        <is>
          <t>43</t>
        </is>
      </c>
      <c r="C147" t="inlineStr">
        <is>
          <t>Deporte y Recreación</t>
        </is>
      </c>
      <c r="D147" t="inlineStr">
        <is>
          <t>4301</t>
        </is>
      </c>
      <c r="E147" t="inlineStr">
        <is>
          <t>Fomento a la recreación, la actividad física y el deporte para desarrollar entornos de convivencia y paz</t>
        </is>
      </c>
      <c r="F147" t="inlineStr">
        <is>
          <t>4301037</t>
        </is>
      </c>
      <c r="G147" t="inlineStr">
        <is>
          <t>Servicio de promoción de la actividad física, la recreación y el deporte</t>
        </is>
      </c>
      <c r="H147"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47" t="inlineStr">
        <is>
          <t>2024004250106</t>
        </is>
      </c>
      <c r="J147" s="99">
        <v>77115580002</v>
      </c>
      <c r="K147" s="99">
        <v>12612274754</v>
      </c>
      <c r="L147" s="99">
        <v>22010706198</v>
      </c>
      <c r="M147" s="99">
        <v>17242599050</v>
      </c>
      <c r="N147" s="99">
        <v>25250000000</v>
      </c>
      <c r="O147" s="99">
        <v>12515060233</v>
      </c>
      <c r="P147" s="99">
        <v>12515060233</v>
      </c>
      <c r="Q147" s="99">
        <v>12515060233</v>
      </c>
      <c r="R147" s="100">
        <v>0.992292070788486</v>
      </c>
      <c r="S147" t="inlineStr">
        <is>
          <t>Lo obligado está por debajo de lo programado en la vigencia</t>
        </is>
      </c>
      <c r="T147" s="101">
        <v>9017288080</v>
      </c>
      <c r="U147" s="101">
        <v>9017288080</v>
      </c>
      <c r="V147" s="101">
        <v>9017288080</v>
      </c>
      <c r="W147" s="102">
        <v>0.409677363319645</v>
      </c>
      <c r="X147" t="inlineStr">
        <is>
          <t>Lo obligado está por debajo de lo programado en la vigencia</t>
        </is>
      </c>
    </row>
    <row r="148">
      <c r="A148" t="inlineStr">
        <is>
          <t>IP-158</t>
        </is>
      </c>
      <c r="B148" t="inlineStr">
        <is>
          <t>43</t>
        </is>
      </c>
      <c r="C148" t="inlineStr">
        <is>
          <t>Deporte y Recreación</t>
        </is>
      </c>
      <c r="D148" t="inlineStr">
        <is>
          <t>4301</t>
        </is>
      </c>
      <c r="E148" t="inlineStr">
        <is>
          <t>Fomento a la recreación, la actividad física y el deporte para desarrollar entornos de convivencia y paz</t>
        </is>
      </c>
      <c r="F148" t="inlineStr">
        <is>
          <t>4301007</t>
        </is>
      </c>
      <c r="G148" t="inlineStr">
        <is>
          <t>Servicio de Escuelas Deportivas</t>
        </is>
      </c>
      <c r="H148" t="inlineStr">
        <is>
          <t>Corresponde a los procesos de iniciación, fundamentación y perfeccionamiento deportivos a partir de  las clases donde se practica la actividad física, la recreación y/o el deporte.</t>
        </is>
      </c>
      <c r="I148" t="inlineStr">
        <is>
          <t>2024004250106</t>
        </is>
      </c>
      <c r="J148" s="99">
        <v>84517047515</v>
      </c>
      <c r="K148" s="99">
        <v>21144876207</v>
      </c>
      <c r="L148" s="99">
        <v>30209762308</v>
      </c>
      <c r="M148" s="99">
        <v>23912409000</v>
      </c>
      <c r="N148" s="99">
        <v>9250000000</v>
      </c>
      <c r="O148" s="99">
        <v>21144876207</v>
      </c>
      <c r="P148" s="99">
        <v>21144876207</v>
      </c>
      <c r="Q148" s="99">
        <v>21144876207</v>
      </c>
      <c r="R148" s="100">
        <v>1</v>
      </c>
      <c r="S148" t="inlineStr">
        <is>
          <t>Se ejecutó el 100% de lo programado en la vigencia</t>
        </is>
      </c>
      <c r="T148" s="101">
        <v>16333588112</v>
      </c>
      <c r="U148" s="101">
        <v>16333588112</v>
      </c>
      <c r="V148" s="101">
        <v>16333588112</v>
      </c>
      <c r="W148" s="102">
        <v>0.540672513258226</v>
      </c>
      <c r="X148" t="inlineStr">
        <is>
          <t>Lo obligado está por debajo de lo programado en la vigencia</t>
        </is>
      </c>
    </row>
    <row r="149">
      <c r="A149" t="inlineStr">
        <is>
          <t>IP-161</t>
        </is>
      </c>
      <c r="B149" t="inlineStr">
        <is>
          <t>43</t>
        </is>
      </c>
      <c r="C149" t="inlineStr">
        <is>
          <t>Deporte y Recreación</t>
        </is>
      </c>
      <c r="D149" t="inlineStr">
        <is>
          <t>4302</t>
        </is>
      </c>
      <c r="E149" t="inlineStr">
        <is>
          <t>Formación y preparación de deportistas</t>
        </is>
      </c>
      <c r="F149" t="inlineStr">
        <is>
          <t>4302007</t>
        </is>
      </c>
      <c r="G149" t="inlineStr">
        <is>
          <t>Documentos de investigación</t>
        </is>
      </c>
      <c r="H149" t="inlineStr">
        <is>
          <t>Corresponde a las investigaciones en deporte.</t>
        </is>
      </c>
      <c r="I149" t="inlineStr">
        <is>
          <t>2024004250135</t>
        </is>
      </c>
      <c r="J149" s="99">
        <v>2920000000</v>
      </c>
      <c r="K149" s="99">
        <v>300000000</v>
      </c>
      <c r="L149" s="99">
        <v>820000000</v>
      </c>
      <c r="M149" s="99">
        <v>1100000000</v>
      </c>
      <c r="N149" s="99">
        <v>700000000</v>
      </c>
      <c r="O149" s="99">
        <v>300000000</v>
      </c>
      <c r="P149" s="99">
        <v>300000000</v>
      </c>
      <c r="Q149" s="99">
        <v>300000000</v>
      </c>
      <c r="R149" s="100">
        <v>1</v>
      </c>
      <c r="S149" t="inlineStr">
        <is>
          <t>Se ejecutó el 100% de lo programado en la vigencia</t>
        </is>
      </c>
      <c r="T149" s="101">
        <v>259200000</v>
      </c>
      <c r="U149" s="101">
        <v>259200000</v>
      </c>
      <c r="V149" s="101">
        <v>259200000</v>
      </c>
      <c r="W149" s="102">
        <v>0.31609756097561</v>
      </c>
      <c r="X149" t="inlineStr">
        <is>
          <t>Lo obligado está por debajo de lo programado en la vigencia</t>
        </is>
      </c>
    </row>
    <row r="150">
      <c r="A150" t="inlineStr">
        <is>
          <t>IP-163</t>
        </is>
      </c>
      <c r="B150" t="inlineStr">
        <is>
          <t>43</t>
        </is>
      </c>
      <c r="C150" t="inlineStr">
        <is>
          <t>Deporte y Recreación</t>
        </is>
      </c>
      <c r="D150" t="inlineStr">
        <is>
          <t>4302</t>
        </is>
      </c>
      <c r="E150" t="inlineStr">
        <is>
          <t>Formación y preparación de deportistas</t>
        </is>
      </c>
      <c r="F150" t="inlineStr">
        <is>
          <t>4302075</t>
        </is>
      </c>
      <c r="G150" t="inlineStr">
        <is>
          <t>Servicio de asistencia técnica para la promoción del deporte</t>
        </is>
      </c>
      <c r="H150" t="inlineStr">
        <is>
          <t>Corresponde al fortalecimiento de las Federaciones, Clubes y Ligas deportivas en Colombia. Incluye la capacitación y formación del recurso humano técnico, de jueces y de dirigentes deportivos.</t>
        </is>
      </c>
      <c r="I150" t="inlineStr">
        <is>
          <t>2024004250135</t>
        </is>
      </c>
      <c r="J150" s="99">
        <v>2369700120</v>
      </c>
      <c r="K150" s="99">
        <v>504550120</v>
      </c>
      <c r="L150" s="99">
        <v>500000000</v>
      </c>
      <c r="M150" s="99">
        <v>500000000</v>
      </c>
      <c r="N150" s="99">
        <v>865150000</v>
      </c>
      <c r="O150" s="99">
        <v>504550120</v>
      </c>
      <c r="P150" s="99">
        <v>504550120</v>
      </c>
      <c r="Q150" s="99">
        <v>504550120</v>
      </c>
      <c r="R150" s="100">
        <v>1</v>
      </c>
      <c r="S150" t="inlineStr">
        <is>
          <t>Se ejecutó el 100% de lo programado en la vigencia</t>
        </is>
      </c>
      <c r="T150" s="101">
        <v>92733333</v>
      </c>
      <c r="U150" s="101">
        <v>92733333</v>
      </c>
      <c r="V150" s="101">
        <v>92733333</v>
      </c>
      <c r="W150" s="102">
        <v>0.185466666</v>
      </c>
      <c r="X150" t="inlineStr">
        <is>
          <t>Lo obligado está por debajo de lo programado en la vigencia</t>
        </is>
      </c>
    </row>
    <row r="151">
      <c r="A151" t="inlineStr">
        <is>
          <t>IP-164</t>
        </is>
      </c>
      <c r="B151" t="inlineStr">
        <is>
          <t>43</t>
        </is>
      </c>
      <c r="C151" t="inlineStr">
        <is>
          <t>Deporte y Recreación</t>
        </is>
      </c>
      <c r="D151" t="inlineStr">
        <is>
          <t>4302</t>
        </is>
      </c>
      <c r="E151" t="inlineStr">
        <is>
          <t>Formación y preparación de deportistas</t>
        </is>
      </c>
      <c r="F151" t="inlineStr">
        <is>
          <t>4302001</t>
        </is>
      </c>
      <c r="G151" t="inlineStr">
        <is>
          <t>Servicio de preparación deportiva</t>
        </is>
      </c>
      <c r="H151" t="inlineStr">
        <is>
          <t>Corresponde a la preparación para las competencias de alto rendimiento deportivas que debe garantizarle al deportista un entrenador, una concentración deportiva para su entrenamiento y hospedaje</t>
        </is>
      </c>
      <c r="I151" t="inlineStr">
        <is>
          <t>2024004250135</t>
        </is>
      </c>
      <c r="J151" s="99">
        <v>6003000000</v>
      </c>
      <c r="K151" s="99">
        <v>800000000</v>
      </c>
      <c r="L151" s="99">
        <v>1003000000</v>
      </c>
      <c r="M151" s="99">
        <v>1800000000</v>
      </c>
      <c r="N151" s="99">
        <v>2400000000</v>
      </c>
      <c r="O151" s="99">
        <v>800000000</v>
      </c>
      <c r="P151" s="99">
        <v>800000000</v>
      </c>
      <c r="Q151" s="99">
        <v>800000000</v>
      </c>
      <c r="R151" s="100">
        <v>1</v>
      </c>
      <c r="S151" t="inlineStr">
        <is>
          <t>Se ejecutó el 100% de lo programado en la vigencia</t>
        </is>
      </c>
      <c r="T151" s="101">
        <v>106400001</v>
      </c>
      <c r="U151" s="101">
        <v>106400001</v>
      </c>
      <c r="V151" s="101">
        <v>106400001</v>
      </c>
      <c r="W151" s="102">
        <v>0.106081755732802</v>
      </c>
      <c r="X151" t="inlineStr">
        <is>
          <t>Lo obligado está por debajo de lo programado en la vigencia</t>
        </is>
      </c>
    </row>
    <row r="152">
      <c r="A152" t="inlineStr">
        <is>
          <t>IP-165</t>
        </is>
      </c>
      <c r="B152" t="inlineStr">
        <is>
          <t>22</t>
        </is>
      </c>
      <c r="C152" t="inlineStr">
        <is>
          <t>Educación</t>
        </is>
      </c>
      <c r="D152" t="inlineStr">
        <is>
          <t>2201</t>
        </is>
      </c>
      <c r="E152" t="inlineStr">
        <is>
          <t>Calidad, cobertura y fortalecimiento de la educación inicial, prescolar, básica y media</t>
        </is>
      </c>
      <c r="F152" t="inlineStr">
        <is>
          <t>2201047</t>
        </is>
      </c>
      <c r="G152" t="inlineStr">
        <is>
          <t>Servicios de apoyo a la implementación de modelos de innovación educativa</t>
        </is>
      </c>
      <c r="H152" t="inlineStr">
        <is>
          <t>Corresponde a la implementación de ideas, procesos y estrategias de innovación educativa en la educación inicial preescolar básica y media</t>
        </is>
      </c>
      <c r="I152" t="inlineStr">
        <is>
          <t>2024004250017</t>
        </is>
      </c>
      <c r="J152" s="99">
        <v>2142870000</v>
      </c>
      <c r="K152" s="99">
        <v>225000000</v>
      </c>
      <c r="L152" s="99">
        <v>1217870000</v>
      </c>
      <c r="M152" s="99">
        <v>300000000</v>
      </c>
      <c r="N152" s="99">
        <v>400000000</v>
      </c>
      <c r="O152" s="99">
        <v>150000000</v>
      </c>
      <c r="P152" s="99">
        <v>150000000</v>
      </c>
      <c r="Q152" s="99">
        <v>150000000</v>
      </c>
      <c r="R152" s="100">
        <v>0.666666666666667</v>
      </c>
      <c r="S152" t="inlineStr">
        <is>
          <t>Lo obligado está por debajo de lo programado en la vigencia</t>
        </is>
      </c>
      <c r="T152" s="101">
        <v>375000000</v>
      </c>
      <c r="U152" s="101">
        <v>75000000</v>
      </c>
      <c r="V152" s="101">
        <v>75000000</v>
      </c>
      <c r="W152" s="102">
        <v>0.0615829275702661</v>
      </c>
      <c r="X152" t="inlineStr">
        <is>
          <t>Lo obligado está por debajo de lo programado en la vigencia</t>
        </is>
      </c>
    </row>
    <row r="153">
      <c r="A153" t="inlineStr">
        <is>
          <t>IP-166</t>
        </is>
      </c>
      <c r="B153" t="inlineStr">
        <is>
          <t>12</t>
        </is>
      </c>
      <c r="C153" t="inlineStr">
        <is>
          <t>Justicia y del derecho</t>
        </is>
      </c>
      <c r="D153" t="inlineStr">
        <is>
          <t>1203</t>
        </is>
      </c>
      <c r="E153" t="inlineStr">
        <is>
          <t>Promoción de los métodos de resolución de conflictos</t>
        </is>
      </c>
      <c r="F153" t="inlineStr">
        <is>
          <t>1203004</t>
        </is>
      </c>
      <c r="G153" t="inlineStr">
        <is>
          <t>Documentos de planeación</t>
        </is>
      </c>
      <c r="H153" t="inlineStr">
        <is>
          <t>Documentos cuyo objetivo es plasmar una visión de futuro a nivel país, entidad territorial, comunidad, sector, región, entidad o cualquier nivel de desagregación que se requiera. Incluye objetivos, estrategias, metas e indicadores</t>
        </is>
      </c>
      <c r="I153" t="inlineStr">
        <is>
          <t>2024004250140</t>
        </is>
      </c>
      <c r="J153" s="99">
        <v>172000000</v>
      </c>
      <c r="K153" s="99">
        <v>70000000</v>
      </c>
      <c r="L153" s="99">
        <v>52000000</v>
      </c>
      <c r="M153" s="99">
        <v>0</v>
      </c>
      <c r="N153" s="99">
        <v>50000000</v>
      </c>
      <c r="O153" s="99">
        <v>70000000</v>
      </c>
      <c r="P153" s="99">
        <v>70000000</v>
      </c>
      <c r="Q153" s="99">
        <v>63915267</v>
      </c>
      <c r="R153" s="100">
        <v>1</v>
      </c>
      <c r="S153" t="inlineStr">
        <is>
          <t>Se ejecutó el 100% de lo programado en la vigencia</t>
        </is>
      </c>
      <c r="T153" s="101">
        <v>52000000</v>
      </c>
      <c r="U153" s="101">
        <v>52000000</v>
      </c>
      <c r="V153" s="101">
        <v>52000000</v>
      </c>
      <c r="W153" s="102">
        <v>1</v>
      </c>
      <c r="X153" t="inlineStr">
        <is>
          <t>Se ejecutó el 100% de lo programado en la vigencia</t>
        </is>
      </c>
    </row>
    <row r="154">
      <c r="A154" t="inlineStr">
        <is>
          <t>IP-167</t>
        </is>
      </c>
      <c r="B154" t="inlineStr">
        <is>
          <t>45</t>
        </is>
      </c>
      <c r="C154" t="inlineStr">
        <is>
          <t>Gobierno Territorial</t>
        </is>
      </c>
      <c r="D154" t="inlineStr">
        <is>
          <t>4501</t>
        </is>
      </c>
      <c r="E154" t="inlineStr">
        <is>
          <t>Fortalecimiento de la convivencia y la seguridad ciudadana</t>
        </is>
      </c>
      <c r="F154" t="inlineStr">
        <is>
          <t>4501004</t>
        </is>
      </c>
      <c r="G154" t="inlineStr">
        <is>
          <t>Servicio de promoción de convivencia y no repetición</t>
        </is>
      </c>
      <c r="H154" t="inlineStr">
        <is>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is>
      </c>
      <c r="I154" t="inlineStr">
        <is>
          <t>2024004250141</t>
        </is>
      </c>
      <c r="J154" s="99">
        <v>2006890276</v>
      </c>
      <c r="K154" s="99">
        <v>637571500</v>
      </c>
      <c r="L154" s="99">
        <v>392504000</v>
      </c>
      <c r="M154" s="99">
        <v>278063920</v>
      </c>
      <c r="N154" s="99">
        <v>698750856</v>
      </c>
      <c r="O154" s="99">
        <v>636036400</v>
      </c>
      <c r="P154" s="99">
        <v>636036400</v>
      </c>
      <c r="Q154" s="99">
        <v>635466400</v>
      </c>
      <c r="R154" s="100">
        <v>0.997592270043438</v>
      </c>
      <c r="S154" t="inlineStr">
        <is>
          <t>Lo obligado está por debajo de lo programado en la vigencia</t>
        </is>
      </c>
      <c r="T154" s="101">
        <v>170502333</v>
      </c>
      <c r="U154" s="101">
        <v>162827333</v>
      </c>
      <c r="V154" s="101">
        <v>162827333</v>
      </c>
      <c r="W154" s="102">
        <v>0.414842480586185</v>
      </c>
      <c r="X154" t="inlineStr">
        <is>
          <t>Lo obligado está por debajo de lo programado en la vigencia</t>
        </is>
      </c>
    </row>
    <row r="155">
      <c r="A155" t="inlineStr">
        <is>
          <t>IP-168</t>
        </is>
      </c>
      <c r="B155" t="inlineStr">
        <is>
          <t>45</t>
        </is>
      </c>
      <c r="C155" t="inlineStr">
        <is>
          <t>Gobierno Territorial</t>
        </is>
      </c>
      <c r="D155" t="inlineStr">
        <is>
          <t>4501</t>
        </is>
      </c>
      <c r="E155" t="inlineStr">
        <is>
          <t>Fortalecimiento de la convivencia y la seguridad ciudadana</t>
        </is>
      </c>
      <c r="F155" t="inlineStr">
        <is>
          <t>4501050</t>
        </is>
      </c>
      <c r="G155" t="inlineStr">
        <is>
          <t>Servicio de orientación a casos de violencia de género</t>
        </is>
      </c>
      <c r="H155" t="inlineStr">
        <is>
          <t>Servicio enfocado a dar orientación en casos de cualquier acción o conducta que se desarrolle a partir de las relaciones de poder asimétricas basadas en el género, identidad sexual, sexo u orientación a través de líneas de atención.</t>
        </is>
      </c>
      <c r="I155" t="inlineStr">
        <is>
          <t>2024004250217</t>
        </is>
      </c>
      <c r="J155" s="99">
        <v>6721708967</v>
      </c>
      <c r="K155" s="99">
        <v>466758667</v>
      </c>
      <c r="L155" s="99">
        <v>2278723250</v>
      </c>
      <c r="M155" s="99">
        <v>3299784950</v>
      </c>
      <c r="N155" s="99">
        <v>676442100</v>
      </c>
      <c r="O155" s="99">
        <v>466758667</v>
      </c>
      <c r="P155" s="99">
        <v>466758667</v>
      </c>
      <c r="Q155" s="99">
        <v>466758667</v>
      </c>
      <c r="R155" s="100">
        <v>1</v>
      </c>
      <c r="S155" t="inlineStr">
        <is>
          <t>Se ejecutó el 100% de lo programado en la vigencia</t>
        </is>
      </c>
      <c r="T155" s="101">
        <v>2074102000</v>
      </c>
      <c r="U155" s="101">
        <v>1256751000</v>
      </c>
      <c r="V155" s="101">
        <v>1216952000</v>
      </c>
      <c r="W155" s="102">
        <v>0.551515415485404</v>
      </c>
      <c r="X155" t="inlineStr">
        <is>
          <t>Lo obligado está por debajo de lo programado en la vigencia</t>
        </is>
      </c>
    </row>
    <row r="156">
      <c r="A156" t="inlineStr">
        <is>
          <t>IP-169</t>
        </is>
      </c>
      <c r="B156" t="inlineStr">
        <is>
          <t>45</t>
        </is>
      </c>
      <c r="C156" t="inlineStr">
        <is>
          <t>Gobierno Territorial</t>
        </is>
      </c>
      <c r="D156" t="inlineStr">
        <is>
          <t>4501</t>
        </is>
      </c>
      <c r="E156" t="inlineStr">
        <is>
          <t>Fortalecimiento de la convivencia y la seguridad ciudadana</t>
        </is>
      </c>
      <c r="F156" t="inlineStr">
        <is>
          <t>4501082</t>
        </is>
      </c>
      <c r="G156" t="inlineStr">
        <is>
          <t>Servicio de apoyo para la atención especializada e interdisciplinaria en las comisarias de familia</t>
        </is>
      </c>
      <c r="H156" t="inlineStr">
        <is>
          <t>Recursos para garantizar la atención de las comisarías de familia a aquellas personas que han sido victimas de violencia en el contexto familiar según lo establecido en la normatividad vigente.</t>
        </is>
      </c>
      <c r="I156" t="inlineStr">
        <is>
          <t>2024004250118</t>
        </is>
      </c>
      <c r="J156" s="99">
        <v>2260176073</v>
      </c>
      <c r="K156" s="99">
        <v>1060176073</v>
      </c>
      <c r="L156" s="99">
        <v>500000000</v>
      </c>
      <c r="M156" s="99">
        <v>600000000</v>
      </c>
      <c r="N156" s="99">
        <v>100000000</v>
      </c>
      <c r="O156" s="99">
        <v>1050029600</v>
      </c>
      <c r="P156" s="99">
        <v>1050029600</v>
      </c>
      <c r="Q156" s="99">
        <v>1050029600</v>
      </c>
      <c r="R156" s="100">
        <v>0.990429445392699</v>
      </c>
      <c r="S156" t="inlineStr">
        <is>
          <t>Lo obligado está por debajo de lo programado en la vigencia</t>
        </is>
      </c>
      <c r="T156" s="101" t="inlineStr">
        <is>
          <t xml:space="preserve"> </t>
        </is>
      </c>
      <c r="U156" s="101" t="inlineStr">
        <is>
          <t xml:space="preserve"> </t>
        </is>
      </c>
      <c r="V156" s="101" t="inlineStr">
        <is>
          <t xml:space="preserve"> </t>
        </is>
      </c>
      <c r="W156" s="102" t="inlineStr">
        <is>
          <t xml:space="preserve"> </t>
        </is>
      </c>
      <c r="X156" t="inlineStr">
        <is>
          <t>No se encontró ejecución en CUIPO</t>
        </is>
      </c>
    </row>
    <row r="157">
      <c r="A157" t="inlineStr">
        <is>
          <t>IP-170</t>
        </is>
      </c>
      <c r="B157" t="inlineStr">
        <is>
          <t>12</t>
        </is>
      </c>
      <c r="C157" t="inlineStr">
        <is>
          <t>Justicia y del derecho</t>
        </is>
      </c>
      <c r="D157" t="inlineStr">
        <is>
          <t>1206</t>
        </is>
      </c>
      <c r="E157" t="inlineStr">
        <is>
          <t>Sistema penitenciario y carcelario en el marco de los derechos humanos</t>
        </is>
      </c>
      <c r="F157" t="inlineStr">
        <is>
          <t>1206018</t>
        </is>
      </c>
      <c r="G157" t="inlineStr">
        <is>
          <t>Servicio de asistencia técnica para la resocialización e inclusión social</t>
        </is>
      </c>
      <c r="H157" t="inlineStr">
        <is>
          <t>Hace referencia al apoyo técnico y de conocimiento que se brinda durante los espacios de orientación, acompañamiento y asistencia para la aplicación de mecanismos para la resocialización e inclusión social de personas privadas de la libertad.</t>
        </is>
      </c>
      <c r="I157" t="inlineStr">
        <is>
          <t>2024004250176</t>
        </is>
      </c>
      <c r="J157" s="99">
        <v>485000000</v>
      </c>
      <c r="K157" s="99">
        <v>175000000</v>
      </c>
      <c r="L157" s="99">
        <v>100000000</v>
      </c>
      <c r="M157" s="99">
        <v>60000000</v>
      </c>
      <c r="N157" s="99">
        <v>150000000</v>
      </c>
      <c r="O157" s="99">
        <v>175000000</v>
      </c>
      <c r="P157" s="99">
        <v>158597500</v>
      </c>
      <c r="Q157" s="99">
        <v>158597500</v>
      </c>
      <c r="R157" s="100">
        <v>0.906271428571429</v>
      </c>
      <c r="S157" t="inlineStr">
        <is>
          <t>Lo obligado está por debajo de lo programado en la vigencia</t>
        </is>
      </c>
      <c r="T157" s="101">
        <v>100000000</v>
      </c>
      <c r="U157" s="101">
        <v>100000000</v>
      </c>
      <c r="V157" s="101">
        <v>100000000</v>
      </c>
      <c r="W157" s="102">
        <v>1</v>
      </c>
      <c r="X157" t="inlineStr">
        <is>
          <t>Se ejecutó el 100% de lo programado en la vigencia</t>
        </is>
      </c>
    </row>
    <row r="158">
      <c r="A158" t="inlineStr">
        <is>
          <t>IP-171</t>
        </is>
      </c>
      <c r="B158" t="inlineStr">
        <is>
          <t>45</t>
        </is>
      </c>
      <c r="C158" t="inlineStr">
        <is>
          <t>Gobierno Territorial</t>
        </is>
      </c>
      <c r="D158" t="inlineStr">
        <is>
          <t>4501</t>
        </is>
      </c>
      <c r="E158" t="inlineStr">
        <is>
          <t>Fortalecimiento de la convivencia y la seguridad ciudadana</t>
        </is>
      </c>
      <c r="F158" t="inlineStr">
        <is>
          <t>4501026</t>
        </is>
      </c>
      <c r="G158" t="inlineStr">
        <is>
          <t>Documentos Planeacion</t>
        </is>
      </c>
      <c r="H158" t="inlineStr">
        <is>
          <t>Documentos cuyo objetivo es plasmar una visión de futuro a anivel de entidad territorial, comunidad, sector, región, entidad o cualquier nivel de desagregación que se requiera. Incluye objetivos, estrategias, metas e indicadores.</t>
        </is>
      </c>
      <c r="I158" t="inlineStr">
        <is>
          <t>2024004250217</t>
        </is>
      </c>
      <c r="J158" s="99">
        <v>14000332610</v>
      </c>
      <c r="K158" s="99">
        <v>3766033626</v>
      </c>
      <c r="L158" s="99">
        <v>3863436533</v>
      </c>
      <c r="M158" s="99">
        <v>4867978251</v>
      </c>
      <c r="N158" s="99">
        <v>1502884200</v>
      </c>
      <c r="O158" s="99">
        <v>3743527650</v>
      </c>
      <c r="P158" s="99">
        <v>3743527650</v>
      </c>
      <c r="Q158" s="99">
        <v>3623697626</v>
      </c>
      <c r="R158" s="100">
        <v>0.994023957766967</v>
      </c>
      <c r="S158" t="inlineStr">
        <is>
          <t>Lo obligado está por debajo de lo programado en la vigencia</t>
        </is>
      </c>
      <c r="T158" s="101">
        <v>3024683500</v>
      </c>
      <c r="U158" s="101">
        <v>2398353867</v>
      </c>
      <c r="V158" s="101">
        <v>2369896867</v>
      </c>
      <c r="W158" s="102">
        <v>0.620782520047677</v>
      </c>
      <c r="X158" t="inlineStr">
        <is>
          <t>Lo obligado está por debajo de lo programado en la vigencia</t>
        </is>
      </c>
    </row>
    <row r="159">
      <c r="A159" t="inlineStr">
        <is>
          <t>IP-172</t>
        </is>
      </c>
      <c r="B159" t="inlineStr">
        <is>
          <t>45</t>
        </is>
      </c>
      <c r="C159" t="inlineStr">
        <is>
          <t>Gobierno Territorial</t>
        </is>
      </c>
      <c r="D159" t="inlineStr">
        <is>
          <t>4501</t>
        </is>
      </c>
      <c r="E159" t="inlineStr">
        <is>
          <t>Fortalecimiento de la convivencia y la seguridad ciudadana</t>
        </is>
      </c>
      <c r="F159" t="inlineStr">
        <is>
          <t>4501008</t>
        </is>
      </c>
      <c r="G159" t="inlineStr">
        <is>
          <t>Servicio de información actualizado</t>
        </is>
      </c>
      <c r="H159" t="inlineStr">
        <is>
          <t>Corresponde al proceso que mejora en la disposición de la información para asegurar que sea accesible, confiable y oportuna.</t>
        </is>
      </c>
      <c r="I159" t="inlineStr">
        <is>
          <t>2024004250217</t>
        </is>
      </c>
      <c r="J159" s="99">
        <v>6113995165</v>
      </c>
      <c r="K159" s="99">
        <v>1003075833</v>
      </c>
      <c r="L159" s="99">
        <v>2081017250</v>
      </c>
      <c r="M159" s="99">
        <v>2353459982</v>
      </c>
      <c r="N159" s="99">
        <v>676442100</v>
      </c>
      <c r="O159" s="99">
        <v>1003075832</v>
      </c>
      <c r="P159" s="99">
        <v>1003075832</v>
      </c>
      <c r="Q159" s="99">
        <v>999030500</v>
      </c>
      <c r="R159" s="100">
        <v>0.999999999003066</v>
      </c>
      <c r="S159" t="inlineStr">
        <is>
          <t>Lo obligado está por debajo de lo programado en la vigencia</t>
        </is>
      </c>
      <c r="T159" s="101">
        <v>1695992033</v>
      </c>
      <c r="U159" s="101">
        <v>1307293000</v>
      </c>
      <c r="V159" s="101">
        <v>1295341000</v>
      </c>
      <c r="W159" s="102">
        <v>0.628199021416089</v>
      </c>
      <c r="X159" t="inlineStr">
        <is>
          <t>Lo obligado está por debajo de lo programado en la vigencia</t>
        </is>
      </c>
    </row>
    <row r="160">
      <c r="A160" t="inlineStr">
        <is>
          <t>IP-173</t>
        </is>
      </c>
      <c r="B160" t="inlineStr">
        <is>
          <t>45</t>
        </is>
      </c>
      <c r="C160" t="inlineStr">
        <is>
          <t>Gobierno Territorial</t>
        </is>
      </c>
      <c r="D160" t="inlineStr">
        <is>
          <t>4501</t>
        </is>
      </c>
      <c r="E160" t="inlineStr">
        <is>
          <t>Fortalecimiento de la convivencia y la seguridad ciudadana</t>
        </is>
      </c>
      <c r="F160" t="inlineStr">
        <is>
          <t>4501029</t>
        </is>
      </c>
      <c r="G160" t="inlineStr">
        <is>
          <t>Servicio de apoyo financiero para proyectos de convivencia y seguridad ciudadana</t>
        </is>
      </c>
      <c r="H160" t="inlineStr">
        <is>
          <t>Incluye la financiación monetaria de iniciativas ciudadanas que promuevan la convivencia y  seguridad ciudadana.</t>
        </is>
      </c>
      <c r="I160" t="inlineStr">
        <is>
          <t>2024004250085</t>
        </is>
      </c>
      <c r="J160" s="99">
        <v>20350231982</v>
      </c>
      <c r="K160" s="99">
        <v>4470105899</v>
      </c>
      <c r="L160" s="99">
        <v>9214216083</v>
      </c>
      <c r="M160" s="99">
        <v>3283699500</v>
      </c>
      <c r="N160" s="99">
        <v>3382210500</v>
      </c>
      <c r="O160" s="99">
        <v>4463291899</v>
      </c>
      <c r="P160" s="99">
        <v>4463291899</v>
      </c>
      <c r="Q160" s="99">
        <v>1038041899</v>
      </c>
      <c r="R160" s="100">
        <v>0.998475651325951</v>
      </c>
      <c r="S160" t="inlineStr">
        <is>
          <t>Lo obligado está por debajo de lo programado en la vigencia</t>
        </is>
      </c>
      <c r="T160" s="101">
        <v>8815469183</v>
      </c>
      <c r="U160" s="101">
        <v>1851499563</v>
      </c>
      <c r="V160" s="101">
        <v>1105361700</v>
      </c>
      <c r="W160" s="102">
        <v>0.200939455545868</v>
      </c>
      <c r="X160" t="inlineStr">
        <is>
          <t>Lo obligado está por debajo de lo programado en la vigencia</t>
        </is>
      </c>
    </row>
    <row r="161">
      <c r="A161" t="inlineStr">
        <is>
          <t>IP-174</t>
        </is>
      </c>
      <c r="B161" t="inlineStr">
        <is>
          <t>45</t>
        </is>
      </c>
      <c r="C161" t="inlineStr">
        <is>
          <t>Gobierno Territorial</t>
        </is>
      </c>
      <c r="D161" t="inlineStr">
        <is>
          <t>4501</t>
        </is>
      </c>
      <c r="E161" t="inlineStr">
        <is>
          <t>Fortalecimiento de la convivencia y la seguridad ciudadana</t>
        </is>
      </c>
      <c r="F161" t="inlineStr">
        <is>
          <t>4501053</t>
        </is>
      </c>
      <c r="G161" t="inlineStr">
        <is>
          <t>Servicio de apoyo financiero para la formación en carreras militares y policiales</t>
        </is>
      </c>
      <c r="H161" t="inlineStr">
        <is>
          <t>Corresponde al diseño y desarrollo de programas de apoyo para el acceso a la formación en carreras militares y policiales</t>
        </is>
      </c>
      <c r="I161" t="inlineStr">
        <is>
          <t>2024004250226</t>
        </is>
      </c>
      <c r="J161" s="99">
        <v>3161426967</v>
      </c>
      <c r="K161" s="99">
        <v>0</v>
      </c>
      <c r="L161" s="99">
        <v>1002921237</v>
      </c>
      <c r="M161" s="99">
        <v>1211486790</v>
      </c>
      <c r="N161" s="99">
        <v>947018940</v>
      </c>
      <c r="O161" s="99" t="inlineStr">
        <is>
          <t xml:space="preserve"> </t>
        </is>
      </c>
      <c r="P161" s="99" t="inlineStr">
        <is>
          <t xml:space="preserve"> </t>
        </is>
      </c>
      <c r="Q161" s="99" t="inlineStr">
        <is>
          <t xml:space="preserve"> </t>
        </is>
      </c>
      <c r="R161" s="100" t="inlineStr">
        <is>
          <t xml:space="preserve"> </t>
        </is>
      </c>
      <c r="S161" t="inlineStr">
        <is>
          <t>No se encontró ejecución en CUIPO</t>
        </is>
      </c>
      <c r="T161" s="101">
        <v>794835000</v>
      </c>
      <c r="U161" s="101">
        <v>579594000</v>
      </c>
      <c r="V161" s="101">
        <v>574221000</v>
      </c>
      <c r="W161" s="102">
        <v>0.577905800193959</v>
      </c>
      <c r="X161" t="inlineStr">
        <is>
          <t>Lo obligado está por debajo de lo programado en la vigencia</t>
        </is>
      </c>
    </row>
    <row r="162">
      <c r="A162" t="inlineStr">
        <is>
          <t>IP-175</t>
        </is>
      </c>
      <c r="B162" t="inlineStr">
        <is>
          <t>45</t>
        </is>
      </c>
      <c r="C162" t="inlineStr">
        <is>
          <t>Gobierno Territorial</t>
        </is>
      </c>
      <c r="D162" t="inlineStr">
        <is>
          <t>4501</t>
        </is>
      </c>
      <c r="E162" t="inlineStr">
        <is>
          <t>Fortalecimiento de la convivencia y la seguridad ciudadana</t>
        </is>
      </c>
      <c r="F162" t="inlineStr">
        <is>
          <t>4501057</t>
        </is>
      </c>
      <c r="G162" t="inlineStr">
        <is>
          <t>Servicio de apoyo financiero para dotar a miembros de la fuerza publica</t>
        </is>
      </c>
      <c r="H162" t="inlineStr">
        <is>
          <t xml:space="preserve">Corresponde a los recursos del Fondos de Seguridad de las Entidades Territoriales (FONSET) destinados a la adquisición de dotación para nuevos policias, soldados y auxiliares en tanto se inicia la nueva vigencia.
</t>
        </is>
      </c>
      <c r="I162" t="inlineStr">
        <is>
          <t>2024004250226, 2024004250243</t>
        </is>
      </c>
      <c r="J162" s="99">
        <v>74174886462</v>
      </c>
      <c r="K162" s="99">
        <v>16533751600</v>
      </c>
      <c r="L162" s="99">
        <v>32075535805</v>
      </c>
      <c r="M162" s="99">
        <v>21230504357</v>
      </c>
      <c r="N162" s="99">
        <v>4335094700</v>
      </c>
      <c r="O162" s="99">
        <v>15831969734</v>
      </c>
      <c r="P162" s="99">
        <v>15831969734</v>
      </c>
      <c r="Q162" s="99">
        <v>11501547258</v>
      </c>
      <c r="R162" s="100">
        <v>0.957554589969768</v>
      </c>
      <c r="S162" t="inlineStr">
        <is>
          <t>Lo obligado está por debajo de lo programado en la vigencia</t>
        </is>
      </c>
      <c r="T162" s="101">
        <v>9636989204</v>
      </c>
      <c r="U162" s="101">
        <v>1200439700</v>
      </c>
      <c r="V162" s="101">
        <v>1189693700</v>
      </c>
      <c r="W162" s="102">
        <v>0.0374253982006085</v>
      </c>
      <c r="X162" t="inlineStr">
        <is>
          <t>Lo obligado está por debajo de lo programado en la vigencia</t>
        </is>
      </c>
    </row>
    <row r="163">
      <c r="A163" t="inlineStr">
        <is>
          <t>IP-176</t>
        </is>
      </c>
      <c r="B163" t="inlineStr">
        <is>
          <t>45</t>
        </is>
      </c>
      <c r="C163" t="inlineStr">
        <is>
          <t>Gobierno Territorial</t>
        </is>
      </c>
      <c r="D163" t="inlineStr">
        <is>
          <t>4501</t>
        </is>
      </c>
      <c r="E163" t="inlineStr">
        <is>
          <t>Fortalecimiento de la convivencia y la seguridad ciudadana</t>
        </is>
      </c>
      <c r="F163" t="inlineStr">
        <is>
          <t>4501044</t>
        </is>
      </c>
      <c r="G163" t="inlineStr">
        <is>
          <t>Documentos metodológicos</t>
        </is>
      </c>
      <c r="H163" t="inlineStr">
        <is>
          <t>Documentos cuyo objetivo es describir y explicar métodos, herramientas analíticas, o procesos que determinan un camino o forma de realizar un análisis en particular.</t>
        </is>
      </c>
      <c r="I163" t="inlineStr">
        <is>
          <t>2024004250121</t>
        </is>
      </c>
      <c r="J163" s="99">
        <v>5103819420</v>
      </c>
      <c r="K163" s="99">
        <v>0</v>
      </c>
      <c r="L163" s="99">
        <v>1753966780</v>
      </c>
      <c r="M163" s="99">
        <v>2267545280</v>
      </c>
      <c r="N163" s="99">
        <v>1082307360</v>
      </c>
      <c r="O163" s="99" t="inlineStr">
        <is>
          <t xml:space="preserve"> </t>
        </is>
      </c>
      <c r="P163" s="99" t="inlineStr">
        <is>
          <t xml:space="preserve"> </t>
        </is>
      </c>
      <c r="Q163" s="99" t="inlineStr">
        <is>
          <t xml:space="preserve"> </t>
        </is>
      </c>
      <c r="R163" s="100" t="inlineStr">
        <is>
          <t xml:space="preserve"> </t>
        </is>
      </c>
      <c r="S163" t="inlineStr">
        <is>
          <t>No se encontró ejecución en CUIPO</t>
        </is>
      </c>
      <c r="T163" s="101">
        <v>511976508</v>
      </c>
      <c r="U163" s="101">
        <v>405642508</v>
      </c>
      <c r="V163" s="101">
        <v>389523508</v>
      </c>
      <c r="W163" s="102">
        <v>0.231271488505615</v>
      </c>
      <c r="X163" t="inlineStr">
        <is>
          <t>Lo obligado está por debajo de lo programado en la vigencia</t>
        </is>
      </c>
    </row>
    <row r="164">
      <c r="A164" t="inlineStr">
        <is>
          <t>IP-177</t>
        </is>
      </c>
      <c r="B164" t="inlineStr">
        <is>
          <t>12</t>
        </is>
      </c>
      <c r="C164" t="inlineStr">
        <is>
          <t>Justicia y del derecho</t>
        </is>
      </c>
      <c r="D164" t="inlineStr">
        <is>
          <t>1203</t>
        </is>
      </c>
      <c r="E164" t="inlineStr">
        <is>
          <t>Promoción de los métodos de resolución de conflictos</t>
        </is>
      </c>
      <c r="F164" t="inlineStr">
        <is>
          <t>1203002</t>
        </is>
      </c>
      <c r="G164" t="inlineStr">
        <is>
          <t>Servicio de asistencia técnica para la implementación de los métodos de resolución de conflictos</t>
        </is>
      </c>
      <c r="H164" t="inlineStr">
        <is>
          <t>Asistencia técnica brindada a los entes territoriales en la implementación y fortalecimiento de la conciliación en equidad, conciliación en derecho, arbitraje y amigable composición y los procesos de inspección, control y vigilancia.</t>
        </is>
      </c>
      <c r="I164" t="inlineStr">
        <is>
          <t>2024004250257</t>
        </is>
      </c>
      <c r="J164" s="99">
        <v>10000000</v>
      </c>
      <c r="K164" s="99">
        <v>0</v>
      </c>
      <c r="L164" s="99">
        <v>0</v>
      </c>
      <c r="M164" s="99">
        <v>0</v>
      </c>
      <c r="N164" s="99">
        <v>10000000</v>
      </c>
      <c r="O164" s="99" t="inlineStr">
        <is>
          <t xml:space="preserve"> </t>
        </is>
      </c>
      <c r="P164" s="99" t="inlineStr">
        <is>
          <t xml:space="preserve"> </t>
        </is>
      </c>
      <c r="Q164" s="99" t="inlineStr">
        <is>
          <t xml:space="preserve"> </t>
        </is>
      </c>
      <c r="R164" s="100" t="inlineStr">
        <is>
          <t xml:space="preserve"> </t>
        </is>
      </c>
      <c r="S164" t="inlineStr">
        <is>
          <t>No se encontró ejecución en CUIPO</t>
        </is>
      </c>
      <c r="T164" s="101" t="inlineStr">
        <is>
          <t xml:space="preserve"> </t>
        </is>
      </c>
      <c r="U164" s="101" t="inlineStr">
        <is>
          <t xml:space="preserve"> </t>
        </is>
      </c>
      <c r="V164" s="101" t="inlineStr">
        <is>
          <t xml:space="preserve"> </t>
        </is>
      </c>
      <c r="W164" s="102" t="inlineStr">
        <is>
          <t xml:space="preserve"> </t>
        </is>
      </c>
      <c r="X164" t="inlineStr">
        <is>
          <t>No se encontró ejecución en CUIPO</t>
        </is>
      </c>
    </row>
    <row r="165">
      <c r="A165" t="inlineStr">
        <is>
          <t>IP-178</t>
        </is>
      </c>
      <c r="B165" t="inlineStr">
        <is>
          <t>12</t>
        </is>
      </c>
      <c r="C165" t="inlineStr">
        <is>
          <t>Justicia y del derecho</t>
        </is>
      </c>
      <c r="D165" t="inlineStr">
        <is>
          <t>1207</t>
        </is>
      </c>
      <c r="E165" t="inlineStr">
        <is>
          <t>Fortalecimiento de la política criminal del Estado colombiano</t>
        </is>
      </c>
      <c r="F165" t="inlineStr">
        <is>
          <t>1207005</t>
        </is>
      </c>
      <c r="G165" t="inlineStr">
        <is>
          <t>Documentos de lineamientos técnicos</t>
        </is>
      </c>
      <c r="H165" t="inlineStr">
        <is>
          <t>Documentos cuyo objetivo es describir y explicar instrumentos, estándares, requisitos y condiciones necesarias para llevar a cabo un proceso o actividad</t>
        </is>
      </c>
      <c r="I165" t="inlineStr">
        <is>
          <t>2024004250172</t>
        </is>
      </c>
      <c r="J165" s="99">
        <v>3686513455</v>
      </c>
      <c r="K165" s="99">
        <v>1665665448</v>
      </c>
      <c r="L165" s="99">
        <v>663865017</v>
      </c>
      <c r="M165" s="99">
        <v>680540890</v>
      </c>
      <c r="N165" s="99">
        <v>676442100</v>
      </c>
      <c r="O165" s="99" t="inlineStr">
        <is>
          <t xml:space="preserve"> </t>
        </is>
      </c>
      <c r="P165" s="99" t="inlineStr">
        <is>
          <t xml:space="preserve"> </t>
        </is>
      </c>
      <c r="Q165" s="99" t="inlineStr">
        <is>
          <t xml:space="preserve"> </t>
        </is>
      </c>
      <c r="R165" s="100" t="inlineStr">
        <is>
          <t xml:space="preserve"> </t>
        </is>
      </c>
      <c r="S165" t="inlineStr">
        <is>
          <t>No se encontró ejecución en CUIPO</t>
        </is>
      </c>
      <c r="T165" s="101">
        <v>68048600</v>
      </c>
      <c r="U165" s="101">
        <v>57302600</v>
      </c>
      <c r="V165" s="101">
        <v>57302600</v>
      </c>
      <c r="W165" s="102">
        <v>0.0863166434932058</v>
      </c>
      <c r="X165" t="inlineStr">
        <is>
          <t>Lo obligado está por debajo de lo programado en la vigencia</t>
        </is>
      </c>
    </row>
    <row r="166">
      <c r="A166" t="inlineStr">
        <is>
          <t>IP-179</t>
        </is>
      </c>
      <c r="B166" t="inlineStr">
        <is>
          <t>24</t>
        </is>
      </c>
      <c r="C166" t="inlineStr">
        <is>
          <t>Transporte</t>
        </is>
      </c>
      <c r="D166" t="inlineStr">
        <is>
          <t>2409</t>
        </is>
      </c>
      <c r="E166" t="inlineStr">
        <is>
          <t>Seguridad de transporte</t>
        </is>
      </c>
      <c r="F166" t="inlineStr">
        <is>
          <t>2409008</t>
        </is>
      </c>
      <c r="G166" t="inlineStr">
        <is>
          <t>Documentos de lineamientos técnicos</t>
        </is>
      </c>
      <c r="H166" t="inlineStr">
        <is>
          <t>Documentos cuyo objetivo es describir y explicar instrumentos, estándares, requisitos y condiciones necesarias para llevar a cabo un proceso o actividad</t>
        </is>
      </c>
      <c r="I166" t="inlineStr">
        <is>
          <t>2024004250123</t>
        </is>
      </c>
      <c r="J166" s="99">
        <v>3959652274</v>
      </c>
      <c r="K166" s="99">
        <v>1759652274</v>
      </c>
      <c r="L166" s="99">
        <v>1400000000</v>
      </c>
      <c r="M166" s="99">
        <v>500000000</v>
      </c>
      <c r="N166" s="99">
        <v>300000000</v>
      </c>
      <c r="O166" s="99">
        <v>1470940210</v>
      </c>
      <c r="P166" s="99">
        <v>1470940210</v>
      </c>
      <c r="Q166" s="99">
        <v>1446822743</v>
      </c>
      <c r="R166" s="100">
        <v>0.83592663831036</v>
      </c>
      <c r="S166" t="inlineStr">
        <is>
          <t>Lo obligado está por debajo de lo programado en la vigencia</t>
        </is>
      </c>
      <c r="T166" s="101">
        <v>1138602320</v>
      </c>
      <c r="U166" s="101">
        <v>872537160</v>
      </c>
      <c r="V166" s="101">
        <v>869154529</v>
      </c>
      <c r="W166" s="102">
        <v>0.623240828571429</v>
      </c>
      <c r="X166" t="inlineStr">
        <is>
          <t>Lo obligado está por debajo de lo programado en la vigencia</t>
        </is>
      </c>
    </row>
    <row r="167">
      <c r="A167" t="inlineStr">
        <is>
          <t>IP-180</t>
        </is>
      </c>
      <c r="B167" t="inlineStr">
        <is>
          <t>24</t>
        </is>
      </c>
      <c r="C167" t="inlineStr">
        <is>
          <t>Transporte</t>
        </is>
      </c>
      <c r="D167" t="inlineStr">
        <is>
          <t>2409</t>
        </is>
      </c>
      <c r="E167" t="inlineStr">
        <is>
          <t>Seguridad de transporte</t>
        </is>
      </c>
      <c r="F167" t="inlineStr">
        <is>
          <t>2409039</t>
        </is>
      </c>
      <c r="G167" t="inlineStr">
        <is>
          <t>Vías con dispositivos de control y señalización</t>
        </is>
      </c>
      <c r="H167" t="inlineStr">
        <is>
          <t>Incluye la señalización sonora, táctil, visual o mixta, así como la implementación de dispositivos de control para la seguridad vial.</t>
        </is>
      </c>
      <c r="I167" t="inlineStr">
        <is>
          <t>2024004250123</t>
        </is>
      </c>
      <c r="J167" s="99">
        <v>33773200000</v>
      </c>
      <c r="K167" s="99">
        <v>9220000000</v>
      </c>
      <c r="L167" s="99">
        <v>9566000000</v>
      </c>
      <c r="M167" s="99">
        <v>12500000000</v>
      </c>
      <c r="N167" s="99">
        <v>2487200000</v>
      </c>
      <c r="O167" s="99" t="inlineStr">
        <is>
          <t xml:space="preserve"> </t>
        </is>
      </c>
      <c r="P167" s="99" t="inlineStr">
        <is>
          <t xml:space="preserve"> </t>
        </is>
      </c>
      <c r="Q167" s="99" t="inlineStr">
        <is>
          <t xml:space="preserve"> </t>
        </is>
      </c>
      <c r="R167" s="100" t="inlineStr">
        <is>
          <t xml:space="preserve"> </t>
        </is>
      </c>
      <c r="S167" t="inlineStr">
        <is>
          <t>No se encontró ejecución en CUIPO</t>
        </is>
      </c>
      <c r="T167" s="101">
        <v>9302954904</v>
      </c>
      <c r="U167" s="101">
        <v>2338492040</v>
      </c>
      <c r="V167" s="101">
        <v>1197715571</v>
      </c>
      <c r="W167" s="102">
        <v>0.244458712105373</v>
      </c>
      <c r="X167" t="inlineStr">
        <is>
          <t>Lo obligado está por debajo de lo programado en la vigencia</t>
        </is>
      </c>
    </row>
    <row r="168">
      <c r="A168" t="inlineStr">
        <is>
          <t>IP-181</t>
        </is>
      </c>
      <c r="B168" t="inlineStr">
        <is>
          <t>24</t>
        </is>
      </c>
      <c r="C168" t="inlineStr">
        <is>
          <t>Transporte</t>
        </is>
      </c>
      <c r="D168" t="inlineStr">
        <is>
          <t>2409</t>
        </is>
      </c>
      <c r="E168" t="inlineStr">
        <is>
          <t>Seguridad de transporte</t>
        </is>
      </c>
      <c r="F168" t="inlineStr">
        <is>
          <t>2409023</t>
        </is>
      </c>
      <c r="G168" t="inlineStr">
        <is>
          <t>Servicio de sensibilización a los actores viales</t>
        </is>
      </c>
      <c r="H168" t="inlineStr">
        <is>
          <t xml:space="preserve">Incluye las acciones que permitan sensibilizar a los actores viales sobre seguridad vial. </t>
        </is>
      </c>
      <c r="I168" t="inlineStr">
        <is>
          <t>2024004250123</t>
        </is>
      </c>
      <c r="J168" s="99">
        <v>10434332503</v>
      </c>
      <c r="K168" s="99">
        <v>3639244223</v>
      </c>
      <c r="L168" s="99">
        <v>2489000000</v>
      </c>
      <c r="M168" s="99">
        <v>2676088280</v>
      </c>
      <c r="N168" s="99">
        <v>1630000000</v>
      </c>
      <c r="O168" s="99">
        <v>3399042994</v>
      </c>
      <c r="P168" s="99">
        <v>3393375039</v>
      </c>
      <c r="Q168" s="99">
        <v>1392822578</v>
      </c>
      <c r="R168" s="100">
        <v>0.932439493220568</v>
      </c>
      <c r="S168" t="inlineStr">
        <is>
          <t>Lo obligado está por debajo de lo programado en la vigencia</t>
        </is>
      </c>
      <c r="T168" s="101">
        <v>2083822547</v>
      </c>
      <c r="U168" s="101">
        <v>639173805</v>
      </c>
      <c r="V168" s="101">
        <v>619084524</v>
      </c>
      <c r="W168" s="102">
        <v>0.256799439533949</v>
      </c>
      <c r="X168" t="inlineStr">
        <is>
          <t>Lo obligado está por debajo de lo programado en la vigencia</t>
        </is>
      </c>
    </row>
    <row r="169">
      <c r="A169" t="inlineStr">
        <is>
          <t>IP-182</t>
        </is>
      </c>
      <c r="B169" t="inlineStr">
        <is>
          <t>24</t>
        </is>
      </c>
      <c r="C169" t="inlineStr">
        <is>
          <t>Transporte</t>
        </is>
      </c>
      <c r="D169" t="inlineStr">
        <is>
          <t>2407</t>
        </is>
      </c>
      <c r="E169" t="inlineStr">
        <is>
          <t>Infraestructura y servicios de logística de transporte</t>
        </is>
      </c>
      <c r="F169" t="inlineStr">
        <is>
          <t>2407006</t>
        </is>
      </c>
      <c r="G169" t="inlineStr">
        <is>
          <t>Documentos de planeación</t>
        </is>
      </c>
      <c r="H169" t="inlineStr">
        <is>
          <t>Documentos cuyo objetivo es plasmar una visión de futuro a nivel país, entidad territorial, comunidad, sector, región, entidad o cualquier nivel de desagregación que se requiera. Incluye objetivos, estrategias, metas e indicadores</t>
        </is>
      </c>
      <c r="I169" t="inlineStr">
        <is>
          <t>2024004250078</t>
        </is>
      </c>
      <c r="J169" s="99">
        <v>3994938894</v>
      </c>
      <c r="K169" s="99">
        <v>400000000</v>
      </c>
      <c r="L169" s="99">
        <v>1894938894</v>
      </c>
      <c r="M169" s="99">
        <v>1200000000</v>
      </c>
      <c r="N169" s="99">
        <v>500000000</v>
      </c>
      <c r="O169" s="99">
        <v>332607561</v>
      </c>
      <c r="P169" s="99">
        <v>332607561</v>
      </c>
      <c r="Q169" s="99">
        <v>307400995</v>
      </c>
      <c r="R169" s="100">
        <v>0.8315189025</v>
      </c>
      <c r="S169" t="inlineStr">
        <is>
          <t>Lo obligado está por debajo de lo programado en la vigencia</t>
        </is>
      </c>
      <c r="T169" s="101">
        <v>1747046546</v>
      </c>
      <c r="U169" s="101">
        <v>517348206</v>
      </c>
      <c r="V169" s="101">
        <v>507348206</v>
      </c>
      <c r="W169" s="102">
        <v>0.273015772507543</v>
      </c>
      <c r="X169" t="inlineStr">
        <is>
          <t>Lo obligado está por debajo de lo programado en la vigencia</t>
        </is>
      </c>
    </row>
    <row r="170">
      <c r="A170" t="inlineStr">
        <is>
          <t>IP-183</t>
        </is>
      </c>
      <c r="B170" t="inlineStr">
        <is>
          <t>35</t>
        </is>
      </c>
      <c r="C170" t="inlineStr">
        <is>
          <t>Comercio, industria y turismo</t>
        </is>
      </c>
      <c r="D170" t="inlineStr">
        <is>
          <t>3502</t>
        </is>
      </c>
      <c r="E170" t="inlineStr">
        <is>
          <t>Productividad y competitividad de las empresas colombianas</t>
        </is>
      </c>
      <c r="F170" t="inlineStr">
        <is>
          <t>3502046</t>
        </is>
      </c>
      <c r="G170" t="inlineStr">
        <is>
          <t>Servicio de promoción turística</t>
        </is>
      </c>
      <c r="H170" t="inlineStr">
        <is>
          <t>Corresponde a campañas de divulgación y promoción de los atractivos turísticos de la zonas, así como las actividades para el posicionamiento de las regiones, departamentos y municipios como destinos turísticos.</t>
        </is>
      </c>
      <c r="I170" t="inlineStr">
        <is>
          <t>2024004250222</t>
        </is>
      </c>
      <c r="J170" s="99">
        <v>382215894</v>
      </c>
      <c r="K170" s="99">
        <v>81000000</v>
      </c>
      <c r="L170" s="99">
        <v>94340000</v>
      </c>
      <c r="M170" s="99">
        <v>151440000</v>
      </c>
      <c r="N170" s="99">
        <v>55435894</v>
      </c>
      <c r="O170" s="99">
        <v>81000000</v>
      </c>
      <c r="P170" s="99">
        <v>81000000</v>
      </c>
      <c r="Q170" s="99">
        <v>81000000</v>
      </c>
      <c r="R170" s="100">
        <v>1</v>
      </c>
      <c r="S170" t="inlineStr">
        <is>
          <t>Se ejecutó el 100% de lo programado en la vigencia</t>
        </is>
      </c>
      <c r="T170" s="101">
        <v>80180000</v>
      </c>
      <c r="U170" s="101">
        <v>80180000</v>
      </c>
      <c r="V170" s="101">
        <v>80180000</v>
      </c>
      <c r="W170" s="102">
        <v>0.849904600381598</v>
      </c>
      <c r="X170" t="inlineStr">
        <is>
          <t>Lo obligado está por debajo de lo programado en la vigencia</t>
        </is>
      </c>
    </row>
    <row r="171">
      <c r="A171" t="inlineStr">
        <is>
          <t>IP-184</t>
        </is>
      </c>
      <c r="B171" t="inlineStr">
        <is>
          <t>40</t>
        </is>
      </c>
      <c r="C171" t="inlineStr">
        <is>
          <t>Vivienda, ciudad y territorio</t>
        </is>
      </c>
      <c r="D171" t="inlineStr">
        <is>
          <t>4001</t>
        </is>
      </c>
      <c r="E171" t="inlineStr">
        <is>
          <t>Acceso a soluciones de vivienda</t>
        </is>
      </c>
      <c r="F171" t="inlineStr">
        <is>
          <t>4001001</t>
        </is>
      </c>
      <c r="G171" t="inlineStr">
        <is>
          <t>Servicio de asistencia técnica y jurídica en saneamiento y titulación de predios</t>
        </is>
      </c>
      <c r="H171" t="inlineStr">
        <is>
          <t>Corresponde al conjunto de acciones de acompañamiento, asesoría, apoyo técnico y jurídico que se deben adelantar para la procesos de saneamiento, titulación  y legalización urbanística de cuerdo establecido en la normativa vigente</t>
        </is>
      </c>
      <c r="I171" t="inlineStr">
        <is>
          <t>2024004250070</t>
        </is>
      </c>
      <c r="J171" s="99">
        <v>3974914665</v>
      </c>
      <c r="K171" s="99">
        <v>536489157</v>
      </c>
      <c r="L171" s="99">
        <v>1122400028</v>
      </c>
      <c r="M171" s="99">
        <v>1368025480</v>
      </c>
      <c r="N171" s="99">
        <v>948000000</v>
      </c>
      <c r="O171" s="99">
        <v>536489157</v>
      </c>
      <c r="P171" s="99">
        <v>536489157</v>
      </c>
      <c r="Q171" s="99">
        <v>532239157</v>
      </c>
      <c r="R171" s="100">
        <v>1</v>
      </c>
      <c r="S171" t="inlineStr">
        <is>
          <t>Se ejecutó el 100% de lo programado en la vigencia</t>
        </is>
      </c>
      <c r="T171" s="101">
        <v>967040029</v>
      </c>
      <c r="U171" s="101">
        <v>747303759</v>
      </c>
      <c r="V171" s="101">
        <v>725928368</v>
      </c>
      <c r="W171" s="102">
        <v>0.665808749427437</v>
      </c>
      <c r="X171" t="inlineStr">
        <is>
          <t>Lo obligado está por debajo de lo programado en la vigencia</t>
        </is>
      </c>
    </row>
    <row r="172">
      <c r="A172" t="inlineStr">
        <is>
          <t>IP-185</t>
        </is>
      </c>
      <c r="B172" t="inlineStr">
        <is>
          <t>40</t>
        </is>
      </c>
      <c r="C172" t="inlineStr">
        <is>
          <t>Vivienda, ciudad y territorio</t>
        </is>
      </c>
      <c r="D172" t="inlineStr">
        <is>
          <t>4002</t>
        </is>
      </c>
      <c r="E172" t="inlineStr">
        <is>
          <t>Ordenamiento territorial y desarrollo urbano</t>
        </is>
      </c>
      <c r="F172" t="inlineStr">
        <is>
          <t>4002039</t>
        </is>
      </c>
      <c r="G172" t="inlineStr">
        <is>
          <t>Servicio de apoyo financiero para reubicación definitiva de hogares</t>
        </is>
      </c>
      <c r="H172" t="inlineStr">
        <is>
          <t xml:space="preserve">Corresponde al apoyo financiero a través de la asignación de Instrumentos financieros destinados a la obtención de una vivienda de reposición para los hogares localizados en zonas de alto riesgo no mitigable, o los ordenados mediante sentencias judiciales o actos administrativos. </t>
        </is>
      </c>
      <c r="I172" t="inlineStr">
        <is>
          <t>2024004250075</t>
        </is>
      </c>
      <c r="J172" s="99">
        <v>1680500000</v>
      </c>
      <c r="K172" s="99">
        <v>0</v>
      </c>
      <c r="L172" s="99">
        <v>0</v>
      </c>
      <c r="M172" s="99">
        <v>1200000000</v>
      </c>
      <c r="N172" s="99">
        <v>480500000</v>
      </c>
      <c r="O172" s="99">
        <v>1206250000</v>
      </c>
      <c r="P172" s="99">
        <v>1206250000</v>
      </c>
      <c r="Q172" s="99">
        <v>1206250000</v>
      </c>
      <c r="R172" s="100" t="inlineStr">
        <is>
          <t xml:space="preserve"> </t>
        </is>
      </c>
      <c r="S172" t="inlineStr">
        <is>
          <t>Se ejecutó un producto no programado en la vigencia</t>
        </is>
      </c>
      <c r="T172" s="101">
        <v>1148975391</v>
      </c>
      <c r="U172" s="101">
        <v>244000000</v>
      </c>
      <c r="V172" s="101">
        <v>244000000</v>
      </c>
      <c r="W172" s="102" t="inlineStr">
        <is>
          <t xml:space="preserve"> </t>
        </is>
      </c>
      <c r="X172" t="inlineStr">
        <is>
          <t>Se ejecutó un producto no programado en la vigencia</t>
        </is>
      </c>
    </row>
    <row r="173">
      <c r="A173" t="inlineStr">
        <is>
          <t>IP-186</t>
        </is>
      </c>
      <c r="B173" t="inlineStr">
        <is>
          <t>40</t>
        </is>
      </c>
      <c r="C173" t="inlineStr">
        <is>
          <t>Vivienda, ciudad y territorio</t>
        </is>
      </c>
      <c r="D173" t="inlineStr">
        <is>
          <t>4001</t>
        </is>
      </c>
      <c r="E173" t="inlineStr">
        <is>
          <t>Acceso a soluciones de vivienda</t>
        </is>
      </c>
      <c r="F173" t="inlineStr">
        <is>
          <t>4001032</t>
        </is>
      </c>
      <c r="G173" t="inlineStr">
        <is>
          <t>Servicio de apoyo financiero para mejoramiento de vivienda</t>
        </is>
      </c>
      <c r="H173" t="inlineStr">
        <is>
          <t>Corresponde al apoyo financiero a través de la asignación de un subsidio familiar de vivienda de interés social para mejoramiento, reparación y/o reconstrucción.</t>
        </is>
      </c>
      <c r="I173" t="inlineStr">
        <is>
          <t>2024004250070</t>
        </is>
      </c>
      <c r="J173" s="99">
        <v>41469983547</v>
      </c>
      <c r="K173" s="99">
        <v>13983421643</v>
      </c>
      <c r="L173" s="99">
        <v>17614659143</v>
      </c>
      <c r="M173" s="99">
        <v>7773402761</v>
      </c>
      <c r="N173" s="99">
        <v>2098500000</v>
      </c>
      <c r="O173" s="99">
        <v>13972464930</v>
      </c>
      <c r="P173" s="99">
        <v>12873752430</v>
      </c>
      <c r="Q173" s="99">
        <v>12861085763</v>
      </c>
      <c r="R173" s="100">
        <v>0.920643942424815</v>
      </c>
      <c r="S173" t="inlineStr">
        <is>
          <t>Lo obligado está por debajo de lo programado en la vigencia</t>
        </is>
      </c>
      <c r="T173" s="101">
        <v>13985513029</v>
      </c>
      <c r="U173" s="101">
        <v>13338870227</v>
      </c>
      <c r="V173" s="101">
        <v>3795122150</v>
      </c>
      <c r="W173" s="102">
        <v>0.757259627831108</v>
      </c>
      <c r="X173" t="inlineStr">
        <is>
          <t>Lo obligado está por debajo de lo programado en la vigencia</t>
        </is>
      </c>
    </row>
    <row r="174">
      <c r="A174" t="inlineStr">
        <is>
          <t>IP-187</t>
        </is>
      </c>
      <c r="B174" t="inlineStr">
        <is>
          <t>40</t>
        </is>
      </c>
      <c r="C174" t="inlineStr">
        <is>
          <t>Vivienda, ciudad y territorio</t>
        </is>
      </c>
      <c r="D174" t="inlineStr">
        <is>
          <t>4001</t>
        </is>
      </c>
      <c r="E174" t="inlineStr">
        <is>
          <t>Acceso a soluciones de vivienda</t>
        </is>
      </c>
      <c r="F174" t="inlineStr">
        <is>
          <t>4001001</t>
        </is>
      </c>
      <c r="G174" t="inlineStr">
        <is>
          <t>Servicio de asistencia técnica y jurídica en saneamiento y titulación de predios</t>
        </is>
      </c>
      <c r="H174" t="inlineStr">
        <is>
          <t>Corresponde al conjunto de acciones de acompañamiento, asesoría, apoyo técnico y jurídico que se deben adelantar para la procesos de saneamiento, titulación  y legalización urbanística de cuerdo establecido en la normativa vigente</t>
        </is>
      </c>
      <c r="I174" t="inlineStr">
        <is>
          <t>2024004250051</t>
        </is>
      </c>
      <c r="J174" s="99">
        <v>1334421757</v>
      </c>
      <c r="K174" s="99">
        <v>249193467</v>
      </c>
      <c r="L174" s="99">
        <v>426302741</v>
      </c>
      <c r="M174" s="99">
        <v>400925549</v>
      </c>
      <c r="N174" s="99">
        <v>258000000</v>
      </c>
      <c r="O174" s="99">
        <v>249193467</v>
      </c>
      <c r="P174" s="99">
        <v>249193467</v>
      </c>
      <c r="Q174" s="99">
        <v>249193467</v>
      </c>
      <c r="R174" s="100">
        <v>1</v>
      </c>
      <c r="S174" t="inlineStr">
        <is>
          <t>Se ejecutó el 100% de lo programado en la vigencia</t>
        </is>
      </c>
      <c r="T174" s="101">
        <v>349392000</v>
      </c>
      <c r="U174" s="101">
        <v>268844000</v>
      </c>
      <c r="V174" s="101">
        <v>268844000</v>
      </c>
      <c r="W174" s="102">
        <v>0.630641030759875</v>
      </c>
      <c r="X174" t="inlineStr">
        <is>
          <t>Lo obligado está por debajo de lo programado en la vigencia</t>
        </is>
      </c>
    </row>
    <row r="175">
      <c r="A175" t="inlineStr">
        <is>
          <t>IP-188</t>
        </is>
      </c>
      <c r="B175" t="inlineStr">
        <is>
          <t>40</t>
        </is>
      </c>
      <c r="C175" t="inlineStr">
        <is>
          <t>Vivienda, ciudad y territorio</t>
        </is>
      </c>
      <c r="D175" t="inlineStr">
        <is>
          <t>4001</t>
        </is>
      </c>
      <c r="E175" t="inlineStr">
        <is>
          <t>Acceso a soluciones de vivienda</t>
        </is>
      </c>
      <c r="F175" t="inlineStr">
        <is>
          <t>4001039</t>
        </is>
      </c>
      <c r="G175" t="inlineStr">
        <is>
          <t>Vivienda de Interés Prioritario construidas</t>
        </is>
      </c>
      <c r="H175" t="inlineStr">
        <is>
          <t>Corresponde a la solución de vivienda de interés prioritaria nueva construida y entregada por el estado al hogar que le fue asignado el subsidio familiar de vivienda de interés prioritaria para la adquisición de una vivienda nueva.</t>
        </is>
      </c>
      <c r="I175" t="inlineStr">
        <is>
          <t>2024004250070</t>
        </is>
      </c>
      <c r="J175" s="99">
        <v>10180758014</v>
      </c>
      <c r="K175" s="99">
        <v>1007512917</v>
      </c>
      <c r="L175" s="99">
        <v>2141162082</v>
      </c>
      <c r="M175" s="99">
        <v>3594659320</v>
      </c>
      <c r="N175" s="99">
        <v>3437423695</v>
      </c>
      <c r="O175" s="99">
        <v>934820017</v>
      </c>
      <c r="P175" s="99">
        <v>934820017</v>
      </c>
      <c r="Q175" s="99">
        <v>926820017</v>
      </c>
      <c r="R175" s="100">
        <v>0.927849163247998</v>
      </c>
      <c r="S175" t="inlineStr">
        <is>
          <t>Lo obligado está por debajo de lo programado en la vigencia</t>
        </is>
      </c>
      <c r="T175" s="101">
        <v>1953028504</v>
      </c>
      <c r="U175" s="101">
        <v>1380867065</v>
      </c>
      <c r="V175" s="101">
        <v>1373567065</v>
      </c>
      <c r="W175" s="102">
        <v>0.644914776236916</v>
      </c>
      <c r="X175" t="inlineStr">
        <is>
          <t>Lo obligado está por debajo de lo programado en la vigencia</t>
        </is>
      </c>
    </row>
    <row r="176">
      <c r="A176" t="inlineStr">
        <is>
          <t>IP-189</t>
        </is>
      </c>
      <c r="B176" t="inlineStr">
        <is>
          <t>40</t>
        </is>
      </c>
      <c r="C176" t="inlineStr">
        <is>
          <t>Vivienda, ciudad y territorio</t>
        </is>
      </c>
      <c r="D176" t="inlineStr">
        <is>
          <t>4001</t>
        </is>
      </c>
      <c r="E176" t="inlineStr">
        <is>
          <t>Acceso a soluciones de vivienda</t>
        </is>
      </c>
      <c r="F176" t="inlineStr">
        <is>
          <t>4001049</t>
        </is>
      </c>
      <c r="G176" t="inlineStr">
        <is>
          <t>Vivienda de Interés Prioritario construidas en sitio propio</t>
        </is>
      </c>
      <c r="H176" t="inlineStr">
        <is>
          <t>Corresponde a la solución de vivienda de interés prioritario nueva construida en un lote de propiedad del hogar que puede ser un lote de terreno, una terraza o una cubierta de losa y que es entregada por el estado al hogar que le fue asignado el subsidio familiar de vivienda de interés prioritario para la adquisición de una vivienda nueva construida en sitio propio.</t>
        </is>
      </c>
      <c r="I176" t="inlineStr">
        <is>
          <t>2024004250070</t>
        </is>
      </c>
      <c r="J176" s="99">
        <v>22261396027</v>
      </c>
      <c r="K176" s="99">
        <v>0</v>
      </c>
      <c r="L176" s="99">
        <v>14981806027</v>
      </c>
      <c r="M176" s="99">
        <v>5279590000</v>
      </c>
      <c r="N176" s="99">
        <v>2000000000</v>
      </c>
      <c r="O176" s="99" t="inlineStr">
        <is>
          <t xml:space="preserve"> </t>
        </is>
      </c>
      <c r="P176" s="99" t="inlineStr">
        <is>
          <t xml:space="preserve"> </t>
        </is>
      </c>
      <c r="Q176" s="99" t="inlineStr">
        <is>
          <t xml:space="preserve"> </t>
        </is>
      </c>
      <c r="R176" s="100" t="inlineStr">
        <is>
          <t xml:space="preserve"> </t>
        </is>
      </c>
      <c r="S176" t="inlineStr">
        <is>
          <t>No se encontró ejecución en CUIPO</t>
        </is>
      </c>
      <c r="T176" s="101">
        <v>721103589</v>
      </c>
      <c r="U176" s="101">
        <v>0</v>
      </c>
      <c r="V176" s="101">
        <v>0</v>
      </c>
      <c r="W176" s="102">
        <v>0</v>
      </c>
      <c r="X176" t="inlineStr">
        <is>
          <t>No se ejecutó en la vigencia</t>
        </is>
      </c>
    </row>
    <row r="177">
      <c r="A177" t="inlineStr">
        <is>
          <t>IP-190</t>
        </is>
      </c>
      <c r="B177" t="inlineStr">
        <is>
          <t>40</t>
        </is>
      </c>
      <c r="C177" t="inlineStr">
        <is>
          <t>Vivienda, ciudad y territorio</t>
        </is>
      </c>
      <c r="D177" t="inlineStr">
        <is>
          <t>4002</t>
        </is>
      </c>
      <c r="E177" t="inlineStr">
        <is>
          <t>Ordenamiento territorial y desarrollo urbano</t>
        </is>
      </c>
      <c r="F177" t="inlineStr">
        <is>
          <t>4002013</t>
        </is>
      </c>
      <c r="G177" t="inlineStr">
        <is>
          <t>Servicio de apoyo financiero para el Mejoramiento integral de barrios</t>
        </is>
      </c>
      <c r="H177" t="inlineStr">
        <is>
          <t>Financiación o cofinanciación para el mejoramiento integral de barrios</t>
        </is>
      </c>
      <c r="I177" t="inlineStr">
        <is>
          <t>2024004250075</t>
        </is>
      </c>
      <c r="J177" s="99">
        <v>5558123367</v>
      </c>
      <c r="K177" s="99">
        <v>1206250000</v>
      </c>
      <c r="L177" s="99">
        <v>2209616837</v>
      </c>
      <c r="M177" s="99">
        <v>782256530</v>
      </c>
      <c r="N177" s="99">
        <v>1360000000</v>
      </c>
      <c r="O177" s="99" t="inlineStr">
        <is>
          <t xml:space="preserve"> </t>
        </is>
      </c>
      <c r="P177" s="99" t="inlineStr">
        <is>
          <t xml:space="preserve"> </t>
        </is>
      </c>
      <c r="Q177" s="99" t="inlineStr">
        <is>
          <t xml:space="preserve"> </t>
        </is>
      </c>
      <c r="R177" s="100" t="inlineStr">
        <is>
          <t xml:space="preserve"> </t>
        </is>
      </c>
      <c r="S177" t="inlineStr">
        <is>
          <t>No se encontró ejecución en CUIPO</t>
        </is>
      </c>
      <c r="T177" s="101" t="inlineStr">
        <is>
          <t xml:space="preserve"> </t>
        </is>
      </c>
      <c r="U177" s="101" t="inlineStr">
        <is>
          <t xml:space="preserve"> </t>
        </is>
      </c>
      <c r="V177" s="101" t="inlineStr">
        <is>
          <t xml:space="preserve"> </t>
        </is>
      </c>
      <c r="W177" s="102" t="inlineStr">
        <is>
          <t xml:space="preserve"> </t>
        </is>
      </c>
      <c r="X177" t="inlineStr">
        <is>
          <t>No se encontró ejecución en CUIPO</t>
        </is>
      </c>
    </row>
    <row r="178">
      <c r="A178" t="inlineStr">
        <is>
          <t>IP-191</t>
        </is>
      </c>
      <c r="B178" t="inlineStr">
        <is>
          <t>19</t>
        </is>
      </c>
      <c r="C178" t="inlineStr">
        <is>
          <t>Salud y protección social</t>
        </is>
      </c>
      <c r="D178" t="inlineStr">
        <is>
          <t>1906</t>
        </is>
      </c>
      <c r="E178" t="inlineStr">
        <is>
          <t>Aseguramiento y prestación integral de servicios de salud</t>
        </is>
      </c>
      <c r="F178" t="inlineStr">
        <is>
          <t>1906001</t>
        </is>
      </c>
      <c r="G178" t="inlineStr">
        <is>
          <t>Hospitales de primer nivel de atención adecuados</t>
        </is>
      </c>
      <c r="H178" t="inlineStr">
        <is>
          <t>Infraestructura hospitalaria de primer nivel de atención adecuada, para la prestación de servicios de salud a la población. Incluye centros de salud, puestos de salud e infraestructura local de prestación de servicios.</t>
        </is>
      </c>
      <c r="I178" t="inlineStr">
        <is>
          <t>2024004250003, 2024004250260</t>
        </is>
      </c>
      <c r="J178" s="99">
        <v>466226699911</v>
      </c>
      <c r="K178" s="99">
        <v>51749879405</v>
      </c>
      <c r="L178" s="99">
        <v>161047059981</v>
      </c>
      <c r="M178" s="99">
        <v>111280403061</v>
      </c>
      <c r="N178" s="99">
        <v>142149357464</v>
      </c>
      <c r="O178" s="99">
        <v>6094935595</v>
      </c>
      <c r="P178" s="99">
        <v>6094935595</v>
      </c>
      <c r="Q178" s="99">
        <v>752331090</v>
      </c>
      <c r="R178" s="100">
        <v>0.117776807696505</v>
      </c>
      <c r="S178" t="inlineStr">
        <is>
          <t>Lo obligado está por debajo de lo programado en la vigencia</t>
        </is>
      </c>
      <c r="T178" s="101">
        <v>647998241</v>
      </c>
      <c r="U178" s="101">
        <v>0</v>
      </c>
      <c r="V178" s="101">
        <v>0</v>
      </c>
      <c r="W178" s="102">
        <v>0</v>
      </c>
      <c r="X178" t="inlineStr">
        <is>
          <t>No se ejecutó en la vigencia</t>
        </is>
      </c>
    </row>
    <row r="179">
      <c r="A179" t="inlineStr">
        <is>
          <t>IP-192</t>
        </is>
      </c>
      <c r="B179" t="inlineStr">
        <is>
          <t>41</t>
        </is>
      </c>
      <c r="C179" t="inlineStr">
        <is>
          <t xml:space="preserve">Inclusión social y reconciliación </t>
        </is>
      </c>
      <c r="D179" t="inlineStr">
        <is>
          <t>4104</t>
        </is>
      </c>
      <c r="E179" t="inlineStr">
        <is>
          <t>Atención integral de población en situación permanente de desprotección social y/o familiar</t>
        </is>
      </c>
      <c r="F179" t="inlineStr">
        <is>
          <t>4104002</t>
        </is>
      </c>
      <c r="G179" t="inlineStr">
        <is>
          <t>Centros de protección social para el adulto mayor adecuados</t>
        </is>
      </c>
      <c r="H179" t="inlineStr">
        <is>
          <t>Corresponde a la adecuación de infraestructura destinada al ofrecimiento de servicios de hospedaje, bienestar social y cuidado integral de manera permanente o temporal a los adultos mayores en condicionesde descuido, abandono o víctimas de violencia intrafamiliar.</t>
        </is>
      </c>
      <c r="I179" t="inlineStr">
        <is>
          <t>2024004250091</t>
        </is>
      </c>
      <c r="J179" s="99">
        <v>0</v>
      </c>
      <c r="K179" s="99">
        <v>0</v>
      </c>
      <c r="L179" s="99">
        <v>0</v>
      </c>
      <c r="M179" s="99">
        <v>0</v>
      </c>
      <c r="N179" s="99">
        <v>0</v>
      </c>
      <c r="O179" s="99" t="inlineStr">
        <is>
          <t xml:space="preserve"> </t>
        </is>
      </c>
      <c r="P179" s="99" t="inlineStr">
        <is>
          <t xml:space="preserve"> </t>
        </is>
      </c>
      <c r="Q179" s="99" t="inlineStr">
        <is>
          <t xml:space="preserve"> </t>
        </is>
      </c>
      <c r="R179" s="100" t="inlineStr">
        <is>
          <t xml:space="preserve"> </t>
        </is>
      </c>
      <c r="S179" t="inlineStr">
        <is>
          <t>No se encontró ejecución en CUIPO</t>
        </is>
      </c>
      <c r="T179" s="101" t="inlineStr">
        <is>
          <t xml:space="preserve"> </t>
        </is>
      </c>
      <c r="U179" s="101" t="inlineStr">
        <is>
          <t xml:space="preserve"> </t>
        </is>
      </c>
      <c r="V179" s="101" t="inlineStr">
        <is>
          <t xml:space="preserve"> </t>
        </is>
      </c>
      <c r="W179" s="102" t="inlineStr">
        <is>
          <t xml:space="preserve"> </t>
        </is>
      </c>
      <c r="X179" t="inlineStr">
        <is>
          <t>No se encontró ejecución en CUIPO</t>
        </is>
      </c>
    </row>
    <row r="180">
      <c r="A180" t="inlineStr">
        <is>
          <t>IP-193</t>
        </is>
      </c>
      <c r="B180" t="inlineStr">
        <is>
          <t>41</t>
        </is>
      </c>
      <c r="C180" t="inlineStr">
        <is>
          <t xml:space="preserve">Inclusión social y reconciliación </t>
        </is>
      </c>
      <c r="D180" t="inlineStr">
        <is>
          <t>4102</t>
        </is>
      </c>
      <c r="E180" t="inlineStr">
        <is>
          <t>Desarrollo integral de la primera infancia a la juventud, y fortalecimiento de las capacidades de las familias de niñas, niños y adolescentes</t>
        </is>
      </c>
      <c r="F180" t="inlineStr">
        <is>
          <t>4102004</t>
        </is>
      </c>
      <c r="G180" t="inlineStr">
        <is>
          <t>Edificaciones para la atención integral a la primera infancia construidas</t>
        </is>
      </c>
      <c r="H180" t="inlineStr">
        <is>
          <t xml:space="preserve">Construcción de infraestructuras dirigidas  específicamente  a prestar Servicio de atención integral a los niños y niñas en primera infancia.  </t>
        </is>
      </c>
      <c r="I180" t="inlineStr">
        <is>
          <t>2024004250086, 2024004250093</t>
        </is>
      </c>
      <c r="J180" s="99">
        <v>31616000000</v>
      </c>
      <c r="K180" s="99">
        <v>9806000000</v>
      </c>
      <c r="L180" s="99">
        <v>13922000000</v>
      </c>
      <c r="M180" s="99">
        <v>7788000000</v>
      </c>
      <c r="N180" s="99">
        <v>100000000</v>
      </c>
      <c r="O180" s="99">
        <v>755000000</v>
      </c>
      <c r="P180" s="99">
        <v>755000000</v>
      </c>
      <c r="Q180" s="99">
        <v>755000000</v>
      </c>
      <c r="R180" s="100">
        <v>0.0769936773404038</v>
      </c>
      <c r="S180" t="inlineStr">
        <is>
          <t>Lo obligado está por debajo de lo programado en la vigencia</t>
        </is>
      </c>
      <c r="T180" s="101" t="inlineStr">
        <is>
          <t xml:space="preserve"> </t>
        </is>
      </c>
      <c r="U180" s="101" t="inlineStr">
        <is>
          <t xml:space="preserve"> </t>
        </is>
      </c>
      <c r="V180" s="101" t="inlineStr">
        <is>
          <t xml:space="preserve"> </t>
        </is>
      </c>
      <c r="W180" s="102" t="inlineStr">
        <is>
          <t xml:space="preserve"> </t>
        </is>
      </c>
      <c r="X180" t="inlineStr">
        <is>
          <t>No se encontró ejecución en CUIPO</t>
        </is>
      </c>
    </row>
    <row r="181">
      <c r="A181" t="inlineStr">
        <is>
          <t>IP-194</t>
        </is>
      </c>
      <c r="B181" t="inlineStr">
        <is>
          <t>22</t>
        </is>
      </c>
      <c r="C181" t="inlineStr">
        <is>
          <t>Educación</t>
        </is>
      </c>
      <c r="D181" t="inlineStr">
        <is>
          <t>2201</t>
        </is>
      </c>
      <c r="E181" t="inlineStr">
        <is>
          <t>Calidad, cobertura y fortalecimiento de la educación inicial, prescolar, básica y media</t>
        </is>
      </c>
      <c r="F181" t="inlineStr">
        <is>
          <t>2201052</t>
        </is>
      </c>
      <c r="G181" t="inlineStr">
        <is>
          <t>Infraestructura educativa mejorada</t>
        </is>
      </c>
      <c r="H181" t="inlineStr">
        <is>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is>
      </c>
      <c r="I181" t="inlineStr">
        <is>
          <t>2024004250014</t>
        </is>
      </c>
      <c r="J181" s="99">
        <v>80538137123</v>
      </c>
      <c r="K181" s="99">
        <v>13964023643</v>
      </c>
      <c r="L181" s="99">
        <v>32712129580</v>
      </c>
      <c r="M181" s="99">
        <v>12934430900</v>
      </c>
      <c r="N181" s="99">
        <v>20927553000</v>
      </c>
      <c r="O181" s="99">
        <v>13964023643</v>
      </c>
      <c r="P181" s="99">
        <v>13964023643</v>
      </c>
      <c r="Q181" s="99">
        <v>13964023643</v>
      </c>
      <c r="R181" s="100">
        <v>1</v>
      </c>
      <c r="S181" t="inlineStr">
        <is>
          <t>Se ejecutó el 100% de lo programado en la vigencia</t>
        </is>
      </c>
      <c r="T181" s="101">
        <v>4069336000</v>
      </c>
      <c r="U181" s="101">
        <v>4069336000</v>
      </c>
      <c r="V181" s="101">
        <v>4069336000</v>
      </c>
      <c r="W181" s="102">
        <v>0.124398382259037</v>
      </c>
      <c r="X181" t="inlineStr">
        <is>
          <t>Lo obligado está por debajo de lo programado en la vigencia</t>
        </is>
      </c>
    </row>
    <row r="182">
      <c r="A182" t="inlineStr">
        <is>
          <t>IP-195</t>
        </is>
      </c>
      <c r="B182" t="inlineStr">
        <is>
          <t>22</t>
        </is>
      </c>
      <c r="C182" t="inlineStr">
        <is>
          <t>Educación</t>
        </is>
      </c>
      <c r="D182" t="inlineStr">
        <is>
          <t>2201</t>
        </is>
      </c>
      <c r="E182" t="inlineStr">
        <is>
          <t>Calidad, cobertura y fortalecimiento de la educación inicial, prescolar, básica y media</t>
        </is>
      </c>
      <c r="F182" t="inlineStr">
        <is>
          <t>2201062</t>
        </is>
      </c>
      <c r="G182" t="inlineStr">
        <is>
          <t>Infraestructura educativa mantenida</t>
        </is>
      </c>
      <c r="H182" t="inlineStr">
        <is>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is>
      </c>
      <c r="I182" t="inlineStr">
        <is>
          <t>2024004250014</t>
        </is>
      </c>
      <c r="J182" s="99">
        <v>9942919390</v>
      </c>
      <c r="K182" s="99">
        <v>3100000000</v>
      </c>
      <c r="L182" s="99">
        <v>4200000000</v>
      </c>
      <c r="M182" s="99">
        <v>2000000000</v>
      </c>
      <c r="N182" s="99">
        <v>642919390</v>
      </c>
      <c r="O182" s="99">
        <v>3100000000</v>
      </c>
      <c r="P182" s="99">
        <v>3100000000</v>
      </c>
      <c r="Q182" s="99">
        <v>3100000000</v>
      </c>
      <c r="R182" s="100">
        <v>1</v>
      </c>
      <c r="S182" t="inlineStr">
        <is>
          <t>Se ejecutó el 100% de lo programado en la vigencia</t>
        </is>
      </c>
      <c r="T182" s="101">
        <v>4200000000</v>
      </c>
      <c r="U182" s="101">
        <v>0</v>
      </c>
      <c r="V182" s="101">
        <v>0</v>
      </c>
      <c r="W182" s="102">
        <v>0</v>
      </c>
      <c r="X182" t="inlineStr">
        <is>
          <t>No se ejecutó en la vigencia</t>
        </is>
      </c>
    </row>
    <row r="183">
      <c r="A183" t="inlineStr">
        <is>
          <t>IP-196</t>
        </is>
      </c>
      <c r="B183" t="inlineStr">
        <is>
          <t>22</t>
        </is>
      </c>
      <c r="C183" t="inlineStr">
        <is>
          <t>Educación</t>
        </is>
      </c>
      <c r="D183" t="inlineStr">
        <is>
          <t>2201</t>
        </is>
      </c>
      <c r="E183" t="inlineStr">
        <is>
          <t>Calidad, cobertura y fortalecimiento de la educación inicial, prescolar, básica y media</t>
        </is>
      </c>
      <c r="F183" t="inlineStr">
        <is>
          <t>2201051</t>
        </is>
      </c>
      <c r="G183" t="inlineStr">
        <is>
          <t>Infraestructura educativa construida</t>
        </is>
      </c>
      <c r="H183"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83" t="inlineStr">
        <is>
          <t>2024004250014</t>
        </is>
      </c>
      <c r="J183" s="99">
        <v>91096531570</v>
      </c>
      <c r="K183" s="99">
        <v>7641449000</v>
      </c>
      <c r="L183" s="99">
        <v>39144022570</v>
      </c>
      <c r="M183" s="99">
        <v>30311060000</v>
      </c>
      <c r="N183" s="99">
        <v>14000000000</v>
      </c>
      <c r="O183" s="99">
        <v>7641449000</v>
      </c>
      <c r="P183" s="99">
        <v>7641449000</v>
      </c>
      <c r="Q183" s="99">
        <v>7641449000</v>
      </c>
      <c r="R183" s="100">
        <v>1</v>
      </c>
      <c r="S183" t="inlineStr">
        <is>
          <t>Se ejecutó el 100% de lo programado en la vigencia</t>
        </is>
      </c>
      <c r="T183" s="101">
        <v>46400000</v>
      </c>
      <c r="U183" s="101">
        <v>46400000</v>
      </c>
      <c r="V183" s="101">
        <v>46400000</v>
      </c>
      <c r="W183" s="102">
        <v>0.0011853661671338</v>
      </c>
      <c r="X183" t="inlineStr">
        <is>
          <t>Lo obligado está por debajo de lo programado en la vigencia</t>
        </is>
      </c>
    </row>
    <row r="184">
      <c r="A184" t="inlineStr">
        <is>
          <t>IP-197</t>
        </is>
      </c>
      <c r="B184" t="inlineStr">
        <is>
          <t>43</t>
        </is>
      </c>
      <c r="C184" t="inlineStr">
        <is>
          <t>Deporte y Recreación</t>
        </is>
      </c>
      <c r="D184" t="inlineStr">
        <is>
          <t>4302</t>
        </is>
      </c>
      <c r="E184" t="inlineStr">
        <is>
          <t>Formación y preparación de deportistas</t>
        </is>
      </c>
      <c r="F184" t="inlineStr">
        <is>
          <t>4302067</t>
        </is>
      </c>
      <c r="G184" t="inlineStr">
        <is>
          <t>Polideportivos adecuados</t>
        </is>
      </c>
      <c r="H184" t="inlineStr">
        <is>
          <t>Obras necesarias para adaptar un inmueble o sus espacios o instalaciones a un nuevo uso, garantizando la preservación de sus características. Permiten modernizar las instalaciones, y optimizar y mejorar el uso de los espacios. Enfocadas principalmente en lo correspondiente.</t>
        </is>
      </c>
      <c r="I184" t="inlineStr">
        <is>
          <t>2024004250044</t>
        </is>
      </c>
      <c r="J184" s="99">
        <v>126875651145</v>
      </c>
      <c r="K184" s="99">
        <v>59564000000</v>
      </c>
      <c r="L184" s="99">
        <v>35996895045</v>
      </c>
      <c r="M184" s="99">
        <v>31314756100</v>
      </c>
      <c r="N184" s="99">
        <v>0</v>
      </c>
      <c r="O184" s="99">
        <v>5700000000</v>
      </c>
      <c r="P184" s="99">
        <v>5700000000</v>
      </c>
      <c r="Q184" s="99">
        <v>5700000000</v>
      </c>
      <c r="R184" s="100">
        <v>0.095695386475052</v>
      </c>
      <c r="S184" t="inlineStr">
        <is>
          <t>Lo obligado está por debajo de lo programado en la vigencia</t>
        </is>
      </c>
      <c r="T184" s="101">
        <v>809237164</v>
      </c>
      <c r="U184" s="101">
        <v>809237164</v>
      </c>
      <c r="V184" s="101">
        <v>809237164</v>
      </c>
      <c r="W184" s="102">
        <v>0.0224807490476155</v>
      </c>
      <c r="X184" t="inlineStr">
        <is>
          <t>Lo obligado está por debajo de lo programado en la vigencia</t>
        </is>
      </c>
    </row>
    <row r="185">
      <c r="A185" t="inlineStr">
        <is>
          <t>IP-198</t>
        </is>
      </c>
      <c r="B185" t="inlineStr">
        <is>
          <t>22</t>
        </is>
      </c>
      <c r="C185" t="inlineStr">
        <is>
          <t>Educación</t>
        </is>
      </c>
      <c r="D185" t="inlineStr">
        <is>
          <t>2202</t>
        </is>
      </c>
      <c r="E185" t="inlineStr">
        <is>
          <t>Calidad y fomento de la educación superior</t>
        </is>
      </c>
      <c r="F185" t="inlineStr">
        <is>
          <t>2202072</t>
        </is>
      </c>
      <c r="G185" t="inlineStr">
        <is>
          <t>Sedes de instituciones de educación superior mejoradas</t>
        </is>
      </c>
      <c r="H185" t="inlineStr">
        <is>
          <t>Incluye intervenciones de tipo estructural tales como: reparaciones, remodelaciones, ampliaciones o mantenimientos estéticos de infraestructura educativa de conformidad con los lineamientos técnicos del sector.</t>
        </is>
      </c>
      <c r="I185" t="inlineStr">
        <is>
          <t>2024004250011</t>
        </is>
      </c>
      <c r="J185" s="99">
        <v>22087156933</v>
      </c>
      <c r="K185" s="99">
        <v>0</v>
      </c>
      <c r="L185" s="99">
        <v>856000000</v>
      </c>
      <c r="M185" s="99">
        <v>20000000000</v>
      </c>
      <c r="N185" s="99">
        <v>1231156933</v>
      </c>
      <c r="O185" s="99" t="inlineStr">
        <is>
          <t xml:space="preserve"> </t>
        </is>
      </c>
      <c r="P185" s="99" t="inlineStr">
        <is>
          <t xml:space="preserve"> </t>
        </is>
      </c>
      <c r="Q185" s="99" t="inlineStr">
        <is>
          <t xml:space="preserve"> </t>
        </is>
      </c>
      <c r="R185" s="100" t="inlineStr">
        <is>
          <t xml:space="preserve"> </t>
        </is>
      </c>
      <c r="S185" t="inlineStr">
        <is>
          <t>No se encontró ejecución en CUIPO</t>
        </is>
      </c>
      <c r="T185" s="101" t="inlineStr">
        <is>
          <t xml:space="preserve"> </t>
        </is>
      </c>
      <c r="U185" s="101" t="inlineStr">
        <is>
          <t xml:space="preserve"> </t>
        </is>
      </c>
      <c r="V185" s="101" t="inlineStr">
        <is>
          <t xml:space="preserve"> </t>
        </is>
      </c>
      <c r="W185" s="102" t="inlineStr">
        <is>
          <t xml:space="preserve"> </t>
        </is>
      </c>
      <c r="X185" t="inlineStr">
        <is>
          <t>No se encontró ejecución en CUIPO</t>
        </is>
      </c>
    </row>
    <row r="186">
      <c r="A186" t="inlineStr">
        <is>
          <t>IP-199</t>
        </is>
      </c>
      <c r="B186" t="inlineStr">
        <is>
          <t>45</t>
        </is>
      </c>
      <c r="C186" t="inlineStr">
        <is>
          <t>Gobierno Territorial</t>
        </is>
      </c>
      <c r="D186" t="inlineStr">
        <is>
          <t>4502</t>
        </is>
      </c>
      <c r="E186" t="inlineStr">
        <is>
          <t>Fortalecimiento del buen gobierno para el respeto y garantía de los derechos humanos.</t>
        </is>
      </c>
      <c r="F186" t="inlineStr">
        <is>
          <t>4502021</t>
        </is>
      </c>
      <c r="G186" t="inlineStr">
        <is>
          <t>Servicio de apoyo financiero para la implementación de proyectos en materia de derechos humanos</t>
        </is>
      </c>
      <c r="H186" t="inlineStr">
        <is>
          <t>Contempla la asignación de recursos financieros a iniciativas en temas relacionados con derechos humanos y el Derecho Internacional Humanitario.</t>
        </is>
      </c>
      <c r="I186" t="inlineStr">
        <is>
          <t>2024004250138</t>
        </is>
      </c>
      <c r="J186" s="99">
        <v>53007767415</v>
      </c>
      <c r="K186" s="99">
        <v>14186517965</v>
      </c>
      <c r="L186" s="99">
        <v>24729819080</v>
      </c>
      <c r="M186" s="99">
        <v>13091430370</v>
      </c>
      <c r="N186" s="99">
        <v>1000000000</v>
      </c>
      <c r="O186" s="99">
        <v>14186517965</v>
      </c>
      <c r="P186" s="99">
        <v>14186517965</v>
      </c>
      <c r="Q186" s="99">
        <v>14186517965</v>
      </c>
      <c r="R186" s="100">
        <v>1</v>
      </c>
      <c r="S186" t="inlineStr">
        <is>
          <t>Se ejecutó el 100% de lo programado en la vigencia</t>
        </is>
      </c>
      <c r="T186" s="101">
        <v>17661198000</v>
      </c>
      <c r="U186" s="101">
        <v>17661198000</v>
      </c>
      <c r="V186" s="101">
        <v>17661198000</v>
      </c>
      <c r="W186" s="102">
        <v>0.714166081962295</v>
      </c>
      <c r="X186" t="inlineStr">
        <is>
          <t>Lo obligado está por debajo de lo programado en la vigencia</t>
        </is>
      </c>
    </row>
    <row r="187">
      <c r="A187" t="inlineStr">
        <is>
          <t>IP-200</t>
        </is>
      </c>
      <c r="B187" t="inlineStr">
        <is>
          <t>33</t>
        </is>
      </c>
      <c r="C187" t="inlineStr">
        <is>
          <t>Cultura</t>
        </is>
      </c>
      <c r="D187" t="inlineStr">
        <is>
          <t>3302</t>
        </is>
      </c>
      <c r="E187" t="inlineStr">
        <is>
          <t>Gestión, protección y salvaguardia del patrimonio cultural colombiano</t>
        </is>
      </c>
      <c r="F187" t="inlineStr">
        <is>
          <t>3302042</t>
        </is>
      </c>
      <c r="G187" t="inlineStr">
        <is>
          <t>Servicio de asistencia técnica en el manejo y gestión del patrimonio arqueológico, antropológico e histórico.</t>
        </is>
      </c>
      <c r="H187" t="inlineStr">
        <is>
          <t>Corresponde a la serie de actuaciones interadministrativas y acompañamientos técnicos a las entidades territoriales con el fin de atender asuntos relacionados con el manejo y administración del patrimonio arqueológico, antropológico e histórico </t>
        </is>
      </c>
      <c r="I187" t="inlineStr">
        <is>
          <t>2024004250204</t>
        </is>
      </c>
      <c r="J187" s="99">
        <v>1687508083</v>
      </c>
      <c r="K187" s="99">
        <v>101936769</v>
      </c>
      <c r="L187" s="99">
        <v>468933333</v>
      </c>
      <c r="M187" s="99">
        <v>773888975</v>
      </c>
      <c r="N187" s="99">
        <v>342749006</v>
      </c>
      <c r="O187" s="99" t="inlineStr">
        <is>
          <t xml:space="preserve"> </t>
        </is>
      </c>
      <c r="P187" s="99" t="inlineStr">
        <is>
          <t xml:space="preserve"> </t>
        </is>
      </c>
      <c r="Q187" s="99" t="inlineStr">
        <is>
          <t xml:space="preserve"> </t>
        </is>
      </c>
      <c r="R187" s="100" t="inlineStr">
        <is>
          <t xml:space="preserve"> </t>
        </is>
      </c>
      <c r="S187" t="inlineStr">
        <is>
          <t>No se encontró ejecución en CUIPO</t>
        </is>
      </c>
      <c r="T187" s="101">
        <v>270000000</v>
      </c>
      <c r="U187" s="101">
        <v>270000000</v>
      </c>
      <c r="V187" s="101">
        <v>255000000</v>
      </c>
      <c r="W187" s="102">
        <v>0.575774808484344</v>
      </c>
      <c r="X187" t="inlineStr">
        <is>
          <t>Lo obligado está por debajo de lo programado en la vigencia</t>
        </is>
      </c>
    </row>
    <row r="188">
      <c r="A188" t="inlineStr">
        <is>
          <t>IP-201</t>
        </is>
      </c>
      <c r="B188" t="inlineStr">
        <is>
          <t>33</t>
        </is>
      </c>
      <c r="C188" t="inlineStr">
        <is>
          <t>Cultura</t>
        </is>
      </c>
      <c r="D188" t="inlineStr">
        <is>
          <t>3301</t>
        </is>
      </c>
      <c r="E188" t="inlineStr">
        <is>
          <t>Promoción y acceso efectivo a procesos culturales y artísticos</t>
        </is>
      </c>
      <c r="F188" t="inlineStr">
        <is>
          <t>3301063</t>
        </is>
      </c>
      <c r="G188" t="inlineStr">
        <is>
          <t>Servicio de asistencia técnica para la viabilización de proyectos de infraestructura</t>
        </is>
      </c>
      <c r="H188" t="inlineStr">
        <is>
          <t xml:space="preserve">Corresponde al procedimiento que inicia con la asesoría de proyectos de Infraestructura Física Cultural presentados por entidades públicas y/o privadas y finaliza con la viabilización y/o aval técnico, jurídico, financiero y administrativo de proyectos que pueden ser financiados con recursos del Ministerio de Cultura u otras entidades públicas o privadas. </t>
        </is>
      </c>
      <c r="I188" t="inlineStr">
        <is>
          <t>2024004250214</t>
        </is>
      </c>
      <c r="J188" s="99">
        <v>27533621788</v>
      </c>
      <c r="K188" s="99">
        <v>3109400000</v>
      </c>
      <c r="L188" s="99">
        <v>16675200000</v>
      </c>
      <c r="M188" s="99">
        <v>7638150000</v>
      </c>
      <c r="N188" s="99">
        <v>110871788</v>
      </c>
      <c r="O188" s="99">
        <v>36400000</v>
      </c>
      <c r="P188" s="99">
        <v>36400000</v>
      </c>
      <c r="Q188" s="99">
        <v>36400000</v>
      </c>
      <c r="R188" s="100">
        <v>0.0117064385411977</v>
      </c>
      <c r="S188" t="inlineStr">
        <is>
          <t>Lo obligado está por debajo de lo programado en la vigencia</t>
        </is>
      </c>
      <c r="T188" s="101">
        <v>67840000</v>
      </c>
      <c r="U188" s="101">
        <v>67840000</v>
      </c>
      <c r="V188" s="101">
        <v>67840000</v>
      </c>
      <c r="W188" s="102">
        <v>0.0040683170216849</v>
      </c>
      <c r="X188" t="inlineStr">
        <is>
          <t>Lo obligado está por debajo de lo programado en la vigencia</t>
        </is>
      </c>
    </row>
    <row r="189">
      <c r="A189" t="inlineStr">
        <is>
          <t>IP-202</t>
        </is>
      </c>
      <c r="B189" t="inlineStr">
        <is>
          <t>33</t>
        </is>
      </c>
      <c r="C189" t="inlineStr">
        <is>
          <t>Cultura</t>
        </is>
      </c>
      <c r="D189" t="inlineStr">
        <is>
          <t>3302</t>
        </is>
      </c>
      <c r="E189" t="inlineStr">
        <is>
          <t>Gestión, protección y salvaguardia del patrimonio cultural colombiano</t>
        </is>
      </c>
      <c r="F189" t="inlineStr">
        <is>
          <t>3302030</t>
        </is>
      </c>
      <c r="G189" t="inlineStr">
        <is>
          <t>Servicio de preservación de los parques y áreas arqueológicaspatrimoniales</t>
        </is>
      </c>
      <c r="H189" t="inlineStr">
        <is>
          <t>Corresponde a la atención de los diferentes sitios arqueológicos reconocidos legalmente por el Estado. El mantenimiento, restauración y conservación de los bienes arqueológicos del patrimonio arqueológico ubicados en los Parques Arqueológicos</t>
        </is>
      </c>
      <c r="I189" t="inlineStr">
        <is>
          <t>2024004250076</t>
        </is>
      </c>
      <c r="J189" s="99">
        <v>6311286785</v>
      </c>
      <c r="K189" s="99">
        <v>1724828237</v>
      </c>
      <c r="L189" s="99">
        <v>2975634904</v>
      </c>
      <c r="M189" s="99">
        <v>1074099000</v>
      </c>
      <c r="N189" s="99">
        <v>536724644</v>
      </c>
      <c r="O189" s="99" t="inlineStr">
        <is>
          <t xml:space="preserve"> </t>
        </is>
      </c>
      <c r="P189" s="99" t="inlineStr">
        <is>
          <t xml:space="preserve"> </t>
        </is>
      </c>
      <c r="Q189" s="99" t="inlineStr">
        <is>
          <t xml:space="preserve"> </t>
        </is>
      </c>
      <c r="R189" s="100" t="inlineStr">
        <is>
          <t xml:space="preserve"> </t>
        </is>
      </c>
      <c r="S189" t="inlineStr">
        <is>
          <t>No se encontró ejecución en CUIPO</t>
        </is>
      </c>
      <c r="T189" s="101" t="inlineStr">
        <is>
          <t xml:space="preserve"> </t>
        </is>
      </c>
      <c r="U189" s="101" t="inlineStr">
        <is>
          <t xml:space="preserve"> </t>
        </is>
      </c>
      <c r="V189" s="101" t="inlineStr">
        <is>
          <t xml:space="preserve"> </t>
        </is>
      </c>
      <c r="W189" s="102" t="inlineStr">
        <is>
          <t xml:space="preserve"> </t>
        </is>
      </c>
      <c r="X189" t="inlineStr">
        <is>
          <t>No se encontró ejecución en CUIPO</t>
        </is>
      </c>
    </row>
    <row r="190">
      <c r="A190" t="inlineStr">
        <is>
          <t>IP-203</t>
        </is>
      </c>
      <c r="B190" t="inlineStr">
        <is>
          <t>17</t>
        </is>
      </c>
      <c r="C190" t="inlineStr">
        <is>
          <t xml:space="preserve">Agricultura y desarrollo rural
</t>
        </is>
      </c>
      <c r="D190" t="inlineStr">
        <is>
          <t>1702</t>
        </is>
      </c>
      <c r="E190" t="inlineStr">
        <is>
          <t>Inclusión productiva de pequeños productores rurales</t>
        </is>
      </c>
      <c r="F190" t="inlineStr">
        <is>
          <t>1702007</t>
        </is>
      </c>
      <c r="G190" t="inlineStr">
        <is>
          <t>Servicio de apoyo financiero para proyectos productivos</t>
        </is>
      </c>
      <c r="H190" t="inlineStr">
        <is>
          <t>Subsidio o cofinanciación para el establecimiento o fortalecimiento de proyectos productivos agropecuarios.</t>
        </is>
      </c>
      <c r="I190" t="inlineStr">
        <is>
          <t>2024004250137</t>
        </is>
      </c>
      <c r="J190" s="99">
        <v>7461463191</v>
      </c>
      <c r="K190" s="99">
        <v>1100000000</v>
      </c>
      <c r="L190" s="99">
        <v>2300000000</v>
      </c>
      <c r="M190" s="99">
        <v>3911463191</v>
      </c>
      <c r="N190" s="99">
        <v>150000000</v>
      </c>
      <c r="O190" s="99">
        <v>1100000000</v>
      </c>
      <c r="P190" s="99">
        <v>1100000000</v>
      </c>
      <c r="Q190" s="99">
        <v>1100000000</v>
      </c>
      <c r="R190" s="100">
        <v>1</v>
      </c>
      <c r="S190" t="inlineStr">
        <is>
          <t>Se ejecutó el 100% de lo programado en la vigencia</t>
        </is>
      </c>
      <c r="T190" s="101">
        <v>2300000000</v>
      </c>
      <c r="U190" s="101">
        <v>2300000000</v>
      </c>
      <c r="V190" s="101">
        <v>2300000000</v>
      </c>
      <c r="W190" s="102">
        <v>1</v>
      </c>
      <c r="X190" t="inlineStr">
        <is>
          <t>Se ejecutó el 100% de lo programado en la vigencia</t>
        </is>
      </c>
    </row>
    <row r="191">
      <c r="A191" t="inlineStr">
        <is>
          <t>IP-204</t>
        </is>
      </c>
      <c r="B191" t="inlineStr">
        <is>
          <t>41</t>
        </is>
      </c>
      <c r="C191" t="inlineStr">
        <is>
          <t xml:space="preserve">Inclusión social y reconciliación </t>
        </is>
      </c>
      <c r="D191" t="inlineStr">
        <is>
          <t>4103</t>
        </is>
      </c>
      <c r="E191" t="inlineStr">
        <is>
          <t>Inclusión social y productiva para la población en situación de vulnerabilidad</t>
        </is>
      </c>
      <c r="F191" t="inlineStr">
        <is>
          <t>4103057</t>
        </is>
      </c>
      <c r="G191" t="inlineStr">
        <is>
          <t>Servicio de apoyo a unidades productivas individuales para la generación de ingresos</t>
        </is>
      </c>
      <c r="H191" t="inlineStr">
        <is>
          <t>Corresponde a la entrega de recursos en especie o monetarios dirigidos a generar las condiciones para el emprendimiento individual.</t>
        </is>
      </c>
      <c r="I191" t="inlineStr">
        <is>
          <t>2024004250185</t>
        </is>
      </c>
      <c r="J191" s="99">
        <v>2166871120</v>
      </c>
      <c r="K191" s="99">
        <v>414007427</v>
      </c>
      <c r="L191" s="99">
        <v>1135893333</v>
      </c>
      <c r="M191" s="99">
        <v>579179000</v>
      </c>
      <c r="N191" s="99">
        <v>37791360</v>
      </c>
      <c r="O191" s="99">
        <v>414007427</v>
      </c>
      <c r="P191" s="99">
        <v>414007427</v>
      </c>
      <c r="Q191" s="99">
        <v>414007427</v>
      </c>
      <c r="R191" s="100">
        <v>1</v>
      </c>
      <c r="S191" t="inlineStr">
        <is>
          <t>Se ejecutó el 100% de lo programado en la vigencia</t>
        </is>
      </c>
      <c r="T191" s="101">
        <v>249163333</v>
      </c>
      <c r="U191" s="101">
        <v>172353334</v>
      </c>
      <c r="V191" s="101">
        <v>172353334</v>
      </c>
      <c r="W191" s="102">
        <v>0.151733731498185</v>
      </c>
      <c r="X191" t="inlineStr">
        <is>
          <t>Lo obligado está por debajo de lo programado en la vigencia</t>
        </is>
      </c>
    </row>
    <row r="192">
      <c r="A192" t="inlineStr">
        <is>
          <t>IP-205</t>
        </is>
      </c>
      <c r="B192" t="inlineStr">
        <is>
          <t>41</t>
        </is>
      </c>
      <c r="C192" t="inlineStr">
        <is>
          <t xml:space="preserve">Inclusión social y reconciliación </t>
        </is>
      </c>
      <c r="D192" t="inlineStr">
        <is>
          <t>4103</t>
        </is>
      </c>
      <c r="E192" t="inlineStr">
        <is>
          <t>Inclusión social y productiva para la población en situación de vulnerabilidad</t>
        </is>
      </c>
      <c r="F192" t="inlineStr">
        <is>
          <t>4103027</t>
        </is>
      </c>
      <c r="G192" t="inlineStr">
        <is>
          <t>Centros comunitarios adecuados</t>
        </is>
      </c>
      <c r="H192" t="inlineStr">
        <is>
          <t xml:space="preserve">Adecuación de infraestructura dispuesta a la comunidad para que pueda desarrollar actividades culturales, sociales y de formación. </t>
        </is>
      </c>
      <c r="I192" t="inlineStr">
        <is>
          <t>2024004250152</t>
        </is>
      </c>
      <c r="J192" s="99">
        <v>7861480140</v>
      </c>
      <c r="K192" s="99">
        <v>800000000</v>
      </c>
      <c r="L192" s="99">
        <v>4184600000</v>
      </c>
      <c r="M192" s="99">
        <v>1620138000</v>
      </c>
      <c r="N192" s="99">
        <v>1256742140</v>
      </c>
      <c r="O192" s="99" t="inlineStr">
        <is>
          <t xml:space="preserve"> </t>
        </is>
      </c>
      <c r="P192" s="99" t="inlineStr">
        <is>
          <t xml:space="preserve"> </t>
        </is>
      </c>
      <c r="Q192" s="99" t="inlineStr">
        <is>
          <t xml:space="preserve"> </t>
        </is>
      </c>
      <c r="R192" s="100" t="inlineStr">
        <is>
          <t xml:space="preserve"> </t>
        </is>
      </c>
      <c r="S192" t="inlineStr">
        <is>
          <t>No se encontró ejecución en CUIPO</t>
        </is>
      </c>
      <c r="T192" s="101" t="inlineStr">
        <is>
          <t xml:space="preserve"> </t>
        </is>
      </c>
      <c r="U192" s="101" t="inlineStr">
        <is>
          <t xml:space="preserve"> </t>
        </is>
      </c>
      <c r="V192" s="101" t="inlineStr">
        <is>
          <t xml:space="preserve"> </t>
        </is>
      </c>
      <c r="W192" s="102" t="inlineStr">
        <is>
          <t xml:space="preserve"> </t>
        </is>
      </c>
      <c r="X192" t="inlineStr">
        <is>
          <t>No se encontró ejecución en CUIPO</t>
        </is>
      </c>
    </row>
    <row r="193">
      <c r="A193" t="inlineStr">
        <is>
          <t>IP-206</t>
        </is>
      </c>
      <c r="B193" t="inlineStr">
        <is>
          <t>17</t>
        </is>
      </c>
      <c r="C193" t="inlineStr">
        <is>
          <t xml:space="preserve">Agricultura y desarrollo rural
</t>
        </is>
      </c>
      <c r="D193" t="inlineStr">
        <is>
          <t>1709</t>
        </is>
      </c>
      <c r="E193" t="inlineStr">
        <is>
          <t>Infraestructura productiva y comercialización</t>
        </is>
      </c>
      <c r="F193" t="inlineStr">
        <is>
          <t>1709065</t>
        </is>
      </c>
      <c r="G193" t="inlineStr">
        <is>
          <t>Plantas de beneficio animal adecuadas</t>
        </is>
      </c>
      <c r="H193" t="inlineStr">
        <is>
          <t>Todo establecimiento en donde se benefician las especies de animales que han sido declarados como aptas para el consumo humano y que ha sido registrado y autorizado para este fin.</t>
        </is>
      </c>
      <c r="I193" t="inlineStr">
        <is>
          <t>2024004250062</t>
        </is>
      </c>
      <c r="J193" s="99">
        <v>3430000000</v>
      </c>
      <c r="K193" s="99">
        <v>250000000</v>
      </c>
      <c r="L193" s="99">
        <v>0</v>
      </c>
      <c r="M193" s="99">
        <v>2680000000</v>
      </c>
      <c r="N193" s="99">
        <v>500000000</v>
      </c>
      <c r="O193" s="99">
        <v>250000000</v>
      </c>
      <c r="P193" s="99">
        <v>250000000</v>
      </c>
      <c r="Q193" s="99">
        <v>250000000</v>
      </c>
      <c r="R193" s="100">
        <v>1</v>
      </c>
      <c r="S193" t="inlineStr">
        <is>
          <t>Se ejecutó el 100% de lo programado en la vigencia</t>
        </is>
      </c>
      <c r="T193" s="101" t="inlineStr">
        <is>
          <t xml:space="preserve"> </t>
        </is>
      </c>
      <c r="U193" s="101" t="inlineStr">
        <is>
          <t xml:space="preserve"> </t>
        </is>
      </c>
      <c r="V193" s="101" t="inlineStr">
        <is>
          <t xml:space="preserve"> </t>
        </is>
      </c>
      <c r="W193" s="102" t="inlineStr">
        <is>
          <t xml:space="preserve"> </t>
        </is>
      </c>
      <c r="X193" t="inlineStr">
        <is>
          <t>No se encontró ejecución en CUIPO</t>
        </is>
      </c>
    </row>
    <row r="194">
      <c r="A194" t="inlineStr">
        <is>
          <t>IP-207, IP-219</t>
        </is>
      </c>
      <c r="B194" t="inlineStr">
        <is>
          <t>17</t>
        </is>
      </c>
      <c r="C194" t="inlineStr">
        <is>
          <t xml:space="preserve">Agricultura y desarrollo rural
</t>
        </is>
      </c>
      <c r="D194" t="inlineStr">
        <is>
          <t>1702</t>
        </is>
      </c>
      <c r="E194" t="inlineStr">
        <is>
          <t>Inclusión productiva de pequeños productores rurales</t>
        </is>
      </c>
      <c r="F194" t="inlineStr">
        <is>
          <t>1702021</t>
        </is>
      </c>
      <c r="G194" t="inlineStr">
        <is>
          <t>Servicio de acompañamiento productivo y empresarial</t>
        </is>
      </c>
      <c r="H194" t="inlineStr">
        <is>
          <t>Incluye la identificación del estado de los procesos productivos y definición de planes de mejoramiento.</t>
        </is>
      </c>
      <c r="I194" t="inlineStr">
        <is>
          <t>2024004250055</t>
        </is>
      </c>
      <c r="J194" s="99">
        <v>23675546671</v>
      </c>
      <c r="K194" s="99">
        <v>4200000000</v>
      </c>
      <c r="L194" s="99">
        <v>9645450967</v>
      </c>
      <c r="M194" s="99">
        <v>6930095704</v>
      </c>
      <c r="N194" s="99">
        <v>2900000000</v>
      </c>
      <c r="O194" s="99">
        <v>4200000000</v>
      </c>
      <c r="P194" s="99">
        <v>4200000000</v>
      </c>
      <c r="Q194" s="99">
        <v>4200000000</v>
      </c>
      <c r="R194" s="100">
        <v>1</v>
      </c>
      <c r="S194" t="inlineStr">
        <is>
          <t>Se ejecutó el 100% de lo programado en la vigencia</t>
        </is>
      </c>
      <c r="T194" s="101">
        <v>7925915952</v>
      </c>
      <c r="U194" s="101">
        <v>7925915952</v>
      </c>
      <c r="V194" s="101">
        <v>7925915952</v>
      </c>
      <c r="W194" s="102">
        <v>0.821725804124343</v>
      </c>
      <c r="X194" t="inlineStr">
        <is>
          <t>Lo obligado está por debajo de lo programado en la vigencia</t>
        </is>
      </c>
    </row>
    <row r="195">
      <c r="A195" t="inlineStr">
        <is>
          <t>IP-208, IP-209, IP-216</t>
        </is>
      </c>
      <c r="B195" t="inlineStr">
        <is>
          <t>17</t>
        </is>
      </c>
      <c r="C195" t="inlineStr">
        <is>
          <t xml:space="preserve">Agricultura y desarrollo rural
</t>
        </is>
      </c>
      <c r="D195" t="inlineStr">
        <is>
          <t>1702</t>
        </is>
      </c>
      <c r="E195" t="inlineStr">
        <is>
          <t>Inclusión productiva de pequeños productores rurales</t>
        </is>
      </c>
      <c r="F195" t="inlineStr">
        <is>
          <t>1702038</t>
        </is>
      </c>
      <c r="G195" t="inlineStr">
        <is>
          <t>Servicio de apoyo a la comercialización</t>
        </is>
      </c>
      <c r="H195" t="inlineStr">
        <is>
          <t>Consiste en el acompañamiento para la  identificación de apoyos específicos, la adquisición de competencias comerciales y  en casos requeridos, la inserción o consolidación en  encadenamientos comerciales.</t>
        </is>
      </c>
      <c r="I195" t="inlineStr">
        <is>
          <t>2024004250059</t>
        </is>
      </c>
      <c r="J195" s="99">
        <v>25068232680</v>
      </c>
      <c r="K195" s="99">
        <v>8535955719</v>
      </c>
      <c r="L195" s="99">
        <v>7030805542</v>
      </c>
      <c r="M195" s="99">
        <v>7745471419</v>
      </c>
      <c r="N195" s="99">
        <v>1756000000</v>
      </c>
      <c r="O195" s="99">
        <v>8535955719</v>
      </c>
      <c r="P195" s="99">
        <v>8535955719</v>
      </c>
      <c r="Q195" s="99">
        <v>8535955719</v>
      </c>
      <c r="R195" s="100">
        <v>1</v>
      </c>
      <c r="S195" t="inlineStr">
        <is>
          <t>Se ejecutó el 100% de lo programado en la vigencia</t>
        </is>
      </c>
      <c r="T195" s="101">
        <v>3484872452</v>
      </c>
      <c r="U195" s="101">
        <v>3484872452</v>
      </c>
      <c r="V195" s="101">
        <v>3484872452</v>
      </c>
      <c r="W195" s="102">
        <v>0.495657635697984</v>
      </c>
      <c r="X195" t="inlineStr">
        <is>
          <t>Lo obligado está por debajo de lo programado en la vigencia</t>
        </is>
      </c>
    </row>
    <row r="196">
      <c r="A196" t="inlineStr">
        <is>
          <t>IP-210</t>
        </is>
      </c>
      <c r="B196" t="inlineStr">
        <is>
          <t>17</t>
        </is>
      </c>
      <c r="C196" t="inlineStr">
        <is>
          <t xml:space="preserve">Agricultura y desarrollo rural
</t>
        </is>
      </c>
      <c r="D196" t="inlineStr">
        <is>
          <t>1709</t>
        </is>
      </c>
      <c r="E196" t="inlineStr">
        <is>
          <t>Infraestructura productiva y comercialización</t>
        </is>
      </c>
      <c r="F196" t="inlineStr">
        <is>
          <t>1709019</t>
        </is>
      </c>
      <c r="G196" t="inlineStr">
        <is>
          <t>Centros logísticos agropecuarios adecuados</t>
        </is>
      </c>
      <c r="H196" t="inlineStr">
        <is>
          <t>Los centros logísticos son entendidos como equipamientos localizados estratégicamente en regiones altamente productivas con el objeto de concentrar y suministrar Servicio complementarios a sus actividades principales.</t>
        </is>
      </c>
      <c r="I196" t="inlineStr">
        <is>
          <t>2024004250062</t>
        </is>
      </c>
      <c r="J196" s="99">
        <v>52331468476</v>
      </c>
      <c r="K196" s="99">
        <v>15437603476</v>
      </c>
      <c r="L196" s="99">
        <v>28489865000</v>
      </c>
      <c r="M196" s="99">
        <v>3404000000</v>
      </c>
      <c r="N196" s="99">
        <v>5000000000</v>
      </c>
      <c r="O196" s="99" t="inlineStr">
        <is>
          <t xml:space="preserve"> </t>
        </is>
      </c>
      <c r="P196" s="99" t="inlineStr">
        <is>
          <t xml:space="preserve"> </t>
        </is>
      </c>
      <c r="Q196" s="99" t="inlineStr">
        <is>
          <t xml:space="preserve"> </t>
        </is>
      </c>
      <c r="R196" s="100" t="inlineStr">
        <is>
          <t xml:space="preserve"> </t>
        </is>
      </c>
      <c r="S196" t="inlineStr">
        <is>
          <t>No se encontró ejecución en CUIPO</t>
        </is>
      </c>
      <c r="T196" s="101" t="inlineStr">
        <is>
          <t xml:space="preserve"> </t>
        </is>
      </c>
      <c r="U196" s="101" t="inlineStr">
        <is>
          <t xml:space="preserve"> </t>
        </is>
      </c>
      <c r="V196" s="101" t="inlineStr">
        <is>
          <t xml:space="preserve"> </t>
        </is>
      </c>
      <c r="W196" s="102" t="inlineStr">
        <is>
          <t xml:space="preserve"> </t>
        </is>
      </c>
      <c r="X196" t="inlineStr">
        <is>
          <t>No se encontró ejecución en CUIPO</t>
        </is>
      </c>
    </row>
    <row r="197">
      <c r="A197" t="inlineStr">
        <is>
          <t>IP-211</t>
        </is>
      </c>
      <c r="B197" t="inlineStr">
        <is>
          <t>17</t>
        </is>
      </c>
      <c r="C197" t="inlineStr">
        <is>
          <t xml:space="preserve">Agricultura y desarrollo rural
</t>
        </is>
      </c>
      <c r="D197" t="inlineStr">
        <is>
          <t>1702</t>
        </is>
      </c>
      <c r="E197" t="inlineStr">
        <is>
          <t>Inclusión productiva de pequeños productores rurales</t>
        </is>
      </c>
      <c r="F197" t="inlineStr">
        <is>
          <t>1702009</t>
        </is>
      </c>
      <c r="G197" t="inlineStr">
        <is>
          <t>Servicio de apoyo financiero para el acceso a activos productivos y de comercialización</t>
        </is>
      </c>
      <c r="H197" t="inlineStr">
        <is>
          <t>Cofinanciación para la adquisición de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distribución y consumo.</t>
        </is>
      </c>
      <c r="I197" t="inlineStr">
        <is>
          <t>2024004250080</t>
        </is>
      </c>
      <c r="J197" s="99">
        <v>5010000000</v>
      </c>
      <c r="K197" s="99">
        <v>0</v>
      </c>
      <c r="L197" s="99">
        <v>10000000</v>
      </c>
      <c r="M197" s="99">
        <v>4000000000</v>
      </c>
      <c r="N197" s="99">
        <v>1000000000</v>
      </c>
      <c r="O197" s="99" t="inlineStr">
        <is>
          <t xml:space="preserve"> </t>
        </is>
      </c>
      <c r="P197" s="99" t="inlineStr">
        <is>
          <t xml:space="preserve"> </t>
        </is>
      </c>
      <c r="Q197" s="99" t="inlineStr">
        <is>
          <t xml:space="preserve"> </t>
        </is>
      </c>
      <c r="R197" s="100" t="inlineStr">
        <is>
          <t xml:space="preserve"> </t>
        </is>
      </c>
      <c r="S197" t="inlineStr">
        <is>
          <t>No se encontró ejecución en CUIPO</t>
        </is>
      </c>
      <c r="T197" s="101">
        <v>10000000</v>
      </c>
      <c r="U197" s="101">
        <v>10000000</v>
      </c>
      <c r="V197" s="101">
        <v>10000000</v>
      </c>
      <c r="W197" s="102">
        <v>1</v>
      </c>
      <c r="X197" t="inlineStr">
        <is>
          <t>Se ejecutó el 100% de lo programado en la vigencia</t>
        </is>
      </c>
    </row>
    <row r="198">
      <c r="A198" t="inlineStr">
        <is>
          <t>IP-212</t>
        </is>
      </c>
      <c r="B198" t="inlineStr">
        <is>
          <t>17</t>
        </is>
      </c>
      <c r="C198" t="inlineStr">
        <is>
          <t xml:space="preserve">Agricultura y desarrollo rural
</t>
        </is>
      </c>
      <c r="D198" t="inlineStr">
        <is>
          <t>1702</t>
        </is>
      </c>
      <c r="E198" t="inlineStr">
        <is>
          <t>Inclusión productiva de pequeños productores rurales</t>
        </is>
      </c>
      <c r="F198" t="inlineStr">
        <is>
          <t>1702040</t>
        </is>
      </c>
      <c r="G198" t="inlineStr">
        <is>
          <t>Servicio de fomento a la asociatividad</t>
        </is>
      </c>
      <c r="H198" t="inlineStr">
        <is>
          <t>Incluye el desarrollo de actividades encaminadas a fomentar la asociatividad entre los productores rurales dispersos. Adicionalmente, busca sensibilizar a los productores dispersos sobre los beneficios y responsabilidades que se derivan de los procesos asociativos y de participación para el desarrollo rural, por medio de la realización de eventos, talleres, asesorías, capacitaciones y/o mesas de trabajo, entre otros.</t>
        </is>
      </c>
      <c r="I198" t="inlineStr">
        <is>
          <t>2024004250055</t>
        </is>
      </c>
      <c r="J198" s="99">
        <v>15695956528</v>
      </c>
      <c r="K198" s="99">
        <v>3100000000</v>
      </c>
      <c r="L198" s="99">
        <v>3644695279</v>
      </c>
      <c r="M198" s="99">
        <v>6251261249</v>
      </c>
      <c r="N198" s="99">
        <v>2700000000</v>
      </c>
      <c r="O198" s="99">
        <v>3100000000</v>
      </c>
      <c r="P198" s="99">
        <v>3100000000</v>
      </c>
      <c r="Q198" s="99">
        <v>3100000000</v>
      </c>
      <c r="R198" s="100">
        <v>1</v>
      </c>
      <c r="S198" t="inlineStr">
        <is>
          <t>Se ejecutó el 100% de lo programado en la vigencia</t>
        </is>
      </c>
      <c r="T198" s="101">
        <v>2425801575</v>
      </c>
      <c r="U198" s="101">
        <v>2425801575</v>
      </c>
      <c r="V198" s="101">
        <v>2425801575</v>
      </c>
      <c r="W198" s="102">
        <v>0.665570476900217</v>
      </c>
      <c r="X198" t="inlineStr">
        <is>
          <t>Lo obligado está por debajo de lo programado en la vigencia</t>
        </is>
      </c>
    </row>
    <row r="199">
      <c r="A199" t="inlineStr">
        <is>
          <t>IP-213</t>
        </is>
      </c>
      <c r="B199" t="inlineStr">
        <is>
          <t>17</t>
        </is>
      </c>
      <c r="C199" t="inlineStr">
        <is>
          <t xml:space="preserve">Agricultura y desarrollo rural
</t>
        </is>
      </c>
      <c r="D199" t="inlineStr">
        <is>
          <t>1702</t>
        </is>
      </c>
      <c r="E199" t="inlineStr">
        <is>
          <t>Inclusión productiva de pequeños productores rurales</t>
        </is>
      </c>
      <c r="F199" t="inlineStr">
        <is>
          <t>1702033</t>
        </is>
      </c>
      <c r="G199" t="inlineStr">
        <is>
          <t>Servicio de información para las alianzas productivas</t>
        </is>
      </c>
      <c r="H199" t="inlineStr">
        <is>
          <t>Contempla el diseño, desarrollo, implantación, mantenimiento y adecuación del sistema de información orientado a las alianzas productivas.</t>
        </is>
      </c>
      <c r="I199" t="inlineStr">
        <is>
          <t>2024004250059</t>
        </is>
      </c>
      <c r="J199" s="99">
        <v>720000000</v>
      </c>
      <c r="K199" s="99">
        <v>400000000</v>
      </c>
      <c r="L199" s="99">
        <v>0</v>
      </c>
      <c r="M199" s="99">
        <v>120000000</v>
      </c>
      <c r="N199" s="99">
        <v>200000000</v>
      </c>
      <c r="O199" s="99">
        <v>400000000</v>
      </c>
      <c r="P199" s="99">
        <v>400000000</v>
      </c>
      <c r="Q199" s="99">
        <v>400000000</v>
      </c>
      <c r="R199" s="100">
        <v>1</v>
      </c>
      <c r="S199" t="inlineStr">
        <is>
          <t>Se ejecutó el 100% de lo programado en la vigencia</t>
        </is>
      </c>
      <c r="T199" s="101" t="inlineStr">
        <is>
          <t xml:space="preserve"> </t>
        </is>
      </c>
      <c r="U199" s="101" t="inlineStr">
        <is>
          <t xml:space="preserve"> </t>
        </is>
      </c>
      <c r="V199" s="101" t="inlineStr">
        <is>
          <t xml:space="preserve"> </t>
        </is>
      </c>
      <c r="W199" s="102" t="inlineStr">
        <is>
          <t xml:space="preserve"> </t>
        </is>
      </c>
      <c r="X199" t="inlineStr">
        <is>
          <t>No se encontró ejecución en CUIPO</t>
        </is>
      </c>
    </row>
    <row r="200">
      <c r="A200" t="inlineStr">
        <is>
          <t>IP-214</t>
        </is>
      </c>
      <c r="B200" t="inlineStr">
        <is>
          <t>17</t>
        </is>
      </c>
      <c r="C200" t="inlineStr">
        <is>
          <t xml:space="preserve">Agricultura y desarrollo rural
</t>
        </is>
      </c>
      <c r="D200" t="inlineStr">
        <is>
          <t>1706</t>
        </is>
      </c>
      <c r="E200" t="inlineStr">
        <is>
          <t>Aprovechamiento de mercados externos</t>
        </is>
      </c>
      <c r="F200" t="inlineStr">
        <is>
          <t>1706008</t>
        </is>
      </c>
      <c r="G200" t="inlineStr">
        <is>
          <t>Servicio de apoyo financiero para la organización de ferias nacionales e internacionales</t>
        </is>
      </c>
      <c r="H200" t="inlineStr">
        <is>
          <t/>
        </is>
      </c>
      <c r="I200" t="inlineStr">
        <is>
          <t>2024004250087</t>
        </is>
      </c>
      <c r="J200" s="99">
        <v>14792579642</v>
      </c>
      <c r="K200" s="99">
        <v>0</v>
      </c>
      <c r="L200" s="99">
        <v>14675187267</v>
      </c>
      <c r="M200" s="99">
        <v>117392375</v>
      </c>
      <c r="N200" s="99">
        <v>0</v>
      </c>
      <c r="O200" s="99" t="inlineStr">
        <is>
          <t xml:space="preserve"> </t>
        </is>
      </c>
      <c r="P200" s="99" t="inlineStr">
        <is>
          <t xml:space="preserve"> </t>
        </is>
      </c>
      <c r="Q200" s="99" t="inlineStr">
        <is>
          <t xml:space="preserve"> </t>
        </is>
      </c>
      <c r="R200" s="100" t="inlineStr">
        <is>
          <t xml:space="preserve"> </t>
        </is>
      </c>
      <c r="S200" t="inlineStr">
        <is>
          <t>No se encontró ejecución en CUIPO</t>
        </is>
      </c>
      <c r="T200" s="101">
        <v>2708583331</v>
      </c>
      <c r="U200" s="101">
        <v>2708583331</v>
      </c>
      <c r="V200" s="101">
        <v>2708583331</v>
      </c>
      <c r="W200" s="102">
        <v>0.184568910891568</v>
      </c>
      <c r="X200" t="inlineStr">
        <is>
          <t>Lo obligado está por debajo de lo programado en la vigencia</t>
        </is>
      </c>
    </row>
    <row r="201">
      <c r="A201" t="inlineStr">
        <is>
          <t>IP-215</t>
        </is>
      </c>
      <c r="B201" t="inlineStr">
        <is>
          <t>17</t>
        </is>
      </c>
      <c r="C201" t="inlineStr">
        <is>
          <t xml:space="preserve">Agricultura y desarrollo rural
</t>
        </is>
      </c>
      <c r="D201" t="inlineStr">
        <is>
          <t>1702</t>
        </is>
      </c>
      <c r="E201" t="inlineStr">
        <is>
          <t>Inclusión productiva de pequeños productores rurales</t>
        </is>
      </c>
      <c r="F201" t="inlineStr">
        <is>
          <t>1702021</t>
        </is>
      </c>
      <c r="G201" t="inlineStr">
        <is>
          <t>Servicio de acompañamiento productivo y empresarial</t>
        </is>
      </c>
      <c r="H201" t="inlineStr">
        <is>
          <t>Incluye la identificación del estado de los procesos productivos y definición de planes de mejoramiento.</t>
        </is>
      </c>
      <c r="I201" t="inlineStr">
        <is>
          <t>2024004250059</t>
        </is>
      </c>
      <c r="J201" s="99">
        <v>6406507308</v>
      </c>
      <c r="K201" s="99">
        <v>850000000</v>
      </c>
      <c r="L201" s="99">
        <v>3476507308</v>
      </c>
      <c r="M201" s="99">
        <v>1780000000</v>
      </c>
      <c r="N201" s="99">
        <v>300000000</v>
      </c>
      <c r="O201" s="99">
        <v>850000000</v>
      </c>
      <c r="P201" s="99">
        <v>850000000</v>
      </c>
      <c r="Q201" s="99">
        <v>850000000</v>
      </c>
      <c r="R201" s="100">
        <v>1</v>
      </c>
      <c r="S201" t="inlineStr">
        <is>
          <t>Se ejecutó el 100% de lo programado en la vigencia</t>
        </is>
      </c>
      <c r="T201" s="101">
        <v>1850422756</v>
      </c>
      <c r="U201" s="101">
        <v>1850422756</v>
      </c>
      <c r="V201" s="101">
        <v>1850422756</v>
      </c>
      <c r="W201" s="102">
        <v>0.532264883131953</v>
      </c>
      <c r="X201" t="inlineStr">
        <is>
          <t>Lo obligado está por debajo de lo programado en la vigencia</t>
        </is>
      </c>
    </row>
    <row r="202">
      <c r="A202" t="inlineStr">
        <is>
          <t>IP-217</t>
        </is>
      </c>
      <c r="B202" t="inlineStr">
        <is>
          <t>40</t>
        </is>
      </c>
      <c r="C202" t="inlineStr">
        <is>
          <t>Vivienda, ciudad y territorio</t>
        </is>
      </c>
      <c r="D202" t="inlineStr">
        <is>
          <t>4003</t>
        </is>
      </c>
      <c r="E202" t="inlineStr">
        <is>
          <t>Acceso de la población a los servicios de agua potable y saneamiento básico</t>
        </is>
      </c>
      <c r="F202" t="inlineStr">
        <is>
          <t>4003012</t>
        </is>
      </c>
      <c r="G202" t="inlineStr">
        <is>
          <t>Soluciones de disposición final de residuos solidos construidas</t>
        </is>
      </c>
      <c r="H202" t="inlineStr">
        <is>
          <t>Sitios dispuestos para disponer los residuos solidos recolectados en una zona</t>
        </is>
      </c>
      <c r="I202" t="inlineStr">
        <is>
          <t>2024004250145</t>
        </is>
      </c>
      <c r="J202" s="99">
        <v>56000000</v>
      </c>
      <c r="K202" s="99">
        <v>0</v>
      </c>
      <c r="L202" s="99">
        <v>56000000</v>
      </c>
      <c r="M202" s="99">
        <v>0</v>
      </c>
      <c r="N202" s="99">
        <v>0</v>
      </c>
      <c r="O202" s="99" t="inlineStr">
        <is>
          <t xml:space="preserve"> </t>
        </is>
      </c>
      <c r="P202" s="99" t="inlineStr">
        <is>
          <t xml:space="preserve"> </t>
        </is>
      </c>
      <c r="Q202" s="99" t="inlineStr">
        <is>
          <t xml:space="preserve"> </t>
        </is>
      </c>
      <c r="R202" s="100" t="inlineStr">
        <is>
          <t xml:space="preserve"> </t>
        </is>
      </c>
      <c r="S202" t="inlineStr">
        <is>
          <t>No se encontró ejecución en CUIPO</t>
        </is>
      </c>
      <c r="T202" s="101">
        <v>46666662</v>
      </c>
      <c r="U202" s="101">
        <v>46666662</v>
      </c>
      <c r="V202" s="101">
        <v>46666662</v>
      </c>
      <c r="W202" s="102">
        <v>0.83333325</v>
      </c>
      <c r="X202" t="inlineStr">
        <is>
          <t>Lo obligado está por debajo de lo programado en la vigencia</t>
        </is>
      </c>
    </row>
    <row r="203">
      <c r="A203" t="inlineStr">
        <is>
          <t>IP-218</t>
        </is>
      </c>
      <c r="B203" t="inlineStr">
        <is>
          <t>35</t>
        </is>
      </c>
      <c r="C203" t="inlineStr">
        <is>
          <t>Comercio, industria y turismo</t>
        </is>
      </c>
      <c r="D203" t="inlineStr">
        <is>
          <t>3502</t>
        </is>
      </c>
      <c r="E203" t="inlineStr">
        <is>
          <t>Productividad y competitividad de las empresas colombianas</t>
        </is>
      </c>
      <c r="F203" t="inlineStr">
        <is>
          <t>3502004</t>
        </is>
      </c>
      <c r="G203" t="inlineStr">
        <is>
          <t>Servicio de apoyo financiero para el mejoramiento de productos o procesos</t>
        </is>
      </c>
      <c r="H203" t="inlineStr">
        <is>
          <t>Con este servicio se busca financiar iniciativas de mejoramiento en la calidad de los productos y Servicio, así como en el mejoramiento de procesos productivos de las empresas nacionales.</t>
        </is>
      </c>
      <c r="I203" t="inlineStr">
        <is>
          <t>2024004250081</t>
        </is>
      </c>
      <c r="J203" s="99">
        <v>29673107610</v>
      </c>
      <c r="K203" s="99">
        <v>3870000000</v>
      </c>
      <c r="L203" s="99">
        <v>9992864028</v>
      </c>
      <c r="M203" s="99">
        <v>11310243582</v>
      </c>
      <c r="N203" s="99">
        <v>4500000000</v>
      </c>
      <c r="O203" s="99">
        <v>3870000000</v>
      </c>
      <c r="P203" s="99">
        <v>3870000000</v>
      </c>
      <c r="Q203" s="99">
        <v>3870000000</v>
      </c>
      <c r="R203" s="100">
        <v>1</v>
      </c>
      <c r="S203" t="inlineStr">
        <is>
          <t>Se ejecutó el 100% de lo programado en la vigencia</t>
        </is>
      </c>
      <c r="T203" s="101">
        <v>4727468588</v>
      </c>
      <c r="U203" s="101">
        <v>4727468588</v>
      </c>
      <c r="V203" s="101">
        <v>4727468588</v>
      </c>
      <c r="W203" s="102">
        <v>0.473084450539268</v>
      </c>
      <c r="X203" t="inlineStr">
        <is>
          <t>Lo obligado está por debajo de lo programado en la vigencia</t>
        </is>
      </c>
    </row>
    <row r="204">
      <c r="A204" t="inlineStr">
        <is>
          <t>IP-220</t>
        </is>
      </c>
      <c r="B204" t="inlineStr">
        <is>
          <t>17</t>
        </is>
      </c>
      <c r="C204" t="inlineStr">
        <is>
          <t xml:space="preserve">Agricultura y desarrollo rural
</t>
        </is>
      </c>
      <c r="D204" t="inlineStr">
        <is>
          <t>1702</t>
        </is>
      </c>
      <c r="E204" t="inlineStr">
        <is>
          <t>Inclusión productiva de pequeños productores rurales</t>
        </is>
      </c>
      <c r="F204" t="inlineStr">
        <is>
          <t>1702007</t>
        </is>
      </c>
      <c r="G204" t="inlineStr">
        <is>
          <t>Servicio de apoyo financiero para proyectos productivos</t>
        </is>
      </c>
      <c r="H204" t="inlineStr">
        <is>
          <t>Subsidio o cofinanciación para el establecimiento o fortalecimiento de proyectos productivos agropecuarios.</t>
        </is>
      </c>
      <c r="I204" t="inlineStr">
        <is>
          <t>2024004250221</t>
        </is>
      </c>
      <c r="J204" s="99">
        <v>2137000000</v>
      </c>
      <c r="K204" s="99">
        <v>285000000</v>
      </c>
      <c r="L204" s="99">
        <v>732000000</v>
      </c>
      <c r="M204" s="99">
        <v>1120000000</v>
      </c>
      <c r="N204" s="99">
        <v>0</v>
      </c>
      <c r="O204" s="99">
        <v>45000000</v>
      </c>
      <c r="P204" s="99">
        <v>45000000</v>
      </c>
      <c r="Q204" s="99">
        <v>45000000</v>
      </c>
      <c r="R204" s="100">
        <v>0.157894736842105</v>
      </c>
      <c r="S204" t="inlineStr">
        <is>
          <t>Lo obligado está por debajo de lo programado en la vigencia</t>
        </is>
      </c>
      <c r="T204" s="101">
        <v>332000000</v>
      </c>
      <c r="U204" s="101">
        <v>250922883</v>
      </c>
      <c r="V204" s="101">
        <v>235764843</v>
      </c>
      <c r="W204" s="102">
        <v>0.342790823770492</v>
      </c>
      <c r="X204" t="inlineStr">
        <is>
          <t>Lo obligado está por debajo de lo programado en la vigencia</t>
        </is>
      </c>
    </row>
    <row r="205">
      <c r="A205" t="inlineStr">
        <is>
          <t>IP-221</t>
        </is>
      </c>
      <c r="B205" t="inlineStr">
        <is>
          <t>17</t>
        </is>
      </c>
      <c r="C205" t="inlineStr">
        <is>
          <t xml:space="preserve">Agricultura y desarrollo rural
</t>
        </is>
      </c>
      <c r="D205" t="inlineStr">
        <is>
          <t>1708</t>
        </is>
      </c>
      <c r="E205" t="inlineStr">
        <is>
          <t>Ciencia, tecnología e innovación agropecuaria</t>
        </is>
      </c>
      <c r="F205" t="inlineStr">
        <is>
          <t>1708041</t>
        </is>
      </c>
      <c r="G205" t="inlineStr">
        <is>
          <t>Servicio de extensión agropecuaria</t>
        </is>
      </c>
      <c r="H205" t="inlineStr">
        <is>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is>
      </c>
      <c r="I205" t="inlineStr">
        <is>
          <t>2024004250211</t>
        </is>
      </c>
      <c r="J205" s="99">
        <v>5859422248</v>
      </c>
      <c r="K205" s="99">
        <v>2063740200</v>
      </c>
      <c r="L205" s="99">
        <v>915682048</v>
      </c>
      <c r="M205" s="99">
        <v>1180000000</v>
      </c>
      <c r="N205" s="99">
        <v>1700000000</v>
      </c>
      <c r="O205" s="99">
        <v>1736033217</v>
      </c>
      <c r="P205" s="99">
        <v>1736033217</v>
      </c>
      <c r="Q205" s="99">
        <v>142500000</v>
      </c>
      <c r="R205" s="100">
        <v>0.841207249342723</v>
      </c>
      <c r="S205" t="inlineStr">
        <is>
          <t>Lo obligado está por debajo de lo programado en la vigencia</t>
        </is>
      </c>
      <c r="T205" s="101">
        <v>565682048</v>
      </c>
      <c r="U205" s="101">
        <v>453532048</v>
      </c>
      <c r="V205" s="101">
        <v>448532048</v>
      </c>
      <c r="W205" s="102">
        <v>0.495294244318307</v>
      </c>
      <c r="X205" t="inlineStr">
        <is>
          <t>Lo obligado está por debajo de lo programado en la vigencia</t>
        </is>
      </c>
    </row>
    <row r="206">
      <c r="A206" t="inlineStr">
        <is>
          <t>IP-222</t>
        </is>
      </c>
      <c r="B206" t="inlineStr">
        <is>
          <t>17</t>
        </is>
      </c>
      <c r="C206" t="inlineStr">
        <is>
          <t xml:space="preserve">Agricultura y desarrollo rural
</t>
        </is>
      </c>
      <c r="D206" t="inlineStr">
        <is>
          <t>1702</t>
        </is>
      </c>
      <c r="E206" t="inlineStr">
        <is>
          <t>Inclusión productiva de pequeños productores rurales</t>
        </is>
      </c>
      <c r="F206" t="inlineStr">
        <is>
          <t>1702021</t>
        </is>
      </c>
      <c r="G206" t="inlineStr">
        <is>
          <t>Servicio de acompañamiento productivo y empresarial</t>
        </is>
      </c>
      <c r="H206" t="inlineStr">
        <is>
          <t>Incluye la identificación del estado de los procesos productivos y definición de planes de mejoramiento.</t>
        </is>
      </c>
      <c r="I206" t="inlineStr">
        <is>
          <t>2024004250064</t>
        </is>
      </c>
      <c r="J206" s="99">
        <v>26288271499</v>
      </c>
      <c r="K206" s="99">
        <v>4003670175</v>
      </c>
      <c r="L206" s="99">
        <v>7601800324</v>
      </c>
      <c r="M206" s="99">
        <v>6129880000</v>
      </c>
      <c r="N206" s="99">
        <v>8552921000</v>
      </c>
      <c r="O206" s="99">
        <v>3980116024</v>
      </c>
      <c r="P206" s="99">
        <v>3976866024</v>
      </c>
      <c r="Q206" s="99">
        <v>3931539175</v>
      </c>
      <c r="R206" s="100">
        <v>0.993305105108964</v>
      </c>
      <c r="S206" t="inlineStr">
        <is>
          <t>Lo obligado está por debajo de lo programado en la vigencia</t>
        </is>
      </c>
      <c r="T206" s="101">
        <v>4375094751</v>
      </c>
      <c r="U206" s="101">
        <v>1287981298</v>
      </c>
      <c r="V206" s="101">
        <v>1150914561</v>
      </c>
      <c r="W206" s="102">
        <v>0.16943108778241</v>
      </c>
      <c r="X206" t="inlineStr">
        <is>
          <t>Lo obligado está por debajo de lo programado en la vigencia</t>
        </is>
      </c>
    </row>
    <row r="207">
      <c r="A207" t="inlineStr">
        <is>
          <t>IP-223</t>
        </is>
      </c>
      <c r="B207" t="inlineStr">
        <is>
          <t>17</t>
        </is>
      </c>
      <c r="C207" t="inlineStr">
        <is>
          <t xml:space="preserve">Agricultura y desarrollo rural
</t>
        </is>
      </c>
      <c r="D207" t="inlineStr">
        <is>
          <t>1702</t>
        </is>
      </c>
      <c r="E207" t="inlineStr">
        <is>
          <t>Inclusión productiva de pequeños productores rurales</t>
        </is>
      </c>
      <c r="F207" t="inlineStr">
        <is>
          <t>1702007</t>
        </is>
      </c>
      <c r="G207" t="inlineStr">
        <is>
          <t>Servicio de apoyo financiero para proyectos productivos</t>
        </is>
      </c>
      <c r="H207" t="inlineStr">
        <is>
          <t>Subsidio o cofinanciación para el establecimiento o fortalecimiento de proyectos productivos agropecuarios.</t>
        </is>
      </c>
      <c r="I207" t="inlineStr">
        <is>
          <t>2024004250219</t>
        </is>
      </c>
      <c r="J207" s="99">
        <v>539711528</v>
      </c>
      <c r="K207" s="99">
        <v>114711528</v>
      </c>
      <c r="L207" s="99">
        <v>220000000</v>
      </c>
      <c r="M207" s="99">
        <v>165000000</v>
      </c>
      <c r="N207" s="99">
        <v>40000000</v>
      </c>
      <c r="O207" s="99">
        <v>113913600</v>
      </c>
      <c r="P207" s="99">
        <v>113913600</v>
      </c>
      <c r="Q207" s="99">
        <v>113913600</v>
      </c>
      <c r="R207" s="100">
        <v>0.993044046976691</v>
      </c>
      <c r="S207" t="inlineStr">
        <is>
          <t>Lo obligado está por debajo de lo programado en la vigencia</t>
        </is>
      </c>
      <c r="T207" s="101">
        <v>13440000</v>
      </c>
      <c r="U207" s="101">
        <v>13440000</v>
      </c>
      <c r="V207" s="101">
        <v>13440000</v>
      </c>
      <c r="W207" s="102">
        <v>0.0610909090909091</v>
      </c>
      <c r="X207" t="inlineStr">
        <is>
          <t>Lo obligado está por debajo de lo programado en la vigencia</t>
        </is>
      </c>
    </row>
    <row r="208">
      <c r="A208" t="inlineStr">
        <is>
          <t>IP-224</t>
        </is>
      </c>
      <c r="B208" t="inlineStr">
        <is>
          <t>17</t>
        </is>
      </c>
      <c r="C208" t="inlineStr">
        <is>
          <t xml:space="preserve">Agricultura y desarrollo rural
</t>
        </is>
      </c>
      <c r="D208" t="inlineStr">
        <is>
          <t>1709</t>
        </is>
      </c>
      <c r="E208" t="inlineStr">
        <is>
          <t>Infraestructura productiva y comercialización</t>
        </is>
      </c>
      <c r="F208" t="inlineStr">
        <is>
          <t>1709043</t>
        </is>
      </c>
      <c r="G208" t="inlineStr">
        <is>
          <t>Infraestructura de producción agrícola construida</t>
        </is>
      </c>
      <c r="H208" t="inlineStr">
        <is>
          <t>Incluye todo tipo de construcciones que sean parte de un proyecto productivo ligado a la producción primaria agrícola. Ej.: invernaderos.</t>
        </is>
      </c>
      <c r="I208" t="inlineStr">
        <is>
          <t>2024004250212</t>
        </is>
      </c>
      <c r="J208" s="99">
        <v>4670989217</v>
      </c>
      <c r="K208" s="99">
        <v>64187500</v>
      </c>
      <c r="L208" s="99">
        <v>1856801717</v>
      </c>
      <c r="M208" s="99">
        <v>1100000000</v>
      </c>
      <c r="N208" s="99">
        <v>1650000000</v>
      </c>
      <c r="O208" s="99">
        <v>64187500</v>
      </c>
      <c r="P208" s="99">
        <v>64187500</v>
      </c>
      <c r="Q208" s="99">
        <v>64187500</v>
      </c>
      <c r="R208" s="100">
        <v>1</v>
      </c>
      <c r="S208" t="inlineStr">
        <is>
          <t>Se ejecutó el 100% de lo programado en la vigencia</t>
        </is>
      </c>
      <c r="T208" s="101">
        <v>1846479167</v>
      </c>
      <c r="U208" s="101">
        <v>753300454</v>
      </c>
      <c r="V208" s="101">
        <v>748284721</v>
      </c>
      <c r="W208" s="102">
        <v>0.40569784436493</v>
      </c>
      <c r="X208" t="inlineStr">
        <is>
          <t>Lo obligado está por debajo de lo programado en la vigencia</t>
        </is>
      </c>
    </row>
    <row r="209">
      <c r="A209" t="inlineStr">
        <is>
          <t>IP-225</t>
        </is>
      </c>
      <c r="B209" t="inlineStr">
        <is>
          <t>17</t>
        </is>
      </c>
      <c r="C209" t="inlineStr">
        <is>
          <t xml:space="preserve">Agricultura y desarrollo rural
</t>
        </is>
      </c>
      <c r="D209" t="inlineStr">
        <is>
          <t>1703</t>
        </is>
      </c>
      <c r="E209" t="inlineStr">
        <is>
          <t>Servicios financieros y gestión del riesgo para las actividades agropecuarias y rurales</t>
        </is>
      </c>
      <c r="F209" t="inlineStr">
        <is>
          <t>1703006</t>
        </is>
      </c>
      <c r="G209" t="inlineStr">
        <is>
          <t>Servicio de apoyo financiero para el acceso al crédito agropecuario y rural</t>
        </is>
      </c>
      <c r="H209" t="inlineStr">
        <is>
          <t/>
        </is>
      </c>
      <c r="I209" t="inlineStr">
        <is>
          <t>2024004250098</t>
        </is>
      </c>
      <c r="J209" s="99">
        <v>6145406998</v>
      </c>
      <c r="K209" s="99">
        <v>1382500000</v>
      </c>
      <c r="L209" s="99">
        <v>1042906998</v>
      </c>
      <c r="M209" s="99">
        <v>920000000</v>
      </c>
      <c r="N209" s="99">
        <v>2800000000</v>
      </c>
      <c r="O209" s="99">
        <v>1382500000</v>
      </c>
      <c r="P209" s="99">
        <v>1382500000</v>
      </c>
      <c r="Q209" s="99">
        <v>1382500000</v>
      </c>
      <c r="R209" s="100">
        <v>1</v>
      </c>
      <c r="S209" t="inlineStr">
        <is>
          <t>Se ejecutó el 100% de lo programado en la vigencia</t>
        </is>
      </c>
      <c r="T209" s="101">
        <v>1020503833</v>
      </c>
      <c r="U209" s="101">
        <v>931878831</v>
      </c>
      <c r="V209" s="101">
        <v>893868720</v>
      </c>
      <c r="W209" s="102">
        <v>0.893539723855607</v>
      </c>
      <c r="X209" t="inlineStr">
        <is>
          <t>Lo obligado está por debajo de lo programado en la vigencia</t>
        </is>
      </c>
    </row>
    <row r="210">
      <c r="A210" t="inlineStr">
        <is>
          <t>IP-226</t>
        </is>
      </c>
      <c r="B210" t="inlineStr">
        <is>
          <t>17</t>
        </is>
      </c>
      <c r="C210" t="inlineStr">
        <is>
          <t xml:space="preserve">Agricultura y desarrollo rural
</t>
        </is>
      </c>
      <c r="D210" t="inlineStr">
        <is>
          <t>1704</t>
        </is>
      </c>
      <c r="E210" t="inlineStr">
        <is>
          <t>Ordenamiento social y uso productivo del territorio rural</t>
        </is>
      </c>
      <c r="F210" t="inlineStr">
        <is>
          <t>1704010</t>
        </is>
      </c>
      <c r="G210" t="inlineStr">
        <is>
          <t>Servicio de apoyo financiero para la formalización de la propiedad</t>
        </is>
      </c>
      <c r="H210" t="inlineStr">
        <is>
          <t>Apoyar las gestiones tendientes a formalizar el derecho de dominio de predios rurales, el saneamiento de títulos que conlleven la falsa tradición y para acompañar a los interesados en la realización de trámites administrativos, notariales y registrales no cumplidos oportunamente (incluye clarificación de linderos , entre otros)</t>
        </is>
      </c>
      <c r="I210" t="inlineStr">
        <is>
          <t>2024004250156</t>
        </is>
      </c>
      <c r="J210" s="99">
        <v>3536195002</v>
      </c>
      <c r="K210" s="99">
        <v>556600000</v>
      </c>
      <c r="L210" s="99">
        <v>1259595002</v>
      </c>
      <c r="M210" s="99">
        <v>1620000000</v>
      </c>
      <c r="N210" s="99">
        <v>100000000</v>
      </c>
      <c r="O210" s="99">
        <v>556599996</v>
      </c>
      <c r="P210" s="99">
        <v>556599996</v>
      </c>
      <c r="Q210" s="99">
        <v>556599996</v>
      </c>
      <c r="R210" s="100">
        <v>0.999999992813511</v>
      </c>
      <c r="S210" t="inlineStr">
        <is>
          <t>Lo obligado está por debajo de lo programado en la vigencia</t>
        </is>
      </c>
      <c r="T210" s="101">
        <v>1154195001</v>
      </c>
      <c r="U210" s="101">
        <v>888423000</v>
      </c>
      <c r="V210" s="101">
        <v>863923000</v>
      </c>
      <c r="W210" s="102">
        <v>0.705324329319624</v>
      </c>
      <c r="X210" t="inlineStr">
        <is>
          <t>Lo obligado está por debajo de lo programado en la vigencia</t>
        </is>
      </c>
    </row>
    <row r="211">
      <c r="A211" t="inlineStr">
        <is>
          <t>IP-227</t>
        </is>
      </c>
      <c r="B211" t="inlineStr">
        <is>
          <t>32</t>
        </is>
      </c>
      <c r="C211" t="inlineStr">
        <is>
          <t>Ambiente y desarrollo sostenible</t>
        </is>
      </c>
      <c r="D211" t="inlineStr">
        <is>
          <t>3203</t>
        </is>
      </c>
      <c r="E211" t="inlineStr">
        <is>
          <t>Gestión integral del recurso hídrico</t>
        </is>
      </c>
      <c r="F211" t="inlineStr">
        <is>
          <t>3203048</t>
        </is>
      </c>
      <c r="G211" t="inlineStr">
        <is>
          <t>Servicio de almacenamiento de agua</t>
        </is>
      </c>
      <c r="H211" t="inlineStr">
        <is>
          <t>Contempla elementos estructurales para el almacenamiento de agua de escorrentía; orientado a mantener la oferta del recurso hídrico, la sostenibilidad del recurso hídrico y la conservación de los ecosistemas que regulan la oferta hídrica en el país, considerando el agua como factor de desarrollo económico y de bienestar social.
Acción incluida dentro de la Implementación del Plan de Ordenación y Manejo de Cuencas, Plan de Ordenamiento del Recurso Hídrico, Plan de Desarrollo Departamental PDD y Plan de Acción Institucional - PAI.</t>
        </is>
      </c>
      <c r="I211" t="inlineStr">
        <is>
          <t>2024004250027</t>
        </is>
      </c>
      <c r="J211" s="99">
        <v>6647130990</v>
      </c>
      <c r="K211" s="99">
        <v>2547177322</v>
      </c>
      <c r="L211" s="99">
        <v>1269586668</v>
      </c>
      <c r="M211" s="99">
        <v>500000000</v>
      </c>
      <c r="N211" s="99">
        <v>2330367000</v>
      </c>
      <c r="O211" s="99">
        <v>2543922425</v>
      </c>
      <c r="P211" s="99">
        <v>2543922425</v>
      </c>
      <c r="Q211" s="99">
        <v>2543922425</v>
      </c>
      <c r="R211" s="100">
        <v>0.998722155316048</v>
      </c>
      <c r="S211" t="inlineStr">
        <is>
          <t>Lo obligado está por debajo de lo programado en la vigencia</t>
        </is>
      </c>
      <c r="T211" s="101">
        <v>311000001</v>
      </c>
      <c r="U211" s="101">
        <v>236500000</v>
      </c>
      <c r="V211" s="101">
        <v>215800000</v>
      </c>
      <c r="W211" s="102">
        <v>0.186281099164787</v>
      </c>
      <c r="X211" t="inlineStr">
        <is>
          <t>Lo obligado está por debajo de lo programado en la vigencia</t>
        </is>
      </c>
    </row>
    <row r="212">
      <c r="A212" t="inlineStr">
        <is>
          <t>IP-228</t>
        </is>
      </c>
      <c r="B212" t="inlineStr">
        <is>
          <t>17</t>
        </is>
      </c>
      <c r="C212" t="inlineStr">
        <is>
          <t xml:space="preserve">Agricultura y desarrollo rural
</t>
        </is>
      </c>
      <c r="D212" t="inlineStr">
        <is>
          <t>1709</t>
        </is>
      </c>
      <c r="E212" t="inlineStr">
        <is>
          <t>Infraestructura productiva y comercialización</t>
        </is>
      </c>
      <c r="F212" t="inlineStr">
        <is>
          <t>1709097</t>
        </is>
      </c>
      <c r="G212" t="inlineStr">
        <is>
          <t>Estudios de preinversión para adecuación de tierras</t>
        </is>
      </c>
      <c r="H212" t="inlineStr">
        <is>
          <t>Elaboración de estudios de identificación, precfatibilidad, factibilidad y diseños detallados para proyectos de construcción de nuevos distritos, rehabilitación, ampliación, complementación y modernización de distritos existentes.</t>
        </is>
      </c>
      <c r="I212" t="inlineStr">
        <is>
          <t>2024004250088</t>
        </is>
      </c>
      <c r="J212" s="99">
        <v>2724162500</v>
      </c>
      <c r="K212" s="99">
        <v>824162500</v>
      </c>
      <c r="L212" s="99">
        <v>650000000</v>
      </c>
      <c r="M212" s="99">
        <v>1050000000</v>
      </c>
      <c r="N212" s="99">
        <v>200000000</v>
      </c>
      <c r="O212" s="99" t="inlineStr">
        <is>
          <t xml:space="preserve"> </t>
        </is>
      </c>
      <c r="P212" s="99" t="inlineStr">
        <is>
          <t xml:space="preserve"> </t>
        </is>
      </c>
      <c r="Q212" s="99" t="inlineStr">
        <is>
          <t xml:space="preserve"> </t>
        </is>
      </c>
      <c r="R212" s="100" t="inlineStr">
        <is>
          <t xml:space="preserve"> </t>
        </is>
      </c>
      <c r="S212" t="inlineStr">
        <is>
          <t>No se encontró ejecución en CUIPO</t>
        </is>
      </c>
      <c r="T212" s="101" t="inlineStr">
        <is>
          <t xml:space="preserve"> </t>
        </is>
      </c>
      <c r="U212" s="101" t="inlineStr">
        <is>
          <t xml:space="preserve"> </t>
        </is>
      </c>
      <c r="V212" s="101" t="inlineStr">
        <is>
          <t xml:space="preserve"> </t>
        </is>
      </c>
      <c r="W212" s="102" t="inlineStr">
        <is>
          <t xml:space="preserve"> </t>
        </is>
      </c>
      <c r="X212" t="inlineStr">
        <is>
          <t>No se encontró ejecución en CUIPO</t>
        </is>
      </c>
    </row>
    <row r="213">
      <c r="A213" t="inlineStr">
        <is>
          <t>IP-229</t>
        </is>
      </c>
      <c r="B213" t="inlineStr">
        <is>
          <t>17</t>
        </is>
      </c>
      <c r="C213" t="inlineStr">
        <is>
          <t xml:space="preserve">Agricultura y desarrollo rural
</t>
        </is>
      </c>
      <c r="D213" t="inlineStr">
        <is>
          <t>1709</t>
        </is>
      </c>
      <c r="E213" t="inlineStr">
        <is>
          <t>Infraestructura productiva y comercialización</t>
        </is>
      </c>
      <c r="F213" t="inlineStr">
        <is>
          <t>1709114</t>
        </is>
      </c>
      <c r="G213" t="inlineStr">
        <is>
          <t>Bancos de maquinaria y equipos para la producción agropecuaria dotado</t>
        </is>
      </c>
      <c r="H213" t="inlineStr">
        <is>
          <t>Contempla la conformación y/o dotación de bancos de maquinaria y equipos por medio de adquisiciones para el acceso de los productores agropecuarios.</t>
        </is>
      </c>
      <c r="I213" t="inlineStr">
        <is>
          <t>2024004250210</t>
        </is>
      </c>
      <c r="J213" s="99">
        <v>6713606109</v>
      </c>
      <c r="K213" s="99">
        <v>1348350000</v>
      </c>
      <c r="L213" s="99">
        <v>1115256109</v>
      </c>
      <c r="M213" s="99">
        <v>1350000000</v>
      </c>
      <c r="N213" s="99">
        <v>2900000000</v>
      </c>
      <c r="O213" s="99">
        <v>1039635106</v>
      </c>
      <c r="P213" s="99">
        <v>1039635106</v>
      </c>
      <c r="Q213" s="99">
        <v>79000000</v>
      </c>
      <c r="R213" s="100">
        <v>0.771042463751993</v>
      </c>
      <c r="S213" t="inlineStr">
        <is>
          <t>Lo obligado está por debajo de lo programado en la vigencia</t>
        </is>
      </c>
      <c r="T213" s="101">
        <v>464456109</v>
      </c>
      <c r="U213" s="101">
        <v>338950000</v>
      </c>
      <c r="V213" s="101">
        <v>306050000</v>
      </c>
      <c r="W213" s="102">
        <v>0.303921222457074</v>
      </c>
      <c r="X213" t="inlineStr">
        <is>
          <t>Lo obligado está por debajo de lo programado en la vigencia</t>
        </is>
      </c>
    </row>
    <row r="214">
      <c r="A214" t="inlineStr">
        <is>
          <t>IP-230</t>
        </is>
      </c>
      <c r="B214" t="inlineStr">
        <is>
          <t>17</t>
        </is>
      </c>
      <c r="C214" t="inlineStr">
        <is>
          <t xml:space="preserve">Agricultura y desarrollo rural
</t>
        </is>
      </c>
      <c r="D214" t="inlineStr">
        <is>
          <t>1702</t>
        </is>
      </c>
      <c r="E214" t="inlineStr">
        <is>
          <t>Inclusión productiva de pequeños productores rurales</t>
        </is>
      </c>
      <c r="F214" t="inlineStr">
        <is>
          <t>1702021</t>
        </is>
      </c>
      <c r="G214" t="inlineStr">
        <is>
          <t>Servicio de acompañamiento productivo y empresarial</t>
        </is>
      </c>
      <c r="H214" t="inlineStr">
        <is>
          <t>Incluye la identificación del estado de los procesos productivos y definición de planes de mejoramiento.</t>
        </is>
      </c>
      <c r="I214" t="inlineStr">
        <is>
          <t>2024004250114</t>
        </is>
      </c>
      <c r="J214" s="99">
        <v>4592607047</v>
      </c>
      <c r="K214" s="99">
        <v>1211859542</v>
      </c>
      <c r="L214" s="99">
        <v>1630747505</v>
      </c>
      <c r="M214" s="99">
        <v>1750000000</v>
      </c>
      <c r="N214" s="99">
        <v>0</v>
      </c>
      <c r="O214" s="99">
        <v>1211859542</v>
      </c>
      <c r="P214" s="99">
        <v>1211859542</v>
      </c>
      <c r="Q214" s="99">
        <v>1211859542</v>
      </c>
      <c r="R214" s="100">
        <v>1</v>
      </c>
      <c r="S214" t="inlineStr">
        <is>
          <t>Se ejecutó el 100% de lo programado en la vigencia</t>
        </is>
      </c>
      <c r="T214" s="101">
        <v>1399637504</v>
      </c>
      <c r="U214" s="101">
        <v>740300000</v>
      </c>
      <c r="V214" s="101">
        <v>712500000</v>
      </c>
      <c r="W214" s="102">
        <v>0.45396359505698</v>
      </c>
      <c r="X214" t="inlineStr">
        <is>
          <t>Lo obligado está por debajo de lo programado en la vigencia</t>
        </is>
      </c>
    </row>
    <row r="215">
      <c r="A215" t="inlineStr">
        <is>
          <t>IP-231</t>
        </is>
      </c>
      <c r="B215" t="inlineStr">
        <is>
          <t>45</t>
        </is>
      </c>
      <c r="C215" t="inlineStr">
        <is>
          <t>Gobierno Territorial</t>
        </is>
      </c>
      <c r="D215" t="inlineStr">
        <is>
          <t>4599</t>
        </is>
      </c>
      <c r="E215" t="inlineStr">
        <is>
          <t>Fortalecimiento a la gestión y dirección de la administración pública territorial</t>
        </is>
      </c>
      <c r="F215" t="inlineStr">
        <is>
          <t>4599009</t>
        </is>
      </c>
      <c r="G215" t="inlineStr">
        <is>
          <t>Sedes construidas</t>
        </is>
      </c>
      <c r="H215" t="inlineStr">
        <is>
          <t>Corresponde a un inmueble resultado de obras de edificación en terrenos no construidos o cuya área esté libre por autorización de demolición total. No incluye la dotación del inmueble. (Corresponde a la licencia de construcción por obra nueva)</t>
        </is>
      </c>
      <c r="I215" t="inlineStr">
        <is>
          <t>2021004250686, 2024004250031</t>
        </is>
      </c>
      <c r="J215" s="99">
        <v>6844367202</v>
      </c>
      <c r="K215" s="99">
        <v>5544367202</v>
      </c>
      <c r="L215" s="99">
        <v>1300000000</v>
      </c>
      <c r="M215" s="99">
        <v>0</v>
      </c>
      <c r="N215" s="99">
        <v>0</v>
      </c>
      <c r="O215" s="99">
        <v>5544367202</v>
      </c>
      <c r="P215" s="99">
        <v>4056097963</v>
      </c>
      <c r="Q215" s="99">
        <v>4056097963</v>
      </c>
      <c r="R215" s="100">
        <v>0.731570946732543</v>
      </c>
      <c r="S215" t="inlineStr">
        <is>
          <t>Lo obligado está por debajo de lo programado en la vigencia</t>
        </is>
      </c>
      <c r="T215" s="101" t="inlineStr">
        <is>
          <t xml:space="preserve"> </t>
        </is>
      </c>
      <c r="U215" s="101" t="inlineStr">
        <is>
          <t xml:space="preserve"> </t>
        </is>
      </c>
      <c r="V215" s="101" t="inlineStr">
        <is>
          <t xml:space="preserve"> </t>
        </is>
      </c>
      <c r="W215" s="102" t="inlineStr">
        <is>
          <t xml:space="preserve"> </t>
        </is>
      </c>
      <c r="X215" t="inlineStr">
        <is>
          <t>No se encontró ejecución en CUIPO</t>
        </is>
      </c>
    </row>
    <row r="216">
      <c r="A216" t="inlineStr">
        <is>
          <t>IP-232</t>
        </is>
      </c>
      <c r="B216" t="inlineStr">
        <is>
          <t>45</t>
        </is>
      </c>
      <c r="C216" t="inlineStr">
        <is>
          <t>Gobierno Territorial</t>
        </is>
      </c>
      <c r="D216" t="inlineStr">
        <is>
          <t>4599</t>
        </is>
      </c>
      <c r="E216" t="inlineStr">
        <is>
          <t>Fortalecimiento a la gestión y dirección de la administración pública territorial</t>
        </is>
      </c>
      <c r="F216" t="inlineStr">
        <is>
          <t>4599016</t>
        </is>
      </c>
      <c r="G216" t="inlineStr">
        <is>
          <t>Sedes mantenidas</t>
        </is>
      </c>
      <c r="H216" t="inlineStr">
        <is>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is>
      </c>
      <c r="I216" t="inlineStr">
        <is>
          <t>2024004250031</t>
        </is>
      </c>
      <c r="J216" s="99">
        <v>398100000</v>
      </c>
      <c r="K216" s="99">
        <v>0</v>
      </c>
      <c r="L216" s="99">
        <v>89900000</v>
      </c>
      <c r="M216" s="99">
        <v>258200000</v>
      </c>
      <c r="N216" s="99">
        <v>50000000</v>
      </c>
      <c r="O216" s="99" t="inlineStr">
        <is>
          <t xml:space="preserve"> </t>
        </is>
      </c>
      <c r="P216" s="99" t="inlineStr">
        <is>
          <t xml:space="preserve"> </t>
        </is>
      </c>
      <c r="Q216" s="99" t="inlineStr">
        <is>
          <t xml:space="preserve"> </t>
        </is>
      </c>
      <c r="R216" s="100" t="inlineStr">
        <is>
          <t xml:space="preserve"> </t>
        </is>
      </c>
      <c r="S216" t="inlineStr">
        <is>
          <t>No se encontró ejecución en CUIPO</t>
        </is>
      </c>
      <c r="T216" s="101">
        <v>85416667</v>
      </c>
      <c r="U216" s="101">
        <v>37000000</v>
      </c>
      <c r="V216" s="101">
        <v>37000000</v>
      </c>
      <c r="W216" s="102">
        <v>0.411568409343715</v>
      </c>
      <c r="X216" t="inlineStr">
        <is>
          <t>Lo obligado está por debajo de lo programado en la vigencia</t>
        </is>
      </c>
    </row>
    <row r="217">
      <c r="A217" t="inlineStr">
        <is>
          <t>IP-233</t>
        </is>
      </c>
      <c r="B217" t="inlineStr">
        <is>
          <t>21</t>
        </is>
      </c>
      <c r="C217" t="inlineStr">
        <is>
          <t>Minas y Energía</t>
        </is>
      </c>
      <c r="D217" t="inlineStr">
        <is>
          <t>2106</t>
        </is>
      </c>
      <c r="E217" t="inlineStr">
        <is>
          <t>Gestión de la información en el sector minero energético</t>
        </is>
      </c>
      <c r="F217" t="inlineStr">
        <is>
          <t>2106022</t>
        </is>
      </c>
      <c r="G217" t="inlineStr">
        <is>
          <t>Servicios de apoyo para la gestión de procesos de participación, colaboración, y transparencia del sector minero energético</t>
        </is>
      </c>
      <c r="H217" t="inlineStr">
        <is>
          <t xml:space="preserve">Comprende el diseño e implementación de estrategias  para la gestión del conocimiento y apropiación social, que incluye la documentación, seguimiento y evaluación de procesos realizados para acercar y propiciar la participación de los  ciudadanos y partes interesadas, y adecuación de espacios de atención. </t>
        </is>
      </c>
      <c r="I217" t="inlineStr">
        <is>
          <t>2024004250032</t>
        </is>
      </c>
      <c r="J217" s="99">
        <v>1461803146</v>
      </c>
      <c r="K217" s="99">
        <v>179396479</v>
      </c>
      <c r="L217" s="99">
        <v>567306667</v>
      </c>
      <c r="M217" s="99">
        <v>585100000</v>
      </c>
      <c r="N217" s="99">
        <v>130000000</v>
      </c>
      <c r="O217" s="99">
        <v>173671345</v>
      </c>
      <c r="P217" s="99">
        <v>173671345</v>
      </c>
      <c r="Q217" s="99">
        <v>173671345</v>
      </c>
      <c r="R217" s="100">
        <v>0.968086698067246</v>
      </c>
      <c r="S217" t="inlineStr">
        <is>
          <t>Lo obligado está por debajo de lo programado en la vigencia</t>
        </is>
      </c>
      <c r="T217" s="101">
        <v>480806667</v>
      </c>
      <c r="U217" s="101">
        <v>224090000</v>
      </c>
      <c r="V217" s="101">
        <v>224090000</v>
      </c>
      <c r="W217" s="102">
        <v>0.395006815599437</v>
      </c>
      <c r="X217" t="inlineStr">
        <is>
          <t>Lo obligado está por debajo de lo programado en la vigencia</t>
        </is>
      </c>
    </row>
    <row r="218">
      <c r="A218" t="inlineStr">
        <is>
          <t>IP-234</t>
        </is>
      </c>
      <c r="B218" t="inlineStr">
        <is>
          <t>21</t>
        </is>
      </c>
      <c r="C218" t="inlineStr">
        <is>
          <t>Minas y Energía</t>
        </is>
      </c>
      <c r="D218" t="inlineStr">
        <is>
          <t>2104</t>
        </is>
      </c>
      <c r="E218" t="inlineStr">
        <is>
          <t>Consolidación productiva del sector minero</t>
        </is>
      </c>
      <c r="F218" t="inlineStr">
        <is>
          <t>2104004</t>
        </is>
      </c>
      <c r="G218" t="inlineStr">
        <is>
          <t>Servicio de asistencia técnica en actividades de explotación minera de pequeña y mediana escala</t>
        </is>
      </c>
      <c r="H218" t="inlineStr">
        <is>
          <t xml:space="preserve">Destinada a las unidades de producción minera  amparadas con títulos que requieren apoyo especializado en temas empresariales y técnicos mineros ambientales. </t>
        </is>
      </c>
      <c r="I218" t="inlineStr">
        <is>
          <t>2024004250033</t>
        </is>
      </c>
      <c r="J218" s="99">
        <v>1243216666</v>
      </c>
      <c r="K218" s="99">
        <v>84450000</v>
      </c>
      <c r="L218" s="99">
        <v>433396666</v>
      </c>
      <c r="M218" s="99">
        <v>525370000</v>
      </c>
      <c r="N218" s="99">
        <v>200000000</v>
      </c>
      <c r="O218" s="99">
        <v>74107091</v>
      </c>
      <c r="P218" s="99">
        <v>74107091</v>
      </c>
      <c r="Q218" s="99">
        <v>74107091</v>
      </c>
      <c r="R218" s="100">
        <v>0.877526240378922</v>
      </c>
      <c r="S218" t="inlineStr">
        <is>
          <t>Lo obligado está por debajo de lo programado en la vigencia</t>
        </is>
      </c>
      <c r="T218" s="101">
        <v>346433333</v>
      </c>
      <c r="U218" s="101">
        <v>235783333</v>
      </c>
      <c r="V218" s="101">
        <v>235783333</v>
      </c>
      <c r="W218" s="102">
        <v>0.54403587174803</v>
      </c>
      <c r="X218" t="inlineStr">
        <is>
          <t>Lo obligado está por debajo de lo programado en la vigencia</t>
        </is>
      </c>
    </row>
    <row r="219">
      <c r="A219" t="inlineStr">
        <is>
          <t>IP-235</t>
        </is>
      </c>
      <c r="B219" t="inlineStr">
        <is>
          <t>21</t>
        </is>
      </c>
      <c r="C219" t="inlineStr">
        <is>
          <t>Minas y Energía</t>
        </is>
      </c>
      <c r="D219" t="inlineStr">
        <is>
          <t>2104</t>
        </is>
      </c>
      <c r="E219" t="inlineStr">
        <is>
          <t>Consolidación productiva del sector minero</t>
        </is>
      </c>
      <c r="F219" t="inlineStr">
        <is>
          <t>2104021</t>
        </is>
      </c>
      <c r="G219" t="inlineStr">
        <is>
          <t>Servicio de asistencia técnica para la reconversión socio laboral de personas dedicadas a la minería</t>
        </is>
      </c>
      <c r="H219" t="inlineStr">
        <is>
          <t>Mediante los cuales se brinda asistencia técnica para desarrollar proyectos productivos alternos a la minería con el fin de apoyar a los mineros que se dedican a esta actividad para su reconversión a otras actividades económicas.</t>
        </is>
      </c>
      <c r="I219" t="inlineStr">
        <is>
          <t>2024004250033</t>
        </is>
      </c>
      <c r="J219" s="99">
        <v>320250000</v>
      </c>
      <c r="K219" s="99">
        <v>0</v>
      </c>
      <c r="L219" s="99">
        <v>0</v>
      </c>
      <c r="M219" s="99">
        <v>320250000</v>
      </c>
      <c r="N219" s="99">
        <v>0</v>
      </c>
      <c r="O219" s="99" t="inlineStr">
        <is>
          <t xml:space="preserve"> </t>
        </is>
      </c>
      <c r="P219" s="99" t="inlineStr">
        <is>
          <t xml:space="preserve"> </t>
        </is>
      </c>
      <c r="Q219" s="99" t="inlineStr">
        <is>
          <t xml:space="preserve"> </t>
        </is>
      </c>
      <c r="R219" s="100" t="inlineStr">
        <is>
          <t xml:space="preserve"> </t>
        </is>
      </c>
      <c r="S219" t="inlineStr">
        <is>
          <t>No se encontró ejecución en CUIPO</t>
        </is>
      </c>
      <c r="T219" s="101" t="inlineStr">
        <is>
          <t xml:space="preserve"> </t>
        </is>
      </c>
      <c r="U219" s="101" t="inlineStr">
        <is>
          <t xml:space="preserve"> </t>
        </is>
      </c>
      <c r="V219" s="101" t="inlineStr">
        <is>
          <t xml:space="preserve"> </t>
        </is>
      </c>
      <c r="W219" s="102" t="inlineStr">
        <is>
          <t xml:space="preserve"> </t>
        </is>
      </c>
      <c r="X219" t="inlineStr">
        <is>
          <t>No se encontró ejecución en CUIPO</t>
        </is>
      </c>
    </row>
    <row r="220">
      <c r="A220" t="inlineStr">
        <is>
          <t>IP-236</t>
        </is>
      </c>
      <c r="B220" t="inlineStr">
        <is>
          <t>33</t>
        </is>
      </c>
      <c r="C220" t="inlineStr">
        <is>
          <t>Cultura</t>
        </is>
      </c>
      <c r="D220" t="inlineStr">
        <is>
          <t>3301</t>
        </is>
      </c>
      <c r="E220" t="inlineStr">
        <is>
          <t>Promoción y acceso efectivo a procesos culturales y artísticos</t>
        </is>
      </c>
      <c r="F220" t="inlineStr">
        <is>
          <t>3301054</t>
        </is>
      </c>
      <c r="G220" t="inlineStr">
        <is>
          <t>Servicio de apoyo financiero al sector artístico y cultural</t>
        </is>
      </c>
      <c r="H220"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220" t="inlineStr">
        <is>
          <t>2024004250196</t>
        </is>
      </c>
      <c r="J220" s="99">
        <v>1250871788</v>
      </c>
      <c r="K220" s="99">
        <v>1000000000</v>
      </c>
      <c r="L220" s="99">
        <v>90000000</v>
      </c>
      <c r="M220" s="99">
        <v>50000000</v>
      </c>
      <c r="N220" s="99">
        <v>110871788</v>
      </c>
      <c r="O220" s="99">
        <v>600000000</v>
      </c>
      <c r="P220" s="99">
        <v>600000000</v>
      </c>
      <c r="Q220" s="99">
        <v>600000000</v>
      </c>
      <c r="R220" s="100">
        <v>0.6</v>
      </c>
      <c r="S220" t="inlineStr">
        <is>
          <t>Lo obligado está por debajo de lo programado en la vigencia</t>
        </is>
      </c>
      <c r="T220" s="101" t="inlineStr">
        <is>
          <t xml:space="preserve"> </t>
        </is>
      </c>
      <c r="U220" s="101" t="inlineStr">
        <is>
          <t xml:space="preserve"> </t>
        </is>
      </c>
      <c r="V220" s="101" t="inlineStr">
        <is>
          <t xml:space="preserve"> </t>
        </is>
      </c>
      <c r="W220" s="102" t="inlineStr">
        <is>
          <t xml:space="preserve"> </t>
        </is>
      </c>
      <c r="X220" t="inlineStr">
        <is>
          <t>No se encontró ejecución en CUIPO</t>
        </is>
      </c>
    </row>
    <row r="221">
      <c r="A221" t="inlineStr">
        <is>
          <t>IP-237</t>
        </is>
      </c>
      <c r="B221" t="inlineStr">
        <is>
          <t>35</t>
        </is>
      </c>
      <c r="C221" t="inlineStr">
        <is>
          <t>Comercio, industria y turismo</t>
        </is>
      </c>
      <c r="D221" t="inlineStr">
        <is>
          <t>3502</t>
        </is>
      </c>
      <c r="E221" t="inlineStr">
        <is>
          <t>Productividad y competitividad de las empresas colombianas</t>
        </is>
      </c>
      <c r="F221" t="inlineStr">
        <is>
          <t>3502022</t>
        </is>
      </c>
      <c r="G221" t="inlineStr">
        <is>
          <t>Servicio de asistencia técnica a las Mipymes para el acceso a nuevos mercados</t>
        </is>
      </c>
      <c r="H221" t="inlineStr">
        <is>
          <t>Incluye la adecuación, promoción y comercialización de productos en nuevos mercados, adecuaciones de infraestructura, compra o arrendamiento de maquinaria, equipos, Insumos, pagos de honorarios y Servicio de consultoría. De igual manera se brinda acompañamiento en el diseño e implementación de la estrategia comercial internacional.</t>
        </is>
      </c>
      <c r="I221" t="inlineStr">
        <is>
          <t>2024004250054</t>
        </is>
      </c>
      <c r="J221" s="99">
        <v>240000000</v>
      </c>
      <c r="K221" s="99">
        <v>0</v>
      </c>
      <c r="L221" s="99">
        <v>0</v>
      </c>
      <c r="M221" s="99">
        <v>90000000</v>
      </c>
      <c r="N221" s="99">
        <v>150000000</v>
      </c>
      <c r="O221" s="99" t="inlineStr">
        <is>
          <t xml:space="preserve"> </t>
        </is>
      </c>
      <c r="P221" s="99" t="inlineStr">
        <is>
          <t xml:space="preserve"> </t>
        </is>
      </c>
      <c r="Q221" s="99" t="inlineStr">
        <is>
          <t xml:space="preserve"> </t>
        </is>
      </c>
      <c r="R221" s="100" t="inlineStr">
        <is>
          <t xml:space="preserve"> </t>
        </is>
      </c>
      <c r="S221" t="inlineStr">
        <is>
          <t>No se encontró ejecución en CUIPO</t>
        </is>
      </c>
      <c r="T221" s="101" t="inlineStr">
        <is>
          <t xml:space="preserve"> </t>
        </is>
      </c>
      <c r="U221" s="101" t="inlineStr">
        <is>
          <t xml:space="preserve"> </t>
        </is>
      </c>
      <c r="V221" s="101" t="inlineStr">
        <is>
          <t xml:space="preserve"> </t>
        </is>
      </c>
      <c r="W221" s="102" t="inlineStr">
        <is>
          <t xml:space="preserve"> </t>
        </is>
      </c>
      <c r="X221" t="inlineStr">
        <is>
          <t>No se encontró ejecución en CUIPO</t>
        </is>
      </c>
    </row>
    <row r="222">
      <c r="A222" t="inlineStr">
        <is>
          <t>IP-238</t>
        </is>
      </c>
      <c r="B222" t="inlineStr">
        <is>
          <t>35</t>
        </is>
      </c>
      <c r="C222" t="inlineStr">
        <is>
          <t>Comercio, industria y turismo</t>
        </is>
      </c>
      <c r="D222" t="inlineStr">
        <is>
          <t>3502</t>
        </is>
      </c>
      <c r="E222" t="inlineStr">
        <is>
          <t>Productividad y competitividad de las empresas colombianas</t>
        </is>
      </c>
      <c r="F222" t="inlineStr">
        <is>
          <t>3502009</t>
        </is>
      </c>
      <c r="G222" t="inlineStr">
        <is>
          <t>Servicio de apoyo para la transferencia y/o implementación de metodologías de aumento de la productividad</t>
        </is>
      </c>
      <c r="H222" t="inlineStr">
        <is>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is>
      </c>
      <c r="I222" t="inlineStr">
        <is>
          <t>2024004250054</t>
        </is>
      </c>
      <c r="J222" s="99">
        <v>624194867</v>
      </c>
      <c r="K222" s="99">
        <v>400000000</v>
      </c>
      <c r="L222" s="99">
        <v>104194867</v>
      </c>
      <c r="M222" s="99">
        <v>120000000</v>
      </c>
      <c r="N222" s="99">
        <v>0</v>
      </c>
      <c r="O222" s="99">
        <v>400000000</v>
      </c>
      <c r="P222" s="99">
        <v>400000000</v>
      </c>
      <c r="Q222" s="99">
        <v>400000000</v>
      </c>
      <c r="R222" s="100">
        <v>1</v>
      </c>
      <c r="S222" t="inlineStr">
        <is>
          <t>Se ejecutó el 100% de lo programado en la vigencia</t>
        </is>
      </c>
      <c r="T222" s="101">
        <v>70920000</v>
      </c>
      <c r="U222" s="101">
        <v>70920000</v>
      </c>
      <c r="V222" s="101">
        <v>70920000</v>
      </c>
      <c r="W222" s="102">
        <v>0.680647732867685</v>
      </c>
      <c r="X222" t="inlineStr">
        <is>
          <t>Lo obligado está por debajo de lo programado en la vigencia</t>
        </is>
      </c>
    </row>
    <row r="223">
      <c r="A223" t="inlineStr">
        <is>
          <t>IP-239</t>
        </is>
      </c>
      <c r="B223" t="inlineStr">
        <is>
          <t>41</t>
        </is>
      </c>
      <c r="C223" t="inlineStr">
        <is>
          <t xml:space="preserve">Inclusión social y reconciliación </t>
        </is>
      </c>
      <c r="D223" t="inlineStr">
        <is>
          <t>4103</t>
        </is>
      </c>
      <c r="E223" t="inlineStr">
        <is>
          <t>Inclusión social y productiva para la población en situación de vulnerabilidad</t>
        </is>
      </c>
      <c r="F223" t="inlineStr">
        <is>
          <t>4103058</t>
        </is>
      </c>
      <c r="G223" t="inlineStr">
        <is>
          <t>Servicio de apoyo para el fortalecimiento de unidades productivas colectivas para la generación de ingresos</t>
        </is>
      </c>
      <c r="H223" t="inlineStr">
        <is>
          <t>Corresponde a la entrega de recursos en especie o monetarios mediante incentivos dirigidos a generar las condiciones para el fortalecimiento de las unidades productivas colectivas</t>
        </is>
      </c>
      <c r="I223" t="inlineStr">
        <is>
          <t>2024004250190</t>
        </is>
      </c>
      <c r="J223" s="99">
        <v>3691611612</v>
      </c>
      <c r="K223" s="99">
        <v>845897239</v>
      </c>
      <c r="L223" s="99">
        <v>1603671333</v>
      </c>
      <c r="M223" s="99">
        <v>1064716000</v>
      </c>
      <c r="N223" s="99">
        <v>177327040</v>
      </c>
      <c r="O223" s="99">
        <v>837999931</v>
      </c>
      <c r="P223" s="99">
        <v>837999931</v>
      </c>
      <c r="Q223" s="99">
        <v>301030522</v>
      </c>
      <c r="R223" s="100">
        <v>0.990663986550735</v>
      </c>
      <c r="S223" t="inlineStr">
        <is>
          <t>Lo obligado está por debajo de lo programado en la vigencia</t>
        </is>
      </c>
      <c r="T223" s="101">
        <v>498957500</v>
      </c>
      <c r="U223" s="101">
        <v>425450000</v>
      </c>
      <c r="V223" s="101">
        <v>425450000</v>
      </c>
      <c r="W223" s="102">
        <v>0.265297502826909</v>
      </c>
      <c r="X223" t="inlineStr">
        <is>
          <t>Lo obligado está por debajo de lo programado en la vigencia</t>
        </is>
      </c>
    </row>
    <row r="224">
      <c r="A224" t="inlineStr">
        <is>
          <t>IP-240</t>
        </is>
      </c>
      <c r="B224" t="inlineStr">
        <is>
          <t>41</t>
        </is>
      </c>
      <c r="C224" t="inlineStr">
        <is>
          <t xml:space="preserve">Inclusión social y reconciliación </t>
        </is>
      </c>
      <c r="D224" t="inlineStr">
        <is>
          <t>4103</t>
        </is>
      </c>
      <c r="E224" t="inlineStr">
        <is>
          <t>Inclusión social y productiva para la población en situación de vulnerabilidad</t>
        </is>
      </c>
      <c r="F224" t="inlineStr">
        <is>
          <t>4103058</t>
        </is>
      </c>
      <c r="G224" t="inlineStr">
        <is>
          <t>Servicio de apoyo para el fortalecimiento de unidades productivas colectivas para la generación de ingresos</t>
        </is>
      </c>
      <c r="H224" t="inlineStr">
        <is>
          <t>Corresponde a la entrega de recursos en especie o monetarios mediante incentivos dirigidos a generar las condiciones para el fortalecimiento de las unidades productivas colectivas</t>
        </is>
      </c>
      <c r="I224" t="inlineStr">
        <is>
          <t>2024004250186</t>
        </is>
      </c>
      <c r="J224" s="99">
        <v>1191987791</v>
      </c>
      <c r="K224" s="99">
        <v>204100082</v>
      </c>
      <c r="L224" s="99">
        <v>589801669</v>
      </c>
      <c r="M224" s="99">
        <v>341399000</v>
      </c>
      <c r="N224" s="99">
        <v>56687040</v>
      </c>
      <c r="O224" s="99">
        <v>204096082</v>
      </c>
      <c r="P224" s="99">
        <v>204096082</v>
      </c>
      <c r="Q224" s="99">
        <v>204096082</v>
      </c>
      <c r="R224" s="100">
        <v>0.999980401771715</v>
      </c>
      <c r="S224" t="inlineStr">
        <is>
          <t>Lo obligado está por debajo de lo programado en la vigencia</t>
        </is>
      </c>
      <c r="T224" s="101">
        <v>179530000</v>
      </c>
      <c r="U224" s="101">
        <v>158930000</v>
      </c>
      <c r="V224" s="101">
        <v>158930000</v>
      </c>
      <c r="W224" s="102">
        <v>0.269463462640693</v>
      </c>
      <c r="X224" t="inlineStr">
        <is>
          <t>Lo obligado está por debajo de lo programado en la vigencia</t>
        </is>
      </c>
    </row>
    <row r="225">
      <c r="A225" t="inlineStr">
        <is>
          <t>IP-241, IP-244</t>
        </is>
      </c>
      <c r="B225" t="inlineStr">
        <is>
          <t>24</t>
        </is>
      </c>
      <c r="C225" t="inlineStr">
        <is>
          <t>Transporte</t>
        </is>
      </c>
      <c r="D225" t="inlineStr">
        <is>
          <t>2409</t>
        </is>
      </c>
      <c r="E225" t="inlineStr">
        <is>
          <t>Seguridad de transporte</t>
        </is>
      </c>
      <c r="F225" t="inlineStr">
        <is>
          <t>2409014</t>
        </is>
      </c>
      <c r="G225" t="inlineStr">
        <is>
          <t>Documentos de planeación</t>
        </is>
      </c>
      <c r="H225"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225" t="inlineStr">
        <is>
          <t>2024004250082</t>
        </is>
      </c>
      <c r="J225" s="99">
        <v>6003256762</v>
      </c>
      <c r="K225" s="99">
        <v>2431063416</v>
      </c>
      <c r="L225" s="99">
        <v>1868474273</v>
      </c>
      <c r="M225" s="99">
        <v>903719073</v>
      </c>
      <c r="N225" s="99">
        <v>800000000</v>
      </c>
      <c r="O225" s="99">
        <v>2375413308</v>
      </c>
      <c r="P225" s="99">
        <v>2375413308</v>
      </c>
      <c r="Q225" s="99">
        <v>2363746641</v>
      </c>
      <c r="R225" s="100">
        <v>0.977108738655792</v>
      </c>
      <c r="S225" t="inlineStr">
        <is>
          <t>Lo obligado está por debajo de lo programado en la vigencia</t>
        </is>
      </c>
      <c r="T225" s="101">
        <v>1504967684</v>
      </c>
      <c r="U225" s="101">
        <v>1030672572</v>
      </c>
      <c r="V225" s="101">
        <v>1006072572</v>
      </c>
      <c r="W225" s="102">
        <v>0.551611861556523</v>
      </c>
      <c r="X225" t="inlineStr">
        <is>
          <t>Lo obligado está por debajo de lo programado en la vigencia</t>
        </is>
      </c>
    </row>
    <row r="226">
      <c r="A226" t="inlineStr">
        <is>
          <t>IP-242</t>
        </is>
      </c>
      <c r="B226" t="inlineStr">
        <is>
          <t>24</t>
        </is>
      </c>
      <c r="C226" t="inlineStr">
        <is>
          <t>Transporte</t>
        </is>
      </c>
      <c r="D226" t="inlineStr">
        <is>
          <t>2409</t>
        </is>
      </c>
      <c r="E226" t="inlineStr">
        <is>
          <t>Seguridad de transporte</t>
        </is>
      </c>
      <c r="F226" t="inlineStr">
        <is>
          <t>2409016</t>
        </is>
      </c>
      <c r="G226" t="inlineStr">
        <is>
          <t>Estudios de preinversión</t>
        </is>
      </c>
      <c r="H226" t="inlineStr">
        <is>
          <t>Incluye la realización de estudios de pre factibilidad, factibilidad o definitivos para la ejecución de proyectos</t>
        </is>
      </c>
      <c r="I226" t="inlineStr">
        <is>
          <t>2024004250082</t>
        </is>
      </c>
      <c r="J226" s="99">
        <v>4485642080</v>
      </c>
      <c r="K226" s="99">
        <v>2025642080</v>
      </c>
      <c r="L226" s="99">
        <v>2010000000</v>
      </c>
      <c r="M226" s="99">
        <v>0</v>
      </c>
      <c r="N226" s="99">
        <v>450000000</v>
      </c>
      <c r="O226" s="99">
        <v>1869315023</v>
      </c>
      <c r="P226" s="99">
        <v>1869315023</v>
      </c>
      <c r="Q226" s="99">
        <v>1842020337</v>
      </c>
      <c r="R226" s="100">
        <v>0.92282592342276</v>
      </c>
      <c r="S226" t="inlineStr">
        <is>
          <t>Lo obligado está por debajo de lo programado en la vigencia</t>
        </is>
      </c>
      <c r="T226" s="101">
        <v>1891257104</v>
      </c>
      <c r="U226" s="101">
        <v>598714993</v>
      </c>
      <c r="V226" s="101">
        <v>585914993</v>
      </c>
      <c r="W226" s="102">
        <v>0.297868155721393</v>
      </c>
      <c r="X226" t="inlineStr">
        <is>
          <t>Lo obligado está por debajo de lo programado en la vigencia</t>
        </is>
      </c>
    </row>
    <row r="227">
      <c r="A227" t="inlineStr">
        <is>
          <t>IP-243, IP-251</t>
        </is>
      </c>
      <c r="B227" t="inlineStr">
        <is>
          <t>24</t>
        </is>
      </c>
      <c r="C227" t="inlineStr">
        <is>
          <t>Transporte</t>
        </is>
      </c>
      <c r="D227" t="inlineStr">
        <is>
          <t>2408</t>
        </is>
      </c>
      <c r="E227" t="inlineStr">
        <is>
          <t>Prestación de servicios de transporte público de pasajeros</t>
        </is>
      </c>
      <c r="F227" t="inlineStr">
        <is>
          <t>2408024</t>
        </is>
      </c>
      <c r="G227" t="inlineStr">
        <is>
          <t>Estudios de preinversión</t>
        </is>
      </c>
      <c r="H227" t="inlineStr">
        <is>
          <t>Incluye la realización de los estudios requeridos en las fases de pre factibilidad, factibilidad o definitivos</t>
        </is>
      </c>
      <c r="I227" t="inlineStr">
        <is>
          <t>2024004250240</t>
        </is>
      </c>
      <c r="J227" s="99">
        <v>11513717513</v>
      </c>
      <c r="K227" s="99">
        <v>2814410645</v>
      </c>
      <c r="L227" s="99">
        <v>2373025941</v>
      </c>
      <c r="M227" s="99">
        <v>2726280927</v>
      </c>
      <c r="N227" s="99">
        <v>3600000000</v>
      </c>
      <c r="O227" s="99">
        <v>2777456667</v>
      </c>
      <c r="P227" s="99">
        <v>1441919667</v>
      </c>
      <c r="Q227" s="99">
        <v>1441919667</v>
      </c>
      <c r="R227" s="100">
        <v>0.512334498720602</v>
      </c>
      <c r="S227" t="inlineStr">
        <is>
          <t>Lo obligado está por debajo de lo programado en la vigencia</t>
        </is>
      </c>
      <c r="T227" s="101">
        <v>461139205</v>
      </c>
      <c r="U227" s="101">
        <v>387414404</v>
      </c>
      <c r="V227" s="101">
        <v>377214404</v>
      </c>
      <c r="W227" s="102">
        <v>0.163257551173984</v>
      </c>
      <c r="X227" t="inlineStr">
        <is>
          <t>Lo obligado está por debajo de lo programado en la vigencia</t>
        </is>
      </c>
    </row>
    <row r="228">
      <c r="A228" t="inlineStr">
        <is>
          <t>IP-245</t>
        </is>
      </c>
      <c r="B228" t="inlineStr">
        <is>
          <t>24</t>
        </is>
      </c>
      <c r="C228" t="inlineStr">
        <is>
          <t>Transporte</t>
        </is>
      </c>
      <c r="D228" t="inlineStr">
        <is>
          <t>2409</t>
        </is>
      </c>
      <c r="E228" t="inlineStr">
        <is>
          <t>Seguridad de transporte</t>
        </is>
      </c>
      <c r="F228" t="inlineStr">
        <is>
          <t>2409007</t>
        </is>
      </c>
      <c r="G228" t="inlineStr">
        <is>
          <t>Servicio de asistencia técnica en temas de seguridad de transporte</t>
        </is>
      </c>
      <c r="H228" t="inlineStr">
        <is>
          <t/>
        </is>
      </c>
      <c r="I228" t="inlineStr">
        <is>
          <t>2024004250082</t>
        </is>
      </c>
      <c r="J228" s="99">
        <v>5900000000</v>
      </c>
      <c r="K228" s="99">
        <v>2000000000</v>
      </c>
      <c r="L228" s="99">
        <v>700000000</v>
      </c>
      <c r="M228" s="99">
        <v>2500000000</v>
      </c>
      <c r="N228" s="99">
        <v>700000000</v>
      </c>
      <c r="O228" s="99">
        <v>1918936584</v>
      </c>
      <c r="P228" s="99">
        <v>1918936584</v>
      </c>
      <c r="Q228" s="99">
        <v>1918936584</v>
      </c>
      <c r="R228" s="100">
        <v>0.959468292</v>
      </c>
      <c r="S228" t="inlineStr">
        <is>
          <t>Lo obligado está por debajo de lo programado en la vigencia</t>
        </is>
      </c>
      <c r="T228" s="101">
        <v>91000000</v>
      </c>
      <c r="U228" s="101">
        <v>52000000</v>
      </c>
      <c r="V228" s="101">
        <v>52000000</v>
      </c>
      <c r="W228" s="102">
        <v>0.0742857142857143</v>
      </c>
      <c r="X228" t="inlineStr">
        <is>
          <t>Lo obligado está por debajo de lo programado en la vigencia</t>
        </is>
      </c>
    </row>
    <row r="229">
      <c r="A229" t="inlineStr">
        <is>
          <t>IP-246</t>
        </is>
      </c>
      <c r="B229" t="inlineStr">
        <is>
          <t>24</t>
        </is>
      </c>
      <c r="C229" t="inlineStr">
        <is>
          <t>Transporte</t>
        </is>
      </c>
      <c r="D229" t="inlineStr">
        <is>
          <t>2408</t>
        </is>
      </c>
      <c r="E229" t="inlineStr">
        <is>
          <t>Prestación de servicios de transporte público de pasajeros</t>
        </is>
      </c>
      <c r="F229" t="inlineStr">
        <is>
          <t>2408052</t>
        </is>
      </c>
      <c r="G229" t="inlineStr">
        <is>
          <t>Servicio de apoyo financiero para el desarrollo de los componentes del  Sistema de Transporte Público de Pasajeros</t>
        </is>
      </c>
      <c r="H229" t="inlineStr">
        <is>
          <t>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t>
        </is>
      </c>
      <c r="I229" t="inlineStr">
        <is>
          <t>2024004250125</t>
        </is>
      </c>
      <c r="J229" s="99">
        <v>501155284873</v>
      </c>
      <c r="K229" s="99">
        <v>151680175041</v>
      </c>
      <c r="L229" s="99">
        <v>121826109832</v>
      </c>
      <c r="M229" s="99">
        <v>127364000000</v>
      </c>
      <c r="N229" s="99">
        <v>100285000000</v>
      </c>
      <c r="O229" s="99">
        <v>151680175041</v>
      </c>
      <c r="P229" s="99">
        <v>151680175041</v>
      </c>
      <c r="Q229" s="99">
        <v>91680175041</v>
      </c>
      <c r="R229" s="100">
        <v>1</v>
      </c>
      <c r="S229" t="inlineStr">
        <is>
          <t>Se ejecutó el 100% de lo programado en la vigencia</t>
        </is>
      </c>
      <c r="T229" s="101">
        <v>119528000000</v>
      </c>
      <c r="U229" s="101">
        <v>18908136383</v>
      </c>
      <c r="V229" s="101">
        <v>18908136383</v>
      </c>
      <c r="W229" s="102">
        <v>0.155205944021972</v>
      </c>
      <c r="X229" t="inlineStr">
        <is>
          <t>Lo obligado está por debajo de lo programado en la vigencia</t>
        </is>
      </c>
    </row>
    <row r="230">
      <c r="A230" t="inlineStr">
        <is>
          <t>IP-247, IP-253</t>
        </is>
      </c>
      <c r="B230" t="inlineStr">
        <is>
          <t>24</t>
        </is>
      </c>
      <c r="C230" t="inlineStr">
        <is>
          <t>Transporte</t>
        </is>
      </c>
      <c r="D230" t="inlineStr">
        <is>
          <t>2408</t>
        </is>
      </c>
      <c r="E230" t="inlineStr">
        <is>
          <t>Prestación de servicios de transporte público de pasajeros</t>
        </is>
      </c>
      <c r="F230" t="inlineStr">
        <is>
          <t>2408053</t>
        </is>
      </c>
      <c r="G230" t="inlineStr">
        <is>
          <t>Documentos de estudios técnicos</t>
        </is>
      </c>
      <c r="H230" t="inlineStr">
        <is>
          <t>Documentos cuyo objetivo es la elaboración de informes de base que analizan situaciones, estudios de caso y de una temática específica.</t>
        </is>
      </c>
      <c r="I230" t="inlineStr">
        <is>
          <t>2024004250240</t>
        </is>
      </c>
      <c r="J230" s="99">
        <v>11310826859</v>
      </c>
      <c r="K230" s="99">
        <v>4760826859</v>
      </c>
      <c r="L230" s="99">
        <v>650000000</v>
      </c>
      <c r="M230" s="99">
        <v>5150000000</v>
      </c>
      <c r="N230" s="99">
        <v>750000000</v>
      </c>
      <c r="O230" s="99">
        <v>4705659750</v>
      </c>
      <c r="P230" s="99">
        <v>4705659750</v>
      </c>
      <c r="Q230" s="99">
        <v>4558973083</v>
      </c>
      <c r="R230" s="100">
        <v>0.988412284119152</v>
      </c>
      <c r="S230" t="inlineStr">
        <is>
          <t>Lo obligado está por debajo de lo programado en la vigencia</t>
        </is>
      </c>
      <c r="T230" s="101">
        <v>436603333</v>
      </c>
      <c r="U230" s="101">
        <v>275106667</v>
      </c>
      <c r="V230" s="101">
        <v>263405000</v>
      </c>
      <c r="W230" s="102">
        <v>0.423241026153846</v>
      </c>
      <c r="X230" t="inlineStr">
        <is>
          <t>Lo obligado está por debajo de lo programado en la vigencia</t>
        </is>
      </c>
    </row>
    <row r="231">
      <c r="A231" t="inlineStr">
        <is>
          <t>IP-248</t>
        </is>
      </c>
      <c r="B231" t="inlineStr">
        <is>
          <t>24</t>
        </is>
      </c>
      <c r="C231" t="inlineStr">
        <is>
          <t>Transporte</t>
        </is>
      </c>
      <c r="D231" t="inlineStr">
        <is>
          <t>2407</t>
        </is>
      </c>
      <c r="E231" t="inlineStr">
        <is>
          <t>Infraestructura y servicios de logística de transporte</t>
        </is>
      </c>
      <c r="F231" t="inlineStr">
        <is>
          <t>2407006</t>
        </is>
      </c>
      <c r="G231" t="inlineStr">
        <is>
          <t>Documentos de planeación</t>
        </is>
      </c>
      <c r="H231" t="inlineStr">
        <is>
          <t>Documentos cuyo objetivo es plasmar una visión de futuro a nivel país, entidad territorial, comunidad, sector, región, entidad o cualquier nivel de desagregación que se requiera. Incluye objetivos, estrategias, metas e indicadores</t>
        </is>
      </c>
      <c r="I231" t="inlineStr">
        <is>
          <t>2024004250244</t>
        </is>
      </c>
      <c r="J231" s="99">
        <v>5900000000</v>
      </c>
      <c r="K231" s="99">
        <v>0</v>
      </c>
      <c r="L231" s="99">
        <v>2200000000</v>
      </c>
      <c r="M231" s="99">
        <v>3500000000</v>
      </c>
      <c r="N231" s="99">
        <v>200000000</v>
      </c>
      <c r="O231" s="99" t="inlineStr">
        <is>
          <t xml:space="preserve"> </t>
        </is>
      </c>
      <c r="P231" s="99" t="inlineStr">
        <is>
          <t xml:space="preserve"> </t>
        </is>
      </c>
      <c r="Q231" s="99" t="inlineStr">
        <is>
          <t xml:space="preserve"> </t>
        </is>
      </c>
      <c r="R231" s="100" t="inlineStr">
        <is>
          <t xml:space="preserve"> </t>
        </is>
      </c>
      <c r="S231" t="inlineStr">
        <is>
          <t>No se encontró ejecución en CUIPO</t>
        </is>
      </c>
      <c r="T231" s="101">
        <v>245626279</v>
      </c>
      <c r="U231" s="101">
        <v>169892691</v>
      </c>
      <c r="V231" s="101">
        <v>169892691</v>
      </c>
      <c r="W231" s="102">
        <v>0.0772239504545455</v>
      </c>
      <c r="X231" t="inlineStr">
        <is>
          <t>Lo obligado está por debajo de lo programado en la vigencia</t>
        </is>
      </c>
    </row>
    <row r="232">
      <c r="A232" t="inlineStr">
        <is>
          <t>IP-249, IP-250, IP-252, IP-256</t>
        </is>
      </c>
      <c r="B232" t="inlineStr">
        <is>
          <t>24</t>
        </is>
      </c>
      <c r="C232" t="inlineStr">
        <is>
          <t>Transporte</t>
        </is>
      </c>
      <c r="D232" t="inlineStr">
        <is>
          <t>2408</t>
        </is>
      </c>
      <c r="E232" t="inlineStr">
        <is>
          <t>Prestación de servicios de transporte público de pasajeros</t>
        </is>
      </c>
      <c r="F232" t="inlineStr">
        <is>
          <t>2408024</t>
        </is>
      </c>
      <c r="G232" t="inlineStr">
        <is>
          <t>Estudios de preinversión</t>
        </is>
      </c>
      <c r="H232" t="inlineStr">
        <is>
          <t>Incluye la realización de los estudios requeridos en las fases de pre factibilidad, factibilidad o definitivos</t>
        </is>
      </c>
      <c r="I232" t="inlineStr">
        <is>
          <t>2024004250241</t>
        </is>
      </c>
      <c r="J232" s="99">
        <v>89343367500</v>
      </c>
      <c r="K232" s="99">
        <v>8000000000</v>
      </c>
      <c r="L232" s="99">
        <v>46698367500</v>
      </c>
      <c r="M232" s="99">
        <v>33545000000</v>
      </c>
      <c r="N232" s="99">
        <v>1100000000</v>
      </c>
      <c r="O232" s="99">
        <v>7980229070</v>
      </c>
      <c r="P232" s="99">
        <v>7980229070</v>
      </c>
      <c r="Q232" s="99">
        <v>6480229070</v>
      </c>
      <c r="R232" s="100">
        <v>0.99752863375</v>
      </c>
      <c r="S232" t="inlineStr">
        <is>
          <t>Lo obligado está por debajo de lo programado en la vigencia</t>
        </is>
      </c>
      <c r="T232" s="101">
        <v>9917748334</v>
      </c>
      <c r="U232" s="101">
        <v>1687035000</v>
      </c>
      <c r="V232" s="101">
        <v>1677005000</v>
      </c>
      <c r="W232" s="102">
        <v>0.0361262093369752</v>
      </c>
      <c r="X232" t="inlineStr">
        <is>
          <t>Lo obligado está por debajo de lo programado en la vigencia</t>
        </is>
      </c>
    </row>
    <row r="233">
      <c r="A233" t="inlineStr">
        <is>
          <t>IP-254</t>
        </is>
      </c>
      <c r="B233" t="inlineStr">
        <is>
          <t>24</t>
        </is>
      </c>
      <c r="C233" t="inlineStr">
        <is>
          <t>Transporte</t>
        </is>
      </c>
      <c r="D233" t="inlineStr">
        <is>
          <t>2408</t>
        </is>
      </c>
      <c r="E233" t="inlineStr">
        <is>
          <t>Prestación de servicios de transporte público de pasajeros</t>
        </is>
      </c>
      <c r="F233" t="inlineStr">
        <is>
          <t>2408052</t>
        </is>
      </c>
      <c r="G233" t="inlineStr">
        <is>
          <t>Servicio de apoyo financiero para el desarrollo de los componentes del  Sistema de Transporte Público de Pasajeros</t>
        </is>
      </c>
      <c r="H233" t="inlineStr">
        <is>
          <t>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t>
        </is>
      </c>
      <c r="I233" t="inlineStr">
        <is>
          <t>2024004250155</t>
        </is>
      </c>
      <c r="J233" s="99">
        <v>62000000000</v>
      </c>
      <c r="K233" s="99">
        <v>15000000000</v>
      </c>
      <c r="L233" s="99">
        <v>17000000000</v>
      </c>
      <c r="M233" s="99">
        <v>15000000000</v>
      </c>
      <c r="N233" s="99">
        <v>15000000000</v>
      </c>
      <c r="O233" s="99">
        <v>15000000000</v>
      </c>
      <c r="P233" s="99">
        <v>15000000000</v>
      </c>
      <c r="Q233" s="99">
        <v>15000000000</v>
      </c>
      <c r="R233" s="100">
        <v>1</v>
      </c>
      <c r="S233" t="inlineStr">
        <is>
          <t>Se ejecutó el 100% de lo programado en la vigencia</t>
        </is>
      </c>
      <c r="T233" s="101">
        <v>5000000000</v>
      </c>
      <c r="U233" s="101">
        <v>5000000000</v>
      </c>
      <c r="V233" s="101">
        <v>5000000000</v>
      </c>
      <c r="W233" s="102">
        <v>0.294117647058824</v>
      </c>
      <c r="X233" t="inlineStr">
        <is>
          <t>Lo obligado está por debajo de lo programado en la vigencia</t>
        </is>
      </c>
    </row>
    <row r="234">
      <c r="A234" t="inlineStr">
        <is>
          <t>IP-255</t>
        </is>
      </c>
      <c r="B234" t="inlineStr">
        <is>
          <t>24</t>
        </is>
      </c>
      <c r="C234" t="inlineStr">
        <is>
          <t>Transporte</t>
        </is>
      </c>
      <c r="D234" t="inlineStr">
        <is>
          <t>2408</t>
        </is>
      </c>
      <c r="E234" t="inlineStr">
        <is>
          <t>Prestación de servicios de transporte público de pasajeros</t>
        </is>
      </c>
      <c r="F234" t="inlineStr">
        <is>
          <t>2408052</t>
        </is>
      </c>
      <c r="G234" t="inlineStr">
        <is>
          <t>Servicio de apoyo financiero para el desarrollo de los componentes del  Sistema de Transporte Público de Pasajeros</t>
        </is>
      </c>
      <c r="H234" t="inlineStr">
        <is>
          <t>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t>
        </is>
      </c>
      <c r="I234" t="inlineStr">
        <is>
          <t>2024004250240</t>
        </is>
      </c>
      <c r="J234" s="99">
        <v>29341916728</v>
      </c>
      <c r="K234" s="99">
        <v>200000000</v>
      </c>
      <c r="L234" s="99">
        <v>3941916728</v>
      </c>
      <c r="M234" s="99">
        <v>25100000000</v>
      </c>
      <c r="N234" s="99">
        <v>100000000</v>
      </c>
      <c r="O234" s="99">
        <v>186156667</v>
      </c>
      <c r="P234" s="99">
        <v>186156667</v>
      </c>
      <c r="Q234" s="99">
        <v>186156667</v>
      </c>
      <c r="R234" s="100">
        <v>0.930783335</v>
      </c>
      <c r="S234" t="inlineStr">
        <is>
          <t>Lo obligado está por debajo de lo programado en la vigencia</t>
        </is>
      </c>
      <c r="T234" s="101">
        <v>134499666</v>
      </c>
      <c r="U234" s="101">
        <v>79500000</v>
      </c>
      <c r="V234" s="101">
        <v>79500000</v>
      </c>
      <c r="W234" s="102">
        <v>0.020167853733515</v>
      </c>
      <c r="X234" t="inlineStr">
        <is>
          <t>Lo obligado está por debajo de lo programado en la vigencia</t>
        </is>
      </c>
    </row>
    <row r="235">
      <c r="A235" t="inlineStr">
        <is>
          <t>IP-257</t>
        </is>
      </c>
      <c r="B235" t="inlineStr">
        <is>
          <t>35</t>
        </is>
      </c>
      <c r="C235" t="inlineStr">
        <is>
          <t>Comercio, industria y turismo</t>
        </is>
      </c>
      <c r="D235" t="inlineStr">
        <is>
          <t>3502</t>
        </is>
      </c>
      <c r="E235" t="inlineStr">
        <is>
          <t>Productividad y competitividad de las empresas colombianas</t>
        </is>
      </c>
      <c r="F235" t="inlineStr">
        <is>
          <t>3502112</t>
        </is>
      </c>
      <c r="G235" t="inlineStr">
        <is>
          <t>Documentos de investigación</t>
        </is>
      </c>
      <c r="H235" t="inlineStr">
        <is>
          <t>Acciones orientadas a la recolección, análisis y procesamiento de la información.</t>
        </is>
      </c>
      <c r="I235" t="inlineStr">
        <is>
          <t>2024004250081</t>
        </is>
      </c>
      <c r="J235" s="99">
        <v>1940000000</v>
      </c>
      <c r="K235" s="99">
        <v>500000000</v>
      </c>
      <c r="L235" s="99">
        <v>0</v>
      </c>
      <c r="M235" s="99">
        <v>540000000</v>
      </c>
      <c r="N235" s="99">
        <v>900000000</v>
      </c>
      <c r="O235" s="99">
        <v>500000000</v>
      </c>
      <c r="P235" s="99">
        <v>500000000</v>
      </c>
      <c r="Q235" s="99">
        <v>500000000</v>
      </c>
      <c r="R235" s="100">
        <v>1</v>
      </c>
      <c r="S235" t="inlineStr">
        <is>
          <t>Se ejecutó el 100% de lo programado en la vigencia</t>
        </is>
      </c>
      <c r="T235" s="101" t="inlineStr">
        <is>
          <t xml:space="preserve"> </t>
        </is>
      </c>
      <c r="U235" s="101" t="inlineStr">
        <is>
          <t xml:space="preserve"> </t>
        </is>
      </c>
      <c r="V235" s="101" t="inlineStr">
        <is>
          <t xml:space="preserve"> </t>
        </is>
      </c>
      <c r="W235" s="102" t="inlineStr">
        <is>
          <t xml:space="preserve"> </t>
        </is>
      </c>
      <c r="X235" t="inlineStr">
        <is>
          <t>No se encontró ejecución en CUIPO</t>
        </is>
      </c>
    </row>
    <row r="236">
      <c r="A236" t="inlineStr">
        <is>
          <t>IP-258</t>
        </is>
      </c>
      <c r="B236" t="inlineStr">
        <is>
          <t>17</t>
        </is>
      </c>
      <c r="C236" t="inlineStr">
        <is>
          <t xml:space="preserve">Agricultura y desarrollo rural
</t>
        </is>
      </c>
      <c r="D236" t="inlineStr">
        <is>
          <t>1702</t>
        </is>
      </c>
      <c r="E236" t="inlineStr">
        <is>
          <t>Inclusión productiva de pequeños productores rurales</t>
        </is>
      </c>
      <c r="F236" t="inlineStr">
        <is>
          <t>1702021</t>
        </is>
      </c>
      <c r="G236" t="inlineStr">
        <is>
          <t>Servicio de acompañamiento productivo y empresarial</t>
        </is>
      </c>
      <c r="H236" t="inlineStr">
        <is>
          <t>Incluye la identificación del estado de los procesos productivos y definición de planes de mejoramiento.</t>
        </is>
      </c>
      <c r="I236" t="inlineStr">
        <is>
          <t>2024004250224</t>
        </is>
      </c>
      <c r="J236" s="99">
        <v>2959165272</v>
      </c>
      <c r="K236" s="99">
        <v>357127500</v>
      </c>
      <c r="L236" s="99">
        <v>1508085772</v>
      </c>
      <c r="M236" s="99">
        <v>680000000</v>
      </c>
      <c r="N236" s="99">
        <v>413952000</v>
      </c>
      <c r="O236" s="99">
        <v>291539500</v>
      </c>
      <c r="P236" s="99">
        <v>291539500</v>
      </c>
      <c r="Q236" s="99">
        <v>162250000</v>
      </c>
      <c r="R236" s="100">
        <v>0.816345702865223</v>
      </c>
      <c r="S236" t="inlineStr">
        <is>
          <t>Lo obligado está por debajo de lo programado en la vigencia</t>
        </is>
      </c>
      <c r="T236" s="101">
        <v>955450000</v>
      </c>
      <c r="U236" s="101">
        <v>225950000</v>
      </c>
      <c r="V236" s="101">
        <v>223250000</v>
      </c>
      <c r="W236" s="102">
        <v>0.149825695723094</v>
      </c>
      <c r="X236" t="inlineStr">
        <is>
          <t>Lo obligado está por debajo de lo programado en la vigencia</t>
        </is>
      </c>
    </row>
    <row r="237">
      <c r="A237" t="inlineStr">
        <is>
          <t>IP-259</t>
        </is>
      </c>
      <c r="B237" t="inlineStr">
        <is>
          <t>17</t>
        </is>
      </c>
      <c r="C237" t="inlineStr">
        <is>
          <t xml:space="preserve">Agricultura y desarrollo rural
</t>
        </is>
      </c>
      <c r="D237" t="inlineStr">
        <is>
          <t>1702</t>
        </is>
      </c>
      <c r="E237" t="inlineStr">
        <is>
          <t>Inclusión productiva de pequeños productores rurales</t>
        </is>
      </c>
      <c r="F237" t="inlineStr">
        <is>
          <t>1702007</t>
        </is>
      </c>
      <c r="G237" t="inlineStr">
        <is>
          <t>Servicio de apoyo financiero para proyectos productivos</t>
        </is>
      </c>
      <c r="H237" t="inlineStr">
        <is>
          <t>Subsidio o cofinanciación para el establecimiento o fortalecimiento de proyectos productivos agropecuarios.</t>
        </is>
      </c>
      <c r="I237" t="inlineStr">
        <is>
          <t>2024004250253</t>
        </is>
      </c>
      <c r="J237" s="99">
        <v>450000000</v>
      </c>
      <c r="K237" s="99">
        <v>0</v>
      </c>
      <c r="L237" s="99">
        <v>200000000</v>
      </c>
      <c r="M237" s="99">
        <v>100000000</v>
      </c>
      <c r="N237" s="99">
        <v>150000000</v>
      </c>
      <c r="O237" s="99" t="inlineStr">
        <is>
          <t xml:space="preserve"> </t>
        </is>
      </c>
      <c r="P237" s="99" t="inlineStr">
        <is>
          <t xml:space="preserve"> </t>
        </is>
      </c>
      <c r="Q237" s="99" t="inlineStr">
        <is>
          <t xml:space="preserve"> </t>
        </is>
      </c>
      <c r="R237" s="100" t="inlineStr">
        <is>
          <t xml:space="preserve"> </t>
        </is>
      </c>
      <c r="S237" t="inlineStr">
        <is>
          <t>No se encontró ejecución en CUIPO</t>
        </is>
      </c>
      <c r="T237" s="101" t="inlineStr">
        <is>
          <t xml:space="preserve"> </t>
        </is>
      </c>
      <c r="U237" s="101" t="inlineStr">
        <is>
          <t xml:space="preserve"> </t>
        </is>
      </c>
      <c r="V237" s="101" t="inlineStr">
        <is>
          <t xml:space="preserve"> </t>
        </is>
      </c>
      <c r="W237" s="102" t="inlineStr">
        <is>
          <t xml:space="preserve"> </t>
        </is>
      </c>
      <c r="X237" t="inlineStr">
        <is>
          <t>No se encontró ejecución en CUIPO</t>
        </is>
      </c>
    </row>
    <row r="238">
      <c r="A238" t="inlineStr">
        <is>
          <t>IP-260</t>
        </is>
      </c>
      <c r="B238" t="inlineStr">
        <is>
          <t>39</t>
        </is>
      </c>
      <c r="C238" t="inlineStr">
        <is>
          <t xml:space="preserve">Ciencia, tecnología e innovación
</t>
        </is>
      </c>
      <c r="D238" t="inlineStr">
        <is>
          <t>3906</t>
        </is>
      </c>
      <c r="E238" t="inlineStr">
        <is>
          <t>Fomento a vocaciones y formación, generación, uso y apropiación social del conocimiento de la ciencia, tecnología e innovación</t>
        </is>
      </c>
      <c r="F238" t="inlineStr">
        <is>
          <t>3906005</t>
        </is>
      </c>
      <c r="G238" t="inlineStr">
        <is>
          <t>Servicio de apoyo financiero a programas y proyectos de Ciencia, Tecnología e Innovación (CTI) para la generación de conocimiento, desarrollo tecnológico e innovación. (I+D+i)</t>
        </is>
      </c>
      <c r="H238" t="inlineStr">
        <is>
          <t>Servicio mediante el cual se realiza apoyo financiero a los programas y proyectos de investigación, desarrollo experimental, procesos de innovación y desarrollo tecnológico del Sistema Nacional de Ciencia, Tecnología e Innovación transformativa</t>
        </is>
      </c>
      <c r="I238" t="inlineStr">
        <is>
          <t>2024004250061</t>
        </is>
      </c>
      <c r="J238" s="99">
        <v>477000000</v>
      </c>
      <c r="K238" s="99">
        <v>400000000</v>
      </c>
      <c r="L238" s="99">
        <v>15000000</v>
      </c>
      <c r="M238" s="99">
        <v>62000000</v>
      </c>
      <c r="N238" s="99">
        <v>0</v>
      </c>
      <c r="O238" s="99">
        <v>400000000</v>
      </c>
      <c r="P238" s="99">
        <v>400000000</v>
      </c>
      <c r="Q238" s="99">
        <v>400000000</v>
      </c>
      <c r="R238" s="100">
        <v>1</v>
      </c>
      <c r="S238" t="inlineStr">
        <is>
          <t>Se ejecutó el 100% de lo programado en la vigencia</t>
        </is>
      </c>
      <c r="T238" s="101" t="inlineStr">
        <is>
          <t xml:space="preserve"> </t>
        </is>
      </c>
      <c r="U238" s="101" t="inlineStr">
        <is>
          <t xml:space="preserve"> </t>
        </is>
      </c>
      <c r="V238" s="101" t="inlineStr">
        <is>
          <t xml:space="preserve"> </t>
        </is>
      </c>
      <c r="W238" s="102" t="inlineStr">
        <is>
          <t xml:space="preserve"> </t>
        </is>
      </c>
      <c r="X238" t="inlineStr">
        <is>
          <t>No se encontró ejecución en CUIPO</t>
        </is>
      </c>
    </row>
    <row r="239">
      <c r="A239" t="inlineStr">
        <is>
          <t>IP-261, IP-263</t>
        </is>
      </c>
      <c r="B239" t="inlineStr">
        <is>
          <t>39</t>
        </is>
      </c>
      <c r="C239" t="inlineStr">
        <is>
          <t xml:space="preserve">Ciencia, tecnología e innovación
</t>
        </is>
      </c>
      <c r="D239" t="inlineStr">
        <is>
          <t>3906</t>
        </is>
      </c>
      <c r="E239" t="inlineStr">
        <is>
          <t>Fomento a vocaciones y formación, generación, uso y apropiación social del conocimiento de la ciencia, tecnología e innovación</t>
        </is>
      </c>
      <c r="F239" t="inlineStr">
        <is>
          <t>3906009</t>
        </is>
      </c>
      <c r="G239" t="inlineStr">
        <is>
          <t>Servicios de apoyo financiero para programas y proyectos de CTI que promueven la innovación, la transferencia tecnológica y el emprendimiento</t>
        </is>
      </c>
      <c r="H239" t="inlineStr">
        <is>
          <t>Servicio mediante el cual se realiza apoyo financiero a los programas y proyectos de CTI, que promuevan: la innovación empresarial, emprendimiento, la transferencia tecnológica  y la protección de conocimiento</t>
        </is>
      </c>
      <c r="I239" t="inlineStr">
        <is>
          <t>2024004250102</t>
        </is>
      </c>
      <c r="J239" s="99">
        <v>8205856000</v>
      </c>
      <c r="K239" s="99">
        <v>2134400000</v>
      </c>
      <c r="L239" s="99">
        <v>2519034000</v>
      </c>
      <c r="M239" s="99">
        <v>2362422000</v>
      </c>
      <c r="N239" s="99">
        <v>1190000000</v>
      </c>
      <c r="O239" s="99">
        <v>2126848359</v>
      </c>
      <c r="P239" s="99">
        <v>2126848359</v>
      </c>
      <c r="Q239" s="99">
        <v>2126848359</v>
      </c>
      <c r="R239" s="100">
        <v>0.996461937312594</v>
      </c>
      <c r="S239" t="inlineStr">
        <is>
          <t>Lo obligado está por debajo de lo programado en la vigencia</t>
        </is>
      </c>
      <c r="T239" s="101">
        <v>1718413887</v>
      </c>
      <c r="U239" s="101">
        <v>843552524</v>
      </c>
      <c r="V239" s="101">
        <v>800724190</v>
      </c>
      <c r="W239" s="102">
        <v>0.334871432461809</v>
      </c>
      <c r="X239" t="inlineStr">
        <is>
          <t>Lo obligado está por debajo de lo programado en la vigencia</t>
        </is>
      </c>
    </row>
    <row r="240">
      <c r="A240" t="inlineStr">
        <is>
          <t>IP-262</t>
        </is>
      </c>
      <c r="B240" t="inlineStr">
        <is>
          <t>39</t>
        </is>
      </c>
      <c r="C240" t="inlineStr">
        <is>
          <t xml:space="preserve">Ciencia, tecnología e innovación
</t>
        </is>
      </c>
      <c r="D240" t="inlineStr">
        <is>
          <t>3906</t>
        </is>
      </c>
      <c r="E240" t="inlineStr">
        <is>
          <t>Fomento a vocaciones y formación, generación, uso y apropiación social del conocimiento de la ciencia, tecnología e innovación</t>
        </is>
      </c>
      <c r="F240" t="inlineStr">
        <is>
          <t>3906006</t>
        </is>
      </c>
      <c r="G240" t="inlineStr">
        <is>
          <t>Servicio de apoyo financiero para programas y proyectos de infraestructura científica y tecnológica</t>
        </is>
      </c>
      <c r="H240" t="inlineStr">
        <is>
          <t>Servicio mediante el cual se otorga apoyo financiero para adquisición, renovación y desarrollo de equipos, fortalecimiento de  laboratorios, centros de investigación y desarrollo,  parques tecnológicos, software especializado, centros de ciencia,  oficinas de transferencia (OTRIS) e incubadoras de empresa de base tecnológica. El producto incluye financiamiento basal para centros científicos y tecnológicos</t>
        </is>
      </c>
      <c r="I240" t="inlineStr">
        <is>
          <t>2024004250102</t>
        </is>
      </c>
      <c r="J240" s="99">
        <v>329000000</v>
      </c>
      <c r="K240" s="99">
        <v>240000000</v>
      </c>
      <c r="L240" s="99">
        <v>15000000</v>
      </c>
      <c r="M240" s="99">
        <v>74000000</v>
      </c>
      <c r="N240" s="99">
        <v>0</v>
      </c>
      <c r="O240" s="99">
        <v>239980000</v>
      </c>
      <c r="P240" s="99">
        <v>239980000</v>
      </c>
      <c r="Q240" s="99">
        <v>239980000</v>
      </c>
      <c r="R240" s="100">
        <v>0.999916666666667</v>
      </c>
      <c r="S240" t="inlineStr">
        <is>
          <t>Lo obligado está por debajo de lo programado en la vigencia</t>
        </is>
      </c>
      <c r="T240" s="101" t="inlineStr">
        <is>
          <t xml:space="preserve"> </t>
        </is>
      </c>
      <c r="U240" s="101" t="inlineStr">
        <is>
          <t xml:space="preserve"> </t>
        </is>
      </c>
      <c r="V240" s="101" t="inlineStr">
        <is>
          <t xml:space="preserve"> </t>
        </is>
      </c>
      <c r="W240" s="102" t="inlineStr">
        <is>
          <t xml:space="preserve"> </t>
        </is>
      </c>
      <c r="X240" t="inlineStr">
        <is>
          <t>No se encontró ejecución en CUIPO</t>
        </is>
      </c>
    </row>
    <row r="241">
      <c r="A241" t="inlineStr">
        <is>
          <t>IP-264</t>
        </is>
      </c>
      <c r="B241" t="inlineStr">
        <is>
          <t>39</t>
        </is>
      </c>
      <c r="C241" t="inlineStr">
        <is>
          <t xml:space="preserve">Ciencia, tecnología e innovación
</t>
        </is>
      </c>
      <c r="D241" t="inlineStr">
        <is>
          <t>3906</t>
        </is>
      </c>
      <c r="E241" t="inlineStr">
        <is>
          <t>Fomento a vocaciones y formación, generación, uso y apropiación social del conocimiento de la ciencia, tecnología e innovación</t>
        </is>
      </c>
      <c r="F241" t="inlineStr">
        <is>
          <t>3906019</t>
        </is>
      </c>
      <c r="G241" t="inlineStr">
        <is>
          <t xml:space="preserve">Servicios de apoyo para la implementación de innovación en las empresas </t>
        </is>
      </c>
      <c r="H241" t="inlineStr">
        <is>
          <t>Corresponde a recursos financieros o en especie otorgados a las empresas nacionales para fortalecer sus procesos de innovación.</t>
        </is>
      </c>
      <c r="I241" t="inlineStr">
        <is>
          <t>2024004250102</t>
        </is>
      </c>
      <c r="J241" s="99">
        <v>785969367</v>
      </c>
      <c r="K241" s="99">
        <v>200000000</v>
      </c>
      <c r="L241" s="99">
        <v>325969367</v>
      </c>
      <c r="M241" s="99">
        <v>160000000</v>
      </c>
      <c r="N241" s="99">
        <v>100000000</v>
      </c>
      <c r="O241" s="99">
        <v>197066667</v>
      </c>
      <c r="P241" s="99">
        <v>197066667</v>
      </c>
      <c r="Q241" s="99">
        <v>183867085</v>
      </c>
      <c r="R241" s="100">
        <v>0.985333335</v>
      </c>
      <c r="S241" t="inlineStr">
        <is>
          <t>Lo obligado está por debajo de lo programado en la vigencia</t>
        </is>
      </c>
      <c r="T241" s="101">
        <v>224758200</v>
      </c>
      <c r="U241" s="101">
        <v>161657500</v>
      </c>
      <c r="V241" s="101">
        <v>161657500</v>
      </c>
      <c r="W241" s="102">
        <v>0.495928502385931</v>
      </c>
      <c r="X241" t="inlineStr">
        <is>
          <t>Lo obligado está por debajo de lo programado en la vigencia</t>
        </is>
      </c>
    </row>
    <row r="242">
      <c r="A242" t="inlineStr">
        <is>
          <t>IP-265, IP-270</t>
        </is>
      </c>
      <c r="B242" t="inlineStr">
        <is>
          <t>39</t>
        </is>
      </c>
      <c r="C242" t="inlineStr">
        <is>
          <t xml:space="preserve">Ciencia, tecnología e innovación
</t>
        </is>
      </c>
      <c r="D242" t="inlineStr">
        <is>
          <t>3906</t>
        </is>
      </c>
      <c r="E242" t="inlineStr">
        <is>
          <t>Fomento a vocaciones y formación, generación, uso y apropiación social del conocimiento de la ciencia, tecnología e innovación</t>
        </is>
      </c>
      <c r="F242" t="inlineStr">
        <is>
          <t>3906012</t>
        </is>
      </c>
      <c r="G242" t="inlineStr">
        <is>
          <t>Documentos de investigación</t>
        </is>
      </c>
      <c r="H242" t="inlineStr">
        <is>
          <t>Consiste en la formulación de documentos generados a partir de la recolección, análisis y procesamiento de información que permite la generación de nuevo conocimiento.</t>
        </is>
      </c>
      <c r="I242" t="inlineStr">
        <is>
          <t>2024004250061</t>
        </is>
      </c>
      <c r="J242" s="99">
        <v>3428048000</v>
      </c>
      <c r="K242" s="99">
        <v>425000000</v>
      </c>
      <c r="L242" s="99">
        <v>1918548000</v>
      </c>
      <c r="M242" s="99">
        <v>690000000</v>
      </c>
      <c r="N242" s="99">
        <v>394500000</v>
      </c>
      <c r="O242" s="99">
        <v>329547200</v>
      </c>
      <c r="P242" s="99">
        <v>329547200</v>
      </c>
      <c r="Q242" s="99">
        <v>329547200</v>
      </c>
      <c r="R242" s="100">
        <v>0.775405176470588</v>
      </c>
      <c r="S242" t="inlineStr">
        <is>
          <t>Lo obligado está por debajo de lo programado en la vigencia</t>
        </is>
      </c>
      <c r="T242" s="101">
        <v>899993800</v>
      </c>
      <c r="U242" s="101">
        <v>426565276</v>
      </c>
      <c r="V242" s="101">
        <v>426565276</v>
      </c>
      <c r="W242" s="102">
        <v>0.222337557361088</v>
      </c>
      <c r="X242" t="inlineStr">
        <is>
          <t>Lo obligado está por debajo de lo programado en la vigencia</t>
        </is>
      </c>
    </row>
    <row r="243">
      <c r="A243" t="inlineStr">
        <is>
          <t>IP-266</t>
        </is>
      </c>
      <c r="B243" t="inlineStr">
        <is>
          <t>39</t>
        </is>
      </c>
      <c r="C243" t="inlineStr">
        <is>
          <t xml:space="preserve">Ciencia, tecnología e innovación
</t>
        </is>
      </c>
      <c r="D243" t="inlineStr">
        <is>
          <t>3906</t>
        </is>
      </c>
      <c r="E243" t="inlineStr">
        <is>
          <t>Fomento a vocaciones y formación, generación, uso y apropiación social del conocimiento de la ciencia, tecnología e innovación</t>
        </is>
      </c>
      <c r="F243" t="inlineStr">
        <is>
          <t>3906005</t>
        </is>
      </c>
      <c r="G243" t="inlineStr">
        <is>
          <t>Servicio de apoyo financiero a programas y proyectos de Ciencia, Tecnología e Innovación (CTI) para la generación de conocimiento, desarrollo tecnológico e innovación. (I+D+i)</t>
        </is>
      </c>
      <c r="H243" t="inlineStr">
        <is>
          <t>Servicio mediante el cual se realiza apoyo financiero a los programas y proyectos de investigación, desarrollo experimental, procesos de innovación y desarrollo tecnológico del Sistema Nacional de Ciencia, Tecnología e Innovación transformativa</t>
        </is>
      </c>
      <c r="I243" t="inlineStr">
        <is>
          <t>2024004250102</t>
        </is>
      </c>
      <c r="J243" s="99">
        <v>399115000</v>
      </c>
      <c r="K243" s="99">
        <v>25000000</v>
      </c>
      <c r="L243" s="99">
        <v>79765000</v>
      </c>
      <c r="M243" s="99">
        <v>194350000</v>
      </c>
      <c r="N243" s="99">
        <v>100000000</v>
      </c>
      <c r="O243" s="99">
        <v>25000000</v>
      </c>
      <c r="P243" s="99">
        <v>25000000</v>
      </c>
      <c r="Q243" s="99">
        <v>25000000</v>
      </c>
      <c r="R243" s="100">
        <v>1</v>
      </c>
      <c r="S243" t="inlineStr">
        <is>
          <t>Se ejecutó el 100% de lo programado en la vigencia</t>
        </is>
      </c>
      <c r="T243" s="101">
        <v>75550000</v>
      </c>
      <c r="U243" s="101">
        <v>51450000</v>
      </c>
      <c r="V243" s="101">
        <v>51450000</v>
      </c>
      <c r="W243" s="102">
        <v>0.645019745502413</v>
      </c>
      <c r="X243" t="inlineStr">
        <is>
          <t>Lo obligado está por debajo de lo programado en la vigencia</t>
        </is>
      </c>
    </row>
    <row r="244">
      <c r="A244" t="inlineStr">
        <is>
          <t>IP-267</t>
        </is>
      </c>
      <c r="B244" t="inlineStr">
        <is>
          <t>39</t>
        </is>
      </c>
      <c r="C244" t="inlineStr">
        <is>
          <t xml:space="preserve">Ciencia, tecnología e innovación
</t>
        </is>
      </c>
      <c r="D244" t="inlineStr">
        <is>
          <t>3906</t>
        </is>
      </c>
      <c r="E244" t="inlineStr">
        <is>
          <t>Fomento a vocaciones y formación, generación, uso y apropiación social del conocimiento de la ciencia, tecnología e innovación</t>
        </is>
      </c>
      <c r="F244" t="inlineStr">
        <is>
          <t>3906004</t>
        </is>
      </c>
      <c r="G244" t="inlineStr">
        <is>
          <t>Servicio de apoyo financiero para la formación de nivel doctoral</t>
        </is>
      </c>
      <c r="H244" t="inlineStr">
        <is>
          <t>Servicio de apoyo financiero para la formación de doctores o PhD, que acredita la formación y competencia para el ejercicio académico e investigativo de alta calidad y cuyo requisito es generar nuevos conocimientos que contribuyan al desarrollo científico a través de la investigación.</t>
        </is>
      </c>
      <c r="I244" t="inlineStr">
        <is>
          <t>2024004250061</t>
        </is>
      </c>
      <c r="J244" s="99">
        <v>68822000</v>
      </c>
      <c r="K244" s="99">
        <v>20000000</v>
      </c>
      <c r="L244" s="99">
        <v>0</v>
      </c>
      <c r="M244" s="99">
        <v>48822000</v>
      </c>
      <c r="N244" s="99">
        <v>0</v>
      </c>
      <c r="O244" s="99" t="inlineStr">
        <is>
          <t xml:space="preserve"> </t>
        </is>
      </c>
      <c r="P244" s="99" t="inlineStr">
        <is>
          <t xml:space="preserve"> </t>
        </is>
      </c>
      <c r="Q244" s="99" t="inlineStr">
        <is>
          <t xml:space="preserve"> </t>
        </is>
      </c>
      <c r="R244" s="100" t="inlineStr">
        <is>
          <t xml:space="preserve"> </t>
        </is>
      </c>
      <c r="S244" t="inlineStr">
        <is>
          <t>No se encontró ejecución en CUIPO</t>
        </is>
      </c>
      <c r="T244" s="101" t="inlineStr">
        <is>
          <t xml:space="preserve"> </t>
        </is>
      </c>
      <c r="U244" s="101" t="inlineStr">
        <is>
          <t xml:space="preserve"> </t>
        </is>
      </c>
      <c r="V244" s="101" t="inlineStr">
        <is>
          <t xml:space="preserve"> </t>
        </is>
      </c>
      <c r="W244" s="102" t="inlineStr">
        <is>
          <t xml:space="preserve"> </t>
        </is>
      </c>
      <c r="X244" t="inlineStr">
        <is>
          <t>No se encontró ejecución en CUIPO</t>
        </is>
      </c>
    </row>
    <row r="245">
      <c r="A245" t="inlineStr">
        <is>
          <t>IP-268</t>
        </is>
      </c>
      <c r="B245" t="inlineStr">
        <is>
          <t>39</t>
        </is>
      </c>
      <c r="C245" t="inlineStr">
        <is>
          <t xml:space="preserve">Ciencia, tecnología e innovación
</t>
        </is>
      </c>
      <c r="D245" t="inlineStr">
        <is>
          <t>3906</t>
        </is>
      </c>
      <c r="E245" t="inlineStr">
        <is>
          <t>Fomento a vocaciones y formación, generación, uso y apropiación social del conocimiento de la ciencia, tecnología e innovación</t>
        </is>
      </c>
      <c r="F245" t="inlineStr">
        <is>
          <t>3906003</t>
        </is>
      </c>
      <c r="G245" t="inlineStr">
        <is>
          <t>Servicio de apoyo financiero para la formación de nivel maestría</t>
        </is>
      </c>
      <c r="H245" t="inlineStr">
        <is>
          <t>Servicio de apoyo financiero para la formación de maestría ya sea nacional o en el exterior, en la modalidad de investigación. Las especializaciones clínicas en medicina humana y odontología se asimilan a las maestrías.</t>
        </is>
      </c>
      <c r="I245" t="inlineStr">
        <is>
          <t>2024004250061</t>
        </is>
      </c>
      <c r="J245" s="99">
        <v>6120000000</v>
      </c>
      <c r="K245" s="99">
        <v>680000000</v>
      </c>
      <c r="L245" s="99">
        <v>3460000000</v>
      </c>
      <c r="M245" s="99">
        <v>1980000000</v>
      </c>
      <c r="N245" s="99">
        <v>0</v>
      </c>
      <c r="O245" s="99">
        <v>680000000</v>
      </c>
      <c r="P245" s="99">
        <v>680000000</v>
      </c>
      <c r="Q245" s="99">
        <v>680000000</v>
      </c>
      <c r="R245" s="100">
        <v>1</v>
      </c>
      <c r="S245" t="inlineStr">
        <is>
          <t>Se ejecutó el 100% de lo programado en la vigencia</t>
        </is>
      </c>
      <c r="T245" s="101">
        <v>3460000000</v>
      </c>
      <c r="U245" s="101">
        <v>730000000</v>
      </c>
      <c r="V245" s="101">
        <v>730000000</v>
      </c>
      <c r="W245" s="102">
        <v>0.210982658959538</v>
      </c>
      <c r="X245" t="inlineStr">
        <is>
          <t>Lo obligado está por debajo de lo programado en la vigencia</t>
        </is>
      </c>
    </row>
    <row r="246">
      <c r="A246" t="inlineStr">
        <is>
          <t>IP-269</t>
        </is>
      </c>
      <c r="B246" t="inlineStr">
        <is>
          <t>39</t>
        </is>
      </c>
      <c r="C246" t="inlineStr">
        <is>
          <t xml:space="preserve">Ciencia, tecnología e innovación
</t>
        </is>
      </c>
      <c r="D246" t="inlineStr">
        <is>
          <t>3906</t>
        </is>
      </c>
      <c r="E246" t="inlineStr">
        <is>
          <t>Fomento a vocaciones y formación, generación, uso y apropiación social del conocimiento de la ciencia, tecnología e innovación</t>
        </is>
      </c>
      <c r="F246" t="inlineStr">
        <is>
          <t>3906001</t>
        </is>
      </c>
      <c r="G246" t="inlineStr">
        <is>
          <t>Servicio de apoyo financiero para el fortalecimiento de las vocaciones científicas en CTI</t>
        </is>
      </c>
      <c r="H246" t="inlineStr">
        <is>
          <t>Servicio mediante el cual se otorga apoyo financiero para incentivar las vocaciones científicas en niños, niñas y adolescentes mediante las cuales se promueve el desarrollo de actitudes y habilidades de investigación en CTI</t>
        </is>
      </c>
      <c r="I246" t="inlineStr">
        <is>
          <t>2024004250061</t>
        </is>
      </c>
      <c r="J246" s="99">
        <v>637250000</v>
      </c>
      <c r="K246" s="99">
        <v>150000000</v>
      </c>
      <c r="L246" s="99">
        <v>257250000</v>
      </c>
      <c r="M246" s="99">
        <v>80000000</v>
      </c>
      <c r="N246" s="99">
        <v>150000000</v>
      </c>
      <c r="O246" s="99">
        <v>149182100</v>
      </c>
      <c r="P246" s="99">
        <v>149182100</v>
      </c>
      <c r="Q246" s="99">
        <v>149182100</v>
      </c>
      <c r="R246" s="100">
        <v>0.994547333333333</v>
      </c>
      <c r="S246" t="inlineStr">
        <is>
          <t>Lo obligado está por debajo de lo programado en la vigencia</t>
        </is>
      </c>
      <c r="T246" s="101">
        <v>227200000</v>
      </c>
      <c r="U246" s="101">
        <v>193910000</v>
      </c>
      <c r="V246" s="101">
        <v>193910000</v>
      </c>
      <c r="W246" s="102">
        <v>0.753780369290573</v>
      </c>
      <c r="X246" t="inlineStr">
        <is>
          <t>Lo obligado está por debajo de lo programado en la vigencia</t>
        </is>
      </c>
    </row>
    <row r="247">
      <c r="A247" t="inlineStr">
        <is>
          <t>IP-271</t>
        </is>
      </c>
      <c r="B247" t="inlineStr">
        <is>
          <t>35</t>
        </is>
      </c>
      <c r="C247" t="inlineStr">
        <is>
          <t>Comercio, industria y turismo</t>
        </is>
      </c>
      <c r="D247" t="inlineStr">
        <is>
          <t>3502</t>
        </is>
      </c>
      <c r="E247" t="inlineStr">
        <is>
          <t>Productividad y competitividad de las empresas colombianas</t>
        </is>
      </c>
      <c r="F247" t="inlineStr">
        <is>
          <t>3502095</t>
        </is>
      </c>
      <c r="G247" t="inlineStr">
        <is>
          <t>Servicios de apoyo para el fomento de capacidades en economía circulary sostenibilidad</t>
        </is>
      </c>
      <c r="H247" t="inlineStr">
        <is>
          <t>Incluye formación de capacidades, generación de  cultura y cambio de mentalidad organizacional para renovar su  enfoque de producción y así generar utilidades al tiempo que garanticen mayor sostenibilidad e impactos positivos en las comunidades.</t>
        </is>
      </c>
      <c r="I247" t="inlineStr">
        <is>
          <t>2024004250112</t>
        </is>
      </c>
      <c r="J247" s="99">
        <v>896780000</v>
      </c>
      <c r="K247" s="99">
        <v>219700000</v>
      </c>
      <c r="L247" s="99">
        <v>260000000</v>
      </c>
      <c r="M247" s="99">
        <v>167080000</v>
      </c>
      <c r="N247" s="99">
        <v>250000000</v>
      </c>
      <c r="O247" s="99">
        <v>219700000</v>
      </c>
      <c r="P247" s="99">
        <v>219700000</v>
      </c>
      <c r="Q247" s="99">
        <v>219700000</v>
      </c>
      <c r="R247" s="100">
        <v>1</v>
      </c>
      <c r="S247" t="inlineStr">
        <is>
          <t>Se ejecutó el 100% de lo programado en la vigencia</t>
        </is>
      </c>
      <c r="T247" s="101">
        <v>60000000</v>
      </c>
      <c r="U247" s="101">
        <v>51200000</v>
      </c>
      <c r="V247" s="101">
        <v>51200000</v>
      </c>
      <c r="W247" s="102">
        <v>0.196923076923077</v>
      </c>
      <c r="X247" t="inlineStr">
        <is>
          <t>Lo obligado está por debajo de lo programado en la vigencia</t>
        </is>
      </c>
    </row>
    <row r="248">
      <c r="A248" t="inlineStr">
        <is>
          <t>IP-272</t>
        </is>
      </c>
      <c r="B248" t="inlineStr">
        <is>
          <t>21</t>
        </is>
      </c>
      <c r="C248" t="inlineStr">
        <is>
          <t>Minas y Energía</t>
        </is>
      </c>
      <c r="D248" t="inlineStr">
        <is>
          <t>2104</t>
        </is>
      </c>
      <c r="E248" t="inlineStr">
        <is>
          <t>Consolidación productiva del sector minero</t>
        </is>
      </c>
      <c r="F248" t="inlineStr">
        <is>
          <t>2104016</t>
        </is>
      </c>
      <c r="G248" t="inlineStr">
        <is>
          <t>Servicio de apoyo financiero para el desarrollo competitivo del sector minero</t>
        </is>
      </c>
      <c r="H248" t="inlineStr">
        <is>
          <t>Recursos para el mejoramiento de la competitividad del sector minero en Colombia</t>
        </is>
      </c>
      <c r="I248" t="inlineStr">
        <is>
          <t>2024004250254</t>
        </is>
      </c>
      <c r="J248" s="99">
        <v>351137930</v>
      </c>
      <c r="K248" s="99">
        <v>0</v>
      </c>
      <c r="L248" s="99">
        <v>35000000</v>
      </c>
      <c r="M248" s="99">
        <v>166137930</v>
      </c>
      <c r="N248" s="99">
        <v>150000000</v>
      </c>
      <c r="O248" s="99" t="inlineStr">
        <is>
          <t xml:space="preserve"> </t>
        </is>
      </c>
      <c r="P248" s="99" t="inlineStr">
        <is>
          <t xml:space="preserve"> </t>
        </is>
      </c>
      <c r="Q248" s="99" t="inlineStr">
        <is>
          <t xml:space="preserve"> </t>
        </is>
      </c>
      <c r="R248" s="100" t="inlineStr">
        <is>
          <t xml:space="preserve"> </t>
        </is>
      </c>
      <c r="S248" t="inlineStr">
        <is>
          <t>No se encontró ejecución en CUIPO</t>
        </is>
      </c>
      <c r="T248" s="101" t="inlineStr">
        <is>
          <t xml:space="preserve"> </t>
        </is>
      </c>
      <c r="U248" s="101" t="inlineStr">
        <is>
          <t xml:space="preserve"> </t>
        </is>
      </c>
      <c r="V248" s="101" t="inlineStr">
        <is>
          <t xml:space="preserve"> </t>
        </is>
      </c>
      <c r="W248" s="102" t="inlineStr">
        <is>
          <t xml:space="preserve"> </t>
        </is>
      </c>
      <c r="X248" t="inlineStr">
        <is>
          <t>No se encontró ejecución en CUIPO</t>
        </is>
      </c>
    </row>
    <row r="249">
      <c r="A249" t="inlineStr">
        <is>
          <t>IP-273</t>
        </is>
      </c>
      <c r="B249" t="inlineStr">
        <is>
          <t>21</t>
        </is>
      </c>
      <c r="C249" t="inlineStr">
        <is>
          <t>Minas y Energía</t>
        </is>
      </c>
      <c r="D249" t="inlineStr">
        <is>
          <t>2102</t>
        </is>
      </c>
      <c r="E249" t="inlineStr">
        <is>
          <t>Consolidación productiva del sector de energía eléctrica</t>
        </is>
      </c>
      <c r="F249" t="inlineStr">
        <is>
          <t>2102058</t>
        </is>
      </c>
      <c r="G249" t="inlineStr">
        <is>
          <t>Unidades de generación fotovoltaica de energía eléctrica instaladas</t>
        </is>
      </c>
      <c r="H249" t="inlineStr">
        <is>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is>
      </c>
      <c r="I249" t="inlineStr">
        <is>
          <t>2024004250035</t>
        </is>
      </c>
      <c r="J249" s="99">
        <v>6823446918</v>
      </c>
      <c r="K249" s="99">
        <v>472595778</v>
      </c>
      <c r="L249" s="99">
        <v>566569852</v>
      </c>
      <c r="M249" s="99">
        <v>5348165288</v>
      </c>
      <c r="N249" s="99">
        <v>436116000</v>
      </c>
      <c r="O249" s="99">
        <v>22595778</v>
      </c>
      <c r="P249" s="99">
        <v>22595778</v>
      </c>
      <c r="Q249" s="99">
        <v>22595778</v>
      </c>
      <c r="R249" s="100">
        <v>0.0478120606485824</v>
      </c>
      <c r="S249" t="inlineStr">
        <is>
          <t>Lo obligado está por debajo de lo programado en la vigencia</t>
        </is>
      </c>
      <c r="T249" s="101" t="inlineStr">
        <is>
          <t xml:space="preserve"> </t>
        </is>
      </c>
      <c r="U249" s="101" t="inlineStr">
        <is>
          <t xml:space="preserve"> </t>
        </is>
      </c>
      <c r="V249" s="101" t="inlineStr">
        <is>
          <t xml:space="preserve"> </t>
        </is>
      </c>
      <c r="W249" s="102" t="inlineStr">
        <is>
          <t xml:space="preserve"> </t>
        </is>
      </c>
      <c r="X249" t="inlineStr">
        <is>
          <t>No se encontró ejecución en CUIPO</t>
        </is>
      </c>
    </row>
    <row r="250">
      <c r="A250" t="inlineStr">
        <is>
          <t>IP-274</t>
        </is>
      </c>
      <c r="B250" t="inlineStr">
        <is>
          <t>23</t>
        </is>
      </c>
      <c r="C250" t="inlineStr">
        <is>
          <t>Tecnologías de la información y las comunicaciones</t>
        </is>
      </c>
      <c r="D250" t="inlineStr">
        <is>
          <t>2301</t>
        </is>
      </c>
      <c r="E250" t="inlineStr">
        <is>
          <t>Facilitar el acceso y uso de las Tecnologías de la Información y las Comunicaciones (TIC) en todo el territorio nacional</t>
        </is>
      </c>
      <c r="F250" t="inlineStr">
        <is>
          <t>2301030</t>
        </is>
      </c>
      <c r="G250" t="inlineStr">
        <is>
          <t>Servicio de educación informal en tecnologías de la información y las comunicaciones.</t>
        </is>
      </c>
      <c r="H250" t="inlineStr">
        <is>
          <t>Capacitaciones en temas relacionados con las Tecnologías de la Información y las Comunicaciones, tales como uso de aplicaciones y herramientas web específicas, con el fin de profundizar conocimientos y finalmente potenciar su aprovechamiento.</t>
        </is>
      </c>
      <c r="I250" t="inlineStr">
        <is>
          <t>2024004250015</t>
        </is>
      </c>
      <c r="J250" s="99">
        <v>3186502325</v>
      </c>
      <c r="K250" s="99">
        <v>45650611</v>
      </c>
      <c r="L250" s="99">
        <v>1702944127</v>
      </c>
      <c r="M250" s="99">
        <v>1398955473</v>
      </c>
      <c r="N250" s="99">
        <v>38952114</v>
      </c>
      <c r="O250" s="99">
        <v>45650611</v>
      </c>
      <c r="P250" s="99">
        <v>45650611</v>
      </c>
      <c r="Q250" s="99">
        <v>45650611</v>
      </c>
      <c r="R250" s="100">
        <v>1</v>
      </c>
      <c r="S250" t="inlineStr">
        <is>
          <t>Se ejecutó el 100% de lo programado en la vigencia</t>
        </is>
      </c>
      <c r="T250" s="101">
        <v>416819585</v>
      </c>
      <c r="U250" s="101">
        <v>142114127</v>
      </c>
      <c r="V250" s="101">
        <v>142114127</v>
      </c>
      <c r="W250" s="102">
        <v>0.0834520197972414</v>
      </c>
      <c r="X250" t="inlineStr">
        <is>
          <t>Lo obligado está por debajo de lo programado en la vigencia</t>
        </is>
      </c>
    </row>
    <row r="251">
      <c r="A251" t="inlineStr">
        <is>
          <t>IP-275</t>
        </is>
      </c>
      <c r="B251" t="inlineStr">
        <is>
          <t>23</t>
        </is>
      </c>
      <c r="C251" t="inlineStr">
        <is>
          <t>Tecnologías de la información y las comunicaciones</t>
        </is>
      </c>
      <c r="D251" t="inlineStr">
        <is>
          <t>2302</t>
        </is>
      </c>
      <c r="E251" t="inlineStr">
        <is>
          <t>Fomento del desarrollo de aplicaciones, software y contenidos para impulsar la apropiación de las Tecnologías de la Información y las Comunicaciones (TIC)</t>
        </is>
      </c>
      <c r="F251" t="inlineStr">
        <is>
          <t>2302014</t>
        </is>
      </c>
      <c r="G251" t="inlineStr">
        <is>
          <t>Servicio de apoyo financiero para el desarrollo de proyectos e Investigación, desarrollo e innovación en temas TIC</t>
        </is>
      </c>
      <c r="H251" t="inlineStr">
        <is>
          <t>Hace referencia  los esfuerzos que realiza el Ministerio para el fortalecimiento del sector TIC Nacional a través de actividades de Investigación, desarrollo e innovación</t>
        </is>
      </c>
      <c r="I251" t="inlineStr">
        <is>
          <t>2024004250108</t>
        </is>
      </c>
      <c r="J251" s="99">
        <v>80363028</v>
      </c>
      <c r="K251" s="99">
        <v>40000000</v>
      </c>
      <c r="L251" s="99">
        <v>40000000</v>
      </c>
      <c r="M251" s="99">
        <v>0</v>
      </c>
      <c r="N251" s="99">
        <v>363028</v>
      </c>
      <c r="O251" s="99">
        <v>39999752</v>
      </c>
      <c r="P251" s="99">
        <v>39999752</v>
      </c>
      <c r="Q251" s="99">
        <v>39999752</v>
      </c>
      <c r="R251" s="100">
        <v>0.9999938</v>
      </c>
      <c r="S251" t="inlineStr">
        <is>
          <t>Lo obligado está por debajo de lo programado en la vigencia</t>
        </is>
      </c>
      <c r="T251" s="101">
        <v>40000000</v>
      </c>
      <c r="U251" s="101">
        <v>0</v>
      </c>
      <c r="V251" s="101">
        <v>0</v>
      </c>
      <c r="W251" s="102">
        <v>0</v>
      </c>
      <c r="X251" t="inlineStr">
        <is>
          <t>No se ejecutó en la vigencia</t>
        </is>
      </c>
    </row>
    <row r="252">
      <c r="A252" t="inlineStr">
        <is>
          <t>IP-276</t>
        </is>
      </c>
      <c r="B252" t="inlineStr">
        <is>
          <t>24</t>
        </is>
      </c>
      <c r="C252" t="inlineStr">
        <is>
          <t>Transporte</t>
        </is>
      </c>
      <c r="D252" t="inlineStr">
        <is>
          <t>2402</t>
        </is>
      </c>
      <c r="E252" t="inlineStr">
        <is>
          <t>Infraestructura red vial regional</t>
        </is>
      </c>
      <c r="F252" t="inlineStr">
        <is>
          <t>2402006</t>
        </is>
      </c>
      <c r="G252" t="inlineStr">
        <is>
          <t>Vía secundaria mejorada</t>
        </is>
      </c>
      <c r="H252" t="inlineStr">
        <is>
          <t>Incluye la construcción de obras de infraestructura vial en vías de la red vial secundaria que mejoren la prestación del servicio, así como los cambios en una infraestructura de transporte con el propósito de mejorar sus especificaciones técnicas iniciales</t>
        </is>
      </c>
      <c r="I252" t="inlineStr">
        <is>
          <t>2024004250230</t>
        </is>
      </c>
      <c r="J252" s="99">
        <v>287409373770</v>
      </c>
      <c r="K252" s="99">
        <v>15000000000</v>
      </c>
      <c r="L252" s="99">
        <v>204909373770</v>
      </c>
      <c r="M252" s="99">
        <v>34500000000</v>
      </c>
      <c r="N252" s="99">
        <v>33000000000</v>
      </c>
      <c r="O252" s="99">
        <v>3000000000</v>
      </c>
      <c r="P252" s="99">
        <v>3000000000</v>
      </c>
      <c r="Q252" s="99">
        <v>3000000000</v>
      </c>
      <c r="R252" s="100">
        <v>0.2</v>
      </c>
      <c r="S252" t="inlineStr">
        <is>
          <t>Lo obligado está por debajo de lo programado en la vigencia</t>
        </is>
      </c>
      <c r="T252" s="101" t="inlineStr">
        <is>
          <t xml:space="preserve"> </t>
        </is>
      </c>
      <c r="U252" s="101" t="inlineStr">
        <is>
          <t xml:space="preserve"> </t>
        </is>
      </c>
      <c r="V252" s="101" t="inlineStr">
        <is>
          <t xml:space="preserve"> </t>
        </is>
      </c>
      <c r="W252" s="102" t="inlineStr">
        <is>
          <t xml:space="preserve"> </t>
        </is>
      </c>
      <c r="X252" t="inlineStr">
        <is>
          <t>No se encontró ejecución en CUIPO</t>
        </is>
      </c>
    </row>
    <row r="253">
      <c r="A253" t="inlineStr">
        <is>
          <t>IP-277</t>
        </is>
      </c>
      <c r="B253" t="inlineStr">
        <is>
          <t>24</t>
        </is>
      </c>
      <c r="C253" t="inlineStr">
        <is>
          <t>Transporte</t>
        </is>
      </c>
      <c r="D253" t="inlineStr">
        <is>
          <t>2402</t>
        </is>
      </c>
      <c r="E253" t="inlineStr">
        <is>
          <t>Infraestructura red vial regional</t>
        </is>
      </c>
      <c r="F253" t="inlineStr">
        <is>
          <t>2402042</t>
        </is>
      </c>
      <c r="G253" t="inlineStr">
        <is>
          <t>Placa huella construida</t>
        </is>
      </c>
      <c r="H253" t="inlineStr">
        <is>
          <t>Incluye construcción de vías terciarias con sistema de  Placa Huella</t>
        </is>
      </c>
      <c r="I253" t="inlineStr">
        <is>
          <t>2024004250010</t>
        </is>
      </c>
      <c r="J253" s="99">
        <v>192111043204</v>
      </c>
      <c r="K253" s="99">
        <v>39719000000</v>
      </c>
      <c r="L253" s="99">
        <v>101355006847</v>
      </c>
      <c r="M253" s="99">
        <v>36037036357</v>
      </c>
      <c r="N253" s="99">
        <v>15000000000</v>
      </c>
      <c r="O253" s="99">
        <v>39719000000</v>
      </c>
      <c r="P253" s="99">
        <v>39719000000</v>
      </c>
      <c r="Q253" s="99">
        <v>39719000000</v>
      </c>
      <c r="R253" s="100">
        <v>1</v>
      </c>
      <c r="S253" t="inlineStr">
        <is>
          <t>Se ejecutó el 100% de lo programado en la vigencia</t>
        </is>
      </c>
      <c r="T253" s="101">
        <v>25766994948</v>
      </c>
      <c r="U253" s="101">
        <v>25766994948</v>
      </c>
      <c r="V253" s="101">
        <v>13853496233</v>
      </c>
      <c r="W253" s="102">
        <v>0.254225180872381</v>
      </c>
      <c r="X253" t="inlineStr">
        <is>
          <t>Lo obligado está por debajo de lo programado en la vigencia</t>
        </is>
      </c>
    </row>
    <row r="254">
      <c r="A254" t="inlineStr">
        <is>
          <t>IP-278</t>
        </is>
      </c>
      <c r="B254" t="inlineStr">
        <is>
          <t>24</t>
        </is>
      </c>
      <c r="C254" t="inlineStr">
        <is>
          <t>Transporte</t>
        </is>
      </c>
      <c r="D254" t="inlineStr">
        <is>
          <t>2402</t>
        </is>
      </c>
      <c r="E254" t="inlineStr">
        <is>
          <t>Infraestructura red vial regional</t>
        </is>
      </c>
      <c r="F254" t="inlineStr">
        <is>
          <t>2402021</t>
        </is>
      </c>
      <c r="G254" t="inlineStr">
        <is>
          <t>Vía secundaria con mantenimiento periódico o rutinario</t>
        </is>
      </c>
      <c r="H254" t="inlineStr">
        <is>
          <t>Incluye las acciones de conservación periódica o rutinaria de las vías de la red vial secundaria con el fin de mantener las condiciones óptimas para el tránsito y  el uso adecuado de la infraestructura de transporte</t>
        </is>
      </c>
      <c r="I254" t="inlineStr">
        <is>
          <t>2024004250232</t>
        </is>
      </c>
      <c r="J254" s="99">
        <v>162849005474</v>
      </c>
      <c r="K254" s="99">
        <v>29880000000</v>
      </c>
      <c r="L254" s="99">
        <v>88006005474</v>
      </c>
      <c r="M254" s="99">
        <v>23963000000</v>
      </c>
      <c r="N254" s="99">
        <v>21000000000</v>
      </c>
      <c r="O254" s="99">
        <v>10000000000</v>
      </c>
      <c r="P254" s="99">
        <v>10000000000</v>
      </c>
      <c r="Q254" s="99">
        <v>10000000000</v>
      </c>
      <c r="R254" s="100">
        <v>0.334672021419009</v>
      </c>
      <c r="S254" t="inlineStr">
        <is>
          <t>Lo obligado está por debajo de lo programado en la vigencia</t>
        </is>
      </c>
      <c r="T254" s="101">
        <v>7693763302</v>
      </c>
      <c r="U254" s="101">
        <v>7693763302</v>
      </c>
      <c r="V254" s="101">
        <v>6693763302</v>
      </c>
      <c r="W254" s="102">
        <v>0.0874231623235417</v>
      </c>
      <c r="X254" t="inlineStr">
        <is>
          <t>Lo obligado está por debajo de lo programado en la vigencia</t>
        </is>
      </c>
    </row>
    <row r="255">
      <c r="A255" t="inlineStr">
        <is>
          <t>IP-279</t>
        </is>
      </c>
      <c r="B255" t="inlineStr">
        <is>
          <t>24</t>
        </is>
      </c>
      <c r="C255" t="inlineStr">
        <is>
          <t>Transporte</t>
        </is>
      </c>
      <c r="D255" t="inlineStr">
        <is>
          <t>2402</t>
        </is>
      </c>
      <c r="E255" t="inlineStr">
        <is>
          <t>Infraestructura red vial regional</t>
        </is>
      </c>
      <c r="F255" t="inlineStr">
        <is>
          <t>2402006</t>
        </is>
      </c>
      <c r="G255" t="inlineStr">
        <is>
          <t>Vía secundaria mejorada</t>
        </is>
      </c>
      <c r="H255" t="inlineStr">
        <is>
          <t>Incluye la construcción de obras de infraestructura vial en vías de la red vial secundaria que mejoren la prestación del servicio, así como los cambios en una infraestructura de transporte con el propósito de mejorar sus especificaciones técnicas iniciales</t>
        </is>
      </c>
      <c r="I255" t="inlineStr">
        <is>
          <t>2024004250013</t>
        </is>
      </c>
      <c r="J255" s="99">
        <v>655988178391</v>
      </c>
      <c r="K255" s="99">
        <v>8129965291</v>
      </c>
      <c r="L255" s="99">
        <v>271006920100</v>
      </c>
      <c r="M255" s="99">
        <v>357851293000</v>
      </c>
      <c r="N255" s="99">
        <v>19000000000</v>
      </c>
      <c r="O255" s="99">
        <v>8129965291</v>
      </c>
      <c r="P255" s="99">
        <v>8129965291</v>
      </c>
      <c r="Q255" s="99">
        <v>8129965291</v>
      </c>
      <c r="R255" s="100">
        <v>1</v>
      </c>
      <c r="S255" t="inlineStr">
        <is>
          <t>Se ejecutó el 100% de lo programado en la vigencia</t>
        </is>
      </c>
      <c r="T255" s="101">
        <v>46263237652</v>
      </c>
      <c r="U255" s="101">
        <v>46263237652</v>
      </c>
      <c r="V255" s="101">
        <v>46261677198</v>
      </c>
      <c r="W255" s="102">
        <v>0.170708694947454</v>
      </c>
      <c r="X255" t="inlineStr">
        <is>
          <t>Lo obligado está por debajo de lo programado en la vigencia</t>
        </is>
      </c>
    </row>
    <row r="256">
      <c r="A256" t="inlineStr">
        <is>
          <t>IP-280</t>
        </is>
      </c>
      <c r="B256" t="inlineStr">
        <is>
          <t>24</t>
        </is>
      </c>
      <c r="C256" t="inlineStr">
        <is>
          <t>Transporte</t>
        </is>
      </c>
      <c r="D256" t="inlineStr">
        <is>
          <t>2402</t>
        </is>
      </c>
      <c r="E256" t="inlineStr">
        <is>
          <t>Infraestructura red vial regional</t>
        </is>
      </c>
      <c r="F256" t="inlineStr">
        <is>
          <t>2402021</t>
        </is>
      </c>
      <c r="G256" t="inlineStr">
        <is>
          <t>Vía secundaria con mantenimiento periódico o rutinario</t>
        </is>
      </c>
      <c r="H256" t="inlineStr">
        <is>
          <t>Incluye las acciones de conservación periódica o rutinaria de las vías de la red vial secundaria con el fin de mantener las condiciones óptimas para el tránsito y  el uso adecuado de la infraestructura de transporte</t>
        </is>
      </c>
      <c r="I256" t="inlineStr">
        <is>
          <t>2024004250019</t>
        </is>
      </c>
      <c r="J256" s="99">
        <v>14910697795</v>
      </c>
      <c r="K256" s="99">
        <v>5250697795</v>
      </c>
      <c r="L256" s="99">
        <v>8660000000</v>
      </c>
      <c r="M256" s="99">
        <v>0</v>
      </c>
      <c r="N256" s="99">
        <v>1000000000</v>
      </c>
      <c r="O256" s="99" t="inlineStr">
        <is>
          <t xml:space="preserve"> </t>
        </is>
      </c>
      <c r="P256" s="99" t="inlineStr">
        <is>
          <t xml:space="preserve"> </t>
        </is>
      </c>
      <c r="Q256" s="99" t="inlineStr">
        <is>
          <t xml:space="preserve"> </t>
        </is>
      </c>
      <c r="R256" s="100" t="inlineStr">
        <is>
          <t xml:space="preserve"> </t>
        </is>
      </c>
      <c r="S256" t="inlineStr">
        <is>
          <t>No se encontró ejecución en CUIPO</t>
        </is>
      </c>
      <c r="T256" s="101" t="inlineStr">
        <is>
          <t xml:space="preserve"> </t>
        </is>
      </c>
      <c r="U256" s="101" t="inlineStr">
        <is>
          <t xml:space="preserve"> </t>
        </is>
      </c>
      <c r="V256" s="101" t="inlineStr">
        <is>
          <t xml:space="preserve"> </t>
        </is>
      </c>
      <c r="W256" s="102" t="inlineStr">
        <is>
          <t xml:space="preserve"> </t>
        </is>
      </c>
      <c r="X256" t="inlineStr">
        <is>
          <t>No se encontró ejecución en CUIPO</t>
        </is>
      </c>
    </row>
    <row r="257">
      <c r="A257" t="inlineStr">
        <is>
          <t>IP-281</t>
        </is>
      </c>
      <c r="B257" t="inlineStr">
        <is>
          <t>24</t>
        </is>
      </c>
      <c r="C257" t="inlineStr">
        <is>
          <t>Transporte</t>
        </is>
      </c>
      <c r="D257" t="inlineStr">
        <is>
          <t>2402</t>
        </is>
      </c>
      <c r="E257" t="inlineStr">
        <is>
          <t>Infraestructura red vial regional</t>
        </is>
      </c>
      <c r="F257" t="inlineStr">
        <is>
          <t>2402027</t>
        </is>
      </c>
      <c r="G257" t="inlineStr">
        <is>
          <t>Peaje de la red vial secundaria con servicio de administración</t>
        </is>
      </c>
      <c r="H257" t="inlineStr">
        <is>
          <t>Incluye la prestación de Servicio propios de la administración y operación de peajes</t>
        </is>
      </c>
      <c r="I257" t="inlineStr">
        <is>
          <t>2024004250029</t>
        </is>
      </c>
      <c r="J257" s="99">
        <v>39292572929</v>
      </c>
      <c r="K257" s="99">
        <v>9127438924</v>
      </c>
      <c r="L257" s="99">
        <v>29165134005</v>
      </c>
      <c r="M257" s="99">
        <v>0</v>
      </c>
      <c r="N257" s="99">
        <v>1000000000</v>
      </c>
      <c r="O257" s="99" t="inlineStr">
        <is>
          <t xml:space="preserve"> </t>
        </is>
      </c>
      <c r="P257" s="99" t="inlineStr">
        <is>
          <t xml:space="preserve"> </t>
        </is>
      </c>
      <c r="Q257" s="99" t="inlineStr">
        <is>
          <t xml:space="preserve"> </t>
        </is>
      </c>
      <c r="R257" s="100" t="inlineStr">
        <is>
          <t xml:space="preserve"> </t>
        </is>
      </c>
      <c r="S257" t="inlineStr">
        <is>
          <t>No se encontró ejecución en CUIPO</t>
        </is>
      </c>
      <c r="T257" s="101" t="inlineStr">
        <is>
          <t xml:space="preserve"> </t>
        </is>
      </c>
      <c r="U257" s="101" t="inlineStr">
        <is>
          <t xml:space="preserve"> </t>
        </is>
      </c>
      <c r="V257" s="101" t="inlineStr">
        <is>
          <t xml:space="preserve"> </t>
        </is>
      </c>
      <c r="W257" s="102" t="inlineStr">
        <is>
          <t xml:space="preserve"> </t>
        </is>
      </c>
      <c r="X257" t="inlineStr">
        <is>
          <t>No se encontró ejecución en CUIPO</t>
        </is>
      </c>
    </row>
    <row r="258">
      <c r="A258" t="inlineStr">
        <is>
          <t>IP-282</t>
        </is>
      </c>
      <c r="B258" t="inlineStr">
        <is>
          <t>24</t>
        </is>
      </c>
      <c r="C258" t="inlineStr">
        <is>
          <t>Transporte</t>
        </is>
      </c>
      <c r="D258" t="inlineStr">
        <is>
          <t>2402</t>
        </is>
      </c>
      <c r="E258" t="inlineStr">
        <is>
          <t>Infraestructura red vial regional</t>
        </is>
      </c>
      <c r="F258" t="inlineStr">
        <is>
          <t>2402015</t>
        </is>
      </c>
      <c r="G258" t="inlineStr">
        <is>
          <t>Puente construido en vía secundaria</t>
        </is>
      </c>
      <c r="H258" t="inlineStr">
        <is>
          <t>Incluye la construcción de puentes en la red vial secundaria</t>
        </is>
      </c>
      <c r="I258" t="inlineStr">
        <is>
          <t>2024004250231</t>
        </is>
      </c>
      <c r="J258" s="99">
        <v>101697537682</v>
      </c>
      <c r="K258" s="99">
        <v>11500000000</v>
      </c>
      <c r="L258" s="99">
        <v>53997537682</v>
      </c>
      <c r="M258" s="99">
        <v>25900000000</v>
      </c>
      <c r="N258" s="99">
        <v>10300000000</v>
      </c>
      <c r="O258" s="99">
        <v>4500000000</v>
      </c>
      <c r="P258" s="99">
        <v>4500000000</v>
      </c>
      <c r="Q258" s="99">
        <v>4500000000</v>
      </c>
      <c r="R258" s="100">
        <v>0.391304347826087</v>
      </c>
      <c r="S258" t="inlineStr">
        <is>
          <t>Lo obligado está por debajo de lo programado en la vigencia</t>
        </is>
      </c>
      <c r="T258" s="101">
        <v>19132478900</v>
      </c>
      <c r="U258" s="101">
        <v>19132478900</v>
      </c>
      <c r="V258" s="101">
        <v>18799145900</v>
      </c>
      <c r="W258" s="102">
        <v>0.354321321329024</v>
      </c>
      <c r="X258" t="inlineStr">
        <is>
          <t>Lo obligado está por debajo de lo programado en la vigencia</t>
        </is>
      </c>
    </row>
    <row r="259">
      <c r="A259" t="inlineStr">
        <is>
          <t>IP-283</t>
        </is>
      </c>
      <c r="B259" t="inlineStr">
        <is>
          <t>24</t>
        </is>
      </c>
      <c r="C259" t="inlineStr">
        <is>
          <t>Transporte</t>
        </is>
      </c>
      <c r="D259" t="inlineStr">
        <is>
          <t>2409</t>
        </is>
      </c>
      <c r="E259" t="inlineStr">
        <is>
          <t>Seguridad de transporte</t>
        </is>
      </c>
      <c r="F259" t="inlineStr">
        <is>
          <t>2409046</t>
        </is>
      </c>
      <c r="G259" t="inlineStr">
        <is>
          <t>Vía atendida por emergencias</t>
        </is>
      </c>
      <c r="H259" t="inlineStr">
        <is>
          <t>Incluye intervenciones en las vías para la normalización del tránsito luego de la ocurrencia de eventos que tengan como origen emergencias climáticas, telúricas, terrorismo, entre otros.</t>
        </is>
      </c>
      <c r="I259" t="inlineStr">
        <is>
          <t>2024004250154</t>
        </is>
      </c>
      <c r="J259" s="99">
        <v>59900000000</v>
      </c>
      <c r="K259" s="99">
        <v>10000000000</v>
      </c>
      <c r="L259" s="99">
        <v>18900000000</v>
      </c>
      <c r="M259" s="99">
        <v>17000000000</v>
      </c>
      <c r="N259" s="99">
        <v>14000000000</v>
      </c>
      <c r="O259" s="99">
        <v>10000000000</v>
      </c>
      <c r="P259" s="99">
        <v>10000000000</v>
      </c>
      <c r="Q259" s="99">
        <v>10000000000</v>
      </c>
      <c r="R259" s="100">
        <v>1</v>
      </c>
      <c r="S259" t="inlineStr">
        <is>
          <t>Se ejecutó el 100% de lo programado en la vigencia</t>
        </is>
      </c>
      <c r="T259" s="101">
        <v>8278732509</v>
      </c>
      <c r="U259" s="101">
        <v>8278732509</v>
      </c>
      <c r="V259" s="101">
        <v>7834288065</v>
      </c>
      <c r="W259" s="102">
        <v>0.438028175079365</v>
      </c>
      <c r="X259" t="inlineStr">
        <is>
          <t>Lo obligado está por debajo de lo programado en la vigencia</t>
        </is>
      </c>
    </row>
    <row r="260">
      <c r="A260" t="inlineStr">
        <is>
          <t>IP-284</t>
        </is>
      </c>
      <c r="B260" t="inlineStr">
        <is>
          <t>24</t>
        </is>
      </c>
      <c r="C260" t="inlineStr">
        <is>
          <t>Transporte</t>
        </is>
      </c>
      <c r="D260" t="inlineStr">
        <is>
          <t>2402</t>
        </is>
      </c>
      <c r="E260" t="inlineStr">
        <is>
          <t>Infraestructura red vial regional</t>
        </is>
      </c>
      <c r="F260" t="inlineStr">
        <is>
          <t>2402118</t>
        </is>
      </c>
      <c r="G260" t="inlineStr">
        <is>
          <t>Estudios de preinversión para la red vial regional</t>
        </is>
      </c>
      <c r="H260" t="inlineStr">
        <is>
          <t>Incluye la realización de los estudios requeridos en las fases de pre factibilidad, factibilidad o definitivos.</t>
        </is>
      </c>
      <c r="I260" t="inlineStr">
        <is>
          <t>2024004250234</t>
        </is>
      </c>
      <c r="J260" s="99">
        <v>30811800000</v>
      </c>
      <c r="K260" s="99">
        <v>14635000000</v>
      </c>
      <c r="L260" s="99">
        <v>16176800000</v>
      </c>
      <c r="M260" s="99">
        <v>0</v>
      </c>
      <c r="N260" s="99">
        <v>0</v>
      </c>
      <c r="O260" s="99">
        <v>14635000000</v>
      </c>
      <c r="P260" s="99">
        <v>14635000000</v>
      </c>
      <c r="Q260" s="99">
        <v>14635000000</v>
      </c>
      <c r="R260" s="100">
        <v>1</v>
      </c>
      <c r="S260" t="inlineStr">
        <is>
          <t>Se ejecutó el 100% de lo programado en la vigencia</t>
        </is>
      </c>
      <c r="T260" s="101">
        <v>7137000000</v>
      </c>
      <c r="U260" s="101">
        <v>7137000000</v>
      </c>
      <c r="V260" s="101">
        <v>7137000000</v>
      </c>
      <c r="W260" s="102">
        <v>0.441187379457</v>
      </c>
      <c r="X260" t="inlineStr">
        <is>
          <t>Lo obligado está por debajo de lo programado en la vigencia</t>
        </is>
      </c>
    </row>
    <row r="261">
      <c r="A261" t="inlineStr">
        <is>
          <t>IP-285</t>
        </is>
      </c>
      <c r="B261" t="inlineStr">
        <is>
          <t>24</t>
        </is>
      </c>
      <c r="C261" t="inlineStr">
        <is>
          <t>Transporte</t>
        </is>
      </c>
      <c r="D261" t="inlineStr">
        <is>
          <t>2402</t>
        </is>
      </c>
      <c r="E261" t="inlineStr">
        <is>
          <t>Infraestructura red vial regional</t>
        </is>
      </c>
      <c r="F261" t="inlineStr">
        <is>
          <t>2402114</t>
        </is>
      </c>
      <c r="G261" t="inlineStr">
        <is>
          <t>Vía urbana mejorada</t>
        </is>
      </c>
      <c r="H261" t="inlineStr">
        <is>
          <t>Incluye la construcción de obras de infraestructura vial en vías urbanas que mejoren la prestación del servicio, así como los cambios en una infraestructura de transporte con el propósito de mejorar sus especificaciones técnicas iniciales.</t>
        </is>
      </c>
      <c r="I261" t="inlineStr">
        <is>
          <t>2024004250233</t>
        </is>
      </c>
      <c r="J261" s="99">
        <v>75732184527</v>
      </c>
      <c r="K261" s="99">
        <v>4000000000</v>
      </c>
      <c r="L261" s="99">
        <v>44841579527</v>
      </c>
      <c r="M261" s="99">
        <v>3500000000</v>
      </c>
      <c r="N261" s="99">
        <v>23390605000</v>
      </c>
      <c r="O261" s="99">
        <v>4000000000</v>
      </c>
      <c r="P261" s="99">
        <v>4000000000</v>
      </c>
      <c r="Q261" s="99">
        <v>4000000000</v>
      </c>
      <c r="R261" s="100">
        <v>1</v>
      </c>
      <c r="S261" t="inlineStr">
        <is>
          <t>Se ejecutó el 100% de lo programado en la vigencia</t>
        </is>
      </c>
      <c r="T261" s="101">
        <v>11314767569</v>
      </c>
      <c r="U261" s="101">
        <v>11314767569</v>
      </c>
      <c r="V261" s="101">
        <v>0</v>
      </c>
      <c r="W261" s="102">
        <v>0.252327587215949</v>
      </c>
      <c r="X261" t="inlineStr">
        <is>
          <t>Lo obligado está por debajo de lo programado en la vigencia</t>
        </is>
      </c>
    </row>
    <row r="262">
      <c r="A262" t="inlineStr">
        <is>
          <t>IP-286</t>
        </is>
      </c>
      <c r="B262" t="inlineStr">
        <is>
          <t>24</t>
        </is>
      </c>
      <c r="C262" t="inlineStr">
        <is>
          <t>Transporte</t>
        </is>
      </c>
      <c r="D262" t="inlineStr">
        <is>
          <t>2401</t>
        </is>
      </c>
      <c r="E262" t="inlineStr">
        <is>
          <t>Infraestructura red vial primaria</t>
        </is>
      </c>
      <c r="F262" t="inlineStr">
        <is>
          <t>2401052</t>
        </is>
      </c>
      <c r="G262" t="inlineStr">
        <is>
          <t>Estudios de preinversión</t>
        </is>
      </c>
      <c r="H262" t="inlineStr">
        <is>
          <t>Incluye la realización de los estudios requeridos en las fases de pre factibilidad, factibilidad o definitivos .</t>
        </is>
      </c>
      <c r="I262" t="inlineStr">
        <is>
          <t>2024004250069</t>
        </is>
      </c>
      <c r="J262" s="99">
        <v>200000000</v>
      </c>
      <c r="K262" s="99">
        <v>0</v>
      </c>
      <c r="L262" s="99">
        <v>0</v>
      </c>
      <c r="M262" s="99">
        <v>0</v>
      </c>
      <c r="N262" s="99">
        <v>200000000</v>
      </c>
      <c r="O262" s="99" t="inlineStr">
        <is>
          <t xml:space="preserve"> </t>
        </is>
      </c>
      <c r="P262" s="99" t="inlineStr">
        <is>
          <t xml:space="preserve"> </t>
        </is>
      </c>
      <c r="Q262" s="99" t="inlineStr">
        <is>
          <t xml:space="preserve"> </t>
        </is>
      </c>
      <c r="R262" s="100" t="inlineStr">
        <is>
          <t xml:space="preserve"> </t>
        </is>
      </c>
      <c r="S262" t="inlineStr">
        <is>
          <t>No se encontró ejecución en CUIPO</t>
        </is>
      </c>
      <c r="T262" s="101" t="inlineStr">
        <is>
          <t xml:space="preserve"> </t>
        </is>
      </c>
      <c r="U262" s="101" t="inlineStr">
        <is>
          <t xml:space="preserve"> </t>
        </is>
      </c>
      <c r="V262" s="101" t="inlineStr">
        <is>
          <t xml:space="preserve"> </t>
        </is>
      </c>
      <c r="W262" s="102" t="inlineStr">
        <is>
          <t xml:space="preserve"> </t>
        </is>
      </c>
      <c r="X262" t="inlineStr">
        <is>
          <t>No se encontró ejecución en CUIPO</t>
        </is>
      </c>
    </row>
    <row r="263">
      <c r="A263" t="inlineStr">
        <is>
          <t>IP-287</t>
        </is>
      </c>
      <c r="B263" t="inlineStr">
        <is>
          <t>24</t>
        </is>
      </c>
      <c r="C263" t="inlineStr">
        <is>
          <t>Transporte</t>
        </is>
      </c>
      <c r="D263" t="inlineStr">
        <is>
          <t>2401</t>
        </is>
      </c>
      <c r="E263" t="inlineStr">
        <is>
          <t>Infraestructura red vial primaria</t>
        </is>
      </c>
      <c r="F263" t="inlineStr">
        <is>
          <t>2401008</t>
        </is>
      </c>
      <c r="G263" t="inlineStr">
        <is>
          <t>Vía primaria mejorada</t>
        </is>
      </c>
      <c r="H263" t="inlineStr">
        <is>
          <t>Incluye la construcción de obras de infraestructura vial en vías de la red vial primaria que mejoren la prestación del servicio, así como los cambios en una infraestructura de transporte con el propósito de mejorar sus especificaciones técnicas iniciales</t>
        </is>
      </c>
      <c r="I263" t="inlineStr">
        <is>
          <t>2024004250069</t>
        </is>
      </c>
      <c r="J263" s="99">
        <v>23091588246</v>
      </c>
      <c r="K263" s="99">
        <v>21791588246</v>
      </c>
      <c r="L263" s="99">
        <v>1000000000</v>
      </c>
      <c r="M263" s="99">
        <v>0</v>
      </c>
      <c r="N263" s="99">
        <v>300000000</v>
      </c>
      <c r="O263" s="99">
        <v>21791588246</v>
      </c>
      <c r="P263" s="99">
        <v>21791588246</v>
      </c>
      <c r="Q263" s="99">
        <v>21791588246</v>
      </c>
      <c r="R263" s="100">
        <v>1</v>
      </c>
      <c r="S263" t="inlineStr">
        <is>
          <t>Se ejecutó el 100% de lo programado en la vigencia</t>
        </is>
      </c>
      <c r="T263" s="101" t="inlineStr">
        <is>
          <t xml:space="preserve"> </t>
        </is>
      </c>
      <c r="U263" s="101" t="inlineStr">
        <is>
          <t xml:space="preserve"> </t>
        </is>
      </c>
      <c r="V263" s="101" t="inlineStr">
        <is>
          <t xml:space="preserve"> </t>
        </is>
      </c>
      <c r="W263" s="102" t="inlineStr">
        <is>
          <t xml:space="preserve"> </t>
        </is>
      </c>
      <c r="X263" t="inlineStr">
        <is>
          <t>No se encontró ejecución en CUIPO</t>
        </is>
      </c>
    </row>
    <row r="264">
      <c r="A264" t="inlineStr">
        <is>
          <t>IP-288</t>
        </is>
      </c>
      <c r="B264" t="inlineStr">
        <is>
          <t>24</t>
        </is>
      </c>
      <c r="C264" t="inlineStr">
        <is>
          <t>Transporte</t>
        </is>
      </c>
      <c r="D264" t="inlineStr">
        <is>
          <t>2401</t>
        </is>
      </c>
      <c r="E264" t="inlineStr">
        <is>
          <t>Infraestructura red vial primaria</t>
        </is>
      </c>
      <c r="F264" t="inlineStr">
        <is>
          <t>2401052</t>
        </is>
      </c>
      <c r="G264" t="inlineStr">
        <is>
          <t>Estudios de preinversión</t>
        </is>
      </c>
      <c r="H264" t="inlineStr">
        <is>
          <t>Incluye la realización de los estudios requeridos en las fases de pre factibilidad, factibilidad o definitivos .</t>
        </is>
      </c>
      <c r="I264" t="inlineStr">
        <is>
          <t>2024004250238</t>
        </is>
      </c>
      <c r="J264" s="99">
        <v>22000000000</v>
      </c>
      <c r="K264" s="99">
        <v>17000000000</v>
      </c>
      <c r="L264" s="99">
        <v>0</v>
      </c>
      <c r="M264" s="99">
        <v>5000000000</v>
      </c>
      <c r="N264" s="99">
        <v>0</v>
      </c>
      <c r="O264" s="99">
        <v>17000000000</v>
      </c>
      <c r="P264" s="99">
        <v>17000000000</v>
      </c>
      <c r="Q264" s="99">
        <v>17000000000</v>
      </c>
      <c r="R264" s="100">
        <v>1</v>
      </c>
      <c r="S264" t="inlineStr">
        <is>
          <t>Se ejecutó el 100% de lo programado en la vigencia</t>
        </is>
      </c>
      <c r="T264" s="101" t="inlineStr">
        <is>
          <t xml:space="preserve"> </t>
        </is>
      </c>
      <c r="U264" s="101" t="inlineStr">
        <is>
          <t xml:space="preserve"> </t>
        </is>
      </c>
      <c r="V264" s="101" t="inlineStr">
        <is>
          <t xml:space="preserve"> </t>
        </is>
      </c>
      <c r="W264" s="102" t="inlineStr">
        <is>
          <t xml:space="preserve"> </t>
        </is>
      </c>
      <c r="X264" t="inlineStr">
        <is>
          <t>No se encontró ejecución en CUIPO</t>
        </is>
      </c>
    </row>
    <row r="265">
      <c r="A265" t="inlineStr">
        <is>
          <t>IP-289</t>
        </is>
      </c>
      <c r="B265" t="inlineStr">
        <is>
          <t>24</t>
        </is>
      </c>
      <c r="C265" t="inlineStr">
        <is>
          <t>Transporte</t>
        </is>
      </c>
      <c r="D265" t="inlineStr">
        <is>
          <t>2409</t>
        </is>
      </c>
      <c r="E265" t="inlineStr">
        <is>
          <t>Seguridad de transporte</t>
        </is>
      </c>
      <c r="F265" t="inlineStr">
        <is>
          <t>2409058</t>
        </is>
      </c>
      <c r="G265" t="inlineStr">
        <is>
          <t>Cicloinfraestructura construida</t>
        </is>
      </c>
      <c r="H265" t="inlineStr">
        <is>
          <t>Incluye la construcción de vías o secciones de la calzada destinada al tránsito por medios no motorizados.</t>
        </is>
      </c>
      <c r="I265" t="inlineStr">
        <is>
          <t>2024004250023</t>
        </is>
      </c>
      <c r="J265" s="99">
        <v>44894452915</v>
      </c>
      <c r="K265" s="99">
        <v>24169623983</v>
      </c>
      <c r="L265" s="99">
        <v>5224828932</v>
      </c>
      <c r="M265" s="99">
        <v>5500000000</v>
      </c>
      <c r="N265" s="99">
        <v>10000000000</v>
      </c>
      <c r="O265" s="99" t="inlineStr">
        <is>
          <t xml:space="preserve"> </t>
        </is>
      </c>
      <c r="P265" s="99" t="inlineStr">
        <is>
          <t xml:space="preserve"> </t>
        </is>
      </c>
      <c r="Q265" s="99" t="inlineStr">
        <is>
          <t xml:space="preserve"> </t>
        </is>
      </c>
      <c r="R265" s="100" t="inlineStr">
        <is>
          <t xml:space="preserve"> </t>
        </is>
      </c>
      <c r="S265" t="inlineStr">
        <is>
          <t>No se encontró ejecución en CUIPO</t>
        </is>
      </c>
      <c r="T265" s="101">
        <v>369633913</v>
      </c>
      <c r="U265" s="101">
        <v>369633913</v>
      </c>
      <c r="V265" s="101">
        <v>369633913</v>
      </c>
      <c r="W265" s="102">
        <v>0.0707456488644325</v>
      </c>
      <c r="X265" t="inlineStr">
        <is>
          <t>Lo obligado está por debajo de lo programado en la vigencia</t>
        </is>
      </c>
    </row>
    <row r="266">
      <c r="A266" t="inlineStr">
        <is>
          <t>IP-290</t>
        </is>
      </c>
      <c r="B266" t="inlineStr">
        <is>
          <t>40</t>
        </is>
      </c>
      <c r="C266" t="inlineStr">
        <is>
          <t>Vivienda, ciudad y territorio</t>
        </is>
      </c>
      <c r="D266" t="inlineStr">
        <is>
          <t>4002</t>
        </is>
      </c>
      <c r="E266" t="inlineStr">
        <is>
          <t>Ordenamiento territorial y desarrollo urbano</t>
        </is>
      </c>
      <c r="F266" t="inlineStr">
        <is>
          <t>4002019</t>
        </is>
      </c>
      <c r="G266" t="inlineStr">
        <is>
          <t>Espacio publico construido</t>
        </is>
      </c>
      <c r="H266" t="inlineStr">
        <is>
          <t>Construcción de obras de infraestructura que intervienen los elementos constitutivos y complementarios del espacio público contenidos en el Decreto 1504 de 1998</t>
        </is>
      </c>
      <c r="I266" t="inlineStr">
        <is>
          <t>2024004250236</t>
        </is>
      </c>
      <c r="J266" s="99">
        <v>44944844032</v>
      </c>
      <c r="K266" s="99">
        <v>7690000000</v>
      </c>
      <c r="L266" s="99">
        <v>24150000000</v>
      </c>
      <c r="M266" s="99">
        <v>2604844032</v>
      </c>
      <c r="N266" s="99">
        <v>10500000000</v>
      </c>
      <c r="O266" s="99">
        <v>5990000000</v>
      </c>
      <c r="P266" s="99">
        <v>5990000000</v>
      </c>
      <c r="Q266" s="99">
        <v>5990000000</v>
      </c>
      <c r="R266" s="100">
        <v>0.778933680104031</v>
      </c>
      <c r="S266" t="inlineStr">
        <is>
          <t>Lo obligado está por debajo de lo programado en la vigencia</t>
        </is>
      </c>
      <c r="T266" s="101">
        <v>1360000000</v>
      </c>
      <c r="U266" s="101">
        <v>1360000000</v>
      </c>
      <c r="V266" s="101">
        <v>0</v>
      </c>
      <c r="W266" s="102">
        <v>0.0563146997929607</v>
      </c>
      <c r="X266" t="inlineStr">
        <is>
          <t>Lo obligado está por debajo de lo programado en la vigencia</t>
        </is>
      </c>
    </row>
    <row r="267">
      <c r="A267" t="inlineStr">
        <is>
          <t>IP-291</t>
        </is>
      </c>
      <c r="B267" t="inlineStr">
        <is>
          <t>21</t>
        </is>
      </c>
      <c r="C267" t="inlineStr">
        <is>
          <t>Minas y Energía</t>
        </is>
      </c>
      <c r="D267" t="inlineStr">
        <is>
          <t>2102</t>
        </is>
      </c>
      <c r="E267" t="inlineStr">
        <is>
          <t>Consolidación productiva del sector de energía eléctrica</t>
        </is>
      </c>
      <c r="F267" t="inlineStr">
        <is>
          <t>2102044</t>
        </is>
      </c>
      <c r="G267" t="inlineStr">
        <is>
          <t>Redes internas de energía eléctrica instaladas</t>
        </is>
      </c>
      <c r="H267" t="inlineStr">
        <is>
          <t xml:space="preserve">Es el conjunto de redes, tuberías, accesorios y equipos que integran el sistema de suministro del servicio público de energía eléctrica al inmueble a partir del medidor.  Para edificios de propiedad horizontal o condominios, es aquel sistema de suministro del servicio al inmueble a partir del registro de corte general cuando lo hubiere. </t>
        </is>
      </c>
      <c r="I267" t="inlineStr">
        <is>
          <t>2024004250037, 2024004250247</t>
        </is>
      </c>
      <c r="J267" s="99">
        <v>11284068046</v>
      </c>
      <c r="K267" s="99">
        <v>2148474103</v>
      </c>
      <c r="L267" s="99">
        <v>4087119067</v>
      </c>
      <c r="M267" s="99">
        <v>3048474876</v>
      </c>
      <c r="N267" s="99">
        <v>2000000000</v>
      </c>
      <c r="O267" s="99">
        <v>447035286</v>
      </c>
      <c r="P267" s="99">
        <v>447035286</v>
      </c>
      <c r="Q267" s="99">
        <v>447035286</v>
      </c>
      <c r="R267" s="100">
        <v>0.208071060933798</v>
      </c>
      <c r="S267" t="inlineStr">
        <is>
          <t>Lo obligado está por debajo de lo programado en la vigencia</t>
        </is>
      </c>
      <c r="T267" s="101">
        <v>3187419288</v>
      </c>
      <c r="U267" s="101">
        <v>424068250</v>
      </c>
      <c r="V267" s="101">
        <v>424068250</v>
      </c>
      <c r="W267" s="102">
        <v>0.103757253715457</v>
      </c>
      <c r="X267" t="inlineStr">
        <is>
          <t>Lo obligado está por debajo de lo programado en la vigencia</t>
        </is>
      </c>
    </row>
    <row r="268">
      <c r="A268" t="inlineStr">
        <is>
          <t>IP-292</t>
        </is>
      </c>
      <c r="B268" t="inlineStr">
        <is>
          <t>21</t>
        </is>
      </c>
      <c r="C268" t="inlineStr">
        <is>
          <t>Minas y Energía</t>
        </is>
      </c>
      <c r="D268" t="inlineStr">
        <is>
          <t>2101</t>
        </is>
      </c>
      <c r="E268" t="inlineStr">
        <is>
          <t>Acceso al servicio público domiciliario de gas combustible</t>
        </is>
      </c>
      <c r="F268" t="inlineStr">
        <is>
          <t>2101015</t>
        </is>
      </c>
      <c r="G268" t="inlineStr">
        <is>
          <t>Redes internas de gas combustible instaladas</t>
        </is>
      </c>
      <c r="H268" t="inlineStr">
        <is>
          <t>Es el conjunto de redes, tuberías, accesorios y equipos que integran el sistema de suministro del servicio público de gas combustible al inmueble a partir del medidor. Para edificios de propiedad horizontal o condominios, es aquel sistema de suministro del servicio al inmueble a partir del registro de corte general cuando lo hubiere.</t>
        </is>
      </c>
      <c r="I268" t="inlineStr">
        <is>
          <t>2024004250177, 2024004250248, 2024004250258</t>
        </is>
      </c>
      <c r="J268" s="99">
        <v>15433753369</v>
      </c>
      <c r="K268" s="99">
        <v>3183638657</v>
      </c>
      <c r="L268" s="99">
        <v>6020823334</v>
      </c>
      <c r="M268" s="99">
        <v>5379291378</v>
      </c>
      <c r="N268" s="99">
        <v>850000000</v>
      </c>
      <c r="O268" s="99">
        <v>3119025323</v>
      </c>
      <c r="P268" s="99">
        <v>1092733333</v>
      </c>
      <c r="Q268" s="99">
        <v>1092733333</v>
      </c>
      <c r="R268" s="100">
        <v>0.343234094923857</v>
      </c>
      <c r="S268" t="inlineStr">
        <is>
          <t>Lo obligado está por debajo de lo programado en la vigencia</t>
        </is>
      </c>
      <c r="T268" s="101">
        <v>5648657892</v>
      </c>
      <c r="U268" s="101">
        <v>873300000</v>
      </c>
      <c r="V268" s="101">
        <v>873300000</v>
      </c>
      <c r="W268" s="102">
        <v>0.145046607673807</v>
      </c>
      <c r="X268" t="inlineStr">
        <is>
          <t>Lo obligado está por debajo de lo programado en la vigencia</t>
        </is>
      </c>
    </row>
    <row r="269">
      <c r="A269" t="inlineStr">
        <is>
          <t>IP-293</t>
        </is>
      </c>
      <c r="B269" t="inlineStr">
        <is>
          <t>21</t>
        </is>
      </c>
      <c r="C269" t="inlineStr">
        <is>
          <t>Minas y Energía</t>
        </is>
      </c>
      <c r="D269" t="inlineStr">
        <is>
          <t>2101</t>
        </is>
      </c>
      <c r="E269" t="inlineStr">
        <is>
          <t>Acceso al servicio público domiciliario de gas combustible</t>
        </is>
      </c>
      <c r="F269" t="inlineStr">
        <is>
          <t>2101009</t>
        </is>
      </c>
      <c r="G269" t="inlineStr">
        <is>
          <t>Redes de distribución de gas combustible construidas</t>
        </is>
      </c>
      <c r="H269" t="inlineStr">
        <is>
          <t>Construcción de gasoductos que transportan gas combustible desde un sitio de acopio de grandes volúmenes, o desde un sistema de transporte o gasoducto hasta las instalaciones del consumidor final, incluyendo su conexión y medición.</t>
        </is>
      </c>
      <c r="I269" t="inlineStr">
        <is>
          <t>2024004250177, 2024004250248, 2024004250258</t>
        </is>
      </c>
      <c r="J269" s="99">
        <v>6916267333</v>
      </c>
      <c r="K269" s="99">
        <v>705885232</v>
      </c>
      <c r="L269" s="99">
        <v>2317466666</v>
      </c>
      <c r="M269" s="99">
        <v>2992915435</v>
      </c>
      <c r="N269" s="99">
        <v>900000000</v>
      </c>
      <c r="O269" s="99">
        <v>702885232</v>
      </c>
      <c r="P269" s="99">
        <v>81050000</v>
      </c>
      <c r="Q269" s="99">
        <v>81050000</v>
      </c>
      <c r="R269" s="100">
        <v>0.114820365019338</v>
      </c>
      <c r="S269" t="inlineStr">
        <is>
          <t>Lo obligado está por debajo de lo programado en la vigencia</t>
        </is>
      </c>
      <c r="T269" s="101">
        <v>2267095013</v>
      </c>
      <c r="U269" s="101">
        <v>296466666</v>
      </c>
      <c r="V269" s="101">
        <v>296466666</v>
      </c>
      <c r="W269" s="102">
        <v>0.127927046524345</v>
      </c>
      <c r="X269" t="inlineStr">
        <is>
          <t>Lo obligado está por debajo de lo programado en la vigencia</t>
        </is>
      </c>
    </row>
    <row r="270">
      <c r="A270" t="inlineStr">
        <is>
          <t>IP-294</t>
        </is>
      </c>
      <c r="B270" t="inlineStr">
        <is>
          <t>21</t>
        </is>
      </c>
      <c r="C270" t="inlineStr">
        <is>
          <t>Minas y Energía</t>
        </is>
      </c>
      <c r="D270" t="inlineStr">
        <is>
          <t>2102</t>
        </is>
      </c>
      <c r="E270" t="inlineStr">
        <is>
          <t>Consolidación productiva del sector de energía eléctrica</t>
        </is>
      </c>
      <c r="F270" t="inlineStr">
        <is>
          <t>2102008</t>
        </is>
      </c>
      <c r="G270" t="inlineStr">
        <is>
          <t>Documentos de lineamientos técnicos</t>
        </is>
      </c>
      <c r="H270" t="inlineStr">
        <is>
          <t>Documentos cuyo objetivo es describir y explicar instrumentos, estándares, requisitos y condiciones necesarias para llevar a cabo un proceso o actividad</t>
        </is>
      </c>
      <c r="I270" t="inlineStr">
        <is>
          <t>2024004250178</t>
        </is>
      </c>
      <c r="J270" s="99">
        <v>644196667</v>
      </c>
      <c r="K270" s="99">
        <v>74000000</v>
      </c>
      <c r="L270" s="99">
        <v>265446667</v>
      </c>
      <c r="M270" s="99">
        <v>304750000</v>
      </c>
      <c r="N270" s="99">
        <v>0</v>
      </c>
      <c r="O270" s="99">
        <v>74000000</v>
      </c>
      <c r="P270" s="99">
        <v>74000000</v>
      </c>
      <c r="Q270" s="99">
        <v>74000000</v>
      </c>
      <c r="R270" s="100">
        <v>1</v>
      </c>
      <c r="S270" t="inlineStr">
        <is>
          <t>Se ejecutó el 100% de lo programado en la vigencia</t>
        </is>
      </c>
      <c r="T270" s="101">
        <v>239188688</v>
      </c>
      <c r="U270" s="101">
        <v>162735688</v>
      </c>
      <c r="V270" s="101">
        <v>162735688</v>
      </c>
      <c r="W270" s="102">
        <v>0.613063595181626</v>
      </c>
      <c r="X270" t="inlineStr">
        <is>
          <t>Lo obligado está por debajo de lo programado en la vigencia</t>
        </is>
      </c>
    </row>
    <row r="271">
      <c r="A271" t="inlineStr">
        <is>
          <t>IP-295</t>
        </is>
      </c>
      <c r="B271" t="inlineStr">
        <is>
          <t>23</t>
        </is>
      </c>
      <c r="C271" t="inlineStr">
        <is>
          <t>Tecnologías de la información y las comunicaciones</t>
        </is>
      </c>
      <c r="D271" t="inlineStr">
        <is>
          <t>2301</t>
        </is>
      </c>
      <c r="E271" t="inlineStr">
        <is>
          <t>Facilitar el acceso y uso de las Tecnologías de la Información y las Comunicaciones (TIC) en todo el territorio nacional</t>
        </is>
      </c>
      <c r="F271" t="inlineStr">
        <is>
          <t>2301077</t>
        </is>
      </c>
      <c r="G271" t="inlineStr">
        <is>
          <t>Servicio de información actualizado</t>
        </is>
      </c>
      <c r="H271" t="inlineStr">
        <is>
          <t>Corresponde al proceso que mejora en la disposición de la información para asegurar que sea accesible, confiable y oportuna.</t>
        </is>
      </c>
      <c r="I271" t="inlineStr">
        <is>
          <t>2024004250168</t>
        </is>
      </c>
      <c r="J271" s="99">
        <v>406556057</v>
      </c>
      <c r="K271" s="99">
        <v>110000000</v>
      </c>
      <c r="L271" s="99">
        <v>135330000</v>
      </c>
      <c r="M271" s="99">
        <v>148000000</v>
      </c>
      <c r="N271" s="99">
        <v>13226057</v>
      </c>
      <c r="O271" s="99" t="inlineStr">
        <is>
          <t xml:space="preserve"> </t>
        </is>
      </c>
      <c r="P271" s="99" t="inlineStr">
        <is>
          <t xml:space="preserve"> </t>
        </is>
      </c>
      <c r="Q271" s="99" t="inlineStr">
        <is>
          <t xml:space="preserve"> </t>
        </is>
      </c>
      <c r="R271" s="100" t="inlineStr">
        <is>
          <t xml:space="preserve"> </t>
        </is>
      </c>
      <c r="S271" t="inlineStr">
        <is>
          <t>No se encontró ejecución en CUIPO</t>
        </is>
      </c>
      <c r="T271" s="101" t="inlineStr">
        <is>
          <t xml:space="preserve"> </t>
        </is>
      </c>
      <c r="U271" s="101" t="inlineStr">
        <is>
          <t xml:space="preserve"> </t>
        </is>
      </c>
      <c r="V271" s="101" t="inlineStr">
        <is>
          <t xml:space="preserve"> </t>
        </is>
      </c>
      <c r="W271" s="102" t="inlineStr">
        <is>
          <t xml:space="preserve"> </t>
        </is>
      </c>
      <c r="X271" t="inlineStr">
        <is>
          <t>No se encontró ejecución en CUIPO</t>
        </is>
      </c>
    </row>
    <row r="272">
      <c r="A272" t="inlineStr">
        <is>
          <t>IP-296</t>
        </is>
      </c>
      <c r="B272" t="inlineStr">
        <is>
          <t>23</t>
        </is>
      </c>
      <c r="C272" t="inlineStr">
        <is>
          <t>Tecnologías de la información y las comunicaciones</t>
        </is>
      </c>
      <c r="D272" t="inlineStr">
        <is>
          <t>2301</t>
        </is>
      </c>
      <c r="E272" t="inlineStr">
        <is>
          <t>Facilitar el acceso y uso de las Tecnologías de la Información y las Comunicaciones (TIC) en todo el territorio nacional</t>
        </is>
      </c>
      <c r="F272" t="inlineStr">
        <is>
          <t>2301028</t>
        </is>
      </c>
      <c r="G272" t="inlineStr">
        <is>
          <t>Servicio de conexiones a redes de servicio portador</t>
        </is>
      </c>
      <c r="H272" t="inlineStr">
        <is>
          <t>Infraestructura de red de telecomunicaciones desplegada para conectar municipios y áreas no municipalizadas a través de redes de fibra óptica, redes diferentes a fibra óptica y tecnología móvil de última generación</t>
        </is>
      </c>
      <c r="I272" t="inlineStr">
        <is>
          <t>2024004250168</t>
        </is>
      </c>
      <c r="J272" s="99">
        <v>49889274098</v>
      </c>
      <c r="K272" s="99">
        <v>5436990105</v>
      </c>
      <c r="L272" s="99">
        <v>36143452920</v>
      </c>
      <c r="M272" s="99">
        <v>7406026752</v>
      </c>
      <c r="N272" s="99">
        <v>902804321</v>
      </c>
      <c r="O272" s="99">
        <v>5435724979</v>
      </c>
      <c r="P272" s="99">
        <v>5435724979</v>
      </c>
      <c r="Q272" s="99">
        <v>5349308255</v>
      </c>
      <c r="R272" s="100">
        <v>0.999767311329326</v>
      </c>
      <c r="S272" t="inlineStr">
        <is>
          <t>Lo obligado está por debajo de lo programado en la vigencia</t>
        </is>
      </c>
      <c r="T272" s="101">
        <v>31552865371</v>
      </c>
      <c r="U272" s="101">
        <v>2612137833</v>
      </c>
      <c r="V272" s="101">
        <v>2605998362</v>
      </c>
      <c r="W272" s="102">
        <v>0.0722713969465428</v>
      </c>
      <c r="X272" t="inlineStr">
        <is>
          <t>Lo obligado está por debajo de lo programado en la vigencia</t>
        </is>
      </c>
    </row>
    <row r="273">
      <c r="A273" t="inlineStr">
        <is>
          <t>IP-297</t>
        </is>
      </c>
      <c r="B273" t="inlineStr">
        <is>
          <t>35</t>
        </is>
      </c>
      <c r="C273" t="inlineStr">
        <is>
          <t>Comercio, industria y turismo</t>
        </is>
      </c>
      <c r="D273" t="inlineStr">
        <is>
          <t>3502</t>
        </is>
      </c>
      <c r="E273" t="inlineStr">
        <is>
          <t>Productividad y competitividad de las empresas colombianas</t>
        </is>
      </c>
      <c r="F273" t="inlineStr">
        <is>
          <t>3502011</t>
        </is>
      </c>
      <c r="G273" t="inlineStr">
        <is>
          <t>Servicio de apoyo para la formación de capital humano pertinente para el desarrollo empresarial de los territorios</t>
        </is>
      </c>
      <c r="H273" t="inlineStr">
        <is>
          <t xml:space="preserve">Este servicio busca identificar las necesidades de capital humano que requiere el aparato productivo de los territorios para aprovechar su potencial y acercarle las soluciones de formación respectivas </t>
        </is>
      </c>
      <c r="I273" t="inlineStr">
        <is>
          <t>2024004250228</t>
        </is>
      </c>
      <c r="J273" s="99">
        <v>1213056799</v>
      </c>
      <c r="K273" s="99">
        <v>338200000</v>
      </c>
      <c r="L273" s="99">
        <v>180053253</v>
      </c>
      <c r="M273" s="99">
        <v>40660000</v>
      </c>
      <c r="N273" s="99">
        <v>654143546</v>
      </c>
      <c r="O273" s="99">
        <v>338200000</v>
      </c>
      <c r="P273" s="99">
        <v>338200000</v>
      </c>
      <c r="Q273" s="99">
        <v>338200000</v>
      </c>
      <c r="R273" s="100">
        <v>1</v>
      </c>
      <c r="S273" t="inlineStr">
        <is>
          <t>Se ejecutó el 100% de lo programado en la vigencia</t>
        </is>
      </c>
      <c r="T273" s="101">
        <v>141099920</v>
      </c>
      <c r="U273" s="101">
        <v>141099920</v>
      </c>
      <c r="V273" s="101">
        <v>141099920</v>
      </c>
      <c r="W273" s="102">
        <v>0.783656599639441</v>
      </c>
      <c r="X273" t="inlineStr">
        <is>
          <t>Lo obligado está por debajo de lo programado en la vigencia</t>
        </is>
      </c>
    </row>
    <row r="274">
      <c r="A274" t="inlineStr">
        <is>
          <t>IP-298</t>
        </is>
      </c>
      <c r="B274" t="inlineStr">
        <is>
          <t>35</t>
        </is>
      </c>
      <c r="C274" t="inlineStr">
        <is>
          <t>Comercio, industria y turismo</t>
        </is>
      </c>
      <c r="D274" t="inlineStr">
        <is>
          <t>3502</t>
        </is>
      </c>
      <c r="E274" t="inlineStr">
        <is>
          <t>Productividad y competitividad de las empresas colombianas</t>
        </is>
      </c>
      <c r="F274" t="inlineStr">
        <is>
          <t>3502049</t>
        </is>
      </c>
      <c r="G274" t="inlineStr">
        <is>
          <t>Servicio de circuito turístico</t>
        </is>
      </c>
      <c r="H274" t="inlineStr">
        <is>
          <t>Corresponde a un recorrido por determinados atractivos turísticos.</t>
        </is>
      </c>
      <c r="I274" t="inlineStr">
        <is>
          <t>2024004250228</t>
        </is>
      </c>
      <c r="J274" s="99">
        <v>6970020019</v>
      </c>
      <c r="K274" s="99">
        <v>850500000</v>
      </c>
      <c r="L274" s="99">
        <v>2781894000</v>
      </c>
      <c r="M274" s="99">
        <v>2727831188</v>
      </c>
      <c r="N274" s="99">
        <v>609794831</v>
      </c>
      <c r="O274" s="99">
        <v>850500000</v>
      </c>
      <c r="P274" s="99">
        <v>850500000</v>
      </c>
      <c r="Q274" s="99">
        <v>850500000</v>
      </c>
      <c r="R274" s="100">
        <v>1</v>
      </c>
      <c r="S274" t="inlineStr">
        <is>
          <t>Se ejecutó el 100% de lo programado en la vigencia</t>
        </is>
      </c>
      <c r="T274" s="101">
        <v>2591464000</v>
      </c>
      <c r="U274" s="101">
        <v>2591464000</v>
      </c>
      <c r="V274" s="101">
        <v>2591464000</v>
      </c>
      <c r="W274" s="102">
        <v>0.931546636931529</v>
      </c>
      <c r="X274" t="inlineStr">
        <is>
          <t>Lo obligado está por debajo de lo programado en la vigencia</t>
        </is>
      </c>
    </row>
    <row r="275">
      <c r="A275" t="inlineStr">
        <is>
          <t>IP-299</t>
        </is>
      </c>
      <c r="B275" t="inlineStr">
        <is>
          <t>35</t>
        </is>
      </c>
      <c r="C275" t="inlineStr">
        <is>
          <t>Comercio, industria y turismo</t>
        </is>
      </c>
      <c r="D275" t="inlineStr">
        <is>
          <t>3502</t>
        </is>
      </c>
      <c r="E275" t="inlineStr">
        <is>
          <t>Productividad y competitividad de las empresas colombianas</t>
        </is>
      </c>
      <c r="F275" t="inlineStr">
        <is>
          <t>3502009</t>
        </is>
      </c>
      <c r="G275" t="inlineStr">
        <is>
          <t>Servicio de apoyo para la transferencia y/o implementación de metodologías de aumento de la productividad</t>
        </is>
      </c>
      <c r="H275" t="inlineStr">
        <is>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is>
      </c>
      <c r="I275" t="inlineStr">
        <is>
          <t>2024004250228</t>
        </is>
      </c>
      <c r="J275" s="99">
        <v>1635733498</v>
      </c>
      <c r="K275" s="99">
        <v>157200000</v>
      </c>
      <c r="L275" s="99">
        <v>772438667</v>
      </c>
      <c r="M275" s="99">
        <v>96300000</v>
      </c>
      <c r="N275" s="99">
        <v>609794831</v>
      </c>
      <c r="O275" s="99">
        <v>157200000</v>
      </c>
      <c r="P275" s="99">
        <v>157200000</v>
      </c>
      <c r="Q275" s="99">
        <v>157200000</v>
      </c>
      <c r="R275" s="100">
        <v>1</v>
      </c>
      <c r="S275" t="inlineStr">
        <is>
          <t>Se ejecutó el 100% de lo programado en la vigencia</t>
        </is>
      </c>
      <c r="T275" s="101">
        <v>243072000</v>
      </c>
      <c r="U275" s="101">
        <v>243072000</v>
      </c>
      <c r="V275" s="101">
        <v>243072000</v>
      </c>
      <c r="W275" s="102">
        <v>0.31468129494869</v>
      </c>
      <c r="X275" t="inlineStr">
        <is>
          <t>Lo obligado está por debajo de lo programado en la vigencia</t>
        </is>
      </c>
    </row>
    <row r="276">
      <c r="A276" t="inlineStr">
        <is>
          <t>IP-300</t>
        </is>
      </c>
      <c r="B276" t="inlineStr">
        <is>
          <t>35</t>
        </is>
      </c>
      <c r="C276" t="inlineStr">
        <is>
          <t>Comercio, industria y turismo</t>
        </is>
      </c>
      <c r="D276" t="inlineStr">
        <is>
          <t>3502</t>
        </is>
      </c>
      <c r="E276" t="inlineStr">
        <is>
          <t>Productividad y competitividad de las empresas colombianas</t>
        </is>
      </c>
      <c r="F276" t="inlineStr">
        <is>
          <t>3502071</t>
        </is>
      </c>
      <c r="G276" t="inlineStr">
        <is>
          <t>Centro interpretativo mantenido</t>
        </is>
      </c>
      <c r="H276" t="inlineStr">
        <is>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is>
      </c>
      <c r="I276" t="inlineStr">
        <is>
          <t>2024004250208</t>
        </is>
      </c>
      <c r="J276" s="99">
        <v>13800364795</v>
      </c>
      <c r="K276" s="99">
        <v>1906300000</v>
      </c>
      <c r="L276" s="99">
        <v>7847029964</v>
      </c>
      <c r="M276" s="99">
        <v>3437240000</v>
      </c>
      <c r="N276" s="99">
        <v>609794831</v>
      </c>
      <c r="O276" s="99">
        <v>531300000</v>
      </c>
      <c r="P276" s="99">
        <v>531300000</v>
      </c>
      <c r="Q276" s="99">
        <v>531300000</v>
      </c>
      <c r="R276" s="100">
        <v>0.278707443739181</v>
      </c>
      <c r="S276" t="inlineStr">
        <is>
          <t>Lo obligado está por debajo de lo programado en la vigencia</t>
        </is>
      </c>
      <c r="T276" s="101">
        <v>124912000</v>
      </c>
      <c r="U276" s="101">
        <v>124912000</v>
      </c>
      <c r="V276" s="101">
        <v>124912000</v>
      </c>
      <c r="W276" s="102">
        <v>0.0159183793834179</v>
      </c>
      <c r="X276" t="inlineStr">
        <is>
          <t>Lo obligado está por debajo de lo programado en la vigencia</t>
        </is>
      </c>
    </row>
    <row r="277">
      <c r="A277" t="inlineStr">
        <is>
          <t>IP-301</t>
        </is>
      </c>
      <c r="B277" t="inlineStr">
        <is>
          <t>35</t>
        </is>
      </c>
      <c r="C277" t="inlineStr">
        <is>
          <t>Comercio, industria y turismo</t>
        </is>
      </c>
      <c r="D277" t="inlineStr">
        <is>
          <t>3502</t>
        </is>
      </c>
      <c r="E277" t="inlineStr">
        <is>
          <t>Productividad y competitividad de las empresas colombianas</t>
        </is>
      </c>
      <c r="F277" t="inlineStr">
        <is>
          <t>3502114</t>
        </is>
      </c>
      <c r="G277" t="inlineStr">
        <is>
          <t>Equipamientos turísticos dotados</t>
        </is>
      </c>
      <c r="H277" t="inlineStr">
        <is>
          <t>Corresponde a la dotación necesaria para que la infraestructura o espacios de uso público en los atractivos turísticos del territorio  puedan iniciar su funcionamiento y operación.</t>
        </is>
      </c>
      <c r="I277" t="inlineStr">
        <is>
          <t>2024004250208</t>
        </is>
      </c>
      <c r="J277" s="99">
        <v>2614815363</v>
      </c>
      <c r="K277" s="99">
        <v>160000000</v>
      </c>
      <c r="L277" s="99">
        <v>772200000</v>
      </c>
      <c r="M277" s="99">
        <v>1350000000</v>
      </c>
      <c r="N277" s="99">
        <v>332615363</v>
      </c>
      <c r="O277" s="99">
        <v>160000000</v>
      </c>
      <c r="P277" s="99">
        <v>160000000</v>
      </c>
      <c r="Q277" s="99">
        <v>160000000</v>
      </c>
      <c r="R277" s="100">
        <v>1</v>
      </c>
      <c r="S277" t="inlineStr">
        <is>
          <t>Se ejecutó el 100% de lo programado en la vigencia</t>
        </is>
      </c>
      <c r="T277" s="101">
        <v>15000000</v>
      </c>
      <c r="U277" s="101">
        <v>15000000</v>
      </c>
      <c r="V277" s="101">
        <v>15000000</v>
      </c>
      <c r="W277" s="102">
        <v>0.0194250194250194</v>
      </c>
      <c r="X277" t="inlineStr">
        <is>
          <t>Lo obligado está por debajo de lo programado en la vigencia</t>
        </is>
      </c>
    </row>
    <row r="278">
      <c r="A278" t="inlineStr">
        <is>
          <t>IP-302</t>
        </is>
      </c>
      <c r="B278" t="inlineStr">
        <is>
          <t>35</t>
        </is>
      </c>
      <c r="C278" t="inlineStr">
        <is>
          <t>Comercio, industria y turismo</t>
        </is>
      </c>
      <c r="D278" t="inlineStr">
        <is>
          <t>3502</t>
        </is>
      </c>
      <c r="E278" t="inlineStr">
        <is>
          <t>Productividad y competitividad de las empresas colombianas</t>
        </is>
      </c>
      <c r="F278" t="inlineStr">
        <is>
          <t>3502043</t>
        </is>
      </c>
      <c r="G278" t="inlineStr">
        <is>
          <t>Ecoparque turístico construido</t>
        </is>
      </c>
      <c r="H278" t="inlineStr">
        <is>
          <t>Construcción de parque turístico con servicios complementarios tales como señalización, zona de comidas y servicios sanitarios.</t>
        </is>
      </c>
      <c r="I278" t="inlineStr">
        <is>
          <t>2024004250208</t>
        </is>
      </c>
      <c r="J278" s="99">
        <v>736620636</v>
      </c>
      <c r="K278" s="99">
        <v>128620000</v>
      </c>
      <c r="L278" s="99">
        <v>314245133</v>
      </c>
      <c r="M278" s="99">
        <v>138535000</v>
      </c>
      <c r="N278" s="99">
        <v>155220503</v>
      </c>
      <c r="O278" s="99">
        <v>128620000</v>
      </c>
      <c r="P278" s="99">
        <v>128620000</v>
      </c>
      <c r="Q278" s="99">
        <v>128620000</v>
      </c>
      <c r="R278" s="100">
        <v>1</v>
      </c>
      <c r="S278" t="inlineStr">
        <is>
          <t>Se ejecutó el 100% de lo programado en la vigencia</t>
        </is>
      </c>
      <c r="T278" s="101">
        <v>301476800</v>
      </c>
      <c r="U278" s="101">
        <v>301476800</v>
      </c>
      <c r="V278" s="101">
        <v>301476800</v>
      </c>
      <c r="W278" s="102">
        <v>0.959368239443823</v>
      </c>
      <c r="X278" t="inlineStr">
        <is>
          <t>Lo obligado está por debajo de lo programado en la vigencia</t>
        </is>
      </c>
    </row>
    <row r="279">
      <c r="A279" t="inlineStr">
        <is>
          <t>IP-303</t>
        </is>
      </c>
      <c r="B279" t="inlineStr">
        <is>
          <t>35</t>
        </is>
      </c>
      <c r="C279" t="inlineStr">
        <is>
          <t>Comercio, industria y turismo</t>
        </is>
      </c>
      <c r="D279" t="inlineStr">
        <is>
          <t>3502</t>
        </is>
      </c>
      <c r="E279" t="inlineStr">
        <is>
          <t>Productividad y competitividad de las empresas colombianas</t>
        </is>
      </c>
      <c r="F279" t="inlineStr">
        <is>
          <t>3502093</t>
        </is>
      </c>
      <c r="G279" t="inlineStr">
        <is>
          <t>Servicios de información turística a nivel nacional</t>
        </is>
      </c>
      <c r="H279" t="inlineStr">
        <is>
          <t>Comprende las actividades necesarias para la generación de información y herramientas tecnológicas en el uso de datos referentes al sector turismo.</t>
        </is>
      </c>
      <c r="I279" t="inlineStr">
        <is>
          <t>2024004250228</t>
        </is>
      </c>
      <c r="J279" s="99">
        <v>2654139223</v>
      </c>
      <c r="K279" s="99">
        <v>47660035</v>
      </c>
      <c r="L279" s="99">
        <v>2000000000</v>
      </c>
      <c r="M279" s="99">
        <v>273863825</v>
      </c>
      <c r="N279" s="99">
        <v>332615363</v>
      </c>
      <c r="O279" s="99">
        <v>47660035</v>
      </c>
      <c r="P279" s="99">
        <v>47660035</v>
      </c>
      <c r="Q279" s="99">
        <v>47660035</v>
      </c>
      <c r="R279" s="100">
        <v>1</v>
      </c>
      <c r="S279" t="inlineStr">
        <is>
          <t>Se ejecutó el 100% de lo programado en la vigencia</t>
        </is>
      </c>
      <c r="T279" s="101">
        <v>146434001</v>
      </c>
      <c r="U279" s="101">
        <v>146434001</v>
      </c>
      <c r="V279" s="101">
        <v>146434001</v>
      </c>
      <c r="W279" s="102">
        <v>0.0732170005</v>
      </c>
      <c r="X279" t="inlineStr">
        <is>
          <t>Lo obligado está por debajo de lo programado en la vigencia</t>
        </is>
      </c>
    </row>
    <row r="280">
      <c r="A280" t="inlineStr">
        <is>
          <t>IP-304</t>
        </is>
      </c>
      <c r="B280" t="inlineStr">
        <is>
          <t>35</t>
        </is>
      </c>
      <c r="C280" t="inlineStr">
        <is>
          <t>Comercio, industria y turismo</t>
        </is>
      </c>
      <c r="D280" t="inlineStr">
        <is>
          <t>3502</t>
        </is>
      </c>
      <c r="E280" t="inlineStr">
        <is>
          <t>Productividad y competitividad de las empresas colombianas</t>
        </is>
      </c>
      <c r="F280" t="inlineStr">
        <is>
          <t>3502037</t>
        </is>
      </c>
      <c r="G280" t="inlineStr">
        <is>
          <t>Servicio de apoyo financiero para la promoción turística nacional e internacional</t>
        </is>
      </c>
      <c r="H280" t="inlineStr">
        <is>
          <t>Con este servicio se busca financiar a través de FONTUR proyectos para promover productos  turísticos de crecimiento y alto valor, así como  destinos turísticos a nivel nacional e internacional.</t>
        </is>
      </c>
      <c r="I280" t="inlineStr">
        <is>
          <t>2024004250228</t>
        </is>
      </c>
      <c r="J280" s="99">
        <v>742382696</v>
      </c>
      <c r="K280" s="99">
        <v>50000000</v>
      </c>
      <c r="L280" s="99">
        <v>154167333</v>
      </c>
      <c r="M280" s="99">
        <v>205600000</v>
      </c>
      <c r="N280" s="99">
        <v>332615363</v>
      </c>
      <c r="O280" s="99">
        <v>50000000</v>
      </c>
      <c r="P280" s="99">
        <v>50000000</v>
      </c>
      <c r="Q280" s="99">
        <v>50000000</v>
      </c>
      <c r="R280" s="100">
        <v>1</v>
      </c>
      <c r="S280" t="inlineStr">
        <is>
          <t>Se ejecutó el 100% de lo programado en la vigencia</t>
        </is>
      </c>
      <c r="T280" s="101">
        <v>146434000</v>
      </c>
      <c r="U280" s="101">
        <v>146434000</v>
      </c>
      <c r="V280" s="101">
        <v>146434000</v>
      </c>
      <c r="W280" s="102">
        <v>0.949838056808053</v>
      </c>
      <c r="X280" t="inlineStr">
        <is>
          <t>Lo obligado está por debajo de lo programado en la vigencia</t>
        </is>
      </c>
    </row>
    <row r="281">
      <c r="A281" t="inlineStr">
        <is>
          <t>IP-305</t>
        </is>
      </c>
      <c r="B281" t="inlineStr">
        <is>
          <t>23</t>
        </is>
      </c>
      <c r="C281" t="inlineStr">
        <is>
          <t>Tecnologías de la información y las comunicaciones</t>
        </is>
      </c>
      <c r="D281" t="inlineStr">
        <is>
          <t>2302</t>
        </is>
      </c>
      <c r="E281" t="inlineStr">
        <is>
          <t>Fomento del desarrollo de aplicaciones, software y contenidos para impulsar la apropiación de las Tecnologías de la Información y las Comunicaciones (TIC)</t>
        </is>
      </c>
      <c r="F281" t="inlineStr">
        <is>
          <t>2302073</t>
        </is>
      </c>
      <c r="G281" t="inlineStr">
        <is>
          <t>Servicio de producción de contenidos radio</t>
        </is>
      </c>
      <c r="H281" t="inlineStr">
        <is>
          <t>Hace referencia a la producción de contenidos hablados y musicales de las emisoras de la radio pública nacional, medidos a través de horas en vivo realizadas desde Bogotá y las regiones, así como  la medición de audiencias a través de estudios especializados.</t>
        </is>
      </c>
      <c r="I281" t="inlineStr">
        <is>
          <t>2024004250169</t>
        </is>
      </c>
      <c r="J281" s="99">
        <v>3431059718</v>
      </c>
      <c r="K281" s="99">
        <v>650000000</v>
      </c>
      <c r="L281" s="99">
        <v>935283333</v>
      </c>
      <c r="M281" s="99">
        <v>1345776385</v>
      </c>
      <c r="N281" s="99">
        <v>500000000</v>
      </c>
      <c r="O281" s="99">
        <v>640434622</v>
      </c>
      <c r="P281" s="99">
        <v>640434622</v>
      </c>
      <c r="Q281" s="99">
        <v>640434622</v>
      </c>
      <c r="R281" s="100">
        <v>0.985284033846154</v>
      </c>
      <c r="S281" t="inlineStr">
        <is>
          <t>Lo obligado está por debajo de lo programado en la vigencia</t>
        </is>
      </c>
      <c r="T281" s="101">
        <v>624247913</v>
      </c>
      <c r="U281" s="101">
        <v>448547913</v>
      </c>
      <c r="V281" s="101">
        <v>448547913</v>
      </c>
      <c r="W281" s="102">
        <v>0.47958505960033</v>
      </c>
      <c r="X281" t="inlineStr">
        <is>
          <t>Lo obligado está por debajo de lo programado en la vigencia</t>
        </is>
      </c>
    </row>
    <row r="282">
      <c r="A282" t="inlineStr">
        <is>
          <t>IP-306</t>
        </is>
      </c>
      <c r="B282" t="inlineStr">
        <is>
          <t>45</t>
        </is>
      </c>
      <c r="C282" t="inlineStr">
        <is>
          <t>Gobierno Territorial</t>
        </is>
      </c>
      <c r="D282" t="inlineStr">
        <is>
          <t>4501</t>
        </is>
      </c>
      <c r="E282" t="inlineStr">
        <is>
          <t>Fortalecimiento de la convivencia y la seguridad ciudadana</t>
        </is>
      </c>
      <c r="F282" t="inlineStr">
        <is>
          <t>4501046</t>
        </is>
      </c>
      <c r="G282" t="inlineStr">
        <is>
          <t>Documentos de lineamientos técnicos</t>
        </is>
      </c>
      <c r="H282" t="inlineStr">
        <is>
          <t>Documentos cuyo objetivo es describir y explicar instrumentos, estándares, requisitos y condiciones necesarias para llevar a cabo un proceso o actividad.</t>
        </is>
      </c>
      <c r="I282" t="inlineStr">
        <is>
          <t>2024004250150</t>
        </is>
      </c>
      <c r="J282" s="99">
        <v>24498105880</v>
      </c>
      <c r="K282" s="99">
        <v>5457704640</v>
      </c>
      <c r="L282" s="99">
        <v>13619698546</v>
      </c>
      <c r="M282" s="99">
        <v>4220702694</v>
      </c>
      <c r="N282" s="99">
        <v>1200000000</v>
      </c>
      <c r="O282" s="99">
        <v>5447254642</v>
      </c>
      <c r="P282" s="99">
        <v>5447254642</v>
      </c>
      <c r="Q282" s="99">
        <v>5447254642</v>
      </c>
      <c r="R282" s="100">
        <v>0.998085276010832</v>
      </c>
      <c r="S282" t="inlineStr">
        <is>
          <t>Lo obligado está por debajo de lo programado en la vigencia</t>
        </is>
      </c>
      <c r="T282" s="101">
        <v>12301886932</v>
      </c>
      <c r="U282" s="101">
        <v>7450837396</v>
      </c>
      <c r="V282" s="101">
        <v>7430210080</v>
      </c>
      <c r="W282" s="102">
        <v>0.547063312072223</v>
      </c>
      <c r="X282" t="inlineStr">
        <is>
          <t>Lo obligado está por debajo de lo programado en la vigencia</t>
        </is>
      </c>
    </row>
    <row r="283">
      <c r="A283" t="inlineStr">
        <is>
          <t>IP-307</t>
        </is>
      </c>
      <c r="B283" t="inlineStr">
        <is>
          <t>45</t>
        </is>
      </c>
      <c r="C283" t="inlineStr">
        <is>
          <t>Gobierno Territorial</t>
        </is>
      </c>
      <c r="D283" t="inlineStr">
        <is>
          <t>4599</t>
        </is>
      </c>
      <c r="E283" t="inlineStr">
        <is>
          <t>Fortalecimiento a la gestión y dirección de la administración pública territorial</t>
        </is>
      </c>
      <c r="F283" t="inlineStr">
        <is>
          <t>4599028</t>
        </is>
      </c>
      <c r="G283" t="inlineStr">
        <is>
          <t>Servicio de información actualizado</t>
        </is>
      </c>
      <c r="H283" t="inlineStr">
        <is>
          <t>Corresponde al proceso que mejora en la disposición de la información para asegurar que sea accesible, confiable y oportuna.</t>
        </is>
      </c>
      <c r="I283" t="inlineStr">
        <is>
          <t>2024004250251</t>
        </is>
      </c>
      <c r="J283" s="99">
        <v>60000000</v>
      </c>
      <c r="K283" s="99">
        <v>0</v>
      </c>
      <c r="L283" s="99">
        <v>0</v>
      </c>
      <c r="M283" s="99">
        <v>60000000</v>
      </c>
      <c r="N283" s="99">
        <v>0</v>
      </c>
      <c r="O283" s="99" t="inlineStr">
        <is>
          <t xml:space="preserve"> </t>
        </is>
      </c>
      <c r="P283" s="99" t="inlineStr">
        <is>
          <t xml:space="preserve"> </t>
        </is>
      </c>
      <c r="Q283" s="99" t="inlineStr">
        <is>
          <t xml:space="preserve"> </t>
        </is>
      </c>
      <c r="R283" s="100" t="inlineStr">
        <is>
          <t xml:space="preserve"> </t>
        </is>
      </c>
      <c r="S283" t="inlineStr">
        <is>
          <t>No se encontró ejecución en CUIPO</t>
        </is>
      </c>
      <c r="T283" s="101" t="inlineStr">
        <is>
          <t xml:space="preserve"> </t>
        </is>
      </c>
      <c r="U283" s="101" t="inlineStr">
        <is>
          <t xml:space="preserve"> </t>
        </is>
      </c>
      <c r="V283" s="101" t="inlineStr">
        <is>
          <t xml:space="preserve"> </t>
        </is>
      </c>
      <c r="W283" s="102" t="inlineStr">
        <is>
          <t xml:space="preserve"> </t>
        </is>
      </c>
      <c r="X283" t="inlineStr">
        <is>
          <t>No se encontró ejecución en CUIPO</t>
        </is>
      </c>
    </row>
    <row r="284">
      <c r="A284" t="inlineStr">
        <is>
          <t>IP-308</t>
        </is>
      </c>
      <c r="B284" t="inlineStr">
        <is>
          <t>23</t>
        </is>
      </c>
      <c r="C284" t="inlineStr">
        <is>
          <t>Tecnologías de la información y las comunicaciones</t>
        </is>
      </c>
      <c r="D284" t="inlineStr">
        <is>
          <t>2302</t>
        </is>
      </c>
      <c r="E284" t="inlineStr">
        <is>
          <t>Fomento del desarrollo de aplicaciones, software y contenidos para impulsar la apropiación de las Tecnologías de la Información y las Comunicaciones (TIC)</t>
        </is>
      </c>
      <c r="F284" t="inlineStr">
        <is>
          <t>2302002</t>
        </is>
      </c>
      <c r="G284" t="inlineStr">
        <is>
          <t>Contenidos digitales</t>
        </is>
      </c>
      <c r="H284" t="inlineStr">
        <is>
          <t>Corresponde a contenidos en formatos tales como piezas gráficas, posteos para redes sociales, videos de historias de éxito, videos tutoriales y pedagógicos, artículos y crónicas que evidencian la importancia de la apropiación TIC</t>
        </is>
      </c>
      <c r="I284" t="inlineStr">
        <is>
          <t>2024004250184</t>
        </is>
      </c>
      <c r="J284" s="99">
        <v>425090618</v>
      </c>
      <c r="K284" s="99">
        <v>55499999</v>
      </c>
      <c r="L284" s="99">
        <v>159821667</v>
      </c>
      <c r="M284" s="99">
        <v>183315000</v>
      </c>
      <c r="N284" s="99">
        <v>26453952</v>
      </c>
      <c r="O284" s="99">
        <v>55499999</v>
      </c>
      <c r="P284" s="99">
        <v>55499999</v>
      </c>
      <c r="Q284" s="99">
        <v>55499999</v>
      </c>
      <c r="R284" s="100">
        <v>1</v>
      </c>
      <c r="S284" t="inlineStr">
        <is>
          <t>Se ejecutó el 100% de lo programado en la vigencia</t>
        </is>
      </c>
      <c r="T284" s="101">
        <v>140080000</v>
      </c>
      <c r="U284" s="101">
        <v>105403334</v>
      </c>
      <c r="V284" s="101">
        <v>105403334</v>
      </c>
      <c r="W284" s="102">
        <v>0.659505910422021</v>
      </c>
      <c r="X284" t="inlineStr">
        <is>
          <t>Lo obligado está por debajo de lo programado en la vigencia</t>
        </is>
      </c>
    </row>
    <row r="285">
      <c r="A285" t="inlineStr">
        <is>
          <t>IP-309</t>
        </is>
      </c>
      <c r="B285" t="inlineStr">
        <is>
          <t>45</t>
        </is>
      </c>
      <c r="C285" t="inlineStr">
        <is>
          <t>Gobierno Territorial</t>
        </is>
      </c>
      <c r="D285" t="inlineStr">
        <is>
          <t>4502</t>
        </is>
      </c>
      <c r="E285" t="inlineStr">
        <is>
          <t>Fortalecimiento del buen gobierno para el respeto y garantía de los derechos humanos.</t>
        </is>
      </c>
      <c r="F285" t="inlineStr">
        <is>
          <t>4502001</t>
        </is>
      </c>
      <c r="G285" t="inlineStr">
        <is>
          <t>Servicio de promoción a la participación ciudadana</t>
        </is>
      </c>
      <c r="H285" t="inlineStr">
        <is>
          <t>Corresponde al diseño e implementación de acciones y estrategias que promuevan el ejercicio de la participación ciudadana para el respeto y garantía de los derechos humanos</t>
        </is>
      </c>
      <c r="I285" t="inlineStr">
        <is>
          <t>2024004250128</t>
        </is>
      </c>
      <c r="J285" s="99">
        <v>5611435596</v>
      </c>
      <c r="K285" s="99">
        <v>1050000000</v>
      </c>
      <c r="L285" s="99">
        <v>2228850618</v>
      </c>
      <c r="M285" s="99">
        <v>2232584978</v>
      </c>
      <c r="N285" s="99">
        <v>100000000</v>
      </c>
      <c r="O285" s="99">
        <v>1050000000</v>
      </c>
      <c r="P285" s="99">
        <v>1050000000</v>
      </c>
      <c r="Q285" s="99">
        <v>1050000000</v>
      </c>
      <c r="R285" s="100">
        <v>1</v>
      </c>
      <c r="S285" t="inlineStr">
        <is>
          <t>Se ejecutó el 100% de lo programado en la vigencia</t>
        </is>
      </c>
      <c r="T285" s="101">
        <v>2228850618</v>
      </c>
      <c r="U285" s="101">
        <v>2228850618</v>
      </c>
      <c r="V285" s="101">
        <v>2228850618</v>
      </c>
      <c r="W285" s="102">
        <v>1</v>
      </c>
      <c r="X285" t="inlineStr">
        <is>
          <t>Se ejecutó el 100% de lo programado en la vigencia</t>
        </is>
      </c>
    </row>
    <row r="286">
      <c r="A286" t="inlineStr">
        <is>
          <t>IP-310</t>
        </is>
      </c>
      <c r="B286" t="inlineStr">
        <is>
          <t>45</t>
        </is>
      </c>
      <c r="C286" t="inlineStr">
        <is>
          <t>Gobierno Territorial</t>
        </is>
      </c>
      <c r="D286" t="inlineStr">
        <is>
          <t>4502</t>
        </is>
      </c>
      <c r="E286" t="inlineStr">
        <is>
          <t>Fortalecimiento del buen gobierno para el respeto y garantía de los derechos humanos.</t>
        </is>
      </c>
      <c r="F286" t="inlineStr">
        <is>
          <t>4502001</t>
        </is>
      </c>
      <c r="G286" t="inlineStr">
        <is>
          <t>Servicio de promoción a la participación ciudadana</t>
        </is>
      </c>
      <c r="H286" t="inlineStr">
        <is>
          <t>Corresponde al diseño e implementación de acciones y estrategias que promuevan el ejercicio de la participación ciudadana para el respeto y garantía de los derechos humanos</t>
        </is>
      </c>
      <c r="I286" t="inlineStr">
        <is>
          <t>2024004250208, 2024004250242</t>
        </is>
      </c>
      <c r="J286" s="99">
        <v>7737843998</v>
      </c>
      <c r="K286" s="99">
        <v>1700000000</v>
      </c>
      <c r="L286" s="99">
        <v>3668891888</v>
      </c>
      <c r="M286" s="99">
        <v>2018952110</v>
      </c>
      <c r="N286" s="99">
        <v>350000000</v>
      </c>
      <c r="O286" s="99" t="inlineStr">
        <is>
          <t xml:space="preserve"> </t>
        </is>
      </c>
      <c r="P286" s="99" t="inlineStr">
        <is>
          <t xml:space="preserve"> </t>
        </is>
      </c>
      <c r="Q286" s="99" t="inlineStr">
        <is>
          <t xml:space="preserve"> </t>
        </is>
      </c>
      <c r="R286" s="100" t="inlineStr">
        <is>
          <t xml:space="preserve"> </t>
        </is>
      </c>
      <c r="S286" t="inlineStr">
        <is>
          <t>No se encontró ejecución en CUIPO</t>
        </is>
      </c>
      <c r="T286" s="101" t="inlineStr">
        <is>
          <t xml:space="preserve"> </t>
        </is>
      </c>
      <c r="U286" s="101" t="inlineStr">
        <is>
          <t xml:space="preserve"> </t>
        </is>
      </c>
      <c r="V286" s="101" t="inlineStr">
        <is>
          <t xml:space="preserve"> </t>
        </is>
      </c>
      <c r="W286" s="102" t="inlineStr">
        <is>
          <t xml:space="preserve"> </t>
        </is>
      </c>
      <c r="X286" t="inlineStr">
        <is>
          <t>No se encontró ejecución en CUIPO</t>
        </is>
      </c>
    </row>
    <row r="287">
      <c r="A287" t="inlineStr">
        <is>
          <t>IP-311</t>
        </is>
      </c>
      <c r="B287" t="inlineStr">
        <is>
          <t>45</t>
        </is>
      </c>
      <c r="C287" t="inlineStr">
        <is>
          <t>Gobierno Territorial</t>
        </is>
      </c>
      <c r="D287" t="inlineStr">
        <is>
          <t>4502</t>
        </is>
      </c>
      <c r="E287" t="inlineStr">
        <is>
          <t>Fortalecimiento del buen gobierno para el respeto y garantía de los derechos humanos.</t>
        </is>
      </c>
      <c r="F287" t="inlineStr">
        <is>
          <t>4502001</t>
        </is>
      </c>
      <c r="G287" t="inlineStr">
        <is>
          <t>Servicio de promoción a la participación ciudadana</t>
        </is>
      </c>
      <c r="H287" t="inlineStr">
        <is>
          <t>Corresponde al diseño e implementación de acciones y estrategias que promuevan el ejercicio de la participación ciudadana para el respeto y garantía de los derechos humanos</t>
        </is>
      </c>
      <c r="I287" t="inlineStr">
        <is>
          <t>2024004250131</t>
        </is>
      </c>
      <c r="J287" s="99">
        <v>10129866146</v>
      </c>
      <c r="K287" s="99">
        <v>2545000000</v>
      </c>
      <c r="L287" s="99">
        <v>5050921400</v>
      </c>
      <c r="M287" s="99">
        <v>2183944746</v>
      </c>
      <c r="N287" s="99">
        <v>350000000</v>
      </c>
      <c r="O287" s="99">
        <v>2545000000</v>
      </c>
      <c r="P287" s="99">
        <v>2545000000</v>
      </c>
      <c r="Q287" s="99">
        <v>2545000000</v>
      </c>
      <c r="R287" s="100">
        <v>1</v>
      </c>
      <c r="S287" t="inlineStr">
        <is>
          <t>Se ejecutó el 100% de lo programado en la vigencia</t>
        </is>
      </c>
      <c r="T287" s="101">
        <v>3050921400</v>
      </c>
      <c r="U287" s="101">
        <v>3050921400</v>
      </c>
      <c r="V287" s="101">
        <v>3050921400</v>
      </c>
      <c r="W287" s="102">
        <v>0.604032642440249</v>
      </c>
      <c r="X287" t="inlineStr">
        <is>
          <t>Lo obligado está por debajo de lo programado en la vigencia</t>
        </is>
      </c>
    </row>
    <row r="288">
      <c r="A288" t="inlineStr">
        <is>
          <t>IP-312</t>
        </is>
      </c>
      <c r="B288" t="inlineStr">
        <is>
          <t>45</t>
        </is>
      </c>
      <c r="C288" t="inlineStr">
        <is>
          <t>Gobierno Territorial</t>
        </is>
      </c>
      <c r="D288" t="inlineStr">
        <is>
          <t>4502</t>
        </is>
      </c>
      <c r="E288" t="inlineStr">
        <is>
          <t>Fortalecimiento del buen gobierno para el respeto y garantía de los derechos humanos.</t>
        </is>
      </c>
      <c r="F288" t="inlineStr">
        <is>
          <t>4502001</t>
        </is>
      </c>
      <c r="G288" t="inlineStr">
        <is>
          <t>Servicio de promoción a la participación ciudadana</t>
        </is>
      </c>
      <c r="H288" t="inlineStr">
        <is>
          <t>Corresponde al diseño e implementación de acciones y estrategias que promuevan el ejercicio de la participación ciudadana para el respeto y garantía de los derechos humanos</t>
        </is>
      </c>
      <c r="I288" t="inlineStr">
        <is>
          <t>2024004250132</t>
        </is>
      </c>
      <c r="J288" s="99">
        <v>6935352548</v>
      </c>
      <c r="K288" s="99">
        <v>847000000</v>
      </c>
      <c r="L288" s="99">
        <v>2491256754</v>
      </c>
      <c r="M288" s="99">
        <v>3463095794</v>
      </c>
      <c r="N288" s="99">
        <v>134000000</v>
      </c>
      <c r="O288" s="99">
        <v>847000000</v>
      </c>
      <c r="P288" s="99">
        <v>847000000</v>
      </c>
      <c r="Q288" s="99">
        <v>847000000</v>
      </c>
      <c r="R288" s="100">
        <v>1</v>
      </c>
      <c r="S288" t="inlineStr">
        <is>
          <t>Se ejecutó el 100% de lo programado en la vigencia</t>
        </is>
      </c>
      <c r="T288" s="101">
        <v>2222478752</v>
      </c>
      <c r="U288" s="101">
        <v>2222478752</v>
      </c>
      <c r="V288" s="101">
        <v>2222478752</v>
      </c>
      <c r="W288" s="102">
        <v>0.892111480854614</v>
      </c>
      <c r="X288" t="inlineStr">
        <is>
          <t>Lo obligado está por debajo de lo programado en la vigencia</t>
        </is>
      </c>
    </row>
    <row r="289">
      <c r="A289" t="inlineStr">
        <is>
          <t>IP-313</t>
        </is>
      </c>
      <c r="B289" t="inlineStr">
        <is>
          <t>45</t>
        </is>
      </c>
      <c r="C289" t="inlineStr">
        <is>
          <t>Gobierno Territorial</t>
        </is>
      </c>
      <c r="D289" t="inlineStr">
        <is>
          <t>4502</t>
        </is>
      </c>
      <c r="E289" t="inlineStr">
        <is>
          <t>Fortalecimiento del buen gobierno para el respeto y garantía de los derechos humanos.</t>
        </is>
      </c>
      <c r="F289" t="inlineStr">
        <is>
          <t>4502001</t>
        </is>
      </c>
      <c r="G289" t="inlineStr">
        <is>
          <t>Servicio de promoción a la participación ciudadana</t>
        </is>
      </c>
      <c r="H289" t="inlineStr">
        <is>
          <t>Corresponde al diseño e implementación de acciones y estrategias que promuevan el ejercicio de la participación ciudadana para el respeto y garantía de los derechos humanos</t>
        </is>
      </c>
      <c r="I289" t="inlineStr">
        <is>
          <t>2024004250182</t>
        </is>
      </c>
      <c r="J289" s="99">
        <v>1323965151</v>
      </c>
      <c r="K289" s="99">
        <v>215709564</v>
      </c>
      <c r="L289" s="99">
        <v>619991667</v>
      </c>
      <c r="M289" s="99">
        <v>444174000</v>
      </c>
      <c r="N289" s="99">
        <v>44089920</v>
      </c>
      <c r="O289" s="99">
        <v>215709564</v>
      </c>
      <c r="P289" s="99">
        <v>215709564</v>
      </c>
      <c r="Q289" s="99">
        <v>209699990</v>
      </c>
      <c r="R289" s="100">
        <v>1</v>
      </c>
      <c r="S289" t="inlineStr">
        <is>
          <t>Se ejecutó el 100% de lo programado en la vigencia</t>
        </is>
      </c>
      <c r="T289" s="101">
        <v>557258333</v>
      </c>
      <c r="U289" s="101">
        <v>331978993</v>
      </c>
      <c r="V289" s="101">
        <v>331978993</v>
      </c>
      <c r="W289" s="102">
        <v>0.535457185426978</v>
      </c>
      <c r="X289" t="inlineStr">
        <is>
          <t>Lo obligado está por debajo de lo programado en la vigencia</t>
        </is>
      </c>
    </row>
    <row r="290">
      <c r="A290" t="inlineStr">
        <is>
          <t>IP-314</t>
        </is>
      </c>
      <c r="B290" t="inlineStr">
        <is>
          <t>45</t>
        </is>
      </c>
      <c r="C290" t="inlineStr">
        <is>
          <t>Gobierno Territorial</t>
        </is>
      </c>
      <c r="D290" t="inlineStr">
        <is>
          <t>4599</t>
        </is>
      </c>
      <c r="E290" t="inlineStr">
        <is>
          <t>Fortalecimiento a la gestión y dirección de la administración pública territorial</t>
        </is>
      </c>
      <c r="F290" t="inlineStr">
        <is>
          <t>4599031</t>
        </is>
      </c>
      <c r="G290" t="inlineStr">
        <is>
          <t>Servicio de asistencia técnica</t>
        </is>
      </c>
      <c r="H290" t="inlineStr">
        <is>
          <t>Corresponde al acompañamiento,apoyo,  asesoría y seguimiento técnico para la transferencia de herramientas de gestión y conocimiento en políticas, planes , proyectos y programas de apoyo a la dirección y gestión de la administración territorial.</t>
        </is>
      </c>
      <c r="I290" t="inlineStr">
        <is>
          <t>2024004250164</t>
        </is>
      </c>
      <c r="J290" s="99">
        <v>344535746</v>
      </c>
      <c r="K290" s="99">
        <v>28833333</v>
      </c>
      <c r="L290" s="99">
        <v>99223333</v>
      </c>
      <c r="M290" s="99">
        <v>103105000</v>
      </c>
      <c r="N290" s="99">
        <v>113374080</v>
      </c>
      <c r="O290" s="99">
        <v>28833333</v>
      </c>
      <c r="P290" s="99">
        <v>28833333</v>
      </c>
      <c r="Q290" s="99">
        <v>28833333</v>
      </c>
      <c r="R290" s="100">
        <v>1</v>
      </c>
      <c r="S290" t="inlineStr">
        <is>
          <t>Se ejecutó el 100% de lo programado en la vigencia</t>
        </is>
      </c>
      <c r="T290" s="101">
        <v>95790000</v>
      </c>
      <c r="U290" s="101">
        <v>74160000</v>
      </c>
      <c r="V290" s="101">
        <v>74160000</v>
      </c>
      <c r="W290" s="102">
        <v>0.747404846801508</v>
      </c>
      <c r="X290" t="inlineStr">
        <is>
          <t>Lo obligado está por debajo de lo programado en la vigencia</t>
        </is>
      </c>
    </row>
    <row r="291">
      <c r="A291" t="inlineStr">
        <is>
          <t>IP-315</t>
        </is>
      </c>
      <c r="B291" t="inlineStr">
        <is>
          <t>45</t>
        </is>
      </c>
      <c r="C291" t="inlineStr">
        <is>
          <t>Gobierno Territorial</t>
        </is>
      </c>
      <c r="D291" t="inlineStr">
        <is>
          <t>4502</t>
        </is>
      </c>
      <c r="E291" t="inlineStr">
        <is>
          <t>Fortalecimiento del buen gobierno para el respeto y garantía de los derechos humanos.</t>
        </is>
      </c>
      <c r="F291" t="inlineStr">
        <is>
          <t>4502038</t>
        </is>
      </c>
      <c r="G291" t="inlineStr">
        <is>
          <t>Servicio de promoción de la garantía de derechos</t>
        </is>
      </c>
      <c r="H291" t="inlineStr">
        <is>
          <t>Incluye el desarrollo de acciones orientadas a divulgar y promover los mecanismos de atención, protección y ejercicio de los derechos de las mujeres, población LGTBI y personas y comunidades en riesgo así como la prevención de su vulneración.</t>
        </is>
      </c>
      <c r="I291" t="inlineStr">
        <is>
          <t>2024004250175</t>
        </is>
      </c>
      <c r="J291" s="99">
        <v>758794134</v>
      </c>
      <c r="K291" s="99">
        <v>98794134</v>
      </c>
      <c r="L291" s="99">
        <v>500000000</v>
      </c>
      <c r="M291" s="99">
        <v>60000000</v>
      </c>
      <c r="N291" s="99">
        <v>100000000</v>
      </c>
      <c r="O291" s="99">
        <v>98794134</v>
      </c>
      <c r="P291" s="99">
        <v>98794134</v>
      </c>
      <c r="Q291" s="99">
        <v>17055120</v>
      </c>
      <c r="R291" s="100">
        <v>1</v>
      </c>
      <c r="S291" t="inlineStr">
        <is>
          <t>Se ejecutó el 100% de lo programado en la vigencia</t>
        </is>
      </c>
      <c r="T291" s="101" t="inlineStr">
        <is>
          <t xml:space="preserve"> </t>
        </is>
      </c>
      <c r="U291" s="101" t="inlineStr">
        <is>
          <t xml:space="preserve"> </t>
        </is>
      </c>
      <c r="V291" s="101" t="inlineStr">
        <is>
          <t xml:space="preserve"> </t>
        </is>
      </c>
      <c r="W291" s="102" t="inlineStr">
        <is>
          <t xml:space="preserve"> </t>
        </is>
      </c>
      <c r="X291" t="inlineStr">
        <is>
          <t>No se encontró ejecución en CUIPO</t>
        </is>
      </c>
    </row>
    <row r="292">
      <c r="A292" t="inlineStr">
        <is>
          <t>IP-316</t>
        </is>
      </c>
      <c r="B292" t="inlineStr">
        <is>
          <t>45</t>
        </is>
      </c>
      <c r="C292" t="inlineStr">
        <is>
          <t>Gobierno Territorial</t>
        </is>
      </c>
      <c r="D292" t="inlineStr">
        <is>
          <t>4502</t>
        </is>
      </c>
      <c r="E292" t="inlineStr">
        <is>
          <t>Fortalecimiento del buen gobierno para el respeto y garantía de los derechos humanos.</t>
        </is>
      </c>
      <c r="F292" t="inlineStr">
        <is>
          <t>4502022</t>
        </is>
      </c>
      <c r="G292" t="inlineStr">
        <is>
          <t>Servicio de asistencia técnica</t>
        </is>
      </c>
      <c r="H292"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292" t="inlineStr">
        <is>
          <t>2024004250175</t>
        </is>
      </c>
      <c r="J292" s="99">
        <v>249600000</v>
      </c>
      <c r="K292" s="99">
        <v>80000000</v>
      </c>
      <c r="L292" s="99">
        <v>45600000</v>
      </c>
      <c r="M292" s="99">
        <v>54000000</v>
      </c>
      <c r="N292" s="99">
        <v>70000000</v>
      </c>
      <c r="O292" s="99">
        <v>80000000</v>
      </c>
      <c r="P292" s="99">
        <v>80000000</v>
      </c>
      <c r="Q292" s="99">
        <v>73283612</v>
      </c>
      <c r="R292" s="100">
        <v>1</v>
      </c>
      <c r="S292" t="inlineStr">
        <is>
          <t>Se ejecutó el 100% de lo programado en la vigencia</t>
        </is>
      </c>
      <c r="T292" s="101">
        <v>45600000</v>
      </c>
      <c r="U292" s="101">
        <v>45600000</v>
      </c>
      <c r="V292" s="101">
        <v>45600000</v>
      </c>
      <c r="W292" s="102">
        <v>1</v>
      </c>
      <c r="X292" t="inlineStr">
        <is>
          <t>Se ejecutó el 100% de lo programado en la vigencia</t>
        </is>
      </c>
    </row>
    <row r="293">
      <c r="A293" t="inlineStr">
        <is>
          <t>IP-317, IP-318</t>
        </is>
      </c>
      <c r="B293" t="inlineStr">
        <is>
          <t>45</t>
        </is>
      </c>
      <c r="C293" t="inlineStr">
        <is>
          <t>Gobierno Territorial</t>
        </is>
      </c>
      <c r="D293" t="inlineStr">
        <is>
          <t>4502</t>
        </is>
      </c>
      <c r="E293" t="inlineStr">
        <is>
          <t>Fortalecimiento del buen gobierno para el respeto y garantía de los derechos humanos.</t>
        </is>
      </c>
      <c r="F293" t="inlineStr">
        <is>
          <t>4502001</t>
        </is>
      </c>
      <c r="G293" t="inlineStr">
        <is>
          <t>Servicio de promoción a la participación ciudadana</t>
        </is>
      </c>
      <c r="H293" t="inlineStr">
        <is>
          <t>Corresponde al diseño e implementación de acciones y estrategias que promuevan el ejercicio de la participación ciudadana para el respeto y garantía de los derechos humanos</t>
        </is>
      </c>
      <c r="I293" t="inlineStr">
        <is>
          <t>2024004250205</t>
        </is>
      </c>
      <c r="J293" s="99">
        <v>8962359512</v>
      </c>
      <c r="K293" s="99">
        <v>1573398650</v>
      </c>
      <c r="L293" s="99">
        <v>4852145986</v>
      </c>
      <c r="M293" s="99">
        <v>1710841667</v>
      </c>
      <c r="N293" s="99">
        <v>825973209</v>
      </c>
      <c r="O293" s="99">
        <v>1555253778</v>
      </c>
      <c r="P293" s="99">
        <v>1555253778</v>
      </c>
      <c r="Q293" s="99">
        <v>1365707378</v>
      </c>
      <c r="R293" s="100">
        <v>0.988467721133484</v>
      </c>
      <c r="S293" t="inlineStr">
        <is>
          <t>Lo obligado está por debajo de lo programado en la vigencia</t>
        </is>
      </c>
      <c r="T293" s="101">
        <v>1329928052</v>
      </c>
      <c r="U293" s="101">
        <v>546107000</v>
      </c>
      <c r="V293" s="101">
        <v>546107000</v>
      </c>
      <c r="W293" s="102">
        <v>0.112549581479142</v>
      </c>
      <c r="X293" t="inlineStr">
        <is>
          <t>Lo obligado está por debajo de lo programado en la vigencia</t>
        </is>
      </c>
    </row>
    <row r="294">
      <c r="A294" t="inlineStr">
        <is>
          <t>IP-319</t>
        </is>
      </c>
      <c r="B294" t="inlineStr">
        <is>
          <t>45</t>
        </is>
      </c>
      <c r="C294" t="inlineStr">
        <is>
          <t>Gobierno Territorial</t>
        </is>
      </c>
      <c r="D294" t="inlineStr">
        <is>
          <t>4502</t>
        </is>
      </c>
      <c r="E294" t="inlineStr">
        <is>
          <t>Fortalecimiento del buen gobierno para el respeto y garantía de los derechos humanos.</t>
        </is>
      </c>
      <c r="F294" t="inlineStr">
        <is>
          <t>4502001</t>
        </is>
      </c>
      <c r="G294" t="inlineStr">
        <is>
          <t>Servicio de promoción a la participación ciudadana</t>
        </is>
      </c>
      <c r="H294" t="inlineStr">
        <is>
          <t>Corresponde al diseño e implementación de acciones y estrategias que promuevan el ejercicio de la participación ciudadana para el respeto y garantía de los derechos humanos</t>
        </is>
      </c>
      <c r="I294" t="inlineStr">
        <is>
          <t>2024004250004</t>
        </is>
      </c>
      <c r="J294" s="99">
        <v>647155163</v>
      </c>
      <c r="K294" s="99">
        <v>238155163</v>
      </c>
      <c r="L294" s="99">
        <v>0</v>
      </c>
      <c r="M294" s="99">
        <v>160000000</v>
      </c>
      <c r="N294" s="99">
        <v>249000000</v>
      </c>
      <c r="O294" s="99">
        <v>238155163</v>
      </c>
      <c r="P294" s="99">
        <v>238155163</v>
      </c>
      <c r="Q294" s="99">
        <v>238155163</v>
      </c>
      <c r="R294" s="100">
        <v>1</v>
      </c>
      <c r="S294" t="inlineStr">
        <is>
          <t>Se ejecutó el 100% de lo programado en la vigencia</t>
        </is>
      </c>
      <c r="T294" s="101" t="inlineStr">
        <is>
          <t xml:space="preserve"> </t>
        </is>
      </c>
      <c r="U294" s="101" t="inlineStr">
        <is>
          <t xml:space="preserve"> </t>
        </is>
      </c>
      <c r="V294" s="101" t="inlineStr">
        <is>
          <t xml:space="preserve"> </t>
        </is>
      </c>
      <c r="W294" s="102" t="inlineStr">
        <is>
          <t xml:space="preserve"> </t>
        </is>
      </c>
      <c r="X294" t="inlineStr">
        <is>
          <t>No se encontró ejecución en CUIPO</t>
        </is>
      </c>
    </row>
    <row r="295">
      <c r="A295" t="inlineStr">
        <is>
          <t>IP-320</t>
        </is>
      </c>
      <c r="B295" t="inlineStr">
        <is>
          <t>45</t>
        </is>
      </c>
      <c r="C295" t="inlineStr">
        <is>
          <t>Gobierno Territorial</t>
        </is>
      </c>
      <c r="D295" t="inlineStr">
        <is>
          <t>4502</t>
        </is>
      </c>
      <c r="E295" t="inlineStr">
        <is>
          <t>Fortalecimiento del buen gobierno para el respeto y garantía de los derechos humanos.</t>
        </is>
      </c>
      <c r="F295" t="inlineStr">
        <is>
          <t>4502001</t>
        </is>
      </c>
      <c r="G295" t="inlineStr">
        <is>
          <t>Servicio de promoción a la participación ciudadana</t>
        </is>
      </c>
      <c r="H295" t="inlineStr">
        <is>
          <t>Corresponde al diseño e implementación de acciones y estrategias que promuevan el ejercicio de la participación ciudadana para el respeto y garantía de los derechos humanos</t>
        </is>
      </c>
      <c r="I295" t="inlineStr">
        <is>
          <t>2024004250066</t>
        </is>
      </c>
      <c r="J295" s="99">
        <v>3639768013</v>
      </c>
      <c r="K295" s="99">
        <v>250986446</v>
      </c>
      <c r="L295" s="99">
        <v>1066888667</v>
      </c>
      <c r="M295" s="99">
        <v>1325892900</v>
      </c>
      <c r="N295" s="99">
        <v>996000000</v>
      </c>
      <c r="O295" s="99">
        <v>250986446</v>
      </c>
      <c r="P295" s="99">
        <v>250986446</v>
      </c>
      <c r="Q295" s="99">
        <v>250986446</v>
      </c>
      <c r="R295" s="100">
        <v>1</v>
      </c>
      <c r="S295" t="inlineStr">
        <is>
          <t>Se ejecutó el 100% de lo programado en la vigencia</t>
        </is>
      </c>
      <c r="T295" s="101">
        <v>786008067</v>
      </c>
      <c r="U295" s="101">
        <v>562571400</v>
      </c>
      <c r="V295" s="101">
        <v>556571400</v>
      </c>
      <c r="W295" s="102">
        <v>0.527300942826493</v>
      </c>
      <c r="X295" t="inlineStr">
        <is>
          <t>Lo obligado está por debajo de lo programado en la vigencia</t>
        </is>
      </c>
    </row>
    <row r="296">
      <c r="A296" t="inlineStr">
        <is>
          <t>IP-321</t>
        </is>
      </c>
      <c r="B296" t="inlineStr">
        <is>
          <t>19</t>
        </is>
      </c>
      <c r="C296" t="inlineStr">
        <is>
          <t>Salud y protección social</t>
        </is>
      </c>
      <c r="D296" t="inlineStr">
        <is>
          <t>1905</t>
        </is>
      </c>
      <c r="E296" t="inlineStr">
        <is>
          <t>Salud pública</t>
        </is>
      </c>
      <c r="F296" t="inlineStr">
        <is>
          <t>1905049</t>
        </is>
      </c>
      <c r="G296" t="inlineStr">
        <is>
          <t>Servicio de promoción de la participación social en salud</t>
        </is>
      </c>
      <c r="H296" t="inlineStr">
        <is>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is>
      </c>
      <c r="I296" t="inlineStr">
        <is>
          <t>2024004250047</t>
        </is>
      </c>
      <c r="J296" s="99">
        <v>10088761346</v>
      </c>
      <c r="K296" s="99">
        <v>1436147729</v>
      </c>
      <c r="L296" s="99">
        <v>3442652632</v>
      </c>
      <c r="M296" s="99">
        <v>4573201506</v>
      </c>
      <c r="N296" s="99">
        <v>636759479</v>
      </c>
      <c r="O296" s="99">
        <v>1436147729</v>
      </c>
      <c r="P296" s="99">
        <v>1412185681</v>
      </c>
      <c r="Q296" s="99">
        <v>1400371171</v>
      </c>
      <c r="R296" s="100">
        <v>0.983315053517033</v>
      </c>
      <c r="S296" t="inlineStr">
        <is>
          <t>Lo obligado está por debajo de lo programado en la vigencia</t>
        </is>
      </c>
      <c r="T296" s="101">
        <v>3280536616</v>
      </c>
      <c r="U296" s="101">
        <v>520928295</v>
      </c>
      <c r="V296" s="101">
        <v>520928295</v>
      </c>
      <c r="W296" s="102">
        <v>0.15131596204563</v>
      </c>
      <c r="X296" t="inlineStr">
        <is>
          <t>Lo obligado está por debajo de lo programado en la vigencia</t>
        </is>
      </c>
    </row>
    <row r="297">
      <c r="A297" t="inlineStr">
        <is>
          <t>IP-322</t>
        </is>
      </c>
      <c r="B297" t="inlineStr">
        <is>
          <t>25</t>
        </is>
      </c>
      <c r="C297" t="inlineStr">
        <is>
          <t>Organismos de Control</t>
        </is>
      </c>
      <c r="D297" t="inlineStr">
        <is>
          <t>2501</t>
        </is>
      </c>
      <c r="E297" t="inlineStr">
        <is>
          <t>Fortalecimiento del control y la vigilancia de la gestión fiscal y resarcimiento al daño del patrimonio público</t>
        </is>
      </c>
      <c r="F297" t="inlineStr">
        <is>
          <t>2501014</t>
        </is>
      </c>
      <c r="G297" t="inlineStr">
        <is>
          <t>Documentos metodológicos</t>
        </is>
      </c>
      <c r="H297" t="inlineStr">
        <is>
          <t>Documentos cuyo objetivo es describir y explicar métodos, técnicas, procedimientos, mecanismos, herramientas e instructivos que permitan el control y vigilancia fiscal.</t>
        </is>
      </c>
      <c r="I297" t="inlineStr">
        <is>
          <t>2024004250030</t>
        </is>
      </c>
      <c r="J297" s="99">
        <v>1563238709</v>
      </c>
      <c r="K297" s="99">
        <v>521137602</v>
      </c>
      <c r="L297" s="99">
        <v>802101107</v>
      </c>
      <c r="M297" s="99">
        <v>90000000</v>
      </c>
      <c r="N297" s="99">
        <v>150000000</v>
      </c>
      <c r="O297" s="99">
        <v>521137602</v>
      </c>
      <c r="P297" s="99">
        <v>521137602</v>
      </c>
      <c r="Q297" s="99">
        <v>505503474</v>
      </c>
      <c r="R297" s="100">
        <v>1</v>
      </c>
      <c r="S297" t="inlineStr">
        <is>
          <t>Se ejecutó el 100% de lo programado en la vigencia</t>
        </is>
      </c>
      <c r="T297" s="101">
        <v>550281042</v>
      </c>
      <c r="U297" s="101">
        <v>329101044</v>
      </c>
      <c r="V297" s="101">
        <v>326601044</v>
      </c>
      <c r="W297" s="102">
        <v>0.410298703153392</v>
      </c>
      <c r="X297" t="inlineStr">
        <is>
          <t>Lo obligado está por debajo de lo programado en la vigencia</t>
        </is>
      </c>
    </row>
    <row r="298">
      <c r="A298" t="inlineStr">
        <is>
          <t>IP-323</t>
        </is>
      </c>
      <c r="B298" t="inlineStr">
        <is>
          <t>45</t>
        </is>
      </c>
      <c r="C298" t="inlineStr">
        <is>
          <t>Gobierno Territorial</t>
        </is>
      </c>
      <c r="D298" t="inlineStr">
        <is>
          <t>4599</t>
        </is>
      </c>
      <c r="E298" t="inlineStr">
        <is>
          <t>Fortalecimiento a la gestión y dirección de la administración pública territorial</t>
        </is>
      </c>
      <c r="F298" t="inlineStr">
        <is>
          <t>4599025</t>
        </is>
      </c>
      <c r="G298" t="inlineStr">
        <is>
          <t>Servicios de información implementados</t>
        </is>
      </c>
      <c r="H298" t="inlineStr">
        <is>
          <t>Corresponde al proceso que asegura la disposición de la información de manera accesible, confiable y oportuna.</t>
        </is>
      </c>
      <c r="I298" t="inlineStr">
        <is>
          <t>2024004250034</t>
        </is>
      </c>
      <c r="J298" s="99">
        <v>4918009238</v>
      </c>
      <c r="K298" s="99">
        <v>650000000</v>
      </c>
      <c r="L298" s="99">
        <v>1541809238</v>
      </c>
      <c r="M298" s="99">
        <v>1780000000</v>
      </c>
      <c r="N298" s="99">
        <v>946200000</v>
      </c>
      <c r="O298" s="99">
        <v>650000000</v>
      </c>
      <c r="P298" s="99">
        <v>650000000</v>
      </c>
      <c r="Q298" s="99">
        <v>650000000</v>
      </c>
      <c r="R298" s="100">
        <v>1</v>
      </c>
      <c r="S298" t="inlineStr">
        <is>
          <t>Se ejecutó el 100% de lo programado en la vigencia</t>
        </is>
      </c>
      <c r="T298" s="101">
        <v>1525586205</v>
      </c>
      <c r="U298" s="101">
        <v>66400795</v>
      </c>
      <c r="V298" s="101">
        <v>51120636</v>
      </c>
      <c r="W298" s="102">
        <v>0.043066803183858</v>
      </c>
      <c r="X298" t="inlineStr">
        <is>
          <t>Lo obligado está por debajo de lo programado en la vigencia</t>
        </is>
      </c>
    </row>
    <row r="299">
      <c r="A299" t="inlineStr">
        <is>
          <t>IP-324</t>
        </is>
      </c>
      <c r="B299" t="inlineStr">
        <is>
          <t>45</t>
        </is>
      </c>
      <c r="C299" t="inlineStr">
        <is>
          <t>Gobierno Territorial</t>
        </is>
      </c>
      <c r="D299" t="inlineStr">
        <is>
          <t>4599</t>
        </is>
      </c>
      <c r="E299" t="inlineStr">
        <is>
          <t>Fortalecimiento a la gestión y dirección de la administración pública territorial</t>
        </is>
      </c>
      <c r="F299" t="inlineStr">
        <is>
          <t>4599025</t>
        </is>
      </c>
      <c r="G299" t="inlineStr">
        <is>
          <t>Servicios de información implementados</t>
        </is>
      </c>
      <c r="H299" t="inlineStr">
        <is>
          <t>Corresponde al proceso que asegura la disposición de la información de manera accesible, confiable y oportuna.</t>
        </is>
      </c>
      <c r="I299" t="inlineStr">
        <is>
          <t>2024004250094</t>
        </is>
      </c>
      <c r="J299" s="99">
        <v>1277161535</v>
      </c>
      <c r="K299" s="99">
        <v>63583333</v>
      </c>
      <c r="L299" s="99">
        <v>369516667</v>
      </c>
      <c r="M299" s="99">
        <v>478861535</v>
      </c>
      <c r="N299" s="99">
        <v>365200000</v>
      </c>
      <c r="O299" s="99">
        <v>62500000</v>
      </c>
      <c r="P299" s="99">
        <v>62500000</v>
      </c>
      <c r="Q299" s="99">
        <v>62500000</v>
      </c>
      <c r="R299" s="100">
        <v>0.982961997289447</v>
      </c>
      <c r="S299" t="inlineStr">
        <is>
          <t>Lo obligado está por debajo de lo programado en la vigencia</t>
        </is>
      </c>
      <c r="T299" s="101">
        <v>317250000</v>
      </c>
      <c r="U299" s="101">
        <v>188500000</v>
      </c>
      <c r="V299" s="101">
        <v>183500000</v>
      </c>
      <c r="W299" s="102">
        <v>0.510125839601167</v>
      </c>
      <c r="X299" t="inlineStr">
        <is>
          <t>Lo obligado está por debajo de lo programado en la vigencia</t>
        </is>
      </c>
    </row>
    <row r="300">
      <c r="A300" t="inlineStr">
        <is>
          <t>IP-325</t>
        </is>
      </c>
      <c r="B300" t="inlineStr">
        <is>
          <t>45</t>
        </is>
      </c>
      <c r="C300" t="inlineStr">
        <is>
          <t>Gobierno Territorial</t>
        </is>
      </c>
      <c r="D300" t="inlineStr">
        <is>
          <t>4599</t>
        </is>
      </c>
      <c r="E300" t="inlineStr">
        <is>
          <t>Fortalecimiento a la gestión y dirección de la administración pública territorial</t>
        </is>
      </c>
      <c r="F300" t="inlineStr">
        <is>
          <t>4599025</t>
        </is>
      </c>
      <c r="G300" t="inlineStr">
        <is>
          <t>Servicios de información implementados</t>
        </is>
      </c>
      <c r="H300" t="inlineStr">
        <is>
          <t>Corresponde al proceso que asegura la disposición de la información de manera accesible, confiable y oportuna.</t>
        </is>
      </c>
      <c r="I300" t="inlineStr">
        <is>
          <t>2024004250079</t>
        </is>
      </c>
      <c r="J300" s="99">
        <v>1751929755</v>
      </c>
      <c r="K300" s="99">
        <v>29000667</v>
      </c>
      <c r="L300" s="99">
        <v>383534088</v>
      </c>
      <c r="M300" s="99">
        <v>567495000</v>
      </c>
      <c r="N300" s="99">
        <v>771900000</v>
      </c>
      <c r="O300" s="99">
        <v>29000667</v>
      </c>
      <c r="P300" s="99">
        <v>29000667</v>
      </c>
      <c r="Q300" s="99">
        <v>29000667</v>
      </c>
      <c r="R300" s="100">
        <v>1</v>
      </c>
      <c r="S300" t="inlineStr">
        <is>
          <t>Se ejecutó el 100% de lo programado en la vigencia</t>
        </is>
      </c>
      <c r="T300" s="101">
        <v>338986575</v>
      </c>
      <c r="U300" s="101">
        <v>246900000</v>
      </c>
      <c r="V300" s="101">
        <v>239250000</v>
      </c>
      <c r="W300" s="102">
        <v>0.643749819703119</v>
      </c>
      <c r="X300" t="inlineStr">
        <is>
          <t>Lo obligado está por debajo de lo programado en la vigencia</t>
        </is>
      </c>
    </row>
    <row r="301">
      <c r="A301" t="inlineStr">
        <is>
          <t>IP-326</t>
        </is>
      </c>
      <c r="B301" t="inlineStr">
        <is>
          <t>45</t>
        </is>
      </c>
      <c r="C301" t="inlineStr">
        <is>
          <t>Gobierno Territorial</t>
        </is>
      </c>
      <c r="D301" t="inlineStr">
        <is>
          <t>4599</t>
        </is>
      </c>
      <c r="E301" t="inlineStr">
        <is>
          <t>Fortalecimiento a la gestión y dirección de la administración pública territorial</t>
        </is>
      </c>
      <c r="F301" t="inlineStr">
        <is>
          <t>4599006</t>
        </is>
      </c>
      <c r="G301" t="inlineStr">
        <is>
          <t>Estudios de preinversión</t>
        </is>
      </c>
      <c r="H301" t="inlineStr">
        <is>
          <t>Incluye la realización de los estudios requeridos en las fases de pre factibilidad, factibilidad o definitivos.</t>
        </is>
      </c>
      <c r="I301" t="inlineStr">
        <is>
          <t>2024004250012</t>
        </is>
      </c>
      <c r="J301" s="99">
        <v>1200000000</v>
      </c>
      <c r="K301" s="99">
        <v>0</v>
      </c>
      <c r="L301" s="99">
        <v>0</v>
      </c>
      <c r="M301" s="99">
        <v>600000000</v>
      </c>
      <c r="N301" s="99">
        <v>600000000</v>
      </c>
      <c r="O301" s="99" t="inlineStr">
        <is>
          <t xml:space="preserve"> </t>
        </is>
      </c>
      <c r="P301" s="99" t="inlineStr">
        <is>
          <t xml:space="preserve"> </t>
        </is>
      </c>
      <c r="Q301" s="99" t="inlineStr">
        <is>
          <t xml:space="preserve"> </t>
        </is>
      </c>
      <c r="R301" s="100" t="inlineStr">
        <is>
          <t xml:space="preserve"> </t>
        </is>
      </c>
      <c r="S301" t="inlineStr">
        <is>
          <t>No se encontró ejecución en CUIPO</t>
        </is>
      </c>
      <c r="T301" s="101" t="inlineStr">
        <is>
          <t xml:space="preserve"> </t>
        </is>
      </c>
      <c r="U301" s="101" t="inlineStr">
        <is>
          <t xml:space="preserve"> </t>
        </is>
      </c>
      <c r="V301" s="101" t="inlineStr">
        <is>
          <t xml:space="preserve"> </t>
        </is>
      </c>
      <c r="W301" s="102" t="inlineStr">
        <is>
          <t xml:space="preserve"> </t>
        </is>
      </c>
      <c r="X301" t="inlineStr">
        <is>
          <t>No se encontró ejecución en CUIPO</t>
        </is>
      </c>
    </row>
    <row r="302">
      <c r="A302" t="inlineStr">
        <is>
          <t>IP-327</t>
        </is>
      </c>
      <c r="B302" t="inlineStr">
        <is>
          <t>45</t>
        </is>
      </c>
      <c r="C302" t="inlineStr">
        <is>
          <t>Gobierno Territorial</t>
        </is>
      </c>
      <c r="D302" t="inlineStr">
        <is>
          <t>4599</t>
        </is>
      </c>
      <c r="E302" t="inlineStr">
        <is>
          <t>Fortalecimiento a la gestión y dirección de la administración pública territorial</t>
        </is>
      </c>
      <c r="F302" t="inlineStr">
        <is>
          <t>4599023</t>
        </is>
      </c>
      <c r="G302" t="inlineStr">
        <is>
          <t>Servicio de Implementación Sistemas de Gestión</t>
        </is>
      </c>
      <c r="H302"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302" t="inlineStr">
        <is>
          <t>2024004250073</t>
        </is>
      </c>
      <c r="J302" s="99">
        <v>609000000</v>
      </c>
      <c r="K302" s="99">
        <v>150000000</v>
      </c>
      <c r="L302" s="99">
        <v>104000000</v>
      </c>
      <c r="M302" s="99">
        <v>60000000</v>
      </c>
      <c r="N302" s="99">
        <v>295000000</v>
      </c>
      <c r="O302" s="99">
        <v>133746693</v>
      </c>
      <c r="P302" s="99">
        <v>133746693</v>
      </c>
      <c r="Q302" s="99">
        <v>133746693</v>
      </c>
      <c r="R302" s="100">
        <v>0.89164462</v>
      </c>
      <c r="S302" t="inlineStr">
        <is>
          <t>Lo obligado está por debajo de lo programado en la vigencia</t>
        </is>
      </c>
      <c r="T302" s="101">
        <v>41688320</v>
      </c>
      <c r="U302" s="101">
        <v>0</v>
      </c>
      <c r="V302" s="101">
        <v>0</v>
      </c>
      <c r="W302" s="102">
        <v>0</v>
      </c>
      <c r="X302" t="inlineStr">
        <is>
          <t>No se ejecutó en la vigencia</t>
        </is>
      </c>
    </row>
    <row r="303">
      <c r="A303" t="inlineStr">
        <is>
          <t>IP-328</t>
        </is>
      </c>
      <c r="B303" t="inlineStr">
        <is>
          <t>04</t>
        </is>
      </c>
      <c r="C303" t="inlineStr">
        <is>
          <t>Información Estadística</t>
        </is>
      </c>
      <c r="D303" t="inlineStr">
        <is>
          <t>0401</t>
        </is>
      </c>
      <c r="E303" t="inlineStr">
        <is>
          <t>Levantamiento y actualización de información estadística de calidad</t>
        </is>
      </c>
      <c r="F303" t="inlineStr">
        <is>
          <t>0401102</t>
        </is>
      </c>
      <c r="G303" t="inlineStr">
        <is>
          <t>Servicio de información implementado</t>
        </is>
      </c>
      <c r="H303" t="inlineStr">
        <is>
          <t>Corresponde al proceso que asegura la disposición de la información de manera accesible, confiable y oportuna.</t>
        </is>
      </c>
      <c r="I303" t="inlineStr">
        <is>
          <t>2024004250038</t>
        </is>
      </c>
      <c r="J303" s="99">
        <v>3180386648</v>
      </c>
      <c r="K303" s="99">
        <v>702638031</v>
      </c>
      <c r="L303" s="99">
        <v>414861920</v>
      </c>
      <c r="M303" s="99">
        <v>817886697</v>
      </c>
      <c r="N303" s="99">
        <v>1245000000</v>
      </c>
      <c r="O303" s="99">
        <v>702638031</v>
      </c>
      <c r="P303" s="99">
        <v>233568756</v>
      </c>
      <c r="Q303" s="99">
        <v>233568756</v>
      </c>
      <c r="R303" s="100">
        <v>0.332416899876005</v>
      </c>
      <c r="S303" t="inlineStr">
        <is>
          <t>Lo obligado está por debajo de lo programado en la vigencia</t>
        </is>
      </c>
      <c r="T303" s="101">
        <v>352243220</v>
      </c>
      <c r="U303" s="101">
        <v>220404536</v>
      </c>
      <c r="V303" s="101">
        <v>187325075</v>
      </c>
      <c r="W303" s="102">
        <v>0.531272033837186</v>
      </c>
      <c r="X303" t="inlineStr">
        <is>
          <t>Lo obligado está por debajo de lo programado en la vigencia</t>
        </is>
      </c>
    </row>
    <row r="304">
      <c r="A304" t="inlineStr">
        <is>
          <t>IP-329</t>
        </is>
      </c>
      <c r="B304" t="inlineStr">
        <is>
          <t>04</t>
        </is>
      </c>
      <c r="C304" t="inlineStr">
        <is>
          <t>Información Estadística</t>
        </is>
      </c>
      <c r="D304" t="inlineStr">
        <is>
          <t>0401</t>
        </is>
      </c>
      <c r="E304" t="inlineStr">
        <is>
          <t>Levantamiento y actualización de información estadística de calidad</t>
        </is>
      </c>
      <c r="F304" t="inlineStr">
        <is>
          <t>0401106</t>
        </is>
      </c>
      <c r="G304" t="inlineStr">
        <is>
          <t xml:space="preserve">SERVICIO DE APOYO A LA GESTIÓN DE CONOCIMIENTO Y CONSOLIDACIÓN DE LA CULTURA ESTADÍSTICA </t>
        </is>
      </c>
      <c r="H304" t="inlineStr">
        <is>
          <t>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t>
        </is>
      </c>
      <c r="I304" t="inlineStr">
        <is>
          <t>2024004250038</t>
        </is>
      </c>
      <c r="J304" s="99">
        <v>693868910</v>
      </c>
      <c r="K304" s="99">
        <v>11168910</v>
      </c>
      <c r="L304" s="99">
        <v>180500000</v>
      </c>
      <c r="M304" s="99">
        <v>220000000</v>
      </c>
      <c r="N304" s="99">
        <v>282200000</v>
      </c>
      <c r="O304" s="99">
        <v>11168910</v>
      </c>
      <c r="P304" s="99">
        <v>11168910</v>
      </c>
      <c r="Q304" s="99">
        <v>11168910</v>
      </c>
      <c r="R304" s="100">
        <v>1</v>
      </c>
      <c r="S304" t="inlineStr">
        <is>
          <t>Se ejecutó el 100% de lo programado en la vigencia</t>
        </is>
      </c>
      <c r="T304" s="101">
        <v>124236000</v>
      </c>
      <c r="U304" s="101">
        <v>0</v>
      </c>
      <c r="V304" s="101">
        <v>0</v>
      </c>
      <c r="W304" s="102">
        <v>0</v>
      </c>
      <c r="X304" t="inlineStr">
        <is>
          <t>No se ejecutó en la vigencia</t>
        </is>
      </c>
    </row>
    <row r="305">
      <c r="A305" t="inlineStr">
        <is>
          <t>IP-330</t>
        </is>
      </c>
      <c r="B305" t="inlineStr">
        <is>
          <t>45</t>
        </is>
      </c>
      <c r="C305" t="inlineStr">
        <is>
          <t>Gobierno Territorial</t>
        </is>
      </c>
      <c r="D305" t="inlineStr">
        <is>
          <t>4599</t>
        </is>
      </c>
      <c r="E305" t="inlineStr">
        <is>
          <t>Fortalecimiento a la gestión y dirección de la administración pública territorial</t>
        </is>
      </c>
      <c r="F305" t="inlineStr">
        <is>
          <t>4599026</t>
        </is>
      </c>
      <c r="G305" t="inlineStr">
        <is>
          <t>Documentos de investigación</t>
        </is>
      </c>
      <c r="H305" t="inlineStr">
        <is>
          <t>Consiste en la formulación de documentos generados a partir de la recolección, análisis y procesamiento de la información.</t>
        </is>
      </c>
      <c r="I305" t="inlineStr">
        <is>
          <t>2024004250079</t>
        </is>
      </c>
      <c r="J305" s="99">
        <v>1720000000</v>
      </c>
      <c r="K305" s="99">
        <v>1600000000</v>
      </c>
      <c r="L305" s="99">
        <v>0</v>
      </c>
      <c r="M305" s="99">
        <v>120000000</v>
      </c>
      <c r="N305" s="99">
        <v>0</v>
      </c>
      <c r="O305" s="99" t="inlineStr">
        <is>
          <t xml:space="preserve"> </t>
        </is>
      </c>
      <c r="P305" s="99" t="inlineStr">
        <is>
          <t xml:space="preserve"> </t>
        </is>
      </c>
      <c r="Q305" s="99" t="inlineStr">
        <is>
          <t xml:space="preserve"> </t>
        </is>
      </c>
      <c r="R305" s="100" t="inlineStr">
        <is>
          <t xml:space="preserve"> </t>
        </is>
      </c>
      <c r="S305" t="inlineStr">
        <is>
          <t>No se encontró ejecución en CUIPO</t>
        </is>
      </c>
      <c r="T305" s="101" t="inlineStr">
        <is>
          <t xml:space="preserve"> </t>
        </is>
      </c>
      <c r="U305" s="101" t="inlineStr">
        <is>
          <t xml:space="preserve"> </t>
        </is>
      </c>
      <c r="V305" s="101" t="inlineStr">
        <is>
          <t xml:space="preserve"> </t>
        </is>
      </c>
      <c r="W305" s="102" t="inlineStr">
        <is>
          <t xml:space="preserve"> </t>
        </is>
      </c>
      <c r="X305" t="inlineStr">
        <is>
          <t>No se encontró ejecución en CUIPO</t>
        </is>
      </c>
    </row>
    <row r="306">
      <c r="A306" t="inlineStr">
        <is>
          <t>IP-331</t>
        </is>
      </c>
      <c r="B306" t="inlineStr">
        <is>
          <t>45</t>
        </is>
      </c>
      <c r="C306" t="inlineStr">
        <is>
          <t>Gobierno Territorial</t>
        </is>
      </c>
      <c r="D306" t="inlineStr">
        <is>
          <t>4599</t>
        </is>
      </c>
      <c r="E306" t="inlineStr">
        <is>
          <t>Fortalecimiento a la gestión y dirección de la administración pública territorial</t>
        </is>
      </c>
      <c r="F306" t="inlineStr">
        <is>
          <t>4599015</t>
        </is>
      </c>
      <c r="G306" t="inlineStr">
        <is>
          <t>Sedes adquiridas</t>
        </is>
      </c>
      <c r="H306" t="inlineStr">
        <is>
          <t>Corresponde a un inmueble que es adquirido, cuya función es la prestación de servicios asociados a la entidad pública que lo adquiere.</t>
        </is>
      </c>
      <c r="I306" t="inlineStr">
        <is>
          <t>2024004250092</t>
        </is>
      </c>
      <c r="J306" s="99">
        <v>2900000000</v>
      </c>
      <c r="K306" s="99">
        <v>0</v>
      </c>
      <c r="L306" s="99">
        <v>2800000000</v>
      </c>
      <c r="M306" s="99">
        <v>0</v>
      </c>
      <c r="N306" s="99">
        <v>100000000</v>
      </c>
      <c r="O306" s="99" t="inlineStr">
        <is>
          <t xml:space="preserve"> </t>
        </is>
      </c>
      <c r="P306" s="99" t="inlineStr">
        <is>
          <t xml:space="preserve"> </t>
        </is>
      </c>
      <c r="Q306" s="99" t="inlineStr">
        <is>
          <t xml:space="preserve"> </t>
        </is>
      </c>
      <c r="R306" s="100" t="inlineStr">
        <is>
          <t xml:space="preserve"> </t>
        </is>
      </c>
      <c r="S306" t="inlineStr">
        <is>
          <t>No se encontró ejecución en CUIPO</t>
        </is>
      </c>
      <c r="T306" s="101">
        <v>1555555000</v>
      </c>
      <c r="U306" s="101">
        <v>1555555000</v>
      </c>
      <c r="V306" s="101">
        <v>1244444000</v>
      </c>
      <c r="W306" s="102">
        <v>0.555555357142857</v>
      </c>
      <c r="X306" t="inlineStr">
        <is>
          <t>Lo obligado está por debajo de lo programado en la vigencia</t>
        </is>
      </c>
    </row>
    <row r="307">
      <c r="A307" t="inlineStr">
        <is>
          <t>IP-332</t>
        </is>
      </c>
      <c r="B307" t="inlineStr">
        <is>
          <t>45</t>
        </is>
      </c>
      <c r="C307" t="inlineStr">
        <is>
          <t>Gobierno Territorial</t>
        </is>
      </c>
      <c r="D307" t="inlineStr">
        <is>
          <t>4599</t>
        </is>
      </c>
      <c r="E307" t="inlineStr">
        <is>
          <t>Fortalecimiento a la gestión y dirección de la administración pública territorial</t>
        </is>
      </c>
      <c r="F307" t="inlineStr">
        <is>
          <t>4599017</t>
        </is>
      </c>
      <c r="G307" t="inlineStr">
        <is>
          <t>Servicio de gestión documental</t>
        </is>
      </c>
      <c r="H307"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307" t="inlineStr">
        <is>
          <t>2024004250006</t>
        </is>
      </c>
      <c r="J307" s="99">
        <v>10835878127</v>
      </c>
      <c r="K307" s="99">
        <v>2996474963</v>
      </c>
      <c r="L307" s="99">
        <v>4505573678</v>
      </c>
      <c r="M307" s="99">
        <v>2190110000</v>
      </c>
      <c r="N307" s="99">
        <v>1143719486</v>
      </c>
      <c r="O307" s="99">
        <v>2996474963</v>
      </c>
      <c r="P307" s="99">
        <v>2996474963</v>
      </c>
      <c r="Q307" s="99">
        <v>2996474963</v>
      </c>
      <c r="R307" s="100">
        <v>1</v>
      </c>
      <c r="S307" t="inlineStr">
        <is>
          <t>Se ejecutó el 100% de lo programado en la vigencia</t>
        </is>
      </c>
      <c r="T307" s="101">
        <v>4481882686</v>
      </c>
      <c r="U307" s="101">
        <v>3585506148</v>
      </c>
      <c r="V307" s="101">
        <v>1792753074</v>
      </c>
      <c r="W307" s="102">
        <v>0.795793478088585</v>
      </c>
      <c r="X307" t="inlineStr">
        <is>
          <t>Lo obligado está por debajo de lo programado en la vigencia</t>
        </is>
      </c>
    </row>
    <row r="308">
      <c r="A308" t="inlineStr">
        <is>
          <t>IP-333</t>
        </is>
      </c>
      <c r="B308" t="inlineStr">
        <is>
          <t>45</t>
        </is>
      </c>
      <c r="C308" t="inlineStr">
        <is>
          <t>Gobierno Territorial</t>
        </is>
      </c>
      <c r="D308" t="inlineStr">
        <is>
          <t>4599</t>
        </is>
      </c>
      <c r="E308" t="inlineStr">
        <is>
          <t>Fortalecimiento a la gestión y dirección de la administración pública territorial</t>
        </is>
      </c>
      <c r="F308" t="inlineStr">
        <is>
          <t>4599007</t>
        </is>
      </c>
      <c r="G308" t="inlineStr">
        <is>
          <t>Servicios tecnológicos</t>
        </is>
      </c>
      <c r="H308"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308" t="inlineStr">
        <is>
          <t>2024004250006</t>
        </is>
      </c>
      <c r="J308" s="99">
        <v>4387619762</v>
      </c>
      <c r="K308" s="99">
        <v>58061550</v>
      </c>
      <c r="L308" s="99">
        <v>1744464284</v>
      </c>
      <c r="M308" s="99">
        <v>1832003265</v>
      </c>
      <c r="N308" s="99">
        <v>753090663</v>
      </c>
      <c r="O308" s="99">
        <v>58061550</v>
      </c>
      <c r="P308" s="99">
        <v>58061550</v>
      </c>
      <c r="Q308" s="99">
        <v>58061550</v>
      </c>
      <c r="R308" s="100">
        <v>1</v>
      </c>
      <c r="S308" t="inlineStr">
        <is>
          <t>Se ejecutó el 100% de lo programado en la vigencia</t>
        </is>
      </c>
      <c r="T308" s="101">
        <v>1711442023</v>
      </c>
      <c r="U308" s="101">
        <v>1042505370</v>
      </c>
      <c r="V308" s="101">
        <v>1042505370</v>
      </c>
      <c r="W308" s="102">
        <v>0.597607746723005</v>
      </c>
      <c r="X308" t="inlineStr">
        <is>
          <t>Lo obligado está por debajo de lo programado en la vigencia</t>
        </is>
      </c>
    </row>
    <row r="309">
      <c r="A309" t="inlineStr">
        <is>
          <t>IP-334</t>
        </is>
      </c>
      <c r="B309" t="inlineStr">
        <is>
          <t>45</t>
        </is>
      </c>
      <c r="C309" t="inlineStr">
        <is>
          <t>Gobierno Territorial</t>
        </is>
      </c>
      <c r="D309" t="inlineStr">
        <is>
          <t>4599</t>
        </is>
      </c>
      <c r="E309" t="inlineStr">
        <is>
          <t>Fortalecimiento a la gestión y dirección de la administración pública territorial</t>
        </is>
      </c>
      <c r="F309" t="inlineStr">
        <is>
          <t>4599017</t>
        </is>
      </c>
      <c r="G309" t="inlineStr">
        <is>
          <t>Servicio de gestión documental</t>
        </is>
      </c>
      <c r="H309"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309" t="inlineStr">
        <is>
          <t>2024004250250</t>
        </is>
      </c>
      <c r="J309" s="99">
        <v>12000000</v>
      </c>
      <c r="K309" s="99">
        <v>0</v>
      </c>
      <c r="L309" s="99">
        <v>0</v>
      </c>
      <c r="M309" s="99">
        <v>12000000</v>
      </c>
      <c r="N309" s="99">
        <v>0</v>
      </c>
      <c r="O309" s="99" t="inlineStr">
        <is>
          <t xml:space="preserve"> </t>
        </is>
      </c>
      <c r="P309" s="99" t="inlineStr">
        <is>
          <t xml:space="preserve"> </t>
        </is>
      </c>
      <c r="Q309" s="99" t="inlineStr">
        <is>
          <t xml:space="preserve"> </t>
        </is>
      </c>
      <c r="R309" s="100" t="inlineStr">
        <is>
          <t xml:space="preserve"> </t>
        </is>
      </c>
      <c r="S309" t="inlineStr">
        <is>
          <t>No se encontró ejecución en CUIPO</t>
        </is>
      </c>
      <c r="T309" s="101" t="inlineStr">
        <is>
          <t xml:space="preserve"> </t>
        </is>
      </c>
      <c r="U309" s="101" t="inlineStr">
        <is>
          <t xml:space="preserve"> </t>
        </is>
      </c>
      <c r="V309" s="101" t="inlineStr">
        <is>
          <t xml:space="preserve"> </t>
        </is>
      </c>
      <c r="W309" s="102" t="inlineStr">
        <is>
          <t xml:space="preserve"> </t>
        </is>
      </c>
      <c r="X309" t="inlineStr">
        <is>
          <t>No se encontró ejecución en CUIPO</t>
        </is>
      </c>
    </row>
    <row r="310">
      <c r="A310" t="inlineStr">
        <is>
          <t>IP-335</t>
        </is>
      </c>
      <c r="B310" t="inlineStr">
        <is>
          <t>45</t>
        </is>
      </c>
      <c r="C310" t="inlineStr">
        <is>
          <t>Gobierno Territorial</t>
        </is>
      </c>
      <c r="D310" t="inlineStr">
        <is>
          <t>4599</t>
        </is>
      </c>
      <c r="E310" t="inlineStr">
        <is>
          <t>Fortalecimiento a la gestión y dirección de la administración pública territorial</t>
        </is>
      </c>
      <c r="F310" t="inlineStr">
        <is>
          <t>4599026</t>
        </is>
      </c>
      <c r="G310" t="inlineStr">
        <is>
          <t>Documentos de investigación</t>
        </is>
      </c>
      <c r="H310" t="inlineStr">
        <is>
          <t>Consiste en la formulación de documentos generados a partir de la recolección, análisis y procesamiento de la información.</t>
        </is>
      </c>
      <c r="I310" t="inlineStr">
        <is>
          <t>2024004250252</t>
        </is>
      </c>
      <c r="J310" s="99">
        <v>12000000</v>
      </c>
      <c r="K310" s="99">
        <v>0</v>
      </c>
      <c r="L310" s="99">
        <v>0</v>
      </c>
      <c r="M310" s="99">
        <v>12000000</v>
      </c>
      <c r="N310" s="99">
        <v>0</v>
      </c>
      <c r="O310" s="99" t="inlineStr">
        <is>
          <t xml:space="preserve"> </t>
        </is>
      </c>
      <c r="P310" s="99" t="inlineStr">
        <is>
          <t xml:space="preserve"> </t>
        </is>
      </c>
      <c r="Q310" s="99" t="inlineStr">
        <is>
          <t xml:space="preserve"> </t>
        </is>
      </c>
      <c r="R310" s="100" t="inlineStr">
        <is>
          <t xml:space="preserve"> </t>
        </is>
      </c>
      <c r="S310" t="inlineStr">
        <is>
          <t>No se encontró ejecución en CUIPO</t>
        </is>
      </c>
      <c r="T310" s="101" t="inlineStr">
        <is>
          <t xml:space="preserve"> </t>
        </is>
      </c>
      <c r="U310" s="101" t="inlineStr">
        <is>
          <t xml:space="preserve"> </t>
        </is>
      </c>
      <c r="V310" s="101" t="inlineStr">
        <is>
          <t xml:space="preserve"> </t>
        </is>
      </c>
      <c r="W310" s="102" t="inlineStr">
        <is>
          <t xml:space="preserve"> </t>
        </is>
      </c>
      <c r="X310" t="inlineStr">
        <is>
          <t>No se encontró ejecución en CUIPO</t>
        </is>
      </c>
    </row>
    <row r="311">
      <c r="A311" t="inlineStr">
        <is>
          <t>IP-336</t>
        </is>
      </c>
      <c r="B311" t="inlineStr">
        <is>
          <t>45</t>
        </is>
      </c>
      <c r="C311" t="inlineStr">
        <is>
          <t>Gobierno Territorial</t>
        </is>
      </c>
      <c r="D311" t="inlineStr">
        <is>
          <t>4599</t>
        </is>
      </c>
      <c r="E311" t="inlineStr">
        <is>
          <t>Fortalecimiento a la gestión y dirección de la administración pública territorial</t>
        </is>
      </c>
      <c r="F311" t="inlineStr">
        <is>
          <t>4599007</t>
        </is>
      </c>
      <c r="G311" t="inlineStr">
        <is>
          <t>Servicios tecnológicos</t>
        </is>
      </c>
      <c r="H311"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311" t="inlineStr">
        <is>
          <t>2024004250096</t>
        </is>
      </c>
      <c r="J311" s="99">
        <v>6120422237</v>
      </c>
      <c r="K311" s="99">
        <v>2899940608</v>
      </c>
      <c r="L311" s="99">
        <v>2000000000</v>
      </c>
      <c r="M311" s="99">
        <v>300000000</v>
      </c>
      <c r="N311" s="99">
        <v>920481629</v>
      </c>
      <c r="O311" s="99">
        <v>2899940608</v>
      </c>
      <c r="P311" s="99">
        <v>2899940608</v>
      </c>
      <c r="Q311" s="99">
        <v>2899940608</v>
      </c>
      <c r="R311" s="100">
        <v>1</v>
      </c>
      <c r="S311" t="inlineStr">
        <is>
          <t>Se ejecutó el 100% de lo programado en la vigencia</t>
        </is>
      </c>
      <c r="T311" s="101" t="inlineStr">
        <is>
          <t xml:space="preserve"> </t>
        </is>
      </c>
      <c r="U311" s="101" t="inlineStr">
        <is>
          <t xml:space="preserve"> </t>
        </is>
      </c>
      <c r="V311" s="101" t="inlineStr">
        <is>
          <t xml:space="preserve"> </t>
        </is>
      </c>
      <c r="W311" s="102" t="inlineStr">
        <is>
          <t xml:space="preserve"> </t>
        </is>
      </c>
      <c r="X311" t="inlineStr">
        <is>
          <t>No se encontró ejecución en CUIPO</t>
        </is>
      </c>
    </row>
    <row r="312">
      <c r="A312" t="inlineStr">
        <is>
          <t>IP-337</t>
        </is>
      </c>
      <c r="B312" t="inlineStr">
        <is>
          <t>23</t>
        </is>
      </c>
      <c r="C312" t="inlineStr">
        <is>
          <t>Tecnologías de la información y las comunicaciones</t>
        </is>
      </c>
      <c r="D312" t="inlineStr">
        <is>
          <t>2302</t>
        </is>
      </c>
      <c r="E312" t="inlineStr">
        <is>
          <t>Fomento del desarrollo de aplicaciones, software y contenidos para impulsar la apropiación de las Tecnologías de la Información y las Comunicaciones (TIC)</t>
        </is>
      </c>
      <c r="F312" t="inlineStr">
        <is>
          <t>2302010</t>
        </is>
      </c>
      <c r="G312" t="inlineStr">
        <is>
          <t>Servicio de almacenamiento local de información</t>
        </is>
      </c>
      <c r="H312" t="inlineStr">
        <is>
          <t>Servicio de Almacenamiento de información (Datos, contenidos, Hardware y sofrware especializado, repuestos y energía), en funcionamiento (Diseño, implementación y operación)</t>
        </is>
      </c>
      <c r="I312" t="inlineStr">
        <is>
          <t>2024004250107</t>
        </is>
      </c>
      <c r="J312" s="99">
        <v>3463032862</v>
      </c>
      <c r="K312" s="99">
        <v>1198277752</v>
      </c>
      <c r="L312" s="99">
        <v>1400000000</v>
      </c>
      <c r="M312" s="99">
        <v>360000000</v>
      </c>
      <c r="N312" s="99">
        <v>504755110</v>
      </c>
      <c r="O312" s="99">
        <v>1198277752</v>
      </c>
      <c r="P312" s="99">
        <v>1198277752</v>
      </c>
      <c r="Q312" s="99">
        <v>1100000000</v>
      </c>
      <c r="R312" s="100">
        <v>1</v>
      </c>
      <c r="S312" t="inlineStr">
        <is>
          <t>Se ejecutó el 100% de lo programado en la vigencia</t>
        </is>
      </c>
      <c r="T312" s="101">
        <v>151185706</v>
      </c>
      <c r="U312" s="101">
        <v>89299373</v>
      </c>
      <c r="V312" s="101">
        <v>89299373</v>
      </c>
      <c r="W312" s="102">
        <v>0.0637852664285714</v>
      </c>
      <c r="X312" t="inlineStr">
        <is>
          <t>Lo obligado está por debajo de lo programado en la vigencia</t>
        </is>
      </c>
    </row>
    <row r="313">
      <c r="A313" t="inlineStr">
        <is>
          <t>IP-338</t>
        </is>
      </c>
      <c r="B313" t="inlineStr">
        <is>
          <t>45</t>
        </is>
      </c>
      <c r="C313" t="inlineStr">
        <is>
          <t>Gobierno Territorial</t>
        </is>
      </c>
      <c r="D313" t="inlineStr">
        <is>
          <t>4599</t>
        </is>
      </c>
      <c r="E313" t="inlineStr">
        <is>
          <t>Fortalecimiento a la gestión y dirección de la administración pública territorial</t>
        </is>
      </c>
      <c r="F313" t="inlineStr">
        <is>
          <t>4599007</t>
        </is>
      </c>
      <c r="G313" t="inlineStr">
        <is>
          <t>Servicios tecnológicos</t>
        </is>
      </c>
      <c r="H313"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313" t="inlineStr">
        <is>
          <t>2024004250133</t>
        </is>
      </c>
      <c r="J313" s="99">
        <v>1186947746</v>
      </c>
      <c r="K313" s="99">
        <v>198477952</v>
      </c>
      <c r="L313" s="99">
        <v>0</v>
      </c>
      <c r="M313" s="99">
        <v>720000000</v>
      </c>
      <c r="N313" s="99">
        <v>268469794</v>
      </c>
      <c r="O313" s="99">
        <v>198477952</v>
      </c>
      <c r="P313" s="99">
        <v>198477952</v>
      </c>
      <c r="Q313" s="99">
        <v>198477952</v>
      </c>
      <c r="R313" s="100">
        <v>1</v>
      </c>
      <c r="S313" t="inlineStr">
        <is>
          <t>Se ejecutó el 100% de lo programado en la vigencia</t>
        </is>
      </c>
      <c r="T313" s="101" t="inlineStr">
        <is>
          <t xml:space="preserve"> </t>
        </is>
      </c>
      <c r="U313" s="101" t="inlineStr">
        <is>
          <t xml:space="preserve"> </t>
        </is>
      </c>
      <c r="V313" s="101" t="inlineStr">
        <is>
          <t xml:space="preserve"> </t>
        </is>
      </c>
      <c r="W313" s="102" t="inlineStr">
        <is>
          <t xml:space="preserve"> </t>
        </is>
      </c>
      <c r="X313" t="inlineStr">
        <is>
          <t>No se encontró ejecución en CUIPO</t>
        </is>
      </c>
    </row>
    <row r="314">
      <c r="A314" t="inlineStr">
        <is>
          <t>IP-339</t>
        </is>
      </c>
      <c r="B314" t="inlineStr">
        <is>
          <t>23</t>
        </is>
      </c>
      <c r="C314" t="inlineStr">
        <is>
          <t>Tecnologías de la información y las comunicaciones</t>
        </is>
      </c>
      <c r="D314" t="inlineStr">
        <is>
          <t>2302</t>
        </is>
      </c>
      <c r="E314" t="inlineStr">
        <is>
          <t>Fomento del desarrollo de aplicaciones, software y contenidos para impulsar la apropiación de las Tecnologías de la Información y las Comunicaciones (TIC)</t>
        </is>
      </c>
      <c r="F314" t="inlineStr">
        <is>
          <t>2302024</t>
        </is>
      </c>
      <c r="G314" t="inlineStr">
        <is>
          <t>Servicio de asistencia técnica para la implementación de la Estrategia de Gobierno digital</t>
        </is>
      </c>
      <c r="H314" t="inlineStr">
        <is>
          <t>Corresponde a las actividades de gestión y acompañamiento a las entidades del orden nacional y territorial para la implementación del Gobierno digital. Así como aquellas actividades que promueven el uso de tecnología en los servicios del Estado que no están en línea y que son los más importantes en la vida de las personas y el desarrollo de las empresas (salud, empleo, identificación, educación, impuestos, entre otros temas).</t>
        </is>
      </c>
      <c r="I314" t="inlineStr">
        <is>
          <t>2024004250049</t>
        </is>
      </c>
      <c r="J314" s="99">
        <v>664427806</v>
      </c>
      <c r="K314" s="99">
        <v>204824880</v>
      </c>
      <c r="L314" s="99">
        <v>197688019</v>
      </c>
      <c r="M314" s="99">
        <v>207788577</v>
      </c>
      <c r="N314" s="99">
        <v>54126330</v>
      </c>
      <c r="O314" s="99">
        <v>204824880</v>
      </c>
      <c r="P314" s="99">
        <v>204824880</v>
      </c>
      <c r="Q314" s="99">
        <v>204824880</v>
      </c>
      <c r="R314" s="100">
        <v>1</v>
      </c>
      <c r="S314" t="inlineStr">
        <is>
          <t>Se ejecutó el 100% de lo programado en la vigencia</t>
        </is>
      </c>
      <c r="T314" s="101">
        <v>179649951</v>
      </c>
      <c r="U314" s="101">
        <v>112765491</v>
      </c>
      <c r="V314" s="101">
        <v>112765491</v>
      </c>
      <c r="W314" s="102">
        <v>0.570421473038283</v>
      </c>
      <c r="X314" t="inlineStr">
        <is>
          <t>Lo obligado está por debajo de lo programado en la vigencia</t>
        </is>
      </c>
    </row>
    <row r="315">
      <c r="A315" t="inlineStr">
        <is>
          <t>IP-340</t>
        </is>
      </c>
      <c r="B315" t="inlineStr">
        <is>
          <t>23</t>
        </is>
      </c>
      <c r="C315" t="inlineStr">
        <is>
          <t>Tecnologías de la información y las comunicaciones</t>
        </is>
      </c>
      <c r="D315" t="inlineStr">
        <is>
          <t>2301</t>
        </is>
      </c>
      <c r="E315" t="inlineStr">
        <is>
          <t>Facilitar el acceso y uso de las Tecnologías de la Información y las Comunicaciones (TIC) en todo el territorio nacional</t>
        </is>
      </c>
      <c r="F315" t="inlineStr">
        <is>
          <t>2301077</t>
        </is>
      </c>
      <c r="G315" t="inlineStr">
        <is>
          <t>Servicio de información actualizado</t>
        </is>
      </c>
      <c r="H315" t="inlineStr">
        <is>
          <t>Corresponde al proceso que mejora en la disposición de la información para asegurar que sea accesible, confiable y oportuna.</t>
        </is>
      </c>
      <c r="I315" t="inlineStr">
        <is>
          <t>2024004250126</t>
        </is>
      </c>
      <c r="J315" s="99">
        <v>29808899543</v>
      </c>
      <c r="K315" s="99">
        <v>6692600646</v>
      </c>
      <c r="L315" s="99">
        <v>8920995213</v>
      </c>
      <c r="M315" s="99">
        <v>6596480126</v>
      </c>
      <c r="N315" s="99">
        <v>7598823558</v>
      </c>
      <c r="O315" s="99">
        <v>6522499843</v>
      </c>
      <c r="P315" s="99">
        <v>6522499843</v>
      </c>
      <c r="Q315" s="99">
        <v>4818337361</v>
      </c>
      <c r="R315" s="100">
        <v>0.974583751220586</v>
      </c>
      <c r="S315" t="inlineStr">
        <is>
          <t>Lo obligado está por debajo de lo programado en la vigencia</t>
        </is>
      </c>
      <c r="T315" s="101">
        <v>7023887385</v>
      </c>
      <c r="U315" s="101">
        <v>5478200418</v>
      </c>
      <c r="V315" s="101">
        <v>5460875196</v>
      </c>
      <c r="W315" s="102">
        <v>0.614079515480175</v>
      </c>
      <c r="X315" t="inlineStr">
        <is>
          <t>Lo obligado está por debajo de lo programado en la vigencia</t>
        </is>
      </c>
    </row>
    <row r="316">
      <c r="A316" t="inlineStr">
        <is>
          <t>IP-341</t>
        </is>
      </c>
      <c r="B316" t="inlineStr">
        <is>
          <t>23</t>
        </is>
      </c>
      <c r="C316" t="inlineStr">
        <is>
          <t>Tecnologías de la información y las comunicaciones</t>
        </is>
      </c>
      <c r="D316" t="inlineStr">
        <is>
          <t>2301</t>
        </is>
      </c>
      <c r="E316" t="inlineStr">
        <is>
          <t>Facilitar el acceso y uso de las Tecnologías de la Información y las Comunicaciones (TIC) en todo el territorio nacional</t>
        </is>
      </c>
      <c r="F316" t="inlineStr">
        <is>
          <t>2301004</t>
        </is>
      </c>
      <c r="G316" t="inlineStr">
        <is>
          <t>Documentos de planeación</t>
        </is>
      </c>
      <c r="H316" t="inlineStr">
        <is>
          <t xml:space="preserve">Documentos que plantean la hoja de ruta  para futuros planes, programas y proyectos en el sector TIC. </t>
        </is>
      </c>
      <c r="I316" t="inlineStr">
        <is>
          <t>2024004250130</t>
        </is>
      </c>
      <c r="J316" s="99">
        <v>322910149</v>
      </c>
      <c r="K316" s="99">
        <v>182406900</v>
      </c>
      <c r="L316" s="99">
        <v>108000000</v>
      </c>
      <c r="M316" s="99">
        <v>12000000</v>
      </c>
      <c r="N316" s="99">
        <v>20503249</v>
      </c>
      <c r="O316" s="99">
        <v>182406900</v>
      </c>
      <c r="P316" s="99">
        <v>182406900</v>
      </c>
      <c r="Q316" s="99">
        <v>182406900</v>
      </c>
      <c r="R316" s="100">
        <v>1</v>
      </c>
      <c r="S316" t="inlineStr">
        <is>
          <t>Se ejecutó el 100% de lo programado en la vigencia</t>
        </is>
      </c>
      <c r="T316" s="101">
        <v>24714444</v>
      </c>
      <c r="U316" s="101">
        <v>0</v>
      </c>
      <c r="V316" s="101">
        <v>0</v>
      </c>
      <c r="W316" s="102">
        <v>0</v>
      </c>
      <c r="X316" t="inlineStr">
        <is>
          <t>No se ejecutó en la vigencia</t>
        </is>
      </c>
    </row>
    <row r="317">
      <c r="A317" t="inlineStr">
        <is>
          <t>IP-342</t>
        </is>
      </c>
      <c r="B317" t="inlineStr">
        <is>
          <t>45</t>
        </is>
      </c>
      <c r="C317" t="inlineStr">
        <is>
          <t>Gobierno Territorial</t>
        </is>
      </c>
      <c r="D317" t="inlineStr">
        <is>
          <t>4599</t>
        </is>
      </c>
      <c r="E317" t="inlineStr">
        <is>
          <t>Fortalecimiento a la gestión y dirección de la administración pública territorial</t>
        </is>
      </c>
      <c r="F317" t="inlineStr">
        <is>
          <t>4599007</t>
        </is>
      </c>
      <c r="G317" t="inlineStr">
        <is>
          <t>Servicios tecnológicos</t>
        </is>
      </c>
      <c r="H317"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317" t="inlineStr">
        <is>
          <t>2024004250116</t>
        </is>
      </c>
      <c r="J317" s="99">
        <v>2223223329</v>
      </c>
      <c r="K317" s="99">
        <v>315151908</v>
      </c>
      <c r="L317" s="99">
        <v>1464551137</v>
      </c>
      <c r="M317" s="99">
        <v>364890000</v>
      </c>
      <c r="N317" s="99">
        <v>78630284</v>
      </c>
      <c r="O317" s="99">
        <v>315151907</v>
      </c>
      <c r="P317" s="99">
        <v>315151907</v>
      </c>
      <c r="Q317" s="99">
        <v>315151907</v>
      </c>
      <c r="R317" s="100">
        <v>0.999999996826927</v>
      </c>
      <c r="S317" t="inlineStr">
        <is>
          <t>Lo obligado está por debajo de lo programado en la vigencia</t>
        </is>
      </c>
      <c r="T317" s="101">
        <v>1074682935</v>
      </c>
      <c r="U317" s="101">
        <v>44100000</v>
      </c>
      <c r="V317" s="101">
        <v>44100000</v>
      </c>
      <c r="W317" s="102">
        <v>0.0301116150101354</v>
      </c>
      <c r="X317" t="inlineStr">
        <is>
          <t>Lo obligado está por debajo de lo programado en la vigencia</t>
        </is>
      </c>
    </row>
    <row r="318">
      <c r="A318" t="inlineStr">
        <is>
          <t>IP-343</t>
        </is>
      </c>
      <c r="B318" t="inlineStr">
        <is>
          <t>23</t>
        </is>
      </c>
      <c r="C318" t="inlineStr">
        <is>
          <t>Tecnologías de la información y las comunicaciones</t>
        </is>
      </c>
      <c r="D318" t="inlineStr">
        <is>
          <t>2302</t>
        </is>
      </c>
      <c r="E318" t="inlineStr">
        <is>
          <t>Fomento del desarrollo de aplicaciones, software y contenidos para impulsar la apropiación de las Tecnologías de la Información y las Comunicaciones (TIC)</t>
        </is>
      </c>
      <c r="F318" t="inlineStr">
        <is>
          <t>2302003</t>
        </is>
      </c>
      <c r="G318" t="inlineStr">
        <is>
          <t>Desarrollos digitales</t>
        </is>
      </c>
      <c r="H318" t="inlineStr">
        <is>
          <t>Corresponde al proceso de desarrollo de las habilidades digitales de personas naturales o jurídicas.</t>
        </is>
      </c>
      <c r="I318" t="inlineStr">
        <is>
          <t>2024004250173</t>
        </is>
      </c>
      <c r="J318" s="99">
        <v>1099711030</v>
      </c>
      <c r="K318" s="99">
        <v>410000000</v>
      </c>
      <c r="L318" s="99">
        <v>400000000</v>
      </c>
      <c r="M318" s="99">
        <v>146402575</v>
      </c>
      <c r="N318" s="99">
        <v>143308455</v>
      </c>
      <c r="O318" s="99">
        <v>410000000</v>
      </c>
      <c r="P318" s="99">
        <v>410000000</v>
      </c>
      <c r="Q318" s="99">
        <v>410000000</v>
      </c>
      <c r="R318" s="100">
        <v>1</v>
      </c>
      <c r="S318" t="inlineStr">
        <is>
          <t>Se ejecutó el 100% de lo programado en la vigencia</t>
        </is>
      </c>
      <c r="T318" s="101" t="inlineStr">
        <is>
          <t xml:space="preserve"> </t>
        </is>
      </c>
      <c r="U318" s="101" t="inlineStr">
        <is>
          <t xml:space="preserve"> </t>
        </is>
      </c>
      <c r="V318" s="101" t="inlineStr">
        <is>
          <t xml:space="preserve"> </t>
        </is>
      </c>
      <c r="W318" s="102" t="inlineStr">
        <is>
          <t xml:space="preserve"> </t>
        </is>
      </c>
      <c r="X318" t="inlineStr">
        <is>
          <t>No se encontró ejecución en CUIPO</t>
        </is>
      </c>
    </row>
    <row r="319">
      <c r="A319" t="inlineStr">
        <is>
          <t>IP-344</t>
        </is>
      </c>
      <c r="B319" t="inlineStr">
        <is>
          <t>23</t>
        </is>
      </c>
      <c r="C319" t="inlineStr">
        <is>
          <t>Tecnologías de la información y las comunicaciones</t>
        </is>
      </c>
      <c r="D319" t="inlineStr">
        <is>
          <t>2301</t>
        </is>
      </c>
      <c r="E319" t="inlineStr">
        <is>
          <t>Facilitar el acceso y uso de las Tecnologías de la Información y las Comunicaciones (TIC) en todo el territorio nacional</t>
        </is>
      </c>
      <c r="F319" t="inlineStr">
        <is>
          <t>2301077</t>
        </is>
      </c>
      <c r="G319" t="inlineStr">
        <is>
          <t>Servicio de información actualizado</t>
        </is>
      </c>
      <c r="H319" t="inlineStr">
        <is>
          <t>Corresponde al proceso que mejora en la disposición de la información para asegurar que sea accesible, confiable y oportuna.</t>
        </is>
      </c>
      <c r="I319" t="inlineStr">
        <is>
          <t>2024004250130</t>
        </is>
      </c>
      <c r="J319" s="99">
        <v>602430568</v>
      </c>
      <c r="K319" s="99">
        <v>410000000</v>
      </c>
      <c r="L319" s="99">
        <v>68055127</v>
      </c>
      <c r="M319" s="99">
        <v>60371829</v>
      </c>
      <c r="N319" s="99">
        <v>64003612</v>
      </c>
      <c r="O319" s="99">
        <v>410000000</v>
      </c>
      <c r="P319" s="99">
        <v>410000000</v>
      </c>
      <c r="Q319" s="99">
        <v>410000000</v>
      </c>
      <c r="R319" s="100">
        <v>1</v>
      </c>
      <c r="S319" t="inlineStr">
        <is>
          <t>Se ejecutó el 100% de lo programado en la vigencia</t>
        </is>
      </c>
      <c r="T319" s="101">
        <v>68041716</v>
      </c>
      <c r="U319" s="101">
        <v>39495589</v>
      </c>
      <c r="V319" s="101">
        <v>39495589</v>
      </c>
      <c r="W319" s="102">
        <v>0.580347003099414</v>
      </c>
      <c r="X319" t="inlineStr">
        <is>
          <t>Lo obligado está por debajo de lo programado en la vigencia</t>
        </is>
      </c>
    </row>
    <row r="320">
      <c r="A320" t="inlineStr">
        <is>
          <t>IP-345</t>
        </is>
      </c>
      <c r="B320" t="inlineStr">
        <is>
          <t>45</t>
        </is>
      </c>
      <c r="C320" t="inlineStr">
        <is>
          <t>Gobierno Territorial</t>
        </is>
      </c>
      <c r="D320" t="inlineStr">
        <is>
          <t>4599</t>
        </is>
      </c>
      <c r="E320" t="inlineStr">
        <is>
          <t>Fortalecimiento a la gestión y dirección de la administración pública territorial</t>
        </is>
      </c>
      <c r="F320" t="inlineStr">
        <is>
          <t>4599025</t>
        </is>
      </c>
      <c r="G320" t="inlineStr">
        <is>
          <t>Servicios de información implementados</t>
        </is>
      </c>
      <c r="H320" t="inlineStr">
        <is>
          <t>Corresponde al proceso que asegura la disposición de la información de manera accesible, confiable y oportuna.</t>
        </is>
      </c>
      <c r="I320" t="inlineStr">
        <is>
          <t>2024004250096</t>
        </is>
      </c>
      <c r="J320" s="99">
        <v>7329274541</v>
      </c>
      <c r="K320" s="99">
        <v>690446880</v>
      </c>
      <c r="L320" s="99">
        <v>3179999997</v>
      </c>
      <c r="M320" s="99">
        <v>2090637562</v>
      </c>
      <c r="N320" s="99">
        <v>1368190102</v>
      </c>
      <c r="O320" s="99">
        <v>690446880</v>
      </c>
      <c r="P320" s="99">
        <v>690446880</v>
      </c>
      <c r="Q320" s="99">
        <v>676489772</v>
      </c>
      <c r="R320" s="100">
        <v>1</v>
      </c>
      <c r="S320" t="inlineStr">
        <is>
          <t>Se ejecutó el 100% de lo programado en la vigencia</t>
        </is>
      </c>
      <c r="T320" s="101">
        <v>2757033478</v>
      </c>
      <c r="U320" s="101">
        <v>252799997</v>
      </c>
      <c r="V320" s="101">
        <v>173899997</v>
      </c>
      <c r="W320" s="102">
        <v>0.0794968544775128</v>
      </c>
      <c r="X320" t="inlineStr">
        <is>
          <t>Lo obligado está por debajo de lo programado en la vigencia</t>
        </is>
      </c>
    </row>
    <row r="321">
      <c r="A321" t="inlineStr">
        <is>
          <t>IP-346</t>
        </is>
      </c>
      <c r="B321" t="inlineStr">
        <is>
          <t>45</t>
        </is>
      </c>
      <c r="C321" t="inlineStr">
        <is>
          <t>Gobierno Territorial</t>
        </is>
      </c>
      <c r="D321" t="inlineStr">
        <is>
          <t>4599</t>
        </is>
      </c>
      <c r="E321" t="inlineStr">
        <is>
          <t>Fortalecimiento a la gestión y dirección de la administración pública territorial</t>
        </is>
      </c>
      <c r="F321" t="inlineStr">
        <is>
          <t>4599025</t>
        </is>
      </c>
      <c r="G321" t="inlineStr">
        <is>
          <t>Servicios de información implementados</t>
        </is>
      </c>
      <c r="H321" t="inlineStr">
        <is>
          <t>Corresponde al proceso que asegura la disposición de la información de manera accesible, confiable y oportuna.</t>
        </is>
      </c>
      <c r="I321" t="inlineStr">
        <is>
          <t>2024004250133</t>
        </is>
      </c>
      <c r="J321" s="99">
        <v>2465684477</v>
      </c>
      <c r="K321" s="99">
        <v>469205376</v>
      </c>
      <c r="L321" s="99">
        <v>493877280</v>
      </c>
      <c r="M321" s="99">
        <v>993270435</v>
      </c>
      <c r="N321" s="99">
        <v>509331386</v>
      </c>
      <c r="O321" s="99">
        <v>469205376</v>
      </c>
      <c r="P321" s="99">
        <v>469205376</v>
      </c>
      <c r="Q321" s="99">
        <v>343564476</v>
      </c>
      <c r="R321" s="100">
        <v>1</v>
      </c>
      <c r="S321" t="inlineStr">
        <is>
          <t>Se ejecutó el 100% de lo programado en la vigencia</t>
        </is>
      </c>
      <c r="T321" s="101">
        <v>493877280</v>
      </c>
      <c r="U321" s="101">
        <v>391499040</v>
      </c>
      <c r="V321" s="101">
        <v>381277866</v>
      </c>
      <c r="W321" s="102">
        <v>0.792705102773709</v>
      </c>
      <c r="X321" t="inlineStr">
        <is>
          <t>Lo obligado está por debajo de lo programado en la vigencia</t>
        </is>
      </c>
    </row>
    <row r="322">
      <c r="A322" t="inlineStr">
        <is>
          <t>IP-347</t>
        </is>
      </c>
      <c r="B322" t="inlineStr">
        <is>
          <t>24</t>
        </is>
      </c>
      <c r="C322" t="inlineStr">
        <is>
          <t>Transporte</t>
        </is>
      </c>
      <c r="D322" t="inlineStr">
        <is>
          <t>2409</t>
        </is>
      </c>
      <c r="E322" t="inlineStr">
        <is>
          <t>Seguridad de transporte</t>
        </is>
      </c>
      <c r="F322" t="inlineStr">
        <is>
          <t>2409014</t>
        </is>
      </c>
      <c r="G322" t="inlineStr">
        <is>
          <t>Documentos de planeación</t>
        </is>
      </c>
      <c r="H322"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322" t="inlineStr">
        <is>
          <t>2024004250124</t>
        </is>
      </c>
      <c r="J322" s="99">
        <v>52517438448</v>
      </c>
      <c r="K322" s="99">
        <v>1282000000</v>
      </c>
      <c r="L322" s="99">
        <v>9049325727</v>
      </c>
      <c r="M322" s="99">
        <v>40430273721</v>
      </c>
      <c r="N322" s="99">
        <v>1755839000</v>
      </c>
      <c r="O322" s="99">
        <v>1042966436</v>
      </c>
      <c r="P322" s="99">
        <v>989976813</v>
      </c>
      <c r="Q322" s="99">
        <v>961565313</v>
      </c>
      <c r="R322" s="100">
        <v>0.772212802652106</v>
      </c>
      <c r="S322" t="inlineStr">
        <is>
          <t>Lo obligado está por debajo de lo programado en la vigencia</t>
        </is>
      </c>
      <c r="T322" s="101">
        <v>4177997600</v>
      </c>
      <c r="U322" s="101">
        <v>2875316933</v>
      </c>
      <c r="V322" s="101">
        <v>2829725733</v>
      </c>
      <c r="W322" s="102">
        <v>0.317738251417016</v>
      </c>
      <c r="X322" t="inlineStr">
        <is>
          <t>Lo obligado está por debajo de lo programado en la vigencia</t>
        </is>
      </c>
    </row>
    <row r="323">
      <c r="A323" t="inlineStr">
        <is>
          <t>IP-348</t>
        </is>
      </c>
      <c r="B323" t="inlineStr">
        <is>
          <t>45</t>
        </is>
      </c>
      <c r="C323" t="inlineStr">
        <is>
          <t>Gobierno Territorial</t>
        </is>
      </c>
      <c r="D323" t="inlineStr">
        <is>
          <t>4599</t>
        </is>
      </c>
      <c r="E323" t="inlineStr">
        <is>
          <t>Fortalecimiento a la gestión y dirección de la administración pública territorial</t>
        </is>
      </c>
      <c r="F323" t="inlineStr">
        <is>
          <t>4599025</t>
        </is>
      </c>
      <c r="G323" t="inlineStr">
        <is>
          <t>Servicios de información implementados</t>
        </is>
      </c>
      <c r="H323" t="inlineStr">
        <is>
          <t>Corresponde al proceso que asegura la disposición de la información de manera accesible, confiable y oportuna.</t>
        </is>
      </c>
      <c r="I323" t="inlineStr">
        <is>
          <t>2024004250053</t>
        </is>
      </c>
      <c r="J323" s="99">
        <v>1270000000</v>
      </c>
      <c r="K323" s="99">
        <v>250000000</v>
      </c>
      <c r="L323" s="99">
        <v>300000000</v>
      </c>
      <c r="M323" s="99">
        <v>120000000</v>
      </c>
      <c r="N323" s="99">
        <v>600000000</v>
      </c>
      <c r="O323" s="99">
        <v>250000000</v>
      </c>
      <c r="P323" s="99">
        <v>250000000</v>
      </c>
      <c r="Q323" s="99">
        <v>250000000</v>
      </c>
      <c r="R323" s="100">
        <v>1</v>
      </c>
      <c r="S323" t="inlineStr">
        <is>
          <t>Se ejecutó el 100% de lo programado en la vigencia</t>
        </is>
      </c>
      <c r="T323" s="101" t="inlineStr">
        <is>
          <t xml:space="preserve"> </t>
        </is>
      </c>
      <c r="U323" s="101" t="inlineStr">
        <is>
          <t xml:space="preserve"> </t>
        </is>
      </c>
      <c r="V323" s="101" t="inlineStr">
        <is>
          <t xml:space="preserve"> </t>
        </is>
      </c>
      <c r="W323" s="102" t="inlineStr">
        <is>
          <t xml:space="preserve"> </t>
        </is>
      </c>
      <c r="X323" t="inlineStr">
        <is>
          <t>No se encontró ejecución en CUIPO</t>
        </is>
      </c>
    </row>
    <row r="324">
      <c r="A324" t="inlineStr">
        <is>
          <t>IP-349</t>
        </is>
      </c>
      <c r="B324" t="inlineStr">
        <is>
          <t>04</t>
        </is>
      </c>
      <c r="C324" t="inlineStr">
        <is>
          <t>Información Estadística</t>
        </is>
      </c>
      <c r="D324" t="inlineStr">
        <is>
          <t>0406</t>
        </is>
      </c>
      <c r="E324" t="inlineStr">
        <is>
          <t>Generación de la información geográfica del territorio nacional</t>
        </is>
      </c>
      <c r="F324" t="inlineStr">
        <is>
          <t>0406003</t>
        </is>
      </c>
      <c r="G324" t="inlineStr">
        <is>
          <t>Servicio de conservación catastral</t>
        </is>
      </c>
      <c r="H324" t="inlineStr">
        <is>
          <t>Acciones orientadas a mantener actualizada, en los documentos catastrales, la información relacionada con los bienes inmuebles que hayan sufrido cambios en sus aspectos físico, jurídico y económico.</t>
        </is>
      </c>
      <c r="I324" t="inlineStr">
        <is>
          <t>2024004250142</t>
        </is>
      </c>
      <c r="J324" s="99">
        <v>11142177053</v>
      </c>
      <c r="K324" s="99">
        <v>2500000000</v>
      </c>
      <c r="L324" s="99">
        <v>1810548864</v>
      </c>
      <c r="M324" s="99">
        <v>4936628189</v>
      </c>
      <c r="N324" s="99">
        <v>1895000000</v>
      </c>
      <c r="O324" s="99">
        <v>2500000000</v>
      </c>
      <c r="P324" s="99">
        <v>2500000000</v>
      </c>
      <c r="Q324" s="99">
        <v>2500000000</v>
      </c>
      <c r="R324" s="100">
        <v>1</v>
      </c>
      <c r="S324" t="inlineStr">
        <is>
          <t>Se ejecutó el 100% de lo programado en la vigencia</t>
        </is>
      </c>
      <c r="T324" s="101">
        <v>1509098000</v>
      </c>
      <c r="U324" s="101">
        <v>1509098000</v>
      </c>
      <c r="V324" s="101">
        <v>1509098000</v>
      </c>
      <c r="W324" s="102">
        <v>0.833503049824343</v>
      </c>
      <c r="X324" t="inlineStr">
        <is>
          <t>Lo obligado está por debajo de lo programado en la vigencia</t>
        </is>
      </c>
    </row>
    <row r="325">
      <c r="A325" t="inlineStr">
        <is>
          <t>IP-350</t>
        </is>
      </c>
      <c r="B325" t="inlineStr">
        <is>
          <t>22</t>
        </is>
      </c>
      <c r="C325" t="inlineStr">
        <is>
          <t>Educación</t>
        </is>
      </c>
      <c r="D325" t="inlineStr">
        <is>
          <t>2201</t>
        </is>
      </c>
      <c r="E325" t="inlineStr">
        <is>
          <t>Calidad, cobertura y fortalecimiento de la educación inicial, prescolar, básica y media</t>
        </is>
      </c>
      <c r="F325" t="inlineStr">
        <is>
          <t>2201006</t>
        </is>
      </c>
      <c r="G325" t="inlineStr">
        <is>
          <t>Servicio de asistencia técnica en educación inicial, preescolar, básica y media</t>
        </is>
      </c>
      <c r="H325" t="inlineStr">
        <is>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is>
      </c>
      <c r="I325" t="inlineStr">
        <is>
          <t>2024004250009</t>
        </is>
      </c>
      <c r="J325" s="99">
        <v>924942421</v>
      </c>
      <c r="K325" s="99">
        <v>0</v>
      </c>
      <c r="L325" s="99">
        <v>0</v>
      </c>
      <c r="M325" s="99">
        <v>480000000</v>
      </c>
      <c r="N325" s="99">
        <v>444942421</v>
      </c>
      <c r="O325" s="99" t="inlineStr">
        <is>
          <t xml:space="preserve"> </t>
        </is>
      </c>
      <c r="P325" s="99" t="inlineStr">
        <is>
          <t xml:space="preserve"> </t>
        </is>
      </c>
      <c r="Q325" s="99" t="inlineStr">
        <is>
          <t xml:space="preserve"> </t>
        </is>
      </c>
      <c r="R325" s="100" t="inlineStr">
        <is>
          <t xml:space="preserve"> </t>
        </is>
      </c>
      <c r="S325" t="inlineStr">
        <is>
          <t>No se encontró ejecución en CUIPO</t>
        </is>
      </c>
      <c r="T325" s="101" t="inlineStr">
        <is>
          <t xml:space="preserve"> </t>
        </is>
      </c>
      <c r="U325" s="101" t="inlineStr">
        <is>
          <t xml:space="preserve"> </t>
        </is>
      </c>
      <c r="V325" s="101" t="inlineStr">
        <is>
          <t xml:space="preserve"> </t>
        </is>
      </c>
      <c r="W325" s="102" t="inlineStr">
        <is>
          <t xml:space="preserve"> </t>
        </is>
      </c>
      <c r="X325" t="inlineStr">
        <is>
          <t>No se encontró ejecución en CUIPO</t>
        </is>
      </c>
    </row>
    <row r="326">
      <c r="A326" t="inlineStr">
        <is>
          <t>IP-351</t>
        </is>
      </c>
      <c r="B326" t="inlineStr">
        <is>
          <t>22</t>
        </is>
      </c>
      <c r="C326" t="inlineStr">
        <is>
          <t>Educación</t>
        </is>
      </c>
      <c r="D326" t="inlineStr">
        <is>
          <t>2201</t>
        </is>
      </c>
      <c r="E326" t="inlineStr">
        <is>
          <t>Calidad, cobertura y fortalecimiento de la educación inicial, prescolar, básica y media</t>
        </is>
      </c>
      <c r="F326" t="inlineStr">
        <is>
          <t>2201087</t>
        </is>
      </c>
      <c r="G326" t="inlineStr">
        <is>
          <t>Documentos de estudios técnicos</t>
        </is>
      </c>
      <c r="H326" t="inlineStr">
        <is>
          <t>Documentos cuyo objetivo es la elaboración de informes de base que analizan situaciones, estudios de caso y de una temática específica.</t>
        </is>
      </c>
      <c r="I326" t="inlineStr">
        <is>
          <t>2024004250009</t>
        </is>
      </c>
      <c r="J326" s="99">
        <v>218228170</v>
      </c>
      <c r="K326" s="99">
        <v>0</v>
      </c>
      <c r="L326" s="99">
        <v>0</v>
      </c>
      <c r="M326" s="99">
        <v>0</v>
      </c>
      <c r="N326" s="99">
        <v>218228170</v>
      </c>
      <c r="O326" s="99" t="inlineStr">
        <is>
          <t xml:space="preserve"> </t>
        </is>
      </c>
      <c r="P326" s="99" t="inlineStr">
        <is>
          <t xml:space="preserve"> </t>
        </is>
      </c>
      <c r="Q326" s="99" t="inlineStr">
        <is>
          <t xml:space="preserve"> </t>
        </is>
      </c>
      <c r="R326" s="100" t="inlineStr">
        <is>
          <t xml:space="preserve"> </t>
        </is>
      </c>
      <c r="S326" t="inlineStr">
        <is>
          <t>No se encontró ejecución en CUIPO</t>
        </is>
      </c>
      <c r="T326" s="101" t="inlineStr">
        <is>
          <t xml:space="preserve"> </t>
        </is>
      </c>
      <c r="U326" s="101" t="inlineStr">
        <is>
          <t xml:space="preserve"> </t>
        </is>
      </c>
      <c r="V326" s="101" t="inlineStr">
        <is>
          <t xml:space="preserve"> </t>
        </is>
      </c>
      <c r="W326" s="102" t="inlineStr">
        <is>
          <t xml:space="preserve"> </t>
        </is>
      </c>
      <c r="X326" t="inlineStr">
        <is>
          <t>No se encontró ejecución en CUIPO</t>
        </is>
      </c>
    </row>
    <row r="327">
      <c r="A327" t="inlineStr">
        <is>
          <t>IP-352</t>
        </is>
      </c>
      <c r="B327" t="inlineStr">
        <is>
          <t>22</t>
        </is>
      </c>
      <c r="C327" t="inlineStr">
        <is>
          <t>Educación</t>
        </is>
      </c>
      <c r="D327" t="inlineStr">
        <is>
          <t>2201</t>
        </is>
      </c>
      <c r="E327" t="inlineStr">
        <is>
          <t>Calidad, cobertura y fortalecimiento de la educación inicial, prescolar, básica y media</t>
        </is>
      </c>
      <c r="F327" t="inlineStr">
        <is>
          <t>2201047</t>
        </is>
      </c>
      <c r="G327" t="inlineStr">
        <is>
          <t>Servicios de apoyo a la implementación de modelos de innovación educativa</t>
        </is>
      </c>
      <c r="H327" t="inlineStr">
        <is>
          <t>Corresponde a la implementación de ideas, procesos y estrategias de innovación educativa en la educación inicial preescolar básica y media</t>
        </is>
      </c>
      <c r="I327" t="inlineStr">
        <is>
          <t>2024004250009</t>
        </is>
      </c>
      <c r="J327" s="99">
        <v>196017604</v>
      </c>
      <c r="K327" s="99">
        <v>0</v>
      </c>
      <c r="L327" s="99">
        <v>0</v>
      </c>
      <c r="M327" s="99">
        <v>0</v>
      </c>
      <c r="N327" s="99">
        <v>196017604</v>
      </c>
      <c r="O327" s="99" t="inlineStr">
        <is>
          <t xml:space="preserve"> </t>
        </is>
      </c>
      <c r="P327" s="99" t="inlineStr">
        <is>
          <t xml:space="preserve"> </t>
        </is>
      </c>
      <c r="Q327" s="99" t="inlineStr">
        <is>
          <t xml:space="preserve"> </t>
        </is>
      </c>
      <c r="R327" s="100" t="inlineStr">
        <is>
          <t xml:space="preserve"> </t>
        </is>
      </c>
      <c r="S327" t="inlineStr">
        <is>
          <t>No se encontró ejecución en CUIPO</t>
        </is>
      </c>
      <c r="T327" s="101" t="inlineStr">
        <is>
          <t xml:space="preserve"> </t>
        </is>
      </c>
      <c r="U327" s="101" t="inlineStr">
        <is>
          <t xml:space="preserve"> </t>
        </is>
      </c>
      <c r="V327" s="101" t="inlineStr">
        <is>
          <t xml:space="preserve"> </t>
        </is>
      </c>
      <c r="W327" s="102" t="inlineStr">
        <is>
          <t xml:space="preserve"> </t>
        </is>
      </c>
      <c r="X327" t="inlineStr">
        <is>
          <t>No se encontró ejecución en CUIPO</t>
        </is>
      </c>
    </row>
    <row r="328">
      <c r="A328" t="inlineStr">
        <is>
          <t>IP-353</t>
        </is>
      </c>
      <c r="B328" t="inlineStr">
        <is>
          <t>22</t>
        </is>
      </c>
      <c r="C328" t="inlineStr">
        <is>
          <t>Educación</t>
        </is>
      </c>
      <c r="D328" t="inlineStr">
        <is>
          <t>2201</t>
        </is>
      </c>
      <c r="E328" t="inlineStr">
        <is>
          <t>Calidad, cobertura y fortalecimiento de la educación inicial, prescolar, básica y media</t>
        </is>
      </c>
      <c r="F328" t="inlineStr">
        <is>
          <t>2201071</t>
        </is>
      </c>
      <c r="G328" t="inlineStr">
        <is>
          <t>Servicio educativo</t>
        </is>
      </c>
      <c r="H328" t="inlineStr">
        <is>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is>
      </c>
      <c r="I328" t="inlineStr">
        <is>
          <t>2024004250009</t>
        </is>
      </c>
      <c r="J328" s="99">
        <v>152958070741</v>
      </c>
      <c r="K328" s="99">
        <v>15591745144</v>
      </c>
      <c r="L328" s="99">
        <v>56559110809</v>
      </c>
      <c r="M328" s="99">
        <v>60890000000</v>
      </c>
      <c r="N328" s="99">
        <v>19917214788</v>
      </c>
      <c r="O328" s="99">
        <v>15427373500</v>
      </c>
      <c r="P328" s="99">
        <v>12214633334</v>
      </c>
      <c r="Q328" s="99">
        <v>12214633334</v>
      </c>
      <c r="R328" s="100">
        <v>0.783403860260019</v>
      </c>
      <c r="S328" t="inlineStr">
        <is>
          <t>Lo obligado está por debajo de lo programado en la vigencia</t>
        </is>
      </c>
      <c r="T328" s="101">
        <v>43217909837</v>
      </c>
      <c r="U328" s="101">
        <v>28846083158</v>
      </c>
      <c r="V328" s="101">
        <v>28811443158</v>
      </c>
      <c r="W328" s="102">
        <v>0.510016560469155</v>
      </c>
      <c r="X328" t="inlineStr">
        <is>
          <t>Lo obligado está por debajo de lo programado en la vigencia</t>
        </is>
      </c>
    </row>
    <row r="329">
      <c r="A329" t="inlineStr">
        <is>
          <t>IP-354</t>
        </is>
      </c>
      <c r="B329" t="inlineStr">
        <is>
          <t>45</t>
        </is>
      </c>
      <c r="C329" t="inlineStr">
        <is>
          <t>Gobierno Territorial</t>
        </is>
      </c>
      <c r="D329" t="inlineStr">
        <is>
          <t>4599</t>
        </is>
      </c>
      <c r="E329" t="inlineStr">
        <is>
          <t>Fortalecimiento a la gestión y dirección de la administración pública territorial</t>
        </is>
      </c>
      <c r="F329" t="inlineStr">
        <is>
          <t>4599028</t>
        </is>
      </c>
      <c r="G329" t="inlineStr">
        <is>
          <t>Servicio de información actualizado</t>
        </is>
      </c>
      <c r="H329" t="inlineStr">
        <is>
          <t>Corresponde al proceso que mejora en la disposición de la información para asegurar que sea accesible, confiable y oportuna.</t>
        </is>
      </c>
      <c r="I329" t="inlineStr">
        <is>
          <t>2024004250024</t>
        </is>
      </c>
      <c r="J329" s="99">
        <v>173348680298</v>
      </c>
      <c r="K329" s="99">
        <v>20408511024</v>
      </c>
      <c r="L329" s="99">
        <v>55458904421</v>
      </c>
      <c r="M329" s="99">
        <v>54592715851</v>
      </c>
      <c r="N329" s="99">
        <v>42888549002</v>
      </c>
      <c r="O329" s="99">
        <v>20408511024</v>
      </c>
      <c r="P329" s="99">
        <v>20408511024</v>
      </c>
      <c r="Q329" s="99">
        <v>20408511024</v>
      </c>
      <c r="R329" s="100">
        <v>1</v>
      </c>
      <c r="S329" t="inlineStr">
        <is>
          <t>Se ejecutó el 100% de lo programado en la vigencia</t>
        </is>
      </c>
      <c r="T329" s="101">
        <v>45027920260</v>
      </c>
      <c r="U329" s="101">
        <v>32393081034</v>
      </c>
      <c r="V329" s="101">
        <v>32393081033</v>
      </c>
      <c r="W329" s="102">
        <v>0.584091614722452</v>
      </c>
      <c r="X329" t="inlineStr">
        <is>
          <t>Lo obligado está por debajo de lo programado en la vigencia</t>
        </is>
      </c>
    </row>
    <row r="330">
      <c r="A330" t="inlineStr">
        <is>
          <t>IP-355</t>
        </is>
      </c>
      <c r="B330" t="inlineStr">
        <is>
          <t>45</t>
        </is>
      </c>
      <c r="C330" t="inlineStr">
        <is>
          <t>Gobierno Territorial</t>
        </is>
      </c>
      <c r="D330" t="inlineStr">
        <is>
          <t>4599</t>
        </is>
      </c>
      <c r="E330" t="inlineStr">
        <is>
          <t>Fortalecimiento a la gestión y dirección de la administración pública territorial</t>
        </is>
      </c>
      <c r="F330" t="inlineStr">
        <is>
          <t>4599025</t>
        </is>
      </c>
      <c r="G330" t="inlineStr">
        <is>
          <t>Servicios de información implementados</t>
        </is>
      </c>
      <c r="H330" t="inlineStr">
        <is>
          <t>Corresponde al proceso que asegura la disposición de la información de manera accesible, confiable y oportuna.</t>
        </is>
      </c>
      <c r="I330" t="inlineStr">
        <is>
          <t>2024004250024</t>
        </is>
      </c>
      <c r="J330" s="99">
        <v>25191680650</v>
      </c>
      <c r="K330" s="99">
        <v>3378919999</v>
      </c>
      <c r="L330" s="99">
        <v>7350000000</v>
      </c>
      <c r="M330" s="99">
        <v>4046159277</v>
      </c>
      <c r="N330" s="99">
        <v>10416601374</v>
      </c>
      <c r="O330" s="99">
        <v>3378919999</v>
      </c>
      <c r="P330" s="99">
        <v>3378919999</v>
      </c>
      <c r="Q330" s="99">
        <v>3378919999</v>
      </c>
      <c r="R330" s="100">
        <v>1</v>
      </c>
      <c r="S330" t="inlineStr">
        <is>
          <t>Se ejecutó el 100% de lo programado en la vigencia</t>
        </is>
      </c>
      <c r="T330" s="101">
        <v>5046900000</v>
      </c>
      <c r="U330" s="101">
        <v>161900000</v>
      </c>
      <c r="V330" s="101">
        <v>161900000</v>
      </c>
      <c r="W330" s="102">
        <v>0.0220272108843537</v>
      </c>
      <c r="X330" t="inlineStr">
        <is>
          <t>Lo obligado está por debajo de lo programado en la vigencia</t>
        </is>
      </c>
    </row>
    <row r="331">
      <c r="A331" t="inlineStr">
        <is>
          <t>IP-356</t>
        </is>
      </c>
      <c r="B331" t="inlineStr">
        <is>
          <t>22</t>
        </is>
      </c>
      <c r="C331" t="inlineStr">
        <is>
          <t>Educación</t>
        </is>
      </c>
      <c r="D331" t="inlineStr">
        <is>
          <t>2201</t>
        </is>
      </c>
      <c r="E331" t="inlineStr">
        <is>
          <t>Calidad, cobertura y fortalecimiento de la educación inicial, prescolar, básica y media</t>
        </is>
      </c>
      <c r="F331" t="inlineStr">
        <is>
          <t>2201049</t>
        </is>
      </c>
      <c r="G331" t="inlineStr">
        <is>
          <t>Servicio de educación informal</t>
        </is>
      </c>
      <c r="H331" t="inlineStr">
        <is>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331" t="inlineStr">
        <is>
          <t>2024004250009</t>
        </is>
      </c>
      <c r="J331" s="99">
        <v>7431497553</v>
      </c>
      <c r="K331" s="99">
        <v>1792862648</v>
      </c>
      <c r="L331" s="99">
        <v>1832400000</v>
      </c>
      <c r="M331" s="99">
        <v>2486317000</v>
      </c>
      <c r="N331" s="99">
        <v>1319917905</v>
      </c>
      <c r="O331" s="99">
        <v>927009335</v>
      </c>
      <c r="P331" s="99">
        <v>855137734</v>
      </c>
      <c r="Q331" s="99">
        <v>398240000</v>
      </c>
      <c r="R331" s="100">
        <v>0.47696778944775</v>
      </c>
      <c r="S331" t="inlineStr">
        <is>
          <t>Lo obligado está por debajo de lo programado en la vigencia</t>
        </is>
      </c>
      <c r="T331" s="101" t="inlineStr">
        <is>
          <t xml:space="preserve"> </t>
        </is>
      </c>
      <c r="U331" s="101" t="inlineStr">
        <is>
          <t xml:space="preserve"> </t>
        </is>
      </c>
      <c r="V331" s="101" t="inlineStr">
        <is>
          <t xml:space="preserve"> </t>
        </is>
      </c>
      <c r="W331" s="102" t="inlineStr">
        <is>
          <t xml:space="preserve"> </t>
        </is>
      </c>
      <c r="X331" t="inlineStr">
        <is>
          <t>No se encontró ejecución en CUIPO</t>
        </is>
      </c>
    </row>
    <row r="332">
      <c r="A332" t="inlineStr">
        <is>
          <t>IP-357</t>
        </is>
      </c>
      <c r="B332" t="inlineStr">
        <is>
          <t>22</t>
        </is>
      </c>
      <c r="C332" t="inlineStr">
        <is>
          <t>Educación</t>
        </is>
      </c>
      <c r="D332" t="inlineStr">
        <is>
          <t>2201</t>
        </is>
      </c>
      <c r="E332" t="inlineStr">
        <is>
          <t>Calidad, cobertura y fortalecimiento de la educación inicial, prescolar, básica y media</t>
        </is>
      </c>
      <c r="F332" t="inlineStr">
        <is>
          <t>2201015</t>
        </is>
      </c>
      <c r="G332" t="inlineStr">
        <is>
          <t>Servicio de monitoreo y seguimiento a la gestión del sector educativo</t>
        </is>
      </c>
      <c r="H332" t="inlineStr">
        <is>
          <t>Incluye la implementación de mecanismos de monitoreo y  seguimiento en el marco del mejoramiento de la calidad y la equidad educativa de conformidad con los indicadores definidos  en los modelos de desempeño en gestión</t>
        </is>
      </c>
      <c r="I332" t="inlineStr">
        <is>
          <t>2024004250009</t>
        </is>
      </c>
      <c r="J332" s="99">
        <v>84494243</v>
      </c>
      <c r="K332" s="99">
        <v>15000000</v>
      </c>
      <c r="L332" s="99">
        <v>0</v>
      </c>
      <c r="M332" s="99">
        <v>20000000</v>
      </c>
      <c r="N332" s="99">
        <v>49494243</v>
      </c>
      <c r="O332" s="99">
        <v>10758195</v>
      </c>
      <c r="P332" s="99">
        <v>10758195</v>
      </c>
      <c r="Q332" s="99">
        <v>10758195</v>
      </c>
      <c r="R332" s="100">
        <v>0.717213</v>
      </c>
      <c r="S332" t="inlineStr">
        <is>
          <t>Lo obligado está por debajo de lo programado en la vigencia</t>
        </is>
      </c>
      <c r="T332" s="101" t="inlineStr">
        <is>
          <t xml:space="preserve"> </t>
        </is>
      </c>
      <c r="U332" s="101" t="inlineStr">
        <is>
          <t xml:space="preserve"> </t>
        </is>
      </c>
      <c r="V332" s="101" t="inlineStr">
        <is>
          <t xml:space="preserve"> </t>
        </is>
      </c>
      <c r="W332" s="102" t="inlineStr">
        <is>
          <t xml:space="preserve"> </t>
        </is>
      </c>
      <c r="X332" t="inlineStr">
        <is>
          <t>No se encontró ejecución en CUIPO</t>
        </is>
      </c>
    </row>
    <row r="333">
      <c r="A333" t="inlineStr">
        <is>
          <t>IP-358</t>
        </is>
      </c>
      <c r="B333" t="inlineStr">
        <is>
          <t>45</t>
        </is>
      </c>
      <c r="C333" t="inlineStr">
        <is>
          <t>Gobierno Territorial</t>
        </is>
      </c>
      <c r="D333" t="inlineStr">
        <is>
          <t>4599</t>
        </is>
      </c>
      <c r="E333" t="inlineStr">
        <is>
          <t>Fortalecimiento a la gestión y dirección de la administración pública territorial</t>
        </is>
      </c>
      <c r="F333" t="inlineStr">
        <is>
          <t>4599008</t>
        </is>
      </c>
      <c r="G333" t="inlineStr">
        <is>
          <t>Sede construida y dotada</t>
        </is>
      </c>
      <c r="H333" t="inlineStr">
        <is>
          <t>Corresponde a un inmueble resultado de obras de edificación en terrenos no construidos o cuya área esté libre por autorización de demolición total. Incluye la dotación del inmueble. (Corresponde a la licencia de construcción por obra nueva)</t>
        </is>
      </c>
      <c r="I333" t="inlineStr">
        <is>
          <t>2024004250043</t>
        </is>
      </c>
      <c r="J333" s="99">
        <v>3500000000</v>
      </c>
      <c r="K333" s="99">
        <v>1000000000</v>
      </c>
      <c r="L333" s="99">
        <v>2500000000</v>
      </c>
      <c r="M333" s="99">
        <v>0</v>
      </c>
      <c r="N333" s="99">
        <v>0</v>
      </c>
      <c r="O333" s="99" t="inlineStr">
        <is>
          <t xml:space="preserve"> </t>
        </is>
      </c>
      <c r="P333" s="99" t="inlineStr">
        <is>
          <t xml:space="preserve"> </t>
        </is>
      </c>
      <c r="Q333" s="99" t="inlineStr">
        <is>
          <t xml:space="preserve"> </t>
        </is>
      </c>
      <c r="R333" s="100" t="inlineStr">
        <is>
          <t xml:space="preserve"> </t>
        </is>
      </c>
      <c r="S333" t="inlineStr">
        <is>
          <t>No se encontró ejecución en CUIPO</t>
        </is>
      </c>
      <c r="T333" s="101" t="inlineStr">
        <is>
          <t xml:space="preserve"> </t>
        </is>
      </c>
      <c r="U333" s="101" t="inlineStr">
        <is>
          <t xml:space="preserve"> </t>
        </is>
      </c>
      <c r="V333" s="101" t="inlineStr">
        <is>
          <t xml:space="preserve"> </t>
        </is>
      </c>
      <c r="W333" s="102" t="inlineStr">
        <is>
          <t xml:space="preserve"> </t>
        </is>
      </c>
      <c r="X333" t="inlineStr">
        <is>
          <t>No se encontró ejecución en CUIPO</t>
        </is>
      </c>
    </row>
    <row r="334">
      <c r="A334" t="inlineStr">
        <is>
          <t>IP-359</t>
        </is>
      </c>
      <c r="B334" t="inlineStr">
        <is>
          <t>12</t>
        </is>
      </c>
      <c r="C334" t="inlineStr">
        <is>
          <t>Justicia y del derecho</t>
        </is>
      </c>
      <c r="D334" t="inlineStr">
        <is>
          <t>1206</t>
        </is>
      </c>
      <c r="E334" t="inlineStr">
        <is>
          <t>Sistema penitenciario y carcelario en el marco de los derechos humanos</t>
        </is>
      </c>
      <c r="F334" t="inlineStr">
        <is>
          <t>1206010</t>
        </is>
      </c>
      <c r="G334" t="inlineStr">
        <is>
          <t>Infraestructura penitenciaria y carcelaria construida y dotada</t>
        </is>
      </c>
      <c r="H334" t="inlineStr">
        <is>
          <t>Hace referencia a la construcción y dotación de establecimientos de reclusión nacionales y territoriales.</t>
        </is>
      </c>
      <c r="I334" t="inlineStr">
        <is>
          <t>2024004250256</t>
        </is>
      </c>
      <c r="J334" s="99">
        <v>10772058945</v>
      </c>
      <c r="K334" s="99">
        <v>0</v>
      </c>
      <c r="L334" s="99">
        <v>552727273</v>
      </c>
      <c r="M334" s="99">
        <v>10219331672</v>
      </c>
      <c r="N334" s="99">
        <v>0</v>
      </c>
      <c r="O334" s="99" t="inlineStr">
        <is>
          <t xml:space="preserve"> </t>
        </is>
      </c>
      <c r="P334" s="99" t="inlineStr">
        <is>
          <t xml:space="preserve"> </t>
        </is>
      </c>
      <c r="Q334" s="99" t="inlineStr">
        <is>
          <t xml:space="preserve"> </t>
        </is>
      </c>
      <c r="R334" s="100" t="inlineStr">
        <is>
          <t xml:space="preserve"> </t>
        </is>
      </c>
      <c r="S334" t="inlineStr">
        <is>
          <t>No se encontró ejecución en CUIPO</t>
        </is>
      </c>
      <c r="T334" s="101">
        <v>280472000</v>
      </c>
      <c r="U334" s="101">
        <v>181957000</v>
      </c>
      <c r="V334" s="101">
        <v>181957000</v>
      </c>
      <c r="W334" s="102">
        <v>0.329198519574409</v>
      </c>
      <c r="X334" t="inlineStr">
        <is>
          <t>Lo obligado está por debajo de lo programado en la vigencia</t>
        </is>
      </c>
    </row>
    <row r="335">
      <c r="A335" t="inlineStr">
        <is>
          <t>IP-360</t>
        </is>
      </c>
      <c r="B335" t="inlineStr">
        <is>
          <t>45</t>
        </is>
      </c>
      <c r="C335" t="inlineStr">
        <is>
          <t>Gobierno Territorial</t>
        </is>
      </c>
      <c r="D335" t="inlineStr">
        <is>
          <t>4501</t>
        </is>
      </c>
      <c r="E335" t="inlineStr">
        <is>
          <t>Fortalecimiento de la convivencia y la seguridad ciudadana</t>
        </is>
      </c>
      <c r="F335" t="inlineStr">
        <is>
          <t>4501072</t>
        </is>
      </c>
      <c r="G335" t="inlineStr">
        <is>
          <t>Infraestructura de soporte construida y dotada</t>
        </is>
      </c>
      <c r="H335" t="inlineStr">
        <is>
          <t>Corresponde a un inmueble resultado de obras de edificación en terrenos no construidos o cuya área esté libre por autorización de demolición total para la infaestructura de soporte de la Policía. Incluye la dotación.</t>
        </is>
      </c>
      <c r="I335" t="inlineStr">
        <is>
          <t>2024004250161</t>
        </is>
      </c>
      <c r="J335" s="99">
        <v>18940000000</v>
      </c>
      <c r="K335" s="99">
        <v>3200000000</v>
      </c>
      <c r="L335" s="99">
        <v>12607000000</v>
      </c>
      <c r="M335" s="99">
        <v>2773000000</v>
      </c>
      <c r="N335" s="99">
        <v>360000000</v>
      </c>
      <c r="O335" s="99">
        <v>3200000000</v>
      </c>
      <c r="P335" s="99">
        <v>3200000000</v>
      </c>
      <c r="Q335" s="99">
        <v>3200000000</v>
      </c>
      <c r="R335" s="100">
        <v>1</v>
      </c>
      <c r="S335" t="inlineStr">
        <is>
          <t>Se ejecutó el 100% de lo programado en la vigencia</t>
        </is>
      </c>
      <c r="T335" s="101" t="inlineStr">
        <is>
          <t xml:space="preserve"> </t>
        </is>
      </c>
      <c r="U335" s="101" t="inlineStr">
        <is>
          <t xml:space="preserve"> </t>
        </is>
      </c>
      <c r="V335" s="101" t="inlineStr">
        <is>
          <t xml:space="preserve"> </t>
        </is>
      </c>
      <c r="W335" s="102" t="inlineStr">
        <is>
          <t xml:space="preserve"> </t>
        </is>
      </c>
      <c r="X335" t="inlineStr">
        <is>
          <t>No se encontró ejecución en CUIPO</t>
        </is>
      </c>
    </row>
    <row r="336">
      <c r="A336" t="inlineStr">
        <is>
          <t>IP-361</t>
        </is>
      </c>
      <c r="B336" t="inlineStr">
        <is>
          <t>45</t>
        </is>
      </c>
      <c r="C336" t="inlineStr">
        <is>
          <t>Gobierno Territorial</t>
        </is>
      </c>
      <c r="D336" t="inlineStr">
        <is>
          <t>4599</t>
        </is>
      </c>
      <c r="E336" t="inlineStr">
        <is>
          <t>Fortalecimiento a la gestión y dirección de la administración pública territorial</t>
        </is>
      </c>
      <c r="F336" t="inlineStr">
        <is>
          <t>4599018</t>
        </is>
      </c>
      <c r="G336" t="inlineStr">
        <is>
          <t>Documentos de lineamientos técnicos</t>
        </is>
      </c>
      <c r="H336" t="inlineStr">
        <is>
          <t>Documentos cuyo objetivo es describir y explicar instrumentos, estándares, requisitos y condiciones necesarias para llevar a cabo un proceso o actividad.</t>
        </is>
      </c>
      <c r="I336" t="inlineStr">
        <is>
          <t>2024004250024</t>
        </is>
      </c>
      <c r="J336" s="99">
        <v>7435640580</v>
      </c>
      <c r="K336" s="99">
        <v>1393139999</v>
      </c>
      <c r="L336" s="99">
        <v>2042829800</v>
      </c>
      <c r="M336" s="99">
        <v>2042829800</v>
      </c>
      <c r="N336" s="99">
        <v>1956840981</v>
      </c>
      <c r="O336" s="99">
        <v>1393139999</v>
      </c>
      <c r="P336" s="99">
        <v>1393139999</v>
      </c>
      <c r="Q336" s="99">
        <v>1393139999</v>
      </c>
      <c r="R336" s="100">
        <v>1</v>
      </c>
      <c r="S336" t="inlineStr">
        <is>
          <t>Se ejecutó el 100% de lo programado en la vigencia</t>
        </is>
      </c>
      <c r="T336" s="101">
        <v>1735152599</v>
      </c>
      <c r="U336" s="101">
        <v>1303458240</v>
      </c>
      <c r="V336" s="101">
        <v>1303458240</v>
      </c>
      <c r="W336" s="102">
        <v>0.638065021373783</v>
      </c>
      <c r="X336" t="inlineStr">
        <is>
          <t>Lo obligado está por debajo de lo programado en la vigencia</t>
        </is>
      </c>
    </row>
    <row r="337">
      <c r="A337" t="inlineStr">
        <is>
          <t>IP-362, IP-363</t>
        </is>
      </c>
      <c r="B337" t="inlineStr">
        <is>
          <t>45</t>
        </is>
      </c>
      <c r="C337" t="inlineStr">
        <is>
          <t>Gobierno Territorial</t>
        </is>
      </c>
      <c r="D337" t="inlineStr">
        <is>
          <t>4599</t>
        </is>
      </c>
      <c r="E337" t="inlineStr">
        <is>
          <t>Fortalecimiento a la gestión y dirección de la administración pública territorial</t>
        </is>
      </c>
      <c r="F337" t="inlineStr">
        <is>
          <t>4599023</t>
        </is>
      </c>
      <c r="G337" t="inlineStr">
        <is>
          <t>Servicio de Implementación Sistemas de Gestión</t>
        </is>
      </c>
      <c r="H337"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337" t="inlineStr">
        <is>
          <t>2024004250024</t>
        </is>
      </c>
      <c r="J337" s="99">
        <v>78500069036</v>
      </c>
      <c r="K337" s="99">
        <v>13100852948</v>
      </c>
      <c r="L337" s="99">
        <v>28357353145</v>
      </c>
      <c r="M337" s="99">
        <v>25292890479</v>
      </c>
      <c r="N337" s="99">
        <v>11748972464</v>
      </c>
      <c r="O337" s="99">
        <v>13100852948</v>
      </c>
      <c r="P337" s="99">
        <v>12254948887</v>
      </c>
      <c r="Q337" s="99">
        <v>12082148893</v>
      </c>
      <c r="R337" s="100">
        <v>0.935431375013706</v>
      </c>
      <c r="S337" t="inlineStr">
        <is>
          <t>Lo obligado está por debajo de lo programado en la vigencia</t>
        </is>
      </c>
      <c r="T337" s="101">
        <v>22517321017</v>
      </c>
      <c r="U337" s="101">
        <v>13111521726</v>
      </c>
      <c r="V337" s="101">
        <v>12870362326</v>
      </c>
      <c r="W337" s="102">
        <v>0.462367614458116</v>
      </c>
      <c r="X337" t="inlineStr">
        <is>
          <t>Lo obligado está por debajo de lo programado en la vigencia</t>
        </is>
      </c>
    </row>
    <row r="338">
      <c r="A338" t="inlineStr">
        <is>
          <t>IP-364</t>
        </is>
      </c>
      <c r="B338" t="inlineStr">
        <is>
          <t>19</t>
        </is>
      </c>
      <c r="C338" t="inlineStr">
        <is>
          <t>Salud y protección social</t>
        </is>
      </c>
      <c r="D338" t="inlineStr">
        <is>
          <t>1906</t>
        </is>
      </c>
      <c r="E338" t="inlineStr">
        <is>
          <t>Aseguramiento y prestación integral de servicios de salud</t>
        </is>
      </c>
      <c r="F338" t="inlineStr">
        <is>
          <t>1906029</t>
        </is>
      </c>
      <c r="G338" t="inlineStr">
        <is>
          <t>Servicio de asistencia técnica a Instituciones Prestadoras de Servicios de Salud</t>
        </is>
      </c>
      <c r="H338" t="inlineStr">
        <is>
          <t>Acciones orientadas al desarrollo de capacidades en las Instituciones Prestadoras de Servicios de salud, para contribuir al logro de resultados en salud, mediante asesoría, acompañamiento y capacitación.</t>
        </is>
      </c>
      <c r="I338" t="inlineStr">
        <is>
          <t>2024004250002</t>
        </is>
      </c>
      <c r="J338" s="99">
        <v>7486949517</v>
      </c>
      <c r="K338" s="99">
        <v>1268383363</v>
      </c>
      <c r="L338" s="99">
        <v>2349289396</v>
      </c>
      <c r="M338" s="99">
        <v>2399957920</v>
      </c>
      <c r="N338" s="99">
        <v>1469318838</v>
      </c>
      <c r="O338" s="99">
        <v>1226348132</v>
      </c>
      <c r="P338" s="99">
        <v>1225788111</v>
      </c>
      <c r="Q338" s="99">
        <v>1204797385</v>
      </c>
      <c r="R338" s="100">
        <v>0.966417683137019</v>
      </c>
      <c r="S338" t="inlineStr">
        <is>
          <t>Lo obligado está por debajo de lo programado en la vigencia</t>
        </is>
      </c>
      <c r="T338" s="101">
        <v>1904150615</v>
      </c>
      <c r="U338" s="101">
        <v>1510999336</v>
      </c>
      <c r="V338" s="101">
        <v>1510999336</v>
      </c>
      <c r="W338" s="102">
        <v>0.643172926491173</v>
      </c>
      <c r="X338" t="inlineStr">
        <is>
          <t>Lo obligado está por debajo de lo programado en la vigencia</t>
        </is>
      </c>
    </row>
    <row r="339">
      <c r="A339" t="inlineStr">
        <is>
          <t>IP-365</t>
        </is>
      </c>
      <c r="B339" t="inlineStr">
        <is>
          <t>19</t>
        </is>
      </c>
      <c r="C339" t="inlineStr">
        <is>
          <t>Salud y protección social</t>
        </is>
      </c>
      <c r="D339" t="inlineStr">
        <is>
          <t>1906</t>
        </is>
      </c>
      <c r="E339" t="inlineStr">
        <is>
          <t>Aseguramiento y prestación integral de servicios de salud</t>
        </is>
      </c>
      <c r="F339" t="inlineStr">
        <is>
          <t>1906025</t>
        </is>
      </c>
      <c r="G339" t="inlineStr">
        <is>
          <t>Servicio de apoyo financiero para el fortalecimiento patrimonial de las empresas prestadoras de salud con participación financiera de las entidades territoriales</t>
        </is>
      </c>
      <c r="H339" t="inlineStr">
        <is>
          <t>Recursos monetarios entregados a las empresas prestadoras de salud - EPS en las cuales la entidad territorial tiene participación, con el fin de cumplir las condiciones financieras de permanencia, según lo dispuesto en el Decreto 780 de 2016.</t>
        </is>
      </c>
      <c r="I339" t="inlineStr">
        <is>
          <t>2024004250146</t>
        </is>
      </c>
      <c r="J339" s="99">
        <v>489686732721</v>
      </c>
      <c r="K339" s="99">
        <v>89023943838</v>
      </c>
      <c r="L339" s="99">
        <v>162219051078</v>
      </c>
      <c r="M339" s="99">
        <v>143127177305</v>
      </c>
      <c r="N339" s="99">
        <v>95316560500</v>
      </c>
      <c r="O339" s="99">
        <v>65864773622</v>
      </c>
      <c r="P339" s="99">
        <v>65665116567</v>
      </c>
      <c r="Q339" s="99">
        <v>60465459513</v>
      </c>
      <c r="R339" s="100">
        <v>0.737611857395277</v>
      </c>
      <c r="S339" t="inlineStr">
        <is>
          <t>Lo obligado está por debajo de lo programado en la vigencia</t>
        </is>
      </c>
      <c r="T339" s="101">
        <v>25408581348</v>
      </c>
      <c r="U339" s="101">
        <v>13928976031</v>
      </c>
      <c r="V339" s="101">
        <v>13928976031</v>
      </c>
      <c r="W339" s="102">
        <v>0.0858652293823523</v>
      </c>
      <c r="X339" t="inlineStr">
        <is>
          <t>Lo obligado está por debajo de lo programado en la vigencia</t>
        </is>
      </c>
    </row>
    <row r="340">
      <c r="A340" t="inlineStr">
        <is>
          <t>IP-366</t>
        </is>
      </c>
      <c r="B340" t="inlineStr">
        <is>
          <t>19</t>
        </is>
      </c>
      <c r="C340" t="inlineStr">
        <is>
          <t>Salud y protección social</t>
        </is>
      </c>
      <c r="D340" t="inlineStr">
        <is>
          <t>1906</t>
        </is>
      </c>
      <c r="E340" t="inlineStr">
        <is>
          <t>Aseguramiento y prestación integral de servicios de salud</t>
        </is>
      </c>
      <c r="F340" t="inlineStr">
        <is>
          <t>1906029</t>
        </is>
      </c>
      <c r="G340" t="inlineStr">
        <is>
          <t>Servicio de asistencia técnica a Instituciones Prestadoras de Servicios de Salud</t>
        </is>
      </c>
      <c r="H340" t="inlineStr">
        <is>
          <t>Acciones orientadas al desarrollo de capacidades en las Instituciones Prestadoras de Servicios de salud, para contribuir al logro de resultados en salud, mediante asesoría, acompañamiento y capacitación.</t>
        </is>
      </c>
      <c r="I340" t="inlineStr">
        <is>
          <t>2024004250039</t>
        </is>
      </c>
      <c r="J340" s="99">
        <v>86272901463</v>
      </c>
      <c r="K340" s="99">
        <v>15432262099</v>
      </c>
      <c r="L340" s="99">
        <v>23114692795</v>
      </c>
      <c r="M340" s="99">
        <v>29334432224</v>
      </c>
      <c r="N340" s="99">
        <v>18391514345</v>
      </c>
      <c r="O340" s="99">
        <v>503589873</v>
      </c>
      <c r="P340" s="99">
        <v>503589873</v>
      </c>
      <c r="Q340" s="99">
        <v>503589873</v>
      </c>
      <c r="R340" s="100">
        <v>0.0326322783898695</v>
      </c>
      <c r="S340" t="inlineStr">
        <is>
          <t>Lo obligado está por debajo de lo programado en la vigencia</t>
        </is>
      </c>
      <c r="T340" s="101">
        <v>910572676</v>
      </c>
      <c r="U340" s="101">
        <v>665880648</v>
      </c>
      <c r="V340" s="101">
        <v>665880648</v>
      </c>
      <c r="W340" s="102">
        <v>0.0288076789038718</v>
      </c>
      <c r="X340" t="inlineStr">
        <is>
          <t>Lo obligado está por debajo de lo programado en la vigencia</t>
        </is>
      </c>
    </row>
    <row r="341">
      <c r="A341" t="inlineStr">
        <is>
          <t>IP-367</t>
        </is>
      </c>
      <c r="B341" t="inlineStr">
        <is>
          <t>19</t>
        </is>
      </c>
      <c r="C341" t="inlineStr">
        <is>
          <t>Salud y protección social</t>
        </is>
      </c>
      <c r="D341" t="inlineStr">
        <is>
          <t>1903</t>
        </is>
      </c>
      <c r="E341" t="inlineStr">
        <is>
          <t>Inspección, vigilancia y control</t>
        </is>
      </c>
      <c r="F341" t="inlineStr">
        <is>
          <t>1903007</t>
        </is>
      </c>
      <c r="G341" t="inlineStr">
        <is>
          <t>Servicio de análisis de laboratorio de estándares sanitarios</t>
        </is>
      </c>
      <c r="H341" t="inlineStr">
        <is>
          <t>Este servicio permite establecer mediante un análisis del laboratorio  si  el laboratorio esta cumpliendo con la legalidad y de estándares sanitarios .</t>
        </is>
      </c>
      <c r="I341" t="inlineStr">
        <is>
          <t>2024004250060</t>
        </is>
      </c>
      <c r="J341" s="99">
        <v>36806842863</v>
      </c>
      <c r="K341" s="99">
        <v>7527959128</v>
      </c>
      <c r="L341" s="99">
        <v>10005668985</v>
      </c>
      <c r="M341" s="99">
        <v>9520152686</v>
      </c>
      <c r="N341" s="99">
        <v>9753062064</v>
      </c>
      <c r="O341" s="99">
        <v>3151481757</v>
      </c>
      <c r="P341" s="99">
        <v>2929973527</v>
      </c>
      <c r="Q341" s="99">
        <v>2851833268</v>
      </c>
      <c r="R341" s="100">
        <v>0.389212199107466</v>
      </c>
      <c r="S341" t="inlineStr">
        <is>
          <t>Lo obligado está por debajo de lo programado en la vigencia</t>
        </is>
      </c>
      <c r="T341" s="101">
        <v>6715938285</v>
      </c>
      <c r="U341" s="101">
        <v>4521671348</v>
      </c>
      <c r="V341" s="101">
        <v>4521671348</v>
      </c>
      <c r="W341" s="102">
        <v>0.45191094716192</v>
      </c>
      <c r="X341" t="inlineStr">
        <is>
          <t>Lo obligado está por debajo de lo programado en la vigencia</t>
        </is>
      </c>
    </row>
    <row r="342">
      <c r="A342" t="inlineStr">
        <is>
          <t>IP-368, IP-369</t>
        </is>
      </c>
      <c r="B342" t="inlineStr">
        <is>
          <t>45</t>
        </is>
      </c>
      <c r="C342" t="inlineStr">
        <is>
          <t>Gobierno Territorial</t>
        </is>
      </c>
      <c r="D342" t="inlineStr">
        <is>
          <t>4599</t>
        </is>
      </c>
      <c r="E342" t="inlineStr">
        <is>
          <t>Fortalecimiento a la gestión y dirección de la administración pública territorial</t>
        </is>
      </c>
      <c r="F342" t="inlineStr">
        <is>
          <t>4599031</t>
        </is>
      </c>
      <c r="G342" t="inlineStr">
        <is>
          <t>Servicio de asistencia técnica</t>
        </is>
      </c>
      <c r="H342" t="inlineStr">
        <is>
          <t>Corresponde al acompañamiento,apoyo,  asesoría y seguimiento técnico para la transferencia de herramientas de gestión y conocimiento en políticas, planes , proyectos y programas de apoyo a la dirección y gestión de la administración territorial.</t>
        </is>
      </c>
      <c r="I342" t="inlineStr">
        <is>
          <t>2024004250036</t>
        </is>
      </c>
      <c r="J342" s="99">
        <v>5209403657</v>
      </c>
      <c r="K342" s="99">
        <v>474186347</v>
      </c>
      <c r="L342" s="99">
        <v>1781655841</v>
      </c>
      <c r="M342" s="99">
        <v>1912613702</v>
      </c>
      <c r="N342" s="99">
        <v>1040947767</v>
      </c>
      <c r="O342" s="99">
        <v>445199931</v>
      </c>
      <c r="P342" s="99">
        <v>445199931</v>
      </c>
      <c r="Q342" s="99">
        <v>445199931</v>
      </c>
      <c r="R342" s="100">
        <v>0.938871255607872</v>
      </c>
      <c r="S342" t="inlineStr">
        <is>
          <t>Lo obligado está por debajo de lo programado en la vigencia</t>
        </is>
      </c>
      <c r="T342" s="101">
        <v>1566480722</v>
      </c>
      <c r="U342" s="101">
        <v>692543904</v>
      </c>
      <c r="V342" s="101">
        <v>692543904</v>
      </c>
      <c r="W342" s="102">
        <v>0.388708014232026</v>
      </c>
      <c r="X342" t="inlineStr">
        <is>
          <t>Lo obligado está por debajo de lo programado en la vigencia</t>
        </is>
      </c>
    </row>
    <row r="343">
      <c r="A343" t="inlineStr">
        <is>
          <t>IP-370</t>
        </is>
      </c>
      <c r="B343" t="inlineStr">
        <is>
          <t>19</t>
        </is>
      </c>
      <c r="C343" t="inlineStr">
        <is>
          <t>Salud y protección social</t>
        </is>
      </c>
      <c r="D343" t="inlineStr">
        <is>
          <t>1906</t>
        </is>
      </c>
      <c r="E343" t="inlineStr">
        <is>
          <t>Aseguramiento y prestación integral de servicios de salud</t>
        </is>
      </c>
      <c r="F343" t="inlineStr">
        <is>
          <t>1906031</t>
        </is>
      </c>
      <c r="G343" t="inlineStr">
        <is>
          <t>Servicio de información para las instituciones públicas prestadoras de salud y la dirección de la entidad territorial implementado</t>
        </is>
      </c>
      <c r="H343" t="inlineStr">
        <is>
          <t xml:space="preserve">Corresponde al proceso que mejora en la disposición de la información para asegurar que sea accesible, confiable y oportuna con respecto a los beneficiarios y pacientes por parte de las Instituciones Públicas Prestadoras de Servicios de Salud hacia la dirección territorial. </t>
        </is>
      </c>
      <c r="I343" t="inlineStr">
        <is>
          <t>2024004250122</t>
        </is>
      </c>
      <c r="J343" s="99">
        <v>60419813810</v>
      </c>
      <c r="K343" s="99">
        <v>15149835790</v>
      </c>
      <c r="L343" s="99">
        <v>26731280834</v>
      </c>
      <c r="M343" s="99">
        <v>5075339978</v>
      </c>
      <c r="N343" s="99">
        <v>13463357208</v>
      </c>
      <c r="O343" s="99">
        <v>15149835790</v>
      </c>
      <c r="P343" s="99">
        <v>14088605078</v>
      </c>
      <c r="Q343" s="99">
        <v>14088605078</v>
      </c>
      <c r="R343" s="100">
        <v>0.929951008927734</v>
      </c>
      <c r="S343" t="inlineStr">
        <is>
          <t>Lo obligado está por debajo de lo programado en la vigencia</t>
        </is>
      </c>
      <c r="T343" s="101">
        <v>10979309575</v>
      </c>
      <c r="U343" s="101">
        <v>9325613090</v>
      </c>
      <c r="V343" s="101">
        <v>9325613090</v>
      </c>
      <c r="W343" s="102">
        <v>0.348865179633988</v>
      </c>
      <c r="X343" t="inlineStr">
        <is>
          <t>Lo obligado está por debajo de lo programado en la vigencia</t>
        </is>
      </c>
    </row>
    <row r="344">
      <c r="A344" t="inlineStr">
        <is>
          <t>IP-371</t>
        </is>
      </c>
      <c r="B344" t="inlineStr">
        <is>
          <t>19</t>
        </is>
      </c>
      <c r="C344" t="inlineStr">
        <is>
          <t>Salud y protección social</t>
        </is>
      </c>
      <c r="D344" t="inlineStr">
        <is>
          <t>1905</t>
        </is>
      </c>
      <c r="E344" t="inlineStr">
        <is>
          <t>Salud pública</t>
        </is>
      </c>
      <c r="F344" t="inlineStr">
        <is>
          <t>1905054</t>
        </is>
      </c>
      <c r="G344" t="inlineStr">
        <is>
          <t>Servicio de promoción de la salud</t>
        </is>
      </c>
      <c r="H344"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344" t="inlineStr">
        <is>
          <t>2024004250127</t>
        </is>
      </c>
      <c r="J344" s="99">
        <v>8867685826</v>
      </c>
      <c r="K344" s="99">
        <v>1270776483</v>
      </c>
      <c r="L344" s="99">
        <v>2425667825</v>
      </c>
      <c r="M344" s="99">
        <v>2565553660</v>
      </c>
      <c r="N344" s="99">
        <v>2605687858</v>
      </c>
      <c r="O344" s="99">
        <v>1257983895</v>
      </c>
      <c r="P344" s="99">
        <v>1257983895</v>
      </c>
      <c r="Q344" s="99">
        <v>1257983895</v>
      </c>
      <c r="R344" s="100">
        <v>0.989933250913017</v>
      </c>
      <c r="S344" t="inlineStr">
        <is>
          <t>Lo obligado está por debajo de lo programado en la vigencia</t>
        </is>
      </c>
      <c r="T344" s="101">
        <v>2189785917</v>
      </c>
      <c r="U344" s="101">
        <v>1549033544</v>
      </c>
      <c r="V344" s="101">
        <v>1549033544</v>
      </c>
      <c r="W344" s="102">
        <v>0.638600853766942</v>
      </c>
      <c r="X344" t="inlineStr">
        <is>
          <t>Lo obligado está por debajo de lo programado en la vigencia</t>
        </is>
      </c>
    </row>
    <row r="345">
      <c r="A345" t="inlineStr">
        <is>
          <t>IP-372</t>
        </is>
      </c>
      <c r="B345" t="inlineStr">
        <is>
          <t>45</t>
        </is>
      </c>
      <c r="C345" t="inlineStr">
        <is>
          <t>Gobierno Territorial</t>
        </is>
      </c>
      <c r="D345" t="inlineStr">
        <is>
          <t>4599</t>
        </is>
      </c>
      <c r="E345" t="inlineStr">
        <is>
          <t>Fortalecimiento a la gestión y dirección de la administración pública territorial</t>
        </is>
      </c>
      <c r="F345" t="inlineStr">
        <is>
          <t>4599038</t>
        </is>
      </c>
      <c r="G345" t="inlineStr">
        <is>
          <t>Servicio de apoyo financiero para el fortalecimiento del talento humano</t>
        </is>
      </c>
      <c r="H345" t="inlineStr">
        <is>
          <t>Corresponde al apoyo financiero para la realización de programas educativos, dirigidos a servidores públicos con el fin de contribuir a la formación del talento humano orientado al fortalecimiento de la capacidad institucional.</t>
        </is>
      </c>
      <c r="I345" t="inlineStr">
        <is>
          <t>2024004250245</t>
        </is>
      </c>
      <c r="J345" s="99">
        <v>2280000000</v>
      </c>
      <c r="K345" s="99">
        <v>0</v>
      </c>
      <c r="L345" s="99">
        <v>1200000000</v>
      </c>
      <c r="M345" s="99">
        <v>180000000</v>
      </c>
      <c r="N345" s="99">
        <v>900000000</v>
      </c>
      <c r="O345" s="99" t="inlineStr">
        <is>
          <t xml:space="preserve"> </t>
        </is>
      </c>
      <c r="P345" s="99" t="inlineStr">
        <is>
          <t xml:space="preserve"> </t>
        </is>
      </c>
      <c r="Q345" s="99" t="inlineStr">
        <is>
          <t xml:space="preserve"> </t>
        </is>
      </c>
      <c r="R345" s="100" t="inlineStr">
        <is>
          <t xml:space="preserve"> </t>
        </is>
      </c>
      <c r="S345" t="inlineStr">
        <is>
          <t>No se encontró ejecución en CUIPO</t>
        </is>
      </c>
      <c r="T345" s="101">
        <v>595742430</v>
      </c>
      <c r="U345" s="101">
        <v>581098310</v>
      </c>
      <c r="V345" s="101">
        <v>561259610</v>
      </c>
      <c r="W345" s="102">
        <v>0.484248591666667</v>
      </c>
      <c r="X345" t="inlineStr">
        <is>
          <t>Lo obligado está por debajo de lo programado en la vigencia</t>
        </is>
      </c>
    </row>
    <row r="346">
      <c r="A346" t="inlineStr">
        <is>
          <t>IP-373</t>
        </is>
      </c>
      <c r="B346" t="inlineStr">
        <is>
          <t>45</t>
        </is>
      </c>
      <c r="C346" t="inlineStr">
        <is>
          <t>Gobierno Territorial</t>
        </is>
      </c>
      <c r="D346" t="inlineStr">
        <is>
          <t>4503</t>
        </is>
      </c>
      <c r="E346" t="inlineStr">
        <is>
          <t>Gestión del riesgo de desastres y emergencias</t>
        </is>
      </c>
      <c r="F346" t="inlineStr">
        <is>
          <t>4503017</t>
        </is>
      </c>
      <c r="G346" t="inlineStr">
        <is>
          <t>Estudios de riesgo de desastres</t>
        </is>
      </c>
      <c r="H346" t="inlineStr">
        <is>
          <t xml:space="preserve">Estudios cuyo propósito es conocer las condiciones de riesgo de un territorio, analizar (valorar) la amenaza y la vulnerabilidad de los elementos expuestos, realizar análisis de riesgo a diferentes escalas con el propósito de definir tipos de intervención y alcance de la reducción del riesgo y el manejo post desastre. </t>
        </is>
      </c>
      <c r="I346" t="inlineStr">
        <is>
          <t>2024004250213</t>
        </is>
      </c>
      <c r="J346" s="99">
        <v>3396921541</v>
      </c>
      <c r="K346" s="99">
        <v>0</v>
      </c>
      <c r="L346" s="99">
        <v>1650000000</v>
      </c>
      <c r="M346" s="99">
        <v>1196921541</v>
      </c>
      <c r="N346" s="99">
        <v>550000000</v>
      </c>
      <c r="O346" s="99" t="inlineStr">
        <is>
          <t xml:space="preserve"> </t>
        </is>
      </c>
      <c r="P346" s="99" t="inlineStr">
        <is>
          <t xml:space="preserve"> </t>
        </is>
      </c>
      <c r="Q346" s="99" t="inlineStr">
        <is>
          <t xml:space="preserve"> </t>
        </is>
      </c>
      <c r="R346" s="100" t="inlineStr">
        <is>
          <t xml:space="preserve"> </t>
        </is>
      </c>
      <c r="S346" t="inlineStr">
        <is>
          <t>No se encontró ejecución en CUIPO</t>
        </is>
      </c>
      <c r="T346" s="101">
        <v>484461333</v>
      </c>
      <c r="U346" s="101">
        <v>303363000</v>
      </c>
      <c r="V346" s="101">
        <v>303363000</v>
      </c>
      <c r="W346" s="102">
        <v>0.183856363636364</v>
      </c>
      <c r="X346" t="inlineStr">
        <is>
          <t>Lo obligado está por debajo de lo programado en la vigencia</t>
        </is>
      </c>
    </row>
    <row r="347">
      <c r="A347" t="inlineStr">
        <is>
          <t>IP-374</t>
        </is>
      </c>
      <c r="B347" t="inlineStr">
        <is>
          <t>04</t>
        </is>
      </c>
      <c r="C347" t="inlineStr">
        <is>
          <t>Información Estadística</t>
        </is>
      </c>
      <c r="D347" t="inlineStr">
        <is>
          <t>0406</t>
        </is>
      </c>
      <c r="E347" t="inlineStr">
        <is>
          <t>Generación de la información geográfica del territorio nacional</t>
        </is>
      </c>
      <c r="F347" t="inlineStr">
        <is>
          <t>0406016</t>
        </is>
      </c>
      <c r="G347" t="inlineStr">
        <is>
          <t>Servicio de actualización catastral con enfoque multipropósito</t>
        </is>
      </c>
      <c r="H347" t="inlineStr">
        <is>
          <t>Acciones orientadas a renovar el inventario o censo predial en sus componentes físico, jurídico y económico con enfoque multipropósito, de acuerdo con los cambios experimentados por los inmuebles en cada uno de sus componentes. Entregable: base catastral actualizada.</t>
        </is>
      </c>
      <c r="I347" t="inlineStr">
        <is>
          <t>2024004250143</t>
        </is>
      </c>
      <c r="J347" s="99">
        <v>23551077019</v>
      </c>
      <c r="K347" s="99">
        <v>3000000000</v>
      </c>
      <c r="L347" s="99">
        <v>4518202909</v>
      </c>
      <c r="M347" s="99">
        <v>7732874110</v>
      </c>
      <c r="N347" s="99">
        <v>8300000000</v>
      </c>
      <c r="O347" s="99">
        <v>3000000000</v>
      </c>
      <c r="P347" s="99">
        <v>3000000000</v>
      </c>
      <c r="Q347" s="99">
        <v>3000000000</v>
      </c>
      <c r="R347" s="100">
        <v>1</v>
      </c>
      <c r="S347" t="inlineStr">
        <is>
          <t>Se ejecutó el 100% de lo programado en la vigencia</t>
        </is>
      </c>
      <c r="T347" s="101">
        <v>3767370000</v>
      </c>
      <c r="U347" s="101">
        <v>3767370000</v>
      </c>
      <c r="V347" s="101">
        <v>3767370000</v>
      </c>
      <c r="W347" s="102">
        <v>0.833820453812647</v>
      </c>
      <c r="X347" t="inlineStr">
        <is>
          <t>Lo obligado está por debajo de lo programado en la vigencia</t>
        </is>
      </c>
    </row>
    <row r="348">
      <c r="A348" t="inlineStr">
        <is>
          <t>IP-375</t>
        </is>
      </c>
      <c r="B348" t="inlineStr">
        <is>
          <t>04</t>
        </is>
      </c>
      <c r="C348" t="inlineStr">
        <is>
          <t>Información Estadística</t>
        </is>
      </c>
      <c r="D348" t="inlineStr">
        <is>
          <t>0406</t>
        </is>
      </c>
      <c r="E348" t="inlineStr">
        <is>
          <t>Generación de la información geográfica del territorio nacional</t>
        </is>
      </c>
      <c r="F348" t="inlineStr">
        <is>
          <t>0406005</t>
        </is>
      </c>
      <c r="G348" t="inlineStr">
        <is>
          <t>Servicios de asistencia técnica</t>
        </is>
      </c>
      <c r="H348" t="inlineStr">
        <is>
          <t xml:space="preserve">Corresponde a las acciones por medio de las cuales se brinda asistencia técnica (asesoría, consultorías, cooperación técnica nacional e internacional) a las entidades territoriales, nacionales e internacionales de los diferentes sectores para una mejor gestión de los recursos geográficos conforme al marco de referencia geoespacial internacional. </t>
        </is>
      </c>
      <c r="I348" t="inlineStr">
        <is>
          <t>2024004250143</t>
        </is>
      </c>
      <c r="J348" s="99">
        <v>2831577611</v>
      </c>
      <c r="K348" s="99">
        <v>500000000</v>
      </c>
      <c r="L348" s="99">
        <v>362305671</v>
      </c>
      <c r="M348" s="99">
        <v>1019271940</v>
      </c>
      <c r="N348" s="99">
        <v>950000000</v>
      </c>
      <c r="O348" s="99">
        <v>500000000</v>
      </c>
      <c r="P348" s="99">
        <v>500000000</v>
      </c>
      <c r="Q348" s="99">
        <v>500000000</v>
      </c>
      <c r="R348" s="100">
        <v>1</v>
      </c>
      <c r="S348" t="inlineStr">
        <is>
          <t>Se ejecutó el 100% de lo programado en la vigencia</t>
        </is>
      </c>
      <c r="T348" s="101">
        <v>301924000</v>
      </c>
      <c r="U348" s="101">
        <v>301924000</v>
      </c>
      <c r="V348" s="101">
        <v>301924000</v>
      </c>
      <c r="W348" s="102">
        <v>0.833340530294929</v>
      </c>
      <c r="X348" t="inlineStr">
        <is>
          <t>Lo obligado está por debajo de lo programado en la vigencia</t>
        </is>
      </c>
    </row>
    <row r="349">
      <c r="A349" t="inlineStr">
        <is>
          <t>IP-376</t>
        </is>
      </c>
      <c r="B349" t="inlineStr">
        <is>
          <t>17</t>
        </is>
      </c>
      <c r="C349" t="inlineStr">
        <is>
          <t xml:space="preserve">Agricultura y desarrollo rural
</t>
        </is>
      </c>
      <c r="D349" t="inlineStr">
        <is>
          <t>1704</t>
        </is>
      </c>
      <c r="E349" t="inlineStr">
        <is>
          <t>Ordenamiento social y uso productivo del territorio rural</t>
        </is>
      </c>
      <c r="F349" t="inlineStr">
        <is>
          <t>1704003</t>
        </is>
      </c>
      <c r="G349" t="inlineStr">
        <is>
          <t>Documentos de planeación</t>
        </is>
      </c>
      <c r="H349" t="inlineStr">
        <is>
          <t>Documentos cuyo objetivo es plasmar una visión de futuro a nivel país, entidad territorial, comunidad, sector, región, entidad o cualquier nivel de desagregación que se requiera. Incluye objetivos, estrategias, metas e indicadores</t>
        </is>
      </c>
      <c r="I349" t="inlineStr">
        <is>
          <t>2024004250039, 2024004250146</t>
        </is>
      </c>
      <c r="J349" s="99">
        <v>2498705798</v>
      </c>
      <c r="K349" s="99">
        <v>1614762465</v>
      </c>
      <c r="L349" s="99">
        <v>363943333</v>
      </c>
      <c r="M349" s="99">
        <v>520000000</v>
      </c>
      <c r="N349" s="99">
        <v>0</v>
      </c>
      <c r="O349" s="99" t="inlineStr">
        <is>
          <t xml:space="preserve"> </t>
        </is>
      </c>
      <c r="P349" s="99" t="inlineStr">
        <is>
          <t xml:space="preserve"> </t>
        </is>
      </c>
      <c r="Q349" s="99" t="inlineStr">
        <is>
          <t xml:space="preserve"> </t>
        </is>
      </c>
      <c r="R349" s="100" t="inlineStr">
        <is>
          <t xml:space="preserve"> </t>
        </is>
      </c>
      <c r="S349" t="inlineStr">
        <is>
          <t>No se encontró ejecución en CUIPO</t>
        </is>
      </c>
      <c r="T349" s="101" t="inlineStr">
        <is>
          <t xml:space="preserve"> </t>
        </is>
      </c>
      <c r="U349" s="101" t="inlineStr">
        <is>
          <t xml:space="preserve"> </t>
        </is>
      </c>
      <c r="V349" s="101" t="inlineStr">
        <is>
          <t xml:space="preserve"> </t>
        </is>
      </c>
      <c r="W349" s="102" t="inlineStr">
        <is>
          <t xml:space="preserve"> </t>
        </is>
      </c>
      <c r="X349" t="inlineStr">
        <is>
          <t>No se encontró ejecución en CUIPO</t>
        </is>
      </c>
    </row>
    <row r="350">
      <c r="A350" t="inlineStr">
        <is>
          <t>IP-377</t>
        </is>
      </c>
      <c r="B350" t="inlineStr">
        <is>
          <t>45</t>
        </is>
      </c>
      <c r="C350" t="inlineStr">
        <is>
          <t>Gobierno Territorial</t>
        </is>
      </c>
      <c r="D350" t="inlineStr">
        <is>
          <t>4599</t>
        </is>
      </c>
      <c r="E350" t="inlineStr">
        <is>
          <t>Fortalecimiento a la gestión y dirección de la administración pública territorial</t>
        </is>
      </c>
      <c r="F350" t="inlineStr">
        <is>
          <t>4599018</t>
        </is>
      </c>
      <c r="G350" t="inlineStr">
        <is>
          <t>Documentos de lineamientos técnicos</t>
        </is>
      </c>
      <c r="H350" t="inlineStr">
        <is>
          <t>Documentos cuyo objetivo es describir y explicar instrumentos, estándares, requisitos y condiciones necesarias para llevar a cabo un proceso o actividad.</t>
        </is>
      </c>
      <c r="I350" t="inlineStr">
        <is>
          <t>2024004250025</t>
        </is>
      </c>
      <c r="J350" s="99">
        <v>2071746837</v>
      </c>
      <c r="K350" s="99">
        <v>158996837</v>
      </c>
      <c r="L350" s="99">
        <v>645900000</v>
      </c>
      <c r="M350" s="99">
        <v>851850000</v>
      </c>
      <c r="N350" s="99">
        <v>415000000</v>
      </c>
      <c r="O350" s="99">
        <v>158996837</v>
      </c>
      <c r="P350" s="99">
        <v>158996837</v>
      </c>
      <c r="Q350" s="99">
        <v>158996837</v>
      </c>
      <c r="R350" s="100">
        <v>1</v>
      </c>
      <c r="S350" t="inlineStr">
        <is>
          <t>Se ejecutó el 100% de lo programado en la vigencia</t>
        </is>
      </c>
      <c r="T350" s="101">
        <v>592000000</v>
      </c>
      <c r="U350" s="101">
        <v>288000000</v>
      </c>
      <c r="V350" s="101">
        <v>254500000</v>
      </c>
      <c r="W350" s="102">
        <v>0.445889456572225</v>
      </c>
      <c r="X350" t="inlineStr">
        <is>
          <t>Lo obligado está por debajo de lo programado en la vigencia</t>
        </is>
      </c>
    </row>
    <row r="351">
      <c r="A351" t="inlineStr">
        <is>
          <t>IP-378</t>
        </is>
      </c>
      <c r="B351" t="inlineStr">
        <is>
          <t>40</t>
        </is>
      </c>
      <c r="C351" t="inlineStr">
        <is>
          <t>Vivienda, ciudad y territorio</t>
        </is>
      </c>
      <c r="D351" t="inlineStr">
        <is>
          <t>4002</t>
        </is>
      </c>
      <c r="E351" t="inlineStr">
        <is>
          <t>Ordenamiento territorial y desarrollo urbano</t>
        </is>
      </c>
      <c r="F351" t="inlineStr">
        <is>
          <t>4002016</t>
        </is>
      </c>
      <c r="G351" t="inlineStr">
        <is>
          <t>Documentos de planeación</t>
        </is>
      </c>
      <c r="H351" t="inlineStr">
        <is>
          <t>Documentos cuyo objetivo es plasmar una visión de futuro a nivel país, entidad territorial, comunidad, sector, región, entidad o cualquier nivel de desagregación que se requiera. Incluye objetivos, estrategias, metas e indicadores</t>
        </is>
      </c>
      <c r="I351" t="inlineStr">
        <is>
          <t>2024004250016</t>
        </is>
      </c>
      <c r="J351" s="99">
        <v>7798039935</v>
      </c>
      <c r="K351" s="99">
        <v>1069763379</v>
      </c>
      <c r="L351" s="99">
        <v>3100923653</v>
      </c>
      <c r="M351" s="99">
        <v>2100952839</v>
      </c>
      <c r="N351" s="99">
        <v>1526400064</v>
      </c>
      <c r="O351" s="99">
        <v>1069763379</v>
      </c>
      <c r="P351" s="99">
        <v>1069763379</v>
      </c>
      <c r="Q351" s="99">
        <v>1069763379</v>
      </c>
      <c r="R351" s="100">
        <v>1</v>
      </c>
      <c r="S351" t="inlineStr">
        <is>
          <t>Se ejecutó el 100% de lo programado en la vigencia</t>
        </is>
      </c>
      <c r="T351" s="101">
        <v>2851102642</v>
      </c>
      <c r="U351" s="101">
        <v>2292449074</v>
      </c>
      <c r="V351" s="101">
        <v>2272824074</v>
      </c>
      <c r="W351" s="102">
        <v>0.739279431076016</v>
      </c>
      <c r="X351" t="inlineStr">
        <is>
          <t>Lo obligado está por debajo de lo programado en la vigencia</t>
        </is>
      </c>
    </row>
    <row r="352">
      <c r="A352" t="inlineStr">
        <is>
          <t>IP-379, IP-380</t>
        </is>
      </c>
      <c r="B352" t="inlineStr">
        <is>
          <t>45</t>
        </is>
      </c>
      <c r="C352" t="inlineStr">
        <is>
          <t>Gobierno Territorial</t>
        </is>
      </c>
      <c r="D352" t="inlineStr">
        <is>
          <t>4599</t>
        </is>
      </c>
      <c r="E352" t="inlineStr">
        <is>
          <t>Fortalecimiento a la gestión y dirección de la administración pública territorial</t>
        </is>
      </c>
      <c r="F352" t="inlineStr">
        <is>
          <t>4599031</t>
        </is>
      </c>
      <c r="G352" t="inlineStr">
        <is>
          <t>Servicio de asistencia técnica</t>
        </is>
      </c>
      <c r="H352" t="inlineStr">
        <is>
          <t>Corresponde al acompañamiento,apoyo,  asesoría y seguimiento técnico para la transferencia de herramientas de gestión y conocimiento en políticas, planes , proyectos y programas de apoyo a la dirección y gestión de la administración territorial.</t>
        </is>
      </c>
      <c r="I352" t="inlineStr">
        <is>
          <t>2024004250067</t>
        </is>
      </c>
      <c r="J352" s="99">
        <v>10473751850</v>
      </c>
      <c r="K352" s="99">
        <v>2007949506</v>
      </c>
      <c r="L352" s="99">
        <v>2485791803</v>
      </c>
      <c r="M352" s="99">
        <v>3390840220</v>
      </c>
      <c r="N352" s="99">
        <v>2589170321</v>
      </c>
      <c r="O352" s="99">
        <v>1997349506</v>
      </c>
      <c r="P352" s="99">
        <v>1978716173</v>
      </c>
      <c r="Q352" s="99">
        <v>1978716173</v>
      </c>
      <c r="R352" s="100">
        <v>0.985441201129487</v>
      </c>
      <c r="S352" t="inlineStr">
        <is>
          <t>Lo obligado está por debajo de lo programado en la vigencia</t>
        </is>
      </c>
      <c r="T352" s="101">
        <v>2293786699</v>
      </c>
      <c r="U352" s="101">
        <v>1889958156</v>
      </c>
      <c r="V352" s="101">
        <v>1870409215</v>
      </c>
      <c r="W352" s="102">
        <v>0.760304283616628</v>
      </c>
      <c r="X352" t="inlineStr">
        <is>
          <t>Lo obligado está por debajo de lo programado en la vigencia</t>
        </is>
      </c>
    </row>
    <row r="353">
      <c r="A353" t="inlineStr">
        <is>
          <t>IP-381</t>
        </is>
      </c>
      <c r="B353" t="inlineStr">
        <is>
          <t>45</t>
        </is>
      </c>
      <c r="C353" t="inlineStr">
        <is>
          <t>Gobierno Territorial</t>
        </is>
      </c>
      <c r="D353" t="inlineStr">
        <is>
          <t>4501</t>
        </is>
      </c>
      <c r="E353" t="inlineStr">
        <is>
          <t>Fortalecimiento de la convivencia y la seguridad ciudadana</t>
        </is>
      </c>
      <c r="F353" t="inlineStr">
        <is>
          <t>4501026</t>
        </is>
      </c>
      <c r="G353" t="inlineStr">
        <is>
          <t>Documentos Planeacion</t>
        </is>
      </c>
      <c r="H353" t="inlineStr">
        <is>
          <t>Documentos cuyo objetivo es plasmar una visión de futuro a anivel de entidad territorial, comunidad, sector, región, entidad o cualquier nivel de desagregación que se requiera. Incluye objetivos, estrategias, metas e indicadores.</t>
        </is>
      </c>
      <c r="I353" t="inlineStr">
        <is>
          <t>2024004250181</t>
        </is>
      </c>
      <c r="J353" s="99">
        <v>720442000</v>
      </c>
      <c r="K353" s="99">
        <v>0</v>
      </c>
      <c r="L353" s="99">
        <v>220442000</v>
      </c>
      <c r="M353" s="99">
        <v>250000000</v>
      </c>
      <c r="N353" s="99">
        <v>250000000</v>
      </c>
      <c r="O353" s="99" t="inlineStr">
        <is>
          <t xml:space="preserve"> </t>
        </is>
      </c>
      <c r="P353" s="99" t="inlineStr">
        <is>
          <t xml:space="preserve"> </t>
        </is>
      </c>
      <c r="Q353" s="99" t="inlineStr">
        <is>
          <t xml:space="preserve"> </t>
        </is>
      </c>
      <c r="R353" s="100" t="inlineStr">
        <is>
          <t xml:space="preserve"> </t>
        </is>
      </c>
      <c r="S353" t="inlineStr">
        <is>
          <t>No se encontró ejecución en CUIPO</t>
        </is>
      </c>
      <c r="T353" s="101">
        <v>152722500</v>
      </c>
      <c r="U353" s="101">
        <v>112002000</v>
      </c>
      <c r="V353" s="101">
        <v>95934000</v>
      </c>
      <c r="W353" s="102">
        <v>0.508079222652671</v>
      </c>
      <c r="X353" t="inlineStr">
        <is>
          <t>Lo obligado está por debajo de lo programado en la vigencia</t>
        </is>
      </c>
    </row>
    <row r="354">
      <c r="A354" t="inlineStr">
        <is>
          <t>IP-382</t>
        </is>
      </c>
      <c r="B354" t="inlineStr">
        <is>
          <t>45</t>
        </is>
      </c>
      <c r="C354" t="inlineStr">
        <is>
          <t>Gobierno Territorial</t>
        </is>
      </c>
      <c r="D354" t="inlineStr">
        <is>
          <t>4599</t>
        </is>
      </c>
      <c r="E354" t="inlineStr">
        <is>
          <t>Fortalecimiento a la gestión y dirección de la administración pública territorial</t>
        </is>
      </c>
      <c r="F354" t="inlineStr">
        <is>
          <t>4599031</t>
        </is>
      </c>
      <c r="G354" t="inlineStr">
        <is>
          <t>Servicio de asistencia técnica</t>
        </is>
      </c>
      <c r="H354" t="inlineStr">
        <is>
          <t>Corresponde al acompañamiento,apoyo,  asesoría y seguimiento técnico para la transferencia de herramientas de gestión y conocimiento en políticas, planes , proyectos y programas de apoyo a la dirección y gestión de la administración territorial.</t>
        </is>
      </c>
      <c r="I354" t="inlineStr">
        <is>
          <t>2024004250005</t>
        </is>
      </c>
      <c r="J354" s="99">
        <v>5474142196</v>
      </c>
      <c r="K354" s="99">
        <v>356478751</v>
      </c>
      <c r="L354" s="99">
        <v>1931066334</v>
      </c>
      <c r="M354" s="99">
        <v>1625367111</v>
      </c>
      <c r="N354" s="99">
        <v>1561230000</v>
      </c>
      <c r="O354" s="99">
        <v>356478751</v>
      </c>
      <c r="P354" s="99">
        <v>356478751</v>
      </c>
      <c r="Q354" s="99">
        <v>356478751</v>
      </c>
      <c r="R354" s="100">
        <v>1</v>
      </c>
      <c r="S354" t="inlineStr">
        <is>
          <t>Se ejecutó el 100% de lo programado en la vigencia</t>
        </is>
      </c>
      <c r="T354" s="101">
        <v>1764522716</v>
      </c>
      <c r="U354" s="101">
        <v>662197018</v>
      </c>
      <c r="V354" s="101">
        <v>633829052</v>
      </c>
      <c r="W354" s="102">
        <v>0.342917799529097</v>
      </c>
      <c r="X354" t="inlineStr">
        <is>
          <t>Lo obligado está por debajo de lo programado en la vigencia</t>
        </is>
      </c>
    </row>
    <row r="355">
      <c r="A355" t="inlineStr">
        <is>
          <t>IP-383</t>
        </is>
      </c>
      <c r="B355" t="inlineStr">
        <is>
          <t>45</t>
        </is>
      </c>
      <c r="C355" t="inlineStr">
        <is>
          <t>Gobierno Territorial</t>
        </is>
      </c>
      <c r="D355" t="inlineStr">
        <is>
          <t>4599</t>
        </is>
      </c>
      <c r="E355" t="inlineStr">
        <is>
          <t>Fortalecimiento a la gestión y dirección de la administración pública territorial</t>
        </is>
      </c>
      <c r="F355" t="inlineStr">
        <is>
          <t>4599031</t>
        </is>
      </c>
      <c r="G355" t="inlineStr">
        <is>
          <t>Servicio de asistencia técnica</t>
        </is>
      </c>
      <c r="H355" t="inlineStr">
        <is>
          <t>Corresponde al acompañamiento,apoyo,  asesoría y seguimiento técnico para la transferencia de herramientas de gestión y conocimiento en políticas, planes , proyectos y programas de apoyo a la dirección y gestión de la administración territorial.</t>
        </is>
      </c>
      <c r="I355" t="inlineStr">
        <is>
          <t>2024004250026</t>
        </is>
      </c>
      <c r="J355" s="99">
        <v>270000000</v>
      </c>
      <c r="K355" s="99">
        <v>0</v>
      </c>
      <c r="L355" s="99">
        <v>0</v>
      </c>
      <c r="M355" s="99">
        <v>120000000</v>
      </c>
      <c r="N355" s="99">
        <v>150000000</v>
      </c>
      <c r="O355" s="99" t="inlineStr">
        <is>
          <t xml:space="preserve"> </t>
        </is>
      </c>
      <c r="P355" s="99" t="inlineStr">
        <is>
          <t xml:space="preserve"> </t>
        </is>
      </c>
      <c r="Q355" s="99" t="inlineStr">
        <is>
          <t xml:space="preserve"> </t>
        </is>
      </c>
      <c r="R355" s="100" t="inlineStr">
        <is>
          <t xml:space="preserve"> </t>
        </is>
      </c>
      <c r="S355" t="inlineStr">
        <is>
          <t>No se encontró ejecución en CUIPO</t>
        </is>
      </c>
      <c r="T355" s="101" t="inlineStr">
        <is>
          <t xml:space="preserve"> </t>
        </is>
      </c>
      <c r="U355" s="101" t="inlineStr">
        <is>
          <t xml:space="preserve"> </t>
        </is>
      </c>
      <c r="V355" s="101" t="inlineStr">
        <is>
          <t xml:space="preserve"> </t>
        </is>
      </c>
      <c r="W355" s="102" t="inlineStr">
        <is>
          <t xml:space="preserve"> </t>
        </is>
      </c>
      <c r="X355" t="inlineStr">
        <is>
          <t>No se encontró ejecución en CUIPO</t>
        </is>
      </c>
    </row>
    <row r="356">
      <c r="A356" t="inlineStr">
        <is>
          <t>IP-384</t>
        </is>
      </c>
      <c r="B356" t="inlineStr">
        <is>
          <t>04</t>
        </is>
      </c>
      <c r="C356" t="inlineStr">
        <is>
          <t>Información Estadística</t>
        </is>
      </c>
      <c r="D356" t="inlineStr">
        <is>
          <t>0401</t>
        </is>
      </c>
      <c r="E356" t="inlineStr">
        <is>
          <t>Levantamiento y actualización de información estadística de calidad</t>
        </is>
      </c>
      <c r="F356" t="inlineStr">
        <is>
          <t>0401001</t>
        </is>
      </c>
      <c r="G356" t="inlineStr">
        <is>
          <t>Bases de datos de la temática de Demografía y Población</t>
        </is>
      </c>
      <c r="H356" t="inlineStr">
        <is>
          <t>Generación de información poblacional recolectada sin identificación de la fuente</t>
        </is>
      </c>
      <c r="I356" t="inlineStr">
        <is>
          <t>2024004250259</t>
        </is>
      </c>
      <c r="J356" s="99">
        <v>278600000</v>
      </c>
      <c r="K356" s="99">
        <v>0</v>
      </c>
      <c r="L356" s="99">
        <v>0</v>
      </c>
      <c r="M356" s="99">
        <v>96000000</v>
      </c>
      <c r="N356" s="99">
        <v>182600000</v>
      </c>
      <c r="O356" s="99" t="inlineStr">
        <is>
          <t xml:space="preserve"> </t>
        </is>
      </c>
      <c r="P356" s="99" t="inlineStr">
        <is>
          <t xml:space="preserve"> </t>
        </is>
      </c>
      <c r="Q356" s="99" t="inlineStr">
        <is>
          <t xml:space="preserve"> </t>
        </is>
      </c>
      <c r="R356" s="100" t="inlineStr">
        <is>
          <t xml:space="preserve"> </t>
        </is>
      </c>
      <c r="S356" t="inlineStr">
        <is>
          <t>No se encontró ejecución en CUIPO</t>
        </is>
      </c>
      <c r="T356" s="101" t="inlineStr">
        <is>
          <t xml:space="preserve"> </t>
        </is>
      </c>
      <c r="U356" s="101" t="inlineStr">
        <is>
          <t xml:space="preserve"> </t>
        </is>
      </c>
      <c r="V356" s="101" t="inlineStr">
        <is>
          <t xml:space="preserve"> </t>
        </is>
      </c>
      <c r="W356" s="102" t="inlineStr">
        <is>
          <t xml:space="preserve"> </t>
        </is>
      </c>
      <c r="X356" t="inlineStr">
        <is>
          <t>No se encontró ejecución en CUIPO</t>
        </is>
      </c>
    </row>
    <row r="357">
      <c r="A357" t="inlineStr">
        <is>
          <t>IP-385</t>
        </is>
      </c>
      <c r="B357" t="inlineStr">
        <is>
          <t>24</t>
        </is>
      </c>
      <c r="C357" t="inlineStr">
        <is>
          <t>Transporte</t>
        </is>
      </c>
      <c r="D357" t="inlineStr">
        <is>
          <t>2406</t>
        </is>
      </c>
      <c r="E357" t="inlineStr">
        <is>
          <t>Infraestructura de transporte fluvial</t>
        </is>
      </c>
      <c r="F357" t="inlineStr">
        <is>
          <t>2406057</t>
        </is>
      </c>
      <c r="G357" t="inlineStr">
        <is>
          <t>Servicio de apoyo financiero para el desarrollo de obras de infraestructura fluvial</t>
        </is>
      </c>
      <c r="H357" t="inlineStr">
        <is>
          <t>Corresponde al apoyo para la financiación y cofinanciación de obras de infraestructura fluvial.</t>
        </is>
      </c>
      <c r="I357" t="inlineStr">
        <is>
          <t>2021004250577</t>
        </is>
      </c>
      <c r="J357" s="99">
        <v>222192312492</v>
      </c>
      <c r="K357" s="99">
        <v>130770068018</v>
      </c>
      <c r="L357" s="99">
        <v>43036860366</v>
      </c>
      <c r="M357" s="99">
        <v>23835164585</v>
      </c>
      <c r="N357" s="99">
        <v>24550219523</v>
      </c>
      <c r="O357" s="99" t="inlineStr">
        <is>
          <t xml:space="preserve"> </t>
        </is>
      </c>
      <c r="P357" s="99" t="inlineStr">
        <is>
          <t xml:space="preserve"> </t>
        </is>
      </c>
      <c r="Q357" s="99" t="inlineStr">
        <is>
          <t xml:space="preserve"> </t>
        </is>
      </c>
      <c r="R357" s="100" t="inlineStr">
        <is>
          <t xml:space="preserve"> </t>
        </is>
      </c>
      <c r="S357" t="inlineStr">
        <is>
          <t>No se encontró ejecución en CUIPO</t>
        </is>
      </c>
      <c r="T357" s="101" t="inlineStr">
        <is>
          <t xml:space="preserve"> </t>
        </is>
      </c>
      <c r="U357" s="101" t="inlineStr">
        <is>
          <t xml:space="preserve"> </t>
        </is>
      </c>
      <c r="V357" s="101" t="inlineStr">
        <is>
          <t xml:space="preserve"> </t>
        </is>
      </c>
      <c r="W357" s="102" t="inlineStr">
        <is>
          <t xml:space="preserve"> </t>
        </is>
      </c>
      <c r="X357" t="inlineStr">
        <is>
          <t>No se encontró ejecución en CUIPO</t>
        </is>
      </c>
    </row>
    <row r="358">
      <c r="J358" s="99"/>
      <c r="K358" s="99"/>
      <c r="L358" s="99"/>
      <c r="M358" s="99"/>
      <c r="N358" s="99"/>
      <c r="O358" s="99"/>
      <c r="P358" s="99"/>
      <c r="Q358" s="99"/>
      <c r="R358" s="100"/>
      <c r="T358" s="101"/>
      <c r="U358" s="101"/>
      <c r="V358" s="101"/>
      <c r="W358"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367"/>
  <sheetViews>
    <sheetView showGridLines="0" tabSelected="1" zoomScale="85" zoomScaleNormal="85" workbookViewId="0">
      <selection activeCell="A7" sqref="A7"/>
    </sheetView>
  </sheetViews>
  <sheetFormatPr baseColWidth="10" defaultColWidth="11.453125" defaultRowHeight="14.5" x14ac:dyDescent="0.35"/>
  <cols>
    <col min="1" max="1" width="13.453125" customWidth="1"/>
    <col min="2" max="2" width="9" customWidth="1"/>
    <col min="3" max="3" width="19.26953125" customWidth="1"/>
    <col min="4" max="4" width="10.7265625" customWidth="1"/>
    <col min="5" max="5" width="19.26953125" customWidth="1"/>
    <col min="6" max="6" width="10.453125" customWidth="1"/>
    <col min="7" max="7" width="18" customWidth="1"/>
    <col min="8" max="8" width="11.26953125" customWidth="1"/>
    <col min="9" max="9" width="19.26953125" customWidth="1"/>
    <col min="10" max="10" width="14.7265625" customWidth="1"/>
    <col min="11" max="11" width="12.81640625" customWidth="1"/>
    <col min="12" max="12" width="12" customWidth="1"/>
    <col min="13" max="13" width="10.81640625" customWidth="1"/>
    <col min="14" max="17" width="13.26953125" customWidth="1"/>
    <col min="18" max="18" width="17.7265625" customWidth="1"/>
    <col min="19" max="19" width="11.7265625" style="48" customWidth="1"/>
    <col min="20" max="20" width="28.1796875" customWidth="1"/>
    <col min="21" max="21" width="17.7265625" customWidth="1"/>
    <col min="22" max="22" width="11.7265625" customWidth="1"/>
    <col min="23" max="23" width="28.1796875" customWidth="1"/>
  </cols>
  <sheetData>
    <row r="1" spans="1:23" s="20" ht="26" customFormat="1" x14ac:dyDescent="0.45">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45">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45">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45">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45">
      <c r="A5" s="46"/>
      <c r="B5" s="46"/>
      <c r="C5" s="46"/>
      <c r="D5" s="46"/>
      <c r="E5" s="46"/>
      <c r="F5" s="46"/>
      <c r="G5" s="46"/>
      <c r="H5" s="46"/>
      <c r="I5" s="46"/>
      <c r="J5" s="46"/>
      <c r="K5" s="46"/>
      <c r="L5" s="46"/>
      <c r="M5" s="46"/>
      <c r="N5" s="46"/>
      <c r="O5" s="46"/>
      <c r="P5" s="46"/>
      <c r="Q5" s="4"/>
      <c r="R5" s="4"/>
      <c r="S5" s="47"/>
      <c r="T5" s="4"/>
      <c r="U5" s="4"/>
      <c r="V5" s="4"/>
      <c r="W5" s="4"/>
    </row>
    <row r="6" spans="1:23" s="20" ht="20.5" customFormat="1" customHeight="1" x14ac:dyDescent="0.45">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45">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t>
        </is>
      </c>
      <c r="B8" t="inlineStr">
        <is>
          <t>32</t>
        </is>
      </c>
      <c r="C8" t="inlineStr">
        <is>
          <t>Ambiente y desarrollo sostenible</t>
        </is>
      </c>
      <c r="D8" t="inlineStr">
        <is>
          <t>3202</t>
        </is>
      </c>
      <c r="E8" t="inlineStr">
        <is>
          <t>Conservación de la biodiversidad y sus servicios ecosistémicos</t>
        </is>
      </c>
      <c r="F8" t="inlineStr">
        <is>
          <t>3202043</t>
        </is>
      </c>
      <c r="G8" t="inlineStr">
        <is>
          <t>Servicio apoyo financiero para la implementación de esquemas de pago por Servicio ambientales</t>
        </is>
      </c>
      <c r="H8" t="inlineStr">
        <is>
          <t>320204300</t>
        </is>
      </c>
      <c r="I8" t="inlineStr">
        <is>
          <t>Áreas con esquemas de Pago por Servicios Ambientales implementados</t>
        </is>
      </c>
      <c r="J8" t="inlineStr">
        <is>
          <t>2024004250022</t>
        </is>
      </c>
      <c r="K8" t="inlineStr">
        <is>
          <t>Si</t>
        </is>
      </c>
      <c r="L8" t="inlineStr">
        <is>
          <t>Hectáreas</t>
        </is>
      </c>
      <c r="M8">
        <v>12000</v>
      </c>
      <c r="N8">
        <v>3000</v>
      </c>
      <c r="O8">
        <v>5500</v>
      </c>
      <c r="P8">
        <v>2000</v>
      </c>
      <c r="Q8">
        <v>1500</v>
      </c>
      <c r="R8">
        <v>3460.59</v>
      </c>
      <c r="S8" s="103">
        <v>1.15353</v>
      </c>
      <c r="T8" t="inlineStr">
        <is>
          <t>Hubo ejecución por encima de lo programado en SisPT</t>
        </is>
      </c>
      <c r="U8">
        <v>3810.42</v>
      </c>
      <c r="V8" s="104">
        <v>0.692803636363636</v>
      </c>
      <c r="W8" t="inlineStr">
        <is>
          <t>Lo ejecutado está por debajo de lo programado en la vigencia</t>
        </is>
      </c>
    </row>
    <row r="9">
      <c r="A9" t="inlineStr">
        <is>
          <t>IP-2</t>
        </is>
      </c>
      <c r="B9" t="inlineStr">
        <is>
          <t>32</t>
        </is>
      </c>
      <c r="C9" t="inlineStr">
        <is>
          <t>Ambiente y desarrollo sostenible</t>
        </is>
      </c>
      <c r="D9" t="inlineStr">
        <is>
          <t>3203</t>
        </is>
      </c>
      <c r="E9" t="inlineStr">
        <is>
          <t>Gestión integral del recurso hídrico</t>
        </is>
      </c>
      <c r="F9" t="inlineStr">
        <is>
          <t>3203050</t>
        </is>
      </c>
      <c r="G9" t="inlineStr">
        <is>
          <t>Servicio de protección del recurso hídrico</t>
        </is>
      </c>
      <c r="H9" t="inlineStr">
        <is>
          <t>320305000</t>
        </is>
      </c>
      <c r="I9" t="inlineStr">
        <is>
          <t>Áreas protegidas</t>
        </is>
      </c>
      <c r="J9" t="inlineStr">
        <is>
          <t>2024004250174</t>
        </is>
      </c>
      <c r="K9" t="inlineStr">
        <is>
          <t>Si</t>
        </is>
      </c>
      <c r="L9" t="inlineStr">
        <is>
          <t>Hectáreas</t>
        </is>
      </c>
      <c r="M9">
        <v>5000</v>
      </c>
      <c r="N9">
        <v>183</v>
      </c>
      <c r="O9">
        <v>511</v>
      </c>
      <c r="P9">
        <v>2400</v>
      </c>
      <c r="Q9">
        <v>1906</v>
      </c>
      <c r="R9">
        <v>183</v>
      </c>
      <c r="S9" s="103">
        <v>1</v>
      </c>
      <c r="T9" t="inlineStr">
        <is>
          <t>Se ejecutó el 100% de lo programado en la vigencia</t>
        </is>
      </c>
      <c r="U9">
        <v>75.6</v>
      </c>
      <c r="V9" s="104">
        <v>0.147945205479452</v>
      </c>
      <c r="W9" t="inlineStr">
        <is>
          <t>Lo ejecutado está por debajo de lo programado en la vigencia</t>
        </is>
      </c>
    </row>
    <row r="10">
      <c r="A10" t="inlineStr">
        <is>
          <t>IP-3</t>
        </is>
      </c>
      <c r="B10" t="inlineStr">
        <is>
          <t>32</t>
        </is>
      </c>
      <c r="C10" t="inlineStr">
        <is>
          <t>Ambiente y desarrollo sostenible</t>
        </is>
      </c>
      <c r="D10" t="inlineStr">
        <is>
          <t>3203</t>
        </is>
      </c>
      <c r="E10" t="inlineStr">
        <is>
          <t>Gestión integral del recurso hídrico</t>
        </is>
      </c>
      <c r="F10" t="inlineStr">
        <is>
          <t>3203034</t>
        </is>
      </c>
      <c r="G10" t="inlineStr">
        <is>
          <t>Servicio de asistencia técnica para la implementación de lineamientos sobre el mejoramiento de la calidad del recurso hídrico</t>
        </is>
      </c>
      <c r="H10" t="inlineStr">
        <is>
          <t>320303400</t>
        </is>
      </c>
      <c r="I10" t="inlineStr">
        <is>
          <t>Proyectos  para el mejoramiento de la calidad del recurso hídrico formulados</t>
        </is>
      </c>
      <c r="J10" t="inlineStr">
        <is>
          <t>2024004250174</t>
        </is>
      </c>
      <c r="K10" t="inlineStr">
        <is>
          <t>Si</t>
        </is>
      </c>
      <c r="L10" t="inlineStr">
        <is>
          <t>Número</t>
        </is>
      </c>
      <c r="M10">
        <v>1000</v>
      </c>
      <c r="N10">
        <v>75</v>
      </c>
      <c r="O10">
        <v>425</v>
      </c>
      <c r="P10">
        <v>300</v>
      </c>
      <c r="Q10">
        <v>200</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IP-4</t>
        </is>
      </c>
      <c r="B11" t="inlineStr">
        <is>
          <t>32</t>
        </is>
      </c>
      <c r="C11" t="inlineStr">
        <is>
          <t>Ambiente y desarrollo sostenible</t>
        </is>
      </c>
      <c r="D11" t="inlineStr">
        <is>
          <t>3202</t>
        </is>
      </c>
      <c r="E11" t="inlineStr">
        <is>
          <t>Conservación de la biodiversidad y sus servicios ecosistémicos</t>
        </is>
      </c>
      <c r="F11" t="inlineStr">
        <is>
          <t>3202049</t>
        </is>
      </c>
      <c r="G11" t="inlineStr">
        <is>
          <t>Servicio de recuperación de ecosistemas</t>
        </is>
      </c>
      <c r="H11" t="inlineStr">
        <is>
          <t>320204900</t>
        </is>
      </c>
      <c r="I11" t="inlineStr">
        <is>
          <t>Áreas en proceso de recuperación de cobertura vegetal</t>
        </is>
      </c>
      <c r="J11" t="inlineStr">
        <is>
          <t>2024004250101</t>
        </is>
      </c>
      <c r="K11" t="inlineStr">
        <is>
          <t>Si</t>
        </is>
      </c>
      <c r="L11" t="inlineStr">
        <is>
          <t>Hectáreas</t>
        </is>
      </c>
      <c r="M11">
        <v>100</v>
      </c>
      <c r="N11">
        <v>10</v>
      </c>
      <c r="O11">
        <v>40</v>
      </c>
      <c r="P11">
        <v>30</v>
      </c>
      <c r="Q11">
        <v>20</v>
      </c>
      <c r="R11">
        <v>10</v>
      </c>
      <c r="S11" s="103">
        <v>1</v>
      </c>
      <c r="T11" t="inlineStr">
        <is>
          <t>Se ejecutó el 100% de lo programado en la vigencia</t>
        </is>
      </c>
      <c r="U11">
        <v>5</v>
      </c>
      <c r="V11" s="104">
        <v>0.125</v>
      </c>
      <c r="W11" t="inlineStr">
        <is>
          <t>Lo ejecutado está por debajo de lo programado en la vigencia</t>
        </is>
      </c>
    </row>
    <row r="12">
      <c r="A12" t="inlineStr">
        <is>
          <t>IP-5</t>
        </is>
      </c>
      <c r="B12" t="inlineStr">
        <is>
          <t>40</t>
        </is>
      </c>
      <c r="C12" t="inlineStr">
        <is>
          <t>Vivienda, ciudad y territorio</t>
        </is>
      </c>
      <c r="D12" t="inlineStr">
        <is>
          <t>4003</t>
        </is>
      </c>
      <c r="E12" t="inlineStr">
        <is>
          <t>Acceso de la población a los servicios de agua potable y saneamiento básico</t>
        </is>
      </c>
      <c r="F12" t="inlineStr">
        <is>
          <t>4003025</t>
        </is>
      </c>
      <c r="G12" t="inlineStr">
        <is>
          <t>Servicios de apoyo financiero para la ejecución de proyectos de acueductos y alcantarillado</t>
        </is>
      </c>
      <c r="H12" t="inlineStr">
        <is>
          <t>400302500</t>
        </is>
      </c>
      <c r="I12" t="inlineStr">
        <is>
          <t>Proyectos de acueducto y alcantarillado en área urbana financiados</t>
        </is>
      </c>
      <c r="J12" t="inlineStr">
        <is>
          <t>2021004250583</t>
        </is>
      </c>
      <c r="K12" t="inlineStr">
        <is>
          <t>No</t>
        </is>
      </c>
      <c r="L12" t="inlineStr">
        <is>
          <t>Número</t>
        </is>
      </c>
      <c r="M12">
        <v>1</v>
      </c>
      <c r="N12">
        <v>1</v>
      </c>
      <c r="O12">
        <v>1</v>
      </c>
      <c r="P12">
        <v>1</v>
      </c>
      <c r="Q12">
        <v>1</v>
      </c>
      <c r="R12">
        <v>100</v>
      </c>
      <c r="S12" s="103">
        <v>100</v>
      </c>
      <c r="T12" t="inlineStr">
        <is>
          <t>Hubo ejecución por encima de lo programado en SisPT</t>
        </is>
      </c>
      <c r="U12" t="inlineStr">
        <is>
          <t xml:space="preserve"> </t>
        </is>
      </c>
      <c r="V12" s="104" t="inlineStr">
        <is>
          <t xml:space="preserve"> </t>
        </is>
      </c>
      <c r="W12" t="inlineStr">
        <is>
          <t>No se encontró ejecución en PIIP</t>
        </is>
      </c>
    </row>
    <row r="13">
      <c r="A13" t="inlineStr">
        <is>
          <t>IP-6</t>
        </is>
      </c>
      <c r="B13" t="inlineStr">
        <is>
          <t>17</t>
        </is>
      </c>
      <c r="C13" t="inlineStr">
        <is>
          <t xml:space="preserve">Agricultura y desarrollo rural
</t>
        </is>
      </c>
      <c r="D13" t="inlineStr">
        <is>
          <t>1709</t>
        </is>
      </c>
      <c r="E13" t="inlineStr">
        <is>
          <t>Infraestructura productiva y comercialización</t>
        </is>
      </c>
      <c r="F13" t="inlineStr">
        <is>
          <t>1709105</t>
        </is>
      </c>
      <c r="G13" t="inlineStr">
        <is>
          <t>Servicio de apoyo a la producción de las cadenas agrícolas, forestales, pecuarias, pesqueras y acuícolas</t>
        </is>
      </c>
      <c r="H13" t="inlineStr">
        <is>
          <t>170910500</t>
        </is>
      </c>
      <c r="I13" t="inlineStr">
        <is>
          <t>Cadenas productivas apoyadas</t>
        </is>
      </c>
      <c r="J13" t="inlineStr">
        <is>
          <t>2024004250113</t>
        </is>
      </c>
      <c r="K13" t="inlineStr">
        <is>
          <t>Si</t>
        </is>
      </c>
      <c r="L13" t="inlineStr">
        <is>
          <t>Número</t>
        </is>
      </c>
      <c r="M13">
        <v>80</v>
      </c>
      <c r="N13">
        <v>29</v>
      </c>
      <c r="O13">
        <v>29</v>
      </c>
      <c r="P13">
        <v>11</v>
      </c>
      <c r="Q13">
        <v>11</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IP-7</t>
        </is>
      </c>
      <c r="B14" t="inlineStr">
        <is>
          <t>17</t>
        </is>
      </c>
      <c r="C14" t="inlineStr">
        <is>
          <t xml:space="preserve">Agricultura y desarrollo rural
</t>
        </is>
      </c>
      <c r="D14" t="inlineStr">
        <is>
          <t>1702</t>
        </is>
      </c>
      <c r="E14" t="inlineStr">
        <is>
          <t>Inclusión productiva de pequeños productores rurales</t>
        </is>
      </c>
      <c r="F14" t="inlineStr">
        <is>
          <t>1702021</t>
        </is>
      </c>
      <c r="G14" t="inlineStr">
        <is>
          <t>Servicio de acompañamiento productivo y empresarial</t>
        </is>
      </c>
      <c r="H14" t="inlineStr">
        <is>
          <t>170202100</t>
        </is>
      </c>
      <c r="I14" t="inlineStr">
        <is>
          <t>Unidades productivas beneficiadas</t>
        </is>
      </c>
      <c r="J14" t="inlineStr">
        <is>
          <t>2024004250089</t>
        </is>
      </c>
      <c r="K14" t="inlineStr">
        <is>
          <t>Si</t>
        </is>
      </c>
      <c r="L14" t="inlineStr">
        <is>
          <t>Número</t>
        </is>
      </c>
      <c r="M14">
        <v>300</v>
      </c>
      <c r="N14">
        <v>32</v>
      </c>
      <c r="O14">
        <v>119</v>
      </c>
      <c r="P14">
        <v>67</v>
      </c>
      <c r="Q14">
        <v>82</v>
      </c>
      <c r="R14">
        <v>1.99</v>
      </c>
      <c r="S14" s="103">
        <v>0.0621875</v>
      </c>
      <c r="T14" t="inlineStr">
        <is>
          <t>Lo ejecutado está por debajo de lo programado en la vigencia</t>
        </is>
      </c>
      <c r="U14">
        <v>9.3</v>
      </c>
      <c r="V14" s="104">
        <v>0.0781512605042017</v>
      </c>
      <c r="W14" t="inlineStr">
        <is>
          <t>Lo ejecutado está por debajo de lo programado en la vigencia</t>
        </is>
      </c>
    </row>
    <row r="15">
      <c r="A15" t="inlineStr">
        <is>
          <t>IP-8</t>
        </is>
      </c>
      <c r="B15" t="inlineStr">
        <is>
          <t>40</t>
        </is>
      </c>
      <c r="C15" t="inlineStr">
        <is>
          <t>Vivienda, ciudad y territorio</t>
        </is>
      </c>
      <c r="D15" t="inlineStr">
        <is>
          <t>4003</t>
        </is>
      </c>
      <c r="E15" t="inlineStr">
        <is>
          <t>Acceso de la población a los servicios de agua potable y saneamiento básico</t>
        </is>
      </c>
      <c r="F15" t="inlineStr">
        <is>
          <t>4003055</t>
        </is>
      </c>
      <c r="G15" t="inlineStr">
        <is>
          <t>Servicio de asistencia técnica</t>
        </is>
      </c>
      <c r="H15" t="inlineStr">
        <is>
          <t>400305500</t>
        </is>
      </c>
      <c r="I15" t="inlineStr">
        <is>
          <t>Asistencias técnicas realizadas</t>
        </is>
      </c>
      <c r="J15" t="inlineStr">
        <is>
          <t>2024004250171</t>
        </is>
      </c>
      <c r="K15" t="inlineStr">
        <is>
          <t>Si</t>
        </is>
      </c>
      <c r="L15" t="inlineStr">
        <is>
          <t>Número</t>
        </is>
      </c>
      <c r="M15">
        <v>40</v>
      </c>
      <c r="N15">
        <v>8</v>
      </c>
      <c r="O15">
        <v>12</v>
      </c>
      <c r="P15">
        <v>12</v>
      </c>
      <c r="Q15">
        <v>8</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IP-9</t>
        </is>
      </c>
      <c r="B16" t="inlineStr">
        <is>
          <t>40</t>
        </is>
      </c>
      <c r="C16" t="inlineStr">
        <is>
          <t>Vivienda, ciudad y territorio</t>
        </is>
      </c>
      <c r="D16" t="inlineStr">
        <is>
          <t>4003</t>
        </is>
      </c>
      <c r="E16" t="inlineStr">
        <is>
          <t>Acceso de la población a los servicios de agua potable y saneamiento básico</t>
        </is>
      </c>
      <c r="F16" t="inlineStr">
        <is>
          <t>4003008</t>
        </is>
      </c>
      <c r="G16" t="inlineStr">
        <is>
          <t>Servicio de apoyo financiero a los planes, programas y proyectos de Agua Potable y Saneamiento Básico</t>
        </is>
      </c>
      <c r="H16" t="inlineStr">
        <is>
          <t>400300800</t>
        </is>
      </c>
      <c r="I16" t="inlineStr">
        <is>
          <t>Proyectos de acueducto, alcantarillado y aseo apoyados financieramente</t>
        </is>
      </c>
      <c r="J16" t="inlineStr">
        <is>
          <t>2024004250171</t>
        </is>
      </c>
      <c r="K16" t="inlineStr">
        <is>
          <t>No</t>
        </is>
      </c>
      <c r="L16" t="inlineStr">
        <is>
          <t>Número</t>
        </is>
      </c>
      <c r="M16">
        <v>1</v>
      </c>
      <c r="N16">
        <v>1</v>
      </c>
      <c r="O16">
        <v>1</v>
      </c>
      <c r="P16">
        <v>1</v>
      </c>
      <c r="Q16">
        <v>1</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IP-10</t>
        </is>
      </c>
      <c r="B17" t="inlineStr">
        <is>
          <t>32</t>
        </is>
      </c>
      <c r="C17" t="inlineStr">
        <is>
          <t>Ambiente y desarrollo sostenible</t>
        </is>
      </c>
      <c r="D17" t="inlineStr">
        <is>
          <t>3202</t>
        </is>
      </c>
      <c r="E17" t="inlineStr">
        <is>
          <t>Conservación de la biodiversidad y sus servicios ecosistémicos</t>
        </is>
      </c>
      <c r="F17" t="inlineStr">
        <is>
          <t>3202062</t>
        </is>
      </c>
      <c r="G17" t="inlineStr">
        <is>
          <t>Centro de transformación productiva construido y dotado para actividades de bioeconomía</t>
        </is>
      </c>
      <c r="H17" t="inlineStr">
        <is>
          <t>320206200</t>
        </is>
      </c>
      <c r="I17" t="inlineStr">
        <is>
          <t>Centros construidos y dotados</t>
        </is>
      </c>
      <c r="J17" t="inlineStr">
        <is>
          <t>2024004250225</t>
        </is>
      </c>
      <c r="K17" t="inlineStr">
        <is>
          <t>Si</t>
        </is>
      </c>
      <c r="L17" t="inlineStr">
        <is>
          <t>Número</t>
        </is>
      </c>
      <c r="M17">
        <v>2</v>
      </c>
      <c r="N17">
        <v>0.2</v>
      </c>
      <c r="O17">
        <v>0.5</v>
      </c>
      <c r="P17">
        <v>0.9</v>
      </c>
      <c r="Q17">
        <v>0.4</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IP-11</t>
        </is>
      </c>
      <c r="B18" t="inlineStr">
        <is>
          <t>40</t>
        </is>
      </c>
      <c r="C18" t="inlineStr">
        <is>
          <t>Vivienda, ciudad y territorio</t>
        </is>
      </c>
      <c r="D18" t="inlineStr">
        <is>
          <t>4003</t>
        </is>
      </c>
      <c r="E18" t="inlineStr">
        <is>
          <t>Acceso de la población a los servicios de agua potable y saneamiento básico</t>
        </is>
      </c>
      <c r="F18" t="inlineStr">
        <is>
          <t>4003021</t>
        </is>
      </c>
      <c r="G18" t="inlineStr">
        <is>
          <t>Servicios de asistencia técnica en manejo de residuos solidos</t>
        </is>
      </c>
      <c r="H18" t="inlineStr">
        <is>
          <t>400302100</t>
        </is>
      </c>
      <c r="I18" t="inlineStr">
        <is>
          <t>Personas asistidas técnicamente</t>
        </is>
      </c>
      <c r="J18" t="inlineStr">
        <is>
          <t>2024004250171</t>
        </is>
      </c>
      <c r="K18" t="inlineStr">
        <is>
          <t>Si</t>
        </is>
      </c>
      <c r="L18" t="inlineStr">
        <is>
          <t>Número</t>
        </is>
      </c>
      <c r="M18">
        <v>60</v>
      </c>
      <c r="N18">
        <v>10</v>
      </c>
      <c r="O18">
        <v>20</v>
      </c>
      <c r="P18">
        <v>20</v>
      </c>
      <c r="Q18">
        <v>10</v>
      </c>
      <c r="R18" t="inlineStr">
        <is>
          <t xml:space="preserve"> </t>
        </is>
      </c>
      <c r="S18" s="103" t="inlineStr">
        <is>
          <t xml:space="preserve"> </t>
        </is>
      </c>
      <c r="T18" t="inlineStr">
        <is>
          <t>No se encontró ejecución en PIIP</t>
        </is>
      </c>
      <c r="U18" t="inlineStr">
        <is>
          <t xml:space="preserve"> </t>
        </is>
      </c>
      <c r="V18" s="104" t="inlineStr">
        <is>
          <t xml:space="preserve"> </t>
        </is>
      </c>
      <c r="W18" t="inlineStr">
        <is>
          <t>No se encontró ejecución en PIIP</t>
        </is>
      </c>
    </row>
    <row r="19">
      <c r="A19" t="inlineStr">
        <is>
          <t>IP-12</t>
        </is>
      </c>
      <c r="B19" t="inlineStr">
        <is>
          <t>23</t>
        </is>
      </c>
      <c r="C19" t="inlineStr">
        <is>
          <t>Tecnologías de la información y las comunicaciones</t>
        </is>
      </c>
      <c r="D19" t="inlineStr">
        <is>
          <t>2301</t>
        </is>
      </c>
      <c r="E19" t="inlineStr">
        <is>
          <t>Facilitar el acceso y uso de las Tecnologías de la Información y las Comunicaciones (TIC) en todo el territorio nacional</t>
        </is>
      </c>
      <c r="F19" t="inlineStr">
        <is>
          <t>2301064</t>
        </is>
      </c>
      <c r="G19" t="inlineStr">
        <is>
          <t>Servicio de recolección y gestión de residuos electrónicos</t>
        </is>
      </c>
      <c r="H19" t="inlineStr">
        <is>
          <t>230106400</t>
        </is>
      </c>
      <c r="I19" t="inlineStr">
        <is>
          <t>Residuos electrónicos dispuestos correctamente</t>
        </is>
      </c>
      <c r="J19" t="inlineStr">
        <is>
          <t>2024004250201</t>
        </is>
      </c>
      <c r="K19" t="inlineStr">
        <is>
          <t>Si</t>
        </is>
      </c>
      <c r="L19" t="inlineStr">
        <is>
          <t>Toneladas</t>
        </is>
      </c>
      <c r="M19">
        <v>150</v>
      </c>
      <c r="N19">
        <v>15</v>
      </c>
      <c r="O19">
        <v>50</v>
      </c>
      <c r="P19">
        <v>40</v>
      </c>
      <c r="Q19">
        <v>45</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IP-13</t>
        </is>
      </c>
      <c r="B20" t="inlineStr">
        <is>
          <t>40</t>
        </is>
      </c>
      <c r="C20" t="inlineStr">
        <is>
          <t>Vivienda, ciudad y territorio</t>
        </is>
      </c>
      <c r="D20" t="inlineStr">
        <is>
          <t>4003</t>
        </is>
      </c>
      <c r="E20" t="inlineStr">
        <is>
          <t>Acceso de la población a los servicios de agua potable y saneamiento básico</t>
        </is>
      </c>
      <c r="F20" t="inlineStr">
        <is>
          <t>4003022</t>
        </is>
      </c>
      <c r="G20" t="inlineStr">
        <is>
          <t>Servicios de implementación del Plan de Gestión Integral de Residuos Solidos PGIRS</t>
        </is>
      </c>
      <c r="H20" t="inlineStr">
        <is>
          <t>400302200</t>
        </is>
      </c>
      <c r="I20" t="inlineStr">
        <is>
          <t>Plan de Gestión Integral de Residuos Solidos implementado</t>
        </is>
      </c>
      <c r="J20" t="inlineStr">
        <is>
          <t>2024004250099</t>
        </is>
      </c>
      <c r="K20" t="inlineStr">
        <is>
          <t>Si</t>
        </is>
      </c>
      <c r="L20" t="inlineStr">
        <is>
          <t>Número</t>
        </is>
      </c>
      <c r="M20">
        <v>1</v>
      </c>
      <c r="N20">
        <v>0.15</v>
      </c>
      <c r="O20">
        <v>0.35</v>
      </c>
      <c r="P20">
        <v>0.3</v>
      </c>
      <c r="Q20">
        <v>0.2</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IP-14</t>
        </is>
      </c>
      <c r="B21" t="inlineStr">
        <is>
          <t>32</t>
        </is>
      </c>
      <c r="C21" t="inlineStr">
        <is>
          <t>Ambiente y desarrollo sostenible</t>
        </is>
      </c>
      <c r="D21" t="inlineStr">
        <is>
          <t>3201</t>
        </is>
      </c>
      <c r="E21" t="inlineStr">
        <is>
          <t>Fortalecimiento del desempeño ambiental de los sectores productivos</t>
        </is>
      </c>
      <c r="F21" t="inlineStr">
        <is>
          <t>3201003</t>
        </is>
      </c>
      <c r="G21" t="inlineStr">
        <is>
          <t>Servicio de asistencia técnica para la consolidación de negocios verdes</t>
        </is>
      </c>
      <c r="H21" t="inlineStr">
        <is>
          <t>320100300</t>
        </is>
      </c>
      <c r="I21" t="inlineStr">
        <is>
          <t xml:space="preserve">Negocios verdes consolidados </t>
        </is>
      </c>
      <c r="J21" t="inlineStr">
        <is>
          <t>2024004250109</t>
        </is>
      </c>
      <c r="K21" t="inlineStr">
        <is>
          <t>Si</t>
        </is>
      </c>
      <c r="L21" t="inlineStr">
        <is>
          <t>Número</t>
        </is>
      </c>
      <c r="M21">
        <v>200</v>
      </c>
      <c r="N21">
        <v>60</v>
      </c>
      <c r="O21">
        <v>60</v>
      </c>
      <c r="P21">
        <v>60</v>
      </c>
      <c r="Q21">
        <v>20</v>
      </c>
      <c r="R21">
        <v>60</v>
      </c>
      <c r="S21" s="103">
        <v>1</v>
      </c>
      <c r="T21" t="inlineStr">
        <is>
          <t>Se ejecutó el 100% de lo programado en la vigencia</t>
        </is>
      </c>
      <c r="U21">
        <v>36</v>
      </c>
      <c r="V21" s="104">
        <v>0.6</v>
      </c>
      <c r="W21" t="inlineStr">
        <is>
          <t>Lo ejecutado está por debajo de lo programado en la vigencia</t>
        </is>
      </c>
    </row>
    <row r="22">
      <c r="A22" t="inlineStr">
        <is>
          <t>IP-15</t>
        </is>
      </c>
      <c r="B22" t="inlineStr">
        <is>
          <t>32</t>
        </is>
      </c>
      <c r="C22" t="inlineStr">
        <is>
          <t>Ambiente y desarrollo sostenible</t>
        </is>
      </c>
      <c r="D22" t="inlineStr">
        <is>
          <t>3206</t>
        </is>
      </c>
      <c r="E22" t="inlineStr">
        <is>
          <t>Gestión del cambio climático para un desarrollo bajo en carbono y resiliente al clima</t>
        </is>
      </c>
      <c r="F22" t="inlineStr">
        <is>
          <t>3206011</t>
        </is>
      </c>
      <c r="G22" t="inlineStr">
        <is>
          <t>Servicios de información para el seguimiento a los compromisos en cambio climático de Colombia</t>
        </is>
      </c>
      <c r="H22" t="inlineStr">
        <is>
          <t>320601100</t>
        </is>
      </c>
      <c r="I22" t="inlineStr">
        <is>
          <t>Documentos con los resultados del monitoreo elaborados</t>
        </is>
      </c>
      <c r="J22" t="inlineStr">
        <is>
          <t>2024004250111</t>
        </is>
      </c>
      <c r="K22" t="inlineStr">
        <is>
          <t>Si</t>
        </is>
      </c>
      <c r="L22" t="inlineStr">
        <is>
          <t>Número</t>
        </is>
      </c>
      <c r="M22">
        <v>4</v>
      </c>
      <c r="N22">
        <v>1</v>
      </c>
      <c r="O22">
        <v>1</v>
      </c>
      <c r="P22">
        <v>1</v>
      </c>
      <c r="Q22">
        <v>1</v>
      </c>
      <c r="R22">
        <v>1</v>
      </c>
      <c r="S22" s="103">
        <v>1</v>
      </c>
      <c r="T22" t="inlineStr">
        <is>
          <t>Se ejecutó el 100% de lo programado en la vigencia</t>
        </is>
      </c>
      <c r="U22">
        <v>1</v>
      </c>
      <c r="V22" s="104">
        <v>1</v>
      </c>
      <c r="W22" t="inlineStr">
        <is>
          <t>Se ejecutó el 100% de lo programado en la vigencia</t>
        </is>
      </c>
    </row>
    <row r="23">
      <c r="A23" t="inlineStr">
        <is>
          <t>IP-16</t>
        </is>
      </c>
      <c r="B23" t="inlineStr">
        <is>
          <t>32</t>
        </is>
      </c>
      <c r="C23" t="inlineStr">
        <is>
          <t>Ambiente y desarrollo sostenible</t>
        </is>
      </c>
      <c r="D23" t="inlineStr">
        <is>
          <t>3206</t>
        </is>
      </c>
      <c r="E23" t="inlineStr">
        <is>
          <t>Gestión del cambio climático para un desarrollo bajo en carbono y resiliente al clima</t>
        </is>
      </c>
      <c r="F23" t="inlineStr">
        <is>
          <t>3206003</t>
        </is>
      </c>
      <c r="G23" t="inlineStr">
        <is>
          <t>Servicio de apoyo técnico para la implementación de acciones de mitigación y adaptación al cambio climático</t>
        </is>
      </c>
      <c r="H23" t="inlineStr">
        <is>
          <t>320600300</t>
        </is>
      </c>
      <c r="I23" t="inlineStr">
        <is>
          <t>Pilotos con acciones de mitigación y adaptación al cambio climático desarrollados</t>
        </is>
      </c>
      <c r="J23" t="inlineStr">
        <is>
          <t>2024004250056</t>
        </is>
      </c>
      <c r="K23" t="inlineStr">
        <is>
          <t>Si</t>
        </is>
      </c>
      <c r="L23" t="inlineStr">
        <is>
          <t>Número</t>
        </is>
      </c>
      <c r="M23">
        <v>6</v>
      </c>
      <c r="N23">
        <v>1.2</v>
      </c>
      <c r="O23">
        <v>1.8</v>
      </c>
      <c r="P23">
        <v>1.5</v>
      </c>
      <c r="Q23">
        <v>1.5</v>
      </c>
      <c r="R23">
        <v>1.2</v>
      </c>
      <c r="S23" s="103">
        <v>1</v>
      </c>
      <c r="T23" t="inlineStr">
        <is>
          <t>Se ejecutó el 100% de lo programado en la vigencia</t>
        </is>
      </c>
      <c r="U23">
        <v>1.48</v>
      </c>
      <c r="V23" s="104">
        <v>0.822222222222222</v>
      </c>
      <c r="W23" t="inlineStr">
        <is>
          <t>Lo ejecutado está por debajo de lo programado en la vigencia</t>
        </is>
      </c>
    </row>
    <row r="24">
      <c r="A24" t="inlineStr">
        <is>
          <t>IP-17</t>
        </is>
      </c>
      <c r="B24" t="inlineStr">
        <is>
          <t>32</t>
        </is>
      </c>
      <c r="C24" t="inlineStr">
        <is>
          <t>Ambiente y desarrollo sostenible</t>
        </is>
      </c>
      <c r="D24" t="inlineStr">
        <is>
          <t>3202</t>
        </is>
      </c>
      <c r="E24" t="inlineStr">
        <is>
          <t>Conservación de la biodiversidad y sus servicios ecosistémicos</t>
        </is>
      </c>
      <c r="F24" t="inlineStr">
        <is>
          <t>3202005</t>
        </is>
      </c>
      <c r="G24" t="inlineStr">
        <is>
          <t>Servicio de restauración de ecosistemas</t>
        </is>
      </c>
      <c r="H24" t="inlineStr">
        <is>
          <t>320200500</t>
        </is>
      </c>
      <c r="I24" t="inlineStr">
        <is>
          <t>Áreas en proceso de restauración</t>
        </is>
      </c>
      <c r="J24" t="inlineStr">
        <is>
          <t>2024004250170</t>
        </is>
      </c>
      <c r="K24" t="inlineStr">
        <is>
          <t>Si</t>
        </is>
      </c>
      <c r="L24" t="inlineStr">
        <is>
          <t>Hectáreas</t>
        </is>
      </c>
      <c r="M24">
        <v>2000</v>
      </c>
      <c r="N24">
        <v>100</v>
      </c>
      <c r="O24">
        <v>800</v>
      </c>
      <c r="P24">
        <v>800</v>
      </c>
      <c r="Q24">
        <v>300</v>
      </c>
      <c r="R24">
        <v>100</v>
      </c>
      <c r="S24" s="103">
        <v>1</v>
      </c>
      <c r="T24" t="inlineStr">
        <is>
          <t>Se ejecutó el 100% de lo programado en la vigencia</t>
        </is>
      </c>
      <c r="U24">
        <v>375</v>
      </c>
      <c r="V24" s="104">
        <v>0.46875</v>
      </c>
      <c r="W24" t="inlineStr">
        <is>
          <t>Lo ejecutado está por debajo de lo programado en la vigencia</t>
        </is>
      </c>
    </row>
    <row r="25">
      <c r="A25" t="inlineStr">
        <is>
          <t>IP-18</t>
        </is>
      </c>
      <c r="B25" t="inlineStr">
        <is>
          <t>40</t>
        </is>
      </c>
      <c r="C25" t="inlineStr">
        <is>
          <t>Vivienda, ciudad y territorio</t>
        </is>
      </c>
      <c r="D25" t="inlineStr">
        <is>
          <t>4003</t>
        </is>
      </c>
      <c r="E25" t="inlineStr">
        <is>
          <t>Acceso de la población a los servicios de agua potable y saneamiento básico</t>
        </is>
      </c>
      <c r="F25" t="inlineStr">
        <is>
          <t>4003026</t>
        </is>
      </c>
      <c r="G25" t="inlineStr">
        <is>
          <t>Servicios de apoyo financiero para la ejecución de proyectos de acueductos y de manejo de aguas residuales</t>
        </is>
      </c>
      <c r="H25" t="inlineStr">
        <is>
          <t>400302600</t>
        </is>
      </c>
      <c r="I25" t="inlineStr">
        <is>
          <t>Proyectos de acueducto y de manejo de aguas residuales en área rural financiados</t>
        </is>
      </c>
      <c r="J25" t="inlineStr">
        <is>
          <t>2021004250560</t>
        </is>
      </c>
      <c r="K25" t="inlineStr">
        <is>
          <t>No</t>
        </is>
      </c>
      <c r="L25" t="inlineStr">
        <is>
          <t>Número</t>
        </is>
      </c>
      <c r="M25">
        <v>1</v>
      </c>
      <c r="N25">
        <v>1</v>
      </c>
      <c r="O25">
        <v>1</v>
      </c>
      <c r="P25">
        <v>1</v>
      </c>
      <c r="Q25">
        <v>1</v>
      </c>
      <c r="R25">
        <v>1</v>
      </c>
      <c r="S25" s="103">
        <v>1</v>
      </c>
      <c r="T25" t="inlineStr">
        <is>
          <t>Se ejecutó el 100% de lo programado en la vigencia</t>
        </is>
      </c>
      <c r="U25">
        <v>1</v>
      </c>
      <c r="V25" s="104">
        <v>1</v>
      </c>
      <c r="W25" t="inlineStr">
        <is>
          <t>Se ejecutó el 100% de lo programado en la vigencia</t>
        </is>
      </c>
    </row>
    <row r="26">
      <c r="A26" t="inlineStr">
        <is>
          <t>IP-19</t>
        </is>
      </c>
      <c r="B26" t="inlineStr">
        <is>
          <t>45</t>
        </is>
      </c>
      <c r="C26" t="inlineStr">
        <is>
          <t>Gobierno Territorial</t>
        </is>
      </c>
      <c r="D26" t="inlineStr">
        <is>
          <t>4503</t>
        </is>
      </c>
      <c r="E26" t="inlineStr">
        <is>
          <t>Gestión del riesgo de desastres y emergencias</t>
        </is>
      </c>
      <c r="F26" t="inlineStr">
        <is>
          <t>4503033</t>
        </is>
      </c>
      <c r="G26" t="inlineStr">
        <is>
          <t>Servicio de información implementado</t>
        </is>
      </c>
      <c r="H26" t="inlineStr">
        <is>
          <t>450303300</t>
        </is>
      </c>
      <c r="I26" t="inlineStr">
        <is>
          <t>Sistemas de información implementados</t>
        </is>
      </c>
      <c r="J26" t="inlineStr">
        <is>
          <t>2024004250202</t>
        </is>
      </c>
      <c r="K26" t="inlineStr">
        <is>
          <t>Si</t>
        </is>
      </c>
      <c r="L26" t="inlineStr">
        <is>
          <t>Número</t>
        </is>
      </c>
      <c r="M26">
        <v>1</v>
      </c>
      <c r="N26">
        <v>0</v>
      </c>
      <c r="O26">
        <v>0.4</v>
      </c>
      <c r="P26">
        <v>0.4</v>
      </c>
      <c r="Q26">
        <v>0.2</v>
      </c>
      <c r="R26" t="inlineStr">
        <is>
          <t xml:space="preserve"> </t>
        </is>
      </c>
      <c r="S26" s="103" t="inlineStr">
        <is>
          <t xml:space="preserve"> </t>
        </is>
      </c>
      <c r="T26" t="inlineStr">
        <is>
          <t>No se encontró ejecución en PIIP</t>
        </is>
      </c>
      <c r="U26" t="inlineStr">
        <is>
          <t xml:space="preserve"> </t>
        </is>
      </c>
      <c r="V26" s="104" t="inlineStr">
        <is>
          <t xml:space="preserve"> </t>
        </is>
      </c>
      <c r="W26" t="inlineStr">
        <is>
          <t>No se encontró ejecución en PIIP</t>
        </is>
      </c>
    </row>
    <row r="27">
      <c r="A27" t="inlineStr">
        <is>
          <t>IP-20</t>
        </is>
      </c>
      <c r="B27" t="inlineStr">
        <is>
          <t>45</t>
        </is>
      </c>
      <c r="C27" t="inlineStr">
        <is>
          <t>Gobierno Territorial</t>
        </is>
      </c>
      <c r="D27" t="inlineStr">
        <is>
          <t>4503</t>
        </is>
      </c>
      <c r="E27" t="inlineStr">
        <is>
          <t>Gestión del riesgo de desastres y emergencias</t>
        </is>
      </c>
      <c r="F27" t="inlineStr">
        <is>
          <t>4503033</t>
        </is>
      </c>
      <c r="G27" t="inlineStr">
        <is>
          <t>Servicio de información implementado</t>
        </is>
      </c>
      <c r="H27" t="inlineStr">
        <is>
          <t>450303300</t>
        </is>
      </c>
      <c r="I27" t="inlineStr">
        <is>
          <t>Sistemas de información implementados</t>
        </is>
      </c>
      <c r="J27" t="inlineStr">
        <is>
          <t>2024004250218</t>
        </is>
      </c>
      <c r="K27" t="inlineStr">
        <is>
          <t>Si</t>
        </is>
      </c>
      <c r="L27" t="inlineStr">
        <is>
          <t>Número</t>
        </is>
      </c>
      <c r="M27">
        <v>15</v>
      </c>
      <c r="N27">
        <v>0</v>
      </c>
      <c r="O27">
        <v>2</v>
      </c>
      <c r="P27">
        <v>7</v>
      </c>
      <c r="Q27">
        <v>6</v>
      </c>
      <c r="R27" t="inlineStr">
        <is>
          <t xml:space="preserve"> </t>
        </is>
      </c>
      <c r="S27" s="103" t="inlineStr">
        <is>
          <t xml:space="preserve"> </t>
        </is>
      </c>
      <c r="T27" t="inlineStr">
        <is>
          <t>No se encontró ejecución en PIIP</t>
        </is>
      </c>
      <c r="U27" t="inlineStr">
        <is>
          <t xml:space="preserve"> </t>
        </is>
      </c>
      <c r="V27" s="104" t="inlineStr">
        <is>
          <t xml:space="preserve"> </t>
        </is>
      </c>
      <c r="W27" t="inlineStr">
        <is>
          <t>No se encontró ejecución en PIIP</t>
        </is>
      </c>
    </row>
    <row r="28">
      <c r="A28" t="inlineStr">
        <is>
          <t>IP-21</t>
        </is>
      </c>
      <c r="B28" t="inlineStr">
        <is>
          <t>45</t>
        </is>
      </c>
      <c r="C28" t="inlineStr">
        <is>
          <t>Gobierno Territorial</t>
        </is>
      </c>
      <c r="D28" t="inlineStr">
        <is>
          <t>4503</t>
        </is>
      </c>
      <c r="E28" t="inlineStr">
        <is>
          <t>Gestión del riesgo de desastres y emergencias</t>
        </is>
      </c>
      <c r="F28" t="inlineStr">
        <is>
          <t>4503026</t>
        </is>
      </c>
      <c r="G28" t="inlineStr">
        <is>
          <t>Centros logísticos construidos y dotados</t>
        </is>
      </c>
      <c r="H28" t="inlineStr">
        <is>
          <t>450302600</t>
        </is>
      </c>
      <c r="I28" t="inlineStr">
        <is>
          <t>Centros logísticos para la gestión del riesgo de desastres construidos</t>
        </is>
      </c>
      <c r="J28" t="inlineStr">
        <is>
          <t>2024004250215</t>
        </is>
      </c>
      <c r="K28" t="inlineStr">
        <is>
          <t>Si</t>
        </is>
      </c>
      <c r="L28" t="inlineStr">
        <is>
          <t>Número</t>
        </is>
      </c>
      <c r="M28">
        <v>2</v>
      </c>
      <c r="N28">
        <v>0.5</v>
      </c>
      <c r="O28">
        <v>0.6</v>
      </c>
      <c r="P28">
        <v>0.5</v>
      </c>
      <c r="Q28">
        <v>0.5</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IP-22</t>
        </is>
      </c>
      <c r="B29" t="inlineStr">
        <is>
          <t>45</t>
        </is>
      </c>
      <c r="C29" t="inlineStr">
        <is>
          <t>Gobierno Territorial</t>
        </is>
      </c>
      <c r="D29" t="inlineStr">
        <is>
          <t>4503</t>
        </is>
      </c>
      <c r="E29" t="inlineStr">
        <is>
          <t>Gestión del riesgo de desastres y emergencias</t>
        </is>
      </c>
      <c r="F29" t="inlineStr">
        <is>
          <t>4503022</t>
        </is>
      </c>
      <c r="G29" t="inlineStr">
        <is>
          <t>Obras de infraestructura para la reducción del riesgo de desastres</t>
        </is>
      </c>
      <c r="H29" t="inlineStr">
        <is>
          <t>450302200</t>
        </is>
      </c>
      <c r="I29" t="inlineStr">
        <is>
          <t>Obras de infraestructura para la reducción del riesgo de desastres realizadas</t>
        </is>
      </c>
      <c r="J29" t="inlineStr">
        <is>
          <t>2024004250200</t>
        </is>
      </c>
      <c r="K29" t="inlineStr">
        <is>
          <t>Si</t>
        </is>
      </c>
      <c r="L29" t="inlineStr">
        <is>
          <t>Número</t>
        </is>
      </c>
      <c r="M29">
        <v>50</v>
      </c>
      <c r="N29">
        <v>10</v>
      </c>
      <c r="O29">
        <v>13</v>
      </c>
      <c r="P29">
        <v>13</v>
      </c>
      <c r="Q29">
        <v>14</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IP-23</t>
        </is>
      </c>
      <c r="B30" t="inlineStr">
        <is>
          <t>45</t>
        </is>
      </c>
      <c r="C30" t="inlineStr">
        <is>
          <t>Gobierno Territorial</t>
        </is>
      </c>
      <c r="D30" t="inlineStr">
        <is>
          <t>4503</t>
        </is>
      </c>
      <c r="E30" t="inlineStr">
        <is>
          <t>Gestión del riesgo de desastres y emergencias</t>
        </is>
      </c>
      <c r="F30" t="inlineStr">
        <is>
          <t>4503016</t>
        </is>
      </c>
      <c r="G30" t="inlineStr">
        <is>
          <t>Servicio de fortalecimiento a las salas de crisis territorial</t>
        </is>
      </c>
      <c r="H30" t="inlineStr">
        <is>
          <t>450301600</t>
        </is>
      </c>
      <c r="I30" t="inlineStr">
        <is>
          <t>Organismos de atención de emergencias fortalecidos</t>
        </is>
      </c>
      <c r="J30" t="inlineStr">
        <is>
          <t>2023004250046, 2024004250199</t>
        </is>
      </c>
      <c r="K30" t="inlineStr">
        <is>
          <t>Si</t>
        </is>
      </c>
      <c r="L30" t="inlineStr">
        <is>
          <t>Número</t>
        </is>
      </c>
      <c r="M30">
        <v>1</v>
      </c>
      <c r="N30">
        <v>0.2</v>
      </c>
      <c r="O30">
        <v>0.3</v>
      </c>
      <c r="P30">
        <v>0.25</v>
      </c>
      <c r="Q30">
        <v>0.25</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IP-24</t>
        </is>
      </c>
      <c r="B31" t="inlineStr">
        <is>
          <t>45</t>
        </is>
      </c>
      <c r="C31" t="inlineStr">
        <is>
          <t>Gobierno Territorial</t>
        </is>
      </c>
      <c r="D31" t="inlineStr">
        <is>
          <t>4503</t>
        </is>
      </c>
      <c r="E31" t="inlineStr">
        <is>
          <t>Gestión del riesgo de desastres y emergencias</t>
        </is>
      </c>
      <c r="F31" t="inlineStr">
        <is>
          <t>4503002</t>
        </is>
      </c>
      <c r="G31" t="inlineStr">
        <is>
          <t>Servicio de educación informal</t>
        </is>
      </c>
      <c r="H31" t="inlineStr">
        <is>
          <t>450300200</t>
        </is>
      </c>
      <c r="I31" t="inlineStr">
        <is>
          <t>Personas capacitadas</t>
        </is>
      </c>
      <c r="J31" t="inlineStr">
        <is>
          <t>2024004250216</t>
        </is>
      </c>
      <c r="K31" t="inlineStr">
        <is>
          <t>Si</t>
        </is>
      </c>
      <c r="L31" t="inlineStr">
        <is>
          <t>Número</t>
        </is>
      </c>
      <c r="M31">
        <v>4</v>
      </c>
      <c r="N31">
        <v>1</v>
      </c>
      <c r="O31">
        <v>1</v>
      </c>
      <c r="P31">
        <v>1</v>
      </c>
      <c r="Q31">
        <v>1</v>
      </c>
      <c r="R31">
        <v>750</v>
      </c>
      <c r="S31" s="103">
        <v>750</v>
      </c>
      <c r="T31" t="inlineStr">
        <is>
          <t>Hubo ejecución por encima de lo programado en SisPT</t>
        </is>
      </c>
      <c r="U31" t="inlineStr">
        <is>
          <t xml:space="preserve"> </t>
        </is>
      </c>
      <c r="V31" s="104" t="inlineStr">
        <is>
          <t xml:space="preserve"> </t>
        </is>
      </c>
      <c r="W31" t="inlineStr">
        <is>
          <t>No se encontró ejecución en PIIP</t>
        </is>
      </c>
    </row>
    <row r="32">
      <c r="A32" t="inlineStr">
        <is>
          <t>IP-25</t>
        </is>
      </c>
      <c r="B32" t="inlineStr">
        <is>
          <t>45</t>
        </is>
      </c>
      <c r="C32" t="inlineStr">
        <is>
          <t>Gobierno Territorial</t>
        </is>
      </c>
      <c r="D32" t="inlineStr">
        <is>
          <t>4503</t>
        </is>
      </c>
      <c r="E32" t="inlineStr">
        <is>
          <t>Gestión del riesgo de desastres y emergencias</t>
        </is>
      </c>
      <c r="F32" t="inlineStr">
        <is>
          <t>4503004</t>
        </is>
      </c>
      <c r="G32" t="inlineStr">
        <is>
          <t>Servicio de atención a emergencias y desastres</t>
        </is>
      </c>
      <c r="H32" t="inlineStr">
        <is>
          <t>450300400</t>
        </is>
      </c>
      <c r="I32" t="inlineStr">
        <is>
          <t>Emergencias y desastres atendidas</t>
        </is>
      </c>
      <c r="J32" t="inlineStr">
        <is>
          <t>2024004250203</t>
        </is>
      </c>
      <c r="K32" t="inlineStr">
        <is>
          <t>Si</t>
        </is>
      </c>
      <c r="L32" t="inlineStr">
        <is>
          <t>Número</t>
        </is>
      </c>
      <c r="M32">
        <v>1</v>
      </c>
      <c r="N32">
        <v>0.2</v>
      </c>
      <c r="O32">
        <v>0.3</v>
      </c>
      <c r="P32">
        <v>0.25</v>
      </c>
      <c r="Q32">
        <v>0.25</v>
      </c>
      <c r="R32">
        <v>0</v>
      </c>
      <c r="S32" s="103">
        <v>0</v>
      </c>
      <c r="T32" t="inlineStr">
        <is>
          <t>No se ejecutó en la vigencia</t>
        </is>
      </c>
      <c r="U32" t="inlineStr">
        <is>
          <t xml:space="preserve"> </t>
        </is>
      </c>
      <c r="V32" s="104" t="inlineStr">
        <is>
          <t xml:space="preserve"> </t>
        </is>
      </c>
      <c r="W32" t="inlineStr">
        <is>
          <t>No se encontró ejecución en PIIP</t>
        </is>
      </c>
    </row>
    <row r="33">
      <c r="A33" t="inlineStr">
        <is>
          <t>IP-26</t>
        </is>
      </c>
      <c r="B33" t="inlineStr">
        <is>
          <t>45</t>
        </is>
      </c>
      <c r="C33" t="inlineStr">
        <is>
          <t>Gobierno Territorial</t>
        </is>
      </c>
      <c r="D33" t="inlineStr">
        <is>
          <t>4501</t>
        </is>
      </c>
      <c r="E33" t="inlineStr">
        <is>
          <t>Fortalecimiento de la convivencia y la seguridad ciudadana</t>
        </is>
      </c>
      <c r="F33" t="inlineStr">
        <is>
          <t>4501049</t>
        </is>
      </c>
      <c r="G33" t="inlineStr">
        <is>
          <t>Servicio de educación informal</t>
        </is>
      </c>
      <c r="H33" t="inlineStr">
        <is>
          <t>450104900</t>
        </is>
      </c>
      <c r="I33" t="inlineStr">
        <is>
          <t>Personas capacitadas</t>
        </is>
      </c>
      <c r="J33" t="inlineStr">
        <is>
          <t>2024004250180</t>
        </is>
      </c>
      <c r="K33" t="inlineStr">
        <is>
          <t>Si</t>
        </is>
      </c>
      <c r="L33" t="inlineStr">
        <is>
          <t>Número</t>
        </is>
      </c>
      <c r="M33">
        <v>8</v>
      </c>
      <c r="N33">
        <v>1</v>
      </c>
      <c r="O33">
        <v>3</v>
      </c>
      <c r="P33">
        <v>3</v>
      </c>
      <c r="Q33">
        <v>1</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IP-27</t>
        </is>
      </c>
      <c r="B34" t="inlineStr">
        <is>
          <t>45</t>
        </is>
      </c>
      <c r="C34" t="inlineStr">
        <is>
          <t>Gobierno Territorial</t>
        </is>
      </c>
      <c r="D34" t="inlineStr">
        <is>
          <t>4501</t>
        </is>
      </c>
      <c r="E34" t="inlineStr">
        <is>
          <t>Fortalecimiento de la convivencia y la seguridad ciudadana</t>
        </is>
      </c>
      <c r="F34" t="inlineStr">
        <is>
          <t>4501058</t>
        </is>
      </c>
      <c r="G34" t="inlineStr">
        <is>
          <t>Infraestructura para el bienestar animal construida y dotada</t>
        </is>
      </c>
      <c r="H34" t="inlineStr">
        <is>
          <t>450105800</t>
        </is>
      </c>
      <c r="I34" t="inlineStr">
        <is>
          <t>Infraestructura para el bienestar animal construida</t>
        </is>
      </c>
      <c r="J34" t="inlineStr">
        <is>
          <t>2024004250239</t>
        </is>
      </c>
      <c r="K34" t="inlineStr">
        <is>
          <t>Si</t>
        </is>
      </c>
      <c r="L34" t="inlineStr">
        <is>
          <t>Número</t>
        </is>
      </c>
      <c r="M34">
        <v>5</v>
      </c>
      <c r="N34">
        <v>0</v>
      </c>
      <c r="O34">
        <v>1</v>
      </c>
      <c r="P34">
        <v>3</v>
      </c>
      <c r="Q34">
        <v>1</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IP-28</t>
        </is>
      </c>
      <c r="B35" t="inlineStr">
        <is>
          <t>45</t>
        </is>
      </c>
      <c r="C35" t="inlineStr">
        <is>
          <t>Gobierno Territorial</t>
        </is>
      </c>
      <c r="D35" t="inlineStr">
        <is>
          <t>4501</t>
        </is>
      </c>
      <c r="E35" t="inlineStr">
        <is>
          <t>Fortalecimiento de la convivencia y la seguridad ciudadana</t>
        </is>
      </c>
      <c r="F35" t="inlineStr">
        <is>
          <t>4501058</t>
        </is>
      </c>
      <c r="G35" t="inlineStr">
        <is>
          <t>Infraestructura para el bienestar animal construida y dotada</t>
        </is>
      </c>
      <c r="H35" t="inlineStr">
        <is>
          <t>450105800</t>
        </is>
      </c>
      <c r="I35" t="inlineStr">
        <is>
          <t>Infraestructura para el bienestar animal construida</t>
        </is>
      </c>
      <c r="J35" t="inlineStr">
        <is>
          <t>2024004250180</t>
        </is>
      </c>
      <c r="K35" t="inlineStr">
        <is>
          <t>Si</t>
        </is>
      </c>
      <c r="L35" t="inlineStr">
        <is>
          <t>Número</t>
        </is>
      </c>
      <c r="M35">
        <v>116</v>
      </c>
      <c r="N35">
        <v>40</v>
      </c>
      <c r="O35">
        <v>30</v>
      </c>
      <c r="P35">
        <v>30</v>
      </c>
      <c r="Q35">
        <v>15</v>
      </c>
      <c r="R35" t="inlineStr">
        <is>
          <t xml:space="preserve"> </t>
        </is>
      </c>
      <c r="S35" s="103" t="inlineStr">
        <is>
          <t xml:space="preserve"> </t>
        </is>
      </c>
      <c r="T35" t="inlineStr">
        <is>
          <t>No se encontró ejecución en PIIP</t>
        </is>
      </c>
      <c r="U35" t="inlineStr">
        <is>
          <t xml:space="preserve"> </t>
        </is>
      </c>
      <c r="V35" s="104" t="inlineStr">
        <is>
          <t xml:space="preserve"> </t>
        </is>
      </c>
      <c r="W35" t="inlineStr">
        <is>
          <t>No se encontró ejecución en PIIP</t>
        </is>
      </c>
    </row>
    <row r="36">
      <c r="A36" t="inlineStr">
        <is>
          <t>IP-29</t>
        </is>
      </c>
      <c r="B36" t="inlineStr">
        <is>
          <t>45</t>
        </is>
      </c>
      <c r="C36" t="inlineStr">
        <is>
          <t>Gobierno Territorial</t>
        </is>
      </c>
      <c r="D36" t="inlineStr">
        <is>
          <t>4501</t>
        </is>
      </c>
      <c r="E36" t="inlineStr">
        <is>
          <t>Fortalecimiento de la convivencia y la seguridad ciudadana</t>
        </is>
      </c>
      <c r="F36" t="inlineStr">
        <is>
          <t>4501061</t>
        </is>
      </c>
      <c r="G36" t="inlineStr">
        <is>
          <t>Servicio de atención integral a la fauna</t>
        </is>
      </c>
      <c r="H36" t="inlineStr">
        <is>
          <t>450106100</t>
        </is>
      </c>
      <c r="I36" t="inlineStr">
        <is>
          <t>Animales atendidos</t>
        </is>
      </c>
      <c r="J36" t="inlineStr">
        <is>
          <t>2024004250180</t>
        </is>
      </c>
      <c r="K36" t="inlineStr">
        <is>
          <t>Si</t>
        </is>
      </c>
      <c r="L36" t="inlineStr">
        <is>
          <t>Número</t>
        </is>
      </c>
      <c r="M36">
        <v>60000</v>
      </c>
      <c r="N36">
        <v>9000</v>
      </c>
      <c r="O36">
        <v>20000</v>
      </c>
      <c r="P36">
        <v>20000</v>
      </c>
      <c r="Q36">
        <v>9626</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IP-30</t>
        </is>
      </c>
      <c r="B37" t="inlineStr">
        <is>
          <t>45</t>
        </is>
      </c>
      <c r="C37" t="inlineStr">
        <is>
          <t>Gobierno Territorial</t>
        </is>
      </c>
      <c r="D37" t="inlineStr">
        <is>
          <t>4501</t>
        </is>
      </c>
      <c r="E37" t="inlineStr">
        <is>
          <t>Fortalecimiento de la convivencia y la seguridad ciudadana</t>
        </is>
      </c>
      <c r="F37" t="inlineStr">
        <is>
          <t>4501001</t>
        </is>
      </c>
      <c r="G37" t="inlineStr">
        <is>
          <t>Servicio de asistencia técnica</t>
        </is>
      </c>
      <c r="H37" t="inlineStr">
        <is>
          <t>450100100</t>
        </is>
      </c>
      <c r="I37" t="inlineStr">
        <is>
          <t>Instancias territoriales asistidas técnicamente</t>
        </is>
      </c>
      <c r="J37" t="inlineStr">
        <is>
          <t>2024004250180</t>
        </is>
      </c>
      <c r="K37" t="inlineStr">
        <is>
          <t>Si</t>
        </is>
      </c>
      <c r="L37" t="inlineStr">
        <is>
          <t>Número</t>
        </is>
      </c>
      <c r="M37">
        <v>116</v>
      </c>
      <c r="N37">
        <v>50</v>
      </c>
      <c r="O37">
        <v>50</v>
      </c>
      <c r="P37">
        <v>16</v>
      </c>
      <c r="Q37">
        <v>0</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IP-31</t>
        </is>
      </c>
      <c r="B38" t="inlineStr">
        <is>
          <t>45</t>
        </is>
      </c>
      <c r="C38" t="inlineStr">
        <is>
          <t>Gobierno Territorial</t>
        </is>
      </c>
      <c r="D38" t="inlineStr">
        <is>
          <t>4599</t>
        </is>
      </c>
      <c r="E38" t="inlineStr">
        <is>
          <t>Fortalecimiento a la gestión y dirección de la administración pública territorial</t>
        </is>
      </c>
      <c r="F38" t="inlineStr">
        <is>
          <t>4599025</t>
        </is>
      </c>
      <c r="G38" t="inlineStr">
        <is>
          <t>Servicios de información implementados</t>
        </is>
      </c>
      <c r="H38" t="inlineStr">
        <is>
          <t>459902500</t>
        </is>
      </c>
      <c r="I38" t="inlineStr">
        <is>
          <t>Sistemas de información implementados</t>
        </is>
      </c>
      <c r="J38" t="inlineStr">
        <is>
          <t>2024004250235</t>
        </is>
      </c>
      <c r="K38" t="inlineStr">
        <is>
          <t>Si</t>
        </is>
      </c>
      <c r="L38" t="inlineStr">
        <is>
          <t>Número</t>
        </is>
      </c>
      <c r="M38">
        <v>1</v>
      </c>
      <c r="N38">
        <v>0</v>
      </c>
      <c r="O38">
        <v>0.3</v>
      </c>
      <c r="P38">
        <v>0.4</v>
      </c>
      <c r="Q38">
        <v>0.3</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IP-32</t>
        </is>
      </c>
      <c r="B39" t="inlineStr">
        <is>
          <t>32</t>
        </is>
      </c>
      <c r="C39" t="inlineStr">
        <is>
          <t>Ambiente y desarrollo sostenible</t>
        </is>
      </c>
      <c r="D39" t="inlineStr">
        <is>
          <t>3203</t>
        </is>
      </c>
      <c r="E39" t="inlineStr">
        <is>
          <t>Gestión integral del recurso hídrico</t>
        </is>
      </c>
      <c r="F39" t="inlineStr">
        <is>
          <t>3203033</t>
        </is>
      </c>
      <c r="G39" t="inlineStr">
        <is>
          <t>Servicio de asistencia técnica para la promoción del uso eficiente y ahorro del agua</t>
        </is>
      </c>
      <c r="H39" t="inlineStr">
        <is>
          <t>320303300</t>
        </is>
      </c>
      <c r="I39" t="inlineStr">
        <is>
          <t xml:space="preserve">Proyectos para la promoción del uso eficiente y ahorro del agua formulados  </t>
        </is>
      </c>
      <c r="J39" t="inlineStr">
        <is>
          <t>2024004250134</t>
        </is>
      </c>
      <c r="K39" t="inlineStr">
        <is>
          <t>Si</t>
        </is>
      </c>
      <c r="L39" t="inlineStr">
        <is>
          <t>Número</t>
        </is>
      </c>
      <c r="M39">
        <v>800</v>
      </c>
      <c r="N39">
        <v>37</v>
      </c>
      <c r="O39">
        <v>206</v>
      </c>
      <c r="P39">
        <v>334</v>
      </c>
      <c r="Q39">
        <v>223</v>
      </c>
      <c r="R39">
        <v>366</v>
      </c>
      <c r="S39" s="103">
        <v>9.89189189189189</v>
      </c>
      <c r="T39" t="inlineStr">
        <is>
          <t>Hubo ejecución por encima de lo programado en SisPT</t>
        </is>
      </c>
      <c r="U39">
        <v>403</v>
      </c>
      <c r="V39" s="104">
        <v>1.95631067961165</v>
      </c>
      <c r="W39" t="inlineStr">
        <is>
          <t>Hubo ejecución por encima de lo programado en SisPT</t>
        </is>
      </c>
    </row>
    <row r="40">
      <c r="A40" t="inlineStr">
        <is>
          <t>IP-33</t>
        </is>
      </c>
      <c r="B40" t="inlineStr">
        <is>
          <t>32</t>
        </is>
      </c>
      <c r="C40" t="inlineStr">
        <is>
          <t>Ambiente y desarrollo sostenible</t>
        </is>
      </c>
      <c r="D40" t="inlineStr">
        <is>
          <t>3208</t>
        </is>
      </c>
      <c r="E40" t="inlineStr">
        <is>
          <t xml:space="preserve">Educación Ambiental </t>
        </is>
      </c>
      <c r="F40" t="inlineStr">
        <is>
          <t>3208006</t>
        </is>
      </c>
      <c r="G40" t="inlineStr">
        <is>
          <t>Servicio de asistencia técnica para la implementación de lasestrategias educativo ambientales y de participación</t>
        </is>
      </c>
      <c r="H40" t="inlineStr">
        <is>
          <t>320800600</t>
        </is>
      </c>
      <c r="I40" t="inlineStr">
        <is>
          <t xml:space="preserve">Estrategias educativo ambientales y de participación implementadas </t>
        </is>
      </c>
      <c r="J40" t="inlineStr">
        <is>
          <t>2024004250077</t>
        </is>
      </c>
      <c r="K40" t="inlineStr">
        <is>
          <t>No</t>
        </is>
      </c>
      <c r="L40" t="inlineStr">
        <is>
          <t>Número</t>
        </is>
      </c>
      <c r="M40">
        <v>7</v>
      </c>
      <c r="N40">
        <v>7</v>
      </c>
      <c r="O40">
        <v>7</v>
      </c>
      <c r="P40">
        <v>7</v>
      </c>
      <c r="Q40">
        <v>7</v>
      </c>
      <c r="R40">
        <v>1.4</v>
      </c>
      <c r="S40" s="103">
        <v>0.2</v>
      </c>
      <c r="T40" t="inlineStr">
        <is>
          <t>Lo ejecutado está por debajo de lo programado en la vigencia</t>
        </is>
      </c>
      <c r="U40">
        <v>1.76</v>
      </c>
      <c r="V40" s="104">
        <v>0.251428571428571</v>
      </c>
      <c r="W40" t="inlineStr">
        <is>
          <t>Lo ejecutado está por debajo de lo programado en la vigencia</t>
        </is>
      </c>
    </row>
    <row r="41">
      <c r="A41" t="inlineStr">
        <is>
          <t>IP-34</t>
        </is>
      </c>
      <c r="B41" t="inlineStr">
        <is>
          <t>32</t>
        </is>
      </c>
      <c r="C41" t="inlineStr">
        <is>
          <t>Ambiente y desarrollo sostenible</t>
        </is>
      </c>
      <c r="D41" t="inlineStr">
        <is>
          <t>3204</t>
        </is>
      </c>
      <c r="E41" t="inlineStr">
        <is>
          <t>Gestión de la información y el conocimiento ambiental</t>
        </is>
      </c>
      <c r="F41" t="inlineStr">
        <is>
          <t>3204056</t>
        </is>
      </c>
      <c r="G41" t="inlineStr">
        <is>
          <t>Servicios tecnológicos para el sistema de información ambiental </t>
        </is>
      </c>
      <c r="H41" t="inlineStr">
        <is>
          <t>320405600</t>
        </is>
      </c>
      <c r="I41" t="inlineStr">
        <is>
          <t>Instrumentos tecnológicos implementados </t>
        </is>
      </c>
      <c r="J41" t="inlineStr">
        <is>
          <t>2024004250119</t>
        </is>
      </c>
      <c r="K41" t="inlineStr">
        <is>
          <t>Si</t>
        </is>
      </c>
      <c r="L41" t="inlineStr">
        <is>
          <t>Número</t>
        </is>
      </c>
      <c r="M41">
        <v>2</v>
      </c>
      <c r="N41">
        <v>0.6</v>
      </c>
      <c r="O41">
        <v>0.6</v>
      </c>
      <c r="P41">
        <v>0.4</v>
      </c>
      <c r="Q41">
        <v>0.4</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IP-35</t>
        </is>
      </c>
      <c r="B42" t="inlineStr">
        <is>
          <t>32</t>
        </is>
      </c>
      <c r="C42" t="inlineStr">
        <is>
          <t>Ambiente y desarrollo sostenible</t>
        </is>
      </c>
      <c r="D42" t="inlineStr">
        <is>
          <t>3205</t>
        </is>
      </c>
      <c r="E42" t="inlineStr">
        <is>
          <t>Ordenamiento ambiental territorial</t>
        </is>
      </c>
      <c r="F42" t="inlineStr">
        <is>
          <t>3205006</t>
        </is>
      </c>
      <c r="G42" t="inlineStr">
        <is>
          <t>Servicio de divulgación y socialización ambiental en el marco del ordenamiento ambiental territorial</t>
        </is>
      </c>
      <c r="H42" t="inlineStr">
        <is>
          <t>320500600</t>
        </is>
      </c>
      <c r="I42" t="inlineStr">
        <is>
          <t>Campañas realizadas</t>
        </is>
      </c>
      <c r="J42" t="inlineStr">
        <is>
          <t>2024004250063</t>
        </is>
      </c>
      <c r="K42" t="inlineStr">
        <is>
          <t>Si</t>
        </is>
      </c>
      <c r="L42" t="inlineStr">
        <is>
          <t>Número</t>
        </is>
      </c>
      <c r="M42">
        <v>1</v>
      </c>
      <c r="N42">
        <v>0.4</v>
      </c>
      <c r="O42">
        <v>0.2</v>
      </c>
      <c r="P42">
        <v>0.2</v>
      </c>
      <c r="Q42">
        <v>0.2</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IP-36</t>
        </is>
      </c>
      <c r="B43" t="inlineStr">
        <is>
          <t>32</t>
        </is>
      </c>
      <c r="C43" t="inlineStr">
        <is>
          <t>Ambiente y desarrollo sostenible</t>
        </is>
      </c>
      <c r="D43" t="inlineStr">
        <is>
          <t>3206</t>
        </is>
      </c>
      <c r="E43" t="inlineStr">
        <is>
          <t>Gestión del cambio climático para un desarrollo bajo en carbono y resiliente al clima</t>
        </is>
      </c>
      <c r="F43" t="inlineStr">
        <is>
          <t>3206003</t>
        </is>
      </c>
      <c r="G43" t="inlineStr">
        <is>
          <t>Servicio de apoyo técnico para la implementación de acciones de mitigación y adaptación al cambio climático</t>
        </is>
      </c>
      <c r="H43" t="inlineStr">
        <is>
          <t>320600300</t>
        </is>
      </c>
      <c r="I43" t="inlineStr">
        <is>
          <t>Pilotos con acciones de mitigación y adaptación al cambio climático desarrollados</t>
        </is>
      </c>
      <c r="J43" t="inlineStr">
        <is>
          <t>2024004250149</t>
        </is>
      </c>
      <c r="K43" t="inlineStr">
        <is>
          <t>Si</t>
        </is>
      </c>
      <c r="L43" t="inlineStr">
        <is>
          <t>Número</t>
        </is>
      </c>
      <c r="M43">
        <v>3</v>
      </c>
      <c r="N43">
        <v>0.6</v>
      </c>
      <c r="O43">
        <v>1</v>
      </c>
      <c r="P43">
        <v>1</v>
      </c>
      <c r="Q43">
        <v>0.4</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IP-37</t>
        </is>
      </c>
      <c r="B44" t="inlineStr">
        <is>
          <t>32</t>
        </is>
      </c>
      <c r="C44" t="inlineStr">
        <is>
          <t>Ambiente y desarrollo sostenible</t>
        </is>
      </c>
      <c r="D44" t="inlineStr">
        <is>
          <t>3205</t>
        </is>
      </c>
      <c r="E44" t="inlineStr">
        <is>
          <t>Ordenamiento ambiental territorial</t>
        </is>
      </c>
      <c r="F44" t="inlineStr">
        <is>
          <t>3205015</t>
        </is>
      </c>
      <c r="G44" t="inlineStr">
        <is>
          <t>Documentos de estudios técnicos hidrológicos e hidrogeológicos</t>
        </is>
      </c>
      <c r="H44" t="inlineStr">
        <is>
          <t>320501500</t>
        </is>
      </c>
      <c r="I44" t="inlineStr">
        <is>
          <t xml:space="preserve">Documentos de estudios técnicos hidrológicos e hidrogeológicos elaborados </t>
        </is>
      </c>
      <c r="J44" t="inlineStr">
        <is>
          <t>2024004250227</t>
        </is>
      </c>
      <c r="K44" t="inlineStr">
        <is>
          <t>Si</t>
        </is>
      </c>
      <c r="L44" t="inlineStr">
        <is>
          <t>Número</t>
        </is>
      </c>
      <c r="M44">
        <v>1</v>
      </c>
      <c r="N44">
        <v>0.2</v>
      </c>
      <c r="O44">
        <v>0.32</v>
      </c>
      <c r="P44">
        <v>0.38</v>
      </c>
      <c r="Q44">
        <v>0</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IP-38</t>
        </is>
      </c>
      <c r="B45" t="inlineStr">
        <is>
          <t>32</t>
        </is>
      </c>
      <c r="C45" t="inlineStr">
        <is>
          <t>Ambiente y desarrollo sostenible</t>
        </is>
      </c>
      <c r="D45" t="inlineStr">
        <is>
          <t>3206</t>
        </is>
      </c>
      <c r="E45" t="inlineStr">
        <is>
          <t>Gestión del cambio climático para un desarrollo bajo en carbono y resiliente al clima</t>
        </is>
      </c>
      <c r="F45" t="inlineStr">
        <is>
          <t>3206014</t>
        </is>
      </c>
      <c r="G45" t="inlineStr">
        <is>
          <t>Servicio de producción de plántulas en viveros</t>
        </is>
      </c>
      <c r="H45" t="inlineStr">
        <is>
          <t>320601400</t>
        </is>
      </c>
      <c r="I45" t="inlineStr">
        <is>
          <t>Plántulas producidas</t>
        </is>
      </c>
      <c r="J45" t="inlineStr">
        <is>
          <t>2024004250095</t>
        </is>
      </c>
      <c r="K45" t="inlineStr">
        <is>
          <t>Si</t>
        </is>
      </c>
      <c r="L45" t="inlineStr">
        <is>
          <t>Número</t>
        </is>
      </c>
      <c r="M45">
        <v>1500000</v>
      </c>
      <c r="N45">
        <v>50000</v>
      </c>
      <c r="O45">
        <v>700000</v>
      </c>
      <c r="P45">
        <v>650000</v>
      </c>
      <c r="Q45">
        <v>100000</v>
      </c>
      <c r="R45">
        <v>50000</v>
      </c>
      <c r="S45" s="103">
        <v>1</v>
      </c>
      <c r="T45" t="inlineStr">
        <is>
          <t>Se ejecutó el 100% de lo programado en la vigencia</t>
        </is>
      </c>
      <c r="U45">
        <v>204276</v>
      </c>
      <c r="V45" s="104">
        <v>0.291822857142857</v>
      </c>
      <c r="W45" t="inlineStr">
        <is>
          <t>Lo ejecutado está por debajo de lo programado en la vigencia</t>
        </is>
      </c>
    </row>
    <row r="46">
      <c r="A46" t="inlineStr">
        <is>
          <t>IP-39</t>
        </is>
      </c>
      <c r="B46" t="inlineStr">
        <is>
          <t>32</t>
        </is>
      </c>
      <c r="C46" t="inlineStr">
        <is>
          <t>Ambiente y desarrollo sostenible</t>
        </is>
      </c>
      <c r="D46" t="inlineStr">
        <is>
          <t>3202</t>
        </is>
      </c>
      <c r="E46" t="inlineStr">
        <is>
          <t>Conservación de la biodiversidad y sus servicios ecosistémicos</t>
        </is>
      </c>
      <c r="F46" t="inlineStr">
        <is>
          <t>3202001</t>
        </is>
      </c>
      <c r="G46" t="inlineStr">
        <is>
          <t>Documentos de lineamientos técnicos para la conservación de la biodiversidad y sus servicios eco sistémicos</t>
        </is>
      </c>
      <c r="H46" t="inlineStr">
        <is>
          <t>320200100</t>
        </is>
      </c>
      <c r="I46" t="inlineStr">
        <is>
          <t>Documentos de lineamientos técnicos realizados</t>
        </is>
      </c>
      <c r="J46" t="inlineStr">
        <is>
          <t>2024004250179</t>
        </is>
      </c>
      <c r="K46" t="inlineStr">
        <is>
          <t>Si</t>
        </is>
      </c>
      <c r="L46" t="inlineStr">
        <is>
          <t>Número</t>
        </is>
      </c>
      <c r="M46">
        <v>4</v>
      </c>
      <c r="N46">
        <v>0.6</v>
      </c>
      <c r="O46">
        <v>1.9</v>
      </c>
      <c r="P46">
        <v>0.9</v>
      </c>
      <c r="Q46">
        <v>0.6</v>
      </c>
      <c r="R46">
        <v>0.6</v>
      </c>
      <c r="S46" s="103">
        <v>1</v>
      </c>
      <c r="T46" t="inlineStr">
        <is>
          <t>Se ejecutó el 100% de lo programado en la vigencia</t>
        </is>
      </c>
      <c r="U46">
        <v>1.75</v>
      </c>
      <c r="V46" s="104">
        <v>0.921052631578947</v>
      </c>
      <c r="W46" t="inlineStr">
        <is>
          <t>Lo ejecutado está por debajo de lo programado en la vigencia</t>
        </is>
      </c>
    </row>
    <row r="47">
      <c r="A47" t="inlineStr">
        <is>
          <t>IP-40</t>
        </is>
      </c>
      <c r="B47" t="inlineStr">
        <is>
          <t>32</t>
        </is>
      </c>
      <c r="C47" t="inlineStr">
        <is>
          <t>Ambiente y desarrollo sostenible</t>
        </is>
      </c>
      <c r="D47" t="inlineStr">
        <is>
          <t>3203</t>
        </is>
      </c>
      <c r="E47" t="inlineStr">
        <is>
          <t>Gestión integral del recurso hídrico</t>
        </is>
      </c>
      <c r="F47" t="inlineStr">
        <is>
          <t>3203034</t>
        </is>
      </c>
      <c r="G47" t="inlineStr">
        <is>
          <t>Servicio de asistencia técnica para la implementación de lineamientos sobre el mejoramiento de la calidad del recurso hídrico</t>
        </is>
      </c>
      <c r="H47" t="inlineStr">
        <is>
          <t>320303400</t>
        </is>
      </c>
      <c r="I47" t="inlineStr">
        <is>
          <t>Proyectos  para el mejoramiento de la calidad del recurso hídrico formulados</t>
        </is>
      </c>
      <c r="J47" t="inlineStr">
        <is>
          <t>2024004250105</t>
        </is>
      </c>
      <c r="K47" t="inlineStr">
        <is>
          <t>Si</t>
        </is>
      </c>
      <c r="L47" t="inlineStr">
        <is>
          <t>Número</t>
        </is>
      </c>
      <c r="M47">
        <v>3</v>
      </c>
      <c r="N47">
        <v>0.9</v>
      </c>
      <c r="O47">
        <v>0.9</v>
      </c>
      <c r="P47">
        <v>0.9</v>
      </c>
      <c r="Q47">
        <v>0.3</v>
      </c>
      <c r="R47">
        <v>0.9</v>
      </c>
      <c r="S47" s="103">
        <v>1</v>
      </c>
      <c r="T47" t="inlineStr">
        <is>
          <t>Se ejecutó el 100% de lo programado en la vigencia</t>
        </is>
      </c>
      <c r="U47">
        <v>0.7</v>
      </c>
      <c r="V47" s="104">
        <v>0.777777777777778</v>
      </c>
      <c r="W47" t="inlineStr">
        <is>
          <t>Lo ejecutado está por debajo de lo programado en la vigencia</t>
        </is>
      </c>
    </row>
    <row r="48">
      <c r="A48" t="inlineStr">
        <is>
          <t>IP-41</t>
        </is>
      </c>
      <c r="B48" t="inlineStr">
        <is>
          <t>40</t>
        </is>
      </c>
      <c r="C48" t="inlineStr">
        <is>
          <t>Vivienda, ciudad y territorio</t>
        </is>
      </c>
      <c r="D48" t="inlineStr">
        <is>
          <t>4003</t>
        </is>
      </c>
      <c r="E48" t="inlineStr">
        <is>
          <t>Acceso de la población a los servicios de agua potable y saneamiento básico</t>
        </is>
      </c>
      <c r="F48" t="inlineStr">
        <is>
          <t>4003055</t>
        </is>
      </c>
      <c r="G48" t="inlineStr">
        <is>
          <t>Servicio de asistencia técnica</t>
        </is>
      </c>
      <c r="H48" t="inlineStr">
        <is>
          <t>400305500</t>
        </is>
      </c>
      <c r="I48" t="inlineStr">
        <is>
          <t>Asistencias técnicas realizadas</t>
        </is>
      </c>
      <c r="J48" t="inlineStr">
        <is>
          <t>2024004250144</t>
        </is>
      </c>
      <c r="K48" t="inlineStr">
        <is>
          <t>Si</t>
        </is>
      </c>
      <c r="L48" t="inlineStr">
        <is>
          <t>Número</t>
        </is>
      </c>
      <c r="M48">
        <v>65</v>
      </c>
      <c r="N48">
        <v>10</v>
      </c>
      <c r="O48">
        <v>20</v>
      </c>
      <c r="P48">
        <v>20</v>
      </c>
      <c r="Q48">
        <v>15</v>
      </c>
      <c r="R48">
        <v>10</v>
      </c>
      <c r="S48" s="103">
        <v>1</v>
      </c>
      <c r="T48" t="inlineStr">
        <is>
          <t>Se ejecutó el 100% de lo programado en la vigencia</t>
        </is>
      </c>
      <c r="U48">
        <v>11</v>
      </c>
      <c r="V48" s="104">
        <v>0.55</v>
      </c>
      <c r="W48" t="inlineStr">
        <is>
          <t>Lo ejecutado está por debajo de lo programado en la vigencia</t>
        </is>
      </c>
    </row>
    <row r="49">
      <c r="A49" t="inlineStr">
        <is>
          <t>IP-42</t>
        </is>
      </c>
      <c r="B49" t="inlineStr">
        <is>
          <t>32</t>
        </is>
      </c>
      <c r="C49" t="inlineStr">
        <is>
          <t>Ambiente y desarrollo sostenible</t>
        </is>
      </c>
      <c r="D49" t="inlineStr">
        <is>
          <t>3202</t>
        </is>
      </c>
      <c r="E49" t="inlineStr">
        <is>
          <t>Conservación de la biodiversidad y sus servicios ecosistémicos</t>
        </is>
      </c>
      <c r="F49" t="inlineStr">
        <is>
          <t>3202012</t>
        </is>
      </c>
      <c r="G49" t="inlineStr">
        <is>
          <t>Servicio de protección de ecosistemas</t>
        </is>
      </c>
      <c r="H49" t="inlineStr">
        <is>
          <t>320201200</t>
        </is>
      </c>
      <c r="I49" t="inlineStr">
        <is>
          <t>Áreas de ecosistemas protegidas</t>
        </is>
      </c>
      <c r="J49" t="inlineStr">
        <is>
          <t>2024004250083</t>
        </is>
      </c>
      <c r="K49" t="inlineStr">
        <is>
          <t>Si</t>
        </is>
      </c>
      <c r="L49" t="inlineStr">
        <is>
          <t>Hectáreas</t>
        </is>
      </c>
      <c r="M49">
        <v>2000</v>
      </c>
      <c r="N49">
        <v>400</v>
      </c>
      <c r="O49">
        <v>600</v>
      </c>
      <c r="P49">
        <v>600</v>
      </c>
      <c r="Q49">
        <v>400</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IP-43</t>
        </is>
      </c>
      <c r="B50" t="inlineStr">
        <is>
          <t>17</t>
        </is>
      </c>
      <c r="C50" t="inlineStr">
        <is>
          <t xml:space="preserve">Agricultura y desarrollo rural
</t>
        </is>
      </c>
      <c r="D50" t="inlineStr">
        <is>
          <t>1709</t>
        </is>
      </c>
      <c r="E50" t="inlineStr">
        <is>
          <t>Infraestructura productiva y comercialización</t>
        </is>
      </c>
      <c r="F50" t="inlineStr">
        <is>
          <t>1709106</t>
        </is>
      </c>
      <c r="G50" t="inlineStr">
        <is>
          <t>Servicio de apoyo a la comercialización de las cadenas agrícolas, forestales, pecuarias, pesqueras y acuícolas</t>
        </is>
      </c>
      <c r="H50" t="inlineStr">
        <is>
          <t>170910600</t>
        </is>
      </c>
      <c r="I50" t="inlineStr">
        <is>
          <t>Cadenas productivas apoyadas</t>
        </is>
      </c>
      <c r="J50" t="inlineStr">
        <is>
          <t>2024004250223</t>
        </is>
      </c>
      <c r="K50" t="inlineStr">
        <is>
          <t>Si</t>
        </is>
      </c>
      <c r="L50" t="inlineStr">
        <is>
          <t>Número</t>
        </is>
      </c>
      <c r="M50">
        <v>10</v>
      </c>
      <c r="N50">
        <v>3</v>
      </c>
      <c r="O50">
        <v>4</v>
      </c>
      <c r="P50">
        <v>2</v>
      </c>
      <c r="Q50">
        <v>1</v>
      </c>
      <c r="R50" t="inlineStr">
        <is>
          <t xml:space="preserve"> </t>
        </is>
      </c>
      <c r="S50" s="103" t="inlineStr">
        <is>
          <t xml:space="preserve"> </t>
        </is>
      </c>
      <c r="T50" t="inlineStr">
        <is>
          <t>No se encontró ejecución en PIIP</t>
        </is>
      </c>
      <c r="U50" t="inlineStr">
        <is>
          <t xml:space="preserve"> </t>
        </is>
      </c>
      <c r="V50" s="104" t="inlineStr">
        <is>
          <t xml:space="preserve"> </t>
        </is>
      </c>
      <c r="W50" t="inlineStr">
        <is>
          <t>No se encontró ejecución en PIIP</t>
        </is>
      </c>
    </row>
    <row r="51">
      <c r="A51" t="inlineStr">
        <is>
          <t>IP-44, IP-64</t>
        </is>
      </c>
      <c r="B51" t="inlineStr">
        <is>
          <t>41</t>
        </is>
      </c>
      <c r="C51" t="inlineStr">
        <is>
          <t xml:space="preserve">Inclusión social y reconciliación </t>
        </is>
      </c>
      <c r="D51" t="inlineStr">
        <is>
          <t>4102</t>
        </is>
      </c>
      <c r="E51" t="inlineStr">
        <is>
          <t>Desarrollo integral de la primera infancia a la juventud, y fortalecimiento de las capacidades de las familias de niñas, niños y adolescentes</t>
        </is>
      </c>
      <c r="F51" t="inlineStr">
        <is>
          <t>4102052</t>
        </is>
      </c>
      <c r="G51" t="inlineStr">
        <is>
          <t>Servicio de protección integral a niños, niñas, adolescentes y jóvenes</t>
        </is>
      </c>
      <c r="H51" t="inlineStr">
        <is>
          <t>410205200</t>
        </is>
      </c>
      <c r="I51" t="inlineStr">
        <is>
          <t>Niños, niñas, adolescentes y jóvenes beneficiados</t>
        </is>
      </c>
      <c r="J51" t="inlineStr">
        <is>
          <t>2024004250183</t>
        </is>
      </c>
      <c r="K51" t="inlineStr">
        <is>
          <t>Si</t>
        </is>
      </c>
      <c r="L51" t="inlineStr">
        <is>
          <t>Número</t>
        </is>
      </c>
      <c r="M51">
        <v>25000</v>
      </c>
      <c r="N51">
        <v>2700</v>
      </c>
      <c r="O51">
        <v>8100</v>
      </c>
      <c r="P51">
        <v>8000</v>
      </c>
      <c r="Q51">
        <v>6016</v>
      </c>
      <c r="R51">
        <v>2687</v>
      </c>
      <c r="S51" s="103">
        <v>0.995185185185185</v>
      </c>
      <c r="T51" t="inlineStr">
        <is>
          <t>Lo ejecutado está por debajo de lo programado en la vigencia</t>
        </is>
      </c>
      <c r="U51">
        <v>8301</v>
      </c>
      <c r="V51" s="104">
        <v>1.02481481481481</v>
      </c>
      <c r="W51" t="inlineStr">
        <is>
          <t>Hubo ejecución por encima de lo programado en SisPT</t>
        </is>
      </c>
    </row>
    <row r="52">
      <c r="A52" t="inlineStr">
        <is>
          <t>IP-45</t>
        </is>
      </c>
      <c r="B52" t="inlineStr">
        <is>
          <t>41</t>
        </is>
      </c>
      <c r="C52" t="inlineStr">
        <is>
          <t xml:space="preserve">Inclusión social y reconciliación </t>
        </is>
      </c>
      <c r="D52" t="inlineStr">
        <is>
          <t>4103</t>
        </is>
      </c>
      <c r="E52" t="inlineStr">
        <is>
          <t>Inclusión social y productiva para la población en situación de vulnerabilidad</t>
        </is>
      </c>
      <c r="F52" t="inlineStr">
        <is>
          <t>4103031</t>
        </is>
      </c>
      <c r="G52" t="inlineStr">
        <is>
          <t>Centros comunitarios dotados</t>
        </is>
      </c>
      <c r="H52" t="inlineStr">
        <is>
          <t>410303100</t>
        </is>
      </c>
      <c r="I52" t="inlineStr">
        <is>
          <t>Centros comunitarios dotados</t>
        </is>
      </c>
      <c r="J52" t="inlineStr">
        <is>
          <t>2024004250249</t>
        </is>
      </c>
      <c r="K52" t="inlineStr">
        <is>
          <t>Si</t>
        </is>
      </c>
      <c r="L52" t="inlineStr">
        <is>
          <t>Número</t>
        </is>
      </c>
      <c r="M52">
        <v>1</v>
      </c>
      <c r="N52">
        <v>0</v>
      </c>
      <c r="O52">
        <v>0.5</v>
      </c>
      <c r="P52">
        <v>0.41</v>
      </c>
      <c r="Q52">
        <v>0.09</v>
      </c>
      <c r="R52" t="inlineStr">
        <is>
          <t xml:space="preserve"> </t>
        </is>
      </c>
      <c r="S52" s="103" t="inlineStr">
        <is>
          <t xml:space="preserve"> </t>
        </is>
      </c>
      <c r="T52" t="inlineStr">
        <is>
          <t>No se encontró ejecución en PIIP</t>
        </is>
      </c>
      <c r="U52">
        <v>0</v>
      </c>
      <c r="V52" s="104">
        <v>0</v>
      </c>
      <c r="W52" t="inlineStr">
        <is>
          <t>No se ejecutó en la vigencia</t>
        </is>
      </c>
    </row>
    <row r="53">
      <c r="A53" t="inlineStr">
        <is>
          <t>IP-46</t>
        </is>
      </c>
      <c r="B53" t="inlineStr">
        <is>
          <t>45</t>
        </is>
      </c>
      <c r="C53" t="inlineStr">
        <is>
          <t>Gobierno Territorial</t>
        </is>
      </c>
      <c r="D53" t="inlineStr">
        <is>
          <t>4502</t>
        </is>
      </c>
      <c r="E53" t="inlineStr">
        <is>
          <t>Fortalecimiento del buen gobierno para el respeto y garantía de los derechos humanos.</t>
        </is>
      </c>
      <c r="F53" t="inlineStr">
        <is>
          <t>4502038</t>
        </is>
      </c>
      <c r="G53" t="inlineStr">
        <is>
          <t>Servicio de promoción de la garantía de derechos</t>
        </is>
      </c>
      <c r="H53" t="inlineStr">
        <is>
          <t>450203800</t>
        </is>
      </c>
      <c r="I53" t="inlineStr">
        <is>
          <t>Estrategias de promoción de la garantía de derechos implementadas</t>
        </is>
      </c>
      <c r="J53" t="inlineStr">
        <is>
          <t>2024004250187</t>
        </is>
      </c>
      <c r="K53" t="inlineStr">
        <is>
          <t>No</t>
        </is>
      </c>
      <c r="L53" t="inlineStr">
        <is>
          <t>Número</t>
        </is>
      </c>
      <c r="M53">
        <v>1</v>
      </c>
      <c r="N53">
        <v>1</v>
      </c>
      <c r="O53">
        <v>1</v>
      </c>
      <c r="P53">
        <v>1</v>
      </c>
      <c r="Q53">
        <v>1</v>
      </c>
      <c r="R53">
        <v>1</v>
      </c>
      <c r="S53" s="103">
        <v>1</v>
      </c>
      <c r="T53" t="inlineStr">
        <is>
          <t>Se ejecutó el 100% de lo programado en la vigencia</t>
        </is>
      </c>
      <c r="U53">
        <v>0.67</v>
      </c>
      <c r="V53" s="104">
        <v>0.67</v>
      </c>
      <c r="W53" t="inlineStr">
        <is>
          <t>Lo ejecutado está por debajo de lo programado en la vigencia</t>
        </is>
      </c>
    </row>
    <row r="54">
      <c r="A54" t="inlineStr">
        <is>
          <t>IP-47</t>
        </is>
      </c>
      <c r="B54" t="inlineStr">
        <is>
          <t>41</t>
        </is>
      </c>
      <c r="C54" t="inlineStr">
        <is>
          <t xml:space="preserve">Inclusión social y reconciliación </t>
        </is>
      </c>
      <c r="D54" t="inlineStr">
        <is>
          <t>4101</t>
        </is>
      </c>
      <c r="E54" t="inlineStr">
        <is>
          <t>Atención, asistencia y reparación integral a las víctimas</t>
        </is>
      </c>
      <c r="F54" t="inlineStr">
        <is>
          <t>4101038</t>
        </is>
      </c>
      <c r="G54" t="inlineStr">
        <is>
          <t>Servicio de asistencia técnica para la participación de las víctimas</t>
        </is>
      </c>
      <c r="H54" t="inlineStr">
        <is>
          <t>410103800</t>
        </is>
      </c>
      <c r="I54" t="inlineStr">
        <is>
          <t>Eventos de participación realizados</t>
        </is>
      </c>
      <c r="J54" t="inlineStr">
        <is>
          <t>2024004250065</t>
        </is>
      </c>
      <c r="K54" t="inlineStr">
        <is>
          <t>No</t>
        </is>
      </c>
      <c r="L54" t="inlineStr">
        <is>
          <t>Número</t>
        </is>
      </c>
      <c r="M54">
        <v>2</v>
      </c>
      <c r="N54">
        <v>2</v>
      </c>
      <c r="O54">
        <v>2</v>
      </c>
      <c r="P54">
        <v>2</v>
      </c>
      <c r="Q54">
        <v>2</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IP-48</t>
        </is>
      </c>
      <c r="B55" t="inlineStr">
        <is>
          <t>41</t>
        </is>
      </c>
      <c r="C55" t="inlineStr">
        <is>
          <t xml:space="preserve">Inclusión social y reconciliación </t>
        </is>
      </c>
      <c r="D55" t="inlineStr">
        <is>
          <t>4103</t>
        </is>
      </c>
      <c r="E55" t="inlineStr">
        <is>
          <t>Inclusión social y productiva para la población en situación de vulnerabilidad</t>
        </is>
      </c>
      <c r="F55" t="inlineStr">
        <is>
          <t>4103025</t>
        </is>
      </c>
      <c r="G55" t="inlineStr">
        <is>
          <t>Centros comunitarios construidos</t>
        </is>
      </c>
      <c r="H55" t="inlineStr">
        <is>
          <t>410302500</t>
        </is>
      </c>
      <c r="I55" t="inlineStr">
        <is>
          <t>Centros comunitarios construidos</t>
        </is>
      </c>
      <c r="J55" t="inlineStr">
        <is>
          <t>2024004250151</t>
        </is>
      </c>
      <c r="K55" t="inlineStr">
        <is>
          <t>Si</t>
        </is>
      </c>
      <c r="L55" t="inlineStr">
        <is>
          <t>Número</t>
        </is>
      </c>
      <c r="M55">
        <v>40</v>
      </c>
      <c r="N55">
        <v>7</v>
      </c>
      <c r="O55">
        <v>23</v>
      </c>
      <c r="P55">
        <v>6</v>
      </c>
      <c r="Q55">
        <v>6</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IP-49</t>
        </is>
      </c>
      <c r="B56" t="inlineStr">
        <is>
          <t>45</t>
        </is>
      </c>
      <c r="C56" t="inlineStr">
        <is>
          <t>Gobierno Territorial</t>
        </is>
      </c>
      <c r="D56" t="inlineStr">
        <is>
          <t>4502</t>
        </is>
      </c>
      <c r="E56" t="inlineStr">
        <is>
          <t>Fortalecimiento del buen gobierno para el respeto y garantía de los derechos humanos.</t>
        </is>
      </c>
      <c r="F56" t="inlineStr">
        <is>
          <t>4502034</t>
        </is>
      </c>
      <c r="G56" t="inlineStr">
        <is>
          <t xml:space="preserve">Servicio de educación informal </t>
        </is>
      </c>
      <c r="H56" t="inlineStr">
        <is>
          <t>450203400</t>
        </is>
      </c>
      <c r="I56" t="inlineStr">
        <is>
          <t>Personas capacitadas</t>
        </is>
      </c>
      <c r="J56" t="inlineStr">
        <is>
          <t>2024004250157</t>
        </is>
      </c>
      <c r="K56" t="inlineStr">
        <is>
          <t>Si</t>
        </is>
      </c>
      <c r="L56" t="inlineStr">
        <is>
          <t>Número</t>
        </is>
      </c>
      <c r="M56">
        <v>20000</v>
      </c>
      <c r="N56">
        <v>5000</v>
      </c>
      <c r="O56">
        <v>6500</v>
      </c>
      <c r="P56">
        <v>4408</v>
      </c>
      <c r="Q56">
        <v>4407</v>
      </c>
      <c r="R56">
        <v>0</v>
      </c>
      <c r="S56" s="103">
        <v>0</v>
      </c>
      <c r="T56" t="inlineStr">
        <is>
          <t>No se ejecutó en la vigencia</t>
        </is>
      </c>
      <c r="U56">
        <v>6790</v>
      </c>
      <c r="V56" s="104">
        <v>1.04461538461538</v>
      </c>
      <c r="W56" t="inlineStr">
        <is>
          <t>Hubo ejecución por encima de lo programado en SisPT</t>
        </is>
      </c>
    </row>
    <row r="57">
      <c r="A57" t="inlineStr">
        <is>
          <t>IP-50</t>
        </is>
      </c>
      <c r="B57" t="inlineStr">
        <is>
          <t>45</t>
        </is>
      </c>
      <c r="C57" t="inlineStr">
        <is>
          <t>Gobierno Territorial</t>
        </is>
      </c>
      <c r="D57" t="inlineStr">
        <is>
          <t>4502</t>
        </is>
      </c>
      <c r="E57" t="inlineStr">
        <is>
          <t>Fortalecimiento del buen gobierno para el respeto y garantía de los derechos humanos.</t>
        </is>
      </c>
      <c r="F57" t="inlineStr">
        <is>
          <t>4502001</t>
        </is>
      </c>
      <c r="G57" t="inlineStr">
        <is>
          <t>Servicio de promoción a la participación ciudadana</t>
        </is>
      </c>
      <c r="H57" t="inlineStr">
        <is>
          <t>450200100</t>
        </is>
      </c>
      <c r="I57" t="inlineStr">
        <is>
          <t>Espacios de participación promovidos</t>
        </is>
      </c>
      <c r="J57" t="inlineStr">
        <is>
          <t>2024004250157</t>
        </is>
      </c>
      <c r="K57" t="inlineStr">
        <is>
          <t>No</t>
        </is>
      </c>
      <c r="L57" t="inlineStr">
        <is>
          <t>Número</t>
        </is>
      </c>
      <c r="M57">
        <v>100</v>
      </c>
      <c r="N57">
        <v>100</v>
      </c>
      <c r="O57">
        <v>100</v>
      </c>
      <c r="P57">
        <v>100</v>
      </c>
      <c r="Q57">
        <v>100</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IP-51</t>
        </is>
      </c>
      <c r="B58" t="inlineStr">
        <is>
          <t>45</t>
        </is>
      </c>
      <c r="C58" t="inlineStr">
        <is>
          <t>Gobierno Territorial</t>
        </is>
      </c>
      <c r="D58" t="inlineStr">
        <is>
          <t>4502</t>
        </is>
      </c>
      <c r="E58" t="inlineStr">
        <is>
          <t>Fortalecimiento del buen gobierno para el respeto y garantía de los derechos humanos.</t>
        </is>
      </c>
      <c r="F58" t="inlineStr">
        <is>
          <t>4502001</t>
        </is>
      </c>
      <c r="G58" t="inlineStr">
        <is>
          <t>Servicio de promoción a la participación ciudadana</t>
        </is>
      </c>
      <c r="H58" t="inlineStr">
        <is>
          <t>450200100</t>
        </is>
      </c>
      <c r="I58" t="inlineStr">
        <is>
          <t>Espacios de participación promovidos</t>
        </is>
      </c>
      <c r="J58" t="inlineStr">
        <is>
          <t>2024004250157</t>
        </is>
      </c>
      <c r="K58" t="inlineStr">
        <is>
          <t>Si</t>
        </is>
      </c>
      <c r="L58" t="inlineStr">
        <is>
          <t>Número</t>
        </is>
      </c>
      <c r="M58">
        <v>8</v>
      </c>
      <c r="N58">
        <v>1</v>
      </c>
      <c r="O58">
        <v>2</v>
      </c>
      <c r="P58">
        <v>3</v>
      </c>
      <c r="Q58">
        <v>2</v>
      </c>
      <c r="R58">
        <v>0</v>
      </c>
      <c r="S58" s="103">
        <v>0</v>
      </c>
      <c r="T58" t="inlineStr">
        <is>
          <t>No se ejecutó en la vigencia</t>
        </is>
      </c>
      <c r="U58" t="inlineStr">
        <is>
          <t xml:space="preserve"> </t>
        </is>
      </c>
      <c r="V58" s="104" t="inlineStr">
        <is>
          <t xml:space="preserve"> </t>
        </is>
      </c>
      <c r="W58" t="inlineStr">
        <is>
          <t>No se encontró ejecución en PIIP</t>
        </is>
      </c>
    </row>
    <row r="59">
      <c r="A59" t="inlineStr">
        <is>
          <t>IP-52</t>
        </is>
      </c>
      <c r="B59" t="inlineStr">
        <is>
          <t>45</t>
        </is>
      </c>
      <c r="C59" t="inlineStr">
        <is>
          <t>Gobierno Territorial</t>
        </is>
      </c>
      <c r="D59" t="inlineStr">
        <is>
          <t>4502</t>
        </is>
      </c>
      <c r="E59" t="inlineStr">
        <is>
          <t>Fortalecimiento del buen gobierno para el respeto y garantía de los derechos humanos.</t>
        </is>
      </c>
      <c r="F59" t="inlineStr">
        <is>
          <t>4502038</t>
        </is>
      </c>
      <c r="G59" t="inlineStr">
        <is>
          <t>Servicio de promoción de la garantía de derechos</t>
        </is>
      </c>
      <c r="H59" t="inlineStr">
        <is>
          <t>450203800</t>
        </is>
      </c>
      <c r="I59" t="inlineStr">
        <is>
          <t>Estrategias de promoción de la garantía de derechos implementadas</t>
        </is>
      </c>
      <c r="J59" t="inlineStr">
        <is>
          <t>2024004250157</t>
        </is>
      </c>
      <c r="K59" t="inlineStr">
        <is>
          <t>Si</t>
        </is>
      </c>
      <c r="L59" t="inlineStr">
        <is>
          <t>Número</t>
        </is>
      </c>
      <c r="M59">
        <v>24</v>
      </c>
      <c r="N59">
        <v>5</v>
      </c>
      <c r="O59">
        <v>7</v>
      </c>
      <c r="P59">
        <v>6</v>
      </c>
      <c r="Q59">
        <v>6</v>
      </c>
      <c r="R59">
        <v>0</v>
      </c>
      <c r="S59" s="103">
        <v>0</v>
      </c>
      <c r="T59" t="inlineStr">
        <is>
          <t>No se ejecutó en la vigencia</t>
        </is>
      </c>
      <c r="U59">
        <v>2</v>
      </c>
      <c r="V59" s="104">
        <v>0.285714285714286</v>
      </c>
      <c r="W59" t="inlineStr">
        <is>
          <t>Lo ejecutado está por debajo de lo programado en la vigencia</t>
        </is>
      </c>
    </row>
    <row r="60">
      <c r="A60" t="inlineStr">
        <is>
          <t>IP-53</t>
        </is>
      </c>
      <c r="B60" t="inlineStr">
        <is>
          <t>45</t>
        </is>
      </c>
      <c r="C60" t="inlineStr">
        <is>
          <t>Gobierno Territorial</t>
        </is>
      </c>
      <c r="D60" t="inlineStr">
        <is>
          <t>4599</t>
        </is>
      </c>
      <c r="E60" t="inlineStr">
        <is>
          <t>Fortalecimiento a la gestión y dirección de la administración pública territorial</t>
        </is>
      </c>
      <c r="F60" t="inlineStr">
        <is>
          <t>4599025</t>
        </is>
      </c>
      <c r="G60" t="inlineStr">
        <is>
          <t>Servicios de información implementados</t>
        </is>
      </c>
      <c r="H60" t="inlineStr">
        <is>
          <t>459902500</t>
        </is>
      </c>
      <c r="I60" t="inlineStr">
        <is>
          <t>Sistemas de información implementados</t>
        </is>
      </c>
      <c r="J60" t="inlineStr">
        <is>
          <t>2024004250162</t>
        </is>
      </c>
      <c r="K60" t="inlineStr">
        <is>
          <t>Si</t>
        </is>
      </c>
      <c r="L60" t="inlineStr">
        <is>
          <t>Número</t>
        </is>
      </c>
      <c r="M60">
        <v>1</v>
      </c>
      <c r="N60">
        <v>0.2</v>
      </c>
      <c r="O60">
        <v>0.3</v>
      </c>
      <c r="P60">
        <v>0.3</v>
      </c>
      <c r="Q60">
        <v>0.2</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IP-54</t>
        </is>
      </c>
      <c r="B61" t="inlineStr">
        <is>
          <t>19</t>
        </is>
      </c>
      <c r="C61" t="inlineStr">
        <is>
          <t>Salud y protección social</t>
        </is>
      </c>
      <c r="D61" t="inlineStr">
        <is>
          <t>1905</t>
        </is>
      </c>
      <c r="E61" t="inlineStr">
        <is>
          <t>Salud pública</t>
        </is>
      </c>
      <c r="F61" t="inlineStr">
        <is>
          <t>1905040</t>
        </is>
      </c>
      <c r="G61" t="inlineStr">
        <is>
          <t>Servicio de certificación de discapacidad para las personas con discapacidad</t>
        </is>
      </c>
      <c r="H61" t="inlineStr">
        <is>
          <t>190504000</t>
        </is>
      </c>
      <c r="I61" t="inlineStr">
        <is>
          <t>Personas con servicio de certificación de discapacidad</t>
        </is>
      </c>
      <c r="J61" t="inlineStr">
        <is>
          <t>2024004250192</t>
        </is>
      </c>
      <c r="K61" t="inlineStr">
        <is>
          <t>No</t>
        </is>
      </c>
      <c r="L61" t="inlineStr">
        <is>
          <t>Número</t>
        </is>
      </c>
      <c r="M61">
        <v>100</v>
      </c>
      <c r="N61">
        <v>100</v>
      </c>
      <c r="O61">
        <v>100</v>
      </c>
      <c r="P61">
        <v>100</v>
      </c>
      <c r="Q61">
        <v>100</v>
      </c>
      <c r="R61">
        <v>100</v>
      </c>
      <c r="S61" s="103">
        <v>1</v>
      </c>
      <c r="T61" t="inlineStr">
        <is>
          <t>Se ejecutó el 100% de lo programado en la vigencia</t>
        </is>
      </c>
      <c r="U61">
        <v>83</v>
      </c>
      <c r="V61" s="104">
        <v>0.83</v>
      </c>
      <c r="W61" t="inlineStr">
        <is>
          <t>Lo ejecutado está por debajo de lo programado en la vigencia</t>
        </is>
      </c>
    </row>
    <row r="62">
      <c r="A62" t="inlineStr">
        <is>
          <t>IP-55</t>
        </is>
      </c>
      <c r="B62" t="inlineStr">
        <is>
          <t>17</t>
        </is>
      </c>
      <c r="C62" t="inlineStr">
        <is>
          <t xml:space="preserve">Agricultura y desarrollo rural
</t>
        </is>
      </c>
      <c r="D62" t="inlineStr">
        <is>
          <t>1702</t>
        </is>
      </c>
      <c r="E62" t="inlineStr">
        <is>
          <t>Inclusión productiva de pequeños productores rurales</t>
        </is>
      </c>
      <c r="F62" t="inlineStr">
        <is>
          <t>1702021</t>
        </is>
      </c>
      <c r="G62" t="inlineStr">
        <is>
          <t>Servicio de acompañamiento productivo y empresarial</t>
        </is>
      </c>
      <c r="H62" t="inlineStr">
        <is>
          <t>170202100</t>
        </is>
      </c>
      <c r="I62" t="inlineStr">
        <is>
          <t>Unidades productivas beneficiadas</t>
        </is>
      </c>
      <c r="J62" t="inlineStr">
        <is>
          <t>2024004250207</t>
        </is>
      </c>
      <c r="K62" t="inlineStr">
        <is>
          <t>Si</t>
        </is>
      </c>
      <c r="L62" t="inlineStr">
        <is>
          <t>Número</t>
        </is>
      </c>
      <c r="M62">
        <v>700</v>
      </c>
      <c r="N62">
        <v>178</v>
      </c>
      <c r="O62">
        <v>276</v>
      </c>
      <c r="P62">
        <v>124</v>
      </c>
      <c r="Q62">
        <v>122</v>
      </c>
      <c r="R62">
        <v>64.2</v>
      </c>
      <c r="S62" s="103">
        <v>0.360674157303371</v>
      </c>
      <c r="T62" t="inlineStr">
        <is>
          <t>Lo ejecutado está por debajo de lo programado en la vigencia</t>
        </is>
      </c>
      <c r="U62">
        <v>810.1</v>
      </c>
      <c r="V62" s="104">
        <v>2.93514492753623</v>
      </c>
      <c r="W62" t="inlineStr">
        <is>
          <t>Hubo ejecución por encima de lo programado en SisPT</t>
        </is>
      </c>
    </row>
    <row r="63">
      <c r="A63" t="inlineStr">
        <is>
          <t>IP-56</t>
        </is>
      </c>
      <c r="B63" t="inlineStr">
        <is>
          <t>41</t>
        </is>
      </c>
      <c r="C63" t="inlineStr">
        <is>
          <t xml:space="preserve">Inclusión social y reconciliación </t>
        </is>
      </c>
      <c r="D63" t="inlineStr">
        <is>
          <t>4101</t>
        </is>
      </c>
      <c r="E63" t="inlineStr">
        <is>
          <t>Atención, asistencia y reparación integral a las víctimas</t>
        </is>
      </c>
      <c r="F63" t="inlineStr">
        <is>
          <t>4101073</t>
        </is>
      </c>
      <c r="G63" t="inlineStr">
        <is>
          <t>Servicio de apoyo para la generación de ingresos</t>
        </is>
      </c>
      <c r="H63" t="inlineStr">
        <is>
          <t>410107300</t>
        </is>
      </c>
      <c r="I63" t="inlineStr">
        <is>
          <t>Hogares con asistencia técnica para la generación de ingresos</t>
        </is>
      </c>
      <c r="J63" t="inlineStr">
        <is>
          <t>2024004250065</t>
        </is>
      </c>
      <c r="K63" t="inlineStr">
        <is>
          <t>Si</t>
        </is>
      </c>
      <c r="L63" t="inlineStr">
        <is>
          <t>Número</t>
        </is>
      </c>
      <c r="M63">
        <v>1</v>
      </c>
      <c r="N63">
        <v>0.1</v>
      </c>
      <c r="O63">
        <v>0.3</v>
      </c>
      <c r="P63">
        <v>0.3</v>
      </c>
      <c r="Q63">
        <v>0.3</v>
      </c>
      <c r="R63">
        <v>0.2</v>
      </c>
      <c r="S63" s="103">
        <v>2</v>
      </c>
      <c r="T63" t="inlineStr">
        <is>
          <t>Hubo ejecución por encima de lo programado en SisPT</t>
        </is>
      </c>
      <c r="U63">
        <v>0.812</v>
      </c>
      <c r="V63" s="104">
        <v>2.70666666666667</v>
      </c>
      <c r="W63" t="inlineStr">
        <is>
          <t>Hubo ejecución por encima de lo programado en SisPT</t>
        </is>
      </c>
    </row>
    <row r="64">
      <c r="A64" t="inlineStr">
        <is>
          <t>IP-57</t>
        </is>
      </c>
      <c r="B64" t="inlineStr">
        <is>
          <t>36</t>
        </is>
      </c>
      <c r="C64" t="inlineStr">
        <is>
          <t>Trabajo</t>
        </is>
      </c>
      <c r="D64" t="inlineStr">
        <is>
          <t>3601</t>
        </is>
      </c>
      <c r="E64" t="inlineStr">
        <is>
          <t>Protección Social</t>
        </is>
      </c>
      <c r="F64" t="inlineStr">
        <is>
          <t>3601009</t>
        </is>
      </c>
      <c r="G64" t="inlineStr">
        <is>
          <t>Servicio de divulgación sobre el Sistema General de Pensiones y Cajas de Compensación</t>
        </is>
      </c>
      <c r="H64" t="inlineStr">
        <is>
          <t>360100900</t>
        </is>
      </c>
      <c r="I64" t="inlineStr">
        <is>
          <t>Eventos realizados</t>
        </is>
      </c>
      <c r="J64" t="inlineStr">
        <is>
          <t>2024004250153</t>
        </is>
      </c>
      <c r="K64" t="inlineStr">
        <is>
          <t>No</t>
        </is>
      </c>
      <c r="L64" t="inlineStr">
        <is>
          <t>Número</t>
        </is>
      </c>
      <c r="M64">
        <v>116</v>
      </c>
      <c r="N64">
        <v>116</v>
      </c>
      <c r="O64">
        <v>116</v>
      </c>
      <c r="P64">
        <v>116</v>
      </c>
      <c r="Q64">
        <v>116</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IP-58, IP-60, IP-61</t>
        </is>
      </c>
      <c r="B65" t="inlineStr">
        <is>
          <t>45</t>
        </is>
      </c>
      <c r="C65" t="inlineStr">
        <is>
          <t>Gobierno Territorial</t>
        </is>
      </c>
      <c r="D65" t="inlineStr">
        <is>
          <t>4502</t>
        </is>
      </c>
      <c r="E65" t="inlineStr">
        <is>
          <t>Fortalecimiento del buen gobierno para el respeto y garantía de los derechos humanos.</t>
        </is>
      </c>
      <c r="F65" t="inlineStr">
        <is>
          <t>4502038</t>
        </is>
      </c>
      <c r="G65" t="inlineStr">
        <is>
          <t>Servicio de promoción de la garantía de derechos</t>
        </is>
      </c>
      <c r="H65" t="inlineStr">
        <is>
          <t>450203800</t>
        </is>
      </c>
      <c r="I65" t="inlineStr">
        <is>
          <t>Estrategias de promoción de la garantía de derechos implementadas</t>
        </is>
      </c>
      <c r="J65" t="inlineStr">
        <is>
          <t>2024004250167</t>
        </is>
      </c>
      <c r="K65" t="inlineStr">
        <is>
          <t>Si</t>
        </is>
      </c>
      <c r="L65" t="inlineStr">
        <is>
          <t>Número</t>
        </is>
      </c>
      <c r="M65">
        <v>24002</v>
      </c>
      <c r="N65">
        <v>4000.4</v>
      </c>
      <c r="O65">
        <v>8000.6</v>
      </c>
      <c r="P65">
        <v>7000.6</v>
      </c>
      <c r="Q65">
        <v>7000.4</v>
      </c>
      <c r="R65">
        <v>0</v>
      </c>
      <c r="S65" s="103">
        <v>0</v>
      </c>
      <c r="T65" t="inlineStr">
        <is>
          <t>No se ejecutó en la vigencia</t>
        </is>
      </c>
      <c r="U65">
        <v>1</v>
      </c>
      <c r="V65" s="104">
        <v>0.000124990625703072</v>
      </c>
      <c r="W65" t="inlineStr">
        <is>
          <t>Lo ejecutado está por debajo de lo programado en la vigencia</t>
        </is>
      </c>
    </row>
    <row r="66">
      <c r="A66" t="inlineStr">
        <is>
          <t>IP-59</t>
        </is>
      </c>
      <c r="B66" t="inlineStr">
        <is>
          <t>45</t>
        </is>
      </c>
      <c r="C66" t="inlineStr">
        <is>
          <t>Gobierno Territorial</t>
        </is>
      </c>
      <c r="D66" t="inlineStr">
        <is>
          <t>4502</t>
        </is>
      </c>
      <c r="E66" t="inlineStr">
        <is>
          <t>Fortalecimiento del buen gobierno para el respeto y garantía de los derechos humanos.</t>
        </is>
      </c>
      <c r="F66" t="inlineStr">
        <is>
          <t>4502038</t>
        </is>
      </c>
      <c r="G66" t="inlineStr">
        <is>
          <t>Servicio de promoción de la garantía de derechos</t>
        </is>
      </c>
      <c r="H66" t="inlineStr">
        <is>
          <t>450203800</t>
        </is>
      </c>
      <c r="I66" t="inlineStr">
        <is>
          <t>Estrategias de promoción de la garantía de derechos implementadas</t>
        </is>
      </c>
      <c r="J66" t="inlineStr">
        <is>
          <t>2024004250167</t>
        </is>
      </c>
      <c r="K66" t="inlineStr">
        <is>
          <t>No</t>
        </is>
      </c>
      <c r="L66" t="inlineStr">
        <is>
          <t>Número</t>
        </is>
      </c>
      <c r="M66">
        <v>2</v>
      </c>
      <c r="N66">
        <v>2</v>
      </c>
      <c r="O66">
        <v>2</v>
      </c>
      <c r="P66">
        <v>2</v>
      </c>
      <c r="Q66">
        <v>2</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IP-62</t>
        </is>
      </c>
      <c r="B67" t="inlineStr">
        <is>
          <t>41</t>
        </is>
      </c>
      <c r="C67" t="inlineStr">
        <is>
          <t xml:space="preserve">Inclusión social y reconciliación </t>
        </is>
      </c>
      <c r="D67" t="inlineStr">
        <is>
          <t>4104</t>
        </is>
      </c>
      <c r="E67" t="inlineStr">
        <is>
          <t>Atención integral de población en situación permanente de desprotección social y/o familiar</t>
        </is>
      </c>
      <c r="F67" t="inlineStr">
        <is>
          <t>4104008</t>
        </is>
      </c>
      <c r="G67" t="inlineStr">
        <is>
          <t>Servicio de atención y protección integral al adulto mayor</t>
        </is>
      </c>
      <c r="H67" t="inlineStr">
        <is>
          <t>410400800</t>
        </is>
      </c>
      <c r="I67" t="inlineStr">
        <is>
          <t>Adultos mayores atendidos con servicios integrales</t>
        </is>
      </c>
      <c r="J67" t="inlineStr">
        <is>
          <t>2024004250028</t>
        </is>
      </c>
      <c r="K67" t="inlineStr">
        <is>
          <t>No</t>
        </is>
      </c>
      <c r="L67" t="inlineStr">
        <is>
          <t>Número</t>
        </is>
      </c>
      <c r="M67">
        <v>650</v>
      </c>
      <c r="N67">
        <v>650</v>
      </c>
      <c r="O67">
        <v>650</v>
      </c>
      <c r="P67">
        <v>650</v>
      </c>
      <c r="Q67">
        <v>650</v>
      </c>
      <c r="R67">
        <v>683</v>
      </c>
      <c r="S67" s="103">
        <v>1.05076923076923</v>
      </c>
      <c r="T67" t="inlineStr">
        <is>
          <t>Hubo ejecución por encima de lo programado en SisPT</t>
        </is>
      </c>
      <c r="U67">
        <v>573</v>
      </c>
      <c r="V67" s="104">
        <v>0.881538461538461</v>
      </c>
      <c r="W67" t="inlineStr">
        <is>
          <t>Lo ejecutado está por debajo de lo programado en la vigencia</t>
        </is>
      </c>
    </row>
    <row r="68">
      <c r="A68" t="inlineStr">
        <is>
          <t>IP-63</t>
        </is>
      </c>
      <c r="B68" t="inlineStr">
        <is>
          <t>41</t>
        </is>
      </c>
      <c r="C68" t="inlineStr">
        <is>
          <t xml:space="preserve">Inclusión social y reconciliación </t>
        </is>
      </c>
      <c r="D68" t="inlineStr">
        <is>
          <t>4103</t>
        </is>
      </c>
      <c r="E68" t="inlineStr">
        <is>
          <t>Inclusión social y productiva para la población en situación de vulnerabilidad</t>
        </is>
      </c>
      <c r="F68" t="inlineStr">
        <is>
          <t>4103052</t>
        </is>
      </c>
      <c r="G68" t="inlineStr">
        <is>
          <t>Servicio de gestión de oferta social para la población vulnerable</t>
        </is>
      </c>
      <c r="H68" t="inlineStr">
        <is>
          <t>410305200</t>
        </is>
      </c>
      <c r="I68" t="inlineStr">
        <is>
          <t>Beneficiarios potenciales para quienes se gestiona la oferta social</t>
        </is>
      </c>
      <c r="J68" t="inlineStr">
        <is>
          <t>2024004250255</t>
        </is>
      </c>
      <c r="K68" t="inlineStr">
        <is>
          <t>Si</t>
        </is>
      </c>
      <c r="L68" t="inlineStr">
        <is>
          <t>Número</t>
        </is>
      </c>
      <c r="M68">
        <v>1</v>
      </c>
      <c r="N68">
        <v>0</v>
      </c>
      <c r="O68">
        <v>0.4</v>
      </c>
      <c r="P68">
        <v>0.3</v>
      </c>
      <c r="Q68">
        <v>0.3</v>
      </c>
      <c r="R68" t="inlineStr">
        <is>
          <t xml:space="preserve"> </t>
        </is>
      </c>
      <c r="S68" s="103" t="inlineStr">
        <is>
          <t xml:space="preserve"> </t>
        </is>
      </c>
      <c r="T68" t="inlineStr">
        <is>
          <t>No se encontró ejecución en PIIP</t>
        </is>
      </c>
      <c r="U68">
        <v>0</v>
      </c>
      <c r="V68" s="104">
        <v>0</v>
      </c>
      <c r="W68" t="inlineStr">
        <is>
          <t>No se ejecutó en la vigencia</t>
        </is>
      </c>
    </row>
    <row r="69">
      <c r="A69" t="inlineStr">
        <is>
          <t>IP-65</t>
        </is>
      </c>
      <c r="B69" t="inlineStr">
        <is>
          <t>41</t>
        </is>
      </c>
      <c r="C69" t="inlineStr">
        <is>
          <t xml:space="preserve">Inclusión social y reconciliación </t>
        </is>
      </c>
      <c r="D69" t="inlineStr">
        <is>
          <t>4103</t>
        </is>
      </c>
      <c r="E69" t="inlineStr">
        <is>
          <t>Inclusión social y productiva para la población en situación de vulnerabilidad</t>
        </is>
      </c>
      <c r="F69" t="inlineStr">
        <is>
          <t>4103061</t>
        </is>
      </c>
      <c r="G69" t="inlineStr">
        <is>
          <t>Servicio de apoyo financiero para la entrega de transferencias monetarias no condicionadas</t>
        </is>
      </c>
      <c r="H69" t="inlineStr">
        <is>
          <t>410306100</t>
        </is>
      </c>
      <c r="I69" t="inlineStr">
        <is>
          <t>Familias beneficiadas con transferencias monetarias no condicionadas</t>
        </is>
      </c>
      <c r="J69" t="inlineStr">
        <is>
          <t>2024004250197</t>
        </is>
      </c>
      <c r="K69" t="inlineStr">
        <is>
          <t>No</t>
        </is>
      </c>
      <c r="L69" t="inlineStr">
        <is>
          <t>Número</t>
        </is>
      </c>
      <c r="M69">
        <v>6000</v>
      </c>
      <c r="N69">
        <v>6000</v>
      </c>
      <c r="O69">
        <v>6000</v>
      </c>
      <c r="P69">
        <v>6000</v>
      </c>
      <c r="Q69">
        <v>6000</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IP-66</t>
        </is>
      </c>
      <c r="B70" t="inlineStr">
        <is>
          <t>41</t>
        </is>
      </c>
      <c r="C70" t="inlineStr">
        <is>
          <t xml:space="preserve">Inclusión social y reconciliación </t>
        </is>
      </c>
      <c r="D70" t="inlineStr">
        <is>
          <t>4104</t>
        </is>
      </c>
      <c r="E70" t="inlineStr">
        <is>
          <t>Atención integral de población en situación permanente de desprotección social y/o familiar</t>
        </is>
      </c>
      <c r="F70" t="inlineStr">
        <is>
          <t>4104008</t>
        </is>
      </c>
      <c r="G70" t="inlineStr">
        <is>
          <t>Servicio de atención y protección integral al adulto mayor</t>
        </is>
      </c>
      <c r="H70" t="inlineStr">
        <is>
          <t>410400800</t>
        </is>
      </c>
      <c r="I70" t="inlineStr">
        <is>
          <t>Adultos mayores atendidos con servicios integrales</t>
        </is>
      </c>
      <c r="J70" t="inlineStr">
        <is>
          <t>2024004250195</t>
        </is>
      </c>
      <c r="K70" t="inlineStr">
        <is>
          <t>No</t>
        </is>
      </c>
      <c r="L70" t="inlineStr">
        <is>
          <t>Número</t>
        </is>
      </c>
      <c r="M70">
        <v>48000</v>
      </c>
      <c r="N70">
        <v>48000</v>
      </c>
      <c r="O70">
        <v>48000</v>
      </c>
      <c r="P70">
        <v>48000</v>
      </c>
      <c r="Q70">
        <v>48000</v>
      </c>
      <c r="R70">
        <v>47559</v>
      </c>
      <c r="S70" s="103">
        <v>0.9908125</v>
      </c>
      <c r="T70" t="inlineStr">
        <is>
          <t>Lo ejecutado está por debajo de lo programado en la vigencia</t>
        </is>
      </c>
      <c r="U70">
        <v>0</v>
      </c>
      <c r="V70" s="104">
        <v>0</v>
      </c>
      <c r="W70" t="inlineStr">
        <is>
          <t>No se ejecutó en la vigencia</t>
        </is>
      </c>
    </row>
    <row r="71">
      <c r="A71" t="inlineStr">
        <is>
          <t>IP-67</t>
        </is>
      </c>
      <c r="B71" t="inlineStr">
        <is>
          <t>41</t>
        </is>
      </c>
      <c r="C71" t="inlineStr">
        <is>
          <t xml:space="preserve">Inclusión social y reconciliación </t>
        </is>
      </c>
      <c r="D71" t="inlineStr">
        <is>
          <t>4104</t>
        </is>
      </c>
      <c r="E71" t="inlineStr">
        <is>
          <t>Atención integral de población en situación permanente de desprotección social y/o familiar</t>
        </is>
      </c>
      <c r="F71" t="inlineStr">
        <is>
          <t>4104008</t>
        </is>
      </c>
      <c r="G71" t="inlineStr">
        <is>
          <t>Servicio de atención y protección integral al adulto mayor</t>
        </is>
      </c>
      <c r="H71" t="inlineStr">
        <is>
          <t>410400800</t>
        </is>
      </c>
      <c r="I71" t="inlineStr">
        <is>
          <t>Adultos mayores atendidos con servicios integrales</t>
        </is>
      </c>
      <c r="J71" t="inlineStr">
        <is>
          <t>2024004250194</t>
        </is>
      </c>
      <c r="K71" t="inlineStr">
        <is>
          <t>Si</t>
        </is>
      </c>
      <c r="L71" t="inlineStr">
        <is>
          <t>Número</t>
        </is>
      </c>
      <c r="M71">
        <v>18000</v>
      </c>
      <c r="N71">
        <v>3000</v>
      </c>
      <c r="O71">
        <v>5000</v>
      </c>
      <c r="P71">
        <v>5000</v>
      </c>
      <c r="Q71">
        <v>4918</v>
      </c>
      <c r="R71" t="inlineStr">
        <is>
          <t xml:space="preserve"> </t>
        </is>
      </c>
      <c r="S71" s="103" t="inlineStr">
        <is>
          <t xml:space="preserve"> </t>
        </is>
      </c>
      <c r="T71" t="inlineStr">
        <is>
          <t>No se encontró ejecución en PIIP</t>
        </is>
      </c>
      <c r="U71" t="inlineStr">
        <is>
          <t xml:space="preserve"> </t>
        </is>
      </c>
      <c r="V71" s="104" t="inlineStr">
        <is>
          <t xml:space="preserve"> </t>
        </is>
      </c>
      <c r="W71" t="inlineStr">
        <is>
          <t>No se encontró ejecución en PIIP</t>
        </is>
      </c>
    </row>
    <row r="72">
      <c r="A72" t="inlineStr">
        <is>
          <t>IP-68</t>
        </is>
      </c>
      <c r="B72" t="inlineStr">
        <is>
          <t>41</t>
        </is>
      </c>
      <c r="C72" t="inlineStr">
        <is>
          <t xml:space="preserve">Inclusión social y reconciliación </t>
        </is>
      </c>
      <c r="D72" t="inlineStr">
        <is>
          <t>4102</t>
        </is>
      </c>
      <c r="E72" t="inlineStr">
        <is>
          <t>Desarrollo integral de la primera infancia a la juventud, y fortalecimiento de las capacidades de las familias de niñas, niños y adolescentes</t>
        </is>
      </c>
      <c r="F72" t="inlineStr">
        <is>
          <t>4102043</t>
        </is>
      </c>
      <c r="G72" t="inlineStr">
        <is>
          <t>Servicio de promoción de temas de dinámica relacional y desarrollo autónomo</t>
        </is>
      </c>
      <c r="H72" t="inlineStr">
        <is>
          <t>410204300</t>
        </is>
      </c>
      <c r="I72" t="inlineStr">
        <is>
          <t>Familias atendidas</t>
        </is>
      </c>
      <c r="J72" t="inlineStr">
        <is>
          <t>2024004250193</t>
        </is>
      </c>
      <c r="K72" t="inlineStr">
        <is>
          <t>Si</t>
        </is>
      </c>
      <c r="L72" t="inlineStr">
        <is>
          <t>Número</t>
        </is>
      </c>
      <c r="M72">
        <v>4500</v>
      </c>
      <c r="N72">
        <v>800</v>
      </c>
      <c r="O72">
        <v>1200</v>
      </c>
      <c r="P72">
        <v>1222</v>
      </c>
      <c r="Q72">
        <v>1200</v>
      </c>
      <c r="R72">
        <v>878</v>
      </c>
      <c r="S72" s="103">
        <v>1.0975</v>
      </c>
      <c r="T72" t="inlineStr">
        <is>
          <t>Hubo ejecución por encima de lo programado en SisPT</t>
        </is>
      </c>
      <c r="U72">
        <v>986</v>
      </c>
      <c r="V72" s="104">
        <v>0.821666666666667</v>
      </c>
      <c r="W72" t="inlineStr">
        <is>
          <t>Lo ejecutado está por debajo de lo programado en la vigencia</t>
        </is>
      </c>
    </row>
    <row r="73">
      <c r="A73" t="inlineStr">
        <is>
          <t>IP-69</t>
        </is>
      </c>
      <c r="B73" t="inlineStr">
        <is>
          <t>41</t>
        </is>
      </c>
      <c r="C73" t="inlineStr">
        <is>
          <t xml:space="preserve">Inclusión social y reconciliación </t>
        </is>
      </c>
      <c r="D73" t="inlineStr">
        <is>
          <t>4103</t>
        </is>
      </c>
      <c r="E73" t="inlineStr">
        <is>
          <t>Inclusión social y productiva para la población en situación de vulnerabilidad</t>
        </is>
      </c>
      <c r="F73" t="inlineStr">
        <is>
          <t>4103052</t>
        </is>
      </c>
      <c r="G73" t="inlineStr">
        <is>
          <t>Servicio de gestión de oferta social para la población vulnerable</t>
        </is>
      </c>
      <c r="H73" t="inlineStr">
        <is>
          <t>410305200</t>
        </is>
      </c>
      <c r="I73" t="inlineStr">
        <is>
          <t>Beneficiarios potenciales para quienes se gestiona la oferta social</t>
        </is>
      </c>
      <c r="J73" t="inlineStr">
        <is>
          <t>2024004250165</t>
        </is>
      </c>
      <c r="K73" t="inlineStr">
        <is>
          <t>No</t>
        </is>
      </c>
      <c r="L73" t="inlineStr">
        <is>
          <t>Número</t>
        </is>
      </c>
      <c r="M73">
        <v>1</v>
      </c>
      <c r="N73">
        <v>1</v>
      </c>
      <c r="O73">
        <v>1</v>
      </c>
      <c r="P73">
        <v>1</v>
      </c>
      <c r="Q73">
        <v>1</v>
      </c>
      <c r="R73" t="inlineStr">
        <is>
          <t xml:space="preserve"> </t>
        </is>
      </c>
      <c r="S73" s="103" t="inlineStr">
        <is>
          <t xml:space="preserve"> </t>
        </is>
      </c>
      <c r="T73" t="inlineStr">
        <is>
          <t>No se encontró ejecución en PIIP</t>
        </is>
      </c>
      <c r="U73">
        <v>1200</v>
      </c>
      <c r="V73" s="104">
        <v>1200</v>
      </c>
      <c r="W73" t="inlineStr">
        <is>
          <t>Hubo ejecución por encima de lo programado en SisPT</t>
        </is>
      </c>
    </row>
    <row r="74">
      <c r="A74" t="inlineStr">
        <is>
          <t>IP-70</t>
        </is>
      </c>
      <c r="B74" t="inlineStr">
        <is>
          <t>41</t>
        </is>
      </c>
      <c r="C74" t="inlineStr">
        <is>
          <t xml:space="preserve">Inclusión social y reconciliación </t>
        </is>
      </c>
      <c r="D74" t="inlineStr">
        <is>
          <t>4104</t>
        </is>
      </c>
      <c r="E74" t="inlineStr">
        <is>
          <t>Atención integral de población en situación permanente de desprotección social y/o familiar</t>
        </is>
      </c>
      <c r="F74" t="inlineStr">
        <is>
          <t>4104020</t>
        </is>
      </c>
      <c r="G74" t="inlineStr">
        <is>
          <t>Servicio de atención integral a población en condición de discapacidad</t>
        </is>
      </c>
      <c r="H74" t="inlineStr">
        <is>
          <t>410402000</t>
        </is>
      </c>
      <c r="I74" t="inlineStr">
        <is>
          <t>Personas con discapacidad atendidas con servicios integrales</t>
        </is>
      </c>
      <c r="J74" t="inlineStr">
        <is>
          <t>2024004250040</t>
        </is>
      </c>
      <c r="K74" t="inlineStr">
        <is>
          <t>No</t>
        </is>
      </c>
      <c r="L74" t="inlineStr">
        <is>
          <t>Número</t>
        </is>
      </c>
      <c r="M74">
        <v>650</v>
      </c>
      <c r="N74">
        <v>650</v>
      </c>
      <c r="O74">
        <v>650</v>
      </c>
      <c r="P74">
        <v>650</v>
      </c>
      <c r="Q74">
        <v>650</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IP-71</t>
        </is>
      </c>
      <c r="B75" t="inlineStr">
        <is>
          <t>41</t>
        </is>
      </c>
      <c r="C75" t="inlineStr">
        <is>
          <t xml:space="preserve">Inclusión social y reconciliación </t>
        </is>
      </c>
      <c r="D75" t="inlineStr">
        <is>
          <t>4102</t>
        </is>
      </c>
      <c r="E75" t="inlineStr">
        <is>
          <t>Desarrollo integral de la primera infancia a la juventud, y fortalecimiento de las capacidades de las familias de niñas, niños y adolescentes</t>
        </is>
      </c>
      <c r="F75" t="inlineStr">
        <is>
          <t>4102001</t>
        </is>
      </c>
      <c r="G75" t="inlineStr">
        <is>
          <t>Servicio de atención integral a la primera infancia</t>
        </is>
      </c>
      <c r="H75" t="inlineStr">
        <is>
          <t>410200100</t>
        </is>
      </c>
      <c r="I75" t="inlineStr">
        <is>
          <t>Niños y niñas atendidos en Servicio integrales</t>
        </is>
      </c>
      <c r="J75" t="inlineStr">
        <is>
          <t>2024004250189</t>
        </is>
      </c>
      <c r="K75" t="inlineStr">
        <is>
          <t>Si</t>
        </is>
      </c>
      <c r="L75" t="inlineStr">
        <is>
          <t>Número</t>
        </is>
      </c>
      <c r="M75">
        <v>10000</v>
      </c>
      <c r="N75">
        <v>1000</v>
      </c>
      <c r="O75">
        <v>3500</v>
      </c>
      <c r="P75">
        <v>3500</v>
      </c>
      <c r="Q75">
        <v>1192</v>
      </c>
      <c r="R75">
        <v>1808</v>
      </c>
      <c r="S75" s="103">
        <v>1.808</v>
      </c>
      <c r="T75" t="inlineStr">
        <is>
          <t>Hubo ejecución por encima de lo programado en SisPT</t>
        </is>
      </c>
      <c r="U75">
        <v>3244</v>
      </c>
      <c r="V75" s="104">
        <v>0.926857142857143</v>
      </c>
      <c r="W75" t="inlineStr">
        <is>
          <t>Lo ejecutado está por debajo de lo programado en la vigencia</t>
        </is>
      </c>
    </row>
    <row r="76">
      <c r="A76" t="inlineStr">
        <is>
          <t>IP-72, IP-76</t>
        </is>
      </c>
      <c r="B76" t="inlineStr">
        <is>
          <t>41</t>
        </is>
      </c>
      <c r="C76" t="inlineStr">
        <is>
          <t xml:space="preserve">Inclusión social y reconciliación </t>
        </is>
      </c>
      <c r="D76" t="inlineStr">
        <is>
          <t>4102</t>
        </is>
      </c>
      <c r="E76" t="inlineStr">
        <is>
          <t>Desarrollo integral de la primera infancia a la juventud, y fortalecimiento de las capacidades de las familias de niñas, niños y adolescentes</t>
        </is>
      </c>
      <c r="F76" t="inlineStr">
        <is>
          <t>4102043</t>
        </is>
      </c>
      <c r="G76" t="inlineStr">
        <is>
          <t>Servicio de promoción de temas de dinámica relacional y desarrollo autónomo</t>
        </is>
      </c>
      <c r="H76" t="inlineStr">
        <is>
          <t>410204300</t>
        </is>
      </c>
      <c r="I76" t="inlineStr">
        <is>
          <t>Familias atendidas</t>
        </is>
      </c>
      <c r="J76" t="inlineStr">
        <is>
          <t>2024004250189</t>
        </is>
      </c>
      <c r="K76" t="inlineStr">
        <is>
          <t>Si</t>
        </is>
      </c>
      <c r="L76" t="inlineStr">
        <is>
          <t>Número</t>
        </is>
      </c>
      <c r="M76">
        <v>5116</v>
      </c>
      <c r="N76">
        <v>516</v>
      </c>
      <c r="O76">
        <v>1790</v>
      </c>
      <c r="P76">
        <v>1790</v>
      </c>
      <c r="Q76">
        <v>508</v>
      </c>
      <c r="R76">
        <v>1008</v>
      </c>
      <c r="S76" s="103">
        <v>1.95348837209302</v>
      </c>
      <c r="T76" t="inlineStr">
        <is>
          <t>Hubo ejecución por encima de lo programado en SisPT</t>
        </is>
      </c>
      <c r="U76">
        <v>3489</v>
      </c>
      <c r="V76" s="104">
        <v>1.94916201117318</v>
      </c>
      <c r="W76" t="inlineStr">
        <is>
          <t>Hubo ejecución por encima de lo programado en SisPT</t>
        </is>
      </c>
    </row>
    <row r="77">
      <c r="A77" t="inlineStr">
        <is>
          <t>IP-73</t>
        </is>
      </c>
      <c r="B77" t="inlineStr">
        <is>
          <t>19</t>
        </is>
      </c>
      <c r="C77" t="inlineStr">
        <is>
          <t>Salud y protección social</t>
        </is>
      </c>
      <c r="D77" t="inlineStr">
        <is>
          <t>1906</t>
        </is>
      </c>
      <c r="E77" t="inlineStr">
        <is>
          <t>Aseguramiento y prestación integral de servicios de salud</t>
        </is>
      </c>
      <c r="F77" t="inlineStr">
        <is>
          <t>1906028</t>
        </is>
      </c>
      <c r="G77" t="inlineStr">
        <is>
          <t>Servicio para la habilitación y la rehabilitación funcional</t>
        </is>
      </c>
      <c r="H77" t="inlineStr">
        <is>
          <t>190602800</t>
        </is>
      </c>
      <c r="I77" t="inlineStr">
        <is>
          <t>Personas que reciben servicios y técnologias de apoyo para la habilitación y rehabilitación funcional</t>
        </is>
      </c>
      <c r="J77" t="inlineStr">
        <is>
          <t>2024004250191</t>
        </is>
      </c>
      <c r="K77" t="inlineStr">
        <is>
          <t>Si</t>
        </is>
      </c>
      <c r="L77" t="inlineStr">
        <is>
          <t>Número</t>
        </is>
      </c>
      <c r="M77">
        <v>2000</v>
      </c>
      <c r="N77">
        <v>200</v>
      </c>
      <c r="O77">
        <v>600</v>
      </c>
      <c r="P77">
        <v>600</v>
      </c>
      <c r="Q77">
        <v>604</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IP-74</t>
        </is>
      </c>
      <c r="B78" t="inlineStr">
        <is>
          <t>41</t>
        </is>
      </c>
      <c r="C78" t="inlineStr">
        <is>
          <t xml:space="preserve">Inclusión social y reconciliación </t>
        </is>
      </c>
      <c r="D78" t="inlineStr">
        <is>
          <t>4104</t>
        </is>
      </c>
      <c r="E78" t="inlineStr">
        <is>
          <t>Atención integral de población en situación permanente de desprotección social y/o familiar</t>
        </is>
      </c>
      <c r="F78" t="inlineStr">
        <is>
          <t>4104020</t>
        </is>
      </c>
      <c r="G78" t="inlineStr">
        <is>
          <t>Servicio de atención integral a población en condición de discapacidad</t>
        </is>
      </c>
      <c r="H78" t="inlineStr">
        <is>
          <t>410402000</t>
        </is>
      </c>
      <c r="I78" t="inlineStr">
        <is>
          <t>Personas con discapacidad atendidas con servicios integrales</t>
        </is>
      </c>
      <c r="J78" t="inlineStr">
        <is>
          <t>2024004250194</t>
        </is>
      </c>
      <c r="K78" t="inlineStr">
        <is>
          <t>Si</t>
        </is>
      </c>
      <c r="L78" t="inlineStr">
        <is>
          <t>Número</t>
        </is>
      </c>
      <c r="M78">
        <v>5000</v>
      </c>
      <c r="N78">
        <v>500</v>
      </c>
      <c r="O78">
        <v>1500</v>
      </c>
      <c r="P78">
        <v>1500</v>
      </c>
      <c r="Q78">
        <v>943</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IP-75</t>
        </is>
      </c>
      <c r="B79" t="inlineStr">
        <is>
          <t>45</t>
        </is>
      </c>
      <c r="C79" t="inlineStr">
        <is>
          <t>Gobierno Territorial</t>
        </is>
      </c>
      <c r="D79" t="inlineStr">
        <is>
          <t>4502</t>
        </is>
      </c>
      <c r="E79" t="inlineStr">
        <is>
          <t>Fortalecimiento del buen gobierno para el respeto y garantía de los derechos humanos.</t>
        </is>
      </c>
      <c r="F79" t="inlineStr">
        <is>
          <t>4502033</t>
        </is>
      </c>
      <c r="G79" t="inlineStr">
        <is>
          <t>Servicio de integración de la oferta pública</t>
        </is>
      </c>
      <c r="H79" t="inlineStr">
        <is>
          <t>450203300</t>
        </is>
      </c>
      <c r="I79" t="inlineStr">
        <is>
          <t>Espacios de integración de oferta pública generados</t>
        </is>
      </c>
      <c r="J79" t="inlineStr">
        <is>
          <t>2024004250117</t>
        </is>
      </c>
      <c r="K79" t="inlineStr">
        <is>
          <t>Si</t>
        </is>
      </c>
      <c r="L79" t="inlineStr">
        <is>
          <t>Número</t>
        </is>
      </c>
      <c r="M79">
        <v>1</v>
      </c>
      <c r="N79">
        <v>0.2</v>
      </c>
      <c r="O79">
        <v>0.3</v>
      </c>
      <c r="P79">
        <v>0.3</v>
      </c>
      <c r="Q79">
        <v>0.2</v>
      </c>
      <c r="R79" t="inlineStr">
        <is>
          <t xml:space="preserve"> </t>
        </is>
      </c>
      <c r="S79" s="103" t="inlineStr">
        <is>
          <t xml:space="preserve"> </t>
        </is>
      </c>
      <c r="T79" t="inlineStr">
        <is>
          <t>No se encontró ejecución en PIIP</t>
        </is>
      </c>
      <c r="U79">
        <v>0.4</v>
      </c>
      <c r="V79" s="104">
        <v>1.33333333333333</v>
      </c>
      <c r="W79" t="inlineStr">
        <is>
          <t>Hubo ejecución por encima de lo programado en SisPT</t>
        </is>
      </c>
    </row>
    <row r="80">
      <c r="A80" t="inlineStr">
        <is>
          <t>IP-77</t>
        </is>
      </c>
      <c r="B80" t="inlineStr">
        <is>
          <t>41</t>
        </is>
      </c>
      <c r="C80" t="inlineStr">
        <is>
          <t xml:space="preserve">Inclusión social y reconciliación </t>
        </is>
      </c>
      <c r="D80" t="inlineStr">
        <is>
          <t>4101</t>
        </is>
      </c>
      <c r="E80" t="inlineStr">
        <is>
          <t>Atención, asistencia y reparación integral a las víctimas</t>
        </is>
      </c>
      <c r="F80" t="inlineStr">
        <is>
          <t>4101025</t>
        </is>
      </c>
      <c r="G80" t="inlineStr">
        <is>
          <t>Servicio de ayuda y atención humanitaria</t>
        </is>
      </c>
      <c r="H80" t="inlineStr">
        <is>
          <t>410102500</t>
        </is>
      </c>
      <c r="I80" t="inlineStr">
        <is>
          <t>Personas con asistencia humanitaria</t>
        </is>
      </c>
      <c r="J80" t="inlineStr">
        <is>
          <t>2024004250065</t>
        </is>
      </c>
      <c r="K80" t="inlineStr">
        <is>
          <t>No</t>
        </is>
      </c>
      <c r="L80" t="inlineStr">
        <is>
          <t>Número</t>
        </is>
      </c>
      <c r="M80">
        <v>100</v>
      </c>
      <c r="N80">
        <v>100</v>
      </c>
      <c r="O80">
        <v>100</v>
      </c>
      <c r="P80">
        <v>100</v>
      </c>
      <c r="Q80">
        <v>100</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IP-78</t>
        </is>
      </c>
      <c r="B81" t="inlineStr">
        <is>
          <t>41</t>
        </is>
      </c>
      <c r="C81" t="inlineStr">
        <is>
          <t xml:space="preserve">Inclusión social y reconciliación </t>
        </is>
      </c>
      <c r="D81" t="inlineStr">
        <is>
          <t>4101</t>
        </is>
      </c>
      <c r="E81" t="inlineStr">
        <is>
          <t>Atención, asistencia y reparación integral a las víctimas</t>
        </is>
      </c>
      <c r="F81" t="inlineStr">
        <is>
          <t>4101063</t>
        </is>
      </c>
      <c r="G81" t="inlineStr">
        <is>
          <t>Servicios de asistencia técnica para la articulación interinstitucional en la implementación de la polìtica pública para las víctimas</t>
        </is>
      </c>
      <c r="H81" t="inlineStr">
        <is>
          <t>410106300</t>
        </is>
      </c>
      <c r="I81" t="inlineStr">
        <is>
          <t>Planes de acción articulados</t>
        </is>
      </c>
      <c r="J81" t="inlineStr">
        <is>
          <t>2024004250065</t>
        </is>
      </c>
      <c r="K81" t="inlineStr">
        <is>
          <t>No</t>
        </is>
      </c>
      <c r="L81" t="inlineStr">
        <is>
          <t>Número</t>
        </is>
      </c>
      <c r="M81">
        <v>116</v>
      </c>
      <c r="N81">
        <v>116</v>
      </c>
      <c r="O81">
        <v>116</v>
      </c>
      <c r="P81">
        <v>116</v>
      </c>
      <c r="Q81">
        <v>116</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IP-79</t>
        </is>
      </c>
      <c r="B82" t="inlineStr">
        <is>
          <t>41</t>
        </is>
      </c>
      <c r="C82" t="inlineStr">
        <is>
          <t xml:space="preserve">Inclusión social y reconciliación </t>
        </is>
      </c>
      <c r="D82" t="inlineStr">
        <is>
          <t>4101</t>
        </is>
      </c>
      <c r="E82" t="inlineStr">
        <is>
          <t>Atención, asistencia y reparación integral a las víctimas</t>
        </is>
      </c>
      <c r="F82" t="inlineStr">
        <is>
          <t>4101018</t>
        </is>
      </c>
      <c r="G82" t="inlineStr">
        <is>
          <t>Centros regionales o puntos de atención a víctimas dotados</t>
        </is>
      </c>
      <c r="H82" t="inlineStr">
        <is>
          <t>410101800</t>
        </is>
      </c>
      <c r="I82" t="inlineStr">
        <is>
          <t>Centros regionales y puntos de atención a víctimas dotados</t>
        </is>
      </c>
      <c r="J82" t="inlineStr">
        <is>
          <t>2024004250139</t>
        </is>
      </c>
      <c r="K82" t="inlineStr">
        <is>
          <t>No</t>
        </is>
      </c>
      <c r="L82" t="inlineStr">
        <is>
          <t>Número</t>
        </is>
      </c>
      <c r="M82">
        <v>3</v>
      </c>
      <c r="N82">
        <v>3</v>
      </c>
      <c r="O82">
        <v>3</v>
      </c>
      <c r="P82">
        <v>3</v>
      </c>
      <c r="Q82">
        <v>3</v>
      </c>
      <c r="R82">
        <v>3</v>
      </c>
      <c r="S82" s="103">
        <v>1</v>
      </c>
      <c r="T82" t="inlineStr">
        <is>
          <t>Se ejecutó el 100% de lo programado en la vigencia</t>
        </is>
      </c>
      <c r="U82">
        <v>4</v>
      </c>
      <c r="V82" s="104">
        <v>1.33333333333333</v>
      </c>
      <c r="W82" t="inlineStr">
        <is>
          <t>Hubo ejecución por encima de lo programado en SisPT</t>
        </is>
      </c>
    </row>
    <row r="83">
      <c r="A83" t="inlineStr">
        <is>
          <t>IP-80</t>
        </is>
      </c>
      <c r="B83" t="inlineStr">
        <is>
          <t>41</t>
        </is>
      </c>
      <c r="C83" t="inlineStr">
        <is>
          <t xml:space="preserve">Inclusión social y reconciliación </t>
        </is>
      </c>
      <c r="D83" t="inlineStr">
        <is>
          <t>4101</t>
        </is>
      </c>
      <c r="E83" t="inlineStr">
        <is>
          <t>Atención, asistencia y reparación integral a las víctimas</t>
        </is>
      </c>
      <c r="F83" t="inlineStr">
        <is>
          <t>4101092</t>
        </is>
      </c>
      <c r="G83" t="inlineStr">
        <is>
          <t>Servicios de satisfacción y garantías de no repetición a víctimas del conflicto armado</t>
        </is>
      </c>
      <c r="H83" t="inlineStr">
        <is>
          <t>410109201</t>
        </is>
      </c>
      <c r="I83" t="inlineStr">
        <is>
          <t>Actos simbólicos y de dignificación implementados</t>
        </is>
      </c>
      <c r="J83" t="inlineStr">
        <is>
          <t>2024004250065</t>
        </is>
      </c>
      <c r="K83" t="inlineStr">
        <is>
          <t>Si</t>
        </is>
      </c>
      <c r="L83" t="inlineStr">
        <is>
          <t>Número</t>
        </is>
      </c>
      <c r="M83">
        <v>1</v>
      </c>
      <c r="N83">
        <v>0.1</v>
      </c>
      <c r="O83">
        <v>0.3</v>
      </c>
      <c r="P83">
        <v>0.3</v>
      </c>
      <c r="Q83">
        <v>0.3</v>
      </c>
      <c r="R83">
        <v>0.1</v>
      </c>
      <c r="S83" s="103">
        <v>1</v>
      </c>
      <c r="T83" t="inlineStr">
        <is>
          <t>Se ejecutó el 100% de lo programado en la vigencia</t>
        </is>
      </c>
      <c r="U83">
        <v>0.31</v>
      </c>
      <c r="V83" s="104">
        <v>1.03333333333333</v>
      </c>
      <c r="W83" t="inlineStr">
        <is>
          <t>Hubo ejecución por encima de lo programado en SisPT</t>
        </is>
      </c>
    </row>
    <row r="84">
      <c r="A84" t="inlineStr">
        <is>
          <t>IP-81</t>
        </is>
      </c>
      <c r="B84" t="inlineStr">
        <is>
          <t>45</t>
        </is>
      </c>
      <c r="C84" t="inlineStr">
        <is>
          <t>Gobierno Territorial</t>
        </is>
      </c>
      <c r="D84" t="inlineStr">
        <is>
          <t>4599</t>
        </is>
      </c>
      <c r="E84" t="inlineStr">
        <is>
          <t>Fortalecimiento a la gestión y dirección de la administración pública territorial</t>
        </is>
      </c>
      <c r="F84" t="inlineStr">
        <is>
          <t>4599032</t>
        </is>
      </c>
      <c r="G84" t="inlineStr">
        <is>
          <t>Documentos de política</t>
        </is>
      </c>
      <c r="H84" t="inlineStr">
        <is>
          <t>459903200</t>
        </is>
      </c>
      <c r="I84" t="inlineStr">
        <is>
          <t>Documentos de política elaborados</t>
        </is>
      </c>
      <c r="J84" t="inlineStr">
        <is>
          <t>2024004250120</t>
        </is>
      </c>
      <c r="K84" t="inlineStr">
        <is>
          <t>Si</t>
        </is>
      </c>
      <c r="L84" t="inlineStr">
        <is>
          <t>Número</t>
        </is>
      </c>
      <c r="M84">
        <v>1</v>
      </c>
      <c r="N84">
        <v>0.2</v>
      </c>
      <c r="O84">
        <v>0.3</v>
      </c>
      <c r="P84">
        <v>0.3</v>
      </c>
      <c r="Q84">
        <v>0.2</v>
      </c>
      <c r="R84">
        <v>0.2</v>
      </c>
      <c r="S84" s="103">
        <v>1</v>
      </c>
      <c r="T84" t="inlineStr">
        <is>
          <t>Se ejecutó el 100% de lo programado en la vigencia</t>
        </is>
      </c>
      <c r="U84">
        <v>0.22</v>
      </c>
      <c r="V84" s="104">
        <v>0.733333333333333</v>
      </c>
      <c r="W84" t="inlineStr">
        <is>
          <t>Lo ejecutado está por debajo de lo programado en la vigencia</t>
        </is>
      </c>
    </row>
    <row r="85">
      <c r="A85" t="inlineStr">
        <is>
          <t>IP-82</t>
        </is>
      </c>
      <c r="B85" t="inlineStr">
        <is>
          <t>45</t>
        </is>
      </c>
      <c r="C85" t="inlineStr">
        <is>
          <t>Gobierno Territorial</t>
        </is>
      </c>
      <c r="D85" t="inlineStr">
        <is>
          <t>4599</t>
        </is>
      </c>
      <c r="E85" t="inlineStr">
        <is>
          <t>Fortalecimiento a la gestión y dirección de la administración pública territorial</t>
        </is>
      </c>
      <c r="F85" t="inlineStr">
        <is>
          <t>4599025</t>
        </is>
      </c>
      <c r="G85" t="inlineStr">
        <is>
          <t>Servicios de información implementados</t>
        </is>
      </c>
      <c r="H85" t="inlineStr">
        <is>
          <t>459902500</t>
        </is>
      </c>
      <c r="I85" t="inlineStr">
        <is>
          <t>Sistemas de información implementados</t>
        </is>
      </c>
      <c r="J85" t="inlineStr">
        <is>
          <t>2024004250162</t>
        </is>
      </c>
      <c r="K85" t="inlineStr">
        <is>
          <t>No</t>
        </is>
      </c>
      <c r="L85" t="inlineStr">
        <is>
          <t>Número</t>
        </is>
      </c>
      <c r="M85">
        <v>1</v>
      </c>
      <c r="N85">
        <v>1</v>
      </c>
      <c r="O85">
        <v>1</v>
      </c>
      <c r="P85">
        <v>1</v>
      </c>
      <c r="Q85">
        <v>1</v>
      </c>
      <c r="R85">
        <v>0</v>
      </c>
      <c r="S85" s="103">
        <v>0</v>
      </c>
      <c r="T85" t="inlineStr">
        <is>
          <t>No se ejecutó en la vigencia</t>
        </is>
      </c>
      <c r="U85" t="inlineStr">
        <is>
          <t xml:space="preserve"> </t>
        </is>
      </c>
      <c r="V85" s="104" t="inlineStr">
        <is>
          <t xml:space="preserve"> </t>
        </is>
      </c>
      <c r="W85" t="inlineStr">
        <is>
          <t>No se encontró ejecución en PIIP</t>
        </is>
      </c>
    </row>
    <row r="86">
      <c r="A86" t="inlineStr">
        <is>
          <t>IP-83, IP-86</t>
        </is>
      </c>
      <c r="B86" t="inlineStr">
        <is>
          <t>19</t>
        </is>
      </c>
      <c r="C86" t="inlineStr">
        <is>
          <t>Salud y protección social</t>
        </is>
      </c>
      <c r="D86" t="inlineStr">
        <is>
          <t>1905</t>
        </is>
      </c>
      <c r="E86" t="inlineStr">
        <is>
          <t>Salud pública</t>
        </is>
      </c>
      <c r="F86" t="inlineStr">
        <is>
          <t>1905050</t>
        </is>
      </c>
      <c r="G86" t="inlineStr">
        <is>
          <t>Servicio de asistencia técnica</t>
        </is>
      </c>
      <c r="H86" t="inlineStr">
        <is>
          <t>190505000</t>
        </is>
      </c>
      <c r="I86" t="inlineStr">
        <is>
          <t>Asistencias técnicas realizadas</t>
        </is>
      </c>
      <c r="J86" t="inlineStr">
        <is>
          <t>2024004250058</t>
        </is>
      </c>
      <c r="K86" t="inlineStr">
        <is>
          <t>Si</t>
        </is>
      </c>
      <c r="L86" t="inlineStr">
        <is>
          <t>Número</t>
        </is>
      </c>
      <c r="M86">
        <v>156</v>
      </c>
      <c r="N86">
        <v>34</v>
      </c>
      <c r="O86">
        <v>49</v>
      </c>
      <c r="P86">
        <v>42</v>
      </c>
      <c r="Q86">
        <v>39</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IP-84</t>
        </is>
      </c>
      <c r="B87" t="inlineStr">
        <is>
          <t>19</t>
        </is>
      </c>
      <c r="C87" t="inlineStr">
        <is>
          <t>Salud y protección social</t>
        </is>
      </c>
      <c r="D87" t="inlineStr">
        <is>
          <t>1905</t>
        </is>
      </c>
      <c r="E87" t="inlineStr">
        <is>
          <t>Salud pública</t>
        </is>
      </c>
      <c r="F87" t="inlineStr">
        <is>
          <t>1905050</t>
        </is>
      </c>
      <c r="G87" t="inlineStr">
        <is>
          <t>Servicio de asistencia técnica</t>
        </is>
      </c>
      <c r="H87" t="inlineStr">
        <is>
          <t>190505000</t>
        </is>
      </c>
      <c r="I87" t="inlineStr">
        <is>
          <t>Asistencias técnicas realizadas</t>
        </is>
      </c>
      <c r="J87" t="inlineStr">
        <is>
          <t>2024004250058</t>
        </is>
      </c>
      <c r="K87" t="inlineStr">
        <is>
          <t>No</t>
        </is>
      </c>
      <c r="L87" t="inlineStr">
        <is>
          <t>Número</t>
        </is>
      </c>
      <c r="M87">
        <v>116</v>
      </c>
      <c r="N87">
        <v>116</v>
      </c>
      <c r="O87">
        <v>116</v>
      </c>
      <c r="P87">
        <v>116</v>
      </c>
      <c r="Q87">
        <v>116</v>
      </c>
      <c r="R87">
        <v>0</v>
      </c>
      <c r="S87" s="103">
        <v>0</v>
      </c>
      <c r="T87" t="inlineStr">
        <is>
          <t>No se ejecutó en la vigencia</t>
        </is>
      </c>
      <c r="U87" t="inlineStr">
        <is>
          <t xml:space="preserve"> </t>
        </is>
      </c>
      <c r="V87" s="104" t="inlineStr">
        <is>
          <t xml:space="preserve"> </t>
        </is>
      </c>
      <c r="W87" t="inlineStr">
        <is>
          <t>No se encontró ejecución en PIIP</t>
        </is>
      </c>
    </row>
    <row r="88">
      <c r="A88" t="inlineStr">
        <is>
          <t>IP-85</t>
        </is>
      </c>
      <c r="B88" t="inlineStr">
        <is>
          <t>19</t>
        </is>
      </c>
      <c r="C88" t="inlineStr">
        <is>
          <t>Salud y protección social</t>
        </is>
      </c>
      <c r="D88" t="inlineStr">
        <is>
          <t>1905</t>
        </is>
      </c>
      <c r="E88" t="inlineStr">
        <is>
          <t>Salud pública</t>
        </is>
      </c>
      <c r="F88" t="inlineStr">
        <is>
          <t>1905050</t>
        </is>
      </c>
      <c r="G88" t="inlineStr">
        <is>
          <t>Servicio de asistencia técnica</t>
        </is>
      </c>
      <c r="H88" t="inlineStr">
        <is>
          <t>190505000</t>
        </is>
      </c>
      <c r="I88" t="inlineStr">
        <is>
          <t>Asistencias técnicas realizadas</t>
        </is>
      </c>
      <c r="J88" t="inlineStr">
        <is>
          <t>2024004250148</t>
        </is>
      </c>
      <c r="K88" t="inlineStr">
        <is>
          <t>Si</t>
        </is>
      </c>
      <c r="L88" t="inlineStr">
        <is>
          <t>Número</t>
        </is>
      </c>
      <c r="M88">
        <v>116</v>
      </c>
      <c r="N88">
        <v>20</v>
      </c>
      <c r="O88">
        <v>30</v>
      </c>
      <c r="P88">
        <v>33</v>
      </c>
      <c r="Q88">
        <v>33</v>
      </c>
      <c r="R88" t="inlineStr">
        <is>
          <t xml:space="preserve"> </t>
        </is>
      </c>
      <c r="S88" s="103" t="inlineStr">
        <is>
          <t xml:space="preserve"> </t>
        </is>
      </c>
      <c r="T88" t="inlineStr">
        <is>
          <t>No se encontró ejecución en PIIP</t>
        </is>
      </c>
      <c r="U88" t="inlineStr">
        <is>
          <t xml:space="preserve"> </t>
        </is>
      </c>
      <c r="V88" s="104" t="inlineStr">
        <is>
          <t xml:space="preserve"> </t>
        </is>
      </c>
      <c r="W88" t="inlineStr">
        <is>
          <t>No se encontró ejecución en PIIP</t>
        </is>
      </c>
    </row>
    <row r="89">
      <c r="A89" t="inlineStr">
        <is>
          <t>IP-87</t>
        </is>
      </c>
      <c r="B89" t="inlineStr">
        <is>
          <t>19</t>
        </is>
      </c>
      <c r="C89" t="inlineStr">
        <is>
          <t>Salud y protección social</t>
        </is>
      </c>
      <c r="D89" t="inlineStr">
        <is>
          <t>1905</t>
        </is>
      </c>
      <c r="E89" t="inlineStr">
        <is>
          <t>Salud pública</t>
        </is>
      </c>
      <c r="F89" t="inlineStr">
        <is>
          <t>1905027</t>
        </is>
      </c>
      <c r="G89" t="inlineStr">
        <is>
          <t>Servicio de gestión del riesgo para enfermedades inmunoprevenibles</t>
        </is>
      </c>
      <c r="H89" t="inlineStr">
        <is>
          <t>190502700</t>
        </is>
      </c>
      <c r="I89" t="inlineStr">
        <is>
          <t>Campañas de gestión del riesgo para enfermedades inmunoprevenibles  implementadas</t>
        </is>
      </c>
      <c r="J89" t="inlineStr">
        <is>
          <t>2024004250045</t>
        </is>
      </c>
      <c r="K89" t="inlineStr">
        <is>
          <t>No</t>
        </is>
      </c>
      <c r="L89" t="inlineStr">
        <is>
          <t>Número</t>
        </is>
      </c>
      <c r="M89">
        <v>95</v>
      </c>
      <c r="N89">
        <v>95</v>
      </c>
      <c r="O89">
        <v>95</v>
      </c>
      <c r="P89">
        <v>95</v>
      </c>
      <c r="Q89">
        <v>95</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IP-88</t>
        </is>
      </c>
      <c r="B90" t="inlineStr">
        <is>
          <t>19</t>
        </is>
      </c>
      <c r="C90" t="inlineStr">
        <is>
          <t>Salud y protección social</t>
        </is>
      </c>
      <c r="D90" t="inlineStr">
        <is>
          <t>1906</t>
        </is>
      </c>
      <c r="E90" t="inlineStr">
        <is>
          <t>Aseguramiento y prestación integral de servicios de salud</t>
        </is>
      </c>
      <c r="F90" t="inlineStr">
        <is>
          <t>1906004</t>
        </is>
      </c>
      <c r="G90" t="inlineStr">
        <is>
          <t>Servicio de atención en salud a la población</t>
        </is>
      </c>
      <c r="H90" t="inlineStr">
        <is>
          <t>190600400</t>
        </is>
      </c>
      <c r="I90" t="inlineStr">
        <is>
          <t>Personas atendidas con servicio de salud</t>
        </is>
      </c>
      <c r="J90" t="inlineStr">
        <is>
          <t>2024004250129</t>
        </is>
      </c>
      <c r="K90" t="inlineStr">
        <is>
          <t>No</t>
        </is>
      </c>
      <c r="L90" t="inlineStr">
        <is>
          <t>Número</t>
        </is>
      </c>
      <c r="M90">
        <v>100</v>
      </c>
      <c r="N90">
        <v>100</v>
      </c>
      <c r="O90">
        <v>100</v>
      </c>
      <c r="P90">
        <v>100</v>
      </c>
      <c r="Q90">
        <v>100</v>
      </c>
      <c r="R90">
        <v>0</v>
      </c>
      <c r="S90" s="103">
        <v>0</v>
      </c>
      <c r="T90" t="inlineStr">
        <is>
          <t>No se ejecutó en la vigencia</t>
        </is>
      </c>
      <c r="U90">
        <v>2000</v>
      </c>
      <c r="V90" s="104">
        <v>20</v>
      </c>
      <c r="W90" t="inlineStr">
        <is>
          <t>Hubo ejecución por encima de lo programado en SisPT</t>
        </is>
      </c>
    </row>
    <row r="91">
      <c r="A91" t="inlineStr">
        <is>
          <t>IP-89</t>
        </is>
      </c>
      <c r="B91" t="inlineStr">
        <is>
          <t>19</t>
        </is>
      </c>
      <c r="C91" t="inlineStr">
        <is>
          <t>Salud y protección social</t>
        </is>
      </c>
      <c r="D91" t="inlineStr">
        <is>
          <t>1906</t>
        </is>
      </c>
      <c r="E91" t="inlineStr">
        <is>
          <t>Aseguramiento y prestación integral de servicios de salud</t>
        </is>
      </c>
      <c r="F91" t="inlineStr">
        <is>
          <t>1906004</t>
        </is>
      </c>
      <c r="G91" t="inlineStr">
        <is>
          <t>Servicio de atención en salud a la población</t>
        </is>
      </c>
      <c r="H91" t="inlineStr">
        <is>
          <t>190600400</t>
        </is>
      </c>
      <c r="I91" t="inlineStr">
        <is>
          <t>Personas atendidas con servicio de salud</t>
        </is>
      </c>
      <c r="J91" t="inlineStr">
        <is>
          <t>2024004250160</t>
        </is>
      </c>
      <c r="K91" t="inlineStr">
        <is>
          <t>No</t>
        </is>
      </c>
      <c r="L91" t="inlineStr">
        <is>
          <t>Número</t>
        </is>
      </c>
      <c r="M91">
        <v>116</v>
      </c>
      <c r="N91">
        <v>116</v>
      </c>
      <c r="O91">
        <v>116</v>
      </c>
      <c r="P91">
        <v>116</v>
      </c>
      <c r="Q91">
        <v>116</v>
      </c>
      <c r="R91" t="inlineStr">
        <is>
          <t xml:space="preserve"> </t>
        </is>
      </c>
      <c r="S91" s="103" t="inlineStr">
        <is>
          <t xml:space="preserve"> </t>
        </is>
      </c>
      <c r="T91" t="inlineStr">
        <is>
          <t>No se encontró ejecución en PIIP</t>
        </is>
      </c>
      <c r="U91">
        <v>985.236</v>
      </c>
      <c r="V91" s="104">
        <v>8.49341379310345</v>
      </c>
      <c r="W91" t="inlineStr">
        <is>
          <t>Hubo ejecución por encima de lo programado en SisPT</t>
        </is>
      </c>
    </row>
    <row r="92">
      <c r="A92" t="inlineStr">
        <is>
          <t>IP-90</t>
        </is>
      </c>
      <c r="B92" t="inlineStr">
        <is>
          <t>19</t>
        </is>
      </c>
      <c r="C92" t="inlineStr">
        <is>
          <t>Salud y protección social</t>
        </is>
      </c>
      <c r="D92" t="inlineStr">
        <is>
          <t>1906</t>
        </is>
      </c>
      <c r="E92" t="inlineStr">
        <is>
          <t>Aseguramiento y prestación integral de servicios de salud</t>
        </is>
      </c>
      <c r="F92" t="inlineStr">
        <is>
          <t>1906004</t>
        </is>
      </c>
      <c r="G92" t="inlineStr">
        <is>
          <t>Servicio de atención en salud a la población</t>
        </is>
      </c>
      <c r="H92" t="inlineStr">
        <is>
          <t>190600400</t>
        </is>
      </c>
      <c r="I92" t="inlineStr">
        <is>
          <t>Personas atendidas con servicio de salud</t>
        </is>
      </c>
      <c r="J92" t="inlineStr">
        <is>
          <t>2024004250074, 2024004250237</t>
        </is>
      </c>
      <c r="K92" t="inlineStr">
        <is>
          <t>Si</t>
        </is>
      </c>
      <c r="L92" t="inlineStr">
        <is>
          <t>Número</t>
        </is>
      </c>
      <c r="M92">
        <v>66</v>
      </c>
      <c r="N92">
        <v>14</v>
      </c>
      <c r="O92">
        <v>12</v>
      </c>
      <c r="P92">
        <v>18</v>
      </c>
      <c r="Q92">
        <v>23</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IP-91</t>
        </is>
      </c>
      <c r="B93" t="inlineStr">
        <is>
          <t>19</t>
        </is>
      </c>
      <c r="C93" t="inlineStr">
        <is>
          <t>Salud y protección social</t>
        </is>
      </c>
      <c r="D93" t="inlineStr">
        <is>
          <t>1903</t>
        </is>
      </c>
      <c r="E93" t="inlineStr">
        <is>
          <t>Inspección, vigilancia y control</t>
        </is>
      </c>
      <c r="F93" t="inlineStr">
        <is>
          <t>1903011</t>
        </is>
      </c>
      <c r="G93" t="inlineStr">
        <is>
          <t>Servicio de inspección, vigilancia y control</t>
        </is>
      </c>
      <c r="H93" t="inlineStr">
        <is>
          <t>190301100</t>
        </is>
      </c>
      <c r="I93" t="inlineStr">
        <is>
          <t>visitas realizadas</t>
        </is>
      </c>
      <c r="J93" t="inlineStr">
        <is>
          <t>2024004250046</t>
        </is>
      </c>
      <c r="K93" t="inlineStr">
        <is>
          <t>Si</t>
        </is>
      </c>
      <c r="L93" t="inlineStr">
        <is>
          <t>Número</t>
        </is>
      </c>
      <c r="M93">
        <v>6000</v>
      </c>
      <c r="N93">
        <v>1075</v>
      </c>
      <c r="O93">
        <v>1750</v>
      </c>
      <c r="P93">
        <v>1750</v>
      </c>
      <c r="Q93">
        <v>1379</v>
      </c>
      <c r="R93">
        <v>1107</v>
      </c>
      <c r="S93" s="103">
        <v>1.02976744186047</v>
      </c>
      <c r="T93" t="inlineStr">
        <is>
          <t>Hubo ejecución por encima de lo programado en SisPT</t>
        </is>
      </c>
      <c r="U93">
        <v>537</v>
      </c>
      <c r="V93" s="104">
        <v>0.306857142857143</v>
      </c>
      <c r="W93" t="inlineStr">
        <is>
          <t>Lo ejecutado está por debajo de lo programado en la vigencia</t>
        </is>
      </c>
    </row>
    <row r="94">
      <c r="A94" t="inlineStr">
        <is>
          <t>IP-92</t>
        </is>
      </c>
      <c r="B94" t="inlineStr">
        <is>
          <t>19</t>
        </is>
      </c>
      <c r="C94" t="inlineStr">
        <is>
          <t>Salud y protección social</t>
        </is>
      </c>
      <c r="D94" t="inlineStr">
        <is>
          <t>1906</t>
        </is>
      </c>
      <c r="E94" t="inlineStr">
        <is>
          <t>Aseguramiento y prestación integral de servicios de salud</t>
        </is>
      </c>
      <c r="F94" t="inlineStr">
        <is>
          <t>1906024</t>
        </is>
      </c>
      <c r="G94" t="inlineStr">
        <is>
          <t>Servicio de apoyo financiero para el fortalecimiento del talento humano en salud</t>
        </is>
      </c>
      <c r="H94" t="inlineStr">
        <is>
          <t>190602400</t>
        </is>
      </c>
      <c r="I94" t="inlineStr">
        <is>
          <t>Personas apoyadas</t>
        </is>
      </c>
      <c r="J94" t="inlineStr">
        <is>
          <t>2024004250147</t>
        </is>
      </c>
      <c r="K94" t="inlineStr">
        <is>
          <t>No</t>
        </is>
      </c>
      <c r="L94" t="inlineStr">
        <is>
          <t>Número</t>
        </is>
      </c>
      <c r="M94">
        <v>101</v>
      </c>
      <c r="N94">
        <v>101</v>
      </c>
      <c r="O94">
        <v>101</v>
      </c>
      <c r="P94">
        <v>101</v>
      </c>
      <c r="Q94">
        <v>101</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IP-93</t>
        </is>
      </c>
      <c r="B95" t="inlineStr">
        <is>
          <t>19</t>
        </is>
      </c>
      <c r="C95" t="inlineStr">
        <is>
          <t>Salud y protección social</t>
        </is>
      </c>
      <c r="D95" t="inlineStr">
        <is>
          <t>1905</t>
        </is>
      </c>
      <c r="E95" t="inlineStr">
        <is>
          <t>Salud pública</t>
        </is>
      </c>
      <c r="F95" t="inlineStr">
        <is>
          <t>1905050</t>
        </is>
      </c>
      <c r="G95" t="inlineStr">
        <is>
          <t>Servicio de asistencia técnica</t>
        </is>
      </c>
      <c r="H95" t="inlineStr">
        <is>
          <t>190505000</t>
        </is>
      </c>
      <c r="I95" t="inlineStr">
        <is>
          <t>Asistencias técnicas realizadas</t>
        </is>
      </c>
      <c r="J95" t="inlineStr">
        <is>
          <t>2024004250050</t>
        </is>
      </c>
      <c r="K95" t="inlineStr">
        <is>
          <t>No</t>
        </is>
      </c>
      <c r="L95" t="inlineStr">
        <is>
          <t>Número</t>
        </is>
      </c>
      <c r="M95">
        <v>116</v>
      </c>
      <c r="N95">
        <v>116</v>
      </c>
      <c r="O95">
        <v>116</v>
      </c>
      <c r="P95">
        <v>116</v>
      </c>
      <c r="Q95">
        <v>116</v>
      </c>
      <c r="R95" t="inlineStr">
        <is>
          <t xml:space="preserve"> </t>
        </is>
      </c>
      <c r="S95" s="103" t="inlineStr">
        <is>
          <t xml:space="preserve"> </t>
        </is>
      </c>
      <c r="T95" t="inlineStr">
        <is>
          <t>No se encontró ejecución en PIIP</t>
        </is>
      </c>
      <c r="U95" t="inlineStr">
        <is>
          <t xml:space="preserve"> </t>
        </is>
      </c>
      <c r="V95" s="104" t="inlineStr">
        <is>
          <t xml:space="preserve"> </t>
        </is>
      </c>
      <c r="W95" t="inlineStr">
        <is>
          <t>No se encontró ejecución en PIIP</t>
        </is>
      </c>
    </row>
    <row r="96">
      <c r="A96" t="inlineStr">
        <is>
          <t>IP-94</t>
        </is>
      </c>
      <c r="B96" t="inlineStr">
        <is>
          <t>19</t>
        </is>
      </c>
      <c r="C96" t="inlineStr">
        <is>
          <t>Salud y protección social</t>
        </is>
      </c>
      <c r="D96" t="inlineStr">
        <is>
          <t>1903</t>
        </is>
      </c>
      <c r="E96" t="inlineStr">
        <is>
          <t>Inspección, vigilancia y control</t>
        </is>
      </c>
      <c r="F96" t="inlineStr">
        <is>
          <t>1903035</t>
        </is>
      </c>
      <c r="G96" t="inlineStr">
        <is>
          <t>Servicio de inspección, vigilancia y control de los factores del riesgo del ambiente que afectan la salud humana</t>
        </is>
      </c>
      <c r="H96" t="inlineStr">
        <is>
          <t>190303500</t>
        </is>
      </c>
      <c r="I96" t="inlineStr">
        <is>
          <t>Distritos con acciones de Inspección Vigilancia y Control  reales y efectivas  de los factores del riesgo del ambiente que afectan la salud humana  realizados</t>
        </is>
      </c>
      <c r="J96" t="inlineStr">
        <is>
          <t>2024004250068</t>
        </is>
      </c>
      <c r="K96" t="inlineStr">
        <is>
          <t>No</t>
        </is>
      </c>
      <c r="L96" t="inlineStr">
        <is>
          <t>Número</t>
        </is>
      </c>
      <c r="M96">
        <v>101</v>
      </c>
      <c r="N96">
        <v>101</v>
      </c>
      <c r="O96">
        <v>101</v>
      </c>
      <c r="P96">
        <v>101</v>
      </c>
      <c r="Q96">
        <v>101</v>
      </c>
      <c r="R96">
        <v>0</v>
      </c>
      <c r="S96" s="103">
        <v>0</v>
      </c>
      <c r="T96" t="inlineStr">
        <is>
          <t>No se ejecutó en la vigencia</t>
        </is>
      </c>
      <c r="U96" t="inlineStr">
        <is>
          <t xml:space="preserve"> </t>
        </is>
      </c>
      <c r="V96" s="104" t="inlineStr">
        <is>
          <t xml:space="preserve"> </t>
        </is>
      </c>
      <c r="W96" t="inlineStr">
        <is>
          <t>No se encontró ejecución en PIIP</t>
        </is>
      </c>
    </row>
    <row r="97">
      <c r="A97" t="inlineStr">
        <is>
          <t>IP-95</t>
        </is>
      </c>
      <c r="B97" t="inlineStr">
        <is>
          <t>19</t>
        </is>
      </c>
      <c r="C97" t="inlineStr">
        <is>
          <t>Salud y protección social</t>
        </is>
      </c>
      <c r="D97" t="inlineStr">
        <is>
          <t>1905</t>
        </is>
      </c>
      <c r="E97" t="inlineStr">
        <is>
          <t>Salud pública</t>
        </is>
      </c>
      <c r="F97" t="inlineStr">
        <is>
          <t>1905050</t>
        </is>
      </c>
      <c r="G97" t="inlineStr">
        <is>
          <t>Servicio de asistencia técnica</t>
        </is>
      </c>
      <c r="H97" t="inlineStr">
        <is>
          <t>190505000</t>
        </is>
      </c>
      <c r="I97" t="inlineStr">
        <is>
          <t>Asistencias técnicas realizadas</t>
        </is>
      </c>
      <c r="J97" t="inlineStr">
        <is>
          <t>2024004250072</t>
        </is>
      </c>
      <c r="K97" t="inlineStr">
        <is>
          <t>No</t>
        </is>
      </c>
      <c r="L97" t="inlineStr">
        <is>
          <t>Número</t>
        </is>
      </c>
      <c r="M97">
        <v>116</v>
      </c>
      <c r="N97">
        <v>116</v>
      </c>
      <c r="O97">
        <v>116</v>
      </c>
      <c r="P97">
        <v>116</v>
      </c>
      <c r="Q97">
        <v>116</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IP-96</t>
        </is>
      </c>
      <c r="B98" t="inlineStr">
        <is>
          <t>19</t>
        </is>
      </c>
      <c r="C98" t="inlineStr">
        <is>
          <t>Salud y protección social</t>
        </is>
      </c>
      <c r="D98" t="inlineStr">
        <is>
          <t>1905</t>
        </is>
      </c>
      <c r="E98" t="inlineStr">
        <is>
          <t>Salud pública</t>
        </is>
      </c>
      <c r="F98" t="inlineStr">
        <is>
          <t>1905026</t>
        </is>
      </c>
      <c r="G98" t="inlineStr">
        <is>
          <t>Servicio de gestión del riesgo para enfermedades emergentes, reemergentes y desatendidas</t>
        </is>
      </c>
      <c r="H98" t="inlineStr">
        <is>
          <t>190502600</t>
        </is>
      </c>
      <c r="I98" t="inlineStr">
        <is>
          <t>Campañas de gestión del riesgo para enfermedades emergentes, reemergentes y desatendidas implementadas</t>
        </is>
      </c>
      <c r="J98" t="inlineStr">
        <is>
          <t>2024004250071</t>
        </is>
      </c>
      <c r="K98" t="inlineStr">
        <is>
          <t>Si</t>
        </is>
      </c>
      <c r="L98" t="inlineStr">
        <is>
          <t>Número</t>
        </is>
      </c>
      <c r="M98">
        <v>116</v>
      </c>
      <c r="N98">
        <v>58</v>
      </c>
      <c r="O98">
        <v>58</v>
      </c>
      <c r="P98">
        <v>0</v>
      </c>
      <c r="Q98">
        <v>0</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IP-97</t>
        </is>
      </c>
      <c r="B99" t="inlineStr">
        <is>
          <t>19</t>
        </is>
      </c>
      <c r="C99" t="inlineStr">
        <is>
          <t>Salud y protección social</t>
        </is>
      </c>
      <c r="D99" t="inlineStr">
        <is>
          <t>1905</t>
        </is>
      </c>
      <c r="E99" t="inlineStr">
        <is>
          <t>Salud pública</t>
        </is>
      </c>
      <c r="F99" t="inlineStr">
        <is>
          <t>1905024</t>
        </is>
      </c>
      <c r="G99" t="inlineStr">
        <is>
          <t>Servicio de gestión del riesgo para abordar situaciones de salud relacionadas con condiciones ambientales</t>
        </is>
      </c>
      <c r="H99" t="inlineStr">
        <is>
          <t>190502400</t>
        </is>
      </c>
      <c r="I99" t="inlineStr">
        <is>
          <t>Campañas de gestión del riesgo para abordar situaciones de salud relacionadas con condiciones ambientales implementadas</t>
        </is>
      </c>
      <c r="J99" t="inlineStr">
        <is>
          <t>2024004250071</t>
        </is>
      </c>
      <c r="K99" t="inlineStr">
        <is>
          <t>Si</t>
        </is>
      </c>
      <c r="L99" t="inlineStr">
        <is>
          <t>Número</t>
        </is>
      </c>
      <c r="M99">
        <v>116</v>
      </c>
      <c r="N99">
        <v>29</v>
      </c>
      <c r="O99">
        <v>87</v>
      </c>
      <c r="P99">
        <v>116</v>
      </c>
      <c r="Q99">
        <v>116</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IP-98</t>
        </is>
      </c>
      <c r="B100" t="inlineStr">
        <is>
          <t>19</t>
        </is>
      </c>
      <c r="C100" t="inlineStr">
        <is>
          <t>Salud y protección social</t>
        </is>
      </c>
      <c r="D100" t="inlineStr">
        <is>
          <t>1905</t>
        </is>
      </c>
      <c r="E100" t="inlineStr">
        <is>
          <t>Salud pública</t>
        </is>
      </c>
      <c r="F100" t="inlineStr">
        <is>
          <t>1905054</t>
        </is>
      </c>
      <c r="G100" t="inlineStr">
        <is>
          <t>Servicio de promoción de la salud</t>
        </is>
      </c>
      <c r="H100" t="inlineStr">
        <is>
          <t>190505400</t>
        </is>
      </c>
      <c r="I100" t="inlineStr">
        <is>
          <t>Estrategias de promoción de la salud implementadas</t>
        </is>
      </c>
      <c r="J100" t="inlineStr">
        <is>
          <t>2024004250048</t>
        </is>
      </c>
      <c r="K100" t="inlineStr">
        <is>
          <t>Si</t>
        </is>
      </c>
      <c r="L100" t="inlineStr">
        <is>
          <t>Número</t>
        </is>
      </c>
      <c r="M100">
        <v>1</v>
      </c>
      <c r="N100">
        <v>0.1</v>
      </c>
      <c r="O100">
        <v>0.4</v>
      </c>
      <c r="P100">
        <v>0.35</v>
      </c>
      <c r="Q100">
        <v>0.1</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IP-99</t>
        </is>
      </c>
      <c r="B101" t="inlineStr">
        <is>
          <t>19</t>
        </is>
      </c>
      <c r="C101" t="inlineStr">
        <is>
          <t>Salud y protección social</t>
        </is>
      </c>
      <c r="D101" t="inlineStr">
        <is>
          <t>1905</t>
        </is>
      </c>
      <c r="E101" t="inlineStr">
        <is>
          <t>Salud pública</t>
        </is>
      </c>
      <c r="F101" t="inlineStr">
        <is>
          <t>1905054</t>
        </is>
      </c>
      <c r="G101" t="inlineStr">
        <is>
          <t>Servicio de promoción de la salud</t>
        </is>
      </c>
      <c r="H101" t="inlineStr">
        <is>
          <t>190505400</t>
        </is>
      </c>
      <c r="I101" t="inlineStr">
        <is>
          <t>Estrategias de promoción de la salud implementadas</t>
        </is>
      </c>
      <c r="J101" t="inlineStr">
        <is>
          <t>2024004250110</t>
        </is>
      </c>
      <c r="K101" t="inlineStr">
        <is>
          <t>Si</t>
        </is>
      </c>
      <c r="L101" t="inlineStr">
        <is>
          <t>Número</t>
        </is>
      </c>
      <c r="M101">
        <v>116</v>
      </c>
      <c r="N101">
        <v>25</v>
      </c>
      <c r="O101">
        <v>35</v>
      </c>
      <c r="P101">
        <v>35</v>
      </c>
      <c r="Q101">
        <v>21</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IP-100</t>
        </is>
      </c>
      <c r="B102" t="inlineStr">
        <is>
          <t>19</t>
        </is>
      </c>
      <c r="C102" t="inlineStr">
        <is>
          <t>Salud y protección social</t>
        </is>
      </c>
      <c r="D102" t="inlineStr">
        <is>
          <t>1905</t>
        </is>
      </c>
      <c r="E102" t="inlineStr">
        <is>
          <t>Salud pública</t>
        </is>
      </c>
      <c r="F102" t="inlineStr">
        <is>
          <t>1905050</t>
        </is>
      </c>
      <c r="G102" t="inlineStr">
        <is>
          <t>Servicio de asistencia técnica</t>
        </is>
      </c>
      <c r="H102" t="inlineStr">
        <is>
          <t>190505000</t>
        </is>
      </c>
      <c r="I102" t="inlineStr">
        <is>
          <t>Asistencias técnicas realizadas</t>
        </is>
      </c>
      <c r="J102" t="inlineStr">
        <is>
          <t>2024004250097</t>
        </is>
      </c>
      <c r="K102" t="inlineStr">
        <is>
          <t>Si</t>
        </is>
      </c>
      <c r="L102" t="inlineStr">
        <is>
          <t>Número</t>
        </is>
      </c>
      <c r="M102">
        <v>116</v>
      </c>
      <c r="N102">
        <v>25</v>
      </c>
      <c r="O102">
        <v>35</v>
      </c>
      <c r="P102">
        <v>35</v>
      </c>
      <c r="Q102">
        <v>21</v>
      </c>
      <c r="R102">
        <v>0</v>
      </c>
      <c r="S102" s="103">
        <v>0</v>
      </c>
      <c r="T102" t="inlineStr">
        <is>
          <t>No se ejecutó en la vigencia</t>
        </is>
      </c>
      <c r="U102">
        <v>17</v>
      </c>
      <c r="V102" s="104">
        <v>0.485714285714286</v>
      </c>
      <c r="W102" t="inlineStr">
        <is>
          <t>Lo ejecutado está por debajo de lo programado en la vigencia</t>
        </is>
      </c>
    </row>
    <row r="103">
      <c r="A103" t="inlineStr">
        <is>
          <t>IP-101</t>
        </is>
      </c>
      <c r="B103" t="inlineStr">
        <is>
          <t>19</t>
        </is>
      </c>
      <c r="C103" t="inlineStr">
        <is>
          <t>Salud y protección social</t>
        </is>
      </c>
      <c r="D103" t="inlineStr">
        <is>
          <t>1905</t>
        </is>
      </c>
      <c r="E103" t="inlineStr">
        <is>
          <t>Salud pública</t>
        </is>
      </c>
      <c r="F103" t="inlineStr">
        <is>
          <t>1905050</t>
        </is>
      </c>
      <c r="G103" t="inlineStr">
        <is>
          <t>Servicio de asistencia técnica</t>
        </is>
      </c>
      <c r="H103" t="inlineStr">
        <is>
          <t>190505000</t>
        </is>
      </c>
      <c r="I103" t="inlineStr">
        <is>
          <t>Asistencias técnicas realizadas</t>
        </is>
      </c>
      <c r="J103" t="inlineStr">
        <is>
          <t>2024004250100</t>
        </is>
      </c>
      <c r="K103" t="inlineStr">
        <is>
          <t>No</t>
        </is>
      </c>
      <c r="L103" t="inlineStr">
        <is>
          <t>Número</t>
        </is>
      </c>
      <c r="M103">
        <v>116</v>
      </c>
      <c r="N103">
        <v>116</v>
      </c>
      <c r="O103">
        <v>116</v>
      </c>
      <c r="P103">
        <v>116</v>
      </c>
      <c r="Q103">
        <v>116</v>
      </c>
      <c r="R103">
        <v>0</v>
      </c>
      <c r="S103" s="103">
        <v>0</v>
      </c>
      <c r="T103" t="inlineStr">
        <is>
          <t>No se ejecutó en la vigencia</t>
        </is>
      </c>
      <c r="U103">
        <v>112</v>
      </c>
      <c r="V103" s="104">
        <v>0.96551724137931</v>
      </c>
      <c r="W103" t="inlineStr">
        <is>
          <t>Lo ejecutado está por debajo de lo programado en la vigencia</t>
        </is>
      </c>
    </row>
    <row r="104">
      <c r="A104" t="inlineStr">
        <is>
          <t>IP-102, IP-103, IP-104</t>
        </is>
      </c>
      <c r="B104" t="inlineStr">
        <is>
          <t>19</t>
        </is>
      </c>
      <c r="C104" t="inlineStr">
        <is>
          <t>Salud y protección social</t>
        </is>
      </c>
      <c r="D104" t="inlineStr">
        <is>
          <t>1905</t>
        </is>
      </c>
      <c r="E104" t="inlineStr">
        <is>
          <t>Salud pública</t>
        </is>
      </c>
      <c r="F104" t="inlineStr">
        <is>
          <t>1905028</t>
        </is>
      </c>
      <c r="G104" t="inlineStr">
        <is>
          <t>Servicio de gestión del riesgo para temas de consumo, aprovechamiento biológico, calidad e inocuidad de los alimentos</t>
        </is>
      </c>
      <c r="H104" t="inlineStr">
        <is>
          <t>190502800</t>
        </is>
      </c>
      <c r="I104" t="inlineStr">
        <is>
          <t>Campañas de gestión del riesgo para temas de consumo, aprovechamiento biológico, calidad e inocuidad de los alimentos implementadas</t>
        </is>
      </c>
      <c r="J104" t="inlineStr">
        <is>
          <t>2024004250042</t>
        </is>
      </c>
      <c r="K104" t="inlineStr">
        <is>
          <t>Si</t>
        </is>
      </c>
      <c r="L104" t="inlineStr">
        <is>
          <t>Número</t>
        </is>
      </c>
      <c r="M104">
        <v>21</v>
      </c>
      <c r="N104">
        <v>2.5</v>
      </c>
      <c r="O104">
        <v>6.4</v>
      </c>
      <c r="P104">
        <v>6.1</v>
      </c>
      <c r="Q104">
        <v>5</v>
      </c>
      <c r="R104" t="inlineStr">
        <is>
          <t xml:space="preserve"> </t>
        </is>
      </c>
      <c r="S104" s="103" t="inlineStr">
        <is>
          <t xml:space="preserve"> </t>
        </is>
      </c>
      <c r="T104" t="inlineStr">
        <is>
          <t>No se encontró ejecución en PIIP</t>
        </is>
      </c>
      <c r="U104" t="inlineStr">
        <is>
          <t xml:space="preserve"> </t>
        </is>
      </c>
      <c r="V104" s="104" t="inlineStr">
        <is>
          <t xml:space="preserve"> </t>
        </is>
      </c>
      <c r="W104" t="inlineStr">
        <is>
          <t>No se encontró ejecución en PIIP</t>
        </is>
      </c>
    </row>
    <row r="105">
      <c r="A105" t="inlineStr">
        <is>
          <t>IP-105</t>
        </is>
      </c>
      <c r="B105" t="inlineStr">
        <is>
          <t>19</t>
        </is>
      </c>
      <c r="C105" t="inlineStr">
        <is>
          <t>Salud y protección social</t>
        </is>
      </c>
      <c r="D105" t="inlineStr">
        <is>
          <t>1905</t>
        </is>
      </c>
      <c r="E105" t="inlineStr">
        <is>
          <t>Salud pública</t>
        </is>
      </c>
      <c r="F105" t="inlineStr">
        <is>
          <t>1905050</t>
        </is>
      </c>
      <c r="G105" t="inlineStr">
        <is>
          <t>Servicio de asistencia técnica</t>
        </is>
      </c>
      <c r="H105" t="inlineStr">
        <is>
          <t>190505000</t>
        </is>
      </c>
      <c r="I105" t="inlineStr">
        <is>
          <t>Asistencias técnicas realizadas</t>
        </is>
      </c>
      <c r="J105" t="inlineStr">
        <is>
          <t>2024004250110</t>
        </is>
      </c>
      <c r="K105" t="inlineStr">
        <is>
          <t>No</t>
        </is>
      </c>
      <c r="L105" t="inlineStr">
        <is>
          <t>Número</t>
        </is>
      </c>
      <c r="M105">
        <v>116</v>
      </c>
      <c r="N105">
        <v>116</v>
      </c>
      <c r="O105">
        <v>116</v>
      </c>
      <c r="P105">
        <v>116</v>
      </c>
      <c r="Q105">
        <v>116</v>
      </c>
      <c r="R105">
        <v>0</v>
      </c>
      <c r="S105" s="103">
        <v>0</v>
      </c>
      <c r="T105" t="inlineStr">
        <is>
          <t>No se ejecutó en la vigencia</t>
        </is>
      </c>
      <c r="U105" t="inlineStr">
        <is>
          <t xml:space="preserve"> </t>
        </is>
      </c>
      <c r="V105" s="104" t="inlineStr">
        <is>
          <t xml:space="preserve"> </t>
        </is>
      </c>
      <c r="W105" t="inlineStr">
        <is>
          <t>No se encontró ejecución en PIIP</t>
        </is>
      </c>
    </row>
    <row r="106">
      <c r="A106" t="inlineStr">
        <is>
          <t>IP-106</t>
        </is>
      </c>
      <c r="B106" t="inlineStr">
        <is>
          <t>19</t>
        </is>
      </c>
      <c r="C106" t="inlineStr">
        <is>
          <t>Salud y protección social</t>
        </is>
      </c>
      <c r="D106" t="inlineStr">
        <is>
          <t>1905</t>
        </is>
      </c>
      <c r="E106" t="inlineStr">
        <is>
          <t>Salud pública</t>
        </is>
      </c>
      <c r="F106" t="inlineStr">
        <is>
          <t>1905050</t>
        </is>
      </c>
      <c r="G106" t="inlineStr">
        <is>
          <t>Servicio de asistencia técnica</t>
        </is>
      </c>
      <c r="H106" t="inlineStr">
        <is>
          <t>190505000</t>
        </is>
      </c>
      <c r="I106" t="inlineStr">
        <is>
          <t>Asistencias técnicas realizadas</t>
        </is>
      </c>
      <c r="J106" t="inlineStr">
        <is>
          <t>2024004250050</t>
        </is>
      </c>
      <c r="K106" t="inlineStr">
        <is>
          <t>Si</t>
        </is>
      </c>
      <c r="L106" t="inlineStr">
        <is>
          <t>Número</t>
        </is>
      </c>
      <c r="M106">
        <v>20</v>
      </c>
      <c r="N106">
        <v>10</v>
      </c>
      <c r="O106">
        <v>5</v>
      </c>
      <c r="P106">
        <v>3</v>
      </c>
      <c r="Q106">
        <v>2</v>
      </c>
      <c r="R106">
        <v>0</v>
      </c>
      <c r="S106" s="103">
        <v>0</v>
      </c>
      <c r="T106" t="inlineStr">
        <is>
          <t>No se ejecutó en la vigencia</t>
        </is>
      </c>
      <c r="U106" t="inlineStr">
        <is>
          <t xml:space="preserve"> </t>
        </is>
      </c>
      <c r="V106" s="104" t="inlineStr">
        <is>
          <t xml:space="preserve"> </t>
        </is>
      </c>
      <c r="W106" t="inlineStr">
        <is>
          <t>No se encontró ejecución en PIIP</t>
        </is>
      </c>
    </row>
    <row r="107">
      <c r="A107" t="inlineStr">
        <is>
          <t>IP-107</t>
        </is>
      </c>
      <c r="B107" t="inlineStr">
        <is>
          <t>19</t>
        </is>
      </c>
      <c r="C107" t="inlineStr">
        <is>
          <t>Salud y protección social</t>
        </is>
      </c>
      <c r="D107" t="inlineStr">
        <is>
          <t>1905</t>
        </is>
      </c>
      <c r="E107" t="inlineStr">
        <is>
          <t>Salud pública</t>
        </is>
      </c>
      <c r="F107" t="inlineStr">
        <is>
          <t>1905028</t>
        </is>
      </c>
      <c r="G107" t="inlineStr">
        <is>
          <t>Servicio de gestión del riesgo para temas de consumo, aprovechamiento biológico, calidad e inocuidad de los alimentos</t>
        </is>
      </c>
      <c r="H107" t="inlineStr">
        <is>
          <t>190502800</t>
        </is>
      </c>
      <c r="I107" t="inlineStr">
        <is>
          <t>Campañas de gestión del riesgo para temas de consumo, aprovechamiento biológico, calidad e inocuidad de los alimentos implementadas</t>
        </is>
      </c>
      <c r="J107" t="inlineStr">
        <is>
          <t>2024004250041</t>
        </is>
      </c>
      <c r="K107" t="inlineStr">
        <is>
          <t>Si</t>
        </is>
      </c>
      <c r="L107" t="inlineStr">
        <is>
          <t>Número</t>
        </is>
      </c>
      <c r="M107">
        <v>12</v>
      </c>
      <c r="N107">
        <v>2</v>
      </c>
      <c r="O107">
        <v>4</v>
      </c>
      <c r="P107">
        <v>4</v>
      </c>
      <c r="Q107">
        <v>2</v>
      </c>
      <c r="R107" t="inlineStr">
        <is>
          <t xml:space="preserve"> </t>
        </is>
      </c>
      <c r="S107" s="103" t="inlineStr">
        <is>
          <t xml:space="preserve"> </t>
        </is>
      </c>
      <c r="T107" t="inlineStr">
        <is>
          <t>No se encontró ejecución en PIIP</t>
        </is>
      </c>
      <c r="U107" t="inlineStr">
        <is>
          <t xml:space="preserve"> </t>
        </is>
      </c>
      <c r="V107" s="104" t="inlineStr">
        <is>
          <t xml:space="preserve"> </t>
        </is>
      </c>
      <c r="W107" t="inlineStr">
        <is>
          <t>No se encontró ejecución en PIIP</t>
        </is>
      </c>
    </row>
    <row r="108">
      <c r="A108" t="inlineStr">
        <is>
          <t>IP-108</t>
        </is>
      </c>
      <c r="B108" t="inlineStr">
        <is>
          <t>22</t>
        </is>
      </c>
      <c r="C108" t="inlineStr">
        <is>
          <t>Educación</t>
        </is>
      </c>
      <c r="D108" t="inlineStr">
        <is>
          <t>2201</t>
        </is>
      </c>
      <c r="E108" t="inlineStr">
        <is>
          <t>Calidad, cobertura y fortalecimiento de la educación inicial, prescolar, básica y media</t>
        </is>
      </c>
      <c r="F108" t="inlineStr">
        <is>
          <t>2201081</t>
        </is>
      </c>
      <c r="G108" t="inlineStr">
        <is>
          <t>Servicio de apoyo a la atención integral para la convivencia escolar</t>
        </is>
      </c>
      <c r="H108" t="inlineStr">
        <is>
          <t>220108100</t>
        </is>
      </c>
      <c r="I108" t="inlineStr">
        <is>
          <t>Sedes educativas apoyadas en la implementación de la ruta de atención integral para la convivencia escolar</t>
        </is>
      </c>
      <c r="J108" t="inlineStr">
        <is>
          <t>2024004250018</t>
        </is>
      </c>
      <c r="K108" t="inlineStr">
        <is>
          <t>Si</t>
        </is>
      </c>
      <c r="L108" t="inlineStr">
        <is>
          <t>Número</t>
        </is>
      </c>
      <c r="M108">
        <v>275</v>
      </c>
      <c r="N108">
        <v>35</v>
      </c>
      <c r="O108">
        <v>100</v>
      </c>
      <c r="P108">
        <v>100</v>
      </c>
      <c r="Q108">
        <v>40</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IP-109</t>
        </is>
      </c>
      <c r="B109" t="inlineStr">
        <is>
          <t>22</t>
        </is>
      </c>
      <c r="C109" t="inlineStr">
        <is>
          <t>Educación</t>
        </is>
      </c>
      <c r="D109" t="inlineStr">
        <is>
          <t>2201</t>
        </is>
      </c>
      <c r="E109" t="inlineStr">
        <is>
          <t>Calidad, cobertura y fortalecimiento de la educación inicial, prescolar, básica y media</t>
        </is>
      </c>
      <c r="F109" t="inlineStr">
        <is>
          <t>2201071</t>
        </is>
      </c>
      <c r="G109" t="inlineStr">
        <is>
          <t>Servicio educativo</t>
        </is>
      </c>
      <c r="H109" t="inlineStr">
        <is>
          <t>220107100</t>
        </is>
      </c>
      <c r="I109" t="inlineStr">
        <is>
          <t>Establecimientos educativos en operación</t>
        </is>
      </c>
      <c r="J109" t="inlineStr">
        <is>
          <t>2024004250020</t>
        </is>
      </c>
      <c r="K109" t="inlineStr">
        <is>
          <t>No</t>
        </is>
      </c>
      <c r="L109" t="inlineStr">
        <is>
          <t>Número</t>
        </is>
      </c>
      <c r="M109">
        <v>275</v>
      </c>
      <c r="N109">
        <v>275</v>
      </c>
      <c r="O109">
        <v>275</v>
      </c>
      <c r="P109">
        <v>275</v>
      </c>
      <c r="Q109">
        <v>275</v>
      </c>
      <c r="R109">
        <v>0</v>
      </c>
      <c r="S109" s="103">
        <v>0</v>
      </c>
      <c r="T109" t="inlineStr">
        <is>
          <t>No se ejecutó en la vigencia</t>
        </is>
      </c>
      <c r="U109">
        <v>275</v>
      </c>
      <c r="V109" s="104">
        <v>1</v>
      </c>
      <c r="W109" t="inlineStr">
        <is>
          <t>Se ejecutó el 100% de lo programado en la vigencia</t>
        </is>
      </c>
    </row>
    <row r="110">
      <c r="A110" t="inlineStr">
        <is>
          <t>IP-110</t>
        </is>
      </c>
      <c r="B110" t="inlineStr">
        <is>
          <t>22</t>
        </is>
      </c>
      <c r="C110" t="inlineStr">
        <is>
          <t>Educación</t>
        </is>
      </c>
      <c r="D110" t="inlineStr">
        <is>
          <t>2201</t>
        </is>
      </c>
      <c r="E110" t="inlineStr">
        <is>
          <t>Calidad, cobertura y fortalecimiento de la educación inicial, prescolar, básica y media</t>
        </is>
      </c>
      <c r="F110" t="inlineStr">
        <is>
          <t>2201037</t>
        </is>
      </c>
      <c r="G110" t="inlineStr">
        <is>
          <t>Servicio de atención integral para la primera infancia</t>
        </is>
      </c>
      <c r="H110" t="inlineStr">
        <is>
          <t>220103700</t>
        </is>
      </c>
      <c r="I110" t="inlineStr">
        <is>
          <t>Instituciones educativas oficiales que implementan el nivel preescolar en el marco de la atención integral</t>
        </is>
      </c>
      <c r="J110" t="inlineStr">
        <is>
          <t>2024004250018</t>
        </is>
      </c>
      <c r="K110" t="inlineStr">
        <is>
          <t>Si</t>
        </is>
      </c>
      <c r="L110" t="inlineStr">
        <is>
          <t>Número</t>
        </is>
      </c>
      <c r="M110">
        <v>7000</v>
      </c>
      <c r="N110">
        <v>2730</v>
      </c>
      <c r="O110">
        <v>2270</v>
      </c>
      <c r="P110">
        <v>1000</v>
      </c>
      <c r="Q110">
        <v>1000</v>
      </c>
      <c r="R110" t="inlineStr">
        <is>
          <t xml:space="preserve"> </t>
        </is>
      </c>
      <c r="S110" s="103" t="inlineStr">
        <is>
          <t xml:space="preserve"> </t>
        </is>
      </c>
      <c r="T110" t="inlineStr">
        <is>
          <t>No se encontró ejecución en PIIP</t>
        </is>
      </c>
      <c r="U110" t="inlineStr">
        <is>
          <t xml:space="preserve"> </t>
        </is>
      </c>
      <c r="V110" s="104" t="inlineStr">
        <is>
          <t xml:space="preserve"> </t>
        </is>
      </c>
      <c r="W110" t="inlineStr">
        <is>
          <t>No se encontró ejecución en PIIP</t>
        </is>
      </c>
    </row>
    <row r="111">
      <c r="A111" t="inlineStr">
        <is>
          <t>IP-111</t>
        </is>
      </c>
      <c r="B111" t="inlineStr">
        <is>
          <t>22</t>
        </is>
      </c>
      <c r="C111" t="inlineStr">
        <is>
          <t>Educación</t>
        </is>
      </c>
      <c r="D111" t="inlineStr">
        <is>
          <t>2201</t>
        </is>
      </c>
      <c r="E111" t="inlineStr">
        <is>
          <t>Calidad, cobertura y fortalecimiento de la educación inicial, prescolar, básica y media</t>
        </is>
      </c>
      <c r="F111" t="inlineStr">
        <is>
          <t>2201084</t>
        </is>
      </c>
      <c r="G111" t="inlineStr">
        <is>
          <t>Servicio de apoyo pedagógico para  la oferta de educación inclusiva para preescolar, básica y media</t>
        </is>
      </c>
      <c r="H111" t="inlineStr">
        <is>
          <t>220108400</t>
        </is>
      </c>
      <c r="I111" t="inlineStr">
        <is>
          <t>Sedes educativas con apoyo pedagógico para  la oferta de educación inclusiva para preescolar, básica y media</t>
        </is>
      </c>
      <c r="J111" t="inlineStr">
        <is>
          <t>2024004250007</t>
        </is>
      </c>
      <c r="K111" t="inlineStr">
        <is>
          <t>No</t>
        </is>
      </c>
      <c r="L111" t="inlineStr">
        <is>
          <t>Número</t>
        </is>
      </c>
      <c r="M111">
        <v>275</v>
      </c>
      <c r="N111">
        <v>275</v>
      </c>
      <c r="O111">
        <v>275</v>
      </c>
      <c r="P111">
        <v>275</v>
      </c>
      <c r="Q111">
        <v>275</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IP-112</t>
        </is>
      </c>
      <c r="B112" t="inlineStr">
        <is>
          <t>22</t>
        </is>
      </c>
      <c r="C112" t="inlineStr">
        <is>
          <t>Educación</t>
        </is>
      </c>
      <c r="D112" t="inlineStr">
        <is>
          <t>2201</t>
        </is>
      </c>
      <c r="E112" t="inlineStr">
        <is>
          <t>Calidad, cobertura y fortalecimiento de la educación inicial, prescolar, básica y media</t>
        </is>
      </c>
      <c r="F112" t="inlineStr">
        <is>
          <t>2201069</t>
        </is>
      </c>
      <c r="G112" t="inlineStr">
        <is>
          <t>Infraestructura educativa dotada</t>
        </is>
      </c>
      <c r="H112" t="inlineStr">
        <is>
          <t>220106900</t>
        </is>
      </c>
      <c r="I112" t="inlineStr">
        <is>
          <t>Sedes dotadas</t>
        </is>
      </c>
      <c r="J112" t="inlineStr">
        <is>
          <t>2024004250007</t>
        </is>
      </c>
      <c r="K112" t="inlineStr">
        <is>
          <t>Si</t>
        </is>
      </c>
      <c r="L112" t="inlineStr">
        <is>
          <t>Número</t>
        </is>
      </c>
      <c r="M112">
        <v>1000</v>
      </c>
      <c r="N112">
        <v>100</v>
      </c>
      <c r="O112">
        <v>356</v>
      </c>
      <c r="P112">
        <v>250</v>
      </c>
      <c r="Q112">
        <v>279</v>
      </c>
      <c r="R112" t="inlineStr">
        <is>
          <t xml:space="preserve"> </t>
        </is>
      </c>
      <c r="S112" s="103" t="inlineStr">
        <is>
          <t xml:space="preserve"> </t>
        </is>
      </c>
      <c r="T112" t="inlineStr">
        <is>
          <t>No se encontró ejecución en PIIP</t>
        </is>
      </c>
      <c r="U112" t="inlineStr">
        <is>
          <t xml:space="preserve"> </t>
        </is>
      </c>
      <c r="V112" s="104" t="inlineStr">
        <is>
          <t xml:space="preserve"> </t>
        </is>
      </c>
      <c r="W112" t="inlineStr">
        <is>
          <t>No se encontró ejecución en PIIP</t>
        </is>
      </c>
    </row>
    <row r="113">
      <c r="A113" t="inlineStr">
        <is>
          <t>IP-113</t>
        </is>
      </c>
      <c r="B113" t="inlineStr">
        <is>
          <t>22</t>
        </is>
      </c>
      <c r="C113" t="inlineStr">
        <is>
          <t>Educación</t>
        </is>
      </c>
      <c r="D113" t="inlineStr">
        <is>
          <t>2201</t>
        </is>
      </c>
      <c r="E113" t="inlineStr">
        <is>
          <t>Calidad, cobertura y fortalecimiento de la educación inicial, prescolar, básica y media</t>
        </is>
      </c>
      <c r="F113" t="inlineStr">
        <is>
          <t>2201079</t>
        </is>
      </c>
      <c r="G113" t="inlineStr">
        <is>
          <t>Servicio de apoyo financiero a entidades territoriales para la ejecución de estrategias de permanencia con alimentación escolar</t>
        </is>
      </c>
      <c r="H113" t="inlineStr">
        <is>
          <t>220107900</t>
        </is>
      </c>
      <c r="I113" t="inlineStr">
        <is>
          <t>Estudiantes beneficiados del programa de alimentación escolar</t>
        </is>
      </c>
      <c r="J113" t="inlineStr">
        <is>
          <t>2024004250001, 2024004250007</t>
        </is>
      </c>
      <c r="K113" t="inlineStr">
        <is>
          <t>No</t>
        </is>
      </c>
      <c r="L113" t="inlineStr">
        <is>
          <t>Número</t>
        </is>
      </c>
      <c r="M113">
        <v>187000</v>
      </c>
      <c r="N113">
        <v>187000</v>
      </c>
      <c r="O113">
        <v>187000</v>
      </c>
      <c r="P113">
        <v>187000</v>
      </c>
      <c r="Q113">
        <v>187000</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IP-114</t>
        </is>
      </c>
      <c r="B114" t="inlineStr">
        <is>
          <t>22</t>
        </is>
      </c>
      <c r="C114" t="inlineStr">
        <is>
          <t>Educación</t>
        </is>
      </c>
      <c r="D114" t="inlineStr">
        <is>
          <t>2201</t>
        </is>
      </c>
      <c r="E114" t="inlineStr">
        <is>
          <t>Calidad, cobertura y fortalecimiento de la educación inicial, prescolar, básica y media</t>
        </is>
      </c>
      <c r="F114" t="inlineStr">
        <is>
          <t>2201029</t>
        </is>
      </c>
      <c r="G114" t="inlineStr">
        <is>
          <t>Servicio de apoyo a la permanencia con transporte escolar</t>
        </is>
      </c>
      <c r="H114" t="inlineStr">
        <is>
          <t>220102900</t>
        </is>
      </c>
      <c r="I114" t="inlineStr">
        <is>
          <t>Beneficiarios de transporte escolar</t>
        </is>
      </c>
      <c r="J114" t="inlineStr">
        <is>
          <t>2024004250007</t>
        </is>
      </c>
      <c r="K114" t="inlineStr">
        <is>
          <t>No</t>
        </is>
      </c>
      <c r="L114" t="inlineStr">
        <is>
          <t>Número</t>
        </is>
      </c>
      <c r="M114">
        <v>46000</v>
      </c>
      <c r="N114">
        <v>46000</v>
      </c>
      <c r="O114">
        <v>46000</v>
      </c>
      <c r="P114">
        <v>46000</v>
      </c>
      <c r="Q114">
        <v>46000</v>
      </c>
      <c r="R114">
        <v>0</v>
      </c>
      <c r="S114" s="103">
        <v>0</v>
      </c>
      <c r="T114" t="inlineStr">
        <is>
          <t>No se ejecutó en la vigencia</t>
        </is>
      </c>
      <c r="U114" t="inlineStr">
        <is>
          <t xml:space="preserve"> </t>
        </is>
      </c>
      <c r="V114" s="104" t="inlineStr">
        <is>
          <t xml:space="preserve"> </t>
        </is>
      </c>
      <c r="W114" t="inlineStr">
        <is>
          <t>No se encontró ejecución en PIIP</t>
        </is>
      </c>
    </row>
    <row r="115">
      <c r="A115" t="inlineStr">
        <is>
          <t>IP-115</t>
        </is>
      </c>
      <c r="B115" t="inlineStr">
        <is>
          <t>22</t>
        </is>
      </c>
      <c r="C115" t="inlineStr">
        <is>
          <t>Educación</t>
        </is>
      </c>
      <c r="D115" t="inlineStr">
        <is>
          <t>2201</t>
        </is>
      </c>
      <c r="E115" t="inlineStr">
        <is>
          <t>Calidad, cobertura y fortalecimiento de la educación inicial, prescolar, básica y media</t>
        </is>
      </c>
      <c r="F115" t="inlineStr">
        <is>
          <t>2201050</t>
        </is>
      </c>
      <c r="G115" t="inlineStr">
        <is>
          <t>Servicio de accesibilidad a contenidos web para fines pedagógicos</t>
        </is>
      </c>
      <c r="H115" t="inlineStr">
        <is>
          <t>220105000</t>
        </is>
      </c>
      <c r="I115" t="inlineStr">
        <is>
          <t>Estudiantes con acceso a contenidos web en el establecimiento educativo</t>
        </is>
      </c>
      <c r="J115" t="inlineStr">
        <is>
          <t>2024004250008</t>
        </is>
      </c>
      <c r="K115" t="inlineStr">
        <is>
          <t>No</t>
        </is>
      </c>
      <c r="L115" t="inlineStr">
        <is>
          <t>Número</t>
        </is>
      </c>
      <c r="M115">
        <v>275</v>
      </c>
      <c r="N115">
        <v>275</v>
      </c>
      <c r="O115">
        <v>275</v>
      </c>
      <c r="P115">
        <v>275</v>
      </c>
      <c r="Q115">
        <v>275</v>
      </c>
      <c r="R115" t="inlineStr">
        <is>
          <t xml:space="preserve"> </t>
        </is>
      </c>
      <c r="S115" s="103" t="inlineStr">
        <is>
          <t xml:space="preserve"> </t>
        </is>
      </c>
      <c r="T115" t="inlineStr">
        <is>
          <t>No se encontró ejecución en PIIP</t>
        </is>
      </c>
      <c r="U115" t="inlineStr">
        <is>
          <t xml:space="preserve"> </t>
        </is>
      </c>
      <c r="V115" s="104" t="inlineStr">
        <is>
          <t xml:space="preserve"> </t>
        </is>
      </c>
      <c r="W115" t="inlineStr">
        <is>
          <t>No se encontró ejecución en PIIP</t>
        </is>
      </c>
    </row>
    <row r="116">
      <c r="A116" t="inlineStr">
        <is>
          <t>IP-116</t>
        </is>
      </c>
      <c r="B116" t="inlineStr">
        <is>
          <t>22</t>
        </is>
      </c>
      <c r="C116" t="inlineStr">
        <is>
          <t>Educación</t>
        </is>
      </c>
      <c r="D116" t="inlineStr">
        <is>
          <t>2201</t>
        </is>
      </c>
      <c r="E116" t="inlineStr">
        <is>
          <t>Calidad, cobertura y fortalecimiento de la educación inicial, prescolar, básica y media</t>
        </is>
      </c>
      <c r="F116" t="inlineStr">
        <is>
          <t>2201069</t>
        </is>
      </c>
      <c r="G116" t="inlineStr">
        <is>
          <t>Infraestructura educativa dotada</t>
        </is>
      </c>
      <c r="H116" t="inlineStr">
        <is>
          <t>220106900</t>
        </is>
      </c>
      <c r="I116" t="inlineStr">
        <is>
          <t>Sedes dotadas</t>
        </is>
      </c>
      <c r="J116" t="inlineStr">
        <is>
          <t>2024004250008</t>
        </is>
      </c>
      <c r="K116" t="inlineStr">
        <is>
          <t>Si</t>
        </is>
      </c>
      <c r="L116" t="inlineStr">
        <is>
          <t>Número</t>
        </is>
      </c>
      <c r="M116">
        <v>100</v>
      </c>
      <c r="N116">
        <v>0</v>
      </c>
      <c r="O116">
        <v>14</v>
      </c>
      <c r="P116">
        <v>50</v>
      </c>
      <c r="Q116">
        <v>36</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IP-117</t>
        </is>
      </c>
      <c r="B117" t="inlineStr">
        <is>
          <t>22</t>
        </is>
      </c>
      <c r="C117" t="inlineStr">
        <is>
          <t>Educación</t>
        </is>
      </c>
      <c r="D117" t="inlineStr">
        <is>
          <t>2201</t>
        </is>
      </c>
      <c r="E117" t="inlineStr">
        <is>
          <t>Calidad, cobertura y fortalecimiento de la educación inicial, prescolar, básica y media</t>
        </is>
      </c>
      <c r="F117" t="inlineStr">
        <is>
          <t>2201032</t>
        </is>
      </c>
      <c r="G117" t="inlineStr">
        <is>
          <t>Servicio de alfabetización</t>
        </is>
      </c>
      <c r="H117" t="inlineStr">
        <is>
          <t>220103200</t>
        </is>
      </c>
      <c r="I117" t="inlineStr">
        <is>
          <t xml:space="preserve">Personas beneficiarias con modelos de alfabetización </t>
        </is>
      </c>
      <c r="J117" t="inlineStr">
        <is>
          <t>2024004250007</t>
        </is>
      </c>
      <c r="K117" t="inlineStr">
        <is>
          <t>Si</t>
        </is>
      </c>
      <c r="L117" t="inlineStr">
        <is>
          <t>Número</t>
        </is>
      </c>
      <c r="M117">
        <v>50</v>
      </c>
      <c r="N117">
        <v>0</v>
      </c>
      <c r="O117">
        <v>22</v>
      </c>
      <c r="P117">
        <v>15</v>
      </c>
      <c r="Q117">
        <v>13</v>
      </c>
      <c r="R117" t="inlineStr">
        <is>
          <t xml:space="preserve"> </t>
        </is>
      </c>
      <c r="S117" s="103" t="inlineStr">
        <is>
          <t xml:space="preserve"> </t>
        </is>
      </c>
      <c r="T117" t="inlineStr">
        <is>
          <t>No se encontró ejecución en PIIP</t>
        </is>
      </c>
      <c r="U117" t="inlineStr">
        <is>
          <t xml:space="preserve"> </t>
        </is>
      </c>
      <c r="V117" s="104" t="inlineStr">
        <is>
          <t xml:space="preserve"> </t>
        </is>
      </c>
      <c r="W117" t="inlineStr">
        <is>
          <t>No se encontró ejecución en PIIP</t>
        </is>
      </c>
    </row>
    <row r="118">
      <c r="A118" t="inlineStr">
        <is>
          <t>IP-118</t>
        </is>
      </c>
      <c r="B118" t="inlineStr">
        <is>
          <t>22</t>
        </is>
      </c>
      <c r="C118" t="inlineStr">
        <is>
          <t>Educación</t>
        </is>
      </c>
      <c r="D118" t="inlineStr">
        <is>
          <t>2201</t>
        </is>
      </c>
      <c r="E118" t="inlineStr">
        <is>
          <t>Calidad, cobertura y fortalecimiento de la educación inicial, prescolar, básica y media</t>
        </is>
      </c>
      <c r="F118" t="inlineStr">
        <is>
          <t>2201074</t>
        </is>
      </c>
      <c r="G118" t="inlineStr">
        <is>
          <t>Servicio de fortalecimiento a las capacidades de los docentes de educación Inicial, preescolar, básica y media</t>
        </is>
      </c>
      <c r="H118" t="inlineStr">
        <is>
          <t>220107400</t>
        </is>
      </c>
      <c r="I118" t="inlineStr">
        <is>
          <t>Docentes y agentes educativos  de educación inicial, preescolar, básica y media beneficiados con estrategias de mejoramiento de sus capacidades</t>
        </is>
      </c>
      <c r="J118" t="inlineStr">
        <is>
          <t>2024004250018</t>
        </is>
      </c>
      <c r="K118" t="inlineStr">
        <is>
          <t>Si</t>
        </is>
      </c>
      <c r="L118" t="inlineStr">
        <is>
          <t>Número</t>
        </is>
      </c>
      <c r="M118">
        <v>1000</v>
      </c>
      <c r="N118">
        <v>200</v>
      </c>
      <c r="O118">
        <v>259</v>
      </c>
      <c r="P118">
        <v>441</v>
      </c>
      <c r="Q118">
        <v>100</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IP-119</t>
        </is>
      </c>
      <c r="B119" t="inlineStr">
        <is>
          <t>22</t>
        </is>
      </c>
      <c r="C119" t="inlineStr">
        <is>
          <t>Educación</t>
        </is>
      </c>
      <c r="D119" t="inlineStr">
        <is>
          <t>2201</t>
        </is>
      </c>
      <c r="E119" t="inlineStr">
        <is>
          <t>Calidad, cobertura y fortalecimiento de la educación inicial, prescolar, básica y media</t>
        </is>
      </c>
      <c r="F119" t="inlineStr">
        <is>
          <t>2201046</t>
        </is>
      </c>
      <c r="G119" t="inlineStr">
        <is>
          <t>Servicios de asistencia técnica en innovación educativa en la educación inicial, preescolar, básica y media</t>
        </is>
      </c>
      <c r="H119" t="inlineStr">
        <is>
          <t>220104600</t>
        </is>
      </c>
      <c r="I119" t="inlineStr">
        <is>
          <t xml:space="preserve">Entidades o instituciones asistidas técnicamente en innovación educativa </t>
        </is>
      </c>
      <c r="J119" t="inlineStr">
        <is>
          <t>2024004250018</t>
        </is>
      </c>
      <c r="K119" t="inlineStr">
        <is>
          <t>Si</t>
        </is>
      </c>
      <c r="L119" t="inlineStr">
        <is>
          <t>Número</t>
        </is>
      </c>
      <c r="M119">
        <v>275</v>
      </c>
      <c r="N119">
        <v>15</v>
      </c>
      <c r="O119">
        <v>122</v>
      </c>
      <c r="P119">
        <v>108</v>
      </c>
      <c r="Q119">
        <v>30</v>
      </c>
      <c r="R119" t="inlineStr">
        <is>
          <t xml:space="preserve"> </t>
        </is>
      </c>
      <c r="S119" s="103" t="inlineStr">
        <is>
          <t xml:space="preserve"> </t>
        </is>
      </c>
      <c r="T119" t="inlineStr">
        <is>
          <t>No se encontró ejecución en PIIP</t>
        </is>
      </c>
      <c r="U119" t="inlineStr">
        <is>
          <t xml:space="preserve"> </t>
        </is>
      </c>
      <c r="V119" s="104" t="inlineStr">
        <is>
          <t xml:space="preserve"> </t>
        </is>
      </c>
      <c r="W119" t="inlineStr">
        <is>
          <t>No se encontró ejecución en PIIP</t>
        </is>
      </c>
    </row>
    <row r="120">
      <c r="A120" t="inlineStr">
        <is>
          <t>IP-120</t>
        </is>
      </c>
      <c r="B120" t="inlineStr">
        <is>
          <t>22</t>
        </is>
      </c>
      <c r="C120" t="inlineStr">
        <is>
          <t>Educación</t>
        </is>
      </c>
      <c r="D120" t="inlineStr">
        <is>
          <t>2201</t>
        </is>
      </c>
      <c r="E120" t="inlineStr">
        <is>
          <t>Calidad, cobertura y fortalecimiento de la educación inicial, prescolar, básica y media</t>
        </is>
      </c>
      <c r="F120" t="inlineStr">
        <is>
          <t>2201056</t>
        </is>
      </c>
      <c r="G120" t="inlineStr">
        <is>
          <t>Servicio de acompañamiento para el desarrollo de modelos educativos interculturales</t>
        </is>
      </c>
      <c r="H120" t="inlineStr">
        <is>
          <t>220105600</t>
        </is>
      </c>
      <c r="I120" t="inlineStr">
        <is>
          <t>Modelos educativos acompañados</t>
        </is>
      </c>
      <c r="J120" t="inlineStr">
        <is>
          <t>2024004250018</t>
        </is>
      </c>
      <c r="K120" t="inlineStr">
        <is>
          <t>No</t>
        </is>
      </c>
      <c r="L120" t="inlineStr">
        <is>
          <t>Número</t>
        </is>
      </c>
      <c r="M120">
        <v>16</v>
      </c>
      <c r="N120">
        <v>16</v>
      </c>
      <c r="O120">
        <v>16</v>
      </c>
      <c r="P120">
        <v>16</v>
      </c>
      <c r="Q120">
        <v>16</v>
      </c>
      <c r="R120">
        <v>0</v>
      </c>
      <c r="S120" s="103">
        <v>0</v>
      </c>
      <c r="T120" t="inlineStr">
        <is>
          <t>No se ejecutó en la vigencia</t>
        </is>
      </c>
      <c r="U120" t="inlineStr">
        <is>
          <t xml:space="preserve"> </t>
        </is>
      </c>
      <c r="V120" s="104" t="inlineStr">
        <is>
          <t xml:space="preserve"> </t>
        </is>
      </c>
      <c r="W120" t="inlineStr">
        <is>
          <t>No se encontró ejecución en PIIP</t>
        </is>
      </c>
    </row>
    <row r="121">
      <c r="A121" t="inlineStr">
        <is>
          <t>IP-121</t>
        </is>
      </c>
      <c r="B121" t="inlineStr">
        <is>
          <t>22</t>
        </is>
      </c>
      <c r="C121" t="inlineStr">
        <is>
          <t>Educación</t>
        </is>
      </c>
      <c r="D121" t="inlineStr">
        <is>
          <t>2201</t>
        </is>
      </c>
      <c r="E121" t="inlineStr">
        <is>
          <t>Calidad, cobertura y fortalecimiento de la educación inicial, prescolar, básica y media</t>
        </is>
      </c>
      <c r="F121" t="inlineStr">
        <is>
          <t>2201034</t>
        </is>
      </c>
      <c r="G121" t="inlineStr">
        <is>
          <t>Servicio educativos de promoción del bilingüismo</t>
        </is>
      </c>
      <c r="H121" t="inlineStr">
        <is>
          <t>220103400</t>
        </is>
      </c>
      <c r="I121" t="inlineStr">
        <is>
          <t>Estudiantes beneficiados con estrategias de promoción del bilingüismo</t>
        </is>
      </c>
      <c r="J121" t="inlineStr">
        <is>
          <t>2024004250018</t>
        </is>
      </c>
      <c r="K121" t="inlineStr">
        <is>
          <t>Si</t>
        </is>
      </c>
      <c r="L121" t="inlineStr">
        <is>
          <t>Número</t>
        </is>
      </c>
      <c r="M121">
        <v>120</v>
      </c>
      <c r="N121">
        <v>40</v>
      </c>
      <c r="O121">
        <v>50</v>
      </c>
      <c r="P121">
        <v>20</v>
      </c>
      <c r="Q121">
        <v>10</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IP-122</t>
        </is>
      </c>
      <c r="B122" t="inlineStr">
        <is>
          <t>22</t>
        </is>
      </c>
      <c r="C122" t="inlineStr">
        <is>
          <t>Educación</t>
        </is>
      </c>
      <c r="D122" t="inlineStr">
        <is>
          <t>2201</t>
        </is>
      </c>
      <c r="E122" t="inlineStr">
        <is>
          <t>Calidad, cobertura y fortalecimiento de la educación inicial, prescolar, básica y media</t>
        </is>
      </c>
      <c r="F122" t="inlineStr">
        <is>
          <t>2201056</t>
        </is>
      </c>
      <c r="G122" t="inlineStr">
        <is>
          <t>Servicio de acompañamiento para el desarrollo de modelos educativos interculturales</t>
        </is>
      </c>
      <c r="H122" t="inlineStr">
        <is>
          <t>220105600</t>
        </is>
      </c>
      <c r="I122" t="inlineStr">
        <is>
          <t>Modelos educativos acompañados</t>
        </is>
      </c>
      <c r="J122" t="inlineStr">
        <is>
          <t>2024004250018</t>
        </is>
      </c>
      <c r="K122" t="inlineStr">
        <is>
          <t>Si</t>
        </is>
      </c>
      <c r="L122" t="inlineStr">
        <is>
          <t>Número</t>
        </is>
      </c>
      <c r="M122">
        <v>25000</v>
      </c>
      <c r="N122">
        <v>4000</v>
      </c>
      <c r="O122">
        <v>11000</v>
      </c>
      <c r="P122">
        <v>5000</v>
      </c>
      <c r="Q122">
        <v>5000</v>
      </c>
      <c r="R122" t="inlineStr">
        <is>
          <t xml:space="preserve"> </t>
        </is>
      </c>
      <c r="S122" s="103" t="inlineStr">
        <is>
          <t xml:space="preserve"> </t>
        </is>
      </c>
      <c r="T122" t="inlineStr">
        <is>
          <t>No se encontró ejecución en PIIP</t>
        </is>
      </c>
      <c r="U122" t="inlineStr">
        <is>
          <t xml:space="preserve"> </t>
        </is>
      </c>
      <c r="V122" s="104" t="inlineStr">
        <is>
          <t xml:space="preserve"> </t>
        </is>
      </c>
      <c r="W122" t="inlineStr">
        <is>
          <t>No se encontró ejecución en PIIP</t>
        </is>
      </c>
    </row>
    <row r="123">
      <c r="A123" t="inlineStr">
        <is>
          <t>IP-123</t>
        </is>
      </c>
      <c r="B123" t="inlineStr">
        <is>
          <t>22</t>
        </is>
      </c>
      <c r="C123" t="inlineStr">
        <is>
          <t>Educación</t>
        </is>
      </c>
      <c r="D123" t="inlineStr">
        <is>
          <t>2201</t>
        </is>
      </c>
      <c r="E123" t="inlineStr">
        <is>
          <t>Calidad, cobertura y fortalecimiento de la educación inicial, prescolar, básica y media</t>
        </is>
      </c>
      <c r="F123" t="inlineStr">
        <is>
          <t>2201047</t>
        </is>
      </c>
      <c r="G123" t="inlineStr">
        <is>
          <t>Servicios de apoyo a la implementación de modelos de innovación educativa</t>
        </is>
      </c>
      <c r="H123" t="inlineStr">
        <is>
          <t>220104700</t>
        </is>
      </c>
      <c r="I123" t="inlineStr">
        <is>
          <t xml:space="preserve">Establecimientos educativos apoyados para la  implementación de modelos de innovación educativa </t>
        </is>
      </c>
      <c r="J123" t="inlineStr">
        <is>
          <t>2024004250018</t>
        </is>
      </c>
      <c r="K123" t="inlineStr">
        <is>
          <t>Si</t>
        </is>
      </c>
      <c r="L123" t="inlineStr">
        <is>
          <t>Número</t>
        </is>
      </c>
      <c r="M123">
        <v>4</v>
      </c>
      <c r="N123">
        <v>1</v>
      </c>
      <c r="O123">
        <v>1</v>
      </c>
      <c r="P123">
        <v>1</v>
      </c>
      <c r="Q123">
        <v>1</v>
      </c>
      <c r="R123" t="inlineStr">
        <is>
          <t xml:space="preserve"> </t>
        </is>
      </c>
      <c r="S123" s="103" t="inlineStr">
        <is>
          <t xml:space="preserve"> </t>
        </is>
      </c>
      <c r="T123" t="inlineStr">
        <is>
          <t>No se encontró ejecución en PIIP</t>
        </is>
      </c>
      <c r="U123" t="inlineStr">
        <is>
          <t xml:space="preserve"> </t>
        </is>
      </c>
      <c r="V123" s="104" t="inlineStr">
        <is>
          <t xml:space="preserve"> </t>
        </is>
      </c>
      <c r="W123" t="inlineStr">
        <is>
          <t>No se encontró ejecución en PIIP</t>
        </is>
      </c>
    </row>
    <row r="124">
      <c r="A124" t="inlineStr">
        <is>
          <t>IP-124</t>
        </is>
      </c>
      <c r="B124" t="inlineStr">
        <is>
          <t>22</t>
        </is>
      </c>
      <c r="C124" t="inlineStr">
        <is>
          <t>Educación</t>
        </is>
      </c>
      <c r="D124" t="inlineStr">
        <is>
          <t>2201</t>
        </is>
      </c>
      <c r="E124" t="inlineStr">
        <is>
          <t>Calidad, cobertura y fortalecimiento de la educación inicial, prescolar, básica y media</t>
        </is>
      </c>
      <c r="F124" t="inlineStr">
        <is>
          <t>2201073</t>
        </is>
      </c>
      <c r="G124" t="inlineStr">
        <is>
          <t>Servicio de evaluación de la calidad de la educación inicial, preescolar, básica y media</t>
        </is>
      </c>
      <c r="H124" t="inlineStr">
        <is>
          <t>220107300</t>
        </is>
      </c>
      <c r="I124" t="inlineStr">
        <is>
          <t>Estudiantes evaluados con pruebas de calidad educativa</t>
        </is>
      </c>
      <c r="J124" t="inlineStr">
        <is>
          <t>2024004250018</t>
        </is>
      </c>
      <c r="K124" t="inlineStr">
        <is>
          <t>Si</t>
        </is>
      </c>
      <c r="L124" t="inlineStr">
        <is>
          <t>Número</t>
        </is>
      </c>
      <c r="M124">
        <v>200</v>
      </c>
      <c r="N124">
        <v>100</v>
      </c>
      <c r="O124">
        <v>100</v>
      </c>
      <c r="P124">
        <v>200</v>
      </c>
      <c r="Q124">
        <v>200</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IP-125</t>
        </is>
      </c>
      <c r="B125" t="inlineStr">
        <is>
          <t>22</t>
        </is>
      </c>
      <c r="C125" t="inlineStr">
        <is>
          <t>Educación</t>
        </is>
      </c>
      <c r="D125" t="inlineStr">
        <is>
          <t>2201</t>
        </is>
      </c>
      <c r="E125" t="inlineStr">
        <is>
          <t>Calidad, cobertura y fortalecimiento de la educación inicial, prescolar, básica y media</t>
        </is>
      </c>
      <c r="F125" t="inlineStr">
        <is>
          <t>2201061</t>
        </is>
      </c>
      <c r="G125" t="inlineStr">
        <is>
          <t>Servicio de apoyo a proyectos pedagógicos productivos</t>
        </is>
      </c>
      <c r="H125" t="inlineStr">
        <is>
          <t>220106100</t>
        </is>
      </c>
      <c r="I125" t="inlineStr">
        <is>
          <t>Establecimientos educativos beneficiados</t>
        </is>
      </c>
      <c r="J125" t="inlineStr">
        <is>
          <t>2024004250018</t>
        </is>
      </c>
      <c r="K125" t="inlineStr">
        <is>
          <t>No</t>
        </is>
      </c>
      <c r="L125" t="inlineStr">
        <is>
          <t>Número</t>
        </is>
      </c>
      <c r="M125">
        <v>9</v>
      </c>
      <c r="N125">
        <v>9</v>
      </c>
      <c r="O125">
        <v>9</v>
      </c>
      <c r="P125">
        <v>9</v>
      </c>
      <c r="Q125">
        <v>9</v>
      </c>
      <c r="R125">
        <v>0</v>
      </c>
      <c r="S125" s="103">
        <v>0</v>
      </c>
      <c r="T125" t="inlineStr">
        <is>
          <t>No se ejecutó en la vigencia</t>
        </is>
      </c>
      <c r="U125" t="inlineStr">
        <is>
          <t xml:space="preserve"> </t>
        </is>
      </c>
      <c r="V125" s="104" t="inlineStr">
        <is>
          <t xml:space="preserve"> </t>
        </is>
      </c>
      <c r="W125" t="inlineStr">
        <is>
          <t>No se encontró ejecución en PIIP</t>
        </is>
      </c>
    </row>
    <row r="126">
      <c r="A126" t="inlineStr">
        <is>
          <t>IP-126</t>
        </is>
      </c>
      <c r="B126" t="inlineStr">
        <is>
          <t>22</t>
        </is>
      </c>
      <c r="C126" t="inlineStr">
        <is>
          <t>Educación</t>
        </is>
      </c>
      <c r="D126" t="inlineStr">
        <is>
          <t>2201</t>
        </is>
      </c>
      <c r="E126" t="inlineStr">
        <is>
          <t>Calidad, cobertura y fortalecimiento de la educación inicial, prescolar, básica y media</t>
        </is>
      </c>
      <c r="F126" t="inlineStr">
        <is>
          <t>2201061</t>
        </is>
      </c>
      <c r="G126" t="inlineStr">
        <is>
          <t>Servicio de apoyo a proyectos pedagógicos productivos</t>
        </is>
      </c>
      <c r="H126" t="inlineStr">
        <is>
          <t>220106100</t>
        </is>
      </c>
      <c r="I126" t="inlineStr">
        <is>
          <t>Establecimientos educativos beneficiados</t>
        </is>
      </c>
      <c r="J126" t="inlineStr">
        <is>
          <t>2024004250017</t>
        </is>
      </c>
      <c r="K126" t="inlineStr">
        <is>
          <t>Si</t>
        </is>
      </c>
      <c r="L126" t="inlineStr">
        <is>
          <t>Número</t>
        </is>
      </c>
      <c r="M126">
        <v>100</v>
      </c>
      <c r="N126">
        <v>1</v>
      </c>
      <c r="O126">
        <v>70</v>
      </c>
      <c r="P126">
        <v>29</v>
      </c>
      <c r="Q126">
        <v>0</v>
      </c>
      <c r="R126">
        <v>0</v>
      </c>
      <c r="S126" s="103">
        <v>0</v>
      </c>
      <c r="T126" t="inlineStr">
        <is>
          <t>No se ejecutó en la vigencia</t>
        </is>
      </c>
      <c r="U126" t="inlineStr">
        <is>
          <t xml:space="preserve"> </t>
        </is>
      </c>
      <c r="V126" s="104" t="inlineStr">
        <is>
          <t xml:space="preserve"> </t>
        </is>
      </c>
      <c r="W126" t="inlineStr">
        <is>
          <t>No se encontró ejecución en PIIP</t>
        </is>
      </c>
    </row>
    <row r="127">
      <c r="A127" t="inlineStr">
        <is>
          <t>IP-127</t>
        </is>
      </c>
      <c r="B127" t="inlineStr">
        <is>
          <t>39</t>
        </is>
      </c>
      <c r="C127" t="inlineStr">
        <is>
          <t xml:space="preserve">Ciencia, tecnología e innovación
</t>
        </is>
      </c>
      <c r="D127" t="inlineStr">
        <is>
          <t>3906</t>
        </is>
      </c>
      <c r="E127" t="inlineStr">
        <is>
          <t>Fomento a vocaciones y formación, generación, uso y apropiación social del conocimiento de la ciencia, tecnología e innovación</t>
        </is>
      </c>
      <c r="F127" t="inlineStr">
        <is>
          <t>3906001</t>
        </is>
      </c>
      <c r="G127" t="inlineStr">
        <is>
          <t>Servicio de apoyo financiero para el fortalecimiento de las vocaciones científicas en CTI</t>
        </is>
      </c>
      <c r="H127" t="inlineStr">
        <is>
          <t>390600100</t>
        </is>
      </c>
      <c r="I127" t="inlineStr">
        <is>
          <t>Personas apoyadas en su vocación científica</t>
        </is>
      </c>
      <c r="J127" t="inlineStr">
        <is>
          <t>2024004250104</t>
        </is>
      </c>
      <c r="K127" t="inlineStr">
        <is>
          <t>Si</t>
        </is>
      </c>
      <c r="L127" t="inlineStr">
        <is>
          <t>Número</t>
        </is>
      </c>
      <c r="M127">
        <v>15000</v>
      </c>
      <c r="N127">
        <v>100</v>
      </c>
      <c r="O127">
        <v>11000</v>
      </c>
      <c r="P127">
        <v>3000</v>
      </c>
      <c r="Q127">
        <v>832</v>
      </c>
      <c r="R127">
        <v>168</v>
      </c>
      <c r="S127" s="103">
        <v>1.68</v>
      </c>
      <c r="T127" t="inlineStr">
        <is>
          <t>Hubo ejecución por encima de lo programado en SisPT</t>
        </is>
      </c>
      <c r="U127">
        <v>0</v>
      </c>
      <c r="V127" s="104">
        <v>0</v>
      </c>
      <c r="W127" t="inlineStr">
        <is>
          <t>No se ejecutó en la vigencia</t>
        </is>
      </c>
    </row>
    <row r="128">
      <c r="A128" t="inlineStr">
        <is>
          <t>IP-128</t>
        </is>
      </c>
      <c r="B128" t="inlineStr">
        <is>
          <t>22</t>
        </is>
      </c>
      <c r="C128" t="inlineStr">
        <is>
          <t>Educación</t>
        </is>
      </c>
      <c r="D128" t="inlineStr">
        <is>
          <t>2202</t>
        </is>
      </c>
      <c r="E128" t="inlineStr">
        <is>
          <t>Calidad y fomento de la educación superior</t>
        </is>
      </c>
      <c r="F128" t="inlineStr">
        <is>
          <t>2202073</t>
        </is>
      </c>
      <c r="G128" t="inlineStr">
        <is>
          <t xml:space="preserve">Servicio de fomento para la regionalización en la educación superior </t>
        </is>
      </c>
      <c r="H128" t="inlineStr">
        <is>
          <t>220207300</t>
        </is>
      </c>
      <c r="I128" t="inlineStr">
        <is>
          <t>Instituciones de educación  superior con acompañamiento en procesos de regionalización</t>
        </is>
      </c>
      <c r="J128" t="inlineStr">
        <is>
          <t>2024004250021</t>
        </is>
      </c>
      <c r="K128" t="inlineStr">
        <is>
          <t>Si</t>
        </is>
      </c>
      <c r="L128" t="inlineStr">
        <is>
          <t>Número</t>
        </is>
      </c>
      <c r="M128">
        <v>1</v>
      </c>
      <c r="N128">
        <v>0.25</v>
      </c>
      <c r="O128">
        <v>0.25</v>
      </c>
      <c r="P128">
        <v>0.25</v>
      </c>
      <c r="Q128">
        <v>0.25</v>
      </c>
      <c r="R128" t="inlineStr">
        <is>
          <t xml:space="preserve"> </t>
        </is>
      </c>
      <c r="S128" s="103" t="inlineStr">
        <is>
          <t xml:space="preserve"> </t>
        </is>
      </c>
      <c r="T128" t="inlineStr">
        <is>
          <t>No se encontró ejecución en PIIP</t>
        </is>
      </c>
      <c r="U128" t="inlineStr">
        <is>
          <t xml:space="preserve"> </t>
        </is>
      </c>
      <c r="V128" s="104" t="inlineStr">
        <is>
          <t xml:space="preserve"> </t>
        </is>
      </c>
      <c r="W128" t="inlineStr">
        <is>
          <t>No se encontró ejecución en PIIP</t>
        </is>
      </c>
    </row>
    <row r="129">
      <c r="A129" t="inlineStr">
        <is>
          <t>IP-129</t>
        </is>
      </c>
      <c r="B129" t="inlineStr">
        <is>
          <t>22</t>
        </is>
      </c>
      <c r="C129" t="inlineStr">
        <is>
          <t>Educación</t>
        </is>
      </c>
      <c r="D129" t="inlineStr">
        <is>
          <t>2202</t>
        </is>
      </c>
      <c r="E129" t="inlineStr">
        <is>
          <t>Calidad y fomento de la educación superior</t>
        </is>
      </c>
      <c r="F129" t="inlineStr">
        <is>
          <t>2202068</t>
        </is>
      </c>
      <c r="G129" t="inlineStr">
        <is>
          <t>Servicio de innovación pedagógica en la educación  superior</t>
        </is>
      </c>
      <c r="H129" t="inlineStr">
        <is>
          <t>220206800</t>
        </is>
      </c>
      <c r="I129" t="inlineStr">
        <is>
          <t>Instituciones de Educación Superior que implementan procesos de innovación pedagógica</t>
        </is>
      </c>
      <c r="J129" t="inlineStr">
        <is>
          <t>2024004250021</t>
        </is>
      </c>
      <c r="K129" t="inlineStr">
        <is>
          <t>Si</t>
        </is>
      </c>
      <c r="L129" t="inlineStr">
        <is>
          <t>Número</t>
        </is>
      </c>
      <c r="M129">
        <v>1</v>
      </c>
      <c r="N129">
        <v>0</v>
      </c>
      <c r="O129">
        <v>0.35</v>
      </c>
      <c r="P129">
        <v>0.3</v>
      </c>
      <c r="Q129">
        <v>0.35</v>
      </c>
      <c r="R129" t="inlineStr">
        <is>
          <t xml:space="preserve"> </t>
        </is>
      </c>
      <c r="S129" s="103" t="inlineStr">
        <is>
          <t xml:space="preserve"> </t>
        </is>
      </c>
      <c r="T129" t="inlineStr">
        <is>
          <t>No se encontró ejecución en PIIP</t>
        </is>
      </c>
      <c r="U129" t="inlineStr">
        <is>
          <t xml:space="preserve"> </t>
        </is>
      </c>
      <c r="V129" s="104" t="inlineStr">
        <is>
          <t xml:space="preserve"> </t>
        </is>
      </c>
      <c r="W129" t="inlineStr">
        <is>
          <t>No se encontró ejecución en PIIP</t>
        </is>
      </c>
    </row>
    <row r="130">
      <c r="A130" t="inlineStr">
        <is>
          <t>IP-130</t>
        </is>
      </c>
      <c r="B130" t="inlineStr">
        <is>
          <t>22</t>
        </is>
      </c>
      <c r="C130" t="inlineStr">
        <is>
          <t>Educación</t>
        </is>
      </c>
      <c r="D130" t="inlineStr">
        <is>
          <t>2201</t>
        </is>
      </c>
      <c r="E130" t="inlineStr">
        <is>
          <t>Calidad, cobertura y fortalecimiento de la educación inicial, prescolar, básica y media</t>
        </is>
      </c>
      <c r="F130" t="inlineStr">
        <is>
          <t>2201085</t>
        </is>
      </c>
      <c r="G130" t="inlineStr">
        <is>
          <t>Servicio de orientación socio ocupacional</t>
        </is>
      </c>
      <c r="H130" t="inlineStr">
        <is>
          <t>220108500</t>
        </is>
      </c>
      <c r="I130" t="inlineStr">
        <is>
          <t>Estudiantes vinculados a procesos de orientación socio ocupacional</t>
        </is>
      </c>
      <c r="J130" t="inlineStr">
        <is>
          <t>2024004250017</t>
        </is>
      </c>
      <c r="K130" t="inlineStr">
        <is>
          <t>Si</t>
        </is>
      </c>
      <c r="L130" t="inlineStr">
        <is>
          <t>Número</t>
        </is>
      </c>
      <c r="M130">
        <v>50</v>
      </c>
      <c r="N130">
        <v>0</v>
      </c>
      <c r="O130">
        <v>50</v>
      </c>
      <c r="P130">
        <v>50</v>
      </c>
      <c r="Q130">
        <v>50</v>
      </c>
      <c r="R130" t="inlineStr">
        <is>
          <t xml:space="preserve"> </t>
        </is>
      </c>
      <c r="S130" s="103" t="inlineStr">
        <is>
          <t xml:space="preserve"> </t>
        </is>
      </c>
      <c r="T130" t="inlineStr">
        <is>
          <t>No se encontró ejecución en PIIP</t>
        </is>
      </c>
      <c r="U130" t="inlineStr">
        <is>
          <t xml:space="preserve"> </t>
        </is>
      </c>
      <c r="V130" s="104" t="inlineStr">
        <is>
          <t xml:space="preserve"> </t>
        </is>
      </c>
      <c r="W130" t="inlineStr">
        <is>
          <t>No se encontró ejecución en PIIP</t>
        </is>
      </c>
    </row>
    <row r="131">
      <c r="A131" t="inlineStr">
        <is>
          <t>IP-131</t>
        </is>
      </c>
      <c r="B131" t="inlineStr">
        <is>
          <t>22</t>
        </is>
      </c>
      <c r="C131" t="inlineStr">
        <is>
          <t>Educación</t>
        </is>
      </c>
      <c r="D131" t="inlineStr">
        <is>
          <t>2202</t>
        </is>
      </c>
      <c r="E131" t="inlineStr">
        <is>
          <t>Calidad y fomento de la educación superior</t>
        </is>
      </c>
      <c r="F131" t="inlineStr">
        <is>
          <t>2202062</t>
        </is>
      </c>
      <c r="G131" t="inlineStr">
        <is>
          <t xml:space="preserve">Servicio de fomento para el acceso a la educación superior </t>
        </is>
      </c>
      <c r="H131" t="inlineStr">
        <is>
          <t>220206200</t>
        </is>
      </c>
      <c r="I131" t="inlineStr">
        <is>
          <t>Beneficiarios de estrategias o programas de  fomento para el acceso a la educación superior</t>
        </is>
      </c>
      <c r="J131" t="inlineStr">
        <is>
          <t>2024004250021</t>
        </is>
      </c>
      <c r="K131" t="inlineStr">
        <is>
          <t>Si</t>
        </is>
      </c>
      <c r="L131" t="inlineStr">
        <is>
          <t>Número</t>
        </is>
      </c>
      <c r="M131">
        <v>75</v>
      </c>
      <c r="N131">
        <v>0</v>
      </c>
      <c r="O131">
        <v>21</v>
      </c>
      <c r="P131">
        <v>27</v>
      </c>
      <c r="Q131">
        <v>27</v>
      </c>
      <c r="R131">
        <v>0</v>
      </c>
      <c r="S131" s="103" t="inlineStr">
        <is>
          <t xml:space="preserve"> </t>
        </is>
      </c>
      <c r="T131" t="inlineStr">
        <is>
          <t>No se programó ni ejecutó en la vigencia</t>
        </is>
      </c>
      <c r="U131" t="inlineStr">
        <is>
          <t xml:space="preserve"> </t>
        </is>
      </c>
      <c r="V131" s="104" t="inlineStr">
        <is>
          <t xml:space="preserve"> </t>
        </is>
      </c>
      <c r="W131" t="inlineStr">
        <is>
          <t>No se encontró ejecución en PIIP</t>
        </is>
      </c>
    </row>
    <row r="132">
      <c r="A132" t="inlineStr">
        <is>
          <t>IP-132</t>
        </is>
      </c>
      <c r="B132" t="inlineStr">
        <is>
          <t>22</t>
        </is>
      </c>
      <c r="C132" t="inlineStr">
        <is>
          <t>Educación</t>
        </is>
      </c>
      <c r="D132" t="inlineStr">
        <is>
          <t>2202</t>
        </is>
      </c>
      <c r="E132" t="inlineStr">
        <is>
          <t>Calidad y fomento de la educación superior</t>
        </is>
      </c>
      <c r="F132" t="inlineStr">
        <is>
          <t>2202065</t>
        </is>
      </c>
      <c r="G132" t="inlineStr">
        <is>
          <t xml:space="preserve">Servicio de apoyo financiero para el acceso y permanencia a la educación superior </t>
        </is>
      </c>
      <c r="H132" t="inlineStr">
        <is>
          <t>220206500</t>
        </is>
      </c>
      <c r="I132" t="inlineStr">
        <is>
          <t xml:space="preserve">Beneficiarios de estrategias o programas de  apoyo financiero para el acceso y permanencia en la educación superior  </t>
        </is>
      </c>
      <c r="J132" t="inlineStr">
        <is>
          <t>2024004250021</t>
        </is>
      </c>
      <c r="K132" t="inlineStr">
        <is>
          <t>Si</t>
        </is>
      </c>
      <c r="L132" t="inlineStr">
        <is>
          <t>Número</t>
        </is>
      </c>
      <c r="M132">
        <v>12000</v>
      </c>
      <c r="N132">
        <v>1314</v>
      </c>
      <c r="O132">
        <v>4217</v>
      </c>
      <c r="P132">
        <v>3329</v>
      </c>
      <c r="Q132">
        <v>3140</v>
      </c>
      <c r="R132">
        <v>0</v>
      </c>
      <c r="S132" s="103">
        <v>0</v>
      </c>
      <c r="T132" t="inlineStr">
        <is>
          <t>No se ejecutó en la vigencia</t>
        </is>
      </c>
      <c r="U132" t="inlineStr">
        <is>
          <t xml:space="preserve"> </t>
        </is>
      </c>
      <c r="V132" s="104" t="inlineStr">
        <is>
          <t xml:space="preserve"> </t>
        </is>
      </c>
      <c r="W132" t="inlineStr">
        <is>
          <t>No se encontró ejecución en PIIP</t>
        </is>
      </c>
    </row>
    <row r="133">
      <c r="A133" t="inlineStr">
        <is>
          <t>IP-133</t>
        </is>
      </c>
      <c r="B133" t="inlineStr">
        <is>
          <t>22</t>
        </is>
      </c>
      <c r="C133" t="inlineStr">
        <is>
          <t>Educación</t>
        </is>
      </c>
      <c r="D133" t="inlineStr">
        <is>
          <t>2202</t>
        </is>
      </c>
      <c r="E133" t="inlineStr">
        <is>
          <t>Calidad y fomento de la educación superior</t>
        </is>
      </c>
      <c r="F133" t="inlineStr">
        <is>
          <t>2202063</t>
        </is>
      </c>
      <c r="G133" t="inlineStr">
        <is>
          <t>Servicio de apoyo financiero para el acceso a la educación superior</t>
        </is>
      </c>
      <c r="H133" t="inlineStr">
        <is>
          <t>220206300</t>
        </is>
      </c>
      <c r="I133" t="inlineStr">
        <is>
          <t xml:space="preserve">Beneficiarios de estrategias o programas de  apoyo financiero para el acceso a la educación superior  </t>
        </is>
      </c>
      <c r="J133" t="inlineStr">
        <is>
          <t>2024004250021</t>
        </is>
      </c>
      <c r="K133" t="inlineStr">
        <is>
          <t>No</t>
        </is>
      </c>
      <c r="L133" t="inlineStr">
        <is>
          <t>Número</t>
        </is>
      </c>
      <c r="M133">
        <v>1</v>
      </c>
      <c r="N133">
        <v>1</v>
      </c>
      <c r="O133">
        <v>1</v>
      </c>
      <c r="P133">
        <v>1</v>
      </c>
      <c r="Q133">
        <v>1</v>
      </c>
      <c r="R133">
        <v>0</v>
      </c>
      <c r="S133" s="103">
        <v>0</v>
      </c>
      <c r="T133" t="inlineStr">
        <is>
          <t>No se ejecutó en la vigencia</t>
        </is>
      </c>
      <c r="U133" t="inlineStr">
        <is>
          <t xml:space="preserve"> </t>
        </is>
      </c>
      <c r="V133" s="104" t="inlineStr">
        <is>
          <t xml:space="preserve"> </t>
        </is>
      </c>
      <c r="W133" t="inlineStr">
        <is>
          <t>No se encontró ejecución en PIIP</t>
        </is>
      </c>
    </row>
    <row r="134">
      <c r="A134" t="inlineStr">
        <is>
          <t>IP-134</t>
        </is>
      </c>
      <c r="B134" t="inlineStr">
        <is>
          <t>22</t>
        </is>
      </c>
      <c r="C134" t="inlineStr">
        <is>
          <t>Educación</t>
        </is>
      </c>
      <c r="D134" t="inlineStr">
        <is>
          <t>2201</t>
        </is>
      </c>
      <c r="E134" t="inlineStr">
        <is>
          <t>Calidad, cobertura y fortalecimiento de la educación inicial, prescolar, básica y media</t>
        </is>
      </c>
      <c r="F134" t="inlineStr">
        <is>
          <t>2201044</t>
        </is>
      </c>
      <c r="G134" t="inlineStr">
        <is>
          <t>Servicios conexos a la prestación del servicio educativo oficial</t>
        </is>
      </c>
      <c r="H134" t="inlineStr">
        <is>
          <t>220104400</t>
        </is>
      </c>
      <c r="I134" t="inlineStr">
        <is>
          <t xml:space="preserve">Docentes beneficiados </t>
        </is>
      </c>
      <c r="J134" t="inlineStr">
        <is>
          <t>2024004250020</t>
        </is>
      </c>
      <c r="K134" t="inlineStr">
        <is>
          <t>No</t>
        </is>
      </c>
      <c r="L134" t="inlineStr">
        <is>
          <t>Número</t>
        </is>
      </c>
      <c r="M134">
        <v>100</v>
      </c>
      <c r="N134">
        <v>100</v>
      </c>
      <c r="O134">
        <v>100</v>
      </c>
      <c r="P134">
        <v>100</v>
      </c>
      <c r="Q134">
        <v>100</v>
      </c>
      <c r="R134">
        <v>0</v>
      </c>
      <c r="S134" s="103">
        <v>0</v>
      </c>
      <c r="T134" t="inlineStr">
        <is>
          <t>No se ejecutó en la vigencia</t>
        </is>
      </c>
      <c r="U134">
        <v>10953</v>
      </c>
      <c r="V134" s="104">
        <v>109.53</v>
      </c>
      <c r="W134" t="inlineStr">
        <is>
          <t>Hubo ejecución por encima de lo programado en SisPT</t>
        </is>
      </c>
    </row>
    <row r="135">
      <c r="A135" t="inlineStr">
        <is>
          <t>IP-135</t>
        </is>
      </c>
      <c r="B135" t="inlineStr">
        <is>
          <t>17</t>
        </is>
      </c>
      <c r="C135" t="inlineStr">
        <is>
          <t xml:space="preserve">Agricultura y desarrollo rural
</t>
        </is>
      </c>
      <c r="D135" t="inlineStr">
        <is>
          <t>1709</t>
        </is>
      </c>
      <c r="E135" t="inlineStr">
        <is>
          <t>Infraestructura productiva y comercialización</t>
        </is>
      </c>
      <c r="F135" t="inlineStr">
        <is>
          <t>1709119</t>
        </is>
      </c>
      <c r="G135" t="inlineStr">
        <is>
          <t>Servicio de repoblamiento ictiológico realizado</t>
        </is>
      </c>
      <c r="H135" t="inlineStr">
        <is>
          <t>170911900</t>
        </is>
      </c>
      <c r="I135" t="inlineStr">
        <is>
          <t>Repoblamientos realizados</t>
        </is>
      </c>
      <c r="J135" t="inlineStr">
        <is>
          <t>2024004250209</t>
        </is>
      </c>
      <c r="K135" t="inlineStr">
        <is>
          <t>Si</t>
        </is>
      </c>
      <c r="L135" t="inlineStr">
        <is>
          <t>Número</t>
        </is>
      </c>
      <c r="M135">
        <v>15</v>
      </c>
      <c r="N135">
        <v>3</v>
      </c>
      <c r="O135">
        <v>4</v>
      </c>
      <c r="P135">
        <v>4</v>
      </c>
      <c r="Q135">
        <v>4</v>
      </c>
      <c r="R135">
        <v>0</v>
      </c>
      <c r="S135" s="103">
        <v>0</v>
      </c>
      <c r="T135" t="inlineStr">
        <is>
          <t>No se ejecutó en la vigencia</t>
        </is>
      </c>
      <c r="U135">
        <v>15</v>
      </c>
      <c r="V135" s="104">
        <v>3.75</v>
      </c>
      <c r="W135" t="inlineStr">
        <is>
          <t>Hubo ejecución por encima de lo programado en SisPT</t>
        </is>
      </c>
    </row>
    <row r="136">
      <c r="A136" t="inlineStr">
        <is>
          <t>IP-136</t>
        </is>
      </c>
      <c r="B136" t="inlineStr">
        <is>
          <t>41</t>
        </is>
      </c>
      <c r="C136" t="inlineStr">
        <is>
          <t xml:space="preserve">Inclusión social y reconciliación </t>
        </is>
      </c>
      <c r="D136" t="inlineStr">
        <is>
          <t>4103</t>
        </is>
      </c>
      <c r="E136" t="inlineStr">
        <is>
          <t>Inclusión social y productiva para la población en situación de vulnerabilidad</t>
        </is>
      </c>
      <c r="F136" t="inlineStr">
        <is>
          <t>4103060</t>
        </is>
      </c>
      <c r="G136" t="inlineStr">
        <is>
          <t>Documento de lineamientos técnicos</t>
        </is>
      </c>
      <c r="H136" t="inlineStr">
        <is>
          <t>410306000</t>
        </is>
      </c>
      <c r="I136" t="inlineStr">
        <is>
          <t>Documentos de lineamientos técnicos elaborados</t>
        </is>
      </c>
      <c r="J136" t="inlineStr">
        <is>
          <t>2024004250166</t>
        </is>
      </c>
      <c r="K136" t="inlineStr">
        <is>
          <t>No</t>
        </is>
      </c>
      <c r="L136" t="inlineStr">
        <is>
          <t>Número</t>
        </is>
      </c>
      <c r="M136">
        <v>1</v>
      </c>
      <c r="N136">
        <v>1</v>
      </c>
      <c r="O136">
        <v>1</v>
      </c>
      <c r="P136">
        <v>1</v>
      </c>
      <c r="Q136">
        <v>1</v>
      </c>
      <c r="R136" t="inlineStr">
        <is>
          <t xml:space="preserve"> </t>
        </is>
      </c>
      <c r="S136" s="103" t="inlineStr">
        <is>
          <t xml:space="preserve"> </t>
        </is>
      </c>
      <c r="T136" t="inlineStr">
        <is>
          <t>No se encontró ejecución en PIIP</t>
        </is>
      </c>
      <c r="U136" t="inlineStr">
        <is>
          <t xml:space="preserve"> </t>
        </is>
      </c>
      <c r="V136" s="104" t="inlineStr">
        <is>
          <t xml:space="preserve"> </t>
        </is>
      </c>
      <c r="W136" t="inlineStr">
        <is>
          <t>No se encontró ejecución en PIIP</t>
        </is>
      </c>
    </row>
    <row r="137">
      <c r="A137" t="inlineStr">
        <is>
          <t>IP-137</t>
        </is>
      </c>
      <c r="B137" t="inlineStr">
        <is>
          <t>33</t>
        </is>
      </c>
      <c r="C137" t="inlineStr">
        <is>
          <t>Cultura</t>
        </is>
      </c>
      <c r="D137" t="inlineStr">
        <is>
          <t>3301</t>
        </is>
      </c>
      <c r="E137" t="inlineStr">
        <is>
          <t>Promoción y acceso efectivo a procesos culturales y artísticos</t>
        </is>
      </c>
      <c r="F137" t="inlineStr">
        <is>
          <t>3301051</t>
        </is>
      </c>
      <c r="G137" t="inlineStr">
        <is>
          <t>Servicio de educación informal al sector artístico y cultural</t>
        </is>
      </c>
      <c r="H137" t="inlineStr">
        <is>
          <t>330105100</t>
        </is>
      </c>
      <c r="I137" t="inlineStr">
        <is>
          <t>Personas capacitadas</t>
        </is>
      </c>
      <c r="J137" t="inlineStr">
        <is>
          <t>2024004250084</t>
        </is>
      </c>
      <c r="K137" t="inlineStr">
        <is>
          <t>No</t>
        </is>
      </c>
      <c r="L137" t="inlineStr">
        <is>
          <t>Número</t>
        </is>
      </c>
      <c r="M137">
        <v>10</v>
      </c>
      <c r="N137">
        <v>10</v>
      </c>
      <c r="O137">
        <v>10</v>
      </c>
      <c r="P137">
        <v>10</v>
      </c>
      <c r="Q137">
        <v>10</v>
      </c>
      <c r="R137">
        <v>0</v>
      </c>
      <c r="S137" s="103">
        <v>0</v>
      </c>
      <c r="T137" t="inlineStr">
        <is>
          <t>No se ejecutó en la vigencia</t>
        </is>
      </c>
      <c r="U137" t="inlineStr">
        <is>
          <t xml:space="preserve"> </t>
        </is>
      </c>
      <c r="V137" s="104" t="inlineStr">
        <is>
          <t xml:space="preserve"> </t>
        </is>
      </c>
      <c r="W137" t="inlineStr">
        <is>
          <t>No se encontró ejecución en PIIP</t>
        </is>
      </c>
    </row>
    <row r="138">
      <c r="A138" t="inlineStr">
        <is>
          <t>IP-138</t>
        </is>
      </c>
      <c r="B138" t="inlineStr">
        <is>
          <t>33</t>
        </is>
      </c>
      <c r="C138" t="inlineStr">
        <is>
          <t>Cultura</t>
        </is>
      </c>
      <c r="D138" t="inlineStr">
        <is>
          <t>3301</t>
        </is>
      </c>
      <c r="E138" t="inlineStr">
        <is>
          <t>Promoción y acceso efectivo a procesos culturales y artísticos</t>
        </is>
      </c>
      <c r="F138" t="inlineStr">
        <is>
          <t>3301054</t>
        </is>
      </c>
      <c r="G138" t="inlineStr">
        <is>
          <t>Servicio de apoyo financiero al sector artístico y cultural</t>
        </is>
      </c>
      <c r="H138" t="inlineStr">
        <is>
          <t>330105400</t>
        </is>
      </c>
      <c r="I138" t="inlineStr">
        <is>
          <t>Estímulos otorgados</t>
        </is>
      </c>
      <c r="J138" t="inlineStr">
        <is>
          <t>2024004250084</t>
        </is>
      </c>
      <c r="K138" t="inlineStr">
        <is>
          <t>Si</t>
        </is>
      </c>
      <c r="L138" t="inlineStr">
        <is>
          <t>Número</t>
        </is>
      </c>
      <c r="M138">
        <v>800</v>
      </c>
      <c r="N138">
        <v>120</v>
      </c>
      <c r="O138">
        <v>230</v>
      </c>
      <c r="P138">
        <v>230</v>
      </c>
      <c r="Q138">
        <v>220</v>
      </c>
      <c r="R138" t="inlineStr">
        <is>
          <t xml:space="preserve"> </t>
        </is>
      </c>
      <c r="S138" s="103" t="inlineStr">
        <is>
          <t xml:space="preserve"> </t>
        </is>
      </c>
      <c r="T138" t="inlineStr">
        <is>
          <t>No se encontró ejecución en PIIP</t>
        </is>
      </c>
      <c r="U138" t="inlineStr">
        <is>
          <t xml:space="preserve"> </t>
        </is>
      </c>
      <c r="V138" s="104" t="inlineStr">
        <is>
          <t xml:space="preserve"> </t>
        </is>
      </c>
      <c r="W138" t="inlineStr">
        <is>
          <t>No se encontró ejecución en PIIP</t>
        </is>
      </c>
    </row>
    <row r="139">
      <c r="A139" t="inlineStr">
        <is>
          <t>IP-139</t>
        </is>
      </c>
      <c r="B139" t="inlineStr">
        <is>
          <t>33</t>
        </is>
      </c>
      <c r="C139" t="inlineStr">
        <is>
          <t>Cultura</t>
        </is>
      </c>
      <c r="D139" t="inlineStr">
        <is>
          <t>3301</t>
        </is>
      </c>
      <c r="E139" t="inlineStr">
        <is>
          <t>Promoción y acceso efectivo a procesos culturales y artísticos</t>
        </is>
      </c>
      <c r="F139" t="inlineStr">
        <is>
          <t>3301087</t>
        </is>
      </c>
      <c r="G139" t="inlineStr">
        <is>
          <t>Servicio de educación informal en áreas artísticas y culturales</t>
        </is>
      </c>
      <c r="H139" t="inlineStr">
        <is>
          <t>330108700</t>
        </is>
      </c>
      <c r="I139" t="inlineStr">
        <is>
          <t>Cursos realizados</t>
        </is>
      </c>
      <c r="J139" t="inlineStr">
        <is>
          <t>2024004250084</t>
        </is>
      </c>
      <c r="K139" t="inlineStr">
        <is>
          <t>No</t>
        </is>
      </c>
      <c r="L139" t="inlineStr">
        <is>
          <t>Número</t>
        </is>
      </c>
      <c r="M139">
        <v>5</v>
      </c>
      <c r="N139">
        <v>5</v>
      </c>
      <c r="O139">
        <v>5</v>
      </c>
      <c r="P139">
        <v>5</v>
      </c>
      <c r="Q139">
        <v>5</v>
      </c>
      <c r="R139">
        <v>0</v>
      </c>
      <c r="S139" s="103">
        <v>0</v>
      </c>
      <c r="T139" t="inlineStr">
        <is>
          <t>No se ejecutó en la vigencia</t>
        </is>
      </c>
      <c r="U139">
        <v>10</v>
      </c>
      <c r="V139" s="104">
        <v>2</v>
      </c>
      <c r="W139" t="inlineStr">
        <is>
          <t>Hubo ejecución por encima de lo programado en SisPT</t>
        </is>
      </c>
    </row>
    <row r="140">
      <c r="A140" t="inlineStr">
        <is>
          <t>IP-140</t>
        </is>
      </c>
      <c r="B140" t="inlineStr">
        <is>
          <t>33</t>
        </is>
      </c>
      <c r="C140" t="inlineStr">
        <is>
          <t>Cultura</t>
        </is>
      </c>
      <c r="D140" t="inlineStr">
        <is>
          <t>3301</t>
        </is>
      </c>
      <c r="E140" t="inlineStr">
        <is>
          <t>Promoción y acceso efectivo a procesos culturales y artísticos</t>
        </is>
      </c>
      <c r="F140" t="inlineStr">
        <is>
          <t>3301065</t>
        </is>
      </c>
      <c r="G140" t="inlineStr">
        <is>
          <t>Servicio de asistencia técnica en asuntos de gestión de bibliotecas públicas y lectura.</t>
        </is>
      </c>
      <c r="H140" t="inlineStr">
        <is>
          <t>330106500</t>
        </is>
      </c>
      <c r="I140" t="inlineStr">
        <is>
          <t>Personas asistidas técnicamente</t>
        </is>
      </c>
      <c r="J140" t="inlineStr">
        <is>
          <t>2024004250084</t>
        </is>
      </c>
      <c r="K140" t="inlineStr">
        <is>
          <t>No</t>
        </is>
      </c>
      <c r="L140" t="inlineStr">
        <is>
          <t>Número</t>
        </is>
      </c>
      <c r="M140">
        <v>158</v>
      </c>
      <c r="N140">
        <v>158</v>
      </c>
      <c r="O140">
        <v>158</v>
      </c>
      <c r="P140">
        <v>158</v>
      </c>
      <c r="Q140">
        <v>158</v>
      </c>
      <c r="R140">
        <v>0</v>
      </c>
      <c r="S140" s="103">
        <v>0</v>
      </c>
      <c r="T140" t="inlineStr">
        <is>
          <t>No se ejecutó en la vigencia</t>
        </is>
      </c>
      <c r="U140">
        <v>72</v>
      </c>
      <c r="V140" s="104">
        <v>0.455696202531646</v>
      </c>
      <c r="W140" t="inlineStr">
        <is>
          <t>Lo ejecutado está por debajo de lo programado en la vigencia</t>
        </is>
      </c>
    </row>
    <row r="141">
      <c r="A141" t="inlineStr">
        <is>
          <t>IP-141, IP-145</t>
        </is>
      </c>
      <c r="B141" t="inlineStr">
        <is>
          <t>33</t>
        </is>
      </c>
      <c r="C141" t="inlineStr">
        <is>
          <t>Cultura</t>
        </is>
      </c>
      <c r="D141" t="inlineStr">
        <is>
          <t>3301</t>
        </is>
      </c>
      <c r="E141" t="inlineStr">
        <is>
          <t>Promoción y acceso efectivo a procesos culturales y artísticos</t>
        </is>
      </c>
      <c r="F141" t="inlineStr">
        <is>
          <t>3301053</t>
        </is>
      </c>
      <c r="G141" t="inlineStr">
        <is>
          <t>Servicio de promoción de actividades culturales</t>
        </is>
      </c>
      <c r="H141" t="inlineStr">
        <is>
          <t>330105300</t>
        </is>
      </c>
      <c r="I141" t="inlineStr">
        <is>
          <t>Eventos de promoción de actividades culturales realizados</t>
        </is>
      </c>
      <c r="J141" t="inlineStr">
        <is>
          <t>2024004250084</t>
        </is>
      </c>
      <c r="K141" t="inlineStr">
        <is>
          <t>Si</t>
        </is>
      </c>
      <c r="L141" t="inlineStr">
        <is>
          <t>Número</t>
        </is>
      </c>
      <c r="M141">
        <v>502</v>
      </c>
      <c r="N141">
        <v>65.2</v>
      </c>
      <c r="O141">
        <v>94.3</v>
      </c>
      <c r="P141">
        <v>185.7</v>
      </c>
      <c r="Q141">
        <v>130.8</v>
      </c>
      <c r="R141" t="inlineStr">
        <is>
          <t xml:space="preserve"> </t>
        </is>
      </c>
      <c r="S141" s="103" t="inlineStr">
        <is>
          <t xml:space="preserve"> </t>
        </is>
      </c>
      <c r="T141" t="inlineStr">
        <is>
          <t>No se encontró ejecución en PIIP</t>
        </is>
      </c>
      <c r="U141" t="inlineStr">
        <is>
          <t xml:space="preserve"> </t>
        </is>
      </c>
      <c r="V141" s="104" t="inlineStr">
        <is>
          <t xml:space="preserve"> </t>
        </is>
      </c>
      <c r="W141" t="inlineStr">
        <is>
          <t>No se encontró ejecución en PIIP</t>
        </is>
      </c>
    </row>
    <row r="142">
      <c r="A142" t="inlineStr">
        <is>
          <t>IP-142, IP-143</t>
        </is>
      </c>
      <c r="B142" t="inlineStr">
        <is>
          <t>33</t>
        </is>
      </c>
      <c r="C142" t="inlineStr">
        <is>
          <t>Cultura</t>
        </is>
      </c>
      <c r="D142" t="inlineStr">
        <is>
          <t>3301</t>
        </is>
      </c>
      <c r="E142" t="inlineStr">
        <is>
          <t>Promoción y acceso efectivo a procesos culturales y artísticos</t>
        </is>
      </c>
      <c r="F142" t="inlineStr">
        <is>
          <t>3301122</t>
        </is>
      </c>
      <c r="G142" t="inlineStr">
        <is>
          <t>Servicio de fomento para el acceso de la oferta cultural</t>
        </is>
      </c>
      <c r="H142" t="inlineStr">
        <is>
          <t>330112200</t>
        </is>
      </c>
      <c r="I142" t="inlineStr">
        <is>
          <t>Personas beneficiadas</t>
        </is>
      </c>
      <c r="J142" t="inlineStr">
        <is>
          <t>2024004250084</t>
        </is>
      </c>
      <c r="K142" t="inlineStr">
        <is>
          <t>Si</t>
        </is>
      </c>
      <c r="L142" t="inlineStr">
        <is>
          <t>Número</t>
        </is>
      </c>
      <c r="M142">
        <v>27</v>
      </c>
      <c r="N142">
        <v>8.1</v>
      </c>
      <c r="O142">
        <v>7.4</v>
      </c>
      <c r="P142">
        <v>7.4</v>
      </c>
      <c r="Q142">
        <v>4.1</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IP-144</t>
        </is>
      </c>
      <c r="B143" t="inlineStr">
        <is>
          <t>33</t>
        </is>
      </c>
      <c r="C143" t="inlineStr">
        <is>
          <t>Cultura</t>
        </is>
      </c>
      <c r="D143" t="inlineStr">
        <is>
          <t>3301</t>
        </is>
      </c>
      <c r="E143" t="inlineStr">
        <is>
          <t>Promoción y acceso efectivo a procesos culturales y artísticos</t>
        </is>
      </c>
      <c r="F143" t="inlineStr">
        <is>
          <t>3301095</t>
        </is>
      </c>
      <c r="G143" t="inlineStr">
        <is>
          <t>Servicio de asistencia técnica en gestión artística y cultural</t>
        </is>
      </c>
      <c r="H143" t="inlineStr">
        <is>
          <t>330109500</t>
        </is>
      </c>
      <c r="I143" t="inlineStr">
        <is>
          <t>Personas asistidas técnicamente</t>
        </is>
      </c>
      <c r="J143" t="inlineStr">
        <is>
          <t>2024004250084</t>
        </is>
      </c>
      <c r="K143" t="inlineStr">
        <is>
          <t>No</t>
        </is>
      </c>
      <c r="L143" t="inlineStr">
        <is>
          <t>Número</t>
        </is>
      </c>
      <c r="M143">
        <v>116</v>
      </c>
      <c r="N143">
        <v>116</v>
      </c>
      <c r="O143">
        <v>116</v>
      </c>
      <c r="P143">
        <v>116</v>
      </c>
      <c r="Q143">
        <v>116</v>
      </c>
      <c r="R143">
        <v>0</v>
      </c>
      <c r="S143" s="103">
        <v>0</v>
      </c>
      <c r="T143" t="inlineStr">
        <is>
          <t>No se ejecutó en la vigencia</t>
        </is>
      </c>
      <c r="U143">
        <v>4</v>
      </c>
      <c r="V143" s="104">
        <v>0.0344827586206897</v>
      </c>
      <c r="W143" t="inlineStr">
        <is>
          <t>Lo ejecutado está por debajo de lo programado en la vigencia</t>
        </is>
      </c>
    </row>
    <row r="144">
      <c r="A144" t="inlineStr">
        <is>
          <t>IP-146</t>
        </is>
      </c>
      <c r="B144" t="inlineStr">
        <is>
          <t>33</t>
        </is>
      </c>
      <c r="C144" t="inlineStr">
        <is>
          <t>Cultura</t>
        </is>
      </c>
      <c r="D144" t="inlineStr">
        <is>
          <t>3301</t>
        </is>
      </c>
      <c r="E144" t="inlineStr">
        <is>
          <t>Promoción y acceso efectivo a procesos culturales y artísticos</t>
        </is>
      </c>
      <c r="F144" t="inlineStr">
        <is>
          <t>3301064</t>
        </is>
      </c>
      <c r="G144" t="inlineStr">
        <is>
          <t>Servicio de asistencia técnica en educación artística y cultural</t>
        </is>
      </c>
      <c r="H144" t="inlineStr">
        <is>
          <t>330106400</t>
        </is>
      </c>
      <c r="I144" t="inlineStr">
        <is>
          <t>Asistencias técnicas realizadas</t>
        </is>
      </c>
      <c r="J144" t="inlineStr">
        <is>
          <t>2024004250084</t>
        </is>
      </c>
      <c r="K144" t="inlineStr">
        <is>
          <t>Si</t>
        </is>
      </c>
      <c r="L144" t="inlineStr">
        <is>
          <t>Número</t>
        </is>
      </c>
      <c r="M144">
        <v>10000</v>
      </c>
      <c r="N144">
        <v>1000</v>
      </c>
      <c r="O144">
        <v>2598</v>
      </c>
      <c r="P144">
        <v>3000</v>
      </c>
      <c r="Q144">
        <v>3000</v>
      </c>
      <c r="R144" t="inlineStr">
        <is>
          <t xml:space="preserve"> </t>
        </is>
      </c>
      <c r="S144" s="103" t="inlineStr">
        <is>
          <t xml:space="preserve"> </t>
        </is>
      </c>
      <c r="T144" t="inlineStr">
        <is>
          <t>No se encontró ejecución en PIIP</t>
        </is>
      </c>
      <c r="U144" t="inlineStr">
        <is>
          <t xml:space="preserve"> </t>
        </is>
      </c>
      <c r="V144" s="104" t="inlineStr">
        <is>
          <t xml:space="preserve"> </t>
        </is>
      </c>
      <c r="W144" t="inlineStr">
        <is>
          <t>No se encontró ejecución en PIIP</t>
        </is>
      </c>
    </row>
    <row r="145">
      <c r="A145" t="inlineStr">
        <is>
          <t>IP-147</t>
        </is>
      </c>
      <c r="B145" t="inlineStr">
        <is>
          <t>33</t>
        </is>
      </c>
      <c r="C145" t="inlineStr">
        <is>
          <t>Cultura</t>
        </is>
      </c>
      <c r="D145" t="inlineStr">
        <is>
          <t>3301</t>
        </is>
      </c>
      <c r="E145" t="inlineStr">
        <is>
          <t>Promoción y acceso efectivo a procesos culturales y artísticos</t>
        </is>
      </c>
      <c r="F145" t="inlineStr">
        <is>
          <t>3301051</t>
        </is>
      </c>
      <c r="G145" t="inlineStr">
        <is>
          <t>Servicio de educación informal al sector artístico y cultural</t>
        </is>
      </c>
      <c r="H145" t="inlineStr">
        <is>
          <t>330105100</t>
        </is>
      </c>
      <c r="I145" t="inlineStr">
        <is>
          <t>Personas capacitadas</t>
        </is>
      </c>
      <c r="J145" t="inlineStr">
        <is>
          <t>2024004250163</t>
        </is>
      </c>
      <c r="K145" t="inlineStr">
        <is>
          <t>Si</t>
        </is>
      </c>
      <c r="L145" t="inlineStr">
        <is>
          <t>Número</t>
        </is>
      </c>
      <c r="M145">
        <v>30</v>
      </c>
      <c r="N145">
        <v>3</v>
      </c>
      <c r="O145">
        <v>27</v>
      </c>
      <c r="P145">
        <v>0</v>
      </c>
      <c r="Q145">
        <v>0</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IP-148</t>
        </is>
      </c>
      <c r="B146" t="inlineStr">
        <is>
          <t>35</t>
        </is>
      </c>
      <c r="C146" t="inlineStr">
        <is>
          <t>Comercio, industria y turismo</t>
        </is>
      </c>
      <c r="D146" t="inlineStr">
        <is>
          <t>3502</t>
        </is>
      </c>
      <c r="E146" t="inlineStr">
        <is>
          <t>Productividad y competitividad de las empresas colombianas</t>
        </is>
      </c>
      <c r="F146" t="inlineStr">
        <is>
          <t>3502024</t>
        </is>
      </c>
      <c r="G146" t="inlineStr">
        <is>
          <t>Servicio de asistencia técnica para la actividad artesanal</t>
        </is>
      </c>
      <c r="H146" t="inlineStr">
        <is>
          <t>350202400</t>
        </is>
      </c>
      <c r="I146" t="inlineStr">
        <is>
          <t xml:space="preserve">Personas asistidas técnicamente </t>
        </is>
      </c>
      <c r="J146" t="inlineStr">
        <is>
          <t>2024004250229</t>
        </is>
      </c>
      <c r="K146" t="inlineStr">
        <is>
          <t>Si</t>
        </is>
      </c>
      <c r="L146" t="inlineStr">
        <is>
          <t>Número</t>
        </is>
      </c>
      <c r="M146">
        <v>120</v>
      </c>
      <c r="N146">
        <v>10</v>
      </c>
      <c r="O146">
        <v>30</v>
      </c>
      <c r="P146">
        <v>40</v>
      </c>
      <c r="Q146">
        <v>40</v>
      </c>
      <c r="R146">
        <v>10</v>
      </c>
      <c r="S146" s="103">
        <v>1</v>
      </c>
      <c r="T146" t="inlineStr">
        <is>
          <t>Se ejecutó el 100% de lo programado en la vigencia</t>
        </is>
      </c>
      <c r="U146">
        <v>14</v>
      </c>
      <c r="V146" s="104">
        <v>0.466666666666667</v>
      </c>
      <c r="W146" t="inlineStr">
        <is>
          <t>Lo ejecutado está por debajo de lo programado en la vigencia</t>
        </is>
      </c>
    </row>
    <row r="147">
      <c r="A147" t="inlineStr">
        <is>
          <t>IP-149</t>
        </is>
      </c>
      <c r="B147" t="inlineStr">
        <is>
          <t>43</t>
        </is>
      </c>
      <c r="C147" t="inlineStr">
        <is>
          <t>Deporte y Recreación</t>
        </is>
      </c>
      <c r="D147" t="inlineStr">
        <is>
          <t>4302</t>
        </is>
      </c>
      <c r="E147" t="inlineStr">
        <is>
          <t>Formación y preparación de deportistas</t>
        </is>
      </c>
      <c r="F147" t="inlineStr">
        <is>
          <t>4302001</t>
        </is>
      </c>
      <c r="G147" t="inlineStr">
        <is>
          <t>Servicio de preparación deportiva</t>
        </is>
      </c>
      <c r="H147" t="inlineStr">
        <is>
          <t>430200100</t>
        </is>
      </c>
      <c r="I147" t="inlineStr">
        <is>
          <t>Atletas preparados</t>
        </is>
      </c>
      <c r="J147" t="inlineStr">
        <is>
          <t>2024004250136</t>
        </is>
      </c>
      <c r="K147" t="inlineStr">
        <is>
          <t>No</t>
        </is>
      </c>
      <c r="L147" t="inlineStr">
        <is>
          <t>Número</t>
        </is>
      </c>
      <c r="M147">
        <v>1000</v>
      </c>
      <c r="N147">
        <v>1000</v>
      </c>
      <c r="O147">
        <v>1000</v>
      </c>
      <c r="P147">
        <v>1000</v>
      </c>
      <c r="Q147">
        <v>1000</v>
      </c>
      <c r="R147" t="inlineStr">
        <is>
          <t xml:space="preserve"> </t>
        </is>
      </c>
      <c r="S147" s="103" t="inlineStr">
        <is>
          <t xml:space="preserve"> </t>
        </is>
      </c>
      <c r="T147" t="inlineStr">
        <is>
          <t>No se encontró ejecución en PIIP</t>
        </is>
      </c>
      <c r="U147" t="inlineStr">
        <is>
          <t xml:space="preserve"> </t>
        </is>
      </c>
      <c r="V147" s="104" t="inlineStr">
        <is>
          <t xml:space="preserve"> </t>
        </is>
      </c>
      <c r="W147" t="inlineStr">
        <is>
          <t>No se encontró ejecución en PIIP</t>
        </is>
      </c>
    </row>
    <row r="148">
      <c r="A148" t="inlineStr">
        <is>
          <t>IP-150</t>
        </is>
      </c>
      <c r="B148" t="inlineStr">
        <is>
          <t>43</t>
        </is>
      </c>
      <c r="C148" t="inlineStr">
        <is>
          <t>Deporte y Recreación</t>
        </is>
      </c>
      <c r="D148" t="inlineStr">
        <is>
          <t>4302</t>
        </is>
      </c>
      <c r="E148" t="inlineStr">
        <is>
          <t>Formación y preparación de deportistas</t>
        </is>
      </c>
      <c r="F148" t="inlineStr">
        <is>
          <t>4302002</t>
        </is>
      </c>
      <c r="G148" t="inlineStr">
        <is>
          <t>Servicio de apoyo financiero a atletas</t>
        </is>
      </c>
      <c r="H148" t="inlineStr">
        <is>
          <t>430200200</t>
        </is>
      </c>
      <c r="I148" t="inlineStr">
        <is>
          <t>Estímulos entregados</t>
        </is>
      </c>
      <c r="J148" t="inlineStr">
        <is>
          <t>2024004250136</t>
        </is>
      </c>
      <c r="K148" t="inlineStr">
        <is>
          <t>No</t>
        </is>
      </c>
      <c r="L148" t="inlineStr">
        <is>
          <t>Número</t>
        </is>
      </c>
      <c r="M148">
        <v>1000</v>
      </c>
      <c r="N148">
        <v>1000</v>
      </c>
      <c r="O148">
        <v>1000</v>
      </c>
      <c r="P148">
        <v>1000</v>
      </c>
      <c r="Q148">
        <v>1000</v>
      </c>
      <c r="R148" t="inlineStr">
        <is>
          <t xml:space="preserve"> </t>
        </is>
      </c>
      <c r="S148" s="103" t="inlineStr">
        <is>
          <t xml:space="preserve"> </t>
        </is>
      </c>
      <c r="T148" t="inlineStr">
        <is>
          <t>No se encontró ejecución en PIIP</t>
        </is>
      </c>
      <c r="U148" t="inlineStr">
        <is>
          <t xml:space="preserve"> </t>
        </is>
      </c>
      <c r="V148" s="104" t="inlineStr">
        <is>
          <t xml:space="preserve"> </t>
        </is>
      </c>
      <c r="W148" t="inlineStr">
        <is>
          <t>No se encontró ejecución en PIIP</t>
        </is>
      </c>
    </row>
    <row r="149">
      <c r="A149" t="inlineStr">
        <is>
          <t>IP-151, IP-155</t>
        </is>
      </c>
      <c r="B149" t="inlineStr">
        <is>
          <t>43</t>
        </is>
      </c>
      <c r="C149" t="inlineStr">
        <is>
          <t>Deporte y Recreación</t>
        </is>
      </c>
      <c r="D149" t="inlineStr">
        <is>
          <t>4302</t>
        </is>
      </c>
      <c r="E149" t="inlineStr">
        <is>
          <t>Formación y preparación de deportistas</t>
        </is>
      </c>
      <c r="F149" t="inlineStr">
        <is>
          <t>4302004</t>
        </is>
      </c>
      <c r="G149" t="inlineStr">
        <is>
          <t>Servicio de organización de eventos deportivos de alto rendimiento</t>
        </is>
      </c>
      <c r="H149" t="inlineStr">
        <is>
          <t>430200400</t>
        </is>
      </c>
      <c r="I149" t="inlineStr">
        <is>
          <t xml:space="preserve">Deportistas que participan en eventos deportivos de alto rendimiento con sede en Colombia </t>
        </is>
      </c>
      <c r="J149" t="inlineStr">
        <is>
          <t>2024004250136</t>
        </is>
      </c>
      <c r="K149" t="inlineStr">
        <is>
          <t>Si</t>
        </is>
      </c>
      <c r="L149" t="inlineStr">
        <is>
          <t>Número</t>
        </is>
      </c>
      <c r="M149">
        <v>4750</v>
      </c>
      <c r="N149">
        <v>430</v>
      </c>
      <c r="O149">
        <v>4207</v>
      </c>
      <c r="P149">
        <v>57</v>
      </c>
      <c r="Q149">
        <v>56</v>
      </c>
      <c r="R149">
        <v>0</v>
      </c>
      <c r="S149" s="103">
        <v>0</v>
      </c>
      <c r="T149" t="inlineStr">
        <is>
          <t>No se ejecutó en la vigencia</t>
        </is>
      </c>
      <c r="U149" t="inlineStr">
        <is>
          <t xml:space="preserve"> </t>
        </is>
      </c>
      <c r="V149" s="104" t="inlineStr">
        <is>
          <t xml:space="preserve"> </t>
        </is>
      </c>
      <c r="W149" t="inlineStr">
        <is>
          <t>No se encontró ejecución en PIIP</t>
        </is>
      </c>
    </row>
    <row r="150">
      <c r="A150" t="inlineStr">
        <is>
          <t>IP-152, IP-162</t>
        </is>
      </c>
      <c r="B150" t="inlineStr">
        <is>
          <t>43</t>
        </is>
      </c>
      <c r="C150" t="inlineStr">
        <is>
          <t>Deporte y Recreación</t>
        </is>
      </c>
      <c r="D150" t="inlineStr">
        <is>
          <t>4301</t>
        </is>
      </c>
      <c r="E150" t="inlineStr">
        <is>
          <t>Fomento a la recreación, la actividad física y el deporte para desarrollar entornos de convivencia y paz</t>
        </is>
      </c>
      <c r="F150" t="inlineStr">
        <is>
          <t>4301038</t>
        </is>
      </c>
      <c r="G150" t="inlineStr">
        <is>
          <t>Servicio de organización de eventos recreativos comunitarios</t>
        </is>
      </c>
      <c r="H150" t="inlineStr">
        <is>
          <t>430103800</t>
        </is>
      </c>
      <c r="I150" t="inlineStr">
        <is>
          <t>Personas beneficiadas</t>
        </is>
      </c>
      <c r="J150" t="inlineStr">
        <is>
          <t>2024004250106</t>
        </is>
      </c>
      <c r="K150" t="inlineStr">
        <is>
          <t>Si</t>
        </is>
      </c>
      <c r="L150" t="inlineStr">
        <is>
          <t>Número</t>
        </is>
      </c>
      <c r="M150">
        <v>6</v>
      </c>
      <c r="N150">
        <v>1.5</v>
      </c>
      <c r="O150">
        <v>1.5</v>
      </c>
      <c r="P150">
        <v>1.5</v>
      </c>
      <c r="Q150">
        <v>1.5</v>
      </c>
      <c r="R150" t="inlineStr">
        <is>
          <t xml:space="preserve"> </t>
        </is>
      </c>
      <c r="S150" s="103" t="inlineStr">
        <is>
          <t xml:space="preserve"> </t>
        </is>
      </c>
      <c r="T150" t="inlineStr">
        <is>
          <t>No se encontró ejecución en PIIP</t>
        </is>
      </c>
      <c r="U150" t="inlineStr">
        <is>
          <t xml:space="preserve"> </t>
        </is>
      </c>
      <c r="V150" s="104" t="inlineStr">
        <is>
          <t xml:space="preserve"> </t>
        </is>
      </c>
      <c r="W150" t="inlineStr">
        <is>
          <t>No se encontró ejecución en PIIP</t>
        </is>
      </c>
    </row>
    <row r="151">
      <c r="A151" t="inlineStr">
        <is>
          <t>IP-153</t>
        </is>
      </c>
      <c r="B151" t="inlineStr">
        <is>
          <t>43</t>
        </is>
      </c>
      <c r="C151" t="inlineStr">
        <is>
          <t>Deporte y Recreación</t>
        </is>
      </c>
      <c r="D151" t="inlineStr">
        <is>
          <t>4302</t>
        </is>
      </c>
      <c r="E151" t="inlineStr">
        <is>
          <t>Formación y preparación de deportistas</t>
        </is>
      </c>
      <c r="F151" t="inlineStr">
        <is>
          <t>4302073</t>
        </is>
      </c>
      <c r="G151" t="inlineStr">
        <is>
          <t>Servicio de identificación de talentos deportivos</t>
        </is>
      </c>
      <c r="H151" t="inlineStr">
        <is>
          <t>430207300</t>
        </is>
      </c>
      <c r="I151" t="inlineStr">
        <is>
          <t>Personas con talento deportivo identificadas</t>
        </is>
      </c>
      <c r="J151" t="inlineStr">
        <is>
          <t>2024004250136</t>
        </is>
      </c>
      <c r="K151" t="inlineStr">
        <is>
          <t>Si</t>
        </is>
      </c>
      <c r="L151" t="inlineStr">
        <is>
          <t>Número</t>
        </is>
      </c>
      <c r="M151">
        <v>6000</v>
      </c>
      <c r="N151">
        <v>1500</v>
      </c>
      <c r="O151">
        <v>1500</v>
      </c>
      <c r="P151">
        <v>1500</v>
      </c>
      <c r="Q151">
        <v>1500</v>
      </c>
      <c r="R151">
        <v>0</v>
      </c>
      <c r="S151" s="103">
        <v>0</v>
      </c>
      <c r="T151" t="inlineStr">
        <is>
          <t>No se ejecutó en la vigencia</t>
        </is>
      </c>
      <c r="U151" t="inlineStr">
        <is>
          <t xml:space="preserve"> </t>
        </is>
      </c>
      <c r="V151" s="104" t="inlineStr">
        <is>
          <t xml:space="preserve"> </t>
        </is>
      </c>
      <c r="W151" t="inlineStr">
        <is>
          <t>No se encontró ejecución en PIIP</t>
        </is>
      </c>
    </row>
    <row r="152">
      <c r="A152" t="inlineStr">
        <is>
          <t>IP-154</t>
        </is>
      </c>
      <c r="B152" t="inlineStr">
        <is>
          <t>43</t>
        </is>
      </c>
      <c r="C152" t="inlineStr">
        <is>
          <t>Deporte y Recreación</t>
        </is>
      </c>
      <c r="D152" t="inlineStr">
        <is>
          <t>4302</t>
        </is>
      </c>
      <c r="E152" t="inlineStr">
        <is>
          <t>Formación y preparación de deportistas</t>
        </is>
      </c>
      <c r="F152" t="inlineStr">
        <is>
          <t>4302004</t>
        </is>
      </c>
      <c r="G152" t="inlineStr">
        <is>
          <t>Servicio de organización de eventos deportivos de alto rendimiento</t>
        </is>
      </c>
      <c r="H152" t="inlineStr">
        <is>
          <t>430200400</t>
        </is>
      </c>
      <c r="I152" t="inlineStr">
        <is>
          <t xml:space="preserve">Deportistas que participan en eventos deportivos de alto rendimiento con sede en Colombia </t>
        </is>
      </c>
      <c r="J152" t="inlineStr">
        <is>
          <t>2024004250135</t>
        </is>
      </c>
      <c r="K152" t="inlineStr">
        <is>
          <t>Si</t>
        </is>
      </c>
      <c r="L152" t="inlineStr">
        <is>
          <t>Número</t>
        </is>
      </c>
      <c r="M152">
        <v>10</v>
      </c>
      <c r="N152">
        <v>4</v>
      </c>
      <c r="O152">
        <v>3</v>
      </c>
      <c r="P152">
        <v>2</v>
      </c>
      <c r="Q152">
        <v>1</v>
      </c>
      <c r="R152">
        <v>0</v>
      </c>
      <c r="S152" s="103">
        <v>0</v>
      </c>
      <c r="T152" t="inlineStr">
        <is>
          <t>No se ejecutó en la vigencia</t>
        </is>
      </c>
      <c r="U152" t="inlineStr">
        <is>
          <t xml:space="preserve"> </t>
        </is>
      </c>
      <c r="V152" s="104" t="inlineStr">
        <is>
          <t xml:space="preserve"> </t>
        </is>
      </c>
      <c r="W152" t="inlineStr">
        <is>
          <t>No se encontró ejecución en PIIP</t>
        </is>
      </c>
    </row>
    <row r="153">
      <c r="A153" t="inlineStr">
        <is>
          <t>IP-156, IP-157, IP-159</t>
        </is>
      </c>
      <c r="B153" t="inlineStr">
        <is>
          <t>43</t>
        </is>
      </c>
      <c r="C153" t="inlineStr">
        <is>
          <t>Deporte y Recreación</t>
        </is>
      </c>
      <c r="D153" t="inlineStr">
        <is>
          <t>4301</t>
        </is>
      </c>
      <c r="E153" t="inlineStr">
        <is>
          <t>Fomento a la recreación, la actividad física y el deporte para desarrollar entornos de convivencia y paz</t>
        </is>
      </c>
      <c r="F153" t="inlineStr">
        <is>
          <t>4301037</t>
        </is>
      </c>
      <c r="G153" t="inlineStr">
        <is>
          <t>Servicio de promoción de la actividad física, la recreación y el deporte</t>
        </is>
      </c>
      <c r="H153" t="inlineStr">
        <is>
          <t>430103700</t>
        </is>
      </c>
      <c r="I153" t="inlineStr">
        <is>
          <t>Personas que acceden a servicios deportivos, recreativos y de actividad física</t>
        </is>
      </c>
      <c r="J153" t="inlineStr">
        <is>
          <t>2024004250106</t>
        </is>
      </c>
      <c r="K153" t="inlineStr">
        <is>
          <t>Si</t>
        </is>
      </c>
      <c r="L153" t="inlineStr">
        <is>
          <t>Número</t>
        </is>
      </c>
      <c r="M153">
        <v>912516</v>
      </c>
      <c r="N153">
        <v>201329</v>
      </c>
      <c r="O153">
        <v>237062</v>
      </c>
      <c r="P153">
        <v>237062</v>
      </c>
      <c r="Q153">
        <v>237063</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A154" t="inlineStr">
        <is>
          <t>IP-158</t>
        </is>
      </c>
      <c r="B154" t="inlineStr">
        <is>
          <t>43</t>
        </is>
      </c>
      <c r="C154" t="inlineStr">
        <is>
          <t>Deporte y Recreación</t>
        </is>
      </c>
      <c r="D154" t="inlineStr">
        <is>
          <t>4301</t>
        </is>
      </c>
      <c r="E154" t="inlineStr">
        <is>
          <t>Fomento a la recreación, la actividad física y el deporte para desarrollar entornos de convivencia y paz</t>
        </is>
      </c>
      <c r="F154" t="inlineStr">
        <is>
          <t>4301007</t>
        </is>
      </c>
      <c r="G154" t="inlineStr">
        <is>
          <t>Servicio de Escuelas Deportivas</t>
        </is>
      </c>
      <c r="H154" t="inlineStr">
        <is>
          <t>430100700</t>
        </is>
      </c>
      <c r="I154" t="inlineStr">
        <is>
          <t>Niños, niñas, adolescentes y jóvenes inscritos en Escuelas Deportivas</t>
        </is>
      </c>
      <c r="J154" t="inlineStr">
        <is>
          <t>2024004250106</t>
        </is>
      </c>
      <c r="K154" t="inlineStr">
        <is>
          <t>Si</t>
        </is>
      </c>
      <c r="L154" t="inlineStr">
        <is>
          <t>Número</t>
        </is>
      </c>
      <c r="M154">
        <v>100000</v>
      </c>
      <c r="N154">
        <v>25000</v>
      </c>
      <c r="O154">
        <v>25000</v>
      </c>
      <c r="P154">
        <v>25000</v>
      </c>
      <c r="Q154">
        <v>25000</v>
      </c>
      <c r="R154">
        <v>22000</v>
      </c>
      <c r="S154" s="103">
        <v>0.88</v>
      </c>
      <c r="T154" t="inlineStr">
        <is>
          <t>Lo ejecutado está por debajo de lo programado en la vigencia</t>
        </is>
      </c>
      <c r="U154">
        <v>0</v>
      </c>
      <c r="V154" s="104">
        <v>0</v>
      </c>
      <c r="W154" t="inlineStr">
        <is>
          <t>No se ejecutó en la vigencia</t>
        </is>
      </c>
    </row>
    <row r="155">
      <c r="A155" t="inlineStr">
        <is>
          <t>IP-160</t>
        </is>
      </c>
      <c r="B155" t="inlineStr">
        <is>
          <t>43</t>
        </is>
      </c>
      <c r="C155" t="inlineStr">
        <is>
          <t>Deporte y Recreación</t>
        </is>
      </c>
      <c r="D155" t="inlineStr">
        <is>
          <t>4301</t>
        </is>
      </c>
      <c r="E155" t="inlineStr">
        <is>
          <t>Fomento a la recreación, la actividad física y el deporte para desarrollar entornos de convivencia y paz</t>
        </is>
      </c>
      <c r="F155" t="inlineStr">
        <is>
          <t>4301037</t>
        </is>
      </c>
      <c r="G155" t="inlineStr">
        <is>
          <t>Servicio de promoción de la actividad física, la recreación y el deporte</t>
        </is>
      </c>
      <c r="H155" t="inlineStr">
        <is>
          <t>430103700</t>
        </is>
      </c>
      <c r="I155" t="inlineStr">
        <is>
          <t>Personas que acceden a servicios deportivos, recreativos y de actividad física</t>
        </is>
      </c>
      <c r="J155" t="inlineStr">
        <is>
          <t>2024004250106</t>
        </is>
      </c>
      <c r="K155" t="inlineStr">
        <is>
          <t>No</t>
        </is>
      </c>
      <c r="L155" t="inlineStr">
        <is>
          <t>Número</t>
        </is>
      </c>
      <c r="M155">
        <v>35000</v>
      </c>
      <c r="N155">
        <v>35000</v>
      </c>
      <c r="O155">
        <v>35000</v>
      </c>
      <c r="P155">
        <v>35000</v>
      </c>
      <c r="Q155">
        <v>35000</v>
      </c>
      <c r="R155" t="inlineStr">
        <is>
          <t xml:space="preserve"> </t>
        </is>
      </c>
      <c r="S155" s="103" t="inlineStr">
        <is>
          <t xml:space="preserve"> </t>
        </is>
      </c>
      <c r="T155" t="inlineStr">
        <is>
          <t>No se encontró ejecución en PIIP</t>
        </is>
      </c>
      <c r="U155" t="inlineStr">
        <is>
          <t xml:space="preserve"> </t>
        </is>
      </c>
      <c r="V155" s="104" t="inlineStr">
        <is>
          <t xml:space="preserve"> </t>
        </is>
      </c>
      <c r="W155" t="inlineStr">
        <is>
          <t>No se encontró ejecución en PIIP</t>
        </is>
      </c>
    </row>
    <row r="156">
      <c r="A156" t="inlineStr">
        <is>
          <t>IP-161</t>
        </is>
      </c>
      <c r="B156" t="inlineStr">
        <is>
          <t>43</t>
        </is>
      </c>
      <c r="C156" t="inlineStr">
        <is>
          <t>Deporte y Recreación</t>
        </is>
      </c>
      <c r="D156" t="inlineStr">
        <is>
          <t>4302</t>
        </is>
      </c>
      <c r="E156" t="inlineStr">
        <is>
          <t>Formación y preparación de deportistas</t>
        </is>
      </c>
      <c r="F156" t="inlineStr">
        <is>
          <t>4302007</t>
        </is>
      </c>
      <c r="G156" t="inlineStr">
        <is>
          <t>Documentos de investigación</t>
        </is>
      </c>
      <c r="H156" t="inlineStr">
        <is>
          <t>430200700</t>
        </is>
      </c>
      <c r="I156" t="inlineStr">
        <is>
          <t>Documentos de investigación realizados</t>
        </is>
      </c>
      <c r="J156" t="inlineStr">
        <is>
          <t>2024004250135</t>
        </is>
      </c>
      <c r="K156" t="inlineStr">
        <is>
          <t>Si</t>
        </is>
      </c>
      <c r="L156" t="inlineStr">
        <is>
          <t>Número</t>
        </is>
      </c>
      <c r="M156">
        <v>1</v>
      </c>
      <c r="N156">
        <v>0.4</v>
      </c>
      <c r="O156">
        <v>0.4</v>
      </c>
      <c r="P156">
        <v>0.1</v>
      </c>
      <c r="Q156">
        <v>0.1</v>
      </c>
      <c r="R156" t="inlineStr">
        <is>
          <t xml:space="preserve"> </t>
        </is>
      </c>
      <c r="S156" s="103" t="inlineStr">
        <is>
          <t xml:space="preserve"> </t>
        </is>
      </c>
      <c r="T156" t="inlineStr">
        <is>
          <t>No se encontró ejecución en PIIP</t>
        </is>
      </c>
      <c r="U156" t="inlineStr">
        <is>
          <t xml:space="preserve"> </t>
        </is>
      </c>
      <c r="V156" s="104" t="inlineStr">
        <is>
          <t xml:space="preserve"> </t>
        </is>
      </c>
      <c r="W156" t="inlineStr">
        <is>
          <t>No se encontró ejecución en PIIP</t>
        </is>
      </c>
    </row>
    <row r="157">
      <c r="A157" t="inlineStr">
        <is>
          <t>IP-163</t>
        </is>
      </c>
      <c r="B157" t="inlineStr">
        <is>
          <t>43</t>
        </is>
      </c>
      <c r="C157" t="inlineStr">
        <is>
          <t>Deporte y Recreación</t>
        </is>
      </c>
      <c r="D157" t="inlineStr">
        <is>
          <t>4302</t>
        </is>
      </c>
      <c r="E157" t="inlineStr">
        <is>
          <t>Formación y preparación de deportistas</t>
        </is>
      </c>
      <c r="F157" t="inlineStr">
        <is>
          <t>4302075</t>
        </is>
      </c>
      <c r="G157" t="inlineStr">
        <is>
          <t>Servicio de asistencia técnica para la promoción del deporte</t>
        </is>
      </c>
      <c r="H157" t="inlineStr">
        <is>
          <t>430207500</t>
        </is>
      </c>
      <c r="I157" t="inlineStr">
        <is>
          <t xml:space="preserve">Organismos deportivos asistidos </t>
        </is>
      </c>
      <c r="J157" t="inlineStr">
        <is>
          <t>2024004250135</t>
        </is>
      </c>
      <c r="K157" t="inlineStr">
        <is>
          <t>Si</t>
        </is>
      </c>
      <c r="L157" t="inlineStr">
        <is>
          <t>Número</t>
        </is>
      </c>
      <c r="M157">
        <v>150</v>
      </c>
      <c r="N157">
        <v>35</v>
      </c>
      <c r="O157">
        <v>45</v>
      </c>
      <c r="P157">
        <v>51</v>
      </c>
      <c r="Q157">
        <v>19</v>
      </c>
      <c r="R157">
        <v>0</v>
      </c>
      <c r="S157" s="103">
        <v>0</v>
      </c>
      <c r="T157" t="inlineStr">
        <is>
          <t>No se ejecutó en la vigencia</t>
        </is>
      </c>
      <c r="U157" t="inlineStr">
        <is>
          <t xml:space="preserve"> </t>
        </is>
      </c>
      <c r="V157" s="104" t="inlineStr">
        <is>
          <t xml:space="preserve"> </t>
        </is>
      </c>
      <c r="W157" t="inlineStr">
        <is>
          <t>No se encontró ejecución en PIIP</t>
        </is>
      </c>
    </row>
    <row r="158">
      <c r="A158" t="inlineStr">
        <is>
          <t>IP-164</t>
        </is>
      </c>
      <c r="B158" t="inlineStr">
        <is>
          <t>43</t>
        </is>
      </c>
      <c r="C158" t="inlineStr">
        <is>
          <t>Deporte y Recreación</t>
        </is>
      </c>
      <c r="D158" t="inlineStr">
        <is>
          <t>4302</t>
        </is>
      </c>
      <c r="E158" t="inlineStr">
        <is>
          <t>Formación y preparación de deportistas</t>
        </is>
      </c>
      <c r="F158" t="inlineStr">
        <is>
          <t>4302001</t>
        </is>
      </c>
      <c r="G158" t="inlineStr">
        <is>
          <t>Servicio de preparación deportiva</t>
        </is>
      </c>
      <c r="H158" t="inlineStr">
        <is>
          <t>430200100</t>
        </is>
      </c>
      <c r="I158" t="inlineStr">
        <is>
          <t>Atletas preparados</t>
        </is>
      </c>
      <c r="J158" t="inlineStr">
        <is>
          <t>2024004250135</t>
        </is>
      </c>
      <c r="K158" t="inlineStr">
        <is>
          <t>Si</t>
        </is>
      </c>
      <c r="L158" t="inlineStr">
        <is>
          <t>Número</t>
        </is>
      </c>
      <c r="M158">
        <v>10</v>
      </c>
      <c r="N158">
        <v>2</v>
      </c>
      <c r="O158">
        <v>3</v>
      </c>
      <c r="P158">
        <v>3</v>
      </c>
      <c r="Q158">
        <v>2</v>
      </c>
      <c r="R158">
        <v>0</v>
      </c>
      <c r="S158" s="103">
        <v>0</v>
      </c>
      <c r="T158" t="inlineStr">
        <is>
          <t>No se ejecutó en la vigencia</t>
        </is>
      </c>
      <c r="U158" t="inlineStr">
        <is>
          <t xml:space="preserve"> </t>
        </is>
      </c>
      <c r="V158" s="104" t="inlineStr">
        <is>
          <t xml:space="preserve"> </t>
        </is>
      </c>
      <c r="W158" t="inlineStr">
        <is>
          <t>No se encontró ejecución en PIIP</t>
        </is>
      </c>
    </row>
    <row r="159">
      <c r="A159" t="inlineStr">
        <is>
          <t>IP-165</t>
        </is>
      </c>
      <c r="B159" t="inlineStr">
        <is>
          <t>22</t>
        </is>
      </c>
      <c r="C159" t="inlineStr">
        <is>
          <t>Educación</t>
        </is>
      </c>
      <c r="D159" t="inlineStr">
        <is>
          <t>2201</t>
        </is>
      </c>
      <c r="E159" t="inlineStr">
        <is>
          <t>Calidad, cobertura y fortalecimiento de la educación inicial, prescolar, básica y media</t>
        </is>
      </c>
      <c r="F159" t="inlineStr">
        <is>
          <t>2201047</t>
        </is>
      </c>
      <c r="G159" t="inlineStr">
        <is>
          <t>Servicios de apoyo a la implementación de modelos de innovación educativa</t>
        </is>
      </c>
      <c r="H159" t="inlineStr">
        <is>
          <t>220104700</t>
        </is>
      </c>
      <c r="I159" t="inlineStr">
        <is>
          <t xml:space="preserve">Establecimientos educativos apoyados para la  implementación de modelos de innovación educativa </t>
        </is>
      </c>
      <c r="J159" t="inlineStr">
        <is>
          <t>2024004250017</t>
        </is>
      </c>
      <c r="K159" t="inlineStr">
        <is>
          <t>Si</t>
        </is>
      </c>
      <c r="L159" t="inlineStr">
        <is>
          <t>Número</t>
        </is>
      </c>
      <c r="M159">
        <v>30</v>
      </c>
      <c r="N159">
        <v>10</v>
      </c>
      <c r="O159">
        <v>12</v>
      </c>
      <c r="P159">
        <v>8</v>
      </c>
      <c r="Q159">
        <v>0</v>
      </c>
      <c r="R159" t="inlineStr">
        <is>
          <t xml:space="preserve"> </t>
        </is>
      </c>
      <c r="S159" s="103" t="inlineStr">
        <is>
          <t xml:space="preserve"> </t>
        </is>
      </c>
      <c r="T159" t="inlineStr">
        <is>
          <t>No se encontró ejecución en PIIP</t>
        </is>
      </c>
      <c r="U159" t="inlineStr">
        <is>
          <t xml:space="preserve"> </t>
        </is>
      </c>
      <c r="V159" s="104" t="inlineStr">
        <is>
          <t xml:space="preserve"> </t>
        </is>
      </c>
      <c r="W159" t="inlineStr">
        <is>
          <t>No se encontró ejecución en PIIP</t>
        </is>
      </c>
    </row>
    <row r="160">
      <c r="A160" t="inlineStr">
        <is>
          <t>IP-166</t>
        </is>
      </c>
      <c r="B160" t="inlineStr">
        <is>
          <t>12</t>
        </is>
      </c>
      <c r="C160" t="inlineStr">
        <is>
          <t>Justicia y del derecho</t>
        </is>
      </c>
      <c r="D160" t="inlineStr">
        <is>
          <t>1203</t>
        </is>
      </c>
      <c r="E160" t="inlineStr">
        <is>
          <t>Promoción de los métodos de resolución de conflictos</t>
        </is>
      </c>
      <c r="F160" t="inlineStr">
        <is>
          <t>1203004</t>
        </is>
      </c>
      <c r="G160" t="inlineStr">
        <is>
          <t>Documentos de planeación</t>
        </is>
      </c>
      <c r="H160" t="inlineStr">
        <is>
          <t>120300400</t>
        </is>
      </c>
      <c r="I160" t="inlineStr">
        <is>
          <t>Documentos de planeación realizados</t>
        </is>
      </c>
      <c r="J160" t="inlineStr">
        <is>
          <t>2024004250140</t>
        </is>
      </c>
      <c r="K160" t="inlineStr">
        <is>
          <t>Si</t>
        </is>
      </c>
      <c r="L160" t="inlineStr">
        <is>
          <t>Número</t>
        </is>
      </c>
      <c r="M160">
        <v>1</v>
      </c>
      <c r="N160">
        <v>0.2</v>
      </c>
      <c r="O160">
        <v>0.4</v>
      </c>
      <c r="P160">
        <v>0.3</v>
      </c>
      <c r="Q160">
        <v>0.1</v>
      </c>
      <c r="R160">
        <v>0.5</v>
      </c>
      <c r="S160" s="103">
        <v>2.5</v>
      </c>
      <c r="T160" t="inlineStr">
        <is>
          <t>Hubo ejecución por encima de lo programado en SisPT</t>
        </is>
      </c>
      <c r="U160">
        <v>0.22</v>
      </c>
      <c r="V160" s="104">
        <v>0.55</v>
      </c>
      <c r="W160" t="inlineStr">
        <is>
          <t>Lo ejecutado está por debajo de lo programado en la vigencia</t>
        </is>
      </c>
    </row>
    <row r="161">
      <c r="A161" t="inlineStr">
        <is>
          <t>IP-167</t>
        </is>
      </c>
      <c r="B161" t="inlineStr">
        <is>
          <t>45</t>
        </is>
      </c>
      <c r="C161" t="inlineStr">
        <is>
          <t>Gobierno Territorial</t>
        </is>
      </c>
      <c r="D161" t="inlineStr">
        <is>
          <t>4501</t>
        </is>
      </c>
      <c r="E161" t="inlineStr">
        <is>
          <t>Fortalecimiento de la convivencia y la seguridad ciudadana</t>
        </is>
      </c>
      <c r="F161" t="inlineStr">
        <is>
          <t>4501004</t>
        </is>
      </c>
      <c r="G161" t="inlineStr">
        <is>
          <t>Servicio de promoción de convivencia y no repetición</t>
        </is>
      </c>
      <c r="H161" t="inlineStr">
        <is>
          <t>450100400</t>
        </is>
      </c>
      <c r="I161" t="inlineStr">
        <is>
          <t>Iniciativas para la promoción de la convivencia implementadas</t>
        </is>
      </c>
      <c r="J161" t="inlineStr">
        <is>
          <t>2024004250141</t>
        </is>
      </c>
      <c r="K161" t="inlineStr">
        <is>
          <t>No</t>
        </is>
      </c>
      <c r="L161" t="inlineStr">
        <is>
          <t>Número</t>
        </is>
      </c>
      <c r="M161">
        <v>4</v>
      </c>
      <c r="N161">
        <v>4</v>
      </c>
      <c r="O161">
        <v>4</v>
      </c>
      <c r="P161">
        <v>4</v>
      </c>
      <c r="Q161">
        <v>4</v>
      </c>
      <c r="R161" t="inlineStr">
        <is>
          <t xml:space="preserve"> </t>
        </is>
      </c>
      <c r="S161" s="103" t="inlineStr">
        <is>
          <t xml:space="preserve"> </t>
        </is>
      </c>
      <c r="T161" t="inlineStr">
        <is>
          <t>No se encontró ejecución en PIIP</t>
        </is>
      </c>
      <c r="U161" t="inlineStr">
        <is>
          <t xml:space="preserve"> </t>
        </is>
      </c>
      <c r="V161" s="104" t="inlineStr">
        <is>
          <t xml:space="preserve"> </t>
        </is>
      </c>
      <c r="W161" t="inlineStr">
        <is>
          <t>No se encontró ejecución en PIIP</t>
        </is>
      </c>
    </row>
    <row r="162">
      <c r="A162" t="inlineStr">
        <is>
          <t>IP-168</t>
        </is>
      </c>
      <c r="B162" t="inlineStr">
        <is>
          <t>45</t>
        </is>
      </c>
      <c r="C162" t="inlineStr">
        <is>
          <t>Gobierno Territorial</t>
        </is>
      </c>
      <c r="D162" t="inlineStr">
        <is>
          <t>4501</t>
        </is>
      </c>
      <c r="E162" t="inlineStr">
        <is>
          <t>Fortalecimiento de la convivencia y la seguridad ciudadana</t>
        </is>
      </c>
      <c r="F162" t="inlineStr">
        <is>
          <t>4501050</t>
        </is>
      </c>
      <c r="G162" t="inlineStr">
        <is>
          <t>Servicio de orientación a casos de violencia de género</t>
        </is>
      </c>
      <c r="H162" t="inlineStr">
        <is>
          <t>450105000</t>
        </is>
      </c>
      <c r="I162" t="inlineStr">
        <is>
          <t>Casos atendidos</t>
        </is>
      </c>
      <c r="J162" t="inlineStr">
        <is>
          <t>2024004250217</t>
        </is>
      </c>
      <c r="K162" t="inlineStr">
        <is>
          <t>Si</t>
        </is>
      </c>
      <c r="L162" t="inlineStr">
        <is>
          <t>Número</t>
        </is>
      </c>
      <c r="M162">
        <v>116</v>
      </c>
      <c r="N162">
        <v>31</v>
      </c>
      <c r="O162">
        <v>28</v>
      </c>
      <c r="P162">
        <v>29</v>
      </c>
      <c r="Q162">
        <v>28</v>
      </c>
      <c r="R162" t="inlineStr">
        <is>
          <t xml:space="preserve"> </t>
        </is>
      </c>
      <c r="S162" s="103" t="inlineStr">
        <is>
          <t xml:space="preserve"> </t>
        </is>
      </c>
      <c r="T162" t="inlineStr">
        <is>
          <t>No se encontró ejecución en PIIP</t>
        </is>
      </c>
      <c r="U162" t="inlineStr">
        <is>
          <t xml:space="preserve"> </t>
        </is>
      </c>
      <c r="V162" s="104" t="inlineStr">
        <is>
          <t xml:space="preserve"> </t>
        </is>
      </c>
      <c r="W162" t="inlineStr">
        <is>
          <t>No se encontró ejecución en PIIP</t>
        </is>
      </c>
    </row>
    <row r="163">
      <c r="A163" t="inlineStr">
        <is>
          <t>IP-169</t>
        </is>
      </c>
      <c r="B163" t="inlineStr">
        <is>
          <t>45</t>
        </is>
      </c>
      <c r="C163" t="inlineStr">
        <is>
          <t>Gobierno Territorial</t>
        </is>
      </c>
      <c r="D163" t="inlineStr">
        <is>
          <t>4501</t>
        </is>
      </c>
      <c r="E163" t="inlineStr">
        <is>
          <t>Fortalecimiento de la convivencia y la seguridad ciudadana</t>
        </is>
      </c>
      <c r="F163" t="inlineStr">
        <is>
          <t>4501082</t>
        </is>
      </c>
      <c r="G163" t="inlineStr">
        <is>
          <t>Servicio de apoyo para la atención especializada e interdisciplinaria en las comisarias de familia</t>
        </is>
      </c>
      <c r="H163" t="inlineStr">
        <is>
          <t>450108200</t>
        </is>
      </c>
      <c r="I163" t="inlineStr">
        <is>
          <t>Casos atendidos</t>
        </is>
      </c>
      <c r="J163" t="inlineStr">
        <is>
          <t>2024004250118</t>
        </is>
      </c>
      <c r="K163" t="inlineStr">
        <is>
          <t>Si</t>
        </is>
      </c>
      <c r="L163" t="inlineStr">
        <is>
          <t>Número</t>
        </is>
      </c>
      <c r="M163">
        <v>116</v>
      </c>
      <c r="N163">
        <v>20</v>
      </c>
      <c r="O163">
        <v>53</v>
      </c>
      <c r="P163">
        <v>36</v>
      </c>
      <c r="Q163">
        <v>7</v>
      </c>
      <c r="R163">
        <v>20</v>
      </c>
      <c r="S163" s="103">
        <v>1</v>
      </c>
      <c r="T163" t="inlineStr">
        <is>
          <t>Se ejecutó el 100% de lo programado en la vigencia</t>
        </is>
      </c>
      <c r="U163">
        <v>53</v>
      </c>
      <c r="V163" s="104">
        <v>1</v>
      </c>
      <c r="W163" t="inlineStr">
        <is>
          <t>Se ejecutó el 100% de lo programado en la vigencia</t>
        </is>
      </c>
    </row>
    <row r="164">
      <c r="A164" t="inlineStr">
        <is>
          <t>IP-170</t>
        </is>
      </c>
      <c r="B164" t="inlineStr">
        <is>
          <t>12</t>
        </is>
      </c>
      <c r="C164" t="inlineStr">
        <is>
          <t>Justicia y del derecho</t>
        </is>
      </c>
      <c r="D164" t="inlineStr">
        <is>
          <t>1206</t>
        </is>
      </c>
      <c r="E164" t="inlineStr">
        <is>
          <t>Sistema penitenciario y carcelario en el marco de los derechos humanos</t>
        </is>
      </c>
      <c r="F164" t="inlineStr">
        <is>
          <t>1206018</t>
        </is>
      </c>
      <c r="G164" t="inlineStr">
        <is>
          <t>Servicio de asistencia técnica para la resocialización e inclusión social</t>
        </is>
      </c>
      <c r="H164" t="inlineStr">
        <is>
          <t>120601800</t>
        </is>
      </c>
      <c r="I164" t="inlineStr">
        <is>
          <t>Asistencias técnicas en resocialización inclusión social realizadas</t>
        </is>
      </c>
      <c r="J164" t="inlineStr">
        <is>
          <t>2024004250176</t>
        </is>
      </c>
      <c r="K164" t="inlineStr">
        <is>
          <t>Si</t>
        </is>
      </c>
      <c r="L164" t="inlineStr">
        <is>
          <t>Número</t>
        </is>
      </c>
      <c r="M164">
        <v>300</v>
      </c>
      <c r="N164">
        <v>50</v>
      </c>
      <c r="O164">
        <v>100</v>
      </c>
      <c r="P164">
        <v>85</v>
      </c>
      <c r="Q164">
        <v>65</v>
      </c>
      <c r="R164">
        <v>50</v>
      </c>
      <c r="S164" s="103">
        <v>1</v>
      </c>
      <c r="T164" t="inlineStr">
        <is>
          <t>Se ejecutó el 100% de lo programado en la vigencia</t>
        </is>
      </c>
      <c r="U164">
        <v>478</v>
      </c>
      <c r="V164" s="104">
        <v>4.78</v>
      </c>
      <c r="W164" t="inlineStr">
        <is>
          <t>Hubo ejecución por encima de lo programado en SisPT</t>
        </is>
      </c>
    </row>
    <row r="165">
      <c r="A165" t="inlineStr">
        <is>
          <t>IP-171</t>
        </is>
      </c>
      <c r="B165" t="inlineStr">
        <is>
          <t>45</t>
        </is>
      </c>
      <c r="C165" t="inlineStr">
        <is>
          <t>Gobierno Territorial</t>
        </is>
      </c>
      <c r="D165" t="inlineStr">
        <is>
          <t>4501</t>
        </is>
      </c>
      <c r="E165" t="inlineStr">
        <is>
          <t>Fortalecimiento de la convivencia y la seguridad ciudadana</t>
        </is>
      </c>
      <c r="F165" t="inlineStr">
        <is>
          <t>4501026</t>
        </is>
      </c>
      <c r="G165" t="inlineStr">
        <is>
          <t>Documentos Planeacion</t>
        </is>
      </c>
      <c r="H165" t="inlineStr">
        <is>
          <t>450102600</t>
        </is>
      </c>
      <c r="I165" t="inlineStr">
        <is>
          <t>Planes estratégicos elaborados</t>
        </is>
      </c>
      <c r="J165" t="inlineStr">
        <is>
          <t>2024004250217</t>
        </is>
      </c>
      <c r="K165" t="inlineStr">
        <is>
          <t>Si</t>
        </is>
      </c>
      <c r="L165" t="inlineStr">
        <is>
          <t>Número</t>
        </is>
      </c>
      <c r="M165">
        <v>1</v>
      </c>
      <c r="N165">
        <v>0.2</v>
      </c>
      <c r="O165">
        <v>0.4</v>
      </c>
      <c r="P165">
        <v>0.2</v>
      </c>
      <c r="Q165">
        <v>0.2</v>
      </c>
      <c r="R165">
        <v>0.1</v>
      </c>
      <c r="S165" s="103">
        <v>0.5</v>
      </c>
      <c r="T165" t="inlineStr">
        <is>
          <t>Lo ejecutado está por debajo de lo programado en la vigencia</t>
        </is>
      </c>
      <c r="U165">
        <v>0.2</v>
      </c>
      <c r="V165" s="104">
        <v>0.5</v>
      </c>
      <c r="W165" t="inlineStr">
        <is>
          <t>Lo ejecutado está por debajo de lo programado en la vigencia</t>
        </is>
      </c>
    </row>
    <row r="166">
      <c r="A166" t="inlineStr">
        <is>
          <t>IP-172</t>
        </is>
      </c>
      <c r="B166" t="inlineStr">
        <is>
          <t>45</t>
        </is>
      </c>
      <c r="C166" t="inlineStr">
        <is>
          <t>Gobierno Territorial</t>
        </is>
      </c>
      <c r="D166" t="inlineStr">
        <is>
          <t>4501</t>
        </is>
      </c>
      <c r="E166" t="inlineStr">
        <is>
          <t>Fortalecimiento de la convivencia y la seguridad ciudadana</t>
        </is>
      </c>
      <c r="F166" t="inlineStr">
        <is>
          <t>4501008</t>
        </is>
      </c>
      <c r="G166" t="inlineStr">
        <is>
          <t>Servicio de información actualizado</t>
        </is>
      </c>
      <c r="H166" t="inlineStr">
        <is>
          <t>450100800</t>
        </is>
      </c>
      <c r="I166" t="inlineStr">
        <is>
          <t>Sistemas de información actualizados</t>
        </is>
      </c>
      <c r="J166" t="inlineStr">
        <is>
          <t>2024004250217</t>
        </is>
      </c>
      <c r="K166" t="inlineStr">
        <is>
          <t>No</t>
        </is>
      </c>
      <c r="L166" t="inlineStr">
        <is>
          <t>Número</t>
        </is>
      </c>
      <c r="M166">
        <v>1</v>
      </c>
      <c r="N166">
        <v>1</v>
      </c>
      <c r="O166">
        <v>1</v>
      </c>
      <c r="P166">
        <v>1</v>
      </c>
      <c r="Q166">
        <v>1</v>
      </c>
      <c r="R166">
        <v>1</v>
      </c>
      <c r="S166" s="103">
        <v>1</v>
      </c>
      <c r="T166" t="inlineStr">
        <is>
          <t>Se ejecutó el 100% de lo programado en la vigencia</t>
        </is>
      </c>
      <c r="U166">
        <v>0.9</v>
      </c>
      <c r="V166" s="104">
        <v>0.9</v>
      </c>
      <c r="W166" t="inlineStr">
        <is>
          <t>Lo ejecutado está por debajo de lo programado en la vigencia</t>
        </is>
      </c>
    </row>
    <row r="167">
      <c r="A167" t="inlineStr">
        <is>
          <t>IP-173</t>
        </is>
      </c>
      <c r="B167" t="inlineStr">
        <is>
          <t>45</t>
        </is>
      </c>
      <c r="C167" t="inlineStr">
        <is>
          <t>Gobierno Territorial</t>
        </is>
      </c>
      <c r="D167" t="inlineStr">
        <is>
          <t>4501</t>
        </is>
      </c>
      <c r="E167" t="inlineStr">
        <is>
          <t>Fortalecimiento de la convivencia y la seguridad ciudadana</t>
        </is>
      </c>
      <c r="F167" t="inlineStr">
        <is>
          <t>4501029</t>
        </is>
      </c>
      <c r="G167" t="inlineStr">
        <is>
          <t>Servicio de apoyo financiero para proyectos de convivencia y seguridad ciudadana</t>
        </is>
      </c>
      <c r="H167" t="inlineStr">
        <is>
          <t>450102900</t>
        </is>
      </c>
      <c r="I167" t="inlineStr">
        <is>
          <t>Proyectos de convivencia y seguridad ciudadana apoyados financieramente</t>
        </is>
      </c>
      <c r="J167" t="inlineStr">
        <is>
          <t>2024004250085</t>
        </is>
      </c>
      <c r="K167" t="inlineStr">
        <is>
          <t>Si</t>
        </is>
      </c>
      <c r="L167" t="inlineStr">
        <is>
          <t>Número</t>
        </is>
      </c>
      <c r="M167">
        <v>1</v>
      </c>
      <c r="N167">
        <v>0.15</v>
      </c>
      <c r="O167">
        <v>0.15</v>
      </c>
      <c r="P167">
        <v>0.1</v>
      </c>
      <c r="Q167">
        <v>0.6</v>
      </c>
      <c r="R167" t="inlineStr">
        <is>
          <t xml:space="preserve"> </t>
        </is>
      </c>
      <c r="S167" s="103" t="inlineStr">
        <is>
          <t xml:space="preserve"> </t>
        </is>
      </c>
      <c r="T167" t="inlineStr">
        <is>
          <t>No se encontró ejecución en PIIP</t>
        </is>
      </c>
      <c r="U167" t="inlineStr">
        <is>
          <t xml:space="preserve"> </t>
        </is>
      </c>
      <c r="V167" s="104" t="inlineStr">
        <is>
          <t xml:space="preserve"> </t>
        </is>
      </c>
      <c r="W167" t="inlineStr">
        <is>
          <t>No se encontró ejecución en PIIP</t>
        </is>
      </c>
    </row>
    <row r="168">
      <c r="A168" t="inlineStr">
        <is>
          <t>IP-174</t>
        </is>
      </c>
      <c r="B168" t="inlineStr">
        <is>
          <t>45</t>
        </is>
      </c>
      <c r="C168" t="inlineStr">
        <is>
          <t>Gobierno Territorial</t>
        </is>
      </c>
      <c r="D168" t="inlineStr">
        <is>
          <t>4501</t>
        </is>
      </c>
      <c r="E168" t="inlineStr">
        <is>
          <t>Fortalecimiento de la convivencia y la seguridad ciudadana</t>
        </is>
      </c>
      <c r="F168" t="inlineStr">
        <is>
          <t>4501053</t>
        </is>
      </c>
      <c r="G168" t="inlineStr">
        <is>
          <t>Servicio de apoyo financiero para la formación en carreras militares y policiales</t>
        </is>
      </c>
      <c r="H168" t="inlineStr">
        <is>
          <t>450105300</t>
        </is>
      </c>
      <c r="I168" t="inlineStr">
        <is>
          <t>Jóvenes apoyados</t>
        </is>
      </c>
      <c r="J168" t="inlineStr">
        <is>
          <t>2024004250226</t>
        </is>
      </c>
      <c r="K168" t="inlineStr">
        <is>
          <t>Si</t>
        </is>
      </c>
      <c r="L168" t="inlineStr">
        <is>
          <t>Número</t>
        </is>
      </c>
      <c r="M168">
        <v>1</v>
      </c>
      <c r="N168">
        <v>0</v>
      </c>
      <c r="O168">
        <v>0.4</v>
      </c>
      <c r="P168">
        <v>0.3</v>
      </c>
      <c r="Q168">
        <v>0.3</v>
      </c>
      <c r="R168">
        <v>0</v>
      </c>
      <c r="S168" s="103" t="inlineStr">
        <is>
          <t xml:space="preserve"> </t>
        </is>
      </c>
      <c r="T168" t="inlineStr">
        <is>
          <t>No se programó ni ejecutó en la vigencia</t>
        </is>
      </c>
      <c r="U168">
        <v>0</v>
      </c>
      <c r="V168" s="104">
        <v>0</v>
      </c>
      <c r="W168" t="inlineStr">
        <is>
          <t>No se ejecutó en la vigencia</t>
        </is>
      </c>
    </row>
    <row r="169">
      <c r="A169" t="inlineStr">
        <is>
          <t>IP-175</t>
        </is>
      </c>
      <c r="B169" t="inlineStr">
        <is>
          <t>45</t>
        </is>
      </c>
      <c r="C169" t="inlineStr">
        <is>
          <t>Gobierno Territorial</t>
        </is>
      </c>
      <c r="D169" t="inlineStr">
        <is>
          <t>4501</t>
        </is>
      </c>
      <c r="E169" t="inlineStr">
        <is>
          <t>Fortalecimiento de la convivencia y la seguridad ciudadana</t>
        </is>
      </c>
      <c r="F169" t="inlineStr">
        <is>
          <t>4501057</t>
        </is>
      </c>
      <c r="G169" t="inlineStr">
        <is>
          <t>Servicio de apoyo financiero para dotar a miembros de la fuerza publica</t>
        </is>
      </c>
      <c r="H169" t="inlineStr">
        <is>
          <t>450105700</t>
        </is>
      </c>
      <c r="I169" t="inlineStr">
        <is>
          <t>Miembros de la fuerza publica apoyados</t>
        </is>
      </c>
      <c r="J169" t="inlineStr">
        <is>
          <t>2024004250226, 2024004250243</t>
        </is>
      </c>
      <c r="K169" t="inlineStr">
        <is>
          <t>Si</t>
        </is>
      </c>
      <c r="L169" t="inlineStr">
        <is>
          <t>Número</t>
        </is>
      </c>
      <c r="M169">
        <v>1</v>
      </c>
      <c r="N169">
        <v>0.2</v>
      </c>
      <c r="O169">
        <v>0.35</v>
      </c>
      <c r="P169">
        <v>0.2</v>
      </c>
      <c r="Q169">
        <v>0.25</v>
      </c>
      <c r="R169">
        <v>0.1</v>
      </c>
      <c r="S169" s="103">
        <v>0.5</v>
      </c>
      <c r="T169" t="inlineStr">
        <is>
          <t>Lo ejecutado está por debajo de lo programado en la vigencia</t>
        </is>
      </c>
      <c r="U169">
        <v>0.05</v>
      </c>
      <c r="V169" s="104">
        <v>0.142857142857143</v>
      </c>
      <c r="W169" t="inlineStr">
        <is>
          <t>Lo ejecutado está por debajo de lo programado en la vigencia</t>
        </is>
      </c>
    </row>
    <row r="170">
      <c r="A170" t="inlineStr">
        <is>
          <t>IP-176</t>
        </is>
      </c>
      <c r="B170" t="inlineStr">
        <is>
          <t>45</t>
        </is>
      </c>
      <c r="C170" t="inlineStr">
        <is>
          <t>Gobierno Territorial</t>
        </is>
      </c>
      <c r="D170" t="inlineStr">
        <is>
          <t>4501</t>
        </is>
      </c>
      <c r="E170" t="inlineStr">
        <is>
          <t>Fortalecimiento de la convivencia y la seguridad ciudadana</t>
        </is>
      </c>
      <c r="F170" t="inlineStr">
        <is>
          <t>4501044</t>
        </is>
      </c>
      <c r="G170" t="inlineStr">
        <is>
          <t>Documentos metodológicos</t>
        </is>
      </c>
      <c r="H170" t="inlineStr">
        <is>
          <t>450104400</t>
        </is>
      </c>
      <c r="I170" t="inlineStr">
        <is>
          <t>Documentos metodológicos realizados</t>
        </is>
      </c>
      <c r="J170" t="inlineStr">
        <is>
          <t>2024004250121</t>
        </is>
      </c>
      <c r="K170" t="inlineStr">
        <is>
          <t>Si</t>
        </is>
      </c>
      <c r="L170" t="inlineStr">
        <is>
          <t>Número</t>
        </is>
      </c>
      <c r="M170">
        <v>1</v>
      </c>
      <c r="N170">
        <v>0</v>
      </c>
      <c r="O170">
        <v>0.4</v>
      </c>
      <c r="P170">
        <v>0.3</v>
      </c>
      <c r="Q170">
        <v>0.3</v>
      </c>
      <c r="R170" t="inlineStr">
        <is>
          <t xml:space="preserve"> </t>
        </is>
      </c>
      <c r="S170" s="103" t="inlineStr">
        <is>
          <t xml:space="preserve"> </t>
        </is>
      </c>
      <c r="T170" t="inlineStr">
        <is>
          <t>No se encontró ejecución en PIIP</t>
        </is>
      </c>
      <c r="U170">
        <v>0.15</v>
      </c>
      <c r="V170" s="104">
        <v>0.375</v>
      </c>
      <c r="W170" t="inlineStr">
        <is>
          <t>Lo ejecutado está por debajo de lo programado en la vigencia</t>
        </is>
      </c>
    </row>
    <row r="171">
      <c r="A171" t="inlineStr">
        <is>
          <t>IP-177</t>
        </is>
      </c>
      <c r="B171" t="inlineStr">
        <is>
          <t>12</t>
        </is>
      </c>
      <c r="C171" t="inlineStr">
        <is>
          <t>Justicia y del derecho</t>
        </is>
      </c>
      <c r="D171" t="inlineStr">
        <is>
          <t>1203</t>
        </is>
      </c>
      <c r="E171" t="inlineStr">
        <is>
          <t>Promoción de los métodos de resolución de conflictos</t>
        </is>
      </c>
      <c r="F171" t="inlineStr">
        <is>
          <t>1203002</t>
        </is>
      </c>
      <c r="G171" t="inlineStr">
        <is>
          <t>Servicio de asistencia técnica para la implementación de los métodos de resolución de conflictos</t>
        </is>
      </c>
      <c r="H171" t="inlineStr">
        <is>
          <t>120300200</t>
        </is>
      </c>
      <c r="I171" t="inlineStr">
        <is>
          <t>Instituciones públicas y privadas asistidas técnicamente en métodos de resolución de conflictos</t>
        </is>
      </c>
      <c r="J171" t="inlineStr">
        <is>
          <t>2024004250257</t>
        </is>
      </c>
      <c r="K171" t="inlineStr">
        <is>
          <t>Si</t>
        </is>
      </c>
      <c r="L171" t="inlineStr">
        <is>
          <t>Número</t>
        </is>
      </c>
      <c r="M171">
        <v>16</v>
      </c>
      <c r="N171">
        <v>4</v>
      </c>
      <c r="O171">
        <v>4</v>
      </c>
      <c r="P171">
        <v>4</v>
      </c>
      <c r="Q171">
        <v>4</v>
      </c>
      <c r="R171" t="inlineStr">
        <is>
          <t xml:space="preserve"> </t>
        </is>
      </c>
      <c r="S171" s="103" t="inlineStr">
        <is>
          <t xml:space="preserve"> </t>
        </is>
      </c>
      <c r="T171" t="inlineStr">
        <is>
          <t>No se encontró ejecución en PIIP</t>
        </is>
      </c>
      <c r="U171" t="inlineStr">
        <is>
          <t xml:space="preserve"> </t>
        </is>
      </c>
      <c r="V171" s="104" t="inlineStr">
        <is>
          <t xml:space="preserve"> </t>
        </is>
      </c>
      <c r="W171" t="inlineStr">
        <is>
          <t>No se encontró ejecución en PIIP</t>
        </is>
      </c>
    </row>
    <row r="172">
      <c r="A172" t="inlineStr">
        <is>
          <t>IP-178</t>
        </is>
      </c>
      <c r="B172" t="inlineStr">
        <is>
          <t>12</t>
        </is>
      </c>
      <c r="C172" t="inlineStr">
        <is>
          <t>Justicia y del derecho</t>
        </is>
      </c>
      <c r="D172" t="inlineStr">
        <is>
          <t>1207</t>
        </is>
      </c>
      <c r="E172" t="inlineStr">
        <is>
          <t>Fortalecimiento de la política criminal del Estado colombiano</t>
        </is>
      </c>
      <c r="F172" t="inlineStr">
        <is>
          <t>1207005</t>
        </is>
      </c>
      <c r="G172" t="inlineStr">
        <is>
          <t>Documentos de lineamientos técnicos</t>
        </is>
      </c>
      <c r="H172" t="inlineStr">
        <is>
          <t>120700500</t>
        </is>
      </c>
      <c r="I172" t="inlineStr">
        <is>
          <t>Documentos de lineamientos técnicos realizados</t>
        </is>
      </c>
      <c r="J172" t="inlineStr">
        <is>
          <t>2024004250172</t>
        </is>
      </c>
      <c r="K172" t="inlineStr">
        <is>
          <t>Si</t>
        </is>
      </c>
      <c r="L172" t="inlineStr">
        <is>
          <t>Número</t>
        </is>
      </c>
      <c r="M172">
        <v>1</v>
      </c>
      <c r="N172">
        <v>0.2</v>
      </c>
      <c r="O172">
        <v>0.3</v>
      </c>
      <c r="P172">
        <v>0.3</v>
      </c>
      <c r="Q172">
        <v>0.2</v>
      </c>
      <c r="R172">
        <v>0.1</v>
      </c>
      <c r="S172" s="103">
        <v>0.5</v>
      </c>
      <c r="T172" t="inlineStr">
        <is>
          <t>Lo ejecutado está por debajo de lo programado en la vigencia</t>
        </is>
      </c>
      <c r="U172">
        <v>0.255</v>
      </c>
      <c r="V172" s="104">
        <v>0.85</v>
      </c>
      <c r="W172" t="inlineStr">
        <is>
          <t>Lo ejecutado está por debajo de lo programado en la vigencia</t>
        </is>
      </c>
    </row>
    <row r="173">
      <c r="A173" t="inlineStr">
        <is>
          <t>IP-179</t>
        </is>
      </c>
      <c r="B173" t="inlineStr">
        <is>
          <t>24</t>
        </is>
      </c>
      <c r="C173" t="inlineStr">
        <is>
          <t>Transporte</t>
        </is>
      </c>
      <c r="D173" t="inlineStr">
        <is>
          <t>2409</t>
        </is>
      </c>
      <c r="E173" t="inlineStr">
        <is>
          <t>Seguridad de transporte</t>
        </is>
      </c>
      <c r="F173" t="inlineStr">
        <is>
          <t>2409008</t>
        </is>
      </c>
      <c r="G173" t="inlineStr">
        <is>
          <t>Documentos de lineamientos técnicos</t>
        </is>
      </c>
      <c r="H173" t="inlineStr">
        <is>
          <t>240900800</t>
        </is>
      </c>
      <c r="I173" t="inlineStr">
        <is>
          <t>Documentos de lineamientos técnicos realizados</t>
        </is>
      </c>
      <c r="J173" t="inlineStr">
        <is>
          <t>2024004250123</t>
        </is>
      </c>
      <c r="K173" t="inlineStr">
        <is>
          <t>Si</t>
        </is>
      </c>
      <c r="L173" t="inlineStr">
        <is>
          <t>Número</t>
        </is>
      </c>
      <c r="M173">
        <v>1</v>
      </c>
      <c r="N173">
        <v>0.3</v>
      </c>
      <c r="O173">
        <v>0.4</v>
      </c>
      <c r="P173">
        <v>0.2</v>
      </c>
      <c r="Q173">
        <v>0.1</v>
      </c>
      <c r="R173" t="inlineStr">
        <is>
          <t xml:space="preserve"> </t>
        </is>
      </c>
      <c r="S173" s="103" t="inlineStr">
        <is>
          <t xml:space="preserve"> </t>
        </is>
      </c>
      <c r="T173" t="inlineStr">
        <is>
          <t>No se encontró ejecución en PIIP</t>
        </is>
      </c>
      <c r="U173" t="inlineStr">
        <is>
          <t xml:space="preserve"> </t>
        </is>
      </c>
      <c r="V173" s="104" t="inlineStr">
        <is>
          <t xml:space="preserve"> </t>
        </is>
      </c>
      <c r="W173" t="inlineStr">
        <is>
          <t>No se encontró ejecución en PIIP</t>
        </is>
      </c>
    </row>
    <row r="174">
      <c r="A174" t="inlineStr">
        <is>
          <t>IP-180</t>
        </is>
      </c>
      <c r="B174" t="inlineStr">
        <is>
          <t>24</t>
        </is>
      </c>
      <c r="C174" t="inlineStr">
        <is>
          <t>Transporte</t>
        </is>
      </c>
      <c r="D174" t="inlineStr">
        <is>
          <t>2409</t>
        </is>
      </c>
      <c r="E174" t="inlineStr">
        <is>
          <t>Seguridad de transporte</t>
        </is>
      </c>
      <c r="F174" t="inlineStr">
        <is>
          <t>2409039</t>
        </is>
      </c>
      <c r="G174" t="inlineStr">
        <is>
          <t>Vías con dispositivos de control y señalización</t>
        </is>
      </c>
      <c r="H174" t="inlineStr">
        <is>
          <t>240903900</t>
        </is>
      </c>
      <c r="I174" t="inlineStr">
        <is>
          <t>Vías con dispositivos de control y señalización instalados</t>
        </is>
      </c>
      <c r="J174" t="inlineStr">
        <is>
          <t>2024004250123</t>
        </is>
      </c>
      <c r="K174" t="inlineStr">
        <is>
          <t>Si</t>
        </is>
      </c>
      <c r="L174" t="inlineStr">
        <is>
          <t>Kilómetros</t>
        </is>
      </c>
      <c r="M174">
        <v>80</v>
      </c>
      <c r="N174">
        <v>19</v>
      </c>
      <c r="O174">
        <v>48</v>
      </c>
      <c r="P174">
        <v>9</v>
      </c>
      <c r="Q174">
        <v>4</v>
      </c>
      <c r="R174" t="inlineStr">
        <is>
          <t xml:space="preserve"> </t>
        </is>
      </c>
      <c r="S174" s="103" t="inlineStr">
        <is>
          <t xml:space="preserve"> </t>
        </is>
      </c>
      <c r="T174" t="inlineStr">
        <is>
          <t>No se encontró ejecución en PIIP</t>
        </is>
      </c>
      <c r="U174" t="inlineStr">
        <is>
          <t xml:space="preserve"> </t>
        </is>
      </c>
      <c r="V174" s="104" t="inlineStr">
        <is>
          <t xml:space="preserve"> </t>
        </is>
      </c>
      <c r="W174" t="inlineStr">
        <is>
          <t>No se encontró ejecución en PIIP</t>
        </is>
      </c>
    </row>
    <row r="175">
      <c r="A175" t="inlineStr">
        <is>
          <t>IP-181</t>
        </is>
      </c>
      <c r="B175" t="inlineStr">
        <is>
          <t>24</t>
        </is>
      </c>
      <c r="C175" t="inlineStr">
        <is>
          <t>Transporte</t>
        </is>
      </c>
      <c r="D175" t="inlineStr">
        <is>
          <t>2409</t>
        </is>
      </c>
      <c r="E175" t="inlineStr">
        <is>
          <t>Seguridad de transporte</t>
        </is>
      </c>
      <c r="F175" t="inlineStr">
        <is>
          <t>2409023</t>
        </is>
      </c>
      <c r="G175" t="inlineStr">
        <is>
          <t>Servicio de sensibilización a los actores viales</t>
        </is>
      </c>
      <c r="H175" t="inlineStr">
        <is>
          <t>240902300</t>
        </is>
      </c>
      <c r="I175" t="inlineStr">
        <is>
          <t>Personas sensibilizadas</t>
        </is>
      </c>
      <c r="J175" t="inlineStr">
        <is>
          <t>2024004250123</t>
        </is>
      </c>
      <c r="K175" t="inlineStr">
        <is>
          <t>Si</t>
        </is>
      </c>
      <c r="L175" t="inlineStr">
        <is>
          <t>Número</t>
        </is>
      </c>
      <c r="M175">
        <v>150000</v>
      </c>
      <c r="N175">
        <v>30000</v>
      </c>
      <c r="O175">
        <v>40000</v>
      </c>
      <c r="P175">
        <v>40000</v>
      </c>
      <c r="Q175">
        <v>37567</v>
      </c>
      <c r="R175" t="inlineStr">
        <is>
          <t xml:space="preserve"> </t>
        </is>
      </c>
      <c r="S175" s="103" t="inlineStr">
        <is>
          <t xml:space="preserve"> </t>
        </is>
      </c>
      <c r="T175" t="inlineStr">
        <is>
          <t>No se encontró ejecución en PIIP</t>
        </is>
      </c>
      <c r="U175" t="inlineStr">
        <is>
          <t xml:space="preserve"> </t>
        </is>
      </c>
      <c r="V175" s="104" t="inlineStr">
        <is>
          <t xml:space="preserve"> </t>
        </is>
      </c>
      <c r="W175" t="inlineStr">
        <is>
          <t>No se encontró ejecución en PIIP</t>
        </is>
      </c>
    </row>
    <row r="176">
      <c r="A176" t="inlineStr">
        <is>
          <t>IP-182</t>
        </is>
      </c>
      <c r="B176" t="inlineStr">
        <is>
          <t>24</t>
        </is>
      </c>
      <c r="C176" t="inlineStr">
        <is>
          <t>Transporte</t>
        </is>
      </c>
      <c r="D176" t="inlineStr">
        <is>
          <t>2407</t>
        </is>
      </c>
      <c r="E176" t="inlineStr">
        <is>
          <t>Infraestructura y servicios de logística de transporte</t>
        </is>
      </c>
      <c r="F176" t="inlineStr">
        <is>
          <t>2407006</t>
        </is>
      </c>
      <c r="G176" t="inlineStr">
        <is>
          <t>Documentos de planeación</t>
        </is>
      </c>
      <c r="H176" t="inlineStr">
        <is>
          <t>240700600</t>
        </is>
      </c>
      <c r="I176" t="inlineStr">
        <is>
          <t>Documentos de planeación realizados</t>
        </is>
      </c>
      <c r="J176" t="inlineStr">
        <is>
          <t>2024004250078</t>
        </is>
      </c>
      <c r="K176" t="inlineStr">
        <is>
          <t>Si</t>
        </is>
      </c>
      <c r="L176" t="inlineStr">
        <is>
          <t>Número</t>
        </is>
      </c>
      <c r="M176">
        <v>1</v>
      </c>
      <c r="N176">
        <v>0.25</v>
      </c>
      <c r="O176">
        <v>0.25</v>
      </c>
      <c r="P176">
        <v>0.25</v>
      </c>
      <c r="Q176">
        <v>0.25</v>
      </c>
      <c r="R176" t="inlineStr">
        <is>
          <t xml:space="preserve"> </t>
        </is>
      </c>
      <c r="S176" s="103" t="inlineStr">
        <is>
          <t xml:space="preserve"> </t>
        </is>
      </c>
      <c r="T176" t="inlineStr">
        <is>
          <t>No se encontró ejecución en PIIP</t>
        </is>
      </c>
      <c r="U176" t="inlineStr">
        <is>
          <t xml:space="preserve"> </t>
        </is>
      </c>
      <c r="V176" s="104" t="inlineStr">
        <is>
          <t xml:space="preserve"> </t>
        </is>
      </c>
      <c r="W176" t="inlineStr">
        <is>
          <t>No se encontró ejecución en PIIP</t>
        </is>
      </c>
    </row>
    <row r="177">
      <c r="A177" t="inlineStr">
        <is>
          <t>IP-183</t>
        </is>
      </c>
      <c r="B177" t="inlineStr">
        <is>
          <t>35</t>
        </is>
      </c>
      <c r="C177" t="inlineStr">
        <is>
          <t>Comercio, industria y turismo</t>
        </is>
      </c>
      <c r="D177" t="inlineStr">
        <is>
          <t>3502</t>
        </is>
      </c>
      <c r="E177" t="inlineStr">
        <is>
          <t>Productividad y competitividad de las empresas colombianas</t>
        </is>
      </c>
      <c r="F177" t="inlineStr">
        <is>
          <t>3502046</t>
        </is>
      </c>
      <c r="G177" t="inlineStr">
        <is>
          <t>Servicio de promoción turística</t>
        </is>
      </c>
      <c r="H177" t="inlineStr">
        <is>
          <t>350204600</t>
        </is>
      </c>
      <c r="I177" t="inlineStr">
        <is>
          <t>Campañas realizadas</t>
        </is>
      </c>
      <c r="J177" t="inlineStr">
        <is>
          <t>2024004250222</t>
        </is>
      </c>
      <c r="K177" t="inlineStr">
        <is>
          <t>Si</t>
        </is>
      </c>
      <c r="L177" t="inlineStr">
        <is>
          <t>Número</t>
        </is>
      </c>
      <c r="M177">
        <v>8</v>
      </c>
      <c r="N177">
        <v>2</v>
      </c>
      <c r="O177">
        <v>2</v>
      </c>
      <c r="P177">
        <v>2</v>
      </c>
      <c r="Q177">
        <v>2</v>
      </c>
      <c r="R177" t="inlineStr">
        <is>
          <t xml:space="preserve"> </t>
        </is>
      </c>
      <c r="S177" s="103" t="inlineStr">
        <is>
          <t xml:space="preserve"> </t>
        </is>
      </c>
      <c r="T177" t="inlineStr">
        <is>
          <t>No se encontró ejecución en PIIP</t>
        </is>
      </c>
      <c r="U177" t="inlineStr">
        <is>
          <t xml:space="preserve"> </t>
        </is>
      </c>
      <c r="V177" s="104" t="inlineStr">
        <is>
          <t xml:space="preserve"> </t>
        </is>
      </c>
      <c r="W177" t="inlineStr">
        <is>
          <t>No se encontró ejecución en PIIP</t>
        </is>
      </c>
    </row>
    <row r="178">
      <c r="A178" t="inlineStr">
        <is>
          <t>IP-184</t>
        </is>
      </c>
      <c r="B178" t="inlineStr">
        <is>
          <t>40</t>
        </is>
      </c>
      <c r="C178" t="inlineStr">
        <is>
          <t>Vivienda, ciudad y territorio</t>
        </is>
      </c>
      <c r="D178" t="inlineStr">
        <is>
          <t>4001</t>
        </is>
      </c>
      <c r="E178" t="inlineStr">
        <is>
          <t>Acceso a soluciones de vivienda</t>
        </is>
      </c>
      <c r="F178" t="inlineStr">
        <is>
          <t>4001001</t>
        </is>
      </c>
      <c r="G178" t="inlineStr">
        <is>
          <t>Servicio de asistencia técnica y jurídica en saneamiento y titulación de predios</t>
        </is>
      </c>
      <c r="H178" t="inlineStr">
        <is>
          <t>400100100</t>
        </is>
      </c>
      <c r="I178" t="inlineStr">
        <is>
          <t>Entidades territoriales asistidas técnica y jurídicamente</t>
        </is>
      </c>
      <c r="J178" t="inlineStr">
        <is>
          <t>2024004250070</t>
        </is>
      </c>
      <c r="K178" t="inlineStr">
        <is>
          <t>Si</t>
        </is>
      </c>
      <c r="L178" t="inlineStr">
        <is>
          <t>Número</t>
        </is>
      </c>
      <c r="M178">
        <v>5000</v>
      </c>
      <c r="N178">
        <v>100</v>
      </c>
      <c r="O178">
        <v>700</v>
      </c>
      <c r="P178">
        <v>1908</v>
      </c>
      <c r="Q178">
        <v>1909</v>
      </c>
      <c r="R178">
        <v>0</v>
      </c>
      <c r="S178" s="103">
        <v>0</v>
      </c>
      <c r="T178" t="inlineStr">
        <is>
          <t>No se ejecutó en la vigencia</t>
        </is>
      </c>
      <c r="U178">
        <v>130</v>
      </c>
      <c r="V178" s="104">
        <v>0.185714285714286</v>
      </c>
      <c r="W178" t="inlineStr">
        <is>
          <t>Lo ejecutado está por debajo de lo programado en la vigencia</t>
        </is>
      </c>
    </row>
    <row r="179">
      <c r="A179" t="inlineStr">
        <is>
          <t>IP-185</t>
        </is>
      </c>
      <c r="B179" t="inlineStr">
        <is>
          <t>40</t>
        </is>
      </c>
      <c r="C179" t="inlineStr">
        <is>
          <t>Vivienda, ciudad y territorio</t>
        </is>
      </c>
      <c r="D179" t="inlineStr">
        <is>
          <t>4002</t>
        </is>
      </c>
      <c r="E179" t="inlineStr">
        <is>
          <t>Ordenamiento territorial y desarrollo urbano</t>
        </is>
      </c>
      <c r="F179" t="inlineStr">
        <is>
          <t>4002039</t>
        </is>
      </c>
      <c r="G179" t="inlineStr">
        <is>
          <t>Servicio de apoyo financiero para reubicación definitiva de hogares</t>
        </is>
      </c>
      <c r="H179" t="inlineStr">
        <is>
          <t>400203900</t>
        </is>
      </c>
      <c r="I179" t="inlineStr">
        <is>
          <t>Hogares beneficiados con apoyo financiero para reubicación definitiva</t>
        </is>
      </c>
      <c r="J179" t="inlineStr">
        <is>
          <t>2024004250075</t>
        </is>
      </c>
      <c r="K179" t="inlineStr">
        <is>
          <t>Si</t>
        </is>
      </c>
      <c r="L179" t="inlineStr">
        <is>
          <t>Número</t>
        </is>
      </c>
      <c r="M179">
        <v>20</v>
      </c>
      <c r="N179">
        <v>0</v>
      </c>
      <c r="O179">
        <v>0</v>
      </c>
      <c r="P179">
        <v>8</v>
      </c>
      <c r="Q179">
        <v>6</v>
      </c>
      <c r="R179">
        <v>0</v>
      </c>
      <c r="S179" s="103" t="inlineStr">
        <is>
          <t xml:space="preserve"> </t>
        </is>
      </c>
      <c r="T179" t="inlineStr">
        <is>
          <t>No se programó ni ejecutó en la vigencia</t>
        </is>
      </c>
      <c r="U179">
        <v>0</v>
      </c>
      <c r="V179" s="104" t="inlineStr">
        <is>
          <t xml:space="preserve"> </t>
        </is>
      </c>
      <c r="W179" t="inlineStr">
        <is>
          <t>No se programó ni ejecutó en la vigencia</t>
        </is>
      </c>
    </row>
    <row r="180">
      <c r="A180" t="inlineStr">
        <is>
          <t>IP-186</t>
        </is>
      </c>
      <c r="B180" t="inlineStr">
        <is>
          <t>40</t>
        </is>
      </c>
      <c r="C180" t="inlineStr">
        <is>
          <t>Vivienda, ciudad y territorio</t>
        </is>
      </c>
      <c r="D180" t="inlineStr">
        <is>
          <t>4001</t>
        </is>
      </c>
      <c r="E180" t="inlineStr">
        <is>
          <t>Acceso a soluciones de vivienda</t>
        </is>
      </c>
      <c r="F180" t="inlineStr">
        <is>
          <t>4001032</t>
        </is>
      </c>
      <c r="G180" t="inlineStr">
        <is>
          <t>Servicio de apoyo financiero para mejoramiento de vivienda</t>
        </is>
      </c>
      <c r="H180" t="inlineStr">
        <is>
          <t>400103200</t>
        </is>
      </c>
      <c r="I180" t="inlineStr">
        <is>
          <t>Hogares beneficiados con mejoramiento de una vivienda  </t>
        </is>
      </c>
      <c r="J180" t="inlineStr">
        <is>
          <t>2024004250070</t>
        </is>
      </c>
      <c r="K180" t="inlineStr">
        <is>
          <t>Si</t>
        </is>
      </c>
      <c r="L180" t="inlineStr">
        <is>
          <t>Número</t>
        </is>
      </c>
      <c r="M180">
        <v>15000</v>
      </c>
      <c r="N180">
        <v>824</v>
      </c>
      <c r="O180">
        <v>2000</v>
      </c>
      <c r="P180">
        <v>5429</v>
      </c>
      <c r="Q180">
        <v>5428</v>
      </c>
      <c r="R180">
        <v>0</v>
      </c>
      <c r="S180" s="103">
        <v>0</v>
      </c>
      <c r="T180" t="inlineStr">
        <is>
          <t>No se ejecutó en la vigencia</t>
        </is>
      </c>
      <c r="U180">
        <v>0</v>
      </c>
      <c r="V180" s="104">
        <v>0</v>
      </c>
      <c r="W180" t="inlineStr">
        <is>
          <t>No se ejecutó en la vigencia</t>
        </is>
      </c>
    </row>
    <row r="181">
      <c r="A181" t="inlineStr">
        <is>
          <t>IP-187</t>
        </is>
      </c>
      <c r="B181" t="inlineStr">
        <is>
          <t>40</t>
        </is>
      </c>
      <c r="C181" t="inlineStr">
        <is>
          <t>Vivienda, ciudad y territorio</t>
        </is>
      </c>
      <c r="D181" t="inlineStr">
        <is>
          <t>4001</t>
        </is>
      </c>
      <c r="E181" t="inlineStr">
        <is>
          <t>Acceso a soluciones de vivienda</t>
        </is>
      </c>
      <c r="F181" t="inlineStr">
        <is>
          <t>4001001</t>
        </is>
      </c>
      <c r="G181" t="inlineStr">
        <is>
          <t>Servicio de asistencia técnica y jurídica en saneamiento y titulación de predios</t>
        </is>
      </c>
      <c r="H181" t="inlineStr">
        <is>
          <t>400100101</t>
        </is>
      </c>
      <c r="I181" t="inlineStr">
        <is>
          <t>Asistencias técnicas y jurídicas realizadas</t>
        </is>
      </c>
      <c r="J181" t="inlineStr">
        <is>
          <t>2024004250051</t>
        </is>
      </c>
      <c r="K181" t="inlineStr">
        <is>
          <t>Si</t>
        </is>
      </c>
      <c r="L181" t="inlineStr">
        <is>
          <t>Número</t>
        </is>
      </c>
      <c r="M181">
        <v>7000</v>
      </c>
      <c r="N181">
        <v>1400</v>
      </c>
      <c r="O181">
        <v>2100</v>
      </c>
      <c r="P181">
        <v>2000</v>
      </c>
      <c r="Q181">
        <v>1500</v>
      </c>
      <c r="R181">
        <v>0</v>
      </c>
      <c r="S181" s="103">
        <v>0</v>
      </c>
      <c r="T181" t="inlineStr">
        <is>
          <t>No se ejecutó en la vigencia</t>
        </is>
      </c>
      <c r="U181">
        <v>1880</v>
      </c>
      <c r="V181" s="104">
        <v>0.895238095238095</v>
      </c>
      <c r="W181" t="inlineStr">
        <is>
          <t>Lo ejecutado está por debajo de lo programado en la vigencia</t>
        </is>
      </c>
    </row>
    <row r="182">
      <c r="A182" t="inlineStr">
        <is>
          <t>IP-188</t>
        </is>
      </c>
      <c r="B182" t="inlineStr">
        <is>
          <t>40</t>
        </is>
      </c>
      <c r="C182" t="inlineStr">
        <is>
          <t>Vivienda, ciudad y territorio</t>
        </is>
      </c>
      <c r="D182" t="inlineStr">
        <is>
          <t>4001</t>
        </is>
      </c>
      <c r="E182" t="inlineStr">
        <is>
          <t>Acceso a soluciones de vivienda</t>
        </is>
      </c>
      <c r="F182" t="inlineStr">
        <is>
          <t>4001039</t>
        </is>
      </c>
      <c r="G182" t="inlineStr">
        <is>
          <t>Vivienda de Interés Prioritario construidas</t>
        </is>
      </c>
      <c r="H182" t="inlineStr">
        <is>
          <t>400103900</t>
        </is>
      </c>
      <c r="I182" t="inlineStr">
        <is>
          <t>Vivienda de Interés Prioritario construidas</t>
        </is>
      </c>
      <c r="J182" t="inlineStr">
        <is>
          <t>2024004250070</t>
        </is>
      </c>
      <c r="K182" t="inlineStr">
        <is>
          <t>Si</t>
        </is>
      </c>
      <c r="L182" t="inlineStr">
        <is>
          <t>Número</t>
        </is>
      </c>
      <c r="M182">
        <v>4000</v>
      </c>
      <c r="N182">
        <v>84</v>
      </c>
      <c r="O182">
        <v>1016</v>
      </c>
      <c r="P182">
        <v>2266</v>
      </c>
      <c r="Q182">
        <v>1734</v>
      </c>
      <c r="R182">
        <v>0</v>
      </c>
      <c r="S182" s="103">
        <v>0</v>
      </c>
      <c r="T182" t="inlineStr">
        <is>
          <t>No se ejecutó en la vigencia</t>
        </is>
      </c>
      <c r="U182">
        <v>0</v>
      </c>
      <c r="V182" s="104">
        <v>0</v>
      </c>
      <c r="W182" t="inlineStr">
        <is>
          <t>No se ejecutó en la vigencia</t>
        </is>
      </c>
    </row>
    <row r="183">
      <c r="A183" t="inlineStr">
        <is>
          <t>IP-189</t>
        </is>
      </c>
      <c r="B183" t="inlineStr">
        <is>
          <t>40</t>
        </is>
      </c>
      <c r="C183" t="inlineStr">
        <is>
          <t>Vivienda, ciudad y territorio</t>
        </is>
      </c>
      <c r="D183" t="inlineStr">
        <is>
          <t>4001</t>
        </is>
      </c>
      <c r="E183" t="inlineStr">
        <is>
          <t>Acceso a soluciones de vivienda</t>
        </is>
      </c>
      <c r="F183" t="inlineStr">
        <is>
          <t>4001049</t>
        </is>
      </c>
      <c r="G183" t="inlineStr">
        <is>
          <t>Vivienda de Interés Prioritario construidas en sitio propio</t>
        </is>
      </c>
      <c r="H183" t="inlineStr">
        <is>
          <t>400104900</t>
        </is>
      </c>
      <c r="I183" t="inlineStr">
        <is>
          <t>Vivienda de Interés Prioritario construidas en sitio propio</t>
        </is>
      </c>
      <c r="J183" t="inlineStr">
        <is>
          <t>2024004250070</t>
        </is>
      </c>
      <c r="K183" t="inlineStr">
        <is>
          <t>Si</t>
        </is>
      </c>
      <c r="L183" t="inlineStr">
        <is>
          <t>Número</t>
        </is>
      </c>
      <c r="M183">
        <v>1000</v>
      </c>
      <c r="N183">
        <v>0</v>
      </c>
      <c r="O183">
        <v>100</v>
      </c>
      <c r="P183">
        <v>450</v>
      </c>
      <c r="Q183">
        <v>450</v>
      </c>
      <c r="R183">
        <v>0</v>
      </c>
      <c r="S183" s="103" t="inlineStr">
        <is>
          <t xml:space="preserve"> </t>
        </is>
      </c>
      <c r="T183" t="inlineStr">
        <is>
          <t>No se programó ni ejecutó en la vigencia</t>
        </is>
      </c>
      <c r="U183">
        <v>0</v>
      </c>
      <c r="V183" s="104">
        <v>0</v>
      </c>
      <c r="W183" t="inlineStr">
        <is>
          <t>No se ejecutó en la vigencia</t>
        </is>
      </c>
    </row>
    <row r="184">
      <c r="A184" t="inlineStr">
        <is>
          <t>IP-190</t>
        </is>
      </c>
      <c r="B184" t="inlineStr">
        <is>
          <t>40</t>
        </is>
      </c>
      <c r="C184" t="inlineStr">
        <is>
          <t>Vivienda, ciudad y territorio</t>
        </is>
      </c>
      <c r="D184" t="inlineStr">
        <is>
          <t>4002</t>
        </is>
      </c>
      <c r="E184" t="inlineStr">
        <is>
          <t>Ordenamiento territorial y desarrollo urbano</t>
        </is>
      </c>
      <c r="F184" t="inlineStr">
        <is>
          <t>4002013</t>
        </is>
      </c>
      <c r="G184" t="inlineStr">
        <is>
          <t>Servicio de apoyo financiero para el Mejoramiento integral de barrios</t>
        </is>
      </c>
      <c r="H184" t="inlineStr">
        <is>
          <t>400201300</t>
        </is>
      </c>
      <c r="I184" t="inlineStr">
        <is>
          <t>Proyectos apoyados financieramente en Mejoramiento Integral de Barrios</t>
        </is>
      </c>
      <c r="J184" t="inlineStr">
        <is>
          <t>2024004250075</t>
        </is>
      </c>
      <c r="K184" t="inlineStr">
        <is>
          <t>Si</t>
        </is>
      </c>
      <c r="L184" t="inlineStr">
        <is>
          <t>Número</t>
        </is>
      </c>
      <c r="M184">
        <v>200</v>
      </c>
      <c r="N184">
        <v>35</v>
      </c>
      <c r="O184">
        <v>15</v>
      </c>
      <c r="P184">
        <v>84</v>
      </c>
      <c r="Q184">
        <v>79</v>
      </c>
      <c r="R184">
        <v>0</v>
      </c>
      <c r="S184" s="103">
        <v>0</v>
      </c>
      <c r="T184" t="inlineStr">
        <is>
          <t>No se ejecutó en la vigencia</t>
        </is>
      </c>
      <c r="U184">
        <v>0</v>
      </c>
      <c r="V184" s="104">
        <v>0</v>
      </c>
      <c r="W184" t="inlineStr">
        <is>
          <t>No se ejecutó en la vigencia</t>
        </is>
      </c>
    </row>
    <row r="185">
      <c r="A185" t="inlineStr">
        <is>
          <t>IP-191</t>
        </is>
      </c>
      <c r="B185" t="inlineStr">
        <is>
          <t>19</t>
        </is>
      </c>
      <c r="C185" t="inlineStr">
        <is>
          <t>Salud y protección social</t>
        </is>
      </c>
      <c r="D185" t="inlineStr">
        <is>
          <t>1906</t>
        </is>
      </c>
      <c r="E185" t="inlineStr">
        <is>
          <t>Aseguramiento y prestación integral de servicios de salud</t>
        </is>
      </c>
      <c r="F185" t="inlineStr">
        <is>
          <t>1906001</t>
        </is>
      </c>
      <c r="G185" t="inlineStr">
        <is>
          <t>Hospitales de primer nivel de atención adecuados</t>
        </is>
      </c>
      <c r="H185" t="inlineStr">
        <is>
          <t>190600100</t>
        </is>
      </c>
      <c r="I185" t="inlineStr">
        <is>
          <t>Hospitales de primer nivel de atención adecuados</t>
        </is>
      </c>
      <c r="J185" t="inlineStr">
        <is>
          <t>2024004250003, 2024004250260</t>
        </is>
      </c>
      <c r="K185" t="inlineStr">
        <is>
          <t>Si</t>
        </is>
      </c>
      <c r="L185" t="inlineStr">
        <is>
          <t>Número</t>
        </is>
      </c>
      <c r="M185">
        <v>100</v>
      </c>
      <c r="N185">
        <v>30</v>
      </c>
      <c r="O185">
        <v>15.1</v>
      </c>
      <c r="P185">
        <v>16.97</v>
      </c>
      <c r="Q185">
        <v>15.1</v>
      </c>
      <c r="R185" t="inlineStr">
        <is>
          <t xml:space="preserve"> </t>
        </is>
      </c>
      <c r="S185" s="103" t="inlineStr">
        <is>
          <t xml:space="preserve"> </t>
        </is>
      </c>
      <c r="T185" t="inlineStr">
        <is>
          <t>No se encontró ejecución en PIIP</t>
        </is>
      </c>
      <c r="U185" t="inlineStr">
        <is>
          <t xml:space="preserve"> </t>
        </is>
      </c>
      <c r="V185" s="104" t="inlineStr">
        <is>
          <t xml:space="preserve"> </t>
        </is>
      </c>
      <c r="W185" t="inlineStr">
        <is>
          <t>No se encontró ejecución en PIIP</t>
        </is>
      </c>
    </row>
    <row r="186">
      <c r="A186" t="inlineStr">
        <is>
          <t>IP-192</t>
        </is>
      </c>
      <c r="B186" t="inlineStr">
        <is>
          <t>41</t>
        </is>
      </c>
      <c r="C186" t="inlineStr">
        <is>
          <t xml:space="preserve">Inclusión social y reconciliación </t>
        </is>
      </c>
      <c r="D186" t="inlineStr">
        <is>
          <t>4104</t>
        </is>
      </c>
      <c r="E186" t="inlineStr">
        <is>
          <t>Atención integral de población en situación permanente de desprotección social y/o familiar</t>
        </is>
      </c>
      <c r="F186" t="inlineStr">
        <is>
          <t>4104002</t>
        </is>
      </c>
      <c r="G186" t="inlineStr">
        <is>
          <t>Centros de protección social para el adulto mayor adecuados</t>
        </is>
      </c>
      <c r="H186" t="inlineStr">
        <is>
          <t>410400200</t>
        </is>
      </c>
      <c r="I186" t="inlineStr">
        <is>
          <t>Centros de protección social para el adulto mayor adecuados</t>
        </is>
      </c>
      <c r="J186" t="inlineStr">
        <is>
          <t>2024004250091</t>
        </is>
      </c>
      <c r="K186" t="inlineStr">
        <is>
          <t>Si</t>
        </is>
      </c>
      <c r="L186" t="inlineStr">
        <is>
          <t>Número</t>
        </is>
      </c>
      <c r="M186">
        <v>7</v>
      </c>
      <c r="N186">
        <v>0</v>
      </c>
      <c r="O186">
        <v>7</v>
      </c>
      <c r="P186">
        <v>7</v>
      </c>
      <c r="Q186">
        <v>0</v>
      </c>
      <c r="R186" t="inlineStr">
        <is>
          <t xml:space="preserve"> </t>
        </is>
      </c>
      <c r="S186" s="103" t="inlineStr">
        <is>
          <t xml:space="preserve"> </t>
        </is>
      </c>
      <c r="T186" t="inlineStr">
        <is>
          <t>No se encontró ejecución en PIIP</t>
        </is>
      </c>
      <c r="U186">
        <v>0</v>
      </c>
      <c r="V186" s="104">
        <v>0</v>
      </c>
      <c r="W186" t="inlineStr">
        <is>
          <t>No se ejecutó en la vigencia</t>
        </is>
      </c>
    </row>
    <row r="187">
      <c r="A187" t="inlineStr">
        <is>
          <t>IP-193</t>
        </is>
      </c>
      <c r="B187" t="inlineStr">
        <is>
          <t>41</t>
        </is>
      </c>
      <c r="C187" t="inlineStr">
        <is>
          <t xml:space="preserve">Inclusión social y reconciliación </t>
        </is>
      </c>
      <c r="D187" t="inlineStr">
        <is>
          <t>4102</t>
        </is>
      </c>
      <c r="E187" t="inlineStr">
        <is>
          <t>Desarrollo integral de la primera infancia a la juventud, y fortalecimiento de las capacidades de las familias de niñas, niños y adolescentes</t>
        </is>
      </c>
      <c r="F187" t="inlineStr">
        <is>
          <t>4102004</t>
        </is>
      </c>
      <c r="G187" t="inlineStr">
        <is>
          <t>Edificaciones para la atención integral a la primera infancia construidas</t>
        </is>
      </c>
      <c r="H187" t="inlineStr">
        <is>
          <t>410200400</t>
        </is>
      </c>
      <c r="I187" t="inlineStr">
        <is>
          <t>Edificaciones de atención integral a la primera infancia construidas</t>
        </is>
      </c>
      <c r="J187" t="inlineStr">
        <is>
          <t>2024004250086, 2024004250093</t>
        </is>
      </c>
      <c r="K187" t="inlineStr">
        <is>
          <t>Si</t>
        </is>
      </c>
      <c r="L187" t="inlineStr">
        <is>
          <t>Número</t>
        </is>
      </c>
      <c r="M187">
        <v>15</v>
      </c>
      <c r="N187">
        <v>1</v>
      </c>
      <c r="O187">
        <v>5</v>
      </c>
      <c r="P187">
        <v>5</v>
      </c>
      <c r="Q187">
        <v>5</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IP-194</t>
        </is>
      </c>
      <c r="B188" t="inlineStr">
        <is>
          <t>22</t>
        </is>
      </c>
      <c r="C188" t="inlineStr">
        <is>
          <t>Educación</t>
        </is>
      </c>
      <c r="D188" t="inlineStr">
        <is>
          <t>2201</t>
        </is>
      </c>
      <c r="E188" t="inlineStr">
        <is>
          <t>Calidad, cobertura y fortalecimiento de la educación inicial, prescolar, básica y media</t>
        </is>
      </c>
      <c r="F188" t="inlineStr">
        <is>
          <t>2201052</t>
        </is>
      </c>
      <c r="G188" t="inlineStr">
        <is>
          <t>Infraestructura educativa mejorada</t>
        </is>
      </c>
      <c r="H188" t="inlineStr">
        <is>
          <t>220105200</t>
        </is>
      </c>
      <c r="I188" t="inlineStr">
        <is>
          <t xml:space="preserve">Sedes educativas mejoradas </t>
        </is>
      </c>
      <c r="J188" t="inlineStr">
        <is>
          <t>2024004250014</t>
        </is>
      </c>
      <c r="K188" t="inlineStr">
        <is>
          <t>Si</t>
        </is>
      </c>
      <c r="L188" t="inlineStr">
        <is>
          <t>Número</t>
        </is>
      </c>
      <c r="M188">
        <v>500</v>
      </c>
      <c r="N188">
        <v>80</v>
      </c>
      <c r="O188">
        <v>152</v>
      </c>
      <c r="P188">
        <v>150</v>
      </c>
      <c r="Q188">
        <v>118</v>
      </c>
      <c r="R188">
        <v>0</v>
      </c>
      <c r="S188" s="103">
        <v>0</v>
      </c>
      <c r="T188" t="inlineStr">
        <is>
          <t>No se ejecutó en la vigencia</t>
        </is>
      </c>
      <c r="U188">
        <v>43</v>
      </c>
      <c r="V188" s="104">
        <v>0.282894736842105</v>
      </c>
      <c r="W188" t="inlineStr">
        <is>
          <t>Lo ejecutado está por debajo de lo programado en la vigencia</t>
        </is>
      </c>
    </row>
    <row r="189">
      <c r="A189" t="inlineStr">
        <is>
          <t>IP-195</t>
        </is>
      </c>
      <c r="B189" t="inlineStr">
        <is>
          <t>22</t>
        </is>
      </c>
      <c r="C189" t="inlineStr">
        <is>
          <t>Educación</t>
        </is>
      </c>
      <c r="D189" t="inlineStr">
        <is>
          <t>2201</t>
        </is>
      </c>
      <c r="E189" t="inlineStr">
        <is>
          <t>Calidad, cobertura y fortalecimiento de la educación inicial, prescolar, básica y media</t>
        </is>
      </c>
      <c r="F189" t="inlineStr">
        <is>
          <t>2201062</t>
        </is>
      </c>
      <c r="G189" t="inlineStr">
        <is>
          <t>Infraestructura educativa mantenida</t>
        </is>
      </c>
      <c r="H189" t="inlineStr">
        <is>
          <t>220106200</t>
        </is>
      </c>
      <c r="I189" t="inlineStr">
        <is>
          <t>Sedes mantenidas</t>
        </is>
      </c>
      <c r="J189" t="inlineStr">
        <is>
          <t>2024004250014</t>
        </is>
      </c>
      <c r="K189" t="inlineStr">
        <is>
          <t>Si</t>
        </is>
      </c>
      <c r="L189" t="inlineStr">
        <is>
          <t>Número</t>
        </is>
      </c>
      <c r="M189">
        <v>1000</v>
      </c>
      <c r="N189">
        <v>250</v>
      </c>
      <c r="O189">
        <v>275</v>
      </c>
      <c r="P189">
        <v>477</v>
      </c>
      <c r="Q189">
        <v>0</v>
      </c>
      <c r="R189">
        <v>0</v>
      </c>
      <c r="S189" s="103">
        <v>0</v>
      </c>
      <c r="T189" t="inlineStr">
        <is>
          <t>No se ejecutó en la vigencia</t>
        </is>
      </c>
      <c r="U189" t="inlineStr">
        <is>
          <t xml:space="preserve"> </t>
        </is>
      </c>
      <c r="V189" s="104" t="inlineStr">
        <is>
          <t xml:space="preserve"> </t>
        </is>
      </c>
      <c r="W189" t="inlineStr">
        <is>
          <t>No se encontró ejecución en PIIP</t>
        </is>
      </c>
    </row>
    <row r="190">
      <c r="A190" t="inlineStr">
        <is>
          <t>IP-196</t>
        </is>
      </c>
      <c r="B190" t="inlineStr">
        <is>
          <t>22</t>
        </is>
      </c>
      <c r="C190" t="inlineStr">
        <is>
          <t>Educación</t>
        </is>
      </c>
      <c r="D190" t="inlineStr">
        <is>
          <t>2201</t>
        </is>
      </c>
      <c r="E190" t="inlineStr">
        <is>
          <t>Calidad, cobertura y fortalecimiento de la educación inicial, prescolar, básica y media</t>
        </is>
      </c>
      <c r="F190" t="inlineStr">
        <is>
          <t>2201051</t>
        </is>
      </c>
      <c r="G190" t="inlineStr">
        <is>
          <t>Infraestructura educativa construida</t>
        </is>
      </c>
      <c r="H190" t="inlineStr">
        <is>
          <t>220105100</t>
        </is>
      </c>
      <c r="I190" t="inlineStr">
        <is>
          <t xml:space="preserve">Sedes educativas nuevas construidas </t>
        </is>
      </c>
      <c r="J190" t="inlineStr">
        <is>
          <t>2024004250014</t>
        </is>
      </c>
      <c r="K190" t="inlineStr">
        <is>
          <t>Si</t>
        </is>
      </c>
      <c r="L190" t="inlineStr">
        <is>
          <t>Número</t>
        </is>
      </c>
      <c r="M190">
        <v>20</v>
      </c>
      <c r="N190">
        <v>2</v>
      </c>
      <c r="O190">
        <v>5</v>
      </c>
      <c r="P190">
        <v>5</v>
      </c>
      <c r="Q190">
        <v>8</v>
      </c>
      <c r="R190">
        <v>0</v>
      </c>
      <c r="S190" s="103">
        <v>0</v>
      </c>
      <c r="T190" t="inlineStr">
        <is>
          <t>No se ejecutó en la vigencia</t>
        </is>
      </c>
      <c r="U190" t="inlineStr">
        <is>
          <t xml:space="preserve"> </t>
        </is>
      </c>
      <c r="V190" s="104" t="inlineStr">
        <is>
          <t xml:space="preserve"> </t>
        </is>
      </c>
      <c r="W190" t="inlineStr">
        <is>
          <t>No se encontró ejecución en PIIP</t>
        </is>
      </c>
    </row>
    <row r="191">
      <c r="A191" t="inlineStr">
        <is>
          <t>IP-197</t>
        </is>
      </c>
      <c r="B191" t="inlineStr">
        <is>
          <t>43</t>
        </is>
      </c>
      <c r="C191" t="inlineStr">
        <is>
          <t>Deporte y Recreación</t>
        </is>
      </c>
      <c r="D191" t="inlineStr">
        <is>
          <t>4302</t>
        </is>
      </c>
      <c r="E191" t="inlineStr">
        <is>
          <t>Formación y preparación de deportistas</t>
        </is>
      </c>
      <c r="F191" t="inlineStr">
        <is>
          <t>4302067</t>
        </is>
      </c>
      <c r="G191" t="inlineStr">
        <is>
          <t>Polideportivos adecuados</t>
        </is>
      </c>
      <c r="H191" t="inlineStr">
        <is>
          <t>430206700</t>
        </is>
      </c>
      <c r="I191" t="inlineStr">
        <is>
          <t>Polideportivos adecuados</t>
        </is>
      </c>
      <c r="J191" t="inlineStr">
        <is>
          <t>2024004250044</t>
        </is>
      </c>
      <c r="K191" t="inlineStr">
        <is>
          <t>Si</t>
        </is>
      </c>
      <c r="L191" t="inlineStr">
        <is>
          <t>Número</t>
        </is>
      </c>
      <c r="M191">
        <v>200</v>
      </c>
      <c r="N191">
        <v>10</v>
      </c>
      <c r="O191">
        <v>80</v>
      </c>
      <c r="P191">
        <v>80</v>
      </c>
      <c r="Q191">
        <v>30</v>
      </c>
      <c r="R191" t="inlineStr">
        <is>
          <t xml:space="preserve"> </t>
        </is>
      </c>
      <c r="S191" s="103" t="inlineStr">
        <is>
          <t xml:space="preserve"> </t>
        </is>
      </c>
      <c r="T191" t="inlineStr">
        <is>
          <t>No se encontró ejecución en PIIP</t>
        </is>
      </c>
      <c r="U191" t="inlineStr">
        <is>
          <t xml:space="preserve"> </t>
        </is>
      </c>
      <c r="V191" s="104" t="inlineStr">
        <is>
          <t xml:space="preserve"> </t>
        </is>
      </c>
      <c r="W191" t="inlineStr">
        <is>
          <t>No se encontró ejecución en PIIP</t>
        </is>
      </c>
    </row>
    <row r="192">
      <c r="A192" t="inlineStr">
        <is>
          <t>IP-198</t>
        </is>
      </c>
      <c r="B192" t="inlineStr">
        <is>
          <t>22</t>
        </is>
      </c>
      <c r="C192" t="inlineStr">
        <is>
          <t>Educación</t>
        </is>
      </c>
      <c r="D192" t="inlineStr">
        <is>
          <t>2202</t>
        </is>
      </c>
      <c r="E192" t="inlineStr">
        <is>
          <t>Calidad y fomento de la educación superior</t>
        </is>
      </c>
      <c r="F192" t="inlineStr">
        <is>
          <t>2202072</t>
        </is>
      </c>
      <c r="G192" t="inlineStr">
        <is>
          <t>Sedes de instituciones de educación superior mejoradas</t>
        </is>
      </c>
      <c r="H192" t="inlineStr">
        <is>
          <t>220207200</t>
        </is>
      </c>
      <c r="I192" t="inlineStr">
        <is>
          <t>Sedes  de instituciones de educación  superior mejoradas</t>
        </is>
      </c>
      <c r="J192" t="inlineStr">
        <is>
          <t>2024004250011</t>
        </is>
      </c>
      <c r="K192" t="inlineStr">
        <is>
          <t>Si</t>
        </is>
      </c>
      <c r="L192" t="inlineStr">
        <is>
          <t>Número</t>
        </is>
      </c>
      <c r="M192">
        <v>3</v>
      </c>
      <c r="N192">
        <v>0.3</v>
      </c>
      <c r="O192">
        <v>0.6</v>
      </c>
      <c r="P192">
        <v>1</v>
      </c>
      <c r="Q192">
        <v>1.1</v>
      </c>
      <c r="R192" t="inlineStr">
        <is>
          <t xml:space="preserve"> </t>
        </is>
      </c>
      <c r="S192" s="103" t="inlineStr">
        <is>
          <t xml:space="preserve"> </t>
        </is>
      </c>
      <c r="T192" t="inlineStr">
        <is>
          <t>No se encontró ejecución en PIIP</t>
        </is>
      </c>
      <c r="U192" t="inlineStr">
        <is>
          <t xml:space="preserve"> </t>
        </is>
      </c>
      <c r="V192" s="104" t="inlineStr">
        <is>
          <t xml:space="preserve"> </t>
        </is>
      </c>
      <c r="W192" t="inlineStr">
        <is>
          <t>No se encontró ejecución en PIIP</t>
        </is>
      </c>
    </row>
    <row r="193">
      <c r="A193" t="inlineStr">
        <is>
          <t>IP-199</t>
        </is>
      </c>
      <c r="B193" t="inlineStr">
        <is>
          <t>45</t>
        </is>
      </c>
      <c r="C193" t="inlineStr">
        <is>
          <t>Gobierno Territorial</t>
        </is>
      </c>
      <c r="D193" t="inlineStr">
        <is>
          <t>4502</t>
        </is>
      </c>
      <c r="E193" t="inlineStr">
        <is>
          <t>Fortalecimiento del buen gobierno para el respeto y garantía de los derechos humanos.</t>
        </is>
      </c>
      <c r="F193" t="inlineStr">
        <is>
          <t>4502021</t>
        </is>
      </c>
      <c r="G193" t="inlineStr">
        <is>
          <t>Servicio de apoyo financiero para la implementación de proyectos en materia de derechos humanos</t>
        </is>
      </c>
      <c r="H193" t="inlineStr">
        <is>
          <t>450202100</t>
        </is>
      </c>
      <c r="I193" t="inlineStr">
        <is>
          <t>Proyectos cofinanciados</t>
        </is>
      </c>
      <c r="J193" t="inlineStr">
        <is>
          <t>2024004250138</t>
        </is>
      </c>
      <c r="K193" t="inlineStr">
        <is>
          <t>Si</t>
        </is>
      </c>
      <c r="L193" t="inlineStr">
        <is>
          <t>Número</t>
        </is>
      </c>
      <c r="M193">
        <v>2700</v>
      </c>
      <c r="N193">
        <v>450</v>
      </c>
      <c r="O193">
        <v>845</v>
      </c>
      <c r="P193">
        <v>845</v>
      </c>
      <c r="Q193">
        <v>560</v>
      </c>
      <c r="R193">
        <v>400</v>
      </c>
      <c r="S193" s="103">
        <v>0.888888888888889</v>
      </c>
      <c r="T193" t="inlineStr">
        <is>
          <t>Lo ejecutado está por debajo de lo programado en la vigencia</t>
        </is>
      </c>
      <c r="U193">
        <v>1404</v>
      </c>
      <c r="V193" s="104">
        <v>1.66153846153846</v>
      </c>
      <c r="W193" t="inlineStr">
        <is>
          <t>Hubo ejecución por encima de lo programado en SisPT</t>
        </is>
      </c>
    </row>
    <row r="194">
      <c r="A194" t="inlineStr">
        <is>
          <t>IP-200</t>
        </is>
      </c>
      <c r="B194" t="inlineStr">
        <is>
          <t>33</t>
        </is>
      </c>
      <c r="C194" t="inlineStr">
        <is>
          <t>Cultura</t>
        </is>
      </c>
      <c r="D194" t="inlineStr">
        <is>
          <t>3302</t>
        </is>
      </c>
      <c r="E194" t="inlineStr">
        <is>
          <t>Gestión, protección y salvaguardia del patrimonio cultural colombiano</t>
        </is>
      </c>
      <c r="F194" t="inlineStr">
        <is>
          <t>3302042</t>
        </is>
      </c>
      <c r="G194" t="inlineStr">
        <is>
          <t>Servicio de asistencia técnica en el manejo y gestión del patrimonio arqueológico, antropológico e histórico.</t>
        </is>
      </c>
      <c r="H194" t="inlineStr">
        <is>
          <t>330204200</t>
        </is>
      </c>
      <c r="I194" t="inlineStr">
        <is>
          <t xml:space="preserve">Asistencias técnicas realizadas a entidades territoriales </t>
        </is>
      </c>
      <c r="J194" t="inlineStr">
        <is>
          <t>2024004250204</t>
        </is>
      </c>
      <c r="K194" t="inlineStr">
        <is>
          <t>Si</t>
        </is>
      </c>
      <c r="L194" t="inlineStr">
        <is>
          <t>Número</t>
        </is>
      </c>
      <c r="M194">
        <v>10</v>
      </c>
      <c r="N194">
        <v>1</v>
      </c>
      <c r="O194">
        <v>4</v>
      </c>
      <c r="P194">
        <v>4</v>
      </c>
      <c r="Q194">
        <v>1</v>
      </c>
      <c r="R194" t="inlineStr">
        <is>
          <t xml:space="preserve"> </t>
        </is>
      </c>
      <c r="S194" s="103" t="inlineStr">
        <is>
          <t xml:space="preserve"> </t>
        </is>
      </c>
      <c r="T194" t="inlineStr">
        <is>
          <t>No se encontró ejecución en PIIP</t>
        </is>
      </c>
      <c r="U194" t="inlineStr">
        <is>
          <t xml:space="preserve"> </t>
        </is>
      </c>
      <c r="V194" s="104" t="inlineStr">
        <is>
          <t xml:space="preserve"> </t>
        </is>
      </c>
      <c r="W194" t="inlineStr">
        <is>
          <t>No se encontró ejecución en PIIP</t>
        </is>
      </c>
    </row>
    <row r="195">
      <c r="A195" t="inlineStr">
        <is>
          <t>IP-201</t>
        </is>
      </c>
      <c r="B195" t="inlineStr">
        <is>
          <t>33</t>
        </is>
      </c>
      <c r="C195" t="inlineStr">
        <is>
          <t>Cultura</t>
        </is>
      </c>
      <c r="D195" t="inlineStr">
        <is>
          <t>3301</t>
        </is>
      </c>
      <c r="E195" t="inlineStr">
        <is>
          <t>Promoción y acceso efectivo a procesos culturales y artísticos</t>
        </is>
      </c>
      <c r="F195" t="inlineStr">
        <is>
          <t>3301063</t>
        </is>
      </c>
      <c r="G195" t="inlineStr">
        <is>
          <t>Servicio de asistencia técnica para la viabilización de proyectos de infraestructura</t>
        </is>
      </c>
      <c r="H195" t="inlineStr">
        <is>
          <t>330106300</t>
        </is>
      </c>
      <c r="I195" t="inlineStr">
        <is>
          <t>Proyectos de infraestructura cultural  asistidos técnicamente</t>
        </is>
      </c>
      <c r="J195" t="inlineStr">
        <is>
          <t>2024004250214</t>
        </is>
      </c>
      <c r="K195" t="inlineStr">
        <is>
          <t>Si</t>
        </is>
      </c>
      <c r="L195" t="inlineStr">
        <is>
          <t>Número</t>
        </is>
      </c>
      <c r="M195">
        <v>30</v>
      </c>
      <c r="N195">
        <v>1</v>
      </c>
      <c r="O195">
        <v>10</v>
      </c>
      <c r="P195">
        <v>10</v>
      </c>
      <c r="Q195">
        <v>9</v>
      </c>
      <c r="R195" t="inlineStr">
        <is>
          <t xml:space="preserve"> </t>
        </is>
      </c>
      <c r="S195" s="103" t="inlineStr">
        <is>
          <t xml:space="preserve"> </t>
        </is>
      </c>
      <c r="T195" t="inlineStr">
        <is>
          <t>No se encontró ejecución en PIIP</t>
        </is>
      </c>
      <c r="U195" t="inlineStr">
        <is>
          <t xml:space="preserve"> </t>
        </is>
      </c>
      <c r="V195" s="104" t="inlineStr">
        <is>
          <t xml:space="preserve"> </t>
        </is>
      </c>
      <c r="W195" t="inlineStr">
        <is>
          <t>No se encontró ejecución en PIIP</t>
        </is>
      </c>
    </row>
    <row r="196">
      <c r="A196" t="inlineStr">
        <is>
          <t>IP-202</t>
        </is>
      </c>
      <c r="B196" t="inlineStr">
        <is>
          <t>33</t>
        </is>
      </c>
      <c r="C196" t="inlineStr">
        <is>
          <t>Cultura</t>
        </is>
      </c>
      <c r="D196" t="inlineStr">
        <is>
          <t>3302</t>
        </is>
      </c>
      <c r="E196" t="inlineStr">
        <is>
          <t>Gestión, protección y salvaguardia del patrimonio cultural colombiano</t>
        </is>
      </c>
      <c r="F196" t="inlineStr">
        <is>
          <t>3302030</t>
        </is>
      </c>
      <c r="G196" t="inlineStr">
        <is>
          <t>Servicio de preservación de los parques y áreas arqueológicaspatrimoniales</t>
        </is>
      </c>
      <c r="H196" t="inlineStr">
        <is>
          <t>330203000</t>
        </is>
      </c>
      <c r="I196" t="inlineStr">
        <is>
          <t>Parques arqueológicos  patrimoniales preservados</t>
        </is>
      </c>
      <c r="J196" t="inlineStr">
        <is>
          <t>2024004250076</t>
        </is>
      </c>
      <c r="K196" t="inlineStr">
        <is>
          <t>Si</t>
        </is>
      </c>
      <c r="L196" t="inlineStr">
        <is>
          <t>Número</t>
        </is>
      </c>
      <c r="M196">
        <v>10</v>
      </c>
      <c r="N196">
        <v>1</v>
      </c>
      <c r="O196">
        <v>4</v>
      </c>
      <c r="P196">
        <v>4</v>
      </c>
      <c r="Q196">
        <v>1</v>
      </c>
      <c r="R196" t="inlineStr">
        <is>
          <t xml:space="preserve"> </t>
        </is>
      </c>
      <c r="S196" s="103" t="inlineStr">
        <is>
          <t xml:space="preserve"> </t>
        </is>
      </c>
      <c r="T196" t="inlineStr">
        <is>
          <t>No se encontró ejecución en PIIP</t>
        </is>
      </c>
      <c r="U196" t="inlineStr">
        <is>
          <t xml:space="preserve"> </t>
        </is>
      </c>
      <c r="V196" s="104" t="inlineStr">
        <is>
          <t xml:space="preserve"> </t>
        </is>
      </c>
      <c r="W196" t="inlineStr">
        <is>
          <t>No se encontró ejecución en PIIP</t>
        </is>
      </c>
    </row>
    <row r="197">
      <c r="A197" t="inlineStr">
        <is>
          <t>IP-203</t>
        </is>
      </c>
      <c r="B197" t="inlineStr">
        <is>
          <t>17</t>
        </is>
      </c>
      <c r="C197" t="inlineStr">
        <is>
          <t xml:space="preserve">Agricultura y desarrollo rural
</t>
        </is>
      </c>
      <c r="D197" t="inlineStr">
        <is>
          <t>1702</t>
        </is>
      </c>
      <c r="E197" t="inlineStr">
        <is>
          <t>Inclusión productiva de pequeños productores rurales</t>
        </is>
      </c>
      <c r="F197" t="inlineStr">
        <is>
          <t>1702007</t>
        </is>
      </c>
      <c r="G197" t="inlineStr">
        <is>
          <t>Servicio de apoyo financiero para proyectos productivos</t>
        </is>
      </c>
      <c r="H197" t="inlineStr">
        <is>
          <t>170200700</t>
        </is>
      </c>
      <c r="I197" t="inlineStr">
        <is>
          <t>Proyectos productivos cofinanciados</t>
        </is>
      </c>
      <c r="J197" t="inlineStr">
        <is>
          <t>2024004250137</t>
        </is>
      </c>
      <c r="K197" t="inlineStr">
        <is>
          <t>Si</t>
        </is>
      </c>
      <c r="L197" t="inlineStr">
        <is>
          <t>Número</t>
        </is>
      </c>
      <c r="M197">
        <v>350</v>
      </c>
      <c r="N197">
        <v>124</v>
      </c>
      <c r="O197">
        <v>82</v>
      </c>
      <c r="P197">
        <v>82</v>
      </c>
      <c r="Q197">
        <v>62</v>
      </c>
      <c r="R197">
        <v>111</v>
      </c>
      <c r="S197" s="103">
        <v>0.895161290322581</v>
      </c>
      <c r="T197" t="inlineStr">
        <is>
          <t>Lo ejecutado está por debajo de lo programado en la vigencia</t>
        </is>
      </c>
      <c r="U197">
        <v>398</v>
      </c>
      <c r="V197" s="104">
        <v>4.85365853658537</v>
      </c>
      <c r="W197" t="inlineStr">
        <is>
          <t>Hubo ejecución por encima de lo programado en SisPT</t>
        </is>
      </c>
    </row>
    <row r="198">
      <c r="A198" t="inlineStr">
        <is>
          <t>IP-204</t>
        </is>
      </c>
      <c r="B198" t="inlineStr">
        <is>
          <t>41</t>
        </is>
      </c>
      <c r="C198" t="inlineStr">
        <is>
          <t xml:space="preserve">Inclusión social y reconciliación </t>
        </is>
      </c>
      <c r="D198" t="inlineStr">
        <is>
          <t>4103</t>
        </is>
      </c>
      <c r="E198" t="inlineStr">
        <is>
          <t>Inclusión social y productiva para la población en situación de vulnerabilidad</t>
        </is>
      </c>
      <c r="F198" t="inlineStr">
        <is>
          <t>4103057</t>
        </is>
      </c>
      <c r="G198" t="inlineStr">
        <is>
          <t>Servicio de apoyo a unidades productivas individuales para la generación de ingresos</t>
        </is>
      </c>
      <c r="H198" t="inlineStr">
        <is>
          <t>410305700</t>
        </is>
      </c>
      <c r="I198" t="inlineStr">
        <is>
          <t>Unidades productivas capitalizadas</t>
        </is>
      </c>
      <c r="J198" t="inlineStr">
        <is>
          <t>2024004250185</t>
        </is>
      </c>
      <c r="K198" t="inlineStr">
        <is>
          <t>Si</t>
        </is>
      </c>
      <c r="L198" t="inlineStr">
        <is>
          <t>Número</t>
        </is>
      </c>
      <c r="M198">
        <v>200</v>
      </c>
      <c r="N198">
        <v>30</v>
      </c>
      <c r="O198">
        <v>60</v>
      </c>
      <c r="P198">
        <v>60</v>
      </c>
      <c r="Q198">
        <v>50</v>
      </c>
      <c r="R198">
        <v>30</v>
      </c>
      <c r="S198" s="103">
        <v>1</v>
      </c>
      <c r="T198" t="inlineStr">
        <is>
          <t>Se ejecutó el 100% de lo programado en la vigencia</t>
        </is>
      </c>
      <c r="U198">
        <v>0</v>
      </c>
      <c r="V198" s="104">
        <v>0</v>
      </c>
      <c r="W198" t="inlineStr">
        <is>
          <t>No se ejecutó en la vigencia</t>
        </is>
      </c>
    </row>
    <row r="199">
      <c r="A199" t="inlineStr">
        <is>
          <t>IP-205</t>
        </is>
      </c>
      <c r="B199" t="inlineStr">
        <is>
          <t>41</t>
        </is>
      </c>
      <c r="C199" t="inlineStr">
        <is>
          <t xml:space="preserve">Inclusión social y reconciliación </t>
        </is>
      </c>
      <c r="D199" t="inlineStr">
        <is>
          <t>4103</t>
        </is>
      </c>
      <c r="E199" t="inlineStr">
        <is>
          <t>Inclusión social y productiva para la población en situación de vulnerabilidad</t>
        </is>
      </c>
      <c r="F199" t="inlineStr">
        <is>
          <t>4103027</t>
        </is>
      </c>
      <c r="G199" t="inlineStr">
        <is>
          <t>Centros comunitarios adecuados</t>
        </is>
      </c>
      <c r="H199" t="inlineStr">
        <is>
          <t>410302700</t>
        </is>
      </c>
      <c r="I199" t="inlineStr">
        <is>
          <t>Centros comunitarios adecuados</t>
        </is>
      </c>
      <c r="J199" t="inlineStr">
        <is>
          <t>2024004250152</t>
        </is>
      </c>
      <c r="K199" t="inlineStr">
        <is>
          <t>Si</t>
        </is>
      </c>
      <c r="L199" t="inlineStr">
        <is>
          <t>Número</t>
        </is>
      </c>
      <c r="M199">
        <v>1200</v>
      </c>
      <c r="N199">
        <v>150</v>
      </c>
      <c r="O199">
        <v>775</v>
      </c>
      <c r="P199">
        <v>138</v>
      </c>
      <c r="Q199">
        <v>137</v>
      </c>
      <c r="R199" t="inlineStr">
        <is>
          <t xml:space="preserve"> </t>
        </is>
      </c>
      <c r="S199" s="103" t="inlineStr">
        <is>
          <t xml:space="preserve"> </t>
        </is>
      </c>
      <c r="T199" t="inlineStr">
        <is>
          <t>No se encontró ejecución en PIIP</t>
        </is>
      </c>
      <c r="U199" t="inlineStr">
        <is>
          <t xml:space="preserve"> </t>
        </is>
      </c>
      <c r="V199" s="104" t="inlineStr">
        <is>
          <t xml:space="preserve"> </t>
        </is>
      </c>
      <c r="W199" t="inlineStr">
        <is>
          <t>No se encontró ejecución en PIIP</t>
        </is>
      </c>
    </row>
    <row r="200">
      <c r="A200" t="inlineStr">
        <is>
          <t>IP-206</t>
        </is>
      </c>
      <c r="B200" t="inlineStr">
        <is>
          <t>17</t>
        </is>
      </c>
      <c r="C200" t="inlineStr">
        <is>
          <t xml:space="preserve">Agricultura y desarrollo rural
</t>
        </is>
      </c>
      <c r="D200" t="inlineStr">
        <is>
          <t>1709</t>
        </is>
      </c>
      <c r="E200" t="inlineStr">
        <is>
          <t>Infraestructura productiva y comercialización</t>
        </is>
      </c>
      <c r="F200" t="inlineStr">
        <is>
          <t>1709065</t>
        </is>
      </c>
      <c r="G200" t="inlineStr">
        <is>
          <t>Plantas de beneficio animal adecuadas</t>
        </is>
      </c>
      <c r="H200" t="inlineStr">
        <is>
          <t>170906500</t>
        </is>
      </c>
      <c r="I200" t="inlineStr">
        <is>
          <t>Plantas de beneficio animal adecuadas</t>
        </is>
      </c>
      <c r="J200" t="inlineStr">
        <is>
          <t>2024004250062</t>
        </is>
      </c>
      <c r="K200" t="inlineStr">
        <is>
          <t>Si</t>
        </is>
      </c>
      <c r="L200" t="inlineStr">
        <is>
          <t>Número</t>
        </is>
      </c>
      <c r="M200">
        <v>20</v>
      </c>
      <c r="N200">
        <v>1</v>
      </c>
      <c r="O200">
        <v>1</v>
      </c>
      <c r="P200">
        <v>13</v>
      </c>
      <c r="Q200">
        <v>5</v>
      </c>
      <c r="R200" t="inlineStr">
        <is>
          <t xml:space="preserve"> </t>
        </is>
      </c>
      <c r="S200" s="103" t="inlineStr">
        <is>
          <t xml:space="preserve"> </t>
        </is>
      </c>
      <c r="T200" t="inlineStr">
        <is>
          <t>No se encontró ejecución en PIIP</t>
        </is>
      </c>
      <c r="U200" t="inlineStr">
        <is>
          <t xml:space="preserve"> </t>
        </is>
      </c>
      <c r="V200" s="104" t="inlineStr">
        <is>
          <t xml:space="preserve"> </t>
        </is>
      </c>
      <c r="W200" t="inlineStr">
        <is>
          <t>No se encontró ejecución en PIIP</t>
        </is>
      </c>
    </row>
    <row r="201">
      <c r="A201" t="inlineStr">
        <is>
          <t>IP-207, IP-219</t>
        </is>
      </c>
      <c r="B201" t="inlineStr">
        <is>
          <t>17</t>
        </is>
      </c>
      <c r="C201" t="inlineStr">
        <is>
          <t xml:space="preserve">Agricultura y desarrollo rural
</t>
        </is>
      </c>
      <c r="D201" t="inlineStr">
        <is>
          <t>1702</t>
        </is>
      </c>
      <c r="E201" t="inlineStr">
        <is>
          <t>Inclusión productiva de pequeños productores rurales</t>
        </is>
      </c>
      <c r="F201" t="inlineStr">
        <is>
          <t>1702021</t>
        </is>
      </c>
      <c r="G201" t="inlineStr">
        <is>
          <t>Servicio de acompañamiento productivo y empresarial</t>
        </is>
      </c>
      <c r="H201" t="inlineStr">
        <is>
          <t>170202100</t>
        </is>
      </c>
      <c r="I201" t="inlineStr">
        <is>
          <t>Unidades productivas beneficiadas</t>
        </is>
      </c>
      <c r="J201" t="inlineStr">
        <is>
          <t>2024004250055</t>
        </is>
      </c>
      <c r="K201" t="inlineStr">
        <is>
          <t>Si</t>
        </is>
      </c>
      <c r="L201" t="inlineStr">
        <is>
          <t>Número</t>
        </is>
      </c>
      <c r="M201">
        <v>61500</v>
      </c>
      <c r="N201">
        <v>3215</v>
      </c>
      <c r="O201">
        <v>23839</v>
      </c>
      <c r="P201">
        <v>34089</v>
      </c>
      <c r="Q201">
        <v>335</v>
      </c>
      <c r="R201">
        <v>3237</v>
      </c>
      <c r="S201" s="103">
        <v>1.00684292379471</v>
      </c>
      <c r="T201" t="inlineStr">
        <is>
          <t>Hubo ejecución por encima de lo programado en SisPT</t>
        </is>
      </c>
      <c r="U201">
        <v>11950</v>
      </c>
      <c r="V201" s="104">
        <v>0.501279416082889</v>
      </c>
      <c r="W201" t="inlineStr">
        <is>
          <t>Lo ejecutado está por debajo de lo programado en la vigencia</t>
        </is>
      </c>
    </row>
    <row r="202">
      <c r="A202" t="inlineStr">
        <is>
          <t>IP-208, IP-209, IP-216</t>
        </is>
      </c>
      <c r="B202" t="inlineStr">
        <is>
          <t>17</t>
        </is>
      </c>
      <c r="C202" t="inlineStr">
        <is>
          <t xml:space="preserve">Agricultura y desarrollo rural
</t>
        </is>
      </c>
      <c r="D202" t="inlineStr">
        <is>
          <t>1702</t>
        </is>
      </c>
      <c r="E202" t="inlineStr">
        <is>
          <t>Inclusión productiva de pequeños productores rurales</t>
        </is>
      </c>
      <c r="F202" t="inlineStr">
        <is>
          <t>1702038</t>
        </is>
      </c>
      <c r="G202" t="inlineStr">
        <is>
          <t>Servicio de apoyo a la comercialización</t>
        </is>
      </c>
      <c r="H202" t="inlineStr">
        <is>
          <t>170203800</t>
        </is>
      </c>
      <c r="I202" t="inlineStr">
        <is>
          <t>Organizaciones de productores formales apoyadas</t>
        </is>
      </c>
      <c r="J202" t="inlineStr">
        <is>
          <t>2024004250059</t>
        </is>
      </c>
      <c r="K202" t="inlineStr">
        <is>
          <t>Si</t>
        </is>
      </c>
      <c r="L202" t="inlineStr">
        <is>
          <t>Número</t>
        </is>
      </c>
      <c r="M202">
        <v>4520</v>
      </c>
      <c r="N202">
        <v>705</v>
      </c>
      <c r="O202">
        <v>1115</v>
      </c>
      <c r="P202">
        <v>1705</v>
      </c>
      <c r="Q202">
        <v>801</v>
      </c>
      <c r="R202" t="inlineStr">
        <is>
          <t xml:space="preserve"> </t>
        </is>
      </c>
      <c r="S202" s="103" t="inlineStr">
        <is>
          <t xml:space="preserve"> </t>
        </is>
      </c>
      <c r="T202" t="inlineStr">
        <is>
          <t>No se encontró ejecución en PIIP</t>
        </is>
      </c>
      <c r="U202" t="inlineStr">
        <is>
          <t xml:space="preserve"> </t>
        </is>
      </c>
      <c r="V202" s="104" t="inlineStr">
        <is>
          <t xml:space="preserve"> </t>
        </is>
      </c>
      <c r="W202" t="inlineStr">
        <is>
          <t>No se encontró ejecución en PIIP</t>
        </is>
      </c>
    </row>
    <row r="203">
      <c r="A203" t="inlineStr">
        <is>
          <t>IP-210</t>
        </is>
      </c>
      <c r="B203" t="inlineStr">
        <is>
          <t>17</t>
        </is>
      </c>
      <c r="C203" t="inlineStr">
        <is>
          <t xml:space="preserve">Agricultura y desarrollo rural
</t>
        </is>
      </c>
      <c r="D203" t="inlineStr">
        <is>
          <t>1709</t>
        </is>
      </c>
      <c r="E203" t="inlineStr">
        <is>
          <t>Infraestructura productiva y comercialización</t>
        </is>
      </c>
      <c r="F203" t="inlineStr">
        <is>
          <t>1709019</t>
        </is>
      </c>
      <c r="G203" t="inlineStr">
        <is>
          <t>Centros logísticos agropecuarios adecuados</t>
        </is>
      </c>
      <c r="H203" t="inlineStr">
        <is>
          <t>170901900</t>
        </is>
      </c>
      <c r="I203" t="inlineStr">
        <is>
          <t>Centros logísticos agropecuarios adecuados</t>
        </is>
      </c>
      <c r="J203" t="inlineStr">
        <is>
          <t>2024004250062</t>
        </is>
      </c>
      <c r="K203" t="inlineStr">
        <is>
          <t>Si</t>
        </is>
      </c>
      <c r="L203" t="inlineStr">
        <is>
          <t>Número</t>
        </is>
      </c>
      <c r="M203">
        <v>20</v>
      </c>
      <c r="N203">
        <v>6</v>
      </c>
      <c r="O203">
        <v>4</v>
      </c>
      <c r="P203">
        <v>6</v>
      </c>
      <c r="Q203">
        <v>4</v>
      </c>
      <c r="R203" t="inlineStr">
        <is>
          <t xml:space="preserve"> </t>
        </is>
      </c>
      <c r="S203" s="103" t="inlineStr">
        <is>
          <t xml:space="preserve"> </t>
        </is>
      </c>
      <c r="T203" t="inlineStr">
        <is>
          <t>No se encontró ejecución en PIIP</t>
        </is>
      </c>
      <c r="U203" t="inlineStr">
        <is>
          <t xml:space="preserve"> </t>
        </is>
      </c>
      <c r="V203" s="104" t="inlineStr">
        <is>
          <t xml:space="preserve"> </t>
        </is>
      </c>
      <c r="W203" t="inlineStr">
        <is>
          <t>No se encontró ejecución en PIIP</t>
        </is>
      </c>
    </row>
    <row r="204">
      <c r="A204" t="inlineStr">
        <is>
          <t>IP-211</t>
        </is>
      </c>
      <c r="B204" t="inlineStr">
        <is>
          <t>17</t>
        </is>
      </c>
      <c r="C204" t="inlineStr">
        <is>
          <t xml:space="preserve">Agricultura y desarrollo rural
</t>
        </is>
      </c>
      <c r="D204" t="inlineStr">
        <is>
          <t>1702</t>
        </is>
      </c>
      <c r="E204" t="inlineStr">
        <is>
          <t>Inclusión productiva de pequeños productores rurales</t>
        </is>
      </c>
      <c r="F204" t="inlineStr">
        <is>
          <t>1702009</t>
        </is>
      </c>
      <c r="G204" t="inlineStr">
        <is>
          <t>Servicio de apoyo financiero para el acceso a activos productivos y de comercialización</t>
        </is>
      </c>
      <c r="H204" t="inlineStr">
        <is>
          <t>170200900</t>
        </is>
      </c>
      <c r="I204" t="inlineStr">
        <is>
          <t>Productores apoyados con activos productivos y de comercialización</t>
        </is>
      </c>
      <c r="J204" t="inlineStr">
        <is>
          <t>2024004250080</t>
        </is>
      </c>
      <c r="K204" t="inlineStr">
        <is>
          <t>Si</t>
        </is>
      </c>
      <c r="L204" t="inlineStr">
        <is>
          <t>Número</t>
        </is>
      </c>
      <c r="M204">
        <v>2</v>
      </c>
      <c r="N204">
        <v>0</v>
      </c>
      <c r="O204">
        <v>0.5</v>
      </c>
      <c r="P204">
        <v>0.9</v>
      </c>
      <c r="Q204">
        <v>1</v>
      </c>
      <c r="R204" t="inlineStr">
        <is>
          <t xml:space="preserve"> </t>
        </is>
      </c>
      <c r="S204" s="103" t="inlineStr">
        <is>
          <t xml:space="preserve"> </t>
        </is>
      </c>
      <c r="T204" t="inlineStr">
        <is>
          <t>No se encontró ejecución en PIIP</t>
        </is>
      </c>
      <c r="U204" t="inlineStr">
        <is>
          <t xml:space="preserve"> </t>
        </is>
      </c>
      <c r="V204" s="104" t="inlineStr">
        <is>
          <t xml:space="preserve"> </t>
        </is>
      </c>
      <c r="W204" t="inlineStr">
        <is>
          <t>No se encontró ejecución en PIIP</t>
        </is>
      </c>
    </row>
    <row r="205">
      <c r="A205" t="inlineStr">
        <is>
          <t>IP-212</t>
        </is>
      </c>
      <c r="B205" t="inlineStr">
        <is>
          <t>17</t>
        </is>
      </c>
      <c r="C205" t="inlineStr">
        <is>
          <t xml:space="preserve">Agricultura y desarrollo rural
</t>
        </is>
      </c>
      <c r="D205" t="inlineStr">
        <is>
          <t>1702</t>
        </is>
      </c>
      <c r="E205" t="inlineStr">
        <is>
          <t>Inclusión productiva de pequeños productores rurales</t>
        </is>
      </c>
      <c r="F205" t="inlineStr">
        <is>
          <t>1702040</t>
        </is>
      </c>
      <c r="G205" t="inlineStr">
        <is>
          <t>Servicio de fomento a la asociatividad</t>
        </is>
      </c>
      <c r="H205" t="inlineStr">
        <is>
          <t>170204000</t>
        </is>
      </c>
      <c r="I205" t="inlineStr">
        <is>
          <t>Productores beneficiados con estrategias de fomento a la asociatividad</t>
        </is>
      </c>
      <c r="J205" t="inlineStr">
        <is>
          <t>2024004250055</t>
        </is>
      </c>
      <c r="K205" t="inlineStr">
        <is>
          <t>Si</t>
        </is>
      </c>
      <c r="L205" t="inlineStr">
        <is>
          <t>Número</t>
        </is>
      </c>
      <c r="M205">
        <v>1000</v>
      </c>
      <c r="N205">
        <v>280</v>
      </c>
      <c r="O205">
        <v>400</v>
      </c>
      <c r="P205">
        <v>250</v>
      </c>
      <c r="Q205">
        <v>70</v>
      </c>
      <c r="R205">
        <v>280</v>
      </c>
      <c r="S205" s="103">
        <v>1</v>
      </c>
      <c r="T205" t="inlineStr">
        <is>
          <t>Se ejecutó el 100% de lo programado en la vigencia</t>
        </is>
      </c>
      <c r="U205">
        <v>213</v>
      </c>
      <c r="V205" s="104">
        <v>0.5325</v>
      </c>
      <c r="W205" t="inlineStr">
        <is>
          <t>Lo ejecutado está por debajo de lo programado en la vigencia</t>
        </is>
      </c>
    </row>
    <row r="206">
      <c r="A206" t="inlineStr">
        <is>
          <t>IP-213</t>
        </is>
      </c>
      <c r="B206" t="inlineStr">
        <is>
          <t>17</t>
        </is>
      </c>
      <c r="C206" t="inlineStr">
        <is>
          <t xml:space="preserve">Agricultura y desarrollo rural
</t>
        </is>
      </c>
      <c r="D206" t="inlineStr">
        <is>
          <t>1702</t>
        </is>
      </c>
      <c r="E206" t="inlineStr">
        <is>
          <t>Inclusión productiva de pequeños productores rurales</t>
        </is>
      </c>
      <c r="F206" t="inlineStr">
        <is>
          <t>1702033</t>
        </is>
      </c>
      <c r="G206" t="inlineStr">
        <is>
          <t>Servicio de información para las alianzas productivas</t>
        </is>
      </c>
      <c r="H206" t="inlineStr">
        <is>
          <t>170203300</t>
        </is>
      </c>
      <c r="I206" t="inlineStr">
        <is>
          <t>Sistema de información de alianzas productivas implementado</t>
        </is>
      </c>
      <c r="J206" t="inlineStr">
        <is>
          <t>2024004250059</t>
        </is>
      </c>
      <c r="K206" t="inlineStr">
        <is>
          <t>Si</t>
        </is>
      </c>
      <c r="L206" t="inlineStr">
        <is>
          <t>Número</t>
        </is>
      </c>
      <c r="M206">
        <v>1</v>
      </c>
      <c r="N206">
        <v>0.25</v>
      </c>
      <c r="O206">
        <v>0</v>
      </c>
      <c r="P206">
        <v>0.5</v>
      </c>
      <c r="Q206">
        <v>0.25</v>
      </c>
      <c r="R206" t="inlineStr">
        <is>
          <t xml:space="preserve"> </t>
        </is>
      </c>
      <c r="S206" s="103" t="inlineStr">
        <is>
          <t xml:space="preserve"> </t>
        </is>
      </c>
      <c r="T206" t="inlineStr">
        <is>
          <t>No se encontró ejecución en PIIP</t>
        </is>
      </c>
      <c r="U206" t="inlineStr">
        <is>
          <t xml:space="preserve"> </t>
        </is>
      </c>
      <c r="V206" s="104" t="inlineStr">
        <is>
          <t xml:space="preserve"> </t>
        </is>
      </c>
      <c r="W206" t="inlineStr">
        <is>
          <t>No se encontró ejecución en PIIP</t>
        </is>
      </c>
    </row>
    <row r="207">
      <c r="A207" t="inlineStr">
        <is>
          <t>IP-214</t>
        </is>
      </c>
      <c r="B207" t="inlineStr">
        <is>
          <t>17</t>
        </is>
      </c>
      <c r="C207" t="inlineStr">
        <is>
          <t xml:space="preserve">Agricultura y desarrollo rural
</t>
        </is>
      </c>
      <c r="D207" t="inlineStr">
        <is>
          <t>1706</t>
        </is>
      </c>
      <c r="E207" t="inlineStr">
        <is>
          <t>Aprovechamiento de mercados externos</t>
        </is>
      </c>
      <c r="F207" t="inlineStr">
        <is>
          <t>1706008</t>
        </is>
      </c>
      <c r="G207" t="inlineStr">
        <is>
          <t>Servicio de apoyo financiero para la organización de ferias nacionales e internacionales</t>
        </is>
      </c>
      <c r="H207" t="inlineStr">
        <is>
          <t>170600800</t>
        </is>
      </c>
      <c r="I207" t="inlineStr">
        <is>
          <t>Ferias nacionales e internacionales organizadas</t>
        </is>
      </c>
      <c r="J207" t="inlineStr">
        <is>
          <t>2024004250087</t>
        </is>
      </c>
      <c r="K207" t="inlineStr">
        <is>
          <t>Si</t>
        </is>
      </c>
      <c r="L207" t="inlineStr">
        <is>
          <t>Número</t>
        </is>
      </c>
      <c r="M207">
        <v>2</v>
      </c>
      <c r="N207">
        <v>0</v>
      </c>
      <c r="O207">
        <v>1</v>
      </c>
      <c r="P207">
        <v>0</v>
      </c>
      <c r="Q207">
        <v>1</v>
      </c>
      <c r="R207" t="inlineStr">
        <is>
          <t xml:space="preserve"> </t>
        </is>
      </c>
      <c r="S207" s="103" t="inlineStr">
        <is>
          <t xml:space="preserve"> </t>
        </is>
      </c>
      <c r="T207" t="inlineStr">
        <is>
          <t>No se encontró ejecución en PIIP</t>
        </is>
      </c>
      <c r="U207" t="inlineStr">
        <is>
          <t xml:space="preserve"> </t>
        </is>
      </c>
      <c r="V207" s="104" t="inlineStr">
        <is>
          <t xml:space="preserve"> </t>
        </is>
      </c>
      <c r="W207" t="inlineStr">
        <is>
          <t>No se encontró ejecución en PIIP</t>
        </is>
      </c>
    </row>
    <row r="208">
      <c r="A208" t="inlineStr">
        <is>
          <t>IP-215</t>
        </is>
      </c>
      <c r="B208" t="inlineStr">
        <is>
          <t>17</t>
        </is>
      </c>
      <c r="C208" t="inlineStr">
        <is>
          <t xml:space="preserve">Agricultura y desarrollo rural
</t>
        </is>
      </c>
      <c r="D208" t="inlineStr">
        <is>
          <t>1702</t>
        </is>
      </c>
      <c r="E208" t="inlineStr">
        <is>
          <t>Inclusión productiva de pequeños productores rurales</t>
        </is>
      </c>
      <c r="F208" t="inlineStr">
        <is>
          <t>1702021</t>
        </is>
      </c>
      <c r="G208" t="inlineStr">
        <is>
          <t>Servicio de acompañamiento productivo y empresarial</t>
        </is>
      </c>
      <c r="H208" t="inlineStr">
        <is>
          <t>170202100</t>
        </is>
      </c>
      <c r="I208" t="inlineStr">
        <is>
          <t>Unidades productivas beneficiadas</t>
        </is>
      </c>
      <c r="J208" t="inlineStr">
        <is>
          <t>2024004250059</t>
        </is>
      </c>
      <c r="K208" t="inlineStr">
        <is>
          <t>Si</t>
        </is>
      </c>
      <c r="L208" t="inlineStr">
        <is>
          <t>Número</t>
        </is>
      </c>
      <c r="M208">
        <v>500</v>
      </c>
      <c r="N208">
        <v>50</v>
      </c>
      <c r="O208">
        <v>55</v>
      </c>
      <c r="P208">
        <v>224</v>
      </c>
      <c r="Q208">
        <v>170</v>
      </c>
      <c r="R208" t="inlineStr">
        <is>
          <t xml:space="preserve"> </t>
        </is>
      </c>
      <c r="S208" s="103" t="inlineStr">
        <is>
          <t xml:space="preserve"> </t>
        </is>
      </c>
      <c r="T208" t="inlineStr">
        <is>
          <t>No se encontró ejecución en PIIP</t>
        </is>
      </c>
      <c r="U208" t="inlineStr">
        <is>
          <t xml:space="preserve"> </t>
        </is>
      </c>
      <c r="V208" s="104" t="inlineStr">
        <is>
          <t xml:space="preserve"> </t>
        </is>
      </c>
      <c r="W208" t="inlineStr">
        <is>
          <t>No se encontró ejecución en PIIP</t>
        </is>
      </c>
    </row>
    <row r="209">
      <c r="A209" t="inlineStr">
        <is>
          <t>IP-217</t>
        </is>
      </c>
      <c r="B209" t="inlineStr">
        <is>
          <t>40</t>
        </is>
      </c>
      <c r="C209" t="inlineStr">
        <is>
          <t>Vivienda, ciudad y territorio</t>
        </is>
      </c>
      <c r="D209" t="inlineStr">
        <is>
          <t>4003</t>
        </is>
      </c>
      <c r="E209" t="inlineStr">
        <is>
          <t>Acceso de la población a los servicios de agua potable y saneamiento básico</t>
        </is>
      </c>
      <c r="F209" t="inlineStr">
        <is>
          <t>4003012</t>
        </is>
      </c>
      <c r="G209" t="inlineStr">
        <is>
          <t>Soluciones de disposición final de residuos solidos construidas</t>
        </is>
      </c>
      <c r="H209" t="inlineStr">
        <is>
          <t>400301200</t>
        </is>
      </c>
      <c r="I209" t="inlineStr">
        <is>
          <t>Soluciones de disposición final de residuos solidos construidas</t>
        </is>
      </c>
      <c r="J209" t="inlineStr">
        <is>
          <t>2024004250145</t>
        </is>
      </c>
      <c r="K209" t="inlineStr">
        <is>
          <t>Si</t>
        </is>
      </c>
      <c r="L209" t="inlineStr">
        <is>
          <t>Número</t>
        </is>
      </c>
      <c r="M209">
        <v>1</v>
      </c>
      <c r="N209">
        <v>0</v>
      </c>
      <c r="O209">
        <v>0.2</v>
      </c>
      <c r="P209">
        <v>0.8</v>
      </c>
      <c r="Q209">
        <v>0</v>
      </c>
      <c r="R209" t="inlineStr">
        <is>
          <t xml:space="preserve"> </t>
        </is>
      </c>
      <c r="S209" s="103" t="inlineStr">
        <is>
          <t xml:space="preserve"> </t>
        </is>
      </c>
      <c r="T209" t="inlineStr">
        <is>
          <t>No se encontró ejecución en PIIP</t>
        </is>
      </c>
      <c r="U209" t="inlineStr">
        <is>
          <t xml:space="preserve"> </t>
        </is>
      </c>
      <c r="V209" s="104" t="inlineStr">
        <is>
          <t xml:space="preserve"> </t>
        </is>
      </c>
      <c r="W209" t="inlineStr">
        <is>
          <t>No se encontró ejecución en PIIP</t>
        </is>
      </c>
    </row>
    <row r="210">
      <c r="A210" t="inlineStr">
        <is>
          <t>IP-218</t>
        </is>
      </c>
      <c r="B210" t="inlineStr">
        <is>
          <t>35</t>
        </is>
      </c>
      <c r="C210" t="inlineStr">
        <is>
          <t>Comercio, industria y turismo</t>
        </is>
      </c>
      <c r="D210" t="inlineStr">
        <is>
          <t>3502</t>
        </is>
      </c>
      <c r="E210" t="inlineStr">
        <is>
          <t>Productividad y competitividad de las empresas colombianas</t>
        </is>
      </c>
      <c r="F210" t="inlineStr">
        <is>
          <t>3502004</t>
        </is>
      </c>
      <c r="G210" t="inlineStr">
        <is>
          <t>Servicio de apoyo financiero para el mejoramiento de productos o procesos</t>
        </is>
      </c>
      <c r="H210" t="inlineStr">
        <is>
          <t>350200400</t>
        </is>
      </c>
      <c r="I210" t="inlineStr">
        <is>
          <t>Empresas beneficiadas</t>
        </is>
      </c>
      <c r="J210" t="inlineStr">
        <is>
          <t>2024004250081</t>
        </is>
      </c>
      <c r="K210" t="inlineStr">
        <is>
          <t>Si</t>
        </is>
      </c>
      <c r="L210" t="inlineStr">
        <is>
          <t>Número</t>
        </is>
      </c>
      <c r="M210">
        <v>5000</v>
      </c>
      <c r="N210">
        <v>850</v>
      </c>
      <c r="O210">
        <v>1993</v>
      </c>
      <c r="P210">
        <v>930</v>
      </c>
      <c r="Q210">
        <v>1220</v>
      </c>
      <c r="R210" t="inlineStr">
        <is>
          <t xml:space="preserve"> </t>
        </is>
      </c>
      <c r="S210" s="103" t="inlineStr">
        <is>
          <t xml:space="preserve"> </t>
        </is>
      </c>
      <c r="T210" t="inlineStr">
        <is>
          <t>No se encontró ejecución en PIIP</t>
        </is>
      </c>
      <c r="U210" t="inlineStr">
        <is>
          <t xml:space="preserve"> </t>
        </is>
      </c>
      <c r="V210" s="104" t="inlineStr">
        <is>
          <t xml:space="preserve"> </t>
        </is>
      </c>
      <c r="W210" t="inlineStr">
        <is>
          <t>No se encontró ejecución en PIIP</t>
        </is>
      </c>
    </row>
    <row r="211">
      <c r="A211" t="inlineStr">
        <is>
          <t>IP-220</t>
        </is>
      </c>
      <c r="B211" t="inlineStr">
        <is>
          <t>17</t>
        </is>
      </c>
      <c r="C211" t="inlineStr">
        <is>
          <t xml:space="preserve">Agricultura y desarrollo rural
</t>
        </is>
      </c>
      <c r="D211" t="inlineStr">
        <is>
          <t>1702</t>
        </is>
      </c>
      <c r="E211" t="inlineStr">
        <is>
          <t>Inclusión productiva de pequeños productores rurales</t>
        </is>
      </c>
      <c r="F211" t="inlineStr">
        <is>
          <t>1702007</t>
        </is>
      </c>
      <c r="G211" t="inlineStr">
        <is>
          <t>Servicio de apoyo financiero para proyectos productivos</t>
        </is>
      </c>
      <c r="H211" t="inlineStr">
        <is>
          <t>170200700</t>
        </is>
      </c>
      <c r="I211" t="inlineStr">
        <is>
          <t>Proyectos productivos cofinanciados</t>
        </is>
      </c>
      <c r="J211" t="inlineStr">
        <is>
          <t>2024004250221</t>
        </is>
      </c>
      <c r="K211" t="inlineStr">
        <is>
          <t>Si</t>
        </is>
      </c>
      <c r="L211" t="inlineStr">
        <is>
          <t>Número</t>
        </is>
      </c>
      <c r="M211">
        <v>300</v>
      </c>
      <c r="N211">
        <v>0.5</v>
      </c>
      <c r="O211">
        <v>75.5</v>
      </c>
      <c r="P211">
        <v>224</v>
      </c>
      <c r="Q211">
        <v>0</v>
      </c>
      <c r="R211">
        <v>16</v>
      </c>
      <c r="S211" s="103">
        <v>32</v>
      </c>
      <c r="T211" t="inlineStr">
        <is>
          <t>Hubo ejecución por encima de lo programado en SisPT</t>
        </is>
      </c>
      <c r="U211">
        <v>122.4</v>
      </c>
      <c r="V211" s="104">
        <v>1.62119205298013</v>
      </c>
      <c r="W211" t="inlineStr">
        <is>
          <t>Hubo ejecución por encima de lo programado en SisPT</t>
        </is>
      </c>
    </row>
    <row r="212">
      <c r="A212" t="inlineStr">
        <is>
          <t>IP-221</t>
        </is>
      </c>
      <c r="B212" t="inlineStr">
        <is>
          <t>17</t>
        </is>
      </c>
      <c r="C212" t="inlineStr">
        <is>
          <t xml:space="preserve">Agricultura y desarrollo rural
</t>
        </is>
      </c>
      <c r="D212" t="inlineStr">
        <is>
          <t>1708</t>
        </is>
      </c>
      <c r="E212" t="inlineStr">
        <is>
          <t>Ciencia, tecnología e innovación agropecuaria</t>
        </is>
      </c>
      <c r="F212" t="inlineStr">
        <is>
          <t>1708041</t>
        </is>
      </c>
      <c r="G212" t="inlineStr">
        <is>
          <t>Servicio de extensión agropecuaria</t>
        </is>
      </c>
      <c r="H212" t="inlineStr">
        <is>
          <t>170804100</t>
        </is>
      </c>
      <c r="I212" t="inlineStr">
        <is>
          <t>Productores atendidos con servicio de extensión agropecuaria</t>
        </is>
      </c>
      <c r="J212" t="inlineStr">
        <is>
          <t>2024004250211</t>
        </is>
      </c>
      <c r="K212" t="inlineStr">
        <is>
          <t>No</t>
        </is>
      </c>
      <c r="L212" t="inlineStr">
        <is>
          <t>Número</t>
        </is>
      </c>
      <c r="M212">
        <v>116</v>
      </c>
      <c r="N212">
        <v>116</v>
      </c>
      <c r="O212">
        <v>116</v>
      </c>
      <c r="P212">
        <v>116</v>
      </c>
      <c r="Q212">
        <v>116</v>
      </c>
      <c r="R212">
        <v>13.25</v>
      </c>
      <c r="S212" s="103">
        <v>0.114224137931034</v>
      </c>
      <c r="T212" t="inlineStr">
        <is>
          <t>Lo ejecutado está por debajo de lo programado en la vigencia</t>
        </is>
      </c>
      <c r="U212">
        <v>98.6</v>
      </c>
      <c r="V212" s="104">
        <v>0.85</v>
      </c>
      <c r="W212" t="inlineStr">
        <is>
          <t>Lo ejecutado está por debajo de lo programado en la vigencia</t>
        </is>
      </c>
    </row>
    <row r="213">
      <c r="A213" t="inlineStr">
        <is>
          <t>IP-222</t>
        </is>
      </c>
      <c r="B213" t="inlineStr">
        <is>
          <t>17</t>
        </is>
      </c>
      <c r="C213" t="inlineStr">
        <is>
          <t xml:space="preserve">Agricultura y desarrollo rural
</t>
        </is>
      </c>
      <c r="D213" t="inlineStr">
        <is>
          <t>1702</t>
        </is>
      </c>
      <c r="E213" t="inlineStr">
        <is>
          <t>Inclusión productiva de pequeños productores rurales</t>
        </is>
      </c>
      <c r="F213" t="inlineStr">
        <is>
          <t>1702021</t>
        </is>
      </c>
      <c r="G213" t="inlineStr">
        <is>
          <t>Servicio de acompañamiento productivo y empresarial</t>
        </is>
      </c>
      <c r="H213" t="inlineStr">
        <is>
          <t>170202100</t>
        </is>
      </c>
      <c r="I213" t="inlineStr">
        <is>
          <t>Unidades productivas beneficiadas</t>
        </is>
      </c>
      <c r="J213" t="inlineStr">
        <is>
          <t>2024004250064</t>
        </is>
      </c>
      <c r="K213" t="inlineStr">
        <is>
          <t>Si</t>
        </is>
      </c>
      <c r="L213" t="inlineStr">
        <is>
          <t>Número</t>
        </is>
      </c>
      <c r="M213">
        <v>20000</v>
      </c>
      <c r="N213">
        <v>4000</v>
      </c>
      <c r="O213">
        <v>4500</v>
      </c>
      <c r="P213">
        <v>5750</v>
      </c>
      <c r="Q213">
        <v>5750</v>
      </c>
      <c r="R213">
        <v>865</v>
      </c>
      <c r="S213" s="103">
        <v>0.21625</v>
      </c>
      <c r="T213" t="inlineStr">
        <is>
          <t>Lo ejecutado está por debajo de lo programado en la vigencia</t>
        </is>
      </c>
      <c r="U213">
        <v>4376</v>
      </c>
      <c r="V213" s="104">
        <v>0.972444444444444</v>
      </c>
      <c r="W213" t="inlineStr">
        <is>
          <t>Lo ejecutado está por debajo de lo programado en la vigencia</t>
        </is>
      </c>
    </row>
    <row r="214">
      <c r="A214" t="inlineStr">
        <is>
          <t>IP-223</t>
        </is>
      </c>
      <c r="B214" t="inlineStr">
        <is>
          <t>17</t>
        </is>
      </c>
      <c r="C214" t="inlineStr">
        <is>
          <t xml:space="preserve">Agricultura y desarrollo rural
</t>
        </is>
      </c>
      <c r="D214" t="inlineStr">
        <is>
          <t>1702</t>
        </is>
      </c>
      <c r="E214" t="inlineStr">
        <is>
          <t>Inclusión productiva de pequeños productores rurales</t>
        </is>
      </c>
      <c r="F214" t="inlineStr">
        <is>
          <t>1702007</t>
        </is>
      </c>
      <c r="G214" t="inlineStr">
        <is>
          <t>Servicio de apoyo financiero para proyectos productivos</t>
        </is>
      </c>
      <c r="H214" t="inlineStr">
        <is>
          <t>170200700</t>
        </is>
      </c>
      <c r="I214" t="inlineStr">
        <is>
          <t>Proyectos productivos cofinanciados</t>
        </is>
      </c>
      <c r="J214" t="inlineStr">
        <is>
          <t>2024004250219</t>
        </is>
      </c>
      <c r="K214" t="inlineStr">
        <is>
          <t>Si</t>
        </is>
      </c>
      <c r="L214" t="inlineStr">
        <is>
          <t>Número</t>
        </is>
      </c>
      <c r="M214">
        <v>5</v>
      </c>
      <c r="N214">
        <v>1</v>
      </c>
      <c r="O214">
        <v>0.6</v>
      </c>
      <c r="P214">
        <v>3.4</v>
      </c>
      <c r="Q214">
        <v>0</v>
      </c>
      <c r="R214" t="inlineStr">
        <is>
          <t xml:space="preserve"> </t>
        </is>
      </c>
      <c r="S214" s="103" t="inlineStr">
        <is>
          <t xml:space="preserve"> </t>
        </is>
      </c>
      <c r="T214" t="inlineStr">
        <is>
          <t>No se encontró ejecución en PIIP</t>
        </is>
      </c>
      <c r="U214" t="inlineStr">
        <is>
          <t xml:space="preserve"> </t>
        </is>
      </c>
      <c r="V214" s="104" t="inlineStr">
        <is>
          <t xml:space="preserve"> </t>
        </is>
      </c>
      <c r="W214" t="inlineStr">
        <is>
          <t>No se encontró ejecución en PIIP</t>
        </is>
      </c>
    </row>
    <row r="215">
      <c r="A215" t="inlineStr">
        <is>
          <t>IP-224</t>
        </is>
      </c>
      <c r="B215" t="inlineStr">
        <is>
          <t>17</t>
        </is>
      </c>
      <c r="C215" t="inlineStr">
        <is>
          <t xml:space="preserve">Agricultura y desarrollo rural
</t>
        </is>
      </c>
      <c r="D215" t="inlineStr">
        <is>
          <t>1709</t>
        </is>
      </c>
      <c r="E215" t="inlineStr">
        <is>
          <t>Infraestructura productiva y comercialización</t>
        </is>
      </c>
      <c r="F215" t="inlineStr">
        <is>
          <t>1709043</t>
        </is>
      </c>
      <c r="G215" t="inlineStr">
        <is>
          <t>Infraestructura de producción agrícola construida</t>
        </is>
      </c>
      <c r="H215" t="inlineStr">
        <is>
          <t>170904300</t>
        </is>
      </c>
      <c r="I215" t="inlineStr">
        <is>
          <t>Infraestructura de producción agrícola construida</t>
        </is>
      </c>
      <c r="J215" t="inlineStr">
        <is>
          <t>2024004250212</t>
        </is>
      </c>
      <c r="K215" t="inlineStr">
        <is>
          <t>Si</t>
        </is>
      </c>
      <c r="L215" t="inlineStr">
        <is>
          <t>Número</t>
        </is>
      </c>
      <c r="M215">
        <v>10</v>
      </c>
      <c r="N215">
        <v>0.5</v>
      </c>
      <c r="O215">
        <v>0.5</v>
      </c>
      <c r="P215">
        <v>5</v>
      </c>
      <c r="Q215">
        <v>4</v>
      </c>
      <c r="R215" t="inlineStr">
        <is>
          <t xml:space="preserve"> </t>
        </is>
      </c>
      <c r="S215" s="103" t="inlineStr">
        <is>
          <t xml:space="preserve"> </t>
        </is>
      </c>
      <c r="T215" t="inlineStr">
        <is>
          <t>No se encontró ejecución en PIIP</t>
        </is>
      </c>
      <c r="U215">
        <v>4.052</v>
      </c>
      <c r="V215" s="104">
        <v>8.104</v>
      </c>
      <c r="W215" t="inlineStr">
        <is>
          <t>Hubo ejecución por encima de lo programado en SisPT</t>
        </is>
      </c>
    </row>
    <row r="216">
      <c r="A216" t="inlineStr">
        <is>
          <t>IP-225</t>
        </is>
      </c>
      <c r="B216" t="inlineStr">
        <is>
          <t>17</t>
        </is>
      </c>
      <c r="C216" t="inlineStr">
        <is>
          <t xml:space="preserve">Agricultura y desarrollo rural
</t>
        </is>
      </c>
      <c r="D216" t="inlineStr">
        <is>
          <t>1703</t>
        </is>
      </c>
      <c r="E216" t="inlineStr">
        <is>
          <t>Servicios financieros y gestión del riesgo para las actividades agropecuarias y rurales</t>
        </is>
      </c>
      <c r="F216" t="inlineStr">
        <is>
          <t>1703006</t>
        </is>
      </c>
      <c r="G216" t="inlineStr">
        <is>
          <t>Servicio de apoyo financiero para el acceso al crédito agropecuario y rural</t>
        </is>
      </c>
      <c r="H216" t="inlineStr">
        <is>
          <t>170300600</t>
        </is>
      </c>
      <c r="I216" t="inlineStr">
        <is>
          <t>Productores  con acceso a crédito agropecuario y rural</t>
        </is>
      </c>
      <c r="J216" t="inlineStr">
        <is>
          <t>2024004250098</t>
        </is>
      </c>
      <c r="K216" t="inlineStr">
        <is>
          <t>Si</t>
        </is>
      </c>
      <c r="L216" t="inlineStr">
        <is>
          <t>Número</t>
        </is>
      </c>
      <c r="M216">
        <v>6000</v>
      </c>
      <c r="N216">
        <v>1087</v>
      </c>
      <c r="O216">
        <v>803</v>
      </c>
      <c r="P216">
        <v>2055</v>
      </c>
      <c r="Q216">
        <v>2055</v>
      </c>
      <c r="R216">
        <v>779</v>
      </c>
      <c r="S216" s="103">
        <v>0.716651333946642</v>
      </c>
      <c r="T216" t="inlineStr">
        <is>
          <t>Lo ejecutado está por debajo de lo programado en la vigencia</t>
        </is>
      </c>
      <c r="U216">
        <v>5293</v>
      </c>
      <c r="V216" s="104">
        <v>6.59153175591532</v>
      </c>
      <c r="W216" t="inlineStr">
        <is>
          <t>Hubo ejecución por encima de lo programado en SisPT</t>
        </is>
      </c>
    </row>
    <row r="217">
      <c r="A217" t="inlineStr">
        <is>
          <t>IP-226</t>
        </is>
      </c>
      <c r="B217" t="inlineStr">
        <is>
          <t>17</t>
        </is>
      </c>
      <c r="C217" t="inlineStr">
        <is>
          <t xml:space="preserve">Agricultura y desarrollo rural
</t>
        </is>
      </c>
      <c r="D217" t="inlineStr">
        <is>
          <t>1704</t>
        </is>
      </c>
      <c r="E217" t="inlineStr">
        <is>
          <t>Ordenamiento social y uso productivo del territorio rural</t>
        </is>
      </c>
      <c r="F217" t="inlineStr">
        <is>
          <t>1704010</t>
        </is>
      </c>
      <c r="G217" t="inlineStr">
        <is>
          <t>Servicio de apoyo financiero para la formalización de la propiedad</t>
        </is>
      </c>
      <c r="H217" t="inlineStr">
        <is>
          <t>170401000</t>
        </is>
      </c>
      <c r="I217" t="inlineStr">
        <is>
          <t>Predios formalizados o regularizados para el desarrollo rural</t>
        </is>
      </c>
      <c r="J217" t="inlineStr">
        <is>
          <t>2024004250156</t>
        </is>
      </c>
      <c r="K217" t="inlineStr">
        <is>
          <t>Si</t>
        </is>
      </c>
      <c r="L217" t="inlineStr">
        <is>
          <t>Número</t>
        </is>
      </c>
      <c r="M217">
        <v>1000</v>
      </c>
      <c r="N217">
        <v>300</v>
      </c>
      <c r="O217">
        <v>512</v>
      </c>
      <c r="P217">
        <v>188</v>
      </c>
      <c r="Q217">
        <v>0</v>
      </c>
      <c r="R217">
        <v>49.19</v>
      </c>
      <c r="S217" s="103">
        <v>0.163966666666667</v>
      </c>
      <c r="T217" t="inlineStr">
        <is>
          <t>Lo ejecutado está por debajo de lo programado en la vigencia</t>
        </is>
      </c>
      <c r="U217">
        <v>748.5</v>
      </c>
      <c r="V217" s="104">
        <v>1.4619140625</v>
      </c>
      <c r="W217" t="inlineStr">
        <is>
          <t>Hubo ejecución por encima de lo programado en SisPT</t>
        </is>
      </c>
    </row>
    <row r="218">
      <c r="A218" t="inlineStr">
        <is>
          <t>IP-227</t>
        </is>
      </c>
      <c r="B218" t="inlineStr">
        <is>
          <t>32</t>
        </is>
      </c>
      <c r="C218" t="inlineStr">
        <is>
          <t>Ambiente y desarrollo sostenible</t>
        </is>
      </c>
      <c r="D218" t="inlineStr">
        <is>
          <t>3203</t>
        </is>
      </c>
      <c r="E218" t="inlineStr">
        <is>
          <t>Gestión integral del recurso hídrico</t>
        </is>
      </c>
      <c r="F218" t="inlineStr">
        <is>
          <t>3203048</t>
        </is>
      </c>
      <c r="G218" t="inlineStr">
        <is>
          <t>Servicio de almacenamiento de agua</t>
        </is>
      </c>
      <c r="H218" t="inlineStr">
        <is>
          <t>320304800</t>
        </is>
      </c>
      <c r="I218" t="inlineStr">
        <is>
          <t>Agua almacenada</t>
        </is>
      </c>
      <c r="J218" t="inlineStr">
        <is>
          <t>2024004250027</t>
        </is>
      </c>
      <c r="K218" t="inlineStr">
        <is>
          <t>Si</t>
        </is>
      </c>
      <c r="L218" t="inlineStr">
        <is>
          <t>Metros cúbicos</t>
        </is>
      </c>
      <c r="M218">
        <v>1000</v>
      </c>
      <c r="N218">
        <v>194</v>
      </c>
      <c r="O218">
        <v>250</v>
      </c>
      <c r="P218">
        <v>350</v>
      </c>
      <c r="Q218">
        <v>206</v>
      </c>
      <c r="R218">
        <v>6402</v>
      </c>
      <c r="S218" s="103">
        <v>33</v>
      </c>
      <c r="T218" t="inlineStr">
        <is>
          <t>Hubo ejecución por encima de lo programado en SisPT</t>
        </is>
      </c>
      <c r="U218">
        <v>0</v>
      </c>
      <c r="V218" s="104">
        <v>0</v>
      </c>
      <c r="W218" t="inlineStr">
        <is>
          <t>No se ejecutó en la vigencia</t>
        </is>
      </c>
    </row>
    <row r="219">
      <c r="A219" t="inlineStr">
        <is>
          <t>IP-228</t>
        </is>
      </c>
      <c r="B219" t="inlineStr">
        <is>
          <t>17</t>
        </is>
      </c>
      <c r="C219" t="inlineStr">
        <is>
          <t xml:space="preserve">Agricultura y desarrollo rural
</t>
        </is>
      </c>
      <c r="D219" t="inlineStr">
        <is>
          <t>1709</t>
        </is>
      </c>
      <c r="E219" t="inlineStr">
        <is>
          <t>Infraestructura productiva y comercialización</t>
        </is>
      </c>
      <c r="F219" t="inlineStr">
        <is>
          <t>1709097</t>
        </is>
      </c>
      <c r="G219" t="inlineStr">
        <is>
          <t>Estudios de preinversión para adecuación de tierras</t>
        </is>
      </c>
      <c r="H219" t="inlineStr">
        <is>
          <t>170909700</t>
        </is>
      </c>
      <c r="I219" t="inlineStr">
        <is>
          <t xml:space="preserve">Área con estudios de preinversión para adecuación de tierras elaborados </t>
        </is>
      </c>
      <c r="J219" t="inlineStr">
        <is>
          <t>2024004250088</t>
        </is>
      </c>
      <c r="K219" t="inlineStr">
        <is>
          <t>Si</t>
        </is>
      </c>
      <c r="L219" t="inlineStr">
        <is>
          <t>Hectáreas</t>
        </is>
      </c>
      <c r="M219">
        <v>20</v>
      </c>
      <c r="N219">
        <v>0.5</v>
      </c>
      <c r="O219">
        <v>0.5</v>
      </c>
      <c r="P219">
        <v>10</v>
      </c>
      <c r="Q219">
        <v>9</v>
      </c>
      <c r="R219">
        <v>30.6</v>
      </c>
      <c r="S219" s="103">
        <v>61.2</v>
      </c>
      <c r="T219" t="inlineStr">
        <is>
          <t>Hubo ejecución por encima de lo programado en SisPT</t>
        </is>
      </c>
      <c r="U219" t="inlineStr">
        <is>
          <t xml:space="preserve"> </t>
        </is>
      </c>
      <c r="V219" s="104" t="inlineStr">
        <is>
          <t xml:space="preserve"> </t>
        </is>
      </c>
      <c r="W219" t="inlineStr">
        <is>
          <t>No se encontró ejecución en PIIP</t>
        </is>
      </c>
    </row>
    <row r="220">
      <c r="A220" t="inlineStr">
        <is>
          <t>IP-229</t>
        </is>
      </c>
      <c r="B220" t="inlineStr">
        <is>
          <t>17</t>
        </is>
      </c>
      <c r="C220" t="inlineStr">
        <is>
          <t xml:space="preserve">Agricultura y desarrollo rural
</t>
        </is>
      </c>
      <c r="D220" t="inlineStr">
        <is>
          <t>1709</t>
        </is>
      </c>
      <c r="E220" t="inlineStr">
        <is>
          <t>Infraestructura productiva y comercialización</t>
        </is>
      </c>
      <c r="F220" t="inlineStr">
        <is>
          <t>1709114</t>
        </is>
      </c>
      <c r="G220" t="inlineStr">
        <is>
          <t>Bancos de maquinaria y equipos para la producción agropecuaria dotado</t>
        </is>
      </c>
      <c r="H220" t="inlineStr">
        <is>
          <t>170911400</t>
        </is>
      </c>
      <c r="I220" t="inlineStr">
        <is>
          <t>Maquinaria y equipos para la producción agropecuaria adquiridos</t>
        </is>
      </c>
      <c r="J220" t="inlineStr">
        <is>
          <t>2024004250210</t>
        </is>
      </c>
      <c r="K220" t="inlineStr">
        <is>
          <t>Si</t>
        </is>
      </c>
      <c r="L220" t="inlineStr">
        <is>
          <t>Número</t>
        </is>
      </c>
      <c r="M220">
        <v>1000</v>
      </c>
      <c r="N220">
        <v>300</v>
      </c>
      <c r="O220">
        <v>105</v>
      </c>
      <c r="P220">
        <v>298</v>
      </c>
      <c r="Q220">
        <v>297</v>
      </c>
      <c r="R220">
        <v>4.83</v>
      </c>
      <c r="S220" s="103">
        <v>0.0161</v>
      </c>
      <c r="T220" t="inlineStr">
        <is>
          <t>Lo ejecutado está por debajo de lo programado en la vigencia</t>
        </is>
      </c>
      <c r="U220">
        <v>658.94</v>
      </c>
      <c r="V220" s="104">
        <v>6.27561904761905</v>
      </c>
      <c r="W220" t="inlineStr">
        <is>
          <t>Hubo ejecución por encima de lo programado en SisPT</t>
        </is>
      </c>
    </row>
    <row r="221">
      <c r="A221" t="inlineStr">
        <is>
          <t>IP-230</t>
        </is>
      </c>
      <c r="B221" t="inlineStr">
        <is>
          <t>17</t>
        </is>
      </c>
      <c r="C221" t="inlineStr">
        <is>
          <t xml:space="preserve">Agricultura y desarrollo rural
</t>
        </is>
      </c>
      <c r="D221" t="inlineStr">
        <is>
          <t>1702</t>
        </is>
      </c>
      <c r="E221" t="inlineStr">
        <is>
          <t>Inclusión productiva de pequeños productores rurales</t>
        </is>
      </c>
      <c r="F221" t="inlineStr">
        <is>
          <t>1702021</t>
        </is>
      </c>
      <c r="G221" t="inlineStr">
        <is>
          <t>Servicio de acompañamiento productivo y empresarial</t>
        </is>
      </c>
      <c r="H221" t="inlineStr">
        <is>
          <t>170202100</t>
        </is>
      </c>
      <c r="I221" t="inlineStr">
        <is>
          <t>Unidades productivas beneficiadas</t>
        </is>
      </c>
      <c r="J221" t="inlineStr">
        <is>
          <t>2024004250114</t>
        </is>
      </c>
      <c r="K221" t="inlineStr">
        <is>
          <t>Si</t>
        </is>
      </c>
      <c r="L221" t="inlineStr">
        <is>
          <t>Número</t>
        </is>
      </c>
      <c r="M221">
        <v>1300</v>
      </c>
      <c r="N221">
        <v>398</v>
      </c>
      <c r="O221">
        <v>784</v>
      </c>
      <c r="P221">
        <v>118</v>
      </c>
      <c r="Q221">
        <v>0</v>
      </c>
      <c r="R221" t="inlineStr">
        <is>
          <t xml:space="preserve"> </t>
        </is>
      </c>
      <c r="S221" s="103" t="inlineStr">
        <is>
          <t xml:space="preserve"> </t>
        </is>
      </c>
      <c r="T221" t="inlineStr">
        <is>
          <t>No se encontró ejecución en PIIP</t>
        </is>
      </c>
      <c r="U221" t="inlineStr">
        <is>
          <t xml:space="preserve"> </t>
        </is>
      </c>
      <c r="V221" s="104" t="inlineStr">
        <is>
          <t xml:space="preserve"> </t>
        </is>
      </c>
      <c r="W221" t="inlineStr">
        <is>
          <t>No se encontró ejecución en PIIP</t>
        </is>
      </c>
    </row>
    <row r="222">
      <c r="A222" t="inlineStr">
        <is>
          <t>IP-231</t>
        </is>
      </c>
      <c r="B222" t="inlineStr">
        <is>
          <t>45</t>
        </is>
      </c>
      <c r="C222" t="inlineStr">
        <is>
          <t>Gobierno Territorial</t>
        </is>
      </c>
      <c r="D222" t="inlineStr">
        <is>
          <t>4599</t>
        </is>
      </c>
      <c r="E222" t="inlineStr">
        <is>
          <t>Fortalecimiento a la gestión y dirección de la administración pública territorial</t>
        </is>
      </c>
      <c r="F222" t="inlineStr">
        <is>
          <t>4599009</t>
        </is>
      </c>
      <c r="G222" t="inlineStr">
        <is>
          <t>Sedes construidas</t>
        </is>
      </c>
      <c r="H222" t="inlineStr">
        <is>
          <t>459900900</t>
        </is>
      </c>
      <c r="I222" t="inlineStr">
        <is>
          <t>Sedes construidas</t>
        </is>
      </c>
      <c r="J222" t="inlineStr">
        <is>
          <t>2021004250686, 2024004250031</t>
        </is>
      </c>
      <c r="K222" t="inlineStr">
        <is>
          <t>Si</t>
        </is>
      </c>
      <c r="L222" t="inlineStr">
        <is>
          <t>Número</t>
        </is>
      </c>
      <c r="M222">
        <v>1</v>
      </c>
      <c r="N222">
        <v>0.1</v>
      </c>
      <c r="O222">
        <v>0.05</v>
      </c>
      <c r="P222">
        <v>0.85</v>
      </c>
      <c r="Q222">
        <v>0</v>
      </c>
      <c r="R222" t="inlineStr">
        <is>
          <t xml:space="preserve"> </t>
        </is>
      </c>
      <c r="S222" s="103" t="inlineStr">
        <is>
          <t xml:space="preserve"> </t>
        </is>
      </c>
      <c r="T222" t="inlineStr">
        <is>
          <t>No se encontró ejecución en PIIP</t>
        </is>
      </c>
      <c r="U222" t="inlineStr">
        <is>
          <t xml:space="preserve"> </t>
        </is>
      </c>
      <c r="V222" s="104" t="inlineStr">
        <is>
          <t xml:space="preserve"> </t>
        </is>
      </c>
      <c r="W222" t="inlineStr">
        <is>
          <t>No se encontró ejecución en PIIP</t>
        </is>
      </c>
    </row>
    <row r="223">
      <c r="A223" t="inlineStr">
        <is>
          <t>IP-232</t>
        </is>
      </c>
      <c r="B223" t="inlineStr">
        <is>
          <t>45</t>
        </is>
      </c>
      <c r="C223" t="inlineStr">
        <is>
          <t>Gobierno Territorial</t>
        </is>
      </c>
      <c r="D223" t="inlineStr">
        <is>
          <t>4599</t>
        </is>
      </c>
      <c r="E223" t="inlineStr">
        <is>
          <t>Fortalecimiento a la gestión y dirección de la administración pública territorial</t>
        </is>
      </c>
      <c r="F223" t="inlineStr">
        <is>
          <t>4599016</t>
        </is>
      </c>
      <c r="G223" t="inlineStr">
        <is>
          <t>Sedes mantenidas</t>
        </is>
      </c>
      <c r="H223" t="inlineStr">
        <is>
          <t>459901600</t>
        </is>
      </c>
      <c r="I223" t="inlineStr">
        <is>
          <t>Sedes mantenidas</t>
        </is>
      </c>
      <c r="J223" t="inlineStr">
        <is>
          <t>2024004250031</t>
        </is>
      </c>
      <c r="K223" t="inlineStr">
        <is>
          <t>Si</t>
        </is>
      </c>
      <c r="L223" t="inlineStr">
        <is>
          <t>Número</t>
        </is>
      </c>
      <c r="M223">
        <v>1</v>
      </c>
      <c r="N223">
        <v>0</v>
      </c>
      <c r="O223">
        <v>0.2</v>
      </c>
      <c r="P223">
        <v>0.8</v>
      </c>
      <c r="Q223">
        <v>0</v>
      </c>
      <c r="R223" t="inlineStr">
        <is>
          <t xml:space="preserve"> </t>
        </is>
      </c>
      <c r="S223" s="103" t="inlineStr">
        <is>
          <t xml:space="preserve"> </t>
        </is>
      </c>
      <c r="T223" t="inlineStr">
        <is>
          <t>No se encontró ejecución en PIIP</t>
        </is>
      </c>
      <c r="U223" t="inlineStr">
        <is>
          <t xml:space="preserve"> </t>
        </is>
      </c>
      <c r="V223" s="104" t="inlineStr">
        <is>
          <t xml:space="preserve"> </t>
        </is>
      </c>
      <c r="W223" t="inlineStr">
        <is>
          <t>No se encontró ejecución en PIIP</t>
        </is>
      </c>
    </row>
    <row r="224">
      <c r="A224" t="inlineStr">
        <is>
          <t>IP-233</t>
        </is>
      </c>
      <c r="B224" t="inlineStr">
        <is>
          <t>21</t>
        </is>
      </c>
      <c r="C224" t="inlineStr">
        <is>
          <t>Minas y Energía</t>
        </is>
      </c>
      <c r="D224" t="inlineStr">
        <is>
          <t>2106</t>
        </is>
      </c>
      <c r="E224" t="inlineStr">
        <is>
          <t>Gestión de la información en el sector minero energético</t>
        </is>
      </c>
      <c r="F224" t="inlineStr">
        <is>
          <t>2106022</t>
        </is>
      </c>
      <c r="G224" t="inlineStr">
        <is>
          <t>Servicios de apoyo para la gestión de procesos de participación, colaboración, y transparencia del sector minero energético</t>
        </is>
      </c>
      <c r="H224" t="inlineStr">
        <is>
          <t>210602200</t>
        </is>
      </c>
      <c r="I224" t="inlineStr">
        <is>
          <t>Estrategias de innovación y transferencia del conocimiento realizadas</t>
        </is>
      </c>
      <c r="J224" t="inlineStr">
        <is>
          <t>2024004250032</t>
        </is>
      </c>
      <c r="K224" t="inlineStr">
        <is>
          <t>No</t>
        </is>
      </c>
      <c r="L224" t="inlineStr">
        <is>
          <t>Número</t>
        </is>
      </c>
      <c r="M224">
        <v>3</v>
      </c>
      <c r="N224">
        <v>3</v>
      </c>
      <c r="O224">
        <v>3</v>
      </c>
      <c r="P224">
        <v>3</v>
      </c>
      <c r="Q224">
        <v>3</v>
      </c>
      <c r="R224">
        <v>3</v>
      </c>
      <c r="S224" s="103">
        <v>1</v>
      </c>
      <c r="T224" t="inlineStr">
        <is>
          <t>Se ejecutó el 100% de lo programado en la vigencia</t>
        </is>
      </c>
      <c r="U224">
        <v>1</v>
      </c>
      <c r="V224" s="104">
        <v>0.333333333333333</v>
      </c>
      <c r="W224" t="inlineStr">
        <is>
          <t>Lo ejecutado está por debajo de lo programado en la vigencia</t>
        </is>
      </c>
    </row>
    <row r="225">
      <c r="A225" t="inlineStr">
        <is>
          <t>IP-234</t>
        </is>
      </c>
      <c r="B225" t="inlineStr">
        <is>
          <t>21</t>
        </is>
      </c>
      <c r="C225" t="inlineStr">
        <is>
          <t>Minas y Energía</t>
        </is>
      </c>
      <c r="D225" t="inlineStr">
        <is>
          <t>2104</t>
        </is>
      </c>
      <c r="E225" t="inlineStr">
        <is>
          <t>Consolidación productiva del sector minero</t>
        </is>
      </c>
      <c r="F225" t="inlineStr">
        <is>
          <t>2104004</t>
        </is>
      </c>
      <c r="G225" t="inlineStr">
        <is>
          <t>Servicio de asistencia técnica en actividades de explotación minera de pequeña y mediana escala</t>
        </is>
      </c>
      <c r="H225" t="inlineStr">
        <is>
          <t>210400400</t>
        </is>
      </c>
      <c r="I225" t="inlineStr">
        <is>
          <t>Unidades de producción minera asistidas técnicamente</t>
        </is>
      </c>
      <c r="J225" t="inlineStr">
        <is>
          <t>2024004250033</t>
        </is>
      </c>
      <c r="K225" t="inlineStr">
        <is>
          <t>Si</t>
        </is>
      </c>
      <c r="L225" t="inlineStr">
        <is>
          <t>Número</t>
        </is>
      </c>
      <c r="M225">
        <v>65</v>
      </c>
      <c r="N225">
        <v>9</v>
      </c>
      <c r="O225">
        <v>14</v>
      </c>
      <c r="P225">
        <v>21</v>
      </c>
      <c r="Q225">
        <v>21</v>
      </c>
      <c r="R225" t="inlineStr">
        <is>
          <t xml:space="preserve"> </t>
        </is>
      </c>
      <c r="S225" s="103" t="inlineStr">
        <is>
          <t xml:space="preserve"> </t>
        </is>
      </c>
      <c r="T225" t="inlineStr">
        <is>
          <t>No se encontró ejecución en PIIP</t>
        </is>
      </c>
      <c r="U225" t="inlineStr">
        <is>
          <t xml:space="preserve"> </t>
        </is>
      </c>
      <c r="V225" s="104" t="inlineStr">
        <is>
          <t xml:space="preserve"> </t>
        </is>
      </c>
      <c r="W225" t="inlineStr">
        <is>
          <t>No se encontró ejecución en PIIP</t>
        </is>
      </c>
    </row>
    <row r="226">
      <c r="A226" t="inlineStr">
        <is>
          <t>IP-235</t>
        </is>
      </c>
      <c r="B226" t="inlineStr">
        <is>
          <t>21</t>
        </is>
      </c>
      <c r="C226" t="inlineStr">
        <is>
          <t>Minas y Energía</t>
        </is>
      </c>
      <c r="D226" t="inlineStr">
        <is>
          <t>2104</t>
        </is>
      </c>
      <c r="E226" t="inlineStr">
        <is>
          <t>Consolidación productiva del sector minero</t>
        </is>
      </c>
      <c r="F226" t="inlineStr">
        <is>
          <t>2104021</t>
        </is>
      </c>
      <c r="G226" t="inlineStr">
        <is>
          <t>Servicio de asistencia técnica para la reconversión socio laboral de personas dedicadas a la minería</t>
        </is>
      </c>
      <c r="H226" t="inlineStr">
        <is>
          <t>210402100</t>
        </is>
      </c>
      <c r="I226" t="inlineStr">
        <is>
          <t>Personas asistidas técnicamente</t>
        </is>
      </c>
      <c r="J226" t="inlineStr">
        <is>
          <t>2024004250033</t>
        </is>
      </c>
      <c r="K226" t="inlineStr">
        <is>
          <t>Si</t>
        </is>
      </c>
      <c r="L226" t="inlineStr">
        <is>
          <t>Número</t>
        </is>
      </c>
      <c r="M226">
        <v>1</v>
      </c>
      <c r="N226">
        <v>0</v>
      </c>
      <c r="O226">
        <v>0</v>
      </c>
      <c r="P226">
        <v>1</v>
      </c>
      <c r="Q226">
        <v>0</v>
      </c>
      <c r="R226" t="inlineStr">
        <is>
          <t xml:space="preserve"> </t>
        </is>
      </c>
      <c r="S226" s="103" t="inlineStr">
        <is>
          <t xml:space="preserve"> </t>
        </is>
      </c>
      <c r="T226" t="inlineStr">
        <is>
          <t>No se encontró ejecución en PIIP</t>
        </is>
      </c>
      <c r="U226" t="inlineStr">
        <is>
          <t xml:space="preserve"> </t>
        </is>
      </c>
      <c r="V226" s="104" t="inlineStr">
        <is>
          <t xml:space="preserve"> </t>
        </is>
      </c>
      <c r="W226" t="inlineStr">
        <is>
          <t>No se encontró ejecución en PIIP</t>
        </is>
      </c>
    </row>
    <row r="227">
      <c r="A227" t="inlineStr">
        <is>
          <t>IP-236</t>
        </is>
      </c>
      <c r="B227" t="inlineStr">
        <is>
          <t>33</t>
        </is>
      </c>
      <c r="C227" t="inlineStr">
        <is>
          <t>Cultura</t>
        </is>
      </c>
      <c r="D227" t="inlineStr">
        <is>
          <t>3301</t>
        </is>
      </c>
      <c r="E227" t="inlineStr">
        <is>
          <t>Promoción y acceso efectivo a procesos culturales y artísticos</t>
        </is>
      </c>
      <c r="F227" t="inlineStr">
        <is>
          <t>3301054</t>
        </is>
      </c>
      <c r="G227" t="inlineStr">
        <is>
          <t>Servicio de apoyo financiero al sector artístico y cultural</t>
        </is>
      </c>
      <c r="H227" t="inlineStr">
        <is>
          <t>330105400</t>
        </is>
      </c>
      <c r="I227" t="inlineStr">
        <is>
          <t>Estímulos otorgados</t>
        </is>
      </c>
      <c r="J227" t="inlineStr">
        <is>
          <t>2024004250196</t>
        </is>
      </c>
      <c r="K227" t="inlineStr">
        <is>
          <t>Si</t>
        </is>
      </c>
      <c r="L227" t="inlineStr">
        <is>
          <t>Número</t>
        </is>
      </c>
      <c r="M227">
        <v>150</v>
      </c>
      <c r="N227">
        <v>50</v>
      </c>
      <c r="O227">
        <v>31</v>
      </c>
      <c r="P227">
        <v>33</v>
      </c>
      <c r="Q227">
        <v>33</v>
      </c>
      <c r="R227" t="inlineStr">
        <is>
          <t xml:space="preserve"> </t>
        </is>
      </c>
      <c r="S227" s="103" t="inlineStr">
        <is>
          <t xml:space="preserve"> </t>
        </is>
      </c>
      <c r="T227" t="inlineStr">
        <is>
          <t>No se encontró ejecución en PIIP</t>
        </is>
      </c>
      <c r="U227" t="inlineStr">
        <is>
          <t xml:space="preserve"> </t>
        </is>
      </c>
      <c r="V227" s="104" t="inlineStr">
        <is>
          <t xml:space="preserve"> </t>
        </is>
      </c>
      <c r="W227" t="inlineStr">
        <is>
          <t>No se encontró ejecución en PIIP</t>
        </is>
      </c>
    </row>
    <row r="228">
      <c r="A228" t="inlineStr">
        <is>
          <t>IP-237</t>
        </is>
      </c>
      <c r="B228" t="inlineStr">
        <is>
          <t>35</t>
        </is>
      </c>
      <c r="C228" t="inlineStr">
        <is>
          <t>Comercio, industria y turismo</t>
        </is>
      </c>
      <c r="D228" t="inlineStr">
        <is>
          <t>3502</t>
        </is>
      </c>
      <c r="E228" t="inlineStr">
        <is>
          <t>Productividad y competitividad de las empresas colombianas</t>
        </is>
      </c>
      <c r="F228" t="inlineStr">
        <is>
          <t>3502022</t>
        </is>
      </c>
      <c r="G228" t="inlineStr">
        <is>
          <t>Servicio de asistencia técnica a las Mipymes para el acceso a nuevos mercados</t>
        </is>
      </c>
      <c r="H228" t="inlineStr">
        <is>
          <t>350202200</t>
        </is>
      </c>
      <c r="I228" t="inlineStr">
        <is>
          <t>Empresas asistidas técnicamente</t>
        </is>
      </c>
      <c r="J228" t="inlineStr">
        <is>
          <t>2024004250054</t>
        </is>
      </c>
      <c r="K228" t="inlineStr">
        <is>
          <t>Si</t>
        </is>
      </c>
      <c r="L228" t="inlineStr">
        <is>
          <t>Número</t>
        </is>
      </c>
      <c r="M228">
        <v>300</v>
      </c>
      <c r="N228">
        <v>70</v>
      </c>
      <c r="O228">
        <v>17</v>
      </c>
      <c r="P228">
        <v>80</v>
      </c>
      <c r="Q228">
        <v>80</v>
      </c>
      <c r="R228">
        <v>123</v>
      </c>
      <c r="S228" s="103">
        <v>1.75714285714286</v>
      </c>
      <c r="T228" t="inlineStr">
        <is>
          <t>Hubo ejecución por encima de lo programado en SisPT</t>
        </is>
      </c>
      <c r="U228" t="inlineStr">
        <is>
          <t xml:space="preserve"> </t>
        </is>
      </c>
      <c r="V228" s="104" t="inlineStr">
        <is>
          <t xml:space="preserve"> </t>
        </is>
      </c>
      <c r="W228" t="inlineStr">
        <is>
          <t>No se encontró ejecución en PIIP</t>
        </is>
      </c>
    </row>
    <row r="229">
      <c r="A229" t="inlineStr">
        <is>
          <t>IP-238</t>
        </is>
      </c>
      <c r="B229" t="inlineStr">
        <is>
          <t>35</t>
        </is>
      </c>
      <c r="C229" t="inlineStr">
        <is>
          <t>Comercio, industria y turismo</t>
        </is>
      </c>
      <c r="D229" t="inlineStr">
        <is>
          <t>3502</t>
        </is>
      </c>
      <c r="E229" t="inlineStr">
        <is>
          <t>Productividad y competitividad de las empresas colombianas</t>
        </is>
      </c>
      <c r="F229" t="inlineStr">
        <is>
          <t>3502009</t>
        </is>
      </c>
      <c r="G229" t="inlineStr">
        <is>
          <t>Servicio de apoyo para la transferencia y/o implementación de metodologías de aumento de la productividad</t>
        </is>
      </c>
      <c r="H229" t="inlineStr">
        <is>
          <t>350200900</t>
        </is>
      </c>
      <c r="I229" t="inlineStr">
        <is>
          <t xml:space="preserve">Unidades productivas  beneficiadas en la implementación de estrategias para incrementar su productividad </t>
        </is>
      </c>
      <c r="J229" t="inlineStr">
        <is>
          <t>2024004250054</t>
        </is>
      </c>
      <c r="K229" t="inlineStr">
        <is>
          <t>Si</t>
        </is>
      </c>
      <c r="L229" t="inlineStr">
        <is>
          <t>Número</t>
        </is>
      </c>
      <c r="M229">
        <v>1</v>
      </c>
      <c r="N229">
        <v>0.25</v>
      </c>
      <c r="O229">
        <v>0.75</v>
      </c>
      <c r="P229">
        <v>0</v>
      </c>
      <c r="Q229">
        <v>0</v>
      </c>
      <c r="R229" t="inlineStr">
        <is>
          <t xml:space="preserve"> </t>
        </is>
      </c>
      <c r="S229" s="103" t="inlineStr">
        <is>
          <t xml:space="preserve"> </t>
        </is>
      </c>
      <c r="T229" t="inlineStr">
        <is>
          <t>No se encontró ejecución en PIIP</t>
        </is>
      </c>
      <c r="U229" t="inlineStr">
        <is>
          <t xml:space="preserve"> </t>
        </is>
      </c>
      <c r="V229" s="104" t="inlineStr">
        <is>
          <t xml:space="preserve"> </t>
        </is>
      </c>
      <c r="W229" t="inlineStr">
        <is>
          <t>No se encontró ejecución en PIIP</t>
        </is>
      </c>
    </row>
    <row r="230">
      <c r="A230" t="inlineStr">
        <is>
          <t>IP-239</t>
        </is>
      </c>
      <c r="B230" t="inlineStr">
        <is>
          <t>41</t>
        </is>
      </c>
      <c r="C230" t="inlineStr">
        <is>
          <t xml:space="preserve">Inclusión social y reconciliación </t>
        </is>
      </c>
      <c r="D230" t="inlineStr">
        <is>
          <t>4103</t>
        </is>
      </c>
      <c r="E230" t="inlineStr">
        <is>
          <t>Inclusión social y productiva para la población en situación de vulnerabilidad</t>
        </is>
      </c>
      <c r="F230" t="inlineStr">
        <is>
          <t>4103058</t>
        </is>
      </c>
      <c r="G230" t="inlineStr">
        <is>
          <t>Servicio de apoyo para el fortalecimiento de unidades productivas colectivas para la generación de ingresos</t>
        </is>
      </c>
      <c r="H230" t="inlineStr">
        <is>
          <t>410305800</t>
        </is>
      </c>
      <c r="I230" t="inlineStr">
        <is>
          <t>Unidades productivas colectivas fortalecidas</t>
        </is>
      </c>
      <c r="J230" t="inlineStr">
        <is>
          <t>2024004250190</t>
        </is>
      </c>
      <c r="K230" t="inlineStr">
        <is>
          <t>Si</t>
        </is>
      </c>
      <c r="L230" t="inlineStr">
        <is>
          <t>Número</t>
        </is>
      </c>
      <c r="M230">
        <v>500</v>
      </c>
      <c r="N230">
        <v>50</v>
      </c>
      <c r="O230">
        <v>203</v>
      </c>
      <c r="P230">
        <v>114</v>
      </c>
      <c r="Q230">
        <v>80</v>
      </c>
      <c r="R230" t="inlineStr">
        <is>
          <t xml:space="preserve"> </t>
        </is>
      </c>
      <c r="S230" s="103" t="inlineStr">
        <is>
          <t xml:space="preserve"> </t>
        </is>
      </c>
      <c r="T230" t="inlineStr">
        <is>
          <t>No se encontró ejecución en PIIP</t>
        </is>
      </c>
      <c r="U230" t="inlineStr">
        <is>
          <t xml:space="preserve"> </t>
        </is>
      </c>
      <c r="V230" s="104" t="inlineStr">
        <is>
          <t xml:space="preserve"> </t>
        </is>
      </c>
      <c r="W230" t="inlineStr">
        <is>
          <t>No se encontró ejecución en PIIP</t>
        </is>
      </c>
    </row>
    <row r="231">
      <c r="A231" t="inlineStr">
        <is>
          <t>IP-240</t>
        </is>
      </c>
      <c r="B231" t="inlineStr">
        <is>
          <t>41</t>
        </is>
      </c>
      <c r="C231" t="inlineStr">
        <is>
          <t xml:space="preserve">Inclusión social y reconciliación </t>
        </is>
      </c>
      <c r="D231" t="inlineStr">
        <is>
          <t>4103</t>
        </is>
      </c>
      <c r="E231" t="inlineStr">
        <is>
          <t>Inclusión social y productiva para la población en situación de vulnerabilidad</t>
        </is>
      </c>
      <c r="F231" t="inlineStr">
        <is>
          <t>4103058</t>
        </is>
      </c>
      <c r="G231" t="inlineStr">
        <is>
          <t>Servicio de apoyo para el fortalecimiento de unidades productivas colectivas para la generación de ingresos</t>
        </is>
      </c>
      <c r="H231" t="inlineStr">
        <is>
          <t>410305800</t>
        </is>
      </c>
      <c r="I231" t="inlineStr">
        <is>
          <t>Unidades productivas colectivas fortalecidas</t>
        </is>
      </c>
      <c r="J231" t="inlineStr">
        <is>
          <t>2024004250186</t>
        </is>
      </c>
      <c r="K231" t="inlineStr">
        <is>
          <t>Si</t>
        </is>
      </c>
      <c r="L231" t="inlineStr">
        <is>
          <t>Número</t>
        </is>
      </c>
      <c r="M231">
        <v>60</v>
      </c>
      <c r="N231">
        <v>9</v>
      </c>
      <c r="O231">
        <v>17</v>
      </c>
      <c r="P231">
        <v>17</v>
      </c>
      <c r="Q231">
        <v>11</v>
      </c>
      <c r="R231">
        <v>5</v>
      </c>
      <c r="S231" s="103">
        <v>0.555555555555556</v>
      </c>
      <c r="T231" t="inlineStr">
        <is>
          <t>Lo ejecutado está por debajo de lo programado en la vigencia</t>
        </is>
      </c>
      <c r="U231">
        <v>5</v>
      </c>
      <c r="V231" s="104">
        <v>0.294117647058824</v>
      </c>
      <c r="W231" t="inlineStr">
        <is>
          <t>Lo ejecutado está por debajo de lo programado en la vigencia</t>
        </is>
      </c>
    </row>
    <row r="232">
      <c r="A232" t="inlineStr">
        <is>
          <t>IP-241, IP-244</t>
        </is>
      </c>
      <c r="B232" t="inlineStr">
        <is>
          <t>24</t>
        </is>
      </c>
      <c r="C232" t="inlineStr">
        <is>
          <t>Transporte</t>
        </is>
      </c>
      <c r="D232" t="inlineStr">
        <is>
          <t>2409</t>
        </is>
      </c>
      <c r="E232" t="inlineStr">
        <is>
          <t>Seguridad de transporte</t>
        </is>
      </c>
      <c r="F232" t="inlineStr">
        <is>
          <t>2409014</t>
        </is>
      </c>
      <c r="G232" t="inlineStr">
        <is>
          <t>Documentos de planeación</t>
        </is>
      </c>
      <c r="H232" t="inlineStr">
        <is>
          <t>240901400</t>
        </is>
      </c>
      <c r="I232" t="inlineStr">
        <is>
          <t>Documentos de planeación realizados</t>
        </is>
      </c>
      <c r="J232" t="inlineStr">
        <is>
          <t>2024004250082</t>
        </is>
      </c>
      <c r="K232" t="inlineStr">
        <is>
          <t>Si</t>
        </is>
      </c>
      <c r="L232" t="inlineStr">
        <is>
          <t>Número</t>
        </is>
      </c>
      <c r="M232">
        <v>2</v>
      </c>
      <c r="N232">
        <v>0.45</v>
      </c>
      <c r="O232">
        <v>1.05</v>
      </c>
      <c r="P232">
        <v>0.25</v>
      </c>
      <c r="Q232">
        <v>0.25</v>
      </c>
      <c r="R232" t="inlineStr">
        <is>
          <t xml:space="preserve"> </t>
        </is>
      </c>
      <c r="S232" s="103" t="inlineStr">
        <is>
          <t xml:space="preserve"> </t>
        </is>
      </c>
      <c r="T232" t="inlineStr">
        <is>
          <t>No se encontró ejecución en PIIP</t>
        </is>
      </c>
      <c r="U232" t="inlineStr">
        <is>
          <t xml:space="preserve"> </t>
        </is>
      </c>
      <c r="V232" s="104" t="inlineStr">
        <is>
          <t xml:space="preserve"> </t>
        </is>
      </c>
      <c r="W232" t="inlineStr">
        <is>
          <t>No se encontró ejecución en PIIP</t>
        </is>
      </c>
    </row>
    <row r="233">
      <c r="A233" t="inlineStr">
        <is>
          <t>IP-242</t>
        </is>
      </c>
      <c r="B233" t="inlineStr">
        <is>
          <t>24</t>
        </is>
      </c>
      <c r="C233" t="inlineStr">
        <is>
          <t>Transporte</t>
        </is>
      </c>
      <c r="D233" t="inlineStr">
        <is>
          <t>2409</t>
        </is>
      </c>
      <c r="E233" t="inlineStr">
        <is>
          <t>Seguridad de transporte</t>
        </is>
      </c>
      <c r="F233" t="inlineStr">
        <is>
          <t>2409016</t>
        </is>
      </c>
      <c r="G233" t="inlineStr">
        <is>
          <t>Estudios de preinversión</t>
        </is>
      </c>
      <c r="H233" t="inlineStr">
        <is>
          <t>240901600</t>
        </is>
      </c>
      <c r="I233" t="inlineStr">
        <is>
          <t>Estudios de preinversión realizados</t>
        </is>
      </c>
      <c r="J233" t="inlineStr">
        <is>
          <t>2024004250082</t>
        </is>
      </c>
      <c r="K233" t="inlineStr">
        <is>
          <t>Si</t>
        </is>
      </c>
      <c r="L233" t="inlineStr">
        <is>
          <t>Número</t>
        </is>
      </c>
      <c r="M233">
        <v>1</v>
      </c>
      <c r="N233">
        <v>0.3</v>
      </c>
      <c r="O233">
        <v>0.3</v>
      </c>
      <c r="P233">
        <v>0</v>
      </c>
      <c r="Q233">
        <v>0.4</v>
      </c>
      <c r="R233" t="inlineStr">
        <is>
          <t xml:space="preserve"> </t>
        </is>
      </c>
      <c r="S233" s="103" t="inlineStr">
        <is>
          <t xml:space="preserve"> </t>
        </is>
      </c>
      <c r="T233" t="inlineStr">
        <is>
          <t>No se encontró ejecución en PIIP</t>
        </is>
      </c>
      <c r="U233" t="inlineStr">
        <is>
          <t xml:space="preserve"> </t>
        </is>
      </c>
      <c r="V233" s="104" t="inlineStr">
        <is>
          <t xml:space="preserve"> </t>
        </is>
      </c>
      <c r="W233" t="inlineStr">
        <is>
          <t>No se encontró ejecución en PIIP</t>
        </is>
      </c>
    </row>
    <row r="234">
      <c r="A234" t="inlineStr">
        <is>
          <t>IP-243, IP-251</t>
        </is>
      </c>
      <c r="B234" t="inlineStr">
        <is>
          <t>24</t>
        </is>
      </c>
      <c r="C234" t="inlineStr">
        <is>
          <t>Transporte</t>
        </is>
      </c>
      <c r="D234" t="inlineStr">
        <is>
          <t>2408</t>
        </is>
      </c>
      <c r="E234" t="inlineStr">
        <is>
          <t>Prestación de servicios de transporte público de pasajeros</t>
        </is>
      </c>
      <c r="F234" t="inlineStr">
        <is>
          <t>2408024</t>
        </is>
      </c>
      <c r="G234" t="inlineStr">
        <is>
          <t>Estudios de preinversión</t>
        </is>
      </c>
      <c r="H234" t="inlineStr">
        <is>
          <t>240802400</t>
        </is>
      </c>
      <c r="I234" t="inlineStr">
        <is>
          <t>Estudios de preinversión realizados</t>
        </is>
      </c>
      <c r="J234" t="inlineStr">
        <is>
          <t>2024004250240</t>
        </is>
      </c>
      <c r="K234" t="inlineStr">
        <is>
          <t>Si</t>
        </is>
      </c>
      <c r="L234" t="inlineStr">
        <is>
          <t>Número</t>
        </is>
      </c>
      <c r="M234">
        <v>5</v>
      </c>
      <c r="N234">
        <v>1.5</v>
      </c>
      <c r="O234">
        <v>0.7</v>
      </c>
      <c r="P234">
        <v>1.4</v>
      </c>
      <c r="Q234">
        <v>1.4</v>
      </c>
      <c r="R234" t="inlineStr">
        <is>
          <t xml:space="preserve"> </t>
        </is>
      </c>
      <c r="S234" s="103" t="inlineStr">
        <is>
          <t xml:space="preserve"> </t>
        </is>
      </c>
      <c r="T234" t="inlineStr">
        <is>
          <t>No se encontró ejecución en PIIP</t>
        </is>
      </c>
      <c r="U234" t="inlineStr">
        <is>
          <t xml:space="preserve"> </t>
        </is>
      </c>
      <c r="V234" s="104" t="inlineStr">
        <is>
          <t xml:space="preserve"> </t>
        </is>
      </c>
      <c r="W234" t="inlineStr">
        <is>
          <t>No se encontró ejecución en PIIP</t>
        </is>
      </c>
    </row>
    <row r="235">
      <c r="A235" t="inlineStr">
        <is>
          <t>IP-245</t>
        </is>
      </c>
      <c r="B235" t="inlineStr">
        <is>
          <t>24</t>
        </is>
      </c>
      <c r="C235" t="inlineStr">
        <is>
          <t>Transporte</t>
        </is>
      </c>
      <c r="D235" t="inlineStr">
        <is>
          <t>2409</t>
        </is>
      </c>
      <c r="E235" t="inlineStr">
        <is>
          <t>Seguridad de transporte</t>
        </is>
      </c>
      <c r="F235" t="inlineStr">
        <is>
          <t>2409007</t>
        </is>
      </c>
      <c r="G235" t="inlineStr">
        <is>
          <t>Servicio de asistencia técnica en temas de seguridad de transporte</t>
        </is>
      </c>
      <c r="H235" t="inlineStr">
        <is>
          <t>240900700</t>
        </is>
      </c>
      <c r="I235" t="inlineStr">
        <is>
          <t>Entidades asistidas técnicamente</t>
        </is>
      </c>
      <c r="J235" t="inlineStr">
        <is>
          <t>2024004250082</t>
        </is>
      </c>
      <c r="K235" t="inlineStr">
        <is>
          <t>Si</t>
        </is>
      </c>
      <c r="L235" t="inlineStr">
        <is>
          <t>Número</t>
        </is>
      </c>
      <c r="M235">
        <v>4</v>
      </c>
      <c r="N235">
        <v>0.7</v>
      </c>
      <c r="O235">
        <v>1.3</v>
      </c>
      <c r="P235">
        <v>0.8</v>
      </c>
      <c r="Q235">
        <v>1.2</v>
      </c>
      <c r="R235" t="inlineStr">
        <is>
          <t xml:space="preserve"> </t>
        </is>
      </c>
      <c r="S235" s="103" t="inlineStr">
        <is>
          <t xml:space="preserve"> </t>
        </is>
      </c>
      <c r="T235" t="inlineStr">
        <is>
          <t>No se encontró ejecución en PIIP</t>
        </is>
      </c>
      <c r="U235">
        <v>0.8</v>
      </c>
      <c r="V235" s="104">
        <v>0.615384615384615</v>
      </c>
      <c r="W235" t="inlineStr">
        <is>
          <t>Lo ejecutado está por debajo de lo programado en la vigencia</t>
        </is>
      </c>
    </row>
    <row r="236">
      <c r="A236" t="inlineStr">
        <is>
          <t>IP-246</t>
        </is>
      </c>
      <c r="B236" t="inlineStr">
        <is>
          <t>24</t>
        </is>
      </c>
      <c r="C236" t="inlineStr">
        <is>
          <t>Transporte</t>
        </is>
      </c>
      <c r="D236" t="inlineStr">
        <is>
          <t>2408</t>
        </is>
      </c>
      <c r="E236" t="inlineStr">
        <is>
          <t>Prestación de servicios de transporte público de pasajeros</t>
        </is>
      </c>
      <c r="F236" t="inlineStr">
        <is>
          <t>2408052</t>
        </is>
      </c>
      <c r="G236" t="inlineStr">
        <is>
          <t>Servicio de apoyo financiero para el desarrollo de los componentes del  Sistema de Transporte Público de Pasajeros</t>
        </is>
      </c>
      <c r="H236" t="inlineStr">
        <is>
          <t>240805200</t>
        </is>
      </c>
      <c r="I236" t="inlineStr">
        <is>
          <t>Sistema de transporte público de pasajeros cofinanciado</t>
        </is>
      </c>
      <c r="J236" t="inlineStr">
        <is>
          <t>2024004250125</t>
        </is>
      </c>
      <c r="K236" t="inlineStr">
        <is>
          <t>No</t>
        </is>
      </c>
      <c r="L236" t="inlineStr">
        <is>
          <t>Número</t>
        </is>
      </c>
      <c r="M236">
        <v>1</v>
      </c>
      <c r="N236">
        <v>1</v>
      </c>
      <c r="O236">
        <v>1</v>
      </c>
      <c r="P236">
        <v>1</v>
      </c>
      <c r="Q236">
        <v>1</v>
      </c>
      <c r="R236" t="inlineStr">
        <is>
          <t xml:space="preserve"> </t>
        </is>
      </c>
      <c r="S236" s="103" t="inlineStr">
        <is>
          <t xml:space="preserve"> </t>
        </is>
      </c>
      <c r="T236" t="inlineStr">
        <is>
          <t>No se encontró ejecución en PIIP</t>
        </is>
      </c>
      <c r="U236" t="inlineStr">
        <is>
          <t xml:space="preserve"> </t>
        </is>
      </c>
      <c r="V236" s="104" t="inlineStr">
        <is>
          <t xml:space="preserve"> </t>
        </is>
      </c>
      <c r="W236" t="inlineStr">
        <is>
          <t>No se encontró ejecución en PIIP</t>
        </is>
      </c>
    </row>
    <row r="237">
      <c r="A237" t="inlineStr">
        <is>
          <t>IP-247, IP-253</t>
        </is>
      </c>
      <c r="B237" t="inlineStr">
        <is>
          <t>24</t>
        </is>
      </c>
      <c r="C237" t="inlineStr">
        <is>
          <t>Transporte</t>
        </is>
      </c>
      <c r="D237" t="inlineStr">
        <is>
          <t>2408</t>
        </is>
      </c>
      <c r="E237" t="inlineStr">
        <is>
          <t>Prestación de servicios de transporte público de pasajeros</t>
        </is>
      </c>
      <c r="F237" t="inlineStr">
        <is>
          <t>2408053</t>
        </is>
      </c>
      <c r="G237" t="inlineStr">
        <is>
          <t>Documentos de estudios técnicos</t>
        </is>
      </c>
      <c r="H237" t="inlineStr">
        <is>
          <t>240805300</t>
        </is>
      </c>
      <c r="I237" t="inlineStr">
        <is>
          <t>Documentos de estudios técnicos realizados</t>
        </is>
      </c>
      <c r="J237" t="inlineStr">
        <is>
          <t>2024004250240</t>
        </is>
      </c>
      <c r="K237" t="inlineStr">
        <is>
          <t>Si</t>
        </is>
      </c>
      <c r="L237" t="inlineStr">
        <is>
          <t>Número</t>
        </is>
      </c>
      <c r="M237">
        <v>2</v>
      </c>
      <c r="N237">
        <v>0.24</v>
      </c>
      <c r="O237">
        <v>0.64</v>
      </c>
      <c r="P237">
        <v>0.87</v>
      </c>
      <c r="Q237">
        <v>0.25</v>
      </c>
      <c r="R237" t="inlineStr">
        <is>
          <t xml:space="preserve"> </t>
        </is>
      </c>
      <c r="S237" s="103" t="inlineStr">
        <is>
          <t xml:space="preserve"> </t>
        </is>
      </c>
      <c r="T237" t="inlineStr">
        <is>
          <t>No se encontró ejecución en PIIP</t>
        </is>
      </c>
      <c r="U237" t="inlineStr">
        <is>
          <t xml:space="preserve"> </t>
        </is>
      </c>
      <c r="V237" s="104" t="inlineStr">
        <is>
          <t xml:space="preserve"> </t>
        </is>
      </c>
      <c r="W237" t="inlineStr">
        <is>
          <t>No se encontró ejecución en PIIP</t>
        </is>
      </c>
    </row>
    <row r="238">
      <c r="A238" t="inlineStr">
        <is>
          <t>IP-248</t>
        </is>
      </c>
      <c r="B238" t="inlineStr">
        <is>
          <t>24</t>
        </is>
      </c>
      <c r="C238" t="inlineStr">
        <is>
          <t>Transporte</t>
        </is>
      </c>
      <c r="D238" t="inlineStr">
        <is>
          <t>2407</t>
        </is>
      </c>
      <c r="E238" t="inlineStr">
        <is>
          <t>Infraestructura y servicios de logística de transporte</t>
        </is>
      </c>
      <c r="F238" t="inlineStr">
        <is>
          <t>2407006</t>
        </is>
      </c>
      <c r="G238" t="inlineStr">
        <is>
          <t>Documentos de planeación</t>
        </is>
      </c>
      <c r="H238" t="inlineStr">
        <is>
          <t>240700600</t>
        </is>
      </c>
      <c r="I238" t="inlineStr">
        <is>
          <t>Documentos de planeación realizados</t>
        </is>
      </c>
      <c r="J238" t="inlineStr">
        <is>
          <t>2024004250244</t>
        </is>
      </c>
      <c r="K238" t="inlineStr">
        <is>
          <t>Si</t>
        </is>
      </c>
      <c r="L238" t="inlineStr">
        <is>
          <t>Número</t>
        </is>
      </c>
      <c r="M238">
        <v>1</v>
      </c>
      <c r="N238">
        <v>0</v>
      </c>
      <c r="O238">
        <v>0.1</v>
      </c>
      <c r="P238">
        <v>0.8</v>
      </c>
      <c r="Q238">
        <v>0.1</v>
      </c>
      <c r="R238" t="inlineStr">
        <is>
          <t xml:space="preserve"> </t>
        </is>
      </c>
      <c r="S238" s="103" t="inlineStr">
        <is>
          <t xml:space="preserve"> </t>
        </is>
      </c>
      <c r="T238" t="inlineStr">
        <is>
          <t>No se encontró ejecución en PIIP</t>
        </is>
      </c>
      <c r="U238">
        <v>0.06</v>
      </c>
      <c r="V238" s="104">
        <v>0.6</v>
      </c>
      <c r="W238" t="inlineStr">
        <is>
          <t>Lo ejecutado está por debajo de lo programado en la vigencia</t>
        </is>
      </c>
    </row>
    <row r="239">
      <c r="A239" t="inlineStr">
        <is>
          <t>IP-249, IP-250, IP-252, IP-256</t>
        </is>
      </c>
      <c r="B239" t="inlineStr">
        <is>
          <t>24</t>
        </is>
      </c>
      <c r="C239" t="inlineStr">
        <is>
          <t>Transporte</t>
        </is>
      </c>
      <c r="D239" t="inlineStr">
        <is>
          <t>2408</t>
        </is>
      </c>
      <c r="E239" t="inlineStr">
        <is>
          <t>Prestación de servicios de transporte público de pasajeros</t>
        </is>
      </c>
      <c r="F239" t="inlineStr">
        <is>
          <t>2408024</t>
        </is>
      </c>
      <c r="G239" t="inlineStr">
        <is>
          <t>Estudios de preinversión</t>
        </is>
      </c>
      <c r="H239" t="inlineStr">
        <is>
          <t>240802400</t>
        </is>
      </c>
      <c r="I239" t="inlineStr">
        <is>
          <t>Estudios de preinversión realizados</t>
        </is>
      </c>
      <c r="J239" t="inlineStr">
        <is>
          <t>2024004250241</t>
        </is>
      </c>
      <c r="K239" t="inlineStr">
        <is>
          <t>Si</t>
        </is>
      </c>
      <c r="L239" t="inlineStr">
        <is>
          <t>Número</t>
        </is>
      </c>
      <c r="M239">
        <v>4</v>
      </c>
      <c r="N239">
        <v>0.15</v>
      </c>
      <c r="O239">
        <v>1.1</v>
      </c>
      <c r="P239">
        <v>1.87</v>
      </c>
      <c r="Q239">
        <v>0.88</v>
      </c>
      <c r="R239" t="inlineStr">
        <is>
          <t xml:space="preserve"> </t>
        </is>
      </c>
      <c r="S239" s="103" t="inlineStr">
        <is>
          <t xml:space="preserve"> </t>
        </is>
      </c>
      <c r="T239" t="inlineStr">
        <is>
          <t>No se encontró ejecución en PIIP</t>
        </is>
      </c>
      <c r="U239" t="inlineStr">
        <is>
          <t xml:space="preserve"> </t>
        </is>
      </c>
      <c r="V239" s="104" t="inlineStr">
        <is>
          <t xml:space="preserve"> </t>
        </is>
      </c>
      <c r="W239" t="inlineStr">
        <is>
          <t>No se encontró ejecución en PIIP</t>
        </is>
      </c>
    </row>
    <row r="240">
      <c r="A240" t="inlineStr">
        <is>
          <t>IP-254</t>
        </is>
      </c>
      <c r="B240" t="inlineStr">
        <is>
          <t>24</t>
        </is>
      </c>
      <c r="C240" t="inlineStr">
        <is>
          <t>Transporte</t>
        </is>
      </c>
      <c r="D240" t="inlineStr">
        <is>
          <t>2408</t>
        </is>
      </c>
      <c r="E240" t="inlineStr">
        <is>
          <t>Prestación de servicios de transporte público de pasajeros</t>
        </is>
      </c>
      <c r="F240" t="inlineStr">
        <is>
          <t>2408052</t>
        </is>
      </c>
      <c r="G240" t="inlineStr">
        <is>
          <t>Servicio de apoyo financiero para el desarrollo de los componentes del  Sistema de Transporte Público de Pasajeros</t>
        </is>
      </c>
      <c r="H240" t="inlineStr">
        <is>
          <t>240805200</t>
        </is>
      </c>
      <c r="I240" t="inlineStr">
        <is>
          <t>Sistema de transporte público de pasajeros cofinanciado</t>
        </is>
      </c>
      <c r="J240" t="inlineStr">
        <is>
          <t>2024004250155</t>
        </is>
      </c>
      <c r="K240" t="inlineStr">
        <is>
          <t>No</t>
        </is>
      </c>
      <c r="L240" t="inlineStr">
        <is>
          <t>Número</t>
        </is>
      </c>
      <c r="M240">
        <v>1</v>
      </c>
      <c r="N240">
        <v>1</v>
      </c>
      <c r="O240">
        <v>1</v>
      </c>
      <c r="P240">
        <v>1</v>
      </c>
      <c r="Q240">
        <v>1</v>
      </c>
      <c r="R240" t="inlineStr">
        <is>
          <t xml:space="preserve"> </t>
        </is>
      </c>
      <c r="S240" s="103" t="inlineStr">
        <is>
          <t xml:space="preserve"> </t>
        </is>
      </c>
      <c r="T240" t="inlineStr">
        <is>
          <t>No se encontró ejecución en PIIP</t>
        </is>
      </c>
      <c r="U240" t="inlineStr">
        <is>
          <t xml:space="preserve"> </t>
        </is>
      </c>
      <c r="V240" s="104" t="inlineStr">
        <is>
          <t xml:space="preserve"> </t>
        </is>
      </c>
      <c r="W240" t="inlineStr">
        <is>
          <t>No se encontró ejecución en PIIP</t>
        </is>
      </c>
    </row>
    <row r="241">
      <c r="A241" t="inlineStr">
        <is>
          <t>IP-255</t>
        </is>
      </c>
      <c r="B241" t="inlineStr">
        <is>
          <t>24</t>
        </is>
      </c>
      <c r="C241" t="inlineStr">
        <is>
          <t>Transporte</t>
        </is>
      </c>
      <c r="D241" t="inlineStr">
        <is>
          <t>2408</t>
        </is>
      </c>
      <c r="E241" t="inlineStr">
        <is>
          <t>Prestación de servicios de transporte público de pasajeros</t>
        </is>
      </c>
      <c r="F241" t="inlineStr">
        <is>
          <t>2408052</t>
        </is>
      </c>
      <c r="G241" t="inlineStr">
        <is>
          <t>Servicio de apoyo financiero para el desarrollo de los componentes del  Sistema de Transporte Público de Pasajeros</t>
        </is>
      </c>
      <c r="H241" t="inlineStr">
        <is>
          <t>240805200</t>
        </is>
      </c>
      <c r="I241" t="inlineStr">
        <is>
          <t>Sistema de transporte público de pasajeros cofinanciado</t>
        </is>
      </c>
      <c r="J241" t="inlineStr">
        <is>
          <t>2024004250240</t>
        </is>
      </c>
      <c r="K241" t="inlineStr">
        <is>
          <t>Si</t>
        </is>
      </c>
      <c r="L241" t="inlineStr">
        <is>
          <t>Número</t>
        </is>
      </c>
      <c r="M241">
        <v>1</v>
      </c>
      <c r="N241">
        <v>0.05</v>
      </c>
      <c r="O241">
        <v>0.05</v>
      </c>
      <c r="P241">
        <v>0.45</v>
      </c>
      <c r="Q241">
        <v>0.45</v>
      </c>
      <c r="R241" t="inlineStr">
        <is>
          <t xml:space="preserve"> </t>
        </is>
      </c>
      <c r="S241" s="103" t="inlineStr">
        <is>
          <t xml:space="preserve"> </t>
        </is>
      </c>
      <c r="T241" t="inlineStr">
        <is>
          <t>No se encontró ejecución en PIIP</t>
        </is>
      </c>
      <c r="U241" t="inlineStr">
        <is>
          <t xml:space="preserve"> </t>
        </is>
      </c>
      <c r="V241" s="104" t="inlineStr">
        <is>
          <t xml:space="preserve"> </t>
        </is>
      </c>
      <c r="W241" t="inlineStr">
        <is>
          <t>No se encontró ejecución en PIIP</t>
        </is>
      </c>
    </row>
    <row r="242">
      <c r="A242" t="inlineStr">
        <is>
          <t>IP-257</t>
        </is>
      </c>
      <c r="B242" t="inlineStr">
        <is>
          <t>35</t>
        </is>
      </c>
      <c r="C242" t="inlineStr">
        <is>
          <t>Comercio, industria y turismo</t>
        </is>
      </c>
      <c r="D242" t="inlineStr">
        <is>
          <t>3502</t>
        </is>
      </c>
      <c r="E242" t="inlineStr">
        <is>
          <t>Productividad y competitividad de las empresas colombianas</t>
        </is>
      </c>
      <c r="F242" t="inlineStr">
        <is>
          <t>3502112</t>
        </is>
      </c>
      <c r="G242" t="inlineStr">
        <is>
          <t>Documentos de investigación</t>
        </is>
      </c>
      <c r="H242" t="inlineStr">
        <is>
          <t>350211200</t>
        </is>
      </c>
      <c r="I242" t="inlineStr">
        <is>
          <t>Documentos de investigación elaborados</t>
        </is>
      </c>
      <c r="J242" t="inlineStr">
        <is>
          <t>2024004250081</t>
        </is>
      </c>
      <c r="K242" t="inlineStr">
        <is>
          <t>Si</t>
        </is>
      </c>
      <c r="L242" t="inlineStr">
        <is>
          <t>Número</t>
        </is>
      </c>
      <c r="M242">
        <v>3</v>
      </c>
      <c r="N242">
        <v>0.25</v>
      </c>
      <c r="O242">
        <v>0.75</v>
      </c>
      <c r="P242">
        <v>1</v>
      </c>
      <c r="Q242">
        <v>1</v>
      </c>
      <c r="R242" t="inlineStr">
        <is>
          <t xml:space="preserve"> </t>
        </is>
      </c>
      <c r="S242" s="103" t="inlineStr">
        <is>
          <t xml:space="preserve"> </t>
        </is>
      </c>
      <c r="T242" t="inlineStr">
        <is>
          <t>No se encontró ejecución en PIIP</t>
        </is>
      </c>
      <c r="U242" t="inlineStr">
        <is>
          <t xml:space="preserve"> </t>
        </is>
      </c>
      <c r="V242" s="104" t="inlineStr">
        <is>
          <t xml:space="preserve"> </t>
        </is>
      </c>
      <c r="W242" t="inlineStr">
        <is>
          <t>No se encontró ejecución en PIIP</t>
        </is>
      </c>
    </row>
    <row r="243">
      <c r="A243" t="inlineStr">
        <is>
          <t>IP-258</t>
        </is>
      </c>
      <c r="B243" t="inlineStr">
        <is>
          <t>17</t>
        </is>
      </c>
      <c r="C243" t="inlineStr">
        <is>
          <t xml:space="preserve">Agricultura y desarrollo rural
</t>
        </is>
      </c>
      <c r="D243" t="inlineStr">
        <is>
          <t>1702</t>
        </is>
      </c>
      <c r="E243" t="inlineStr">
        <is>
          <t>Inclusión productiva de pequeños productores rurales</t>
        </is>
      </c>
      <c r="F243" t="inlineStr">
        <is>
          <t>1702021</t>
        </is>
      </c>
      <c r="G243" t="inlineStr">
        <is>
          <t>Servicio de acompañamiento productivo y empresarial</t>
        </is>
      </c>
      <c r="H243" t="inlineStr">
        <is>
          <t>170202100</t>
        </is>
      </c>
      <c r="I243" t="inlineStr">
        <is>
          <t>Unidades productivas beneficiadas</t>
        </is>
      </c>
      <c r="J243" t="inlineStr">
        <is>
          <t>2024004250224</t>
        </is>
      </c>
      <c r="K243" t="inlineStr">
        <is>
          <t>Si</t>
        </is>
      </c>
      <c r="L243" t="inlineStr">
        <is>
          <t>Número</t>
        </is>
      </c>
      <c r="M243">
        <v>600</v>
      </c>
      <c r="N243">
        <v>152</v>
      </c>
      <c r="O243">
        <v>300</v>
      </c>
      <c r="P243">
        <v>148</v>
      </c>
      <c r="Q243">
        <v>0</v>
      </c>
      <c r="R243" t="inlineStr">
        <is>
          <t xml:space="preserve"> </t>
        </is>
      </c>
      <c r="S243" s="103" t="inlineStr">
        <is>
          <t xml:space="preserve"> </t>
        </is>
      </c>
      <c r="T243" t="inlineStr">
        <is>
          <t>No se encontró ejecución en PIIP</t>
        </is>
      </c>
      <c r="U243" t="inlineStr">
        <is>
          <t xml:space="preserve"> </t>
        </is>
      </c>
      <c r="V243" s="104" t="inlineStr">
        <is>
          <t xml:space="preserve"> </t>
        </is>
      </c>
      <c r="W243" t="inlineStr">
        <is>
          <t>No se encontró ejecución en PIIP</t>
        </is>
      </c>
    </row>
    <row r="244">
      <c r="A244" t="inlineStr">
        <is>
          <t>IP-259</t>
        </is>
      </c>
      <c r="B244" t="inlineStr">
        <is>
          <t>17</t>
        </is>
      </c>
      <c r="C244" t="inlineStr">
        <is>
          <t xml:space="preserve">Agricultura y desarrollo rural
</t>
        </is>
      </c>
      <c r="D244" t="inlineStr">
        <is>
          <t>1702</t>
        </is>
      </c>
      <c r="E244" t="inlineStr">
        <is>
          <t>Inclusión productiva de pequeños productores rurales</t>
        </is>
      </c>
      <c r="F244" t="inlineStr">
        <is>
          <t>1702007</t>
        </is>
      </c>
      <c r="G244" t="inlineStr">
        <is>
          <t>Servicio de apoyo financiero para proyectos productivos</t>
        </is>
      </c>
      <c r="H244" t="inlineStr">
        <is>
          <t>170200700</t>
        </is>
      </c>
      <c r="I244" t="inlineStr">
        <is>
          <t>Proyectos productivos cofinanciados</t>
        </is>
      </c>
      <c r="J244" t="inlineStr">
        <is>
          <t>2024004250253</t>
        </is>
      </c>
      <c r="K244" t="inlineStr">
        <is>
          <t>Si</t>
        </is>
      </c>
      <c r="L244" t="inlineStr">
        <is>
          <t>Número</t>
        </is>
      </c>
      <c r="M244">
        <v>2000</v>
      </c>
      <c r="N244">
        <v>0</v>
      </c>
      <c r="O244">
        <v>420</v>
      </c>
      <c r="P244">
        <v>790</v>
      </c>
      <c r="Q244">
        <v>790</v>
      </c>
      <c r="R244" t="inlineStr">
        <is>
          <t xml:space="preserve"> </t>
        </is>
      </c>
      <c r="S244" s="103" t="inlineStr">
        <is>
          <t xml:space="preserve"> </t>
        </is>
      </c>
      <c r="T244" t="inlineStr">
        <is>
          <t>No se encontró ejecución en PIIP</t>
        </is>
      </c>
      <c r="U244" t="inlineStr">
        <is>
          <t xml:space="preserve"> </t>
        </is>
      </c>
      <c r="V244" s="104" t="inlineStr">
        <is>
          <t xml:space="preserve"> </t>
        </is>
      </c>
      <c r="W244" t="inlineStr">
        <is>
          <t>No se encontró ejecución en PIIP</t>
        </is>
      </c>
    </row>
    <row r="245">
      <c r="A245" t="inlineStr">
        <is>
          <t>IP-260</t>
        </is>
      </c>
      <c r="B245" t="inlineStr">
        <is>
          <t>39</t>
        </is>
      </c>
      <c r="C245" t="inlineStr">
        <is>
          <t xml:space="preserve">Ciencia, tecnología e innovación
</t>
        </is>
      </c>
      <c r="D245" t="inlineStr">
        <is>
          <t>3906</t>
        </is>
      </c>
      <c r="E245" t="inlineStr">
        <is>
          <t>Fomento a vocaciones y formación, generación, uso y apropiación social del conocimiento de la ciencia, tecnología e innovación</t>
        </is>
      </c>
      <c r="F245" t="inlineStr">
        <is>
          <t>3906005</t>
        </is>
      </c>
      <c r="G245" t="inlineStr">
        <is>
          <t>Servicio de apoyo financiero a programas y proyectos de Ciencia, Tecnología e Innovación (CTI) para la generación de conocimiento, desarrollo tecnológico e innovación. (I+D+i)</t>
        </is>
      </c>
      <c r="H245" t="inlineStr">
        <is>
          <t>390600500</t>
        </is>
      </c>
      <c r="I245" t="inlineStr">
        <is>
          <t xml:space="preserve">Programas y proyectos financiados </t>
        </is>
      </c>
      <c r="J245" t="inlineStr">
        <is>
          <t>2024004250061</t>
        </is>
      </c>
      <c r="K245" t="inlineStr">
        <is>
          <t>Si</t>
        </is>
      </c>
      <c r="L245" t="inlineStr">
        <is>
          <t>Número</t>
        </is>
      </c>
      <c r="M245">
        <v>1</v>
      </c>
      <c r="N245">
        <v>0.3</v>
      </c>
      <c r="O245">
        <v>0.6</v>
      </c>
      <c r="P245">
        <v>0.1</v>
      </c>
      <c r="Q245">
        <v>0</v>
      </c>
      <c r="R245">
        <v>1</v>
      </c>
      <c r="S245" s="103">
        <v>3.33333333333333</v>
      </c>
      <c r="T245" t="inlineStr">
        <is>
          <t>Hubo ejecución por encima de lo programado en SisPT</t>
        </is>
      </c>
      <c r="U245">
        <v>0</v>
      </c>
      <c r="V245" s="104">
        <v>0</v>
      </c>
      <c r="W245" t="inlineStr">
        <is>
          <t>No se ejecutó en la vigencia</t>
        </is>
      </c>
    </row>
    <row r="246">
      <c r="A246" t="inlineStr">
        <is>
          <t>IP-261, IP-263</t>
        </is>
      </c>
      <c r="B246" t="inlineStr">
        <is>
          <t>39</t>
        </is>
      </c>
      <c r="C246" t="inlineStr">
        <is>
          <t xml:space="preserve">Ciencia, tecnología e innovación
</t>
        </is>
      </c>
      <c r="D246" t="inlineStr">
        <is>
          <t>3906</t>
        </is>
      </c>
      <c r="E246" t="inlineStr">
        <is>
          <t>Fomento a vocaciones y formación, generación, uso y apropiación social del conocimiento de la ciencia, tecnología e innovación</t>
        </is>
      </c>
      <c r="F246" t="inlineStr">
        <is>
          <t>3906009</t>
        </is>
      </c>
      <c r="G246" t="inlineStr">
        <is>
          <t>Servicios de apoyo financiero para programas y proyectos de CTI que promueven la innovación, la transferencia tecnológica y el emprendimiento</t>
        </is>
      </c>
      <c r="H246" t="inlineStr">
        <is>
          <t>390600900</t>
        </is>
      </c>
      <c r="I246" t="inlineStr">
        <is>
          <t>Programas y proyectos financiados</t>
        </is>
      </c>
      <c r="J246" t="inlineStr">
        <is>
          <t>2024004250102</t>
        </is>
      </c>
      <c r="K246" t="inlineStr">
        <is>
          <t>Si</t>
        </is>
      </c>
      <c r="L246" t="inlineStr">
        <is>
          <t>Número</t>
        </is>
      </c>
      <c r="M246">
        <v>2</v>
      </c>
      <c r="N246">
        <v>1</v>
      </c>
      <c r="O246">
        <v>1</v>
      </c>
      <c r="P246">
        <v>2</v>
      </c>
      <c r="Q246">
        <v>0</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IP-262</t>
        </is>
      </c>
      <c r="B247" t="inlineStr">
        <is>
          <t>39</t>
        </is>
      </c>
      <c r="C247" t="inlineStr">
        <is>
          <t xml:space="preserve">Ciencia, tecnología e innovación
</t>
        </is>
      </c>
      <c r="D247" t="inlineStr">
        <is>
          <t>3906</t>
        </is>
      </c>
      <c r="E247" t="inlineStr">
        <is>
          <t>Fomento a vocaciones y formación, generación, uso y apropiación social del conocimiento de la ciencia, tecnología e innovación</t>
        </is>
      </c>
      <c r="F247" t="inlineStr">
        <is>
          <t>3906006</t>
        </is>
      </c>
      <c r="G247" t="inlineStr">
        <is>
          <t>Servicio de apoyo financiero para programas y proyectos de infraestructura científica y tecnológica</t>
        </is>
      </c>
      <c r="H247" t="inlineStr">
        <is>
          <t>390600600</t>
        </is>
      </c>
      <c r="I247" t="inlineStr">
        <is>
          <t xml:space="preserve">Programas y proyectos financiados </t>
        </is>
      </c>
      <c r="J247" t="inlineStr">
        <is>
          <t>2024004250102</t>
        </is>
      </c>
      <c r="K247" t="inlineStr">
        <is>
          <t>Si</t>
        </is>
      </c>
      <c r="L247" t="inlineStr">
        <is>
          <t>Número</t>
        </is>
      </c>
      <c r="M247">
        <v>1</v>
      </c>
      <c r="N247">
        <v>0.2</v>
      </c>
      <c r="O247">
        <v>0.7</v>
      </c>
      <c r="P247">
        <v>0.1</v>
      </c>
      <c r="Q247">
        <v>0</v>
      </c>
      <c r="R247" t="inlineStr">
        <is>
          <t xml:space="preserve"> </t>
        </is>
      </c>
      <c r="S247" s="103" t="inlineStr">
        <is>
          <t xml:space="preserve"> </t>
        </is>
      </c>
      <c r="T247" t="inlineStr">
        <is>
          <t>No se encontró ejecución en PIIP</t>
        </is>
      </c>
      <c r="U247" t="inlineStr">
        <is>
          <t xml:space="preserve"> </t>
        </is>
      </c>
      <c r="V247" s="104" t="inlineStr">
        <is>
          <t xml:space="preserve"> </t>
        </is>
      </c>
      <c r="W247" t="inlineStr">
        <is>
          <t>No se encontró ejecución en PIIP</t>
        </is>
      </c>
    </row>
    <row r="248">
      <c r="A248" t="inlineStr">
        <is>
          <t>IP-264</t>
        </is>
      </c>
      <c r="B248" t="inlineStr">
        <is>
          <t>39</t>
        </is>
      </c>
      <c r="C248" t="inlineStr">
        <is>
          <t xml:space="preserve">Ciencia, tecnología e innovación
</t>
        </is>
      </c>
      <c r="D248" t="inlineStr">
        <is>
          <t>3906</t>
        </is>
      </c>
      <c r="E248" t="inlineStr">
        <is>
          <t>Fomento a vocaciones y formación, generación, uso y apropiación social del conocimiento de la ciencia, tecnología e innovación</t>
        </is>
      </c>
      <c r="F248" t="inlineStr">
        <is>
          <t>3906019</t>
        </is>
      </c>
      <c r="G248" t="inlineStr">
        <is>
          <t xml:space="preserve">Servicios de apoyo para la implementación de innovación en las empresas </t>
        </is>
      </c>
      <c r="H248" t="inlineStr">
        <is>
          <t>390601900</t>
        </is>
      </c>
      <c r="I248" t="inlineStr">
        <is>
          <t>Empresas apoyadas</t>
        </is>
      </c>
      <c r="J248" t="inlineStr">
        <is>
          <t>2024004250102</t>
        </is>
      </c>
      <c r="K248" t="inlineStr">
        <is>
          <t>Si</t>
        </is>
      </c>
      <c r="L248" t="inlineStr">
        <is>
          <t>Número</t>
        </is>
      </c>
      <c r="M248">
        <v>200</v>
      </c>
      <c r="N248">
        <v>10</v>
      </c>
      <c r="O248">
        <v>50</v>
      </c>
      <c r="P248">
        <v>100</v>
      </c>
      <c r="Q248">
        <v>26</v>
      </c>
      <c r="R248" t="inlineStr">
        <is>
          <t xml:space="preserve"> </t>
        </is>
      </c>
      <c r="S248" s="103" t="inlineStr">
        <is>
          <t xml:space="preserve"> </t>
        </is>
      </c>
      <c r="T248" t="inlineStr">
        <is>
          <t>No se encontró ejecución en PIIP</t>
        </is>
      </c>
      <c r="U248" t="inlineStr">
        <is>
          <t xml:space="preserve"> </t>
        </is>
      </c>
      <c r="V248" s="104" t="inlineStr">
        <is>
          <t xml:space="preserve"> </t>
        </is>
      </c>
      <c r="W248" t="inlineStr">
        <is>
          <t>No se encontró ejecución en PIIP</t>
        </is>
      </c>
    </row>
    <row r="249">
      <c r="A249" t="inlineStr">
        <is>
          <t>IP-265, IP-270</t>
        </is>
      </c>
      <c r="B249" t="inlineStr">
        <is>
          <t>39</t>
        </is>
      </c>
      <c r="C249" t="inlineStr">
        <is>
          <t xml:space="preserve">Ciencia, tecnología e innovación
</t>
        </is>
      </c>
      <c r="D249" t="inlineStr">
        <is>
          <t>3906</t>
        </is>
      </c>
      <c r="E249" t="inlineStr">
        <is>
          <t>Fomento a vocaciones y formación, generación, uso y apropiación social del conocimiento de la ciencia, tecnología e innovación</t>
        </is>
      </c>
      <c r="F249" t="inlineStr">
        <is>
          <t>3906012</t>
        </is>
      </c>
      <c r="G249" t="inlineStr">
        <is>
          <t>Documentos de investigación</t>
        </is>
      </c>
      <c r="H249" t="inlineStr">
        <is>
          <t>390601200</t>
        </is>
      </c>
      <c r="I249" t="inlineStr">
        <is>
          <t>Documentos de investigación elaborados</t>
        </is>
      </c>
      <c r="J249" t="inlineStr">
        <is>
          <t>2024004250061</t>
        </is>
      </c>
      <c r="K249" t="inlineStr">
        <is>
          <t>Si</t>
        </is>
      </c>
      <c r="L249" t="inlineStr">
        <is>
          <t>Número</t>
        </is>
      </c>
      <c r="M249">
        <v>2090</v>
      </c>
      <c r="N249">
        <v>12</v>
      </c>
      <c r="O249">
        <v>96</v>
      </c>
      <c r="P249">
        <v>955</v>
      </c>
      <c r="Q249">
        <v>1025</v>
      </c>
      <c r="R249">
        <v>2</v>
      </c>
      <c r="S249" s="103">
        <v>0.166666666666667</v>
      </c>
      <c r="T249" t="inlineStr">
        <is>
          <t>Lo ejecutado está por debajo de lo programado en la vigencia</t>
        </is>
      </c>
      <c r="U249">
        <v>0</v>
      </c>
      <c r="V249" s="104">
        <v>0</v>
      </c>
      <c r="W249" t="inlineStr">
        <is>
          <t>No se ejecutó en la vigencia</t>
        </is>
      </c>
    </row>
    <row r="250">
      <c r="A250" t="inlineStr">
        <is>
          <t>IP-266</t>
        </is>
      </c>
      <c r="B250" t="inlineStr">
        <is>
          <t>39</t>
        </is>
      </c>
      <c r="C250" t="inlineStr">
        <is>
          <t xml:space="preserve">Ciencia, tecnología e innovación
</t>
        </is>
      </c>
      <c r="D250" t="inlineStr">
        <is>
          <t>3906</t>
        </is>
      </c>
      <c r="E250" t="inlineStr">
        <is>
          <t>Fomento a vocaciones y formación, generación, uso y apropiación social del conocimiento de la ciencia, tecnología e innovación</t>
        </is>
      </c>
      <c r="F250" t="inlineStr">
        <is>
          <t>3906005</t>
        </is>
      </c>
      <c r="G250" t="inlineStr">
        <is>
          <t>Servicio de apoyo financiero a programas y proyectos de Ciencia, Tecnología e Innovación (CTI) para la generación de conocimiento, desarrollo tecnológico e innovación. (I+D+i)</t>
        </is>
      </c>
      <c r="H250" t="inlineStr">
        <is>
          <t>390600500</t>
        </is>
      </c>
      <c r="I250" t="inlineStr">
        <is>
          <t xml:space="preserve">Programas y proyectos financiados </t>
        </is>
      </c>
      <c r="J250" t="inlineStr">
        <is>
          <t>2024004250102</t>
        </is>
      </c>
      <c r="K250" t="inlineStr">
        <is>
          <t>Si</t>
        </is>
      </c>
      <c r="L250" t="inlineStr">
        <is>
          <t>Número</t>
        </is>
      </c>
      <c r="M250">
        <v>180</v>
      </c>
      <c r="N250">
        <v>1</v>
      </c>
      <c r="O250">
        <v>4</v>
      </c>
      <c r="P250">
        <v>90</v>
      </c>
      <c r="Q250">
        <v>84</v>
      </c>
      <c r="R250" t="inlineStr">
        <is>
          <t xml:space="preserve"> </t>
        </is>
      </c>
      <c r="S250" s="103" t="inlineStr">
        <is>
          <t xml:space="preserve"> </t>
        </is>
      </c>
      <c r="T250" t="inlineStr">
        <is>
          <t>No se encontró ejecución en PIIP</t>
        </is>
      </c>
      <c r="U250" t="inlineStr">
        <is>
          <t xml:space="preserve"> </t>
        </is>
      </c>
      <c r="V250" s="104" t="inlineStr">
        <is>
          <t xml:space="preserve"> </t>
        </is>
      </c>
      <c r="W250" t="inlineStr">
        <is>
          <t>No se encontró ejecución en PIIP</t>
        </is>
      </c>
    </row>
    <row r="251">
      <c r="A251" t="inlineStr">
        <is>
          <t>IP-267</t>
        </is>
      </c>
      <c r="B251" t="inlineStr">
        <is>
          <t>39</t>
        </is>
      </c>
      <c r="C251" t="inlineStr">
        <is>
          <t xml:space="preserve">Ciencia, tecnología e innovación
</t>
        </is>
      </c>
      <c r="D251" t="inlineStr">
        <is>
          <t>3906</t>
        </is>
      </c>
      <c r="E251" t="inlineStr">
        <is>
          <t>Fomento a vocaciones y formación, generación, uso y apropiación social del conocimiento de la ciencia, tecnología e innovación</t>
        </is>
      </c>
      <c r="F251" t="inlineStr">
        <is>
          <t>3906004</t>
        </is>
      </c>
      <c r="G251" t="inlineStr">
        <is>
          <t>Servicio de apoyo financiero para la formación de nivel doctoral</t>
        </is>
      </c>
      <c r="H251" t="inlineStr">
        <is>
          <t>390600400</t>
        </is>
      </c>
      <c r="I251" t="inlineStr">
        <is>
          <t>Becas de nivel doctoral otorgadas</t>
        </is>
      </c>
      <c r="J251" t="inlineStr">
        <is>
          <t>2024004250061</t>
        </is>
      </c>
      <c r="K251" t="inlineStr">
        <is>
          <t>Si</t>
        </is>
      </c>
      <c r="L251" t="inlineStr">
        <is>
          <t>Número</t>
        </is>
      </c>
      <c r="M251">
        <v>20</v>
      </c>
      <c r="N251">
        <v>1</v>
      </c>
      <c r="O251">
        <v>0</v>
      </c>
      <c r="P251">
        <v>10</v>
      </c>
      <c r="Q251">
        <v>10</v>
      </c>
      <c r="R251" t="inlineStr">
        <is>
          <t xml:space="preserve"> </t>
        </is>
      </c>
      <c r="S251" s="103" t="inlineStr">
        <is>
          <t xml:space="preserve"> </t>
        </is>
      </c>
      <c r="T251" t="inlineStr">
        <is>
          <t>No se encontró ejecución en PIIP</t>
        </is>
      </c>
      <c r="U251" t="inlineStr">
        <is>
          <t xml:space="preserve"> </t>
        </is>
      </c>
      <c r="V251" s="104" t="inlineStr">
        <is>
          <t xml:space="preserve"> </t>
        </is>
      </c>
      <c r="W251" t="inlineStr">
        <is>
          <t>No se encontró ejecución en PIIP</t>
        </is>
      </c>
    </row>
    <row r="252">
      <c r="A252" t="inlineStr">
        <is>
          <t>IP-268</t>
        </is>
      </c>
      <c r="B252" t="inlineStr">
        <is>
          <t>39</t>
        </is>
      </c>
      <c r="C252" t="inlineStr">
        <is>
          <t xml:space="preserve">Ciencia, tecnología e innovación
</t>
        </is>
      </c>
      <c r="D252" t="inlineStr">
        <is>
          <t>3906</t>
        </is>
      </c>
      <c r="E252" t="inlineStr">
        <is>
          <t>Fomento a vocaciones y formación, generación, uso y apropiación social del conocimiento de la ciencia, tecnología e innovación</t>
        </is>
      </c>
      <c r="F252" t="inlineStr">
        <is>
          <t>3906003</t>
        </is>
      </c>
      <c r="G252" t="inlineStr">
        <is>
          <t>Servicio de apoyo financiero para la formación de nivel maestría</t>
        </is>
      </c>
      <c r="H252" t="inlineStr">
        <is>
          <t>390600300</t>
        </is>
      </c>
      <c r="I252" t="inlineStr">
        <is>
          <t>Becas de maestría otorgadas</t>
        </is>
      </c>
      <c r="J252" t="inlineStr">
        <is>
          <t>2024004250061</t>
        </is>
      </c>
      <c r="K252" t="inlineStr">
        <is>
          <t>Si</t>
        </is>
      </c>
      <c r="L252" t="inlineStr">
        <is>
          <t>Número</t>
        </is>
      </c>
      <c r="M252">
        <v>100</v>
      </c>
      <c r="N252">
        <v>50</v>
      </c>
      <c r="O252">
        <v>92</v>
      </c>
      <c r="P252">
        <v>142</v>
      </c>
      <c r="Q252">
        <v>0</v>
      </c>
      <c r="R252">
        <v>50</v>
      </c>
      <c r="S252" s="103">
        <v>1</v>
      </c>
      <c r="T252" t="inlineStr">
        <is>
          <t>Se ejecutó el 100% de lo programado en la vigencia</t>
        </is>
      </c>
      <c r="U252">
        <v>0</v>
      </c>
      <c r="V252" s="104">
        <v>0</v>
      </c>
      <c r="W252" t="inlineStr">
        <is>
          <t>No se ejecutó en la vigencia</t>
        </is>
      </c>
    </row>
    <row r="253">
      <c r="A253" t="inlineStr">
        <is>
          <t>IP-269</t>
        </is>
      </c>
      <c r="B253" t="inlineStr">
        <is>
          <t>39</t>
        </is>
      </c>
      <c r="C253" t="inlineStr">
        <is>
          <t xml:space="preserve">Ciencia, tecnología e innovación
</t>
        </is>
      </c>
      <c r="D253" t="inlineStr">
        <is>
          <t>3906</t>
        </is>
      </c>
      <c r="E253" t="inlineStr">
        <is>
          <t>Fomento a vocaciones y formación, generación, uso y apropiación social del conocimiento de la ciencia, tecnología e innovación</t>
        </is>
      </c>
      <c r="F253" t="inlineStr">
        <is>
          <t>3906001</t>
        </is>
      </c>
      <c r="G253" t="inlineStr">
        <is>
          <t>Servicio de apoyo financiero para el fortalecimiento de las vocaciones científicas en CTI</t>
        </is>
      </c>
      <c r="H253" t="inlineStr">
        <is>
          <t>390600100</t>
        </is>
      </c>
      <c r="I253" t="inlineStr">
        <is>
          <t>Personas apoyadas en su vocación científica</t>
        </is>
      </c>
      <c r="J253" t="inlineStr">
        <is>
          <t>2024004250061</t>
        </is>
      </c>
      <c r="K253" t="inlineStr">
        <is>
          <t>Si</t>
        </is>
      </c>
      <c r="L253" t="inlineStr">
        <is>
          <t>Número</t>
        </is>
      </c>
      <c r="M253">
        <v>15</v>
      </c>
      <c r="N253">
        <v>2</v>
      </c>
      <c r="O253">
        <v>13</v>
      </c>
      <c r="P253">
        <v>15</v>
      </c>
      <c r="Q253">
        <v>0</v>
      </c>
      <c r="R253" t="inlineStr">
        <is>
          <t xml:space="preserve"> </t>
        </is>
      </c>
      <c r="S253" s="103" t="inlineStr">
        <is>
          <t xml:space="preserve"> </t>
        </is>
      </c>
      <c r="T253" t="inlineStr">
        <is>
          <t>No se encontró ejecución en PIIP</t>
        </is>
      </c>
      <c r="U253">
        <v>0</v>
      </c>
      <c r="V253" s="104">
        <v>0</v>
      </c>
      <c r="W253" t="inlineStr">
        <is>
          <t>No se ejecutó en la vigencia</t>
        </is>
      </c>
    </row>
    <row r="254">
      <c r="A254" t="inlineStr">
        <is>
          <t>IP-271</t>
        </is>
      </c>
      <c r="B254" t="inlineStr">
        <is>
          <t>35</t>
        </is>
      </c>
      <c r="C254" t="inlineStr">
        <is>
          <t>Comercio, industria y turismo</t>
        </is>
      </c>
      <c r="D254" t="inlineStr">
        <is>
          <t>3502</t>
        </is>
      </c>
      <c r="E254" t="inlineStr">
        <is>
          <t>Productividad y competitividad de las empresas colombianas</t>
        </is>
      </c>
      <c r="F254" t="inlineStr">
        <is>
          <t>3502095</t>
        </is>
      </c>
      <c r="G254" t="inlineStr">
        <is>
          <t>Servicios de apoyo para el fomento de capacidades en economía circulary sostenibilidad</t>
        </is>
      </c>
      <c r="H254" t="inlineStr">
        <is>
          <t>350209500</t>
        </is>
      </c>
      <c r="I254" t="inlineStr">
        <is>
          <t>Empresas intervenidas en temas de economía circular y sostenibilidad</t>
        </is>
      </c>
      <c r="J254" t="inlineStr">
        <is>
          <t>2024004250112</t>
        </is>
      </c>
      <c r="K254" t="inlineStr">
        <is>
          <t>Si</t>
        </is>
      </c>
      <c r="L254" t="inlineStr">
        <is>
          <t>Número</t>
        </is>
      </c>
      <c r="M254">
        <v>1</v>
      </c>
      <c r="N254">
        <v>0.2</v>
      </c>
      <c r="O254">
        <v>0.3</v>
      </c>
      <c r="P254">
        <v>0.3</v>
      </c>
      <c r="Q254">
        <v>0.2</v>
      </c>
      <c r="R254" t="inlineStr">
        <is>
          <t xml:space="preserve"> </t>
        </is>
      </c>
      <c r="S254" s="103" t="inlineStr">
        <is>
          <t xml:space="preserve"> </t>
        </is>
      </c>
      <c r="T254" t="inlineStr">
        <is>
          <t>No se encontró ejecución en PIIP</t>
        </is>
      </c>
      <c r="U254">
        <v>0.22</v>
      </c>
      <c r="V254" s="104">
        <v>0.733333333333333</v>
      </c>
      <c r="W254" t="inlineStr">
        <is>
          <t>Lo ejecutado está por debajo de lo programado en la vigencia</t>
        </is>
      </c>
    </row>
    <row r="255">
      <c r="A255" t="inlineStr">
        <is>
          <t>IP-272</t>
        </is>
      </c>
      <c r="B255" t="inlineStr">
        <is>
          <t>21</t>
        </is>
      </c>
      <c r="C255" t="inlineStr">
        <is>
          <t>Minas y Energía</t>
        </is>
      </c>
      <c r="D255" t="inlineStr">
        <is>
          <t>2104</t>
        </is>
      </c>
      <c r="E255" t="inlineStr">
        <is>
          <t>Consolidación productiva del sector minero</t>
        </is>
      </c>
      <c r="F255" t="inlineStr">
        <is>
          <t>2104016</t>
        </is>
      </c>
      <c r="G255" t="inlineStr">
        <is>
          <t>Servicio de apoyo financiero para el desarrollo competitivo del sector minero</t>
        </is>
      </c>
      <c r="H255" t="inlineStr">
        <is>
          <t>210401600</t>
        </is>
      </c>
      <c r="I255" t="inlineStr">
        <is>
          <t>Avance en ejecución de recursos</t>
        </is>
      </c>
      <c r="J255" t="inlineStr">
        <is>
          <t>2024004250254</t>
        </is>
      </c>
      <c r="K255" t="inlineStr">
        <is>
          <t>Si</t>
        </is>
      </c>
      <c r="L255" t="inlineStr">
        <is>
          <t>Porcentaje</t>
        </is>
      </c>
      <c r="M255">
        <v>1</v>
      </c>
      <c r="N255">
        <v>0</v>
      </c>
      <c r="O255">
        <v>0.25</v>
      </c>
      <c r="P255">
        <v>0.45</v>
      </c>
      <c r="Q255">
        <v>0.3</v>
      </c>
      <c r="R255" t="inlineStr">
        <is>
          <t xml:space="preserve"> </t>
        </is>
      </c>
      <c r="S255" s="103" t="inlineStr">
        <is>
          <t xml:space="preserve"> </t>
        </is>
      </c>
      <c r="T255" t="inlineStr">
        <is>
          <t>No se encontró ejecución en PIIP</t>
        </is>
      </c>
      <c r="U255">
        <v>0</v>
      </c>
      <c r="V255" s="104">
        <v>0</v>
      </c>
      <c r="W255" t="inlineStr">
        <is>
          <t>No se ejecutó en la vigencia</t>
        </is>
      </c>
    </row>
    <row r="256">
      <c r="A256" t="inlineStr">
        <is>
          <t>IP-273</t>
        </is>
      </c>
      <c r="B256" t="inlineStr">
        <is>
          <t>21</t>
        </is>
      </c>
      <c r="C256" t="inlineStr">
        <is>
          <t>Minas y Energía</t>
        </is>
      </c>
      <c r="D256" t="inlineStr">
        <is>
          <t>2102</t>
        </is>
      </c>
      <c r="E256" t="inlineStr">
        <is>
          <t>Consolidación productiva del sector de energía eléctrica</t>
        </is>
      </c>
      <c r="F256" t="inlineStr">
        <is>
          <t>2102058</t>
        </is>
      </c>
      <c r="G256" t="inlineStr">
        <is>
          <t>Unidades de generación fotovoltaica de energía eléctrica instaladas</t>
        </is>
      </c>
      <c r="H256" t="inlineStr">
        <is>
          <t>210205800</t>
        </is>
      </c>
      <c r="I256" t="inlineStr">
        <is>
          <t>Unidades de generación fotovoltaica de energía eléctrica instaladas</t>
        </is>
      </c>
      <c r="J256" t="inlineStr">
        <is>
          <t>2024004250035</t>
        </is>
      </c>
      <c r="K256" t="inlineStr">
        <is>
          <t>Si</t>
        </is>
      </c>
      <c r="L256" t="inlineStr">
        <is>
          <t>Número</t>
        </is>
      </c>
      <c r="M256">
        <v>4</v>
      </c>
      <c r="N256">
        <v>0.25</v>
      </c>
      <c r="O256">
        <v>1</v>
      </c>
      <c r="P256">
        <v>1</v>
      </c>
      <c r="Q256">
        <v>1.75</v>
      </c>
      <c r="R256" t="inlineStr">
        <is>
          <t xml:space="preserve"> </t>
        </is>
      </c>
      <c r="S256" s="103" t="inlineStr">
        <is>
          <t xml:space="preserve"> </t>
        </is>
      </c>
      <c r="T256" t="inlineStr">
        <is>
          <t>No se encontró ejecución en PIIP</t>
        </is>
      </c>
      <c r="U256" t="inlineStr">
        <is>
          <t xml:space="preserve"> </t>
        </is>
      </c>
      <c r="V256" s="104" t="inlineStr">
        <is>
          <t xml:space="preserve"> </t>
        </is>
      </c>
      <c r="W256" t="inlineStr">
        <is>
          <t>No se encontró ejecución en PIIP</t>
        </is>
      </c>
    </row>
    <row r="257">
      <c r="A257" t="inlineStr">
        <is>
          <t>IP-274</t>
        </is>
      </c>
      <c r="B257" t="inlineStr">
        <is>
          <t>23</t>
        </is>
      </c>
      <c r="C257" t="inlineStr">
        <is>
          <t>Tecnologías de la información y las comunicaciones</t>
        </is>
      </c>
      <c r="D257" t="inlineStr">
        <is>
          <t>2301</t>
        </is>
      </c>
      <c r="E257" t="inlineStr">
        <is>
          <t>Facilitar el acceso y uso de las Tecnologías de la Información y las Comunicaciones (TIC) en todo el territorio nacional</t>
        </is>
      </c>
      <c r="F257" t="inlineStr">
        <is>
          <t>2301030</t>
        </is>
      </c>
      <c r="G257" t="inlineStr">
        <is>
          <t>Servicio de educación informal en tecnologías de la información y las comunicaciones.</t>
        </is>
      </c>
      <c r="H257" t="inlineStr">
        <is>
          <t>230103000</t>
        </is>
      </c>
      <c r="I257" t="inlineStr">
        <is>
          <t>Personas capacitadas en tecnologías de la información y las comunicaciones</t>
        </is>
      </c>
      <c r="J257" t="inlineStr">
        <is>
          <t>2024004250015</t>
        </is>
      </c>
      <c r="K257" t="inlineStr">
        <is>
          <t>Si</t>
        </is>
      </c>
      <c r="L257" t="inlineStr">
        <is>
          <t>Número</t>
        </is>
      </c>
      <c r="M257">
        <v>30000</v>
      </c>
      <c r="N257">
        <v>0</v>
      </c>
      <c r="O257">
        <v>10000</v>
      </c>
      <c r="P257">
        <v>10000</v>
      </c>
      <c r="Q257">
        <v>4649</v>
      </c>
      <c r="R257">
        <v>0</v>
      </c>
      <c r="S257" s="103" t="inlineStr">
        <is>
          <t xml:space="preserve"> </t>
        </is>
      </c>
      <c r="T257" t="inlineStr">
        <is>
          <t>No se programó ni ejecutó en la vigencia</t>
        </is>
      </c>
      <c r="U257">
        <v>5351</v>
      </c>
      <c r="V257" s="104">
        <v>0.5351</v>
      </c>
      <c r="W257" t="inlineStr">
        <is>
          <t>Lo ejecutado está por debajo de lo programado en la vigencia</t>
        </is>
      </c>
    </row>
    <row r="258">
      <c r="A258" t="inlineStr">
        <is>
          <t>IP-275</t>
        </is>
      </c>
      <c r="B258" t="inlineStr">
        <is>
          <t>23</t>
        </is>
      </c>
      <c r="C258" t="inlineStr">
        <is>
          <t>Tecnologías de la información y las comunicaciones</t>
        </is>
      </c>
      <c r="D258" t="inlineStr">
        <is>
          <t>2302</t>
        </is>
      </c>
      <c r="E258" t="inlineStr">
        <is>
          <t>Fomento del desarrollo de aplicaciones, software y contenidos para impulsar la apropiación de las Tecnologías de la Información y las Comunicaciones (TIC)</t>
        </is>
      </c>
      <c r="F258" t="inlineStr">
        <is>
          <t>2302014</t>
        </is>
      </c>
      <c r="G258" t="inlineStr">
        <is>
          <t>Servicio de apoyo financiero para el desarrollo de proyectos e Investigación, desarrollo e innovación en temas TIC</t>
        </is>
      </c>
      <c r="H258" t="inlineStr">
        <is>
          <t>230201400</t>
        </is>
      </c>
      <c r="I258" t="inlineStr">
        <is>
          <t>Proyectos apoyados</t>
        </is>
      </c>
      <c r="J258" t="inlineStr">
        <is>
          <t>2024004250108</t>
        </is>
      </c>
      <c r="K258" t="inlineStr">
        <is>
          <t>Si</t>
        </is>
      </c>
      <c r="L258" t="inlineStr">
        <is>
          <t>Número</t>
        </is>
      </c>
      <c r="M258">
        <v>3</v>
      </c>
      <c r="N258">
        <v>0.1</v>
      </c>
      <c r="O258">
        <v>0.9</v>
      </c>
      <c r="P258">
        <v>1</v>
      </c>
      <c r="Q258">
        <v>1</v>
      </c>
      <c r="R258">
        <v>0</v>
      </c>
      <c r="S258" s="103">
        <v>0</v>
      </c>
      <c r="T258" t="inlineStr">
        <is>
          <t>No se ejecutó en la vigencia</t>
        </is>
      </c>
      <c r="U258">
        <v>0</v>
      </c>
      <c r="V258" s="104">
        <v>0</v>
      </c>
      <c r="W258" t="inlineStr">
        <is>
          <t>No se ejecutó en la vigencia</t>
        </is>
      </c>
    </row>
    <row r="259">
      <c r="A259" t="inlineStr">
        <is>
          <t>IP-276</t>
        </is>
      </c>
      <c r="B259" t="inlineStr">
        <is>
          <t>24</t>
        </is>
      </c>
      <c r="C259" t="inlineStr">
        <is>
          <t>Transporte</t>
        </is>
      </c>
      <c r="D259" t="inlineStr">
        <is>
          <t>2402</t>
        </is>
      </c>
      <c r="E259" t="inlineStr">
        <is>
          <t>Infraestructura red vial regional</t>
        </is>
      </c>
      <c r="F259" t="inlineStr">
        <is>
          <t>2402006</t>
        </is>
      </c>
      <c r="G259" t="inlineStr">
        <is>
          <t>Vía secundaria mejorada</t>
        </is>
      </c>
      <c r="H259" t="inlineStr">
        <is>
          <t>240200600</t>
        </is>
      </c>
      <c r="I259" t="inlineStr">
        <is>
          <t>Vía secundaria mejorada</t>
        </is>
      </c>
      <c r="J259" t="inlineStr">
        <is>
          <t>2024004250230</t>
        </is>
      </c>
      <c r="K259" t="inlineStr">
        <is>
          <t>Si</t>
        </is>
      </c>
      <c r="L259" t="inlineStr">
        <is>
          <t>Kilómetros</t>
        </is>
      </c>
      <c r="M259">
        <v>5000</v>
      </c>
      <c r="N259">
        <v>618</v>
      </c>
      <c r="O259">
        <v>2997.77</v>
      </c>
      <c r="P259">
        <v>625.245</v>
      </c>
      <c r="Q259">
        <v>389.245</v>
      </c>
      <c r="R259">
        <v>27.74</v>
      </c>
      <c r="S259" s="103">
        <v>0.0448867313915858</v>
      </c>
      <c r="T259" t="inlineStr">
        <is>
          <t>Lo ejecutado está por debajo de lo programado en la vigencia</t>
        </is>
      </c>
      <c r="U259">
        <v>0</v>
      </c>
      <c r="V259" s="104">
        <v>0</v>
      </c>
      <c r="W259" t="inlineStr">
        <is>
          <t>No se ejecutó en la vigencia</t>
        </is>
      </c>
    </row>
    <row r="260">
      <c r="A260" t="inlineStr">
        <is>
          <t>IP-277</t>
        </is>
      </c>
      <c r="B260" t="inlineStr">
        <is>
          <t>24</t>
        </is>
      </c>
      <c r="C260" t="inlineStr">
        <is>
          <t>Transporte</t>
        </is>
      </c>
      <c r="D260" t="inlineStr">
        <is>
          <t>2402</t>
        </is>
      </c>
      <c r="E260" t="inlineStr">
        <is>
          <t>Infraestructura red vial regional</t>
        </is>
      </c>
      <c r="F260" t="inlineStr">
        <is>
          <t>2402042</t>
        </is>
      </c>
      <c r="G260" t="inlineStr">
        <is>
          <t>Placa huella construida</t>
        </is>
      </c>
      <c r="H260" t="inlineStr">
        <is>
          <t>240204200</t>
        </is>
      </c>
      <c r="I260" t="inlineStr">
        <is>
          <t>Vía terciaria mejorada</t>
        </is>
      </c>
      <c r="J260" t="inlineStr">
        <is>
          <t>2024004250010</t>
        </is>
      </c>
      <c r="K260" t="inlineStr">
        <is>
          <t>Si</t>
        </is>
      </c>
      <c r="L260" t="inlineStr">
        <is>
          <t>Metros lineales</t>
        </is>
      </c>
      <c r="M260">
        <v>1200000</v>
      </c>
      <c r="N260">
        <v>100000</v>
      </c>
      <c r="O260">
        <v>234659.83</v>
      </c>
      <c r="P260">
        <v>435161.19</v>
      </c>
      <c r="Q260">
        <v>430000</v>
      </c>
      <c r="R260">
        <v>100179</v>
      </c>
      <c r="S260" s="103">
        <v>1.00179</v>
      </c>
      <c r="T260" t="inlineStr">
        <is>
          <t>Hubo ejecución por encima de lo programado en SisPT</t>
        </is>
      </c>
      <c r="U260">
        <v>663932</v>
      </c>
      <c r="V260" s="104">
        <v>2.82933811040432</v>
      </c>
      <c r="W260" t="inlineStr">
        <is>
          <t>Hubo ejecución por encima de lo programado en SisPT</t>
        </is>
      </c>
    </row>
    <row r="261">
      <c r="A261" t="inlineStr">
        <is>
          <t>IP-278</t>
        </is>
      </c>
      <c r="B261" t="inlineStr">
        <is>
          <t>24</t>
        </is>
      </c>
      <c r="C261" t="inlineStr">
        <is>
          <t>Transporte</t>
        </is>
      </c>
      <c r="D261" t="inlineStr">
        <is>
          <t>2402</t>
        </is>
      </c>
      <c r="E261" t="inlineStr">
        <is>
          <t>Infraestructura red vial regional</t>
        </is>
      </c>
      <c r="F261" t="inlineStr">
        <is>
          <t>2402021</t>
        </is>
      </c>
      <c r="G261" t="inlineStr">
        <is>
          <t>Vía secundaria con mantenimiento periódico o rutinario</t>
        </is>
      </c>
      <c r="H261" t="inlineStr">
        <is>
          <t>240202100</t>
        </is>
      </c>
      <c r="I261" t="inlineStr">
        <is>
          <t xml:space="preserve">Vía secundaria con mantenimiento </t>
        </is>
      </c>
      <c r="J261" t="inlineStr">
        <is>
          <t>2024004250232</t>
        </is>
      </c>
      <c r="K261" t="inlineStr">
        <is>
          <t>No</t>
        </is>
      </c>
      <c r="L261" t="inlineStr">
        <is>
          <t>Kilómetros</t>
        </is>
      </c>
      <c r="M261">
        <v>1</v>
      </c>
      <c r="N261">
        <v>1</v>
      </c>
      <c r="O261">
        <v>1</v>
      </c>
      <c r="P261">
        <v>1</v>
      </c>
      <c r="Q261">
        <v>1</v>
      </c>
      <c r="R261" t="inlineStr">
        <is>
          <t xml:space="preserve"> </t>
        </is>
      </c>
      <c r="S261" s="103" t="inlineStr">
        <is>
          <t xml:space="preserve"> </t>
        </is>
      </c>
      <c r="T261" t="inlineStr">
        <is>
          <t>No se encontró ejecución en PIIP</t>
        </is>
      </c>
      <c r="U261" t="inlineStr">
        <is>
          <t xml:space="preserve"> </t>
        </is>
      </c>
      <c r="V261" s="104" t="inlineStr">
        <is>
          <t xml:space="preserve"> </t>
        </is>
      </c>
      <c r="W261" t="inlineStr">
        <is>
          <t>No se encontró ejecución en PIIP</t>
        </is>
      </c>
    </row>
    <row r="262">
      <c r="A262" t="inlineStr">
        <is>
          <t>IP-279</t>
        </is>
      </c>
      <c r="B262" t="inlineStr">
        <is>
          <t>24</t>
        </is>
      </c>
      <c r="C262" t="inlineStr">
        <is>
          <t>Transporte</t>
        </is>
      </c>
      <c r="D262" t="inlineStr">
        <is>
          <t>2402</t>
        </is>
      </c>
      <c r="E262" t="inlineStr">
        <is>
          <t>Infraestructura red vial regional</t>
        </is>
      </c>
      <c r="F262" t="inlineStr">
        <is>
          <t>2402006</t>
        </is>
      </c>
      <c r="G262" t="inlineStr">
        <is>
          <t>Vía secundaria mejorada</t>
        </is>
      </c>
      <c r="H262" t="inlineStr">
        <is>
          <t>240200600</t>
        </is>
      </c>
      <c r="I262" t="inlineStr">
        <is>
          <t>Vía secundaria mejorada</t>
        </is>
      </c>
      <c r="J262" t="inlineStr">
        <is>
          <t>2024004250013</t>
        </is>
      </c>
      <c r="K262" t="inlineStr">
        <is>
          <t>Si</t>
        </is>
      </c>
      <c r="L262" t="inlineStr">
        <is>
          <t>Kilómetros</t>
        </is>
      </c>
      <c r="M262">
        <v>250</v>
      </c>
      <c r="N262">
        <v>10</v>
      </c>
      <c r="O262">
        <v>24.93</v>
      </c>
      <c r="P262">
        <v>108</v>
      </c>
      <c r="Q262">
        <v>106.3</v>
      </c>
      <c r="R262">
        <v>10</v>
      </c>
      <c r="S262" s="103">
        <v>1</v>
      </c>
      <c r="T262" t="inlineStr">
        <is>
          <t>Se ejecutó el 100% de lo programado en la vigencia</t>
        </is>
      </c>
      <c r="U262">
        <v>3.2</v>
      </c>
      <c r="V262" s="104">
        <v>0.128359406337746</v>
      </c>
      <c r="W262" t="inlineStr">
        <is>
          <t>Lo ejecutado está por debajo de lo programado en la vigencia</t>
        </is>
      </c>
    </row>
    <row r="263">
      <c r="A263" t="inlineStr">
        <is>
          <t>IP-280</t>
        </is>
      </c>
      <c r="B263" t="inlineStr">
        <is>
          <t>24</t>
        </is>
      </c>
      <c r="C263" t="inlineStr">
        <is>
          <t>Transporte</t>
        </is>
      </c>
      <c r="D263" t="inlineStr">
        <is>
          <t>2402</t>
        </is>
      </c>
      <c r="E263" t="inlineStr">
        <is>
          <t>Infraestructura red vial regional</t>
        </is>
      </c>
      <c r="F263" t="inlineStr">
        <is>
          <t>2402021</t>
        </is>
      </c>
      <c r="G263" t="inlineStr">
        <is>
          <t>Vía secundaria con mantenimiento periódico o rutinario</t>
        </is>
      </c>
      <c r="H263" t="inlineStr">
        <is>
          <t>240202100</t>
        </is>
      </c>
      <c r="I263" t="inlineStr">
        <is>
          <t xml:space="preserve">Vía secundaria con mantenimiento </t>
        </is>
      </c>
      <c r="J263" t="inlineStr">
        <is>
          <t>2024004250019</t>
        </is>
      </c>
      <c r="K263" t="inlineStr">
        <is>
          <t>No</t>
        </is>
      </c>
      <c r="L263" t="inlineStr">
        <is>
          <t>Kilómetros</t>
        </is>
      </c>
      <c r="M263">
        <v>2000</v>
      </c>
      <c r="N263">
        <v>2000</v>
      </c>
      <c r="O263">
        <v>2000</v>
      </c>
      <c r="P263">
        <v>2000</v>
      </c>
      <c r="Q263">
        <v>2000</v>
      </c>
      <c r="R263" t="inlineStr">
        <is>
          <t xml:space="preserve"> </t>
        </is>
      </c>
      <c r="S263" s="103" t="inlineStr">
        <is>
          <t xml:space="preserve"> </t>
        </is>
      </c>
      <c r="T263" t="inlineStr">
        <is>
          <t>No se encontró ejecución en PIIP</t>
        </is>
      </c>
      <c r="U263" t="inlineStr">
        <is>
          <t xml:space="preserve"> </t>
        </is>
      </c>
      <c r="V263" s="104" t="inlineStr">
        <is>
          <t xml:space="preserve"> </t>
        </is>
      </c>
      <c r="W263" t="inlineStr">
        <is>
          <t>No se encontró ejecución en PIIP</t>
        </is>
      </c>
    </row>
    <row r="264">
      <c r="A264" t="inlineStr">
        <is>
          <t>IP-281</t>
        </is>
      </c>
      <c r="B264" t="inlineStr">
        <is>
          <t>24</t>
        </is>
      </c>
      <c r="C264" t="inlineStr">
        <is>
          <t>Transporte</t>
        </is>
      </c>
      <c r="D264" t="inlineStr">
        <is>
          <t>2402</t>
        </is>
      </c>
      <c r="E264" t="inlineStr">
        <is>
          <t>Infraestructura red vial regional</t>
        </is>
      </c>
      <c r="F264" t="inlineStr">
        <is>
          <t>2402027</t>
        </is>
      </c>
      <c r="G264" t="inlineStr">
        <is>
          <t>Peaje de la red vial secundaria con servicio de administración</t>
        </is>
      </c>
      <c r="H264" t="inlineStr">
        <is>
          <t>240202700</t>
        </is>
      </c>
      <c r="I264" t="inlineStr">
        <is>
          <t xml:space="preserve">Peaje de la red vial secundaria con servicio de administración </t>
        </is>
      </c>
      <c r="J264" t="inlineStr">
        <is>
          <t>2024004250029</t>
        </is>
      </c>
      <c r="K264" t="inlineStr">
        <is>
          <t>No</t>
        </is>
      </c>
      <c r="L264" t="inlineStr">
        <is>
          <t>Número</t>
        </is>
      </c>
      <c r="M264">
        <v>100</v>
      </c>
      <c r="N264">
        <v>100</v>
      </c>
      <c r="O264">
        <v>100</v>
      </c>
      <c r="P264">
        <v>100</v>
      </c>
      <c r="Q264">
        <v>100</v>
      </c>
      <c r="R264">
        <v>4</v>
      </c>
      <c r="S264" s="103">
        <v>0.04</v>
      </c>
      <c r="T264" t="inlineStr">
        <is>
          <t>Lo ejecutado está por debajo de lo programado en la vigencia</t>
        </is>
      </c>
      <c r="U264">
        <v>5</v>
      </c>
      <c r="V264" s="104">
        <v>0.05</v>
      </c>
      <c r="W264" t="inlineStr">
        <is>
          <t>Lo ejecutado está por debajo de lo programado en la vigencia</t>
        </is>
      </c>
    </row>
    <row r="265">
      <c r="A265" t="inlineStr">
        <is>
          <t>IP-282</t>
        </is>
      </c>
      <c r="B265" t="inlineStr">
        <is>
          <t>24</t>
        </is>
      </c>
      <c r="C265" t="inlineStr">
        <is>
          <t>Transporte</t>
        </is>
      </c>
      <c r="D265" t="inlineStr">
        <is>
          <t>2402</t>
        </is>
      </c>
      <c r="E265" t="inlineStr">
        <is>
          <t>Infraestructura red vial regional</t>
        </is>
      </c>
      <c r="F265" t="inlineStr">
        <is>
          <t>2402015</t>
        </is>
      </c>
      <c r="G265" t="inlineStr">
        <is>
          <t>Puente construido en vía secundaria</t>
        </is>
      </c>
      <c r="H265" t="inlineStr">
        <is>
          <t>240201500</t>
        </is>
      </c>
      <c r="I265" t="inlineStr">
        <is>
          <t>Puente construido en vía secundaria existente</t>
        </is>
      </c>
      <c r="J265" t="inlineStr">
        <is>
          <t>2024004250231</t>
        </is>
      </c>
      <c r="K265" t="inlineStr">
        <is>
          <t>Si</t>
        </is>
      </c>
      <c r="L265" t="inlineStr">
        <is>
          <t>Número</t>
        </is>
      </c>
      <c r="M265">
        <v>250</v>
      </c>
      <c r="N265">
        <v>10</v>
      </c>
      <c r="O265">
        <v>4</v>
      </c>
      <c r="P265">
        <v>117</v>
      </c>
      <c r="Q265">
        <v>118</v>
      </c>
      <c r="R265">
        <v>0</v>
      </c>
      <c r="S265" s="103">
        <v>0</v>
      </c>
      <c r="T265" t="inlineStr">
        <is>
          <t>No se ejecutó en la vigencia</t>
        </is>
      </c>
      <c r="U265">
        <v>0.73</v>
      </c>
      <c r="V265" s="104">
        <v>0.1825</v>
      </c>
      <c r="W265" t="inlineStr">
        <is>
          <t>Lo ejecutado está por debajo de lo programado en la vigencia</t>
        </is>
      </c>
    </row>
    <row r="266">
      <c r="A266" t="inlineStr">
        <is>
          <t>IP-283</t>
        </is>
      </c>
      <c r="B266" t="inlineStr">
        <is>
          <t>24</t>
        </is>
      </c>
      <c r="C266" t="inlineStr">
        <is>
          <t>Transporte</t>
        </is>
      </c>
      <c r="D266" t="inlineStr">
        <is>
          <t>2409</t>
        </is>
      </c>
      <c r="E266" t="inlineStr">
        <is>
          <t>Seguridad de transporte</t>
        </is>
      </c>
      <c r="F266" t="inlineStr">
        <is>
          <t>2409046</t>
        </is>
      </c>
      <c r="G266" t="inlineStr">
        <is>
          <t>Vía atendida por emergencias</t>
        </is>
      </c>
      <c r="H266" t="inlineStr">
        <is>
          <t>240904600</t>
        </is>
      </c>
      <c r="I266" t="inlineStr">
        <is>
          <t>Vía habilitada por emergencia</t>
        </is>
      </c>
      <c r="J266" t="inlineStr">
        <is>
          <t>2024004250154</t>
        </is>
      </c>
      <c r="K266" t="inlineStr">
        <is>
          <t>No</t>
        </is>
      </c>
      <c r="L266" t="inlineStr">
        <is>
          <t>Kilómetros</t>
        </is>
      </c>
      <c r="M266">
        <v>100</v>
      </c>
      <c r="N266">
        <v>100</v>
      </c>
      <c r="O266">
        <v>100</v>
      </c>
      <c r="P266">
        <v>100</v>
      </c>
      <c r="Q266">
        <v>100</v>
      </c>
      <c r="R266" t="inlineStr">
        <is>
          <t xml:space="preserve"> </t>
        </is>
      </c>
      <c r="S266" s="103" t="inlineStr">
        <is>
          <t xml:space="preserve"> </t>
        </is>
      </c>
      <c r="T266" t="inlineStr">
        <is>
          <t>No se encontró ejecución en PIIP</t>
        </is>
      </c>
      <c r="U266" t="inlineStr">
        <is>
          <t xml:space="preserve"> </t>
        </is>
      </c>
      <c r="V266" s="104" t="inlineStr">
        <is>
          <t xml:space="preserve"> </t>
        </is>
      </c>
      <c r="W266" t="inlineStr">
        <is>
          <t>No se encontró ejecución en PIIP</t>
        </is>
      </c>
    </row>
    <row r="267">
      <c r="A267" t="inlineStr">
        <is>
          <t>IP-284</t>
        </is>
      </c>
      <c r="B267" t="inlineStr">
        <is>
          <t>24</t>
        </is>
      </c>
      <c r="C267" t="inlineStr">
        <is>
          <t>Transporte</t>
        </is>
      </c>
      <c r="D267" t="inlineStr">
        <is>
          <t>2402</t>
        </is>
      </c>
      <c r="E267" t="inlineStr">
        <is>
          <t>Infraestructura red vial regional</t>
        </is>
      </c>
      <c r="F267" t="inlineStr">
        <is>
          <t>2402118</t>
        </is>
      </c>
      <c r="G267" t="inlineStr">
        <is>
          <t>Estudios de preinversión para la red vial regional</t>
        </is>
      </c>
      <c r="H267" t="inlineStr">
        <is>
          <t>240211800</t>
        </is>
      </c>
      <c r="I267" t="inlineStr">
        <is>
          <t>Estudios de preinversión realizados</t>
        </is>
      </c>
      <c r="J267" t="inlineStr">
        <is>
          <t>2024004250234</t>
        </is>
      </c>
      <c r="K267" t="inlineStr">
        <is>
          <t>Si</t>
        </is>
      </c>
      <c r="L267" t="inlineStr">
        <is>
          <t>Número</t>
        </is>
      </c>
      <c r="M267">
        <v>300</v>
      </c>
      <c r="N267">
        <v>45</v>
      </c>
      <c r="O267">
        <v>71.08</v>
      </c>
      <c r="P267">
        <v>124.08</v>
      </c>
      <c r="Q267">
        <v>130</v>
      </c>
      <c r="R267" t="inlineStr">
        <is>
          <t xml:space="preserve"> </t>
        </is>
      </c>
      <c r="S267" s="103" t="inlineStr">
        <is>
          <t xml:space="preserve"> </t>
        </is>
      </c>
      <c r="T267" t="inlineStr">
        <is>
          <t>No se encontró ejecución en PIIP</t>
        </is>
      </c>
      <c r="U267">
        <v>0</v>
      </c>
      <c r="V267" s="104">
        <v>0</v>
      </c>
      <c r="W267" t="inlineStr">
        <is>
          <t>No se ejecutó en la vigencia</t>
        </is>
      </c>
    </row>
    <row r="268">
      <c r="A268" t="inlineStr">
        <is>
          <t>IP-285</t>
        </is>
      </c>
      <c r="B268" t="inlineStr">
        <is>
          <t>24</t>
        </is>
      </c>
      <c r="C268" t="inlineStr">
        <is>
          <t>Transporte</t>
        </is>
      </c>
      <c r="D268" t="inlineStr">
        <is>
          <t>2402</t>
        </is>
      </c>
      <c r="E268" t="inlineStr">
        <is>
          <t>Infraestructura red vial regional</t>
        </is>
      </c>
      <c r="F268" t="inlineStr">
        <is>
          <t>2402114</t>
        </is>
      </c>
      <c r="G268" t="inlineStr">
        <is>
          <t>Vía urbana mejorada</t>
        </is>
      </c>
      <c r="H268" t="inlineStr">
        <is>
          <t>240211400</t>
        </is>
      </c>
      <c r="I268" t="inlineStr">
        <is>
          <t xml:space="preserve">Vía urbana mejorada </t>
        </is>
      </c>
      <c r="J268" t="inlineStr">
        <is>
          <t>2024004250233</t>
        </is>
      </c>
      <c r="K268" t="inlineStr">
        <is>
          <t>Si</t>
        </is>
      </c>
      <c r="L268" t="inlineStr">
        <is>
          <t>Kilómetros</t>
        </is>
      </c>
      <c r="M268">
        <v>30</v>
      </c>
      <c r="N268">
        <v>1</v>
      </c>
      <c r="O268">
        <v>0.25</v>
      </c>
      <c r="P268">
        <v>14</v>
      </c>
      <c r="Q268">
        <v>14.75</v>
      </c>
      <c r="R268">
        <v>1</v>
      </c>
      <c r="S268" s="103">
        <v>1</v>
      </c>
      <c r="T268" t="inlineStr">
        <is>
          <t>Se ejecutó el 100% de lo programado en la vigencia</t>
        </is>
      </c>
      <c r="U268">
        <v>0</v>
      </c>
      <c r="V268" s="104">
        <v>0</v>
      </c>
      <c r="W268" t="inlineStr">
        <is>
          <t>No se ejecutó en la vigencia</t>
        </is>
      </c>
    </row>
    <row r="269">
      <c r="A269" t="inlineStr">
        <is>
          <t>IP-286</t>
        </is>
      </c>
      <c r="B269" t="inlineStr">
        <is>
          <t>24</t>
        </is>
      </c>
      <c r="C269" t="inlineStr">
        <is>
          <t>Transporte</t>
        </is>
      </c>
      <c r="D269" t="inlineStr">
        <is>
          <t>2401</t>
        </is>
      </c>
      <c r="E269" t="inlineStr">
        <is>
          <t>Infraestructura red vial primaria</t>
        </is>
      </c>
      <c r="F269" t="inlineStr">
        <is>
          <t>2401052</t>
        </is>
      </c>
      <c r="G269" t="inlineStr">
        <is>
          <t>Estudios de preinversión</t>
        </is>
      </c>
      <c r="H269" t="inlineStr">
        <is>
          <t>240105200</t>
        </is>
      </c>
      <c r="I269" t="inlineStr">
        <is>
          <t>Estudios de preinversión realizados</t>
        </is>
      </c>
      <c r="J269" t="inlineStr">
        <is>
          <t>2024004250069</t>
        </is>
      </c>
      <c r="K269" t="inlineStr">
        <is>
          <t>Si</t>
        </is>
      </c>
      <c r="L269" t="inlineStr">
        <is>
          <t>Número</t>
        </is>
      </c>
      <c r="M269">
        <v>12</v>
      </c>
      <c r="N269">
        <v>0</v>
      </c>
      <c r="O269">
        <v>6</v>
      </c>
      <c r="P269">
        <v>4</v>
      </c>
      <c r="Q269">
        <v>2</v>
      </c>
      <c r="R269" t="inlineStr">
        <is>
          <t xml:space="preserve"> </t>
        </is>
      </c>
      <c r="S269" s="103" t="inlineStr">
        <is>
          <t xml:space="preserve"> </t>
        </is>
      </c>
      <c r="T269" t="inlineStr">
        <is>
          <t>No se encontró ejecución en PIIP</t>
        </is>
      </c>
      <c r="U269" t="inlineStr">
        <is>
          <t xml:space="preserve"> </t>
        </is>
      </c>
      <c r="V269" s="104" t="inlineStr">
        <is>
          <t xml:space="preserve"> </t>
        </is>
      </c>
      <c r="W269" t="inlineStr">
        <is>
          <t>No se encontró ejecución en PIIP</t>
        </is>
      </c>
    </row>
    <row r="270">
      <c r="A270" t="inlineStr">
        <is>
          <t>IP-287</t>
        </is>
      </c>
      <c r="B270" t="inlineStr">
        <is>
          <t>24</t>
        </is>
      </c>
      <c r="C270" t="inlineStr">
        <is>
          <t>Transporte</t>
        </is>
      </c>
      <c r="D270" t="inlineStr">
        <is>
          <t>2401</t>
        </is>
      </c>
      <c r="E270" t="inlineStr">
        <is>
          <t>Infraestructura red vial primaria</t>
        </is>
      </c>
      <c r="F270" t="inlineStr">
        <is>
          <t>2401008</t>
        </is>
      </c>
      <c r="G270" t="inlineStr">
        <is>
          <t>Vía primaria mejorada</t>
        </is>
      </c>
      <c r="H270" t="inlineStr">
        <is>
          <t>240100800</t>
        </is>
      </c>
      <c r="I270" t="inlineStr">
        <is>
          <t xml:space="preserve">Vía primaria mejorada </t>
        </is>
      </c>
      <c r="J270" t="inlineStr">
        <is>
          <t>2024004250069</t>
        </is>
      </c>
      <c r="K270" t="inlineStr">
        <is>
          <t>Si</t>
        </is>
      </c>
      <c r="L270" t="inlineStr">
        <is>
          <t>Kilómetros</t>
        </is>
      </c>
      <c r="M270">
        <v>300</v>
      </c>
      <c r="N270">
        <v>75</v>
      </c>
      <c r="O270">
        <v>76.65</v>
      </c>
      <c r="P270">
        <v>75</v>
      </c>
      <c r="Q270">
        <v>75</v>
      </c>
      <c r="R270" t="inlineStr">
        <is>
          <t xml:space="preserve"> </t>
        </is>
      </c>
      <c r="S270" s="103" t="inlineStr">
        <is>
          <t xml:space="preserve"> </t>
        </is>
      </c>
      <c r="T270" t="inlineStr">
        <is>
          <t>No se encontró ejecución en PIIP</t>
        </is>
      </c>
      <c r="U270" t="inlineStr">
        <is>
          <t xml:space="preserve"> </t>
        </is>
      </c>
      <c r="V270" s="104" t="inlineStr">
        <is>
          <t xml:space="preserve"> </t>
        </is>
      </c>
      <c r="W270" t="inlineStr">
        <is>
          <t>No se encontró ejecución en PIIP</t>
        </is>
      </c>
    </row>
    <row r="271">
      <c r="A271" t="inlineStr">
        <is>
          <t>IP-288</t>
        </is>
      </c>
      <c r="B271" t="inlineStr">
        <is>
          <t>24</t>
        </is>
      </c>
      <c r="C271" t="inlineStr">
        <is>
          <t>Transporte</t>
        </is>
      </c>
      <c r="D271" t="inlineStr">
        <is>
          <t>2401</t>
        </is>
      </c>
      <c r="E271" t="inlineStr">
        <is>
          <t>Infraestructura red vial primaria</t>
        </is>
      </c>
      <c r="F271" t="inlineStr">
        <is>
          <t>2401052</t>
        </is>
      </c>
      <c r="G271" t="inlineStr">
        <is>
          <t>Estudios de preinversión</t>
        </is>
      </c>
      <c r="H271" t="inlineStr">
        <is>
          <t>240105200</t>
        </is>
      </c>
      <c r="I271" t="inlineStr">
        <is>
          <t>Estudios de preinversión realizados</t>
        </is>
      </c>
      <c r="J271" t="inlineStr">
        <is>
          <t>2024004250238</t>
        </is>
      </c>
      <c r="K271" t="inlineStr">
        <is>
          <t>Si</t>
        </is>
      </c>
      <c r="L271" t="inlineStr">
        <is>
          <t>Número</t>
        </is>
      </c>
      <c r="M271">
        <v>2</v>
      </c>
      <c r="N271">
        <v>0.18</v>
      </c>
      <c r="O271">
        <v>0.91</v>
      </c>
      <c r="P271">
        <v>0.91</v>
      </c>
      <c r="Q271">
        <v>0</v>
      </c>
      <c r="R271">
        <v>0</v>
      </c>
      <c r="S271" s="103">
        <v>0</v>
      </c>
      <c r="T271" t="inlineStr">
        <is>
          <t>No se ejecutó en la vigencia</t>
        </is>
      </c>
      <c r="U271">
        <v>0.44</v>
      </c>
      <c r="V271" s="104">
        <v>0.483516483516484</v>
      </c>
      <c r="W271" t="inlineStr">
        <is>
          <t>Lo ejecutado está por debajo de lo programado en la vigencia</t>
        </is>
      </c>
    </row>
    <row r="272">
      <c r="A272" t="inlineStr">
        <is>
          <t>IP-289</t>
        </is>
      </c>
      <c r="B272" t="inlineStr">
        <is>
          <t>24</t>
        </is>
      </c>
      <c r="C272" t="inlineStr">
        <is>
          <t>Transporte</t>
        </is>
      </c>
      <c r="D272" t="inlineStr">
        <is>
          <t>2409</t>
        </is>
      </c>
      <c r="E272" t="inlineStr">
        <is>
          <t>Seguridad de transporte</t>
        </is>
      </c>
      <c r="F272" t="inlineStr">
        <is>
          <t>2409058</t>
        </is>
      </c>
      <c r="G272" t="inlineStr">
        <is>
          <t>Cicloinfraestructura construida</t>
        </is>
      </c>
      <c r="H272" t="inlineStr">
        <is>
          <t>240905800</t>
        </is>
      </c>
      <c r="I272" t="inlineStr">
        <is>
          <t>Cicloinfraestructura construida</t>
        </is>
      </c>
      <c r="J272" t="inlineStr">
        <is>
          <t>2024004250023</t>
        </is>
      </c>
      <c r="K272" t="inlineStr">
        <is>
          <t>Si</t>
        </is>
      </c>
      <c r="L272" t="inlineStr">
        <is>
          <t>Kilómetros</t>
        </is>
      </c>
      <c r="M272">
        <v>70</v>
      </c>
      <c r="N272">
        <v>2</v>
      </c>
      <c r="O272">
        <v>20</v>
      </c>
      <c r="P272">
        <v>36.66</v>
      </c>
      <c r="Q272">
        <v>24</v>
      </c>
      <c r="R272">
        <v>2</v>
      </c>
      <c r="S272" s="103">
        <v>1</v>
      </c>
      <c r="T272" t="inlineStr">
        <is>
          <t>Se ejecutó el 100% de lo programado en la vigencia</t>
        </is>
      </c>
      <c r="U272">
        <v>4.66</v>
      </c>
      <c r="V272" s="104">
        <v>0.233</v>
      </c>
      <c r="W272" t="inlineStr">
        <is>
          <t>Lo ejecutado está por debajo de lo programado en la vigencia</t>
        </is>
      </c>
    </row>
    <row r="273">
      <c r="A273" t="inlineStr">
        <is>
          <t>IP-290</t>
        </is>
      </c>
      <c r="B273" t="inlineStr">
        <is>
          <t>40</t>
        </is>
      </c>
      <c r="C273" t="inlineStr">
        <is>
          <t>Vivienda, ciudad y territorio</t>
        </is>
      </c>
      <c r="D273" t="inlineStr">
        <is>
          <t>4002</t>
        </is>
      </c>
      <c r="E273" t="inlineStr">
        <is>
          <t>Ordenamiento territorial y desarrollo urbano</t>
        </is>
      </c>
      <c r="F273" t="inlineStr">
        <is>
          <t>4002019</t>
        </is>
      </c>
      <c r="G273" t="inlineStr">
        <is>
          <t>Espacio publico construido</t>
        </is>
      </c>
      <c r="H273" t="inlineStr">
        <is>
          <t>400201900</t>
        </is>
      </c>
      <c r="I273" t="inlineStr">
        <is>
          <t>Espacio publico construido</t>
        </is>
      </c>
      <c r="J273" t="inlineStr">
        <is>
          <t>2024004250236</t>
        </is>
      </c>
      <c r="K273" t="inlineStr">
        <is>
          <t>Si</t>
        </is>
      </c>
      <c r="L273" t="inlineStr">
        <is>
          <t>Metros cuadrados</t>
        </is>
      </c>
      <c r="M273">
        <v>150000</v>
      </c>
      <c r="N273">
        <v>17000</v>
      </c>
      <c r="O273">
        <v>46952.75</v>
      </c>
      <c r="P273">
        <v>66468</v>
      </c>
      <c r="Q273">
        <v>44737.74</v>
      </c>
      <c r="R273">
        <v>1188</v>
      </c>
      <c r="S273" s="103">
        <v>0.0698823529411765</v>
      </c>
      <c r="T273" t="inlineStr">
        <is>
          <t>Lo ejecutado está por debajo de lo programado en la vigencia</t>
        </is>
      </c>
      <c r="U273">
        <v>824.86</v>
      </c>
      <c r="V273" s="104">
        <v>0.0175678740861824</v>
      </c>
      <c r="W273" t="inlineStr">
        <is>
          <t>Lo ejecutado está por debajo de lo programado en la vigencia</t>
        </is>
      </c>
    </row>
    <row r="274">
      <c r="A274" t="inlineStr">
        <is>
          <t>IP-291</t>
        </is>
      </c>
      <c r="B274" t="inlineStr">
        <is>
          <t>21</t>
        </is>
      </c>
      <c r="C274" t="inlineStr">
        <is>
          <t>Minas y Energía</t>
        </is>
      </c>
      <c r="D274" t="inlineStr">
        <is>
          <t>2102</t>
        </is>
      </c>
      <c r="E274" t="inlineStr">
        <is>
          <t>Consolidación productiva del sector de energía eléctrica</t>
        </is>
      </c>
      <c r="F274" t="inlineStr">
        <is>
          <t>2102044</t>
        </is>
      </c>
      <c r="G274" t="inlineStr">
        <is>
          <t>Redes internas de energía eléctrica instaladas</t>
        </is>
      </c>
      <c r="H274" t="inlineStr">
        <is>
          <t>210204400</t>
        </is>
      </c>
      <c r="I274" t="inlineStr">
        <is>
          <t>Viviendas con red interna de energía eléctrica instalada</t>
        </is>
      </c>
      <c r="J274" t="inlineStr">
        <is>
          <t>2024004250037, 2024004250247</t>
        </is>
      </c>
      <c r="K274" t="inlineStr">
        <is>
          <t>Si</t>
        </is>
      </c>
      <c r="L274" t="inlineStr">
        <is>
          <t>Número</t>
        </is>
      </c>
      <c r="M274">
        <v>1200</v>
      </c>
      <c r="N274">
        <v>328</v>
      </c>
      <c r="O274">
        <v>298</v>
      </c>
      <c r="P274">
        <v>235</v>
      </c>
      <c r="Q274">
        <v>339</v>
      </c>
      <c r="R274">
        <v>0</v>
      </c>
      <c r="S274" s="103">
        <v>0</v>
      </c>
      <c r="T274" t="inlineStr">
        <is>
          <t>No se ejecutó en la vigencia</t>
        </is>
      </c>
      <c r="U274">
        <v>100</v>
      </c>
      <c r="V274" s="104">
        <v>0.335570469798658</v>
      </c>
      <c r="W274" t="inlineStr">
        <is>
          <t>Lo ejecutado está por debajo de lo programado en la vigencia</t>
        </is>
      </c>
    </row>
    <row r="275">
      <c r="A275" t="inlineStr">
        <is>
          <t>IP-292</t>
        </is>
      </c>
      <c r="B275" t="inlineStr">
        <is>
          <t>21</t>
        </is>
      </c>
      <c r="C275" t="inlineStr">
        <is>
          <t>Minas y Energía</t>
        </is>
      </c>
      <c r="D275" t="inlineStr">
        <is>
          <t>2101</t>
        </is>
      </c>
      <c r="E275" t="inlineStr">
        <is>
          <t>Acceso al servicio público domiciliario de gas combustible</t>
        </is>
      </c>
      <c r="F275" t="inlineStr">
        <is>
          <t>2101015</t>
        </is>
      </c>
      <c r="G275" t="inlineStr">
        <is>
          <t>Redes internas de gas combustible instaladas</t>
        </is>
      </c>
      <c r="H275" t="inlineStr">
        <is>
          <t>210101500</t>
        </is>
      </c>
      <c r="I275" t="inlineStr">
        <is>
          <t>Viviendas con red interna de gas combustible instalada</t>
        </is>
      </c>
      <c r="J275" t="inlineStr">
        <is>
          <t>2024004250177, 2024004250248, 2024004250258</t>
        </is>
      </c>
      <c r="K275" t="inlineStr">
        <is>
          <t>Si</t>
        </is>
      </c>
      <c r="L275" t="inlineStr">
        <is>
          <t>Número</t>
        </is>
      </c>
      <c r="M275">
        <v>16000</v>
      </c>
      <c r="N275">
        <v>2000</v>
      </c>
      <c r="O275">
        <v>5000</v>
      </c>
      <c r="P275">
        <v>6000</v>
      </c>
      <c r="Q275">
        <v>2739</v>
      </c>
      <c r="R275">
        <v>1354</v>
      </c>
      <c r="S275" s="103">
        <v>0.677</v>
      </c>
      <c r="T275" t="inlineStr">
        <is>
          <t>Lo ejecutado está por debajo de lo programado en la vigencia</t>
        </is>
      </c>
      <c r="U275">
        <v>1919</v>
      </c>
      <c r="V275" s="104">
        <v>0.3838</v>
      </c>
      <c r="W275" t="inlineStr">
        <is>
          <t>Lo ejecutado está por debajo de lo programado en la vigencia</t>
        </is>
      </c>
    </row>
    <row r="276">
      <c r="A276" t="inlineStr">
        <is>
          <t>IP-293</t>
        </is>
      </c>
      <c r="B276" t="inlineStr">
        <is>
          <t>21</t>
        </is>
      </c>
      <c r="C276" t="inlineStr">
        <is>
          <t>Minas y Energía</t>
        </is>
      </c>
      <c r="D276" t="inlineStr">
        <is>
          <t>2101</t>
        </is>
      </c>
      <c r="E276" t="inlineStr">
        <is>
          <t>Acceso al servicio público domiciliario de gas combustible</t>
        </is>
      </c>
      <c r="F276" t="inlineStr">
        <is>
          <t>2101009</t>
        </is>
      </c>
      <c r="G276" t="inlineStr">
        <is>
          <t>Redes de distribución de gas combustible construidas</t>
        </is>
      </c>
      <c r="H276" t="inlineStr">
        <is>
          <t>210100900</t>
        </is>
      </c>
      <c r="I276" t="inlineStr">
        <is>
          <t>Redes de distribución de gas combustible construidas</t>
        </is>
      </c>
      <c r="J276" t="inlineStr">
        <is>
          <t>2024004250177, 2024004250248, 2024004250258</t>
        </is>
      </c>
      <c r="K276" t="inlineStr">
        <is>
          <t>Si</t>
        </is>
      </c>
      <c r="L276" t="inlineStr">
        <is>
          <t>Kilómetros</t>
        </is>
      </c>
      <c r="M276">
        <v>260</v>
      </c>
      <c r="N276">
        <v>3</v>
      </c>
      <c r="O276">
        <v>155</v>
      </c>
      <c r="P276">
        <v>90</v>
      </c>
      <c r="Q276">
        <v>12</v>
      </c>
      <c r="R276">
        <v>3</v>
      </c>
      <c r="S276" s="103">
        <v>1</v>
      </c>
      <c r="T276" t="inlineStr">
        <is>
          <t>Se ejecutó el 100% de lo programado en la vigencia</t>
        </is>
      </c>
      <c r="U276">
        <v>48</v>
      </c>
      <c r="V276" s="104">
        <v>0.309677419354839</v>
      </c>
      <c r="W276" t="inlineStr">
        <is>
          <t>Lo ejecutado está por debajo de lo programado en la vigencia</t>
        </is>
      </c>
    </row>
    <row r="277">
      <c r="A277" t="inlineStr">
        <is>
          <t>IP-294</t>
        </is>
      </c>
      <c r="B277" t="inlineStr">
        <is>
          <t>21</t>
        </is>
      </c>
      <c r="C277" t="inlineStr">
        <is>
          <t>Minas y Energía</t>
        </is>
      </c>
      <c r="D277" t="inlineStr">
        <is>
          <t>2102</t>
        </is>
      </c>
      <c r="E277" t="inlineStr">
        <is>
          <t>Consolidación productiva del sector de energía eléctrica</t>
        </is>
      </c>
      <c r="F277" t="inlineStr">
        <is>
          <t>2102008</t>
        </is>
      </c>
      <c r="G277" t="inlineStr">
        <is>
          <t>Documentos de lineamientos técnicos</t>
        </is>
      </c>
      <c r="H277" t="inlineStr">
        <is>
          <t>210200800</t>
        </is>
      </c>
      <c r="I277" t="inlineStr">
        <is>
          <t>Documentos de lineamientos técnicos realizados</t>
        </is>
      </c>
      <c r="J277" t="inlineStr">
        <is>
          <t>2024004250178</t>
        </is>
      </c>
      <c r="K277" t="inlineStr">
        <is>
          <t>Si</t>
        </is>
      </c>
      <c r="L277" t="inlineStr">
        <is>
          <t>Número</t>
        </is>
      </c>
      <c r="M277">
        <v>1</v>
      </c>
      <c r="N277">
        <v>0.2</v>
      </c>
      <c r="O277">
        <v>0.4</v>
      </c>
      <c r="P277">
        <v>0.4</v>
      </c>
      <c r="Q277">
        <v>0</v>
      </c>
      <c r="R277">
        <v>0</v>
      </c>
      <c r="S277" s="103">
        <v>0</v>
      </c>
      <c r="T277" t="inlineStr">
        <is>
          <t>No se ejecutó en la vigencia</t>
        </is>
      </c>
      <c r="U277">
        <v>0.4</v>
      </c>
      <c r="V277" s="104">
        <v>1</v>
      </c>
      <c r="W277" t="inlineStr">
        <is>
          <t>Se ejecutó el 100% de lo programado en la vigencia</t>
        </is>
      </c>
    </row>
    <row r="278">
      <c r="A278" t="inlineStr">
        <is>
          <t>IP-295</t>
        </is>
      </c>
      <c r="B278" t="inlineStr">
        <is>
          <t>23</t>
        </is>
      </c>
      <c r="C278" t="inlineStr">
        <is>
          <t>Tecnologías de la información y las comunicaciones</t>
        </is>
      </c>
      <c r="D278" t="inlineStr">
        <is>
          <t>2301</t>
        </is>
      </c>
      <c r="E278" t="inlineStr">
        <is>
          <t>Facilitar el acceso y uso de las Tecnologías de la Información y las Comunicaciones (TIC) en todo el territorio nacional</t>
        </is>
      </c>
      <c r="F278" t="inlineStr">
        <is>
          <t>2301077</t>
        </is>
      </c>
      <c r="G278" t="inlineStr">
        <is>
          <t>Servicio de información actualizado</t>
        </is>
      </c>
      <c r="H278" t="inlineStr">
        <is>
          <t>230107700</t>
        </is>
      </c>
      <c r="I278" t="inlineStr">
        <is>
          <t>Sistemas de información actualizados</t>
        </is>
      </c>
      <c r="J278" t="inlineStr">
        <is>
          <t>2024004250168</t>
        </is>
      </c>
      <c r="K278" t="inlineStr">
        <is>
          <t>Si</t>
        </is>
      </c>
      <c r="L278" t="inlineStr">
        <is>
          <t>Número</t>
        </is>
      </c>
      <c r="M278">
        <v>1</v>
      </c>
      <c r="N278">
        <v>0.1</v>
      </c>
      <c r="O278">
        <v>0.4</v>
      </c>
      <c r="P278">
        <v>0.5</v>
      </c>
      <c r="Q278">
        <v>0</v>
      </c>
      <c r="R278" t="inlineStr">
        <is>
          <t xml:space="preserve"> </t>
        </is>
      </c>
      <c r="S278" s="103" t="inlineStr">
        <is>
          <t xml:space="preserve"> </t>
        </is>
      </c>
      <c r="T278" t="inlineStr">
        <is>
          <t>No se encontró ejecución en PIIP</t>
        </is>
      </c>
      <c r="U278" t="inlineStr">
        <is>
          <t xml:space="preserve"> </t>
        </is>
      </c>
      <c r="V278" s="104" t="inlineStr">
        <is>
          <t xml:space="preserve"> </t>
        </is>
      </c>
      <c r="W278" t="inlineStr">
        <is>
          <t>No se encontró ejecución en PIIP</t>
        </is>
      </c>
    </row>
    <row r="279">
      <c r="A279" t="inlineStr">
        <is>
          <t>IP-296</t>
        </is>
      </c>
      <c r="B279" t="inlineStr">
        <is>
          <t>23</t>
        </is>
      </c>
      <c r="C279" t="inlineStr">
        <is>
          <t>Tecnologías de la información y las comunicaciones</t>
        </is>
      </c>
      <c r="D279" t="inlineStr">
        <is>
          <t>2301</t>
        </is>
      </c>
      <c r="E279" t="inlineStr">
        <is>
          <t>Facilitar el acceso y uso de las Tecnologías de la Información y las Comunicaciones (TIC) en todo el territorio nacional</t>
        </is>
      </c>
      <c r="F279" t="inlineStr">
        <is>
          <t>2301028</t>
        </is>
      </c>
      <c r="G279" t="inlineStr">
        <is>
          <t>Servicio de conexiones a redes de servicio portador</t>
        </is>
      </c>
      <c r="H279" t="inlineStr">
        <is>
          <t>230102800</t>
        </is>
      </c>
      <c r="I279" t="inlineStr">
        <is>
          <t>Municipios y áreas no municipalizadas conectados a redes de servicio</t>
        </is>
      </c>
      <c r="J279" t="inlineStr">
        <is>
          <t>2024004250168</t>
        </is>
      </c>
      <c r="K279" t="inlineStr">
        <is>
          <t>No</t>
        </is>
      </c>
      <c r="L279" t="inlineStr">
        <is>
          <t>Número</t>
        </is>
      </c>
      <c r="M279">
        <v>10</v>
      </c>
      <c r="N279">
        <v>10</v>
      </c>
      <c r="O279">
        <v>10</v>
      </c>
      <c r="P279">
        <v>10</v>
      </c>
      <c r="Q279">
        <v>10</v>
      </c>
      <c r="R279" t="inlineStr">
        <is>
          <t xml:space="preserve"> </t>
        </is>
      </c>
      <c r="S279" s="103" t="inlineStr">
        <is>
          <t xml:space="preserve"> </t>
        </is>
      </c>
      <c r="T279" t="inlineStr">
        <is>
          <t>No se encontró ejecución en PIIP</t>
        </is>
      </c>
      <c r="U279" t="inlineStr">
        <is>
          <t xml:space="preserve"> </t>
        </is>
      </c>
      <c r="V279" s="104" t="inlineStr">
        <is>
          <t xml:space="preserve"> </t>
        </is>
      </c>
      <c r="W279" t="inlineStr">
        <is>
          <t>No se encontró ejecución en PIIP</t>
        </is>
      </c>
    </row>
    <row r="280">
      <c r="A280" t="inlineStr">
        <is>
          <t>IP-297</t>
        </is>
      </c>
      <c r="B280" t="inlineStr">
        <is>
          <t>35</t>
        </is>
      </c>
      <c r="C280" t="inlineStr">
        <is>
          <t>Comercio, industria y turismo</t>
        </is>
      </c>
      <c r="D280" t="inlineStr">
        <is>
          <t>3502</t>
        </is>
      </c>
      <c r="E280" t="inlineStr">
        <is>
          <t>Productividad y competitividad de las empresas colombianas</t>
        </is>
      </c>
      <c r="F280" t="inlineStr">
        <is>
          <t>3502011</t>
        </is>
      </c>
      <c r="G280" t="inlineStr">
        <is>
          <t>Servicio de apoyo para la formación de capital humano pertinente para el desarrollo empresarial de los territorios</t>
        </is>
      </c>
      <c r="H280" t="inlineStr">
        <is>
          <t>350201100</t>
        </is>
      </c>
      <c r="I280" t="inlineStr">
        <is>
          <t xml:space="preserve">Personas formadas en habilidades y competencias </t>
        </is>
      </c>
      <c r="J280" t="inlineStr">
        <is>
          <t>2024004250228</t>
        </is>
      </c>
      <c r="K280" t="inlineStr">
        <is>
          <t>Si</t>
        </is>
      </c>
      <c r="L280" t="inlineStr">
        <is>
          <t>Número</t>
        </is>
      </c>
      <c r="M280">
        <v>7000</v>
      </c>
      <c r="N280">
        <v>730</v>
      </c>
      <c r="O280">
        <v>2403</v>
      </c>
      <c r="P280">
        <v>2569</v>
      </c>
      <c r="Q280">
        <v>1016</v>
      </c>
      <c r="R280">
        <v>0</v>
      </c>
      <c r="S280" s="103">
        <v>0</v>
      </c>
      <c r="T280" t="inlineStr">
        <is>
          <t>No se ejecutó en la vigencia</t>
        </is>
      </c>
      <c r="U280">
        <v>326</v>
      </c>
      <c r="V280" s="104">
        <v>0.135663753641282</v>
      </c>
      <c r="W280" t="inlineStr">
        <is>
          <t>Lo ejecutado está por debajo de lo programado en la vigencia</t>
        </is>
      </c>
    </row>
    <row r="281">
      <c r="A281" t="inlineStr">
        <is>
          <t>IP-298</t>
        </is>
      </c>
      <c r="B281" t="inlineStr">
        <is>
          <t>35</t>
        </is>
      </c>
      <c r="C281" t="inlineStr">
        <is>
          <t>Comercio, industria y turismo</t>
        </is>
      </c>
      <c r="D281" t="inlineStr">
        <is>
          <t>3502</t>
        </is>
      </c>
      <c r="E281" t="inlineStr">
        <is>
          <t>Productividad y competitividad de las empresas colombianas</t>
        </is>
      </c>
      <c r="F281" t="inlineStr">
        <is>
          <t>3502049</t>
        </is>
      </c>
      <c r="G281" t="inlineStr">
        <is>
          <t>Servicio de circuito turístico</t>
        </is>
      </c>
      <c r="H281" t="inlineStr">
        <is>
          <t>350204900</t>
        </is>
      </c>
      <c r="I281" t="inlineStr">
        <is>
          <t>Recorridos realizados</t>
        </is>
      </c>
      <c r="J281" t="inlineStr">
        <is>
          <t>2024004250228</t>
        </is>
      </c>
      <c r="K281" t="inlineStr">
        <is>
          <t>Si</t>
        </is>
      </c>
      <c r="L281" t="inlineStr">
        <is>
          <t>Número</t>
        </is>
      </c>
      <c r="M281">
        <v>10</v>
      </c>
      <c r="N281">
        <v>1</v>
      </c>
      <c r="O281">
        <v>3</v>
      </c>
      <c r="P281">
        <v>3</v>
      </c>
      <c r="Q281">
        <v>3</v>
      </c>
      <c r="R281">
        <v>0</v>
      </c>
      <c r="S281" s="103">
        <v>0</v>
      </c>
      <c r="T281" t="inlineStr">
        <is>
          <t>No se ejecutó en la vigencia</t>
        </is>
      </c>
      <c r="U281" t="inlineStr">
        <is>
          <t xml:space="preserve"> </t>
        </is>
      </c>
      <c r="V281" s="104" t="inlineStr">
        <is>
          <t xml:space="preserve"> </t>
        </is>
      </c>
      <c r="W281" t="inlineStr">
        <is>
          <t>No se encontró ejecución en PIIP</t>
        </is>
      </c>
    </row>
    <row r="282">
      <c r="A282" t="inlineStr">
        <is>
          <t>IP-299</t>
        </is>
      </c>
      <c r="B282" t="inlineStr">
        <is>
          <t>35</t>
        </is>
      </c>
      <c r="C282" t="inlineStr">
        <is>
          <t>Comercio, industria y turismo</t>
        </is>
      </c>
      <c r="D282" t="inlineStr">
        <is>
          <t>3502</t>
        </is>
      </c>
      <c r="E282" t="inlineStr">
        <is>
          <t>Productividad y competitividad de las empresas colombianas</t>
        </is>
      </c>
      <c r="F282" t="inlineStr">
        <is>
          <t>3502009</t>
        </is>
      </c>
      <c r="G282" t="inlineStr">
        <is>
          <t>Servicio de apoyo para la transferencia y/o implementación de metodologías de aumento de la productividad</t>
        </is>
      </c>
      <c r="H282" t="inlineStr">
        <is>
          <t>350200900</t>
        </is>
      </c>
      <c r="I282" t="inlineStr">
        <is>
          <t xml:space="preserve">Unidades productivas  beneficiadas en la implementación de estrategias para incrementar su productividad </t>
        </is>
      </c>
      <c r="J282" t="inlineStr">
        <is>
          <t>2024004250228</t>
        </is>
      </c>
      <c r="K282" t="inlineStr">
        <is>
          <t>Si</t>
        </is>
      </c>
      <c r="L282" t="inlineStr">
        <is>
          <t>Número</t>
        </is>
      </c>
      <c r="M282">
        <v>350</v>
      </c>
      <c r="N282">
        <v>50</v>
      </c>
      <c r="O282">
        <v>92</v>
      </c>
      <c r="P282">
        <v>100</v>
      </c>
      <c r="Q282">
        <v>100</v>
      </c>
      <c r="R282">
        <v>0</v>
      </c>
      <c r="S282" s="103">
        <v>0</v>
      </c>
      <c r="T282" t="inlineStr">
        <is>
          <t>No se ejecutó en la vigencia</t>
        </is>
      </c>
      <c r="U282" t="inlineStr">
        <is>
          <t xml:space="preserve"> </t>
        </is>
      </c>
      <c r="V282" s="104" t="inlineStr">
        <is>
          <t xml:space="preserve"> </t>
        </is>
      </c>
      <c r="W282" t="inlineStr">
        <is>
          <t>No se encontró ejecución en PIIP</t>
        </is>
      </c>
    </row>
    <row r="283">
      <c r="A283" t="inlineStr">
        <is>
          <t>IP-300</t>
        </is>
      </c>
      <c r="B283" t="inlineStr">
        <is>
          <t>35</t>
        </is>
      </c>
      <c r="C283" t="inlineStr">
        <is>
          <t>Comercio, industria y turismo</t>
        </is>
      </c>
      <c r="D283" t="inlineStr">
        <is>
          <t>3502</t>
        </is>
      </c>
      <c r="E283" t="inlineStr">
        <is>
          <t>Productividad y competitividad de las empresas colombianas</t>
        </is>
      </c>
      <c r="F283" t="inlineStr">
        <is>
          <t>3502071</t>
        </is>
      </c>
      <c r="G283" t="inlineStr">
        <is>
          <t>Centro interpretativo mantenido</t>
        </is>
      </c>
      <c r="H283" t="inlineStr">
        <is>
          <t>350207100</t>
        </is>
      </c>
      <c r="I283" t="inlineStr">
        <is>
          <t>Centro interpretativo mantenido</t>
        </is>
      </c>
      <c r="J283" t="inlineStr">
        <is>
          <t>2024004250208</t>
        </is>
      </c>
      <c r="K283" t="inlineStr">
        <is>
          <t>Si</t>
        </is>
      </c>
      <c r="L283" t="inlineStr">
        <is>
          <t>Número</t>
        </is>
      </c>
      <c r="M283">
        <v>20</v>
      </c>
      <c r="N283">
        <v>1</v>
      </c>
      <c r="O283">
        <v>8</v>
      </c>
      <c r="P283">
        <v>8</v>
      </c>
      <c r="Q283">
        <v>3</v>
      </c>
      <c r="R283">
        <v>0</v>
      </c>
      <c r="S283" s="103">
        <v>0</v>
      </c>
      <c r="T283" t="inlineStr">
        <is>
          <t>No se ejecutó en la vigencia</t>
        </is>
      </c>
      <c r="U283" t="inlineStr">
        <is>
          <t xml:space="preserve"> </t>
        </is>
      </c>
      <c r="V283" s="104" t="inlineStr">
        <is>
          <t xml:space="preserve"> </t>
        </is>
      </c>
      <c r="W283" t="inlineStr">
        <is>
          <t>No se encontró ejecución en PIIP</t>
        </is>
      </c>
    </row>
    <row r="284">
      <c r="A284" t="inlineStr">
        <is>
          <t>IP-301</t>
        </is>
      </c>
      <c r="B284" t="inlineStr">
        <is>
          <t>35</t>
        </is>
      </c>
      <c r="C284" t="inlineStr">
        <is>
          <t>Comercio, industria y turismo</t>
        </is>
      </c>
      <c r="D284" t="inlineStr">
        <is>
          <t>3502</t>
        </is>
      </c>
      <c r="E284" t="inlineStr">
        <is>
          <t>Productividad y competitividad de las empresas colombianas</t>
        </is>
      </c>
      <c r="F284" t="inlineStr">
        <is>
          <t>3502114</t>
        </is>
      </c>
      <c r="G284" t="inlineStr">
        <is>
          <t>Equipamientos turísticos dotados</t>
        </is>
      </c>
      <c r="H284" t="inlineStr">
        <is>
          <t>350211400</t>
        </is>
      </c>
      <c r="I284" t="inlineStr">
        <is>
          <t xml:space="preserve"> Equipamientos dotados</t>
        </is>
      </c>
      <c r="J284" t="inlineStr">
        <is>
          <t>2024004250208</t>
        </is>
      </c>
      <c r="K284" t="inlineStr">
        <is>
          <t>Si</t>
        </is>
      </c>
      <c r="L284" t="inlineStr">
        <is>
          <t>Número</t>
        </is>
      </c>
      <c r="M284">
        <v>50</v>
      </c>
      <c r="N284">
        <v>3</v>
      </c>
      <c r="O284">
        <v>16</v>
      </c>
      <c r="P284">
        <v>16</v>
      </c>
      <c r="Q284">
        <v>15</v>
      </c>
      <c r="R284">
        <v>0</v>
      </c>
      <c r="S284" s="103">
        <v>0</v>
      </c>
      <c r="T284" t="inlineStr">
        <is>
          <t>No se ejecutó en la vigencia</t>
        </is>
      </c>
      <c r="U284" t="inlineStr">
        <is>
          <t xml:space="preserve"> </t>
        </is>
      </c>
      <c r="V284" s="104" t="inlineStr">
        <is>
          <t xml:space="preserve"> </t>
        </is>
      </c>
      <c r="W284" t="inlineStr">
        <is>
          <t>No se encontró ejecución en PIIP</t>
        </is>
      </c>
    </row>
    <row r="285">
      <c r="A285" t="inlineStr">
        <is>
          <t>IP-302</t>
        </is>
      </c>
      <c r="B285" t="inlineStr">
        <is>
          <t>35</t>
        </is>
      </c>
      <c r="C285" t="inlineStr">
        <is>
          <t>Comercio, industria y turismo</t>
        </is>
      </c>
      <c r="D285" t="inlineStr">
        <is>
          <t>3502</t>
        </is>
      </c>
      <c r="E285" t="inlineStr">
        <is>
          <t>Productividad y competitividad de las empresas colombianas</t>
        </is>
      </c>
      <c r="F285" t="inlineStr">
        <is>
          <t>3502043</t>
        </is>
      </c>
      <c r="G285" t="inlineStr">
        <is>
          <t>Ecoparque turístico construido</t>
        </is>
      </c>
      <c r="H285" t="inlineStr">
        <is>
          <t>350204300</t>
        </is>
      </c>
      <c r="I285" t="inlineStr">
        <is>
          <t>Ecoparque turístico construido</t>
        </is>
      </c>
      <c r="J285" t="inlineStr">
        <is>
          <t>2024004250208</t>
        </is>
      </c>
      <c r="K285" t="inlineStr">
        <is>
          <t>Si</t>
        </is>
      </c>
      <c r="L285" t="inlineStr">
        <is>
          <t>Número</t>
        </is>
      </c>
      <c r="M285">
        <v>2</v>
      </c>
      <c r="N285">
        <v>0.2</v>
      </c>
      <c r="O285">
        <v>0.9</v>
      </c>
      <c r="P285">
        <v>0.2</v>
      </c>
      <c r="Q285">
        <v>0.7</v>
      </c>
      <c r="R285" t="inlineStr">
        <is>
          <t xml:space="preserve"> </t>
        </is>
      </c>
      <c r="S285" s="103" t="inlineStr">
        <is>
          <t xml:space="preserve"> </t>
        </is>
      </c>
      <c r="T285" t="inlineStr">
        <is>
          <t>No se encontró ejecución en PIIP</t>
        </is>
      </c>
      <c r="U285">
        <v>0.2</v>
      </c>
      <c r="V285" s="104">
        <v>0.222222222222222</v>
      </c>
      <c r="W285" t="inlineStr">
        <is>
          <t>Lo ejecutado está por debajo de lo programado en la vigencia</t>
        </is>
      </c>
    </row>
    <row r="286">
      <c r="A286" t="inlineStr">
        <is>
          <t>IP-303</t>
        </is>
      </c>
      <c r="B286" t="inlineStr">
        <is>
          <t>35</t>
        </is>
      </c>
      <c r="C286" t="inlineStr">
        <is>
          <t>Comercio, industria y turismo</t>
        </is>
      </c>
      <c r="D286" t="inlineStr">
        <is>
          <t>3502</t>
        </is>
      </c>
      <c r="E286" t="inlineStr">
        <is>
          <t>Productividad y competitividad de las empresas colombianas</t>
        </is>
      </c>
      <c r="F286" t="inlineStr">
        <is>
          <t>3502093</t>
        </is>
      </c>
      <c r="G286" t="inlineStr">
        <is>
          <t>Servicios de información turística a nivel nacional</t>
        </is>
      </c>
      <c r="H286" t="inlineStr">
        <is>
          <t>350209300</t>
        </is>
      </c>
      <c r="I286" t="inlineStr">
        <is>
          <t>Portales integrados</t>
        </is>
      </c>
      <c r="J286" t="inlineStr">
        <is>
          <t>2024004250228</t>
        </is>
      </c>
      <c r="K286" t="inlineStr">
        <is>
          <t>Si</t>
        </is>
      </c>
      <c r="L286" t="inlineStr">
        <is>
          <t>Número</t>
        </is>
      </c>
      <c r="M286">
        <v>7</v>
      </c>
      <c r="N286">
        <v>1</v>
      </c>
      <c r="O286">
        <v>2</v>
      </c>
      <c r="P286">
        <v>2</v>
      </c>
      <c r="Q286">
        <v>2</v>
      </c>
      <c r="R286">
        <v>0</v>
      </c>
      <c r="S286" s="103">
        <v>0</v>
      </c>
      <c r="T286" t="inlineStr">
        <is>
          <t>No se ejecutó en la vigencia</t>
        </is>
      </c>
      <c r="U286" t="inlineStr">
        <is>
          <t xml:space="preserve"> </t>
        </is>
      </c>
      <c r="V286" s="104" t="inlineStr">
        <is>
          <t xml:space="preserve"> </t>
        </is>
      </c>
      <c r="W286" t="inlineStr">
        <is>
          <t>No se encontró ejecución en PIIP</t>
        </is>
      </c>
    </row>
    <row r="287">
      <c r="A287" t="inlineStr">
        <is>
          <t>IP-304</t>
        </is>
      </c>
      <c r="B287" t="inlineStr">
        <is>
          <t>35</t>
        </is>
      </c>
      <c r="C287" t="inlineStr">
        <is>
          <t>Comercio, industria y turismo</t>
        </is>
      </c>
      <c r="D287" t="inlineStr">
        <is>
          <t>3502</t>
        </is>
      </c>
      <c r="E287" t="inlineStr">
        <is>
          <t>Productividad y competitividad de las empresas colombianas</t>
        </is>
      </c>
      <c r="F287" t="inlineStr">
        <is>
          <t>3502037</t>
        </is>
      </c>
      <c r="G287" t="inlineStr">
        <is>
          <t>Servicio de apoyo financiero para la promoción turística nacional e internacional</t>
        </is>
      </c>
      <c r="H287" t="inlineStr">
        <is>
          <t>350203700</t>
        </is>
      </c>
      <c r="I287" t="inlineStr">
        <is>
          <t>Proyectos cofinanciados para promover el mercadeo y promoción turística a nivel nacional e internacional</t>
        </is>
      </c>
      <c r="J287" t="inlineStr">
        <is>
          <t>2024004250228</t>
        </is>
      </c>
      <c r="K287" t="inlineStr">
        <is>
          <t>Si</t>
        </is>
      </c>
      <c r="L287" t="inlineStr">
        <is>
          <t>Número</t>
        </is>
      </c>
      <c r="M287">
        <v>50</v>
      </c>
      <c r="N287">
        <v>5</v>
      </c>
      <c r="O287">
        <v>15</v>
      </c>
      <c r="P287">
        <v>15</v>
      </c>
      <c r="Q287">
        <v>15</v>
      </c>
      <c r="R287">
        <v>0</v>
      </c>
      <c r="S287" s="103">
        <v>0</v>
      </c>
      <c r="T287" t="inlineStr">
        <is>
          <t>No se ejecutó en la vigencia</t>
        </is>
      </c>
      <c r="U287">
        <v>1</v>
      </c>
      <c r="V287" s="104">
        <v>0.0666666666666667</v>
      </c>
      <c r="W287" t="inlineStr">
        <is>
          <t>Lo ejecutado está por debajo de lo programado en la vigencia</t>
        </is>
      </c>
    </row>
    <row r="288">
      <c r="A288" t="inlineStr">
        <is>
          <t>IP-305</t>
        </is>
      </c>
      <c r="B288" t="inlineStr">
        <is>
          <t>23</t>
        </is>
      </c>
      <c r="C288" t="inlineStr">
        <is>
          <t>Tecnologías de la información y las comunicaciones</t>
        </is>
      </c>
      <c r="D288" t="inlineStr">
        <is>
          <t>2302</t>
        </is>
      </c>
      <c r="E288" t="inlineStr">
        <is>
          <t>Fomento del desarrollo de aplicaciones, software y contenidos para impulsar la apropiación de las Tecnologías de la Información y las Comunicaciones (TIC)</t>
        </is>
      </c>
      <c r="F288" t="inlineStr">
        <is>
          <t>2302073</t>
        </is>
      </c>
      <c r="G288" t="inlineStr">
        <is>
          <t>Servicio de producción de contenidos radio</t>
        </is>
      </c>
      <c r="H288" t="inlineStr">
        <is>
          <t>230207300</t>
        </is>
      </c>
      <c r="I288" t="inlineStr">
        <is>
          <t>Documentos de estudio de audiencia realizados</t>
        </is>
      </c>
      <c r="J288" t="inlineStr">
        <is>
          <t>2024004250169</t>
        </is>
      </c>
      <c r="K288" t="inlineStr">
        <is>
          <t>Si</t>
        </is>
      </c>
      <c r="L288" t="inlineStr">
        <is>
          <t>Número</t>
        </is>
      </c>
      <c r="M288">
        <v>1</v>
      </c>
      <c r="N288">
        <v>0.24</v>
      </c>
      <c r="O288">
        <v>0.29</v>
      </c>
      <c r="P288">
        <v>0.29</v>
      </c>
      <c r="Q288">
        <v>0.18</v>
      </c>
      <c r="R288" t="inlineStr">
        <is>
          <t xml:space="preserve"> </t>
        </is>
      </c>
      <c r="S288" s="103" t="inlineStr">
        <is>
          <t xml:space="preserve"> </t>
        </is>
      </c>
      <c r="T288" t="inlineStr">
        <is>
          <t>No se encontró ejecución en PIIP</t>
        </is>
      </c>
      <c r="U288" t="inlineStr">
        <is>
          <t xml:space="preserve"> </t>
        </is>
      </c>
      <c r="V288" s="104" t="inlineStr">
        <is>
          <t xml:space="preserve"> </t>
        </is>
      </c>
      <c r="W288" t="inlineStr">
        <is>
          <t>No se encontró ejecución en PIIP</t>
        </is>
      </c>
    </row>
    <row r="289">
      <c r="A289" t="inlineStr">
        <is>
          <t>IP-306</t>
        </is>
      </c>
      <c r="B289" t="inlineStr">
        <is>
          <t>45</t>
        </is>
      </c>
      <c r="C289" t="inlineStr">
        <is>
          <t>Gobierno Territorial</t>
        </is>
      </c>
      <c r="D289" t="inlineStr">
        <is>
          <t>4501</t>
        </is>
      </c>
      <c r="E289" t="inlineStr">
        <is>
          <t>Fortalecimiento de la convivencia y la seguridad ciudadana</t>
        </is>
      </c>
      <c r="F289" t="inlineStr">
        <is>
          <t>4501046</t>
        </is>
      </c>
      <c r="G289" t="inlineStr">
        <is>
          <t>Documentos de lineamientos técnicos</t>
        </is>
      </c>
      <c r="H289" t="inlineStr">
        <is>
          <t>450104600</t>
        </is>
      </c>
      <c r="I289" t="inlineStr">
        <is>
          <t>Documentos de lineamientos técnicos realizados</t>
        </is>
      </c>
      <c r="J289" t="inlineStr">
        <is>
          <t>2024004250150</t>
        </is>
      </c>
      <c r="K289" t="inlineStr">
        <is>
          <t>Si</t>
        </is>
      </c>
      <c r="L289" t="inlineStr">
        <is>
          <t>Número</t>
        </is>
      </c>
      <c r="M289">
        <v>1</v>
      </c>
      <c r="N289">
        <v>0.23</v>
      </c>
      <c r="O289">
        <v>0.27</v>
      </c>
      <c r="P289">
        <v>0.27</v>
      </c>
      <c r="Q289">
        <v>0.23</v>
      </c>
      <c r="R289" t="inlineStr">
        <is>
          <t xml:space="preserve"> </t>
        </is>
      </c>
      <c r="S289" s="103" t="inlineStr">
        <is>
          <t xml:space="preserve"> </t>
        </is>
      </c>
      <c r="T289" t="inlineStr">
        <is>
          <t>No se encontró ejecución en PIIP</t>
        </is>
      </c>
      <c r="U289" t="inlineStr">
        <is>
          <t xml:space="preserve"> </t>
        </is>
      </c>
      <c r="V289" s="104" t="inlineStr">
        <is>
          <t xml:space="preserve"> </t>
        </is>
      </c>
      <c r="W289" t="inlineStr">
        <is>
          <t>No se encontró ejecución en PIIP</t>
        </is>
      </c>
    </row>
    <row r="290">
      <c r="A290" t="inlineStr">
        <is>
          <t>IP-307</t>
        </is>
      </c>
      <c r="B290" t="inlineStr">
        <is>
          <t>45</t>
        </is>
      </c>
      <c r="C290" t="inlineStr">
        <is>
          <t>Gobierno Territorial</t>
        </is>
      </c>
      <c r="D290" t="inlineStr">
        <is>
          <t>4599</t>
        </is>
      </c>
      <c r="E290" t="inlineStr">
        <is>
          <t>Fortalecimiento a la gestión y dirección de la administración pública territorial</t>
        </is>
      </c>
      <c r="F290" t="inlineStr">
        <is>
          <t>4599028</t>
        </is>
      </c>
      <c r="G290" t="inlineStr">
        <is>
          <t>Servicio de información actualizado</t>
        </is>
      </c>
      <c r="H290" t="inlineStr">
        <is>
          <t>459902800</t>
        </is>
      </c>
      <c r="I290" t="inlineStr">
        <is>
          <t>Sistemas de información actualizados</t>
        </is>
      </c>
      <c r="J290" t="inlineStr">
        <is>
          <t>2024004250251</t>
        </is>
      </c>
      <c r="K290" t="inlineStr">
        <is>
          <t>Si</t>
        </is>
      </c>
      <c r="L290" t="inlineStr">
        <is>
          <t>Número</t>
        </is>
      </c>
      <c r="M290">
        <v>1</v>
      </c>
      <c r="N290">
        <v>0.2</v>
      </c>
      <c r="O290">
        <v>0.4</v>
      </c>
      <c r="P290">
        <v>0.4</v>
      </c>
      <c r="Q290">
        <v>0</v>
      </c>
      <c r="R290" t="inlineStr">
        <is>
          <t xml:space="preserve"> </t>
        </is>
      </c>
      <c r="S290" s="103" t="inlineStr">
        <is>
          <t xml:space="preserve"> </t>
        </is>
      </c>
      <c r="T290" t="inlineStr">
        <is>
          <t>No se encontró ejecución en PIIP</t>
        </is>
      </c>
      <c r="U290" t="inlineStr">
        <is>
          <t xml:space="preserve"> </t>
        </is>
      </c>
      <c r="V290" s="104" t="inlineStr">
        <is>
          <t xml:space="preserve"> </t>
        </is>
      </c>
      <c r="W290" t="inlineStr">
        <is>
          <t>No se encontró ejecución en PIIP</t>
        </is>
      </c>
    </row>
    <row r="291">
      <c r="A291" t="inlineStr">
        <is>
          <t>IP-308</t>
        </is>
      </c>
      <c r="B291" t="inlineStr">
        <is>
          <t>23</t>
        </is>
      </c>
      <c r="C291" t="inlineStr">
        <is>
          <t>Tecnologías de la información y las comunicaciones</t>
        </is>
      </c>
      <c r="D291" t="inlineStr">
        <is>
          <t>2302</t>
        </is>
      </c>
      <c r="E291" t="inlineStr">
        <is>
          <t>Fomento del desarrollo de aplicaciones, software y contenidos para impulsar la apropiación de las Tecnologías de la Información y las Comunicaciones (TIC)</t>
        </is>
      </c>
      <c r="F291" t="inlineStr">
        <is>
          <t>2302002</t>
        </is>
      </c>
      <c r="G291" t="inlineStr">
        <is>
          <t>Contenidos digitales</t>
        </is>
      </c>
      <c r="H291" t="inlineStr">
        <is>
          <t>230200200</t>
        </is>
      </c>
      <c r="I291" t="inlineStr">
        <is>
          <t>Contenidos digitales publicados</t>
        </is>
      </c>
      <c r="J291" t="inlineStr">
        <is>
          <t>2024004250184</t>
        </is>
      </c>
      <c r="K291" t="inlineStr">
        <is>
          <t>No</t>
        </is>
      </c>
      <c r="L291" t="inlineStr">
        <is>
          <t>Número</t>
        </is>
      </c>
      <c r="M291">
        <v>1</v>
      </c>
      <c r="N291">
        <v>1</v>
      </c>
      <c r="O291">
        <v>1</v>
      </c>
      <c r="P291">
        <v>1</v>
      </c>
      <c r="Q291">
        <v>1</v>
      </c>
      <c r="R291">
        <v>92</v>
      </c>
      <c r="S291" s="103">
        <v>92</v>
      </c>
      <c r="T291" t="inlineStr">
        <is>
          <t>Hubo ejecución por encima de lo programado en SisPT</t>
        </is>
      </c>
      <c r="U291">
        <v>196</v>
      </c>
      <c r="V291" s="104">
        <v>196</v>
      </c>
      <c r="W291" t="inlineStr">
        <is>
          <t>Hubo ejecución por encima de lo programado en SisPT</t>
        </is>
      </c>
    </row>
    <row r="292">
      <c r="A292" t="inlineStr">
        <is>
          <t>IP-309</t>
        </is>
      </c>
      <c r="B292" t="inlineStr">
        <is>
          <t>45</t>
        </is>
      </c>
      <c r="C292" t="inlineStr">
        <is>
          <t>Gobierno Territorial</t>
        </is>
      </c>
      <c r="D292" t="inlineStr">
        <is>
          <t>4502</t>
        </is>
      </c>
      <c r="E292" t="inlineStr">
        <is>
          <t>Fortalecimiento del buen gobierno para el respeto y garantía de los derechos humanos.</t>
        </is>
      </c>
      <c r="F292" t="inlineStr">
        <is>
          <t>4502001</t>
        </is>
      </c>
      <c r="G292" t="inlineStr">
        <is>
          <t>Servicio de promoción a la participación ciudadana</t>
        </is>
      </c>
      <c r="H292" t="inlineStr">
        <is>
          <t>450200100</t>
        </is>
      </c>
      <c r="I292" t="inlineStr">
        <is>
          <t>Espacios de participación promovidos</t>
        </is>
      </c>
      <c r="J292" t="inlineStr">
        <is>
          <t>2024004250128</t>
        </is>
      </c>
      <c r="K292" t="inlineStr">
        <is>
          <t>Si</t>
        </is>
      </c>
      <c r="L292" t="inlineStr">
        <is>
          <t>Número</t>
        </is>
      </c>
      <c r="M292">
        <v>560</v>
      </c>
      <c r="N292">
        <v>62</v>
      </c>
      <c r="O292">
        <v>188</v>
      </c>
      <c r="P292">
        <v>188</v>
      </c>
      <c r="Q292">
        <v>122</v>
      </c>
      <c r="R292">
        <v>66</v>
      </c>
      <c r="S292" s="103">
        <v>1.06451612903226</v>
      </c>
      <c r="T292" t="inlineStr">
        <is>
          <t>Hubo ejecución por encima de lo programado en SisPT</t>
        </is>
      </c>
      <c r="U292">
        <v>213</v>
      </c>
      <c r="V292" s="104">
        <v>1.13297872340426</v>
      </c>
      <c r="W292" t="inlineStr">
        <is>
          <t>Hubo ejecución por encima de lo programado en SisPT</t>
        </is>
      </c>
    </row>
    <row r="293">
      <c r="A293" t="inlineStr">
        <is>
          <t>IP-310</t>
        </is>
      </c>
      <c r="B293" t="inlineStr">
        <is>
          <t>45</t>
        </is>
      </c>
      <c r="C293" t="inlineStr">
        <is>
          <t>Gobierno Territorial</t>
        </is>
      </c>
      <c r="D293" t="inlineStr">
        <is>
          <t>4502</t>
        </is>
      </c>
      <c r="E293" t="inlineStr">
        <is>
          <t>Fortalecimiento del buen gobierno para el respeto y garantía de los derechos humanos.</t>
        </is>
      </c>
      <c r="F293" t="inlineStr">
        <is>
          <t>4502001</t>
        </is>
      </c>
      <c r="G293" t="inlineStr">
        <is>
          <t>Servicio de promoción a la participación ciudadana</t>
        </is>
      </c>
      <c r="H293" t="inlineStr">
        <is>
          <t>450200100</t>
        </is>
      </c>
      <c r="I293" t="inlineStr">
        <is>
          <t>Espacios de participación promovidos</t>
        </is>
      </c>
      <c r="J293" t="inlineStr">
        <is>
          <t>2024004250208, 2024004250242</t>
        </is>
      </c>
      <c r="K293" t="inlineStr">
        <is>
          <t>Si</t>
        </is>
      </c>
      <c r="L293" t="inlineStr">
        <is>
          <t>Número</t>
        </is>
      </c>
      <c r="M293">
        <v>1800</v>
      </c>
      <c r="N293">
        <v>180</v>
      </c>
      <c r="O293">
        <v>600</v>
      </c>
      <c r="P293">
        <v>600</v>
      </c>
      <c r="Q293">
        <v>420</v>
      </c>
      <c r="R293" t="inlineStr">
        <is>
          <t xml:space="preserve"> </t>
        </is>
      </c>
      <c r="S293" s="103" t="inlineStr">
        <is>
          <t xml:space="preserve"> </t>
        </is>
      </c>
      <c r="T293" t="inlineStr">
        <is>
          <t>No se encontró ejecución en PIIP</t>
        </is>
      </c>
      <c r="U293" t="inlineStr">
        <is>
          <t xml:space="preserve"> </t>
        </is>
      </c>
      <c r="V293" s="104" t="inlineStr">
        <is>
          <t xml:space="preserve"> </t>
        </is>
      </c>
      <c r="W293" t="inlineStr">
        <is>
          <t>No se encontró ejecución en PIIP</t>
        </is>
      </c>
    </row>
    <row r="294">
      <c r="A294" t="inlineStr">
        <is>
          <t>IP-311</t>
        </is>
      </c>
      <c r="B294" t="inlineStr">
        <is>
          <t>45</t>
        </is>
      </c>
      <c r="C294" t="inlineStr">
        <is>
          <t>Gobierno Territorial</t>
        </is>
      </c>
      <c r="D294" t="inlineStr">
        <is>
          <t>4502</t>
        </is>
      </c>
      <c r="E294" t="inlineStr">
        <is>
          <t>Fortalecimiento del buen gobierno para el respeto y garantía de los derechos humanos.</t>
        </is>
      </c>
      <c r="F294" t="inlineStr">
        <is>
          <t>4502001</t>
        </is>
      </c>
      <c r="G294" t="inlineStr">
        <is>
          <t>Servicio de promoción a la participación ciudadana</t>
        </is>
      </c>
      <c r="H294" t="inlineStr">
        <is>
          <t>450200100</t>
        </is>
      </c>
      <c r="I294" t="inlineStr">
        <is>
          <t>Espacios de participación promovidos</t>
        </is>
      </c>
      <c r="J294" t="inlineStr">
        <is>
          <t>2024004250131</t>
        </is>
      </c>
      <c r="K294" t="inlineStr">
        <is>
          <t>Si</t>
        </is>
      </c>
      <c r="L294" t="inlineStr">
        <is>
          <t>Número</t>
        </is>
      </c>
      <c r="M294">
        <v>1</v>
      </c>
      <c r="N294">
        <v>0.2</v>
      </c>
      <c r="O294">
        <v>0.2</v>
      </c>
      <c r="P294">
        <v>0.2</v>
      </c>
      <c r="Q294">
        <v>0.4</v>
      </c>
      <c r="R294">
        <v>9</v>
      </c>
      <c r="S294" s="103">
        <v>45</v>
      </c>
      <c r="T294" t="inlineStr">
        <is>
          <t>Hubo ejecución por encima de lo programado en SisPT</t>
        </is>
      </c>
      <c r="U294">
        <v>107</v>
      </c>
      <c r="V294" s="104">
        <v>535</v>
      </c>
      <c r="W294" t="inlineStr">
        <is>
          <t>Hubo ejecución por encima de lo programado en SisPT</t>
        </is>
      </c>
    </row>
    <row r="295">
      <c r="A295" t="inlineStr">
        <is>
          <t>IP-312</t>
        </is>
      </c>
      <c r="B295" t="inlineStr">
        <is>
          <t>45</t>
        </is>
      </c>
      <c r="C295" t="inlineStr">
        <is>
          <t>Gobierno Territorial</t>
        </is>
      </c>
      <c r="D295" t="inlineStr">
        <is>
          <t>4502</t>
        </is>
      </c>
      <c r="E295" t="inlineStr">
        <is>
          <t>Fortalecimiento del buen gobierno para el respeto y garantía de los derechos humanos.</t>
        </is>
      </c>
      <c r="F295" t="inlineStr">
        <is>
          <t>4502001</t>
        </is>
      </c>
      <c r="G295" t="inlineStr">
        <is>
          <t>Servicio de promoción a la participación ciudadana</t>
        </is>
      </c>
      <c r="H295" t="inlineStr">
        <is>
          <t>450200100</t>
        </is>
      </c>
      <c r="I295" t="inlineStr">
        <is>
          <t>Espacios de participación promovidos</t>
        </is>
      </c>
      <c r="J295" t="inlineStr">
        <is>
          <t>2024004250132</t>
        </is>
      </c>
      <c r="K295" t="inlineStr">
        <is>
          <t>Si</t>
        </is>
      </c>
      <c r="L295" t="inlineStr">
        <is>
          <t>Número</t>
        </is>
      </c>
      <c r="M295">
        <v>1</v>
      </c>
      <c r="N295">
        <v>0.2</v>
      </c>
      <c r="O295">
        <v>0.3</v>
      </c>
      <c r="P295">
        <v>0.2</v>
      </c>
      <c r="Q295">
        <v>0.3</v>
      </c>
      <c r="R295">
        <v>524</v>
      </c>
      <c r="S295" s="103">
        <v>2620</v>
      </c>
      <c r="T295" t="inlineStr">
        <is>
          <t>Hubo ejecución por encima de lo programado en SisPT</t>
        </is>
      </c>
      <c r="U295">
        <v>573</v>
      </c>
      <c r="V295" s="104">
        <v>1910</v>
      </c>
      <c r="W295" t="inlineStr">
        <is>
          <t>Hubo ejecución por encima de lo programado en SisPT</t>
        </is>
      </c>
    </row>
    <row r="296">
      <c r="A296" t="inlineStr">
        <is>
          <t>IP-313</t>
        </is>
      </c>
      <c r="B296" t="inlineStr">
        <is>
          <t>45</t>
        </is>
      </c>
      <c r="C296" t="inlineStr">
        <is>
          <t>Gobierno Territorial</t>
        </is>
      </c>
      <c r="D296" t="inlineStr">
        <is>
          <t>4502</t>
        </is>
      </c>
      <c r="E296" t="inlineStr">
        <is>
          <t>Fortalecimiento del buen gobierno para el respeto y garantía de los derechos humanos.</t>
        </is>
      </c>
      <c r="F296" t="inlineStr">
        <is>
          <t>4502001</t>
        </is>
      </c>
      <c r="G296" t="inlineStr">
        <is>
          <t>Servicio de promoción a la participación ciudadana</t>
        </is>
      </c>
      <c r="H296" t="inlineStr">
        <is>
          <t>450200100</t>
        </is>
      </c>
      <c r="I296" t="inlineStr">
        <is>
          <t>Espacios de participación promovidos</t>
        </is>
      </c>
      <c r="J296" t="inlineStr">
        <is>
          <t>2024004250182</t>
        </is>
      </c>
      <c r="K296" t="inlineStr">
        <is>
          <t>No</t>
        </is>
      </c>
      <c r="L296" t="inlineStr">
        <is>
          <t>Número</t>
        </is>
      </c>
      <c r="M296">
        <v>7</v>
      </c>
      <c r="N296">
        <v>7</v>
      </c>
      <c r="O296">
        <v>7</v>
      </c>
      <c r="P296">
        <v>7</v>
      </c>
      <c r="Q296">
        <v>7</v>
      </c>
      <c r="R296">
        <v>6</v>
      </c>
      <c r="S296" s="103">
        <v>0.857142857142857</v>
      </c>
      <c r="T296" t="inlineStr">
        <is>
          <t>Lo ejecutado está por debajo de lo programado en la vigencia</t>
        </is>
      </c>
      <c r="U296">
        <v>3</v>
      </c>
      <c r="V296" s="104">
        <v>0.428571428571429</v>
      </c>
      <c r="W296" t="inlineStr">
        <is>
          <t>Lo ejecutado está por debajo de lo programado en la vigencia</t>
        </is>
      </c>
    </row>
    <row r="297">
      <c r="A297" t="inlineStr">
        <is>
          <t>IP-314</t>
        </is>
      </c>
      <c r="B297" t="inlineStr">
        <is>
          <t>45</t>
        </is>
      </c>
      <c r="C297" t="inlineStr">
        <is>
          <t>Gobierno Territorial</t>
        </is>
      </c>
      <c r="D297" t="inlineStr">
        <is>
          <t>4599</t>
        </is>
      </c>
      <c r="E297" t="inlineStr">
        <is>
          <t>Fortalecimiento a la gestión y dirección de la administración pública territorial</t>
        </is>
      </c>
      <c r="F297" t="inlineStr">
        <is>
          <t>4599031</t>
        </is>
      </c>
      <c r="G297" t="inlineStr">
        <is>
          <t>Servicio de asistencia técnica</t>
        </is>
      </c>
      <c r="H297" t="inlineStr">
        <is>
          <t>459903100</t>
        </is>
      </c>
      <c r="I297" t="inlineStr">
        <is>
          <t>Entidades, organismos y dependencias asistidos técnicamente</t>
        </is>
      </c>
      <c r="J297" t="inlineStr">
        <is>
          <t>2024004250164</t>
        </is>
      </c>
      <c r="K297" t="inlineStr">
        <is>
          <t>No</t>
        </is>
      </c>
      <c r="L297" t="inlineStr">
        <is>
          <t>Número</t>
        </is>
      </c>
      <c r="M297">
        <v>232</v>
      </c>
      <c r="N297">
        <v>232</v>
      </c>
      <c r="O297">
        <v>232</v>
      </c>
      <c r="P297">
        <v>232</v>
      </c>
      <c r="Q297">
        <v>232</v>
      </c>
      <c r="R297" t="inlineStr">
        <is>
          <t xml:space="preserve"> </t>
        </is>
      </c>
      <c r="S297" s="103" t="inlineStr">
        <is>
          <t xml:space="preserve"> </t>
        </is>
      </c>
      <c r="T297" t="inlineStr">
        <is>
          <t>No se encontró ejecución en PIIP</t>
        </is>
      </c>
      <c r="U297">
        <v>91</v>
      </c>
      <c r="V297" s="104">
        <v>0.392241379310345</v>
      </c>
      <c r="W297" t="inlineStr">
        <is>
          <t>Lo ejecutado está por debajo de lo programado en la vigencia</t>
        </is>
      </c>
    </row>
    <row r="298">
      <c r="A298" t="inlineStr">
        <is>
          <t>IP-315</t>
        </is>
      </c>
      <c r="B298" t="inlineStr">
        <is>
          <t>45</t>
        </is>
      </c>
      <c r="C298" t="inlineStr">
        <is>
          <t>Gobierno Territorial</t>
        </is>
      </c>
      <c r="D298" t="inlineStr">
        <is>
          <t>4502</t>
        </is>
      </c>
      <c r="E298" t="inlineStr">
        <is>
          <t>Fortalecimiento del buen gobierno para el respeto y garantía de los derechos humanos.</t>
        </is>
      </c>
      <c r="F298" t="inlineStr">
        <is>
          <t>4502038</t>
        </is>
      </c>
      <c r="G298" t="inlineStr">
        <is>
          <t>Servicio de promoción de la garantía de derechos</t>
        </is>
      </c>
      <c r="H298" t="inlineStr">
        <is>
          <t>450203800</t>
        </is>
      </c>
      <c r="I298" t="inlineStr">
        <is>
          <t>Estrategias de promoción de la garantía de derechos implementadas</t>
        </is>
      </c>
      <c r="J298" t="inlineStr">
        <is>
          <t>2024004250175</t>
        </is>
      </c>
      <c r="K298" t="inlineStr">
        <is>
          <t>No</t>
        </is>
      </c>
      <c r="L298" t="inlineStr">
        <is>
          <t>Número</t>
        </is>
      </c>
      <c r="M298">
        <v>4</v>
      </c>
      <c r="N298">
        <v>4</v>
      </c>
      <c r="O298">
        <v>4</v>
      </c>
      <c r="P298">
        <v>4</v>
      </c>
      <c r="Q298">
        <v>4</v>
      </c>
      <c r="R298" t="inlineStr">
        <is>
          <t xml:space="preserve"> </t>
        </is>
      </c>
      <c r="S298" s="103" t="inlineStr">
        <is>
          <t xml:space="preserve"> </t>
        </is>
      </c>
      <c r="T298" t="inlineStr">
        <is>
          <t>No se encontró ejecución en PIIP</t>
        </is>
      </c>
      <c r="U298" t="inlineStr">
        <is>
          <t xml:space="preserve"> </t>
        </is>
      </c>
      <c r="V298" s="104" t="inlineStr">
        <is>
          <t xml:space="preserve"> </t>
        </is>
      </c>
      <c r="W298" t="inlineStr">
        <is>
          <t>No se encontró ejecución en PIIP</t>
        </is>
      </c>
    </row>
    <row r="299">
      <c r="A299" t="inlineStr">
        <is>
          <t>IP-316</t>
        </is>
      </c>
      <c r="B299" t="inlineStr">
        <is>
          <t>45</t>
        </is>
      </c>
      <c r="C299" t="inlineStr">
        <is>
          <t>Gobierno Territorial</t>
        </is>
      </c>
      <c r="D299" t="inlineStr">
        <is>
          <t>4502</t>
        </is>
      </c>
      <c r="E299" t="inlineStr">
        <is>
          <t>Fortalecimiento del buen gobierno para el respeto y garantía de los derechos humanos.</t>
        </is>
      </c>
      <c r="F299" t="inlineStr">
        <is>
          <t>4502022</t>
        </is>
      </c>
      <c r="G299" t="inlineStr">
        <is>
          <t>Servicio de asistencia técnica</t>
        </is>
      </c>
      <c r="H299" t="inlineStr">
        <is>
          <t>450202200</t>
        </is>
      </c>
      <c r="I299" t="inlineStr">
        <is>
          <t>Instancias territoriales de coordinación institucional asistidas y apoyadas</t>
        </is>
      </c>
      <c r="J299" t="inlineStr">
        <is>
          <t>2024004250175</t>
        </is>
      </c>
      <c r="K299" t="inlineStr">
        <is>
          <t>No</t>
        </is>
      </c>
      <c r="L299" t="inlineStr">
        <is>
          <t>Número</t>
        </is>
      </c>
      <c r="M299">
        <v>4</v>
      </c>
      <c r="N299">
        <v>4</v>
      </c>
      <c r="O299">
        <v>4</v>
      </c>
      <c r="P299">
        <v>4</v>
      </c>
      <c r="Q299">
        <v>4</v>
      </c>
      <c r="R299">
        <v>4</v>
      </c>
      <c r="S299" s="103">
        <v>1</v>
      </c>
      <c r="T299" t="inlineStr">
        <is>
          <t>Se ejecutó el 100% de lo programado en la vigencia</t>
        </is>
      </c>
      <c r="U299">
        <v>3.3</v>
      </c>
      <c r="V299" s="104">
        <v>0.825</v>
      </c>
      <c r="W299" t="inlineStr">
        <is>
          <t>Lo ejecutado está por debajo de lo programado en la vigencia</t>
        </is>
      </c>
    </row>
    <row r="300">
      <c r="A300" t="inlineStr">
        <is>
          <t>IP-317, IP-318</t>
        </is>
      </c>
      <c r="B300" t="inlineStr">
        <is>
          <t>45</t>
        </is>
      </c>
      <c r="C300" t="inlineStr">
        <is>
          <t>Gobierno Territorial</t>
        </is>
      </c>
      <c r="D300" t="inlineStr">
        <is>
          <t>4502</t>
        </is>
      </c>
      <c r="E300" t="inlineStr">
        <is>
          <t>Fortalecimiento del buen gobierno para el respeto y garantía de los derechos humanos.</t>
        </is>
      </c>
      <c r="F300" t="inlineStr">
        <is>
          <t>4502001</t>
        </is>
      </c>
      <c r="G300" t="inlineStr">
        <is>
          <t>Servicio de promoción a la participación ciudadana</t>
        </is>
      </c>
      <c r="H300" t="inlineStr">
        <is>
          <t>450200100</t>
        </is>
      </c>
      <c r="I300" t="inlineStr">
        <is>
          <t>Espacios de participación promovidos</t>
        </is>
      </c>
      <c r="J300" t="inlineStr">
        <is>
          <t>2024004250205</t>
        </is>
      </c>
      <c r="K300" t="inlineStr">
        <is>
          <t>Si</t>
        </is>
      </c>
      <c r="L300" t="inlineStr">
        <is>
          <t>Número</t>
        </is>
      </c>
      <c r="M300">
        <v>117</v>
      </c>
      <c r="N300">
        <v>20.1</v>
      </c>
      <c r="O300">
        <v>40.3</v>
      </c>
      <c r="P300">
        <v>30.3</v>
      </c>
      <c r="Q300">
        <v>26.3</v>
      </c>
      <c r="R300">
        <v>1</v>
      </c>
      <c r="S300" s="103">
        <v>0.0497512437810945</v>
      </c>
      <c r="T300" t="inlineStr">
        <is>
          <t>Lo ejecutado está por debajo de lo programado en la vigencia</t>
        </is>
      </c>
      <c r="U300">
        <v>0.192</v>
      </c>
      <c r="V300" s="104">
        <v>0.00476426799007444</v>
      </c>
      <c r="W300" t="inlineStr">
        <is>
          <t>Lo ejecutado está por debajo de lo programado en la vigencia</t>
        </is>
      </c>
    </row>
    <row r="301">
      <c r="A301" t="inlineStr">
        <is>
          <t>IP-319</t>
        </is>
      </c>
      <c r="B301" t="inlineStr">
        <is>
          <t>45</t>
        </is>
      </c>
      <c r="C301" t="inlineStr">
        <is>
          <t>Gobierno Territorial</t>
        </is>
      </c>
      <c r="D301" t="inlineStr">
        <is>
          <t>4502</t>
        </is>
      </c>
      <c r="E301" t="inlineStr">
        <is>
          <t>Fortalecimiento del buen gobierno para el respeto y garantía de los derechos humanos.</t>
        </is>
      </c>
      <c r="F301" t="inlineStr">
        <is>
          <t>4502001</t>
        </is>
      </c>
      <c r="G301" t="inlineStr">
        <is>
          <t>Servicio de promoción a la participación ciudadana</t>
        </is>
      </c>
      <c r="H301" t="inlineStr">
        <is>
          <t>450200100</t>
        </is>
      </c>
      <c r="I301" t="inlineStr">
        <is>
          <t>Espacios de participación promovidos</t>
        </is>
      </c>
      <c r="J301" t="inlineStr">
        <is>
          <t>2024004250004</t>
        </is>
      </c>
      <c r="K301" t="inlineStr">
        <is>
          <t>No</t>
        </is>
      </c>
      <c r="L301" t="inlineStr">
        <is>
          <t>Número</t>
        </is>
      </c>
      <c r="M301">
        <v>1</v>
      </c>
      <c r="N301">
        <v>1</v>
      </c>
      <c r="O301">
        <v>1</v>
      </c>
      <c r="P301">
        <v>1</v>
      </c>
      <c r="Q301">
        <v>1</v>
      </c>
      <c r="R301">
        <v>1</v>
      </c>
      <c r="S301" s="103">
        <v>1</v>
      </c>
      <c r="T301" t="inlineStr">
        <is>
          <t>Se ejecutó el 100% de lo programado en la vigencia</t>
        </is>
      </c>
      <c r="U301">
        <v>0</v>
      </c>
      <c r="V301" s="104">
        <v>0</v>
      </c>
      <c r="W301" t="inlineStr">
        <is>
          <t>No se ejecutó en la vigencia</t>
        </is>
      </c>
    </row>
    <row r="302">
      <c r="A302" t="inlineStr">
        <is>
          <t>IP-320</t>
        </is>
      </c>
      <c r="B302" t="inlineStr">
        <is>
          <t>45</t>
        </is>
      </c>
      <c r="C302" t="inlineStr">
        <is>
          <t>Gobierno Territorial</t>
        </is>
      </c>
      <c r="D302" t="inlineStr">
        <is>
          <t>4502</t>
        </is>
      </c>
      <c r="E302" t="inlineStr">
        <is>
          <t>Fortalecimiento del buen gobierno para el respeto y garantía de los derechos humanos.</t>
        </is>
      </c>
      <c r="F302" t="inlineStr">
        <is>
          <t>4502001</t>
        </is>
      </c>
      <c r="G302" t="inlineStr">
        <is>
          <t>Servicio de promoción a la participación ciudadana</t>
        </is>
      </c>
      <c r="H302" t="inlineStr">
        <is>
          <t>450200100</t>
        </is>
      </c>
      <c r="I302" t="inlineStr">
        <is>
          <t>Espacios de participación promovidos</t>
        </is>
      </c>
      <c r="J302" t="inlineStr">
        <is>
          <t>2024004250066</t>
        </is>
      </c>
      <c r="K302" t="inlineStr">
        <is>
          <t>Si</t>
        </is>
      </c>
      <c r="L302" t="inlineStr">
        <is>
          <t>Número</t>
        </is>
      </c>
      <c r="M302">
        <v>4</v>
      </c>
      <c r="N302">
        <v>1</v>
      </c>
      <c r="O302">
        <v>1</v>
      </c>
      <c r="P302">
        <v>1</v>
      </c>
      <c r="Q302">
        <v>1</v>
      </c>
      <c r="R302" t="inlineStr">
        <is>
          <t xml:space="preserve"> </t>
        </is>
      </c>
      <c r="S302" s="103" t="inlineStr">
        <is>
          <t xml:space="preserve"> </t>
        </is>
      </c>
      <c r="T302" t="inlineStr">
        <is>
          <t>No se encontró ejecución en PIIP</t>
        </is>
      </c>
      <c r="U302" t="inlineStr">
        <is>
          <t xml:space="preserve"> </t>
        </is>
      </c>
      <c r="V302" s="104" t="inlineStr">
        <is>
          <t xml:space="preserve"> </t>
        </is>
      </c>
      <c r="W302" t="inlineStr">
        <is>
          <t>No se encontró ejecución en PIIP</t>
        </is>
      </c>
    </row>
    <row r="303">
      <c r="A303" t="inlineStr">
        <is>
          <t>IP-321</t>
        </is>
      </c>
      <c r="B303" t="inlineStr">
        <is>
          <t>19</t>
        </is>
      </c>
      <c r="C303" t="inlineStr">
        <is>
          <t>Salud y protección social</t>
        </is>
      </c>
      <c r="D303" t="inlineStr">
        <is>
          <t>1905</t>
        </is>
      </c>
      <c r="E303" t="inlineStr">
        <is>
          <t>Salud pública</t>
        </is>
      </c>
      <c r="F303" t="inlineStr">
        <is>
          <t>1905049</t>
        </is>
      </c>
      <c r="G303" t="inlineStr">
        <is>
          <t>Servicio de promoción de la participación social en salud</t>
        </is>
      </c>
      <c r="H303" t="inlineStr">
        <is>
          <t>190504900</t>
        </is>
      </c>
      <c r="I303" t="inlineStr">
        <is>
          <t>Estrategias de promoción de la participación social en salud implementadas</t>
        </is>
      </c>
      <c r="J303" t="inlineStr">
        <is>
          <t>2024004250047</t>
        </is>
      </c>
      <c r="K303" t="inlineStr">
        <is>
          <t>Si</t>
        </is>
      </c>
      <c r="L303" t="inlineStr">
        <is>
          <t>Número</t>
        </is>
      </c>
      <c r="M303">
        <v>467</v>
      </c>
      <c r="N303">
        <v>141</v>
      </c>
      <c r="O303">
        <v>165</v>
      </c>
      <c r="P303">
        <v>81</v>
      </c>
      <c r="Q303">
        <v>80</v>
      </c>
      <c r="R303" t="inlineStr">
        <is>
          <t xml:space="preserve"> </t>
        </is>
      </c>
      <c r="S303" s="103" t="inlineStr">
        <is>
          <t xml:space="preserve"> </t>
        </is>
      </c>
      <c r="T303" t="inlineStr">
        <is>
          <t>No se encontró ejecución en PIIP</t>
        </is>
      </c>
      <c r="U303" t="inlineStr">
        <is>
          <t xml:space="preserve"> </t>
        </is>
      </c>
      <c r="V303" s="104" t="inlineStr">
        <is>
          <t xml:space="preserve"> </t>
        </is>
      </c>
      <c r="W303" t="inlineStr">
        <is>
          <t>No se encontró ejecución en PIIP</t>
        </is>
      </c>
    </row>
    <row r="304">
      <c r="A304" t="inlineStr">
        <is>
          <t>IP-322</t>
        </is>
      </c>
      <c r="B304" t="inlineStr">
        <is>
          <t>25</t>
        </is>
      </c>
      <c r="C304" t="inlineStr">
        <is>
          <t>Organismos de Control</t>
        </is>
      </c>
      <c r="D304" t="inlineStr">
        <is>
          <t>2501</t>
        </is>
      </c>
      <c r="E304" t="inlineStr">
        <is>
          <t>Fortalecimiento del control y la vigilancia de la gestión fiscal y resarcimiento al daño del patrimonio público</t>
        </is>
      </c>
      <c r="F304" t="inlineStr">
        <is>
          <t>2501014</t>
        </is>
      </c>
      <c r="G304" t="inlineStr">
        <is>
          <t>Documentos metodológicos</t>
        </is>
      </c>
      <c r="H304" t="inlineStr">
        <is>
          <t>250101400</t>
        </is>
      </c>
      <c r="I304" t="inlineStr">
        <is>
          <t>Documentos metodológicos para el control y vigilancia fiscal elaborados</t>
        </is>
      </c>
      <c r="J304" t="inlineStr">
        <is>
          <t>2024004250030</t>
        </is>
      </c>
      <c r="K304" t="inlineStr">
        <is>
          <t>Si</t>
        </is>
      </c>
      <c r="L304" t="inlineStr">
        <is>
          <t>Número</t>
        </is>
      </c>
      <c r="M304">
        <v>1</v>
      </c>
      <c r="N304">
        <v>0.4</v>
      </c>
      <c r="O304">
        <v>0.3</v>
      </c>
      <c r="P304">
        <v>0.15</v>
      </c>
      <c r="Q304">
        <v>0.15</v>
      </c>
      <c r="R304" t="inlineStr">
        <is>
          <t xml:space="preserve"> </t>
        </is>
      </c>
      <c r="S304" s="103" t="inlineStr">
        <is>
          <t xml:space="preserve"> </t>
        </is>
      </c>
      <c r="T304" t="inlineStr">
        <is>
          <t>No se encontró ejecución en PIIP</t>
        </is>
      </c>
      <c r="U304" t="inlineStr">
        <is>
          <t xml:space="preserve"> </t>
        </is>
      </c>
      <c r="V304" s="104" t="inlineStr">
        <is>
          <t xml:space="preserve"> </t>
        </is>
      </c>
      <c r="W304" t="inlineStr">
        <is>
          <t>No se encontró ejecución en PIIP</t>
        </is>
      </c>
    </row>
    <row r="305">
      <c r="A305" t="inlineStr">
        <is>
          <t>IP-323</t>
        </is>
      </c>
      <c r="B305" t="inlineStr">
        <is>
          <t>45</t>
        </is>
      </c>
      <c r="C305" t="inlineStr">
        <is>
          <t>Gobierno Territorial</t>
        </is>
      </c>
      <c r="D305" t="inlineStr">
        <is>
          <t>4599</t>
        </is>
      </c>
      <c r="E305" t="inlineStr">
        <is>
          <t>Fortalecimiento a la gestión y dirección de la administración pública territorial</t>
        </is>
      </c>
      <c r="F305" t="inlineStr">
        <is>
          <t>4599025</t>
        </is>
      </c>
      <c r="G305" t="inlineStr">
        <is>
          <t>Servicios de información implementados</t>
        </is>
      </c>
      <c r="H305" t="inlineStr">
        <is>
          <t>459902500</t>
        </is>
      </c>
      <c r="I305" t="inlineStr">
        <is>
          <t>Sistemas de información implementados</t>
        </is>
      </c>
      <c r="J305" t="inlineStr">
        <is>
          <t>2024004250034</t>
        </is>
      </c>
      <c r="K305" t="inlineStr">
        <is>
          <t>Si</t>
        </is>
      </c>
      <c r="L305" t="inlineStr">
        <is>
          <t>Número</t>
        </is>
      </c>
      <c r="M305">
        <v>1</v>
      </c>
      <c r="N305">
        <v>0.2</v>
      </c>
      <c r="O305">
        <v>0.3</v>
      </c>
      <c r="P305">
        <v>0.3</v>
      </c>
      <c r="Q305">
        <v>0.2</v>
      </c>
      <c r="R305" t="inlineStr">
        <is>
          <t xml:space="preserve"> </t>
        </is>
      </c>
      <c r="S305" s="103" t="inlineStr">
        <is>
          <t xml:space="preserve"> </t>
        </is>
      </c>
      <c r="T305" t="inlineStr">
        <is>
          <t>No se encontró ejecución en PIIP</t>
        </is>
      </c>
      <c r="U305" t="inlineStr">
        <is>
          <t xml:space="preserve"> </t>
        </is>
      </c>
      <c r="V305" s="104" t="inlineStr">
        <is>
          <t xml:space="preserve"> </t>
        </is>
      </c>
      <c r="W305" t="inlineStr">
        <is>
          <t>No se encontró ejecución en PIIP</t>
        </is>
      </c>
    </row>
    <row r="306">
      <c r="A306" t="inlineStr">
        <is>
          <t>IP-324</t>
        </is>
      </c>
      <c r="B306" t="inlineStr">
        <is>
          <t>45</t>
        </is>
      </c>
      <c r="C306" t="inlineStr">
        <is>
          <t>Gobierno Territorial</t>
        </is>
      </c>
      <c r="D306" t="inlineStr">
        <is>
          <t>4599</t>
        </is>
      </c>
      <c r="E306" t="inlineStr">
        <is>
          <t>Fortalecimiento a la gestión y dirección de la administración pública territorial</t>
        </is>
      </c>
      <c r="F306" t="inlineStr">
        <is>
          <t>4599025</t>
        </is>
      </c>
      <c r="G306" t="inlineStr">
        <is>
          <t>Servicios de información implementados</t>
        </is>
      </c>
      <c r="H306" t="inlineStr">
        <is>
          <t>459902500</t>
        </is>
      </c>
      <c r="I306" t="inlineStr">
        <is>
          <t>Sistemas de información implementados</t>
        </is>
      </c>
      <c r="J306" t="inlineStr">
        <is>
          <t>2024004250094</t>
        </is>
      </c>
      <c r="K306" t="inlineStr">
        <is>
          <t>Si</t>
        </is>
      </c>
      <c r="L306" t="inlineStr">
        <is>
          <t>Número</t>
        </is>
      </c>
      <c r="M306">
        <v>1</v>
      </c>
      <c r="N306">
        <v>0.2</v>
      </c>
      <c r="O306">
        <v>0.2</v>
      </c>
      <c r="P306">
        <v>0.3</v>
      </c>
      <c r="Q306">
        <v>0.3</v>
      </c>
      <c r="R306" t="inlineStr">
        <is>
          <t xml:space="preserve"> </t>
        </is>
      </c>
      <c r="S306" s="103" t="inlineStr">
        <is>
          <t xml:space="preserve"> </t>
        </is>
      </c>
      <c r="T306" t="inlineStr">
        <is>
          <t>No se encontró ejecución en PIIP</t>
        </is>
      </c>
      <c r="U306" t="inlineStr">
        <is>
          <t xml:space="preserve"> </t>
        </is>
      </c>
      <c r="V306" s="104" t="inlineStr">
        <is>
          <t xml:space="preserve"> </t>
        </is>
      </c>
      <c r="W306" t="inlineStr">
        <is>
          <t>No se encontró ejecución en PIIP</t>
        </is>
      </c>
    </row>
    <row r="307">
      <c r="A307" t="inlineStr">
        <is>
          <t>IP-325</t>
        </is>
      </c>
      <c r="B307" t="inlineStr">
        <is>
          <t>45</t>
        </is>
      </c>
      <c r="C307" t="inlineStr">
        <is>
          <t>Gobierno Territorial</t>
        </is>
      </c>
      <c r="D307" t="inlineStr">
        <is>
          <t>4599</t>
        </is>
      </c>
      <c r="E307" t="inlineStr">
        <is>
          <t>Fortalecimiento a la gestión y dirección de la administración pública territorial</t>
        </is>
      </c>
      <c r="F307" t="inlineStr">
        <is>
          <t>4599025</t>
        </is>
      </c>
      <c r="G307" t="inlineStr">
        <is>
          <t>Servicios de información implementados</t>
        </is>
      </c>
      <c r="H307" t="inlineStr">
        <is>
          <t>459902500</t>
        </is>
      </c>
      <c r="I307" t="inlineStr">
        <is>
          <t>Sistemas de información implementados</t>
        </is>
      </c>
      <c r="J307" t="inlineStr">
        <is>
          <t>2024004250079</t>
        </is>
      </c>
      <c r="K307" t="inlineStr">
        <is>
          <t>Si</t>
        </is>
      </c>
      <c r="L307" t="inlineStr">
        <is>
          <t>Número</t>
        </is>
      </c>
      <c r="M307">
        <v>1</v>
      </c>
      <c r="N307">
        <v>0.2</v>
      </c>
      <c r="O307">
        <v>0.2</v>
      </c>
      <c r="P307">
        <v>0.3</v>
      </c>
      <c r="Q307">
        <v>0.3</v>
      </c>
      <c r="R307" t="inlineStr">
        <is>
          <t xml:space="preserve"> </t>
        </is>
      </c>
      <c r="S307" s="103" t="inlineStr">
        <is>
          <t xml:space="preserve"> </t>
        </is>
      </c>
      <c r="T307" t="inlineStr">
        <is>
          <t>No se encontró ejecución en PIIP</t>
        </is>
      </c>
      <c r="U307" t="inlineStr">
        <is>
          <t xml:space="preserve"> </t>
        </is>
      </c>
      <c r="V307" s="104" t="inlineStr">
        <is>
          <t xml:space="preserve"> </t>
        </is>
      </c>
      <c r="W307" t="inlineStr">
        <is>
          <t>No se encontró ejecución en PIIP</t>
        </is>
      </c>
    </row>
    <row r="308">
      <c r="A308" t="inlineStr">
        <is>
          <t>IP-326</t>
        </is>
      </c>
      <c r="B308" t="inlineStr">
        <is>
          <t>45</t>
        </is>
      </c>
      <c r="C308" t="inlineStr">
        <is>
          <t>Gobierno Territorial</t>
        </is>
      </c>
      <c r="D308" t="inlineStr">
        <is>
          <t>4599</t>
        </is>
      </c>
      <c r="E308" t="inlineStr">
        <is>
          <t>Fortalecimiento a la gestión y dirección de la administración pública territorial</t>
        </is>
      </c>
      <c r="F308" t="inlineStr">
        <is>
          <t>4599006</t>
        </is>
      </c>
      <c r="G308" t="inlineStr">
        <is>
          <t>Estudios de preinversión</t>
        </is>
      </c>
      <c r="H308" t="inlineStr">
        <is>
          <t>459900600</t>
        </is>
      </c>
      <c r="I308" t="inlineStr">
        <is>
          <t>Estudios de preinversión elaborados</t>
        </is>
      </c>
      <c r="J308" t="inlineStr">
        <is>
          <t>2024004250012</t>
        </is>
      </c>
      <c r="K308" t="inlineStr">
        <is>
          <t>Si</t>
        </is>
      </c>
      <c r="L308" t="inlineStr">
        <is>
          <t>Número</t>
        </is>
      </c>
      <c r="M308">
        <v>1</v>
      </c>
      <c r="N308">
        <v>0</v>
      </c>
      <c r="O308">
        <v>0</v>
      </c>
      <c r="P308">
        <v>1</v>
      </c>
      <c r="Q308">
        <v>1</v>
      </c>
      <c r="R308" t="inlineStr">
        <is>
          <t xml:space="preserve"> </t>
        </is>
      </c>
      <c r="S308" s="103" t="inlineStr">
        <is>
          <t xml:space="preserve"> </t>
        </is>
      </c>
      <c r="T308" t="inlineStr">
        <is>
          <t>No se encontró ejecución en PIIP</t>
        </is>
      </c>
      <c r="U308" t="inlineStr">
        <is>
          <t xml:space="preserve"> </t>
        </is>
      </c>
      <c r="V308" s="104" t="inlineStr">
        <is>
          <t xml:space="preserve"> </t>
        </is>
      </c>
      <c r="W308" t="inlineStr">
        <is>
          <t>No se encontró ejecución en PIIP</t>
        </is>
      </c>
    </row>
    <row r="309">
      <c r="A309" t="inlineStr">
        <is>
          <t>IP-327</t>
        </is>
      </c>
      <c r="B309" t="inlineStr">
        <is>
          <t>45</t>
        </is>
      </c>
      <c r="C309" t="inlineStr">
        <is>
          <t>Gobierno Territorial</t>
        </is>
      </c>
      <c r="D309" t="inlineStr">
        <is>
          <t>4599</t>
        </is>
      </c>
      <c r="E309" t="inlineStr">
        <is>
          <t>Fortalecimiento a la gestión y dirección de la administración pública territorial</t>
        </is>
      </c>
      <c r="F309" t="inlineStr">
        <is>
          <t>4599023</t>
        </is>
      </c>
      <c r="G309" t="inlineStr">
        <is>
          <t>Servicio de Implementación Sistemas de Gestión</t>
        </is>
      </c>
      <c r="H309" t="inlineStr">
        <is>
          <t>459902300</t>
        </is>
      </c>
      <c r="I309" t="inlineStr">
        <is>
          <t>Sistema de Gestión implementado</t>
        </is>
      </c>
      <c r="J309" t="inlineStr">
        <is>
          <t>2024004250073</t>
        </is>
      </c>
      <c r="K309" t="inlineStr">
        <is>
          <t>No</t>
        </is>
      </c>
      <c r="L309" t="inlineStr">
        <is>
          <t>Número</t>
        </is>
      </c>
      <c r="M309">
        <v>2</v>
      </c>
      <c r="N309">
        <v>2</v>
      </c>
      <c r="O309">
        <v>2</v>
      </c>
      <c r="P309">
        <v>2</v>
      </c>
      <c r="Q309">
        <v>2</v>
      </c>
      <c r="R309">
        <v>0</v>
      </c>
      <c r="S309" s="103">
        <v>0</v>
      </c>
      <c r="T309" t="inlineStr">
        <is>
          <t>No se ejecutó en la vigencia</t>
        </is>
      </c>
      <c r="U309" t="inlineStr">
        <is>
          <t xml:space="preserve"> </t>
        </is>
      </c>
      <c r="V309" s="104" t="inlineStr">
        <is>
          <t xml:space="preserve"> </t>
        </is>
      </c>
      <c r="W309" t="inlineStr">
        <is>
          <t>No se encontró ejecución en PIIP</t>
        </is>
      </c>
    </row>
    <row r="310">
      <c r="A310" t="inlineStr">
        <is>
          <t>IP-328</t>
        </is>
      </c>
      <c r="B310" t="inlineStr">
        <is>
          <t>04</t>
        </is>
      </c>
      <c r="C310" t="inlineStr">
        <is>
          <t>Información Estadística</t>
        </is>
      </c>
      <c r="D310" t="inlineStr">
        <is>
          <t>0401</t>
        </is>
      </c>
      <c r="E310" t="inlineStr">
        <is>
          <t>Levantamiento y actualización de información estadística de calidad</t>
        </is>
      </c>
      <c r="F310" t="inlineStr">
        <is>
          <t>0401102</t>
        </is>
      </c>
      <c r="G310" t="inlineStr">
        <is>
          <t>Servicio de información implementado</t>
        </is>
      </c>
      <c r="H310" t="inlineStr">
        <is>
          <t>040110200</t>
        </is>
      </c>
      <c r="I310" t="inlineStr">
        <is>
          <t>Sistemas de información implementados</t>
        </is>
      </c>
      <c r="J310" t="inlineStr">
        <is>
          <t>2024004250038</t>
        </is>
      </c>
      <c r="K310" t="inlineStr">
        <is>
          <t>Si</t>
        </is>
      </c>
      <c r="L310" t="inlineStr">
        <is>
          <t>Número</t>
        </is>
      </c>
      <c r="M310">
        <v>100</v>
      </c>
      <c r="N310">
        <v>25</v>
      </c>
      <c r="O310">
        <v>25</v>
      </c>
      <c r="P310">
        <v>0.5</v>
      </c>
      <c r="Q310">
        <v>0</v>
      </c>
      <c r="R310" t="inlineStr">
        <is>
          <t xml:space="preserve"> </t>
        </is>
      </c>
      <c r="S310" s="103" t="inlineStr">
        <is>
          <t xml:space="preserve"> </t>
        </is>
      </c>
      <c r="T310" t="inlineStr">
        <is>
          <t>No se encontró ejecución en PIIP</t>
        </is>
      </c>
      <c r="U310" t="inlineStr">
        <is>
          <t xml:space="preserve"> </t>
        </is>
      </c>
      <c r="V310" s="104" t="inlineStr">
        <is>
          <t xml:space="preserve"> </t>
        </is>
      </c>
      <c r="W310" t="inlineStr">
        <is>
          <t>No se encontró ejecución en PIIP</t>
        </is>
      </c>
    </row>
    <row r="311">
      <c r="A311" t="inlineStr">
        <is>
          <t>IP-329</t>
        </is>
      </c>
      <c r="B311" t="inlineStr">
        <is>
          <t>04</t>
        </is>
      </c>
      <c r="C311" t="inlineStr">
        <is>
          <t>Información Estadística</t>
        </is>
      </c>
      <c r="D311" t="inlineStr">
        <is>
          <t>0401</t>
        </is>
      </c>
      <c r="E311" t="inlineStr">
        <is>
          <t>Levantamiento y actualización de información estadística de calidad</t>
        </is>
      </c>
      <c r="F311" t="inlineStr">
        <is>
          <t>0401106</t>
        </is>
      </c>
      <c r="G311" t="inlineStr">
        <is>
          <t xml:space="preserve">SERVICIO DE APOYO A LA GESTIÓN DE CONOCIMIENTO Y CONSOLIDACIÓN DE LA CULTURA ESTADÍSTICA </t>
        </is>
      </c>
      <c r="H311" t="inlineStr">
        <is>
          <t>040110600</t>
        </is>
      </c>
      <c r="I311" t="inlineStr">
        <is>
          <t>Estrategias implementadas</t>
        </is>
      </c>
      <c r="J311" t="inlineStr">
        <is>
          <t>2024004250038</t>
        </is>
      </c>
      <c r="K311" t="inlineStr">
        <is>
          <t>Si</t>
        </is>
      </c>
      <c r="L311" t="inlineStr">
        <is>
          <t>Número</t>
        </is>
      </c>
      <c r="M311">
        <v>1</v>
      </c>
      <c r="N311">
        <v>0.1</v>
      </c>
      <c r="O311">
        <v>0.4</v>
      </c>
      <c r="P311">
        <v>0.65</v>
      </c>
      <c r="Q311">
        <v>0</v>
      </c>
      <c r="R311" t="inlineStr">
        <is>
          <t xml:space="preserve"> </t>
        </is>
      </c>
      <c r="S311" s="103" t="inlineStr">
        <is>
          <t xml:space="preserve"> </t>
        </is>
      </c>
      <c r="T311" t="inlineStr">
        <is>
          <t>No se encontró ejecución en PIIP</t>
        </is>
      </c>
      <c r="U311" t="inlineStr">
        <is>
          <t xml:space="preserve"> </t>
        </is>
      </c>
      <c r="V311" s="104" t="inlineStr">
        <is>
          <t xml:space="preserve"> </t>
        </is>
      </c>
      <c r="W311" t="inlineStr">
        <is>
          <t>No se encontró ejecución en PIIP</t>
        </is>
      </c>
    </row>
    <row r="312">
      <c r="A312" t="inlineStr">
        <is>
          <t>IP-330</t>
        </is>
      </c>
      <c r="B312" t="inlineStr">
        <is>
          <t>45</t>
        </is>
      </c>
      <c r="C312" t="inlineStr">
        <is>
          <t>Gobierno Territorial</t>
        </is>
      </c>
      <c r="D312" t="inlineStr">
        <is>
          <t>4599</t>
        </is>
      </c>
      <c r="E312" t="inlineStr">
        <is>
          <t>Fortalecimiento a la gestión y dirección de la administración pública territorial</t>
        </is>
      </c>
      <c r="F312" t="inlineStr">
        <is>
          <t>4599026</t>
        </is>
      </c>
      <c r="G312" t="inlineStr">
        <is>
          <t>Documentos de investigación</t>
        </is>
      </c>
      <c r="H312" t="inlineStr">
        <is>
          <t>459902600</t>
        </is>
      </c>
      <c r="I312" t="inlineStr">
        <is>
          <t>Documentos de investigación elaborados</t>
        </is>
      </c>
      <c r="J312" t="inlineStr">
        <is>
          <t>2024004250079</t>
        </is>
      </c>
      <c r="K312" t="inlineStr">
        <is>
          <t>Si</t>
        </is>
      </c>
      <c r="L312" t="inlineStr">
        <is>
          <t>Número</t>
        </is>
      </c>
      <c r="M312">
        <v>7</v>
      </c>
      <c r="N312">
        <v>1</v>
      </c>
      <c r="O312">
        <v>2</v>
      </c>
      <c r="P312">
        <v>0</v>
      </c>
      <c r="Q312">
        <v>2</v>
      </c>
      <c r="R312" t="inlineStr">
        <is>
          <t xml:space="preserve"> </t>
        </is>
      </c>
      <c r="S312" s="103" t="inlineStr">
        <is>
          <t xml:space="preserve"> </t>
        </is>
      </c>
      <c r="T312" t="inlineStr">
        <is>
          <t>No se encontró ejecución en PIIP</t>
        </is>
      </c>
      <c r="U312" t="inlineStr">
        <is>
          <t xml:space="preserve"> </t>
        </is>
      </c>
      <c r="V312" s="104" t="inlineStr">
        <is>
          <t xml:space="preserve"> </t>
        </is>
      </c>
      <c r="W312" t="inlineStr">
        <is>
          <t>No se encontró ejecución en PIIP</t>
        </is>
      </c>
    </row>
    <row r="313">
      <c r="A313" t="inlineStr">
        <is>
          <t>IP-331</t>
        </is>
      </c>
      <c r="B313" t="inlineStr">
        <is>
          <t>45</t>
        </is>
      </c>
      <c r="C313" t="inlineStr">
        <is>
          <t>Gobierno Territorial</t>
        </is>
      </c>
      <c r="D313" t="inlineStr">
        <is>
          <t>4599</t>
        </is>
      </c>
      <c r="E313" t="inlineStr">
        <is>
          <t>Fortalecimiento a la gestión y dirección de la administración pública territorial</t>
        </is>
      </c>
      <c r="F313" t="inlineStr">
        <is>
          <t>4599015</t>
        </is>
      </c>
      <c r="G313" t="inlineStr">
        <is>
          <t>Sedes adquiridas</t>
        </is>
      </c>
      <c r="H313" t="inlineStr">
        <is>
          <t>459901500</t>
        </is>
      </c>
      <c r="I313" t="inlineStr">
        <is>
          <t>Sedes adquiridas</t>
        </is>
      </c>
      <c r="J313" t="inlineStr">
        <is>
          <t>2024004250092</t>
        </is>
      </c>
      <c r="K313" t="inlineStr">
        <is>
          <t>Si</t>
        </is>
      </c>
      <c r="L313" t="inlineStr">
        <is>
          <t>Número</t>
        </is>
      </c>
      <c r="M313">
        <v>3</v>
      </c>
      <c r="N313">
        <v>0</v>
      </c>
      <c r="O313">
        <v>1</v>
      </c>
      <c r="P313">
        <v>2</v>
      </c>
      <c r="Q313">
        <v>2</v>
      </c>
      <c r="R313" t="inlineStr">
        <is>
          <t xml:space="preserve"> </t>
        </is>
      </c>
      <c r="S313" s="103" t="inlineStr">
        <is>
          <t xml:space="preserve"> </t>
        </is>
      </c>
      <c r="T313" t="inlineStr">
        <is>
          <t>No se encontró ejecución en PIIP</t>
        </is>
      </c>
      <c r="U313" t="inlineStr">
        <is>
          <t xml:space="preserve"> </t>
        </is>
      </c>
      <c r="V313" s="104" t="inlineStr">
        <is>
          <t xml:space="preserve"> </t>
        </is>
      </c>
      <c r="W313" t="inlineStr">
        <is>
          <t>No se encontró ejecución en PIIP</t>
        </is>
      </c>
    </row>
    <row r="314">
      <c r="A314" t="inlineStr">
        <is>
          <t>IP-332</t>
        </is>
      </c>
      <c r="B314" t="inlineStr">
        <is>
          <t>45</t>
        </is>
      </c>
      <c r="C314" t="inlineStr">
        <is>
          <t>Gobierno Territorial</t>
        </is>
      </c>
      <c r="D314" t="inlineStr">
        <is>
          <t>4599</t>
        </is>
      </c>
      <c r="E314" t="inlineStr">
        <is>
          <t>Fortalecimiento a la gestión y dirección de la administración pública territorial</t>
        </is>
      </c>
      <c r="F314" t="inlineStr">
        <is>
          <t>4599017</t>
        </is>
      </c>
      <c r="G314" t="inlineStr">
        <is>
          <t>Servicio de gestión documental</t>
        </is>
      </c>
      <c r="H314" t="inlineStr">
        <is>
          <t>459901700</t>
        </is>
      </c>
      <c r="I314" t="inlineStr">
        <is>
          <t>Sistema de gestión documental implementado</t>
        </is>
      </c>
      <c r="J314" t="inlineStr">
        <is>
          <t>2024004250006</t>
        </is>
      </c>
      <c r="K314" t="inlineStr">
        <is>
          <t>Si</t>
        </is>
      </c>
      <c r="L314" t="inlineStr">
        <is>
          <t>Número</t>
        </is>
      </c>
      <c r="M314">
        <v>1</v>
      </c>
      <c r="N314">
        <v>0.25</v>
      </c>
      <c r="O314">
        <v>0.25</v>
      </c>
      <c r="P314">
        <v>0.25</v>
      </c>
      <c r="Q314">
        <v>0.25</v>
      </c>
      <c r="R314" t="inlineStr">
        <is>
          <t xml:space="preserve"> </t>
        </is>
      </c>
      <c r="S314" s="103" t="inlineStr">
        <is>
          <t xml:space="preserve"> </t>
        </is>
      </c>
      <c r="T314" t="inlineStr">
        <is>
          <t>No se encontró ejecución en PIIP</t>
        </is>
      </c>
      <c r="U314" t="inlineStr">
        <is>
          <t xml:space="preserve"> </t>
        </is>
      </c>
      <c r="V314" s="104" t="inlineStr">
        <is>
          <t xml:space="preserve"> </t>
        </is>
      </c>
      <c r="W314" t="inlineStr">
        <is>
          <t>No se encontró ejecución en PIIP</t>
        </is>
      </c>
    </row>
    <row r="315">
      <c r="A315" t="inlineStr">
        <is>
          <t>IP-333</t>
        </is>
      </c>
      <c r="B315" t="inlineStr">
        <is>
          <t>45</t>
        </is>
      </c>
      <c r="C315" t="inlineStr">
        <is>
          <t>Gobierno Territorial</t>
        </is>
      </c>
      <c r="D315" t="inlineStr">
        <is>
          <t>4599</t>
        </is>
      </c>
      <c r="E315" t="inlineStr">
        <is>
          <t>Fortalecimiento a la gestión y dirección de la administración pública territorial</t>
        </is>
      </c>
      <c r="F315" t="inlineStr">
        <is>
          <t>4599007</t>
        </is>
      </c>
      <c r="G315" t="inlineStr">
        <is>
          <t>Servicios tecnológicos</t>
        </is>
      </c>
      <c r="H315" t="inlineStr">
        <is>
          <t>459900700</t>
        </is>
      </c>
      <c r="I315" t="inlineStr">
        <is>
          <t>Índice de capacidad en la prestación de servicios de tecnología</t>
        </is>
      </c>
      <c r="J315" t="inlineStr">
        <is>
          <t>2024004250006</t>
        </is>
      </c>
      <c r="K315" t="inlineStr">
        <is>
          <t>No</t>
        </is>
      </c>
      <c r="L315" t="inlineStr">
        <is>
          <t>Porcentaje</t>
        </is>
      </c>
      <c r="M315">
        <v>100</v>
      </c>
      <c r="N315">
        <v>100</v>
      </c>
      <c r="O315">
        <v>100</v>
      </c>
      <c r="P315">
        <v>100</v>
      </c>
      <c r="Q315">
        <v>100</v>
      </c>
      <c r="R315">
        <v>0</v>
      </c>
      <c r="S315" s="103">
        <v>0</v>
      </c>
      <c r="T315" t="inlineStr">
        <is>
          <t>No se ejecutó en la vigencia</t>
        </is>
      </c>
      <c r="U315" t="inlineStr">
        <is>
          <t xml:space="preserve"> </t>
        </is>
      </c>
      <c r="V315" s="104" t="inlineStr">
        <is>
          <t xml:space="preserve"> </t>
        </is>
      </c>
      <c r="W315" t="inlineStr">
        <is>
          <t>No se encontró ejecución en PIIP</t>
        </is>
      </c>
    </row>
    <row r="316">
      <c r="A316" t="inlineStr">
        <is>
          <t>IP-334</t>
        </is>
      </c>
      <c r="B316" t="inlineStr">
        <is>
          <t>45</t>
        </is>
      </c>
      <c r="C316" t="inlineStr">
        <is>
          <t>Gobierno Territorial</t>
        </is>
      </c>
      <c r="D316" t="inlineStr">
        <is>
          <t>4599</t>
        </is>
      </c>
      <c r="E316" t="inlineStr">
        <is>
          <t>Fortalecimiento a la gestión y dirección de la administración pública territorial</t>
        </is>
      </c>
      <c r="F316" t="inlineStr">
        <is>
          <t>4599017</t>
        </is>
      </c>
      <c r="G316" t="inlineStr">
        <is>
          <t>Servicio de gestión documental</t>
        </is>
      </c>
      <c r="H316" t="inlineStr">
        <is>
          <t>459901700</t>
        </is>
      </c>
      <c r="I316" t="inlineStr">
        <is>
          <t>Sistema de gestión documental implementado</t>
        </is>
      </c>
      <c r="J316" t="inlineStr">
        <is>
          <t>2024004250250</t>
        </is>
      </c>
      <c r="K316" t="inlineStr">
        <is>
          <t>Si</t>
        </is>
      </c>
      <c r="L316" t="inlineStr">
        <is>
          <t>Número</t>
        </is>
      </c>
      <c r="M316">
        <v>1</v>
      </c>
      <c r="N316">
        <v>0.2</v>
      </c>
      <c r="O316">
        <v>0.4</v>
      </c>
      <c r="P316">
        <v>0.4</v>
      </c>
      <c r="Q316">
        <v>0</v>
      </c>
      <c r="R316" t="inlineStr">
        <is>
          <t xml:space="preserve"> </t>
        </is>
      </c>
      <c r="S316" s="103" t="inlineStr">
        <is>
          <t xml:space="preserve"> </t>
        </is>
      </c>
      <c r="T316" t="inlineStr">
        <is>
          <t>No se encontró ejecución en PIIP</t>
        </is>
      </c>
      <c r="U316" t="inlineStr">
        <is>
          <t xml:space="preserve"> </t>
        </is>
      </c>
      <c r="V316" s="104" t="inlineStr">
        <is>
          <t xml:space="preserve"> </t>
        </is>
      </c>
      <c r="W316" t="inlineStr">
        <is>
          <t>No se encontró ejecución en PIIP</t>
        </is>
      </c>
    </row>
    <row r="317">
      <c r="A317" t="inlineStr">
        <is>
          <t>IP-335</t>
        </is>
      </c>
      <c r="B317" t="inlineStr">
        <is>
          <t>45</t>
        </is>
      </c>
      <c r="C317" t="inlineStr">
        <is>
          <t>Gobierno Territorial</t>
        </is>
      </c>
      <c r="D317" t="inlineStr">
        <is>
          <t>4599</t>
        </is>
      </c>
      <c r="E317" t="inlineStr">
        <is>
          <t>Fortalecimiento a la gestión y dirección de la administración pública territorial</t>
        </is>
      </c>
      <c r="F317" t="inlineStr">
        <is>
          <t>4599026</t>
        </is>
      </c>
      <c r="G317" t="inlineStr">
        <is>
          <t>Documentos de investigación</t>
        </is>
      </c>
      <c r="H317" t="inlineStr">
        <is>
          <t>459902600</t>
        </is>
      </c>
      <c r="I317" t="inlineStr">
        <is>
          <t>Documentos de investigación elaborados</t>
        </is>
      </c>
      <c r="J317" t="inlineStr">
        <is>
          <t>2024004250252</t>
        </is>
      </c>
      <c r="K317" t="inlineStr">
        <is>
          <t>Si</t>
        </is>
      </c>
      <c r="L317" t="inlineStr">
        <is>
          <t>Número</t>
        </is>
      </c>
      <c r="M317">
        <v>1</v>
      </c>
      <c r="N317">
        <v>0</v>
      </c>
      <c r="O317">
        <v>0.5</v>
      </c>
      <c r="P317">
        <v>0.5</v>
      </c>
      <c r="Q317">
        <v>0</v>
      </c>
      <c r="R317" t="inlineStr">
        <is>
          <t xml:space="preserve"> </t>
        </is>
      </c>
      <c r="S317" s="103" t="inlineStr">
        <is>
          <t xml:space="preserve"> </t>
        </is>
      </c>
      <c r="T317" t="inlineStr">
        <is>
          <t>No se encontró ejecución en PIIP</t>
        </is>
      </c>
      <c r="U317" t="inlineStr">
        <is>
          <t xml:space="preserve"> </t>
        </is>
      </c>
      <c r="V317" s="104" t="inlineStr">
        <is>
          <t xml:space="preserve"> </t>
        </is>
      </c>
      <c r="W317" t="inlineStr">
        <is>
          <t>No se encontró ejecución en PIIP</t>
        </is>
      </c>
    </row>
    <row r="318">
      <c r="A318" t="inlineStr">
        <is>
          <t>IP-336</t>
        </is>
      </c>
      <c r="B318" t="inlineStr">
        <is>
          <t>45</t>
        </is>
      </c>
      <c r="C318" t="inlineStr">
        <is>
          <t>Gobierno Territorial</t>
        </is>
      </c>
      <c r="D318" t="inlineStr">
        <is>
          <t>4599</t>
        </is>
      </c>
      <c r="E318" t="inlineStr">
        <is>
          <t>Fortalecimiento a la gestión y dirección de la administración pública territorial</t>
        </is>
      </c>
      <c r="F318" t="inlineStr">
        <is>
          <t>4599007</t>
        </is>
      </c>
      <c r="G318" t="inlineStr">
        <is>
          <t>Servicios tecnológicos</t>
        </is>
      </c>
      <c r="H318" t="inlineStr">
        <is>
          <t>459900700</t>
        </is>
      </c>
      <c r="I318" t="inlineStr">
        <is>
          <t>Índice de capacidad en la prestación de servicios de tecnología</t>
        </is>
      </c>
      <c r="J318" t="inlineStr">
        <is>
          <t>2024004250096</t>
        </is>
      </c>
      <c r="K318" t="inlineStr">
        <is>
          <t>Si</t>
        </is>
      </c>
      <c r="L318" t="inlineStr">
        <is>
          <t>Porcentaje</t>
        </is>
      </c>
      <c r="M318">
        <v>20</v>
      </c>
      <c r="N318">
        <v>5</v>
      </c>
      <c r="O318">
        <v>5</v>
      </c>
      <c r="P318">
        <v>5</v>
      </c>
      <c r="Q318">
        <v>5</v>
      </c>
      <c r="R318">
        <v>0</v>
      </c>
      <c r="S318" s="103">
        <v>0</v>
      </c>
      <c r="T318" t="inlineStr">
        <is>
          <t>No se ejecutó en la vigencia</t>
        </is>
      </c>
      <c r="U318" t="inlineStr">
        <is>
          <t xml:space="preserve"> </t>
        </is>
      </c>
      <c r="V318" s="104" t="inlineStr">
        <is>
          <t xml:space="preserve"> </t>
        </is>
      </c>
      <c r="W318" t="inlineStr">
        <is>
          <t>No se encontró ejecución en PIIP</t>
        </is>
      </c>
    </row>
    <row r="319">
      <c r="A319" t="inlineStr">
        <is>
          <t>IP-337</t>
        </is>
      </c>
      <c r="B319" t="inlineStr">
        <is>
          <t>23</t>
        </is>
      </c>
      <c r="C319" t="inlineStr">
        <is>
          <t>Tecnologías de la información y las comunicaciones</t>
        </is>
      </c>
      <c r="D319" t="inlineStr">
        <is>
          <t>2302</t>
        </is>
      </c>
      <c r="E319" t="inlineStr">
        <is>
          <t>Fomento del desarrollo de aplicaciones, software y contenidos para impulsar la apropiación de las Tecnologías de la Información y las Comunicaciones (TIC)</t>
        </is>
      </c>
      <c r="F319" t="inlineStr">
        <is>
          <t>2302010</t>
        </is>
      </c>
      <c r="G319" t="inlineStr">
        <is>
          <t>Servicio de almacenamiento local de información</t>
        </is>
      </c>
      <c r="H319" t="inlineStr">
        <is>
          <t>230201000</t>
        </is>
      </c>
      <c r="I319" t="inlineStr">
        <is>
          <t>Bytes en capacidad de almacenamiento</t>
        </is>
      </c>
      <c r="J319" t="inlineStr">
        <is>
          <t>2024004250107</t>
        </is>
      </c>
      <c r="K319" t="inlineStr">
        <is>
          <t>No</t>
        </is>
      </c>
      <c r="L319" t="inlineStr">
        <is>
          <t>Número</t>
        </is>
      </c>
      <c r="M319">
        <v>100</v>
      </c>
      <c r="N319">
        <v>100</v>
      </c>
      <c r="O319">
        <v>100</v>
      </c>
      <c r="P319">
        <v>100</v>
      </c>
      <c r="Q319">
        <v>100</v>
      </c>
      <c r="R319">
        <v>0</v>
      </c>
      <c r="S319" s="103">
        <v>0</v>
      </c>
      <c r="T319" t="inlineStr">
        <is>
          <t>No se ejecutó en la vigencia</t>
        </is>
      </c>
      <c r="U319" t="inlineStr">
        <is>
          <t xml:space="preserve"> </t>
        </is>
      </c>
      <c r="V319" s="104" t="inlineStr">
        <is>
          <t xml:space="preserve"> </t>
        </is>
      </c>
      <c r="W319" t="inlineStr">
        <is>
          <t>No se encontró ejecución en PIIP</t>
        </is>
      </c>
    </row>
    <row r="320">
      <c r="A320" t="inlineStr">
        <is>
          <t>IP-338</t>
        </is>
      </c>
      <c r="B320" t="inlineStr">
        <is>
          <t>45</t>
        </is>
      </c>
      <c r="C320" t="inlineStr">
        <is>
          <t>Gobierno Territorial</t>
        </is>
      </c>
      <c r="D320" t="inlineStr">
        <is>
          <t>4599</t>
        </is>
      </c>
      <c r="E320" t="inlineStr">
        <is>
          <t>Fortalecimiento a la gestión y dirección de la administración pública territorial</t>
        </is>
      </c>
      <c r="F320" t="inlineStr">
        <is>
          <t>4599007</t>
        </is>
      </c>
      <c r="G320" t="inlineStr">
        <is>
          <t>Servicios tecnológicos</t>
        </is>
      </c>
      <c r="H320" t="inlineStr">
        <is>
          <t>459900700</t>
        </is>
      </c>
      <c r="I320" t="inlineStr">
        <is>
          <t>Índice de capacidad en la prestación de servicios de tecnología</t>
        </is>
      </c>
      <c r="J320" t="inlineStr">
        <is>
          <t>2024004250133</t>
        </is>
      </c>
      <c r="K320" t="inlineStr">
        <is>
          <t>Si</t>
        </is>
      </c>
      <c r="L320" t="inlineStr">
        <is>
          <t>Porcentaje</t>
        </is>
      </c>
      <c r="M320">
        <v>15</v>
      </c>
      <c r="N320">
        <v>2.5</v>
      </c>
      <c r="O320">
        <v>0</v>
      </c>
      <c r="P320">
        <v>6.5</v>
      </c>
      <c r="Q320">
        <v>6</v>
      </c>
      <c r="R320" t="inlineStr">
        <is>
          <t xml:space="preserve"> </t>
        </is>
      </c>
      <c r="S320" s="103" t="inlineStr">
        <is>
          <t xml:space="preserve"> </t>
        </is>
      </c>
      <c r="T320" t="inlineStr">
        <is>
          <t>No se encontró ejecución en PIIP</t>
        </is>
      </c>
      <c r="U320" t="inlineStr">
        <is>
          <t xml:space="preserve"> </t>
        </is>
      </c>
      <c r="V320" s="104" t="inlineStr">
        <is>
          <t xml:space="preserve"> </t>
        </is>
      </c>
      <c r="W320" t="inlineStr">
        <is>
          <t>No se encontró ejecución en PIIP</t>
        </is>
      </c>
    </row>
    <row r="321">
      <c r="A321" t="inlineStr">
        <is>
          <t>IP-339</t>
        </is>
      </c>
      <c r="B321" t="inlineStr">
        <is>
          <t>23</t>
        </is>
      </c>
      <c r="C321" t="inlineStr">
        <is>
          <t>Tecnologías de la información y las comunicaciones</t>
        </is>
      </c>
      <c r="D321" t="inlineStr">
        <is>
          <t>2302</t>
        </is>
      </c>
      <c r="E321" t="inlineStr">
        <is>
          <t>Fomento del desarrollo de aplicaciones, software y contenidos para impulsar la apropiación de las Tecnologías de la Información y las Comunicaciones (TIC)</t>
        </is>
      </c>
      <c r="F321" t="inlineStr">
        <is>
          <t>2302024</t>
        </is>
      </c>
      <c r="G321" t="inlineStr">
        <is>
          <t>Servicio de asistencia técnica para la implementación de la Estrategia de Gobierno digital</t>
        </is>
      </c>
      <c r="H321" t="inlineStr">
        <is>
          <t>230202400</t>
        </is>
      </c>
      <c r="I321" t="inlineStr">
        <is>
          <t>Entidades asistidas técnicamente</t>
        </is>
      </c>
      <c r="J321" t="inlineStr">
        <is>
          <t>2024004250049</t>
        </is>
      </c>
      <c r="K321" t="inlineStr">
        <is>
          <t>Si</t>
        </is>
      </c>
      <c r="L321" t="inlineStr">
        <is>
          <t>Número</t>
        </is>
      </c>
      <c r="M321">
        <v>116</v>
      </c>
      <c r="N321">
        <v>33</v>
      </c>
      <c r="O321">
        <v>38</v>
      </c>
      <c r="P321">
        <v>25</v>
      </c>
      <c r="Q321">
        <v>20</v>
      </c>
      <c r="R321">
        <v>0</v>
      </c>
      <c r="S321" s="103">
        <v>0</v>
      </c>
      <c r="T321" t="inlineStr">
        <is>
          <t>No se ejecutó en la vigencia</t>
        </is>
      </c>
      <c r="U321" t="inlineStr">
        <is>
          <t xml:space="preserve"> </t>
        </is>
      </c>
      <c r="V321" s="104" t="inlineStr">
        <is>
          <t xml:space="preserve"> </t>
        </is>
      </c>
      <c r="W321" t="inlineStr">
        <is>
          <t>No se encontró ejecución en PIIP</t>
        </is>
      </c>
    </row>
    <row r="322">
      <c r="A322" t="inlineStr">
        <is>
          <t>IP-340</t>
        </is>
      </c>
      <c r="B322" t="inlineStr">
        <is>
          <t>23</t>
        </is>
      </c>
      <c r="C322" t="inlineStr">
        <is>
          <t>Tecnologías de la información y las comunicaciones</t>
        </is>
      </c>
      <c r="D322" t="inlineStr">
        <is>
          <t>2301</t>
        </is>
      </c>
      <c r="E322" t="inlineStr">
        <is>
          <t>Facilitar el acceso y uso de las Tecnologías de la Información y las Comunicaciones (TIC) en todo el territorio nacional</t>
        </is>
      </c>
      <c r="F322" t="inlineStr">
        <is>
          <t>2301077</t>
        </is>
      </c>
      <c r="G322" t="inlineStr">
        <is>
          <t>Servicio de información actualizado</t>
        </is>
      </c>
      <c r="H322" t="inlineStr">
        <is>
          <t>230107700</t>
        </is>
      </c>
      <c r="I322" t="inlineStr">
        <is>
          <t>Sistemas de información actualizados</t>
        </is>
      </c>
      <c r="J322" t="inlineStr">
        <is>
          <t>2024004250126</t>
        </is>
      </c>
      <c r="K322" t="inlineStr">
        <is>
          <t>No</t>
        </is>
      </c>
      <c r="L322" t="inlineStr">
        <is>
          <t>Número</t>
        </is>
      </c>
      <c r="M322">
        <v>41</v>
      </c>
      <c r="N322">
        <v>41</v>
      </c>
      <c r="O322">
        <v>41</v>
      </c>
      <c r="P322">
        <v>41</v>
      </c>
      <c r="Q322">
        <v>41</v>
      </c>
      <c r="R322">
        <v>41</v>
      </c>
      <c r="S322" s="103">
        <v>1</v>
      </c>
      <c r="T322" t="inlineStr">
        <is>
          <t>Se ejecutó el 100% de lo programado en la vigencia</t>
        </is>
      </c>
      <c r="U322">
        <v>106</v>
      </c>
      <c r="V322" s="104">
        <v>2.58536585365854</v>
      </c>
      <c r="W322" t="inlineStr">
        <is>
          <t>Hubo ejecución por encima de lo programado en SisPT</t>
        </is>
      </c>
    </row>
    <row r="323">
      <c r="A323" t="inlineStr">
        <is>
          <t>IP-341</t>
        </is>
      </c>
      <c r="B323" t="inlineStr">
        <is>
          <t>23</t>
        </is>
      </c>
      <c r="C323" t="inlineStr">
        <is>
          <t>Tecnologías de la información y las comunicaciones</t>
        </is>
      </c>
      <c r="D323" t="inlineStr">
        <is>
          <t>2301</t>
        </is>
      </c>
      <c r="E323" t="inlineStr">
        <is>
          <t>Facilitar el acceso y uso de las Tecnologías de la Información y las Comunicaciones (TIC) en todo el territorio nacional</t>
        </is>
      </c>
      <c r="F323" t="inlineStr">
        <is>
          <t>2301004</t>
        </is>
      </c>
      <c r="G323" t="inlineStr">
        <is>
          <t>Documentos de planeación</t>
        </is>
      </c>
      <c r="H323" t="inlineStr">
        <is>
          <t>230100400</t>
        </is>
      </c>
      <c r="I323" t="inlineStr">
        <is>
          <t>Documentos de planeación elaborados</t>
        </is>
      </c>
      <c r="J323" t="inlineStr">
        <is>
          <t>2024004250130</t>
        </is>
      </c>
      <c r="K323" t="inlineStr">
        <is>
          <t>Si</t>
        </is>
      </c>
      <c r="L323" t="inlineStr">
        <is>
          <t>Número</t>
        </is>
      </c>
      <c r="M323">
        <v>1</v>
      </c>
      <c r="N323">
        <v>0.1</v>
      </c>
      <c r="O323">
        <v>0.3</v>
      </c>
      <c r="P323">
        <v>0.4</v>
      </c>
      <c r="Q323">
        <v>0.2</v>
      </c>
      <c r="R323" t="inlineStr">
        <is>
          <t xml:space="preserve"> </t>
        </is>
      </c>
      <c r="S323" s="103" t="inlineStr">
        <is>
          <t xml:space="preserve"> </t>
        </is>
      </c>
      <c r="T323" t="inlineStr">
        <is>
          <t>No se encontró ejecución en PIIP</t>
        </is>
      </c>
      <c r="U323" t="inlineStr">
        <is>
          <t xml:space="preserve"> </t>
        </is>
      </c>
      <c r="V323" s="104" t="inlineStr">
        <is>
          <t xml:space="preserve"> </t>
        </is>
      </c>
      <c r="W323" t="inlineStr">
        <is>
          <t>No se encontró ejecución en PIIP</t>
        </is>
      </c>
    </row>
    <row r="324">
      <c r="A324" t="inlineStr">
        <is>
          <t>IP-342</t>
        </is>
      </c>
      <c r="B324" t="inlineStr">
        <is>
          <t>45</t>
        </is>
      </c>
      <c r="C324" t="inlineStr">
        <is>
          <t>Gobierno Territorial</t>
        </is>
      </c>
      <c r="D324" t="inlineStr">
        <is>
          <t>4599</t>
        </is>
      </c>
      <c r="E324" t="inlineStr">
        <is>
          <t>Fortalecimiento a la gestión y dirección de la administración pública territorial</t>
        </is>
      </c>
      <c r="F324" t="inlineStr">
        <is>
          <t>4599007</t>
        </is>
      </c>
      <c r="G324" t="inlineStr">
        <is>
          <t>Servicios tecnológicos</t>
        </is>
      </c>
      <c r="H324" t="inlineStr">
        <is>
          <t>459900700</t>
        </is>
      </c>
      <c r="I324" t="inlineStr">
        <is>
          <t>Índice de capacidad en la prestación de servicios de tecnología</t>
        </is>
      </c>
      <c r="J324" t="inlineStr">
        <is>
          <t>2024004250116</t>
        </is>
      </c>
      <c r="K324" t="inlineStr">
        <is>
          <t>Si</t>
        </is>
      </c>
      <c r="L324" t="inlineStr">
        <is>
          <t>Porcentaje</t>
        </is>
      </c>
      <c r="M324">
        <v>100</v>
      </c>
      <c r="N324">
        <v>3.85</v>
      </c>
      <c r="O324">
        <v>30.77</v>
      </c>
      <c r="P324">
        <v>51.28</v>
      </c>
      <c r="Q324">
        <v>14.1</v>
      </c>
      <c r="R324">
        <v>0</v>
      </c>
      <c r="S324" s="103">
        <v>0</v>
      </c>
      <c r="T324" t="inlineStr">
        <is>
          <t>No se ejecutó en la vigencia</t>
        </is>
      </c>
      <c r="U324">
        <v>20.48</v>
      </c>
      <c r="V324" s="104">
        <v>0.66558336041599</v>
      </c>
      <c r="W324" t="inlineStr">
        <is>
          <t>Lo ejecutado está por debajo de lo programado en la vigencia</t>
        </is>
      </c>
    </row>
    <row r="325">
      <c r="A325" t="inlineStr">
        <is>
          <t>IP-343</t>
        </is>
      </c>
      <c r="B325" t="inlineStr">
        <is>
          <t>23</t>
        </is>
      </c>
      <c r="C325" t="inlineStr">
        <is>
          <t>Tecnologías de la información y las comunicaciones</t>
        </is>
      </c>
      <c r="D325" t="inlineStr">
        <is>
          <t>2302</t>
        </is>
      </c>
      <c r="E325" t="inlineStr">
        <is>
          <t>Fomento del desarrollo de aplicaciones, software y contenidos para impulsar la apropiación de las Tecnologías de la Información y las Comunicaciones (TIC)</t>
        </is>
      </c>
      <c r="F325" t="inlineStr">
        <is>
          <t>2302003</t>
        </is>
      </c>
      <c r="G325" t="inlineStr">
        <is>
          <t>Desarrollos digitales</t>
        </is>
      </c>
      <c r="H325" t="inlineStr">
        <is>
          <t>230200300</t>
        </is>
      </c>
      <c r="I325" t="inlineStr">
        <is>
          <t>Productos digitales desarrollados</t>
        </is>
      </c>
      <c r="J325" t="inlineStr">
        <is>
          <t>2024004250173</t>
        </is>
      </c>
      <c r="K325" t="inlineStr">
        <is>
          <t>Si</t>
        </is>
      </c>
      <c r="L325" t="inlineStr">
        <is>
          <t>Número</t>
        </is>
      </c>
      <c r="M325">
        <v>20</v>
      </c>
      <c r="N325">
        <v>2</v>
      </c>
      <c r="O325">
        <v>6</v>
      </c>
      <c r="P325">
        <v>6</v>
      </c>
      <c r="Q325">
        <v>6</v>
      </c>
      <c r="R325">
        <v>0</v>
      </c>
      <c r="S325" s="103">
        <v>0</v>
      </c>
      <c r="T325" t="inlineStr">
        <is>
          <t>No se ejecutó en la vigencia</t>
        </is>
      </c>
      <c r="U325">
        <v>0</v>
      </c>
      <c r="V325" s="104">
        <v>0</v>
      </c>
      <c r="W325" t="inlineStr">
        <is>
          <t>No se ejecutó en la vigencia</t>
        </is>
      </c>
    </row>
    <row r="326">
      <c r="A326" t="inlineStr">
        <is>
          <t>IP-344</t>
        </is>
      </c>
      <c r="B326" t="inlineStr">
        <is>
          <t>23</t>
        </is>
      </c>
      <c r="C326" t="inlineStr">
        <is>
          <t>Tecnologías de la información y las comunicaciones</t>
        </is>
      </c>
      <c r="D326" t="inlineStr">
        <is>
          <t>2301</t>
        </is>
      </c>
      <c r="E326" t="inlineStr">
        <is>
          <t>Facilitar el acceso y uso de las Tecnologías de la Información y las Comunicaciones (TIC) en todo el territorio nacional</t>
        </is>
      </c>
      <c r="F326" t="inlineStr">
        <is>
          <t>2301077</t>
        </is>
      </c>
      <c r="G326" t="inlineStr">
        <is>
          <t>Servicio de información actualizado</t>
        </is>
      </c>
      <c r="H326" t="inlineStr">
        <is>
          <t>230107700</t>
        </is>
      </c>
      <c r="I326" t="inlineStr">
        <is>
          <t>Sistemas de información actualizados</t>
        </is>
      </c>
      <c r="J326" t="inlineStr">
        <is>
          <t>2024004250130</t>
        </is>
      </c>
      <c r="K326" t="inlineStr">
        <is>
          <t>Si</t>
        </is>
      </c>
      <c r="L326" t="inlineStr">
        <is>
          <t>Número</t>
        </is>
      </c>
      <c r="M326">
        <v>6</v>
      </c>
      <c r="N326">
        <v>1</v>
      </c>
      <c r="O326">
        <v>2</v>
      </c>
      <c r="P326">
        <v>1</v>
      </c>
      <c r="Q326">
        <v>2</v>
      </c>
      <c r="R326">
        <v>0</v>
      </c>
      <c r="S326" s="103">
        <v>0</v>
      </c>
      <c r="T326" t="inlineStr">
        <is>
          <t>No se ejecutó en la vigencia</t>
        </is>
      </c>
      <c r="U326">
        <v>1.3</v>
      </c>
      <c r="V326" s="104">
        <v>0.65</v>
      </c>
      <c r="W326" t="inlineStr">
        <is>
          <t>Lo ejecutado está por debajo de lo programado en la vigencia</t>
        </is>
      </c>
    </row>
    <row r="327">
      <c r="A327" t="inlineStr">
        <is>
          <t>IP-345</t>
        </is>
      </c>
      <c r="B327" t="inlineStr">
        <is>
          <t>45</t>
        </is>
      </c>
      <c r="C327" t="inlineStr">
        <is>
          <t>Gobierno Territorial</t>
        </is>
      </c>
      <c r="D327" t="inlineStr">
        <is>
          <t>4599</t>
        </is>
      </c>
      <c r="E327" t="inlineStr">
        <is>
          <t>Fortalecimiento a la gestión y dirección de la administración pública territorial</t>
        </is>
      </c>
      <c r="F327" t="inlineStr">
        <is>
          <t>4599025</t>
        </is>
      </c>
      <c r="G327" t="inlineStr">
        <is>
          <t>Servicios de información implementados</t>
        </is>
      </c>
      <c r="H327" t="inlineStr">
        <is>
          <t>459902500</t>
        </is>
      </c>
      <c r="I327" t="inlineStr">
        <is>
          <t>Sistemas de información implementados</t>
        </is>
      </c>
      <c r="J327" t="inlineStr">
        <is>
          <t>2024004250096</t>
        </is>
      </c>
      <c r="K327" t="inlineStr">
        <is>
          <t>Si</t>
        </is>
      </c>
      <c r="L327" t="inlineStr">
        <is>
          <t>Número</t>
        </is>
      </c>
      <c r="M327">
        <v>100</v>
      </c>
      <c r="N327">
        <v>25</v>
      </c>
      <c r="O327">
        <v>25</v>
      </c>
      <c r="P327">
        <v>25</v>
      </c>
      <c r="Q327">
        <v>25</v>
      </c>
      <c r="R327" t="inlineStr">
        <is>
          <t xml:space="preserve"> </t>
        </is>
      </c>
      <c r="S327" s="103" t="inlineStr">
        <is>
          <t xml:space="preserve"> </t>
        </is>
      </c>
      <c r="T327" t="inlineStr">
        <is>
          <t>No se encontró ejecución en PIIP</t>
        </is>
      </c>
      <c r="U327" t="inlineStr">
        <is>
          <t xml:space="preserve"> </t>
        </is>
      </c>
      <c r="V327" s="104" t="inlineStr">
        <is>
          <t xml:space="preserve"> </t>
        </is>
      </c>
      <c r="W327" t="inlineStr">
        <is>
          <t>No se encontró ejecución en PIIP</t>
        </is>
      </c>
    </row>
    <row r="328">
      <c r="A328" t="inlineStr">
        <is>
          <t>IP-346</t>
        </is>
      </c>
      <c r="B328" t="inlineStr">
        <is>
          <t>45</t>
        </is>
      </c>
      <c r="C328" t="inlineStr">
        <is>
          <t>Gobierno Territorial</t>
        </is>
      </c>
      <c r="D328" t="inlineStr">
        <is>
          <t>4599</t>
        </is>
      </c>
      <c r="E328" t="inlineStr">
        <is>
          <t>Fortalecimiento a la gestión y dirección de la administración pública territorial</t>
        </is>
      </c>
      <c r="F328" t="inlineStr">
        <is>
          <t>4599025</t>
        </is>
      </c>
      <c r="G328" t="inlineStr">
        <is>
          <t>Servicios de información implementados</t>
        </is>
      </c>
      <c r="H328" t="inlineStr">
        <is>
          <t>459902500</t>
        </is>
      </c>
      <c r="I328" t="inlineStr">
        <is>
          <t>Sistemas de información implementados</t>
        </is>
      </c>
      <c r="J328" t="inlineStr">
        <is>
          <t>2024004250133</t>
        </is>
      </c>
      <c r="K328" t="inlineStr">
        <is>
          <t>No</t>
        </is>
      </c>
      <c r="L328" t="inlineStr">
        <is>
          <t>Número</t>
        </is>
      </c>
      <c r="M328">
        <v>5</v>
      </c>
      <c r="N328">
        <v>5</v>
      </c>
      <c r="O328">
        <v>5</v>
      </c>
      <c r="P328">
        <v>5</v>
      </c>
      <c r="Q328">
        <v>5</v>
      </c>
      <c r="R328">
        <v>3</v>
      </c>
      <c r="S328" s="103">
        <v>0.6</v>
      </c>
      <c r="T328" t="inlineStr">
        <is>
          <t>Lo ejecutado está por debajo de lo programado en la vigencia</t>
        </is>
      </c>
      <c r="U328" t="inlineStr">
        <is>
          <t xml:space="preserve"> </t>
        </is>
      </c>
      <c r="V328" s="104" t="inlineStr">
        <is>
          <t xml:space="preserve"> </t>
        </is>
      </c>
      <c r="W328" t="inlineStr">
        <is>
          <t>No se encontró ejecución en PIIP</t>
        </is>
      </c>
    </row>
    <row r="329">
      <c r="A329" t="inlineStr">
        <is>
          <t>IP-347</t>
        </is>
      </c>
      <c r="B329" t="inlineStr">
        <is>
          <t>24</t>
        </is>
      </c>
      <c r="C329" t="inlineStr">
        <is>
          <t>Transporte</t>
        </is>
      </c>
      <c r="D329" t="inlineStr">
        <is>
          <t>2409</t>
        </is>
      </c>
      <c r="E329" t="inlineStr">
        <is>
          <t>Seguridad de transporte</t>
        </is>
      </c>
      <c r="F329" t="inlineStr">
        <is>
          <t>2409014</t>
        </is>
      </c>
      <c r="G329" t="inlineStr">
        <is>
          <t>Documentos de planeación</t>
        </is>
      </c>
      <c r="H329" t="inlineStr">
        <is>
          <t>240901400</t>
        </is>
      </c>
      <c r="I329" t="inlineStr">
        <is>
          <t>Documentos de planeación realizados</t>
        </is>
      </c>
      <c r="J329" t="inlineStr">
        <is>
          <t>2024004250124</t>
        </is>
      </c>
      <c r="K329" t="inlineStr">
        <is>
          <t>Si</t>
        </is>
      </c>
      <c r="L329" t="inlineStr">
        <is>
          <t>Número</t>
        </is>
      </c>
      <c r="M329">
        <v>1</v>
      </c>
      <c r="N329">
        <v>0.25</v>
      </c>
      <c r="O329">
        <v>0.25</v>
      </c>
      <c r="P329">
        <v>0.25</v>
      </c>
      <c r="Q329">
        <v>0.25</v>
      </c>
      <c r="R329" t="inlineStr">
        <is>
          <t xml:space="preserve"> </t>
        </is>
      </c>
      <c r="S329" s="103" t="inlineStr">
        <is>
          <t xml:space="preserve"> </t>
        </is>
      </c>
      <c r="T329" t="inlineStr">
        <is>
          <t>No se encontró ejecución en PIIP</t>
        </is>
      </c>
      <c r="U329" t="inlineStr">
        <is>
          <t xml:space="preserve"> </t>
        </is>
      </c>
      <c r="V329" s="104" t="inlineStr">
        <is>
          <t xml:space="preserve"> </t>
        </is>
      </c>
      <c r="W329" t="inlineStr">
        <is>
          <t>No se encontró ejecución en PIIP</t>
        </is>
      </c>
    </row>
    <row r="330">
      <c r="A330" t="inlineStr">
        <is>
          <t>IP-348</t>
        </is>
      </c>
      <c r="B330" t="inlineStr">
        <is>
          <t>45</t>
        </is>
      </c>
      <c r="C330" t="inlineStr">
        <is>
          <t>Gobierno Territorial</t>
        </is>
      </c>
      <c r="D330" t="inlineStr">
        <is>
          <t>4599</t>
        </is>
      </c>
      <c r="E330" t="inlineStr">
        <is>
          <t>Fortalecimiento a la gestión y dirección de la administración pública territorial</t>
        </is>
      </c>
      <c r="F330" t="inlineStr">
        <is>
          <t>4599025</t>
        </is>
      </c>
      <c r="G330" t="inlineStr">
        <is>
          <t>Servicios de información implementados</t>
        </is>
      </c>
      <c r="H330" t="inlineStr">
        <is>
          <t>459902500</t>
        </is>
      </c>
      <c r="I330" t="inlineStr">
        <is>
          <t>Sistemas de información implementados</t>
        </is>
      </c>
      <c r="J330" t="inlineStr">
        <is>
          <t>2024004250053</t>
        </is>
      </c>
      <c r="K330" t="inlineStr">
        <is>
          <t>Si</t>
        </is>
      </c>
      <c r="L330" t="inlineStr">
        <is>
          <t>Número</t>
        </is>
      </c>
      <c r="M330">
        <v>1</v>
      </c>
      <c r="N330">
        <v>0.22</v>
      </c>
      <c r="O330">
        <v>0.26</v>
      </c>
      <c r="P330">
        <v>0.26</v>
      </c>
      <c r="Q330">
        <v>0.26</v>
      </c>
      <c r="R330" t="inlineStr">
        <is>
          <t xml:space="preserve"> </t>
        </is>
      </c>
      <c r="S330" s="103" t="inlineStr">
        <is>
          <t xml:space="preserve"> </t>
        </is>
      </c>
      <c r="T330" t="inlineStr">
        <is>
          <t>No se encontró ejecución en PIIP</t>
        </is>
      </c>
      <c r="U330" t="inlineStr">
        <is>
          <t xml:space="preserve"> </t>
        </is>
      </c>
      <c r="V330" s="104" t="inlineStr">
        <is>
          <t xml:space="preserve"> </t>
        </is>
      </c>
      <c r="W330" t="inlineStr">
        <is>
          <t>No se encontró ejecución en PIIP</t>
        </is>
      </c>
    </row>
    <row r="331">
      <c r="A331" t="inlineStr">
        <is>
          <t>IP-349</t>
        </is>
      </c>
      <c r="B331" t="inlineStr">
        <is>
          <t>04</t>
        </is>
      </c>
      <c r="C331" t="inlineStr">
        <is>
          <t>Información Estadística</t>
        </is>
      </c>
      <c r="D331" t="inlineStr">
        <is>
          <t>0406</t>
        </is>
      </c>
      <c r="E331" t="inlineStr">
        <is>
          <t>Generación de la información geográfica del territorio nacional</t>
        </is>
      </c>
      <c r="F331" t="inlineStr">
        <is>
          <t>0406003</t>
        </is>
      </c>
      <c r="G331" t="inlineStr">
        <is>
          <t>Servicio de conservación catastral</t>
        </is>
      </c>
      <c r="H331" t="inlineStr">
        <is>
          <t>040600300</t>
        </is>
      </c>
      <c r="I331" t="inlineStr">
        <is>
          <t>Trámites de conservación catastral realizados</t>
        </is>
      </c>
      <c r="J331" t="inlineStr">
        <is>
          <t>2024004250142</t>
        </is>
      </c>
      <c r="K331" t="inlineStr">
        <is>
          <t>Si</t>
        </is>
      </c>
      <c r="L331" t="inlineStr">
        <is>
          <t>Número</t>
        </is>
      </c>
      <c r="M331">
        <v>40000</v>
      </c>
      <c r="N331">
        <v>5500</v>
      </c>
      <c r="O331">
        <v>11000</v>
      </c>
      <c r="P331">
        <v>12000</v>
      </c>
      <c r="Q331">
        <v>11500</v>
      </c>
      <c r="R331" t="inlineStr">
        <is>
          <t xml:space="preserve"> </t>
        </is>
      </c>
      <c r="S331" s="103" t="inlineStr">
        <is>
          <t xml:space="preserve"> </t>
        </is>
      </c>
      <c r="T331" t="inlineStr">
        <is>
          <t>No se encontró ejecución en PIIP</t>
        </is>
      </c>
      <c r="U331" t="inlineStr">
        <is>
          <t xml:space="preserve"> </t>
        </is>
      </c>
      <c r="V331" s="104" t="inlineStr">
        <is>
          <t xml:space="preserve"> </t>
        </is>
      </c>
      <c r="W331" t="inlineStr">
        <is>
          <t>No se encontró ejecución en PIIP</t>
        </is>
      </c>
    </row>
    <row r="332">
      <c r="A332" t="inlineStr">
        <is>
          <t>IP-350</t>
        </is>
      </c>
      <c r="B332" t="inlineStr">
        <is>
          <t>22</t>
        </is>
      </c>
      <c r="C332" t="inlineStr">
        <is>
          <t>Educación</t>
        </is>
      </c>
      <c r="D332" t="inlineStr">
        <is>
          <t>2201</t>
        </is>
      </c>
      <c r="E332" t="inlineStr">
        <is>
          <t>Calidad, cobertura y fortalecimiento de la educación inicial, prescolar, básica y media</t>
        </is>
      </c>
      <c r="F332" t="inlineStr">
        <is>
          <t>2201006</t>
        </is>
      </c>
      <c r="G332" t="inlineStr">
        <is>
          <t>Servicio de asistencia técnica en educación inicial, preescolar, básica y media</t>
        </is>
      </c>
      <c r="H332" t="inlineStr">
        <is>
          <t>220100600</t>
        </is>
      </c>
      <c r="I332" t="inlineStr">
        <is>
          <t>Entidades y organizaciones asistidas técnicamente</t>
        </is>
      </c>
      <c r="J332" t="inlineStr">
        <is>
          <t>2024004250009</t>
        </is>
      </c>
      <c r="K332" t="inlineStr">
        <is>
          <t>Si</t>
        </is>
      </c>
      <c r="L332" t="inlineStr">
        <is>
          <t>Número</t>
        </is>
      </c>
      <c r="M332">
        <v>275</v>
      </c>
      <c r="N332">
        <v>50</v>
      </c>
      <c r="O332">
        <v>100</v>
      </c>
      <c r="P332">
        <v>68</v>
      </c>
      <c r="Q332">
        <v>57</v>
      </c>
      <c r="R332" t="inlineStr">
        <is>
          <t xml:space="preserve"> </t>
        </is>
      </c>
      <c r="S332" s="103" t="inlineStr">
        <is>
          <t xml:space="preserve"> </t>
        </is>
      </c>
      <c r="T332" t="inlineStr">
        <is>
          <t>No se encontró ejecución en PIIP</t>
        </is>
      </c>
      <c r="U332" t="inlineStr">
        <is>
          <t xml:space="preserve"> </t>
        </is>
      </c>
      <c r="V332" s="104" t="inlineStr">
        <is>
          <t xml:space="preserve"> </t>
        </is>
      </c>
      <c r="W332" t="inlineStr">
        <is>
          <t>No se encontró ejecución en PIIP</t>
        </is>
      </c>
    </row>
    <row r="333">
      <c r="A333" t="inlineStr">
        <is>
          <t>IP-351</t>
        </is>
      </c>
      <c r="B333" t="inlineStr">
        <is>
          <t>22</t>
        </is>
      </c>
      <c r="C333" t="inlineStr">
        <is>
          <t>Educación</t>
        </is>
      </c>
      <c r="D333" t="inlineStr">
        <is>
          <t>2201</t>
        </is>
      </c>
      <c r="E333" t="inlineStr">
        <is>
          <t>Calidad, cobertura y fortalecimiento de la educación inicial, prescolar, básica y media</t>
        </is>
      </c>
      <c r="F333" t="inlineStr">
        <is>
          <t>2201087</t>
        </is>
      </c>
      <c r="G333" t="inlineStr">
        <is>
          <t>Documentos de estudios técnicos</t>
        </is>
      </c>
      <c r="H333" t="inlineStr">
        <is>
          <t>220108700</t>
        </is>
      </c>
      <c r="I333" t="inlineStr">
        <is>
          <t>Documentos de estudios técnicos realizados</t>
        </is>
      </c>
      <c r="J333" t="inlineStr">
        <is>
          <t>2024004250009</t>
        </is>
      </c>
      <c r="K333" t="inlineStr">
        <is>
          <t>Si</t>
        </is>
      </c>
      <c r="L333" t="inlineStr">
        <is>
          <t>Número</t>
        </is>
      </c>
      <c r="M333">
        <v>1</v>
      </c>
      <c r="N333">
        <v>0.1</v>
      </c>
      <c r="O333">
        <v>0</v>
      </c>
      <c r="P333">
        <v>0.8</v>
      </c>
      <c r="Q333">
        <v>0.1</v>
      </c>
      <c r="R333" t="inlineStr">
        <is>
          <t xml:space="preserve"> </t>
        </is>
      </c>
      <c r="S333" s="103" t="inlineStr">
        <is>
          <t xml:space="preserve"> </t>
        </is>
      </c>
      <c r="T333" t="inlineStr">
        <is>
          <t>No se encontró ejecución en PIIP</t>
        </is>
      </c>
      <c r="U333" t="inlineStr">
        <is>
          <t xml:space="preserve"> </t>
        </is>
      </c>
      <c r="V333" s="104" t="inlineStr">
        <is>
          <t xml:space="preserve"> </t>
        </is>
      </c>
      <c r="W333" t="inlineStr">
        <is>
          <t>No se encontró ejecución en PIIP</t>
        </is>
      </c>
    </row>
    <row r="334">
      <c r="A334" t="inlineStr">
        <is>
          <t>IP-352</t>
        </is>
      </c>
      <c r="B334" t="inlineStr">
        <is>
          <t>22</t>
        </is>
      </c>
      <c r="C334" t="inlineStr">
        <is>
          <t>Educación</t>
        </is>
      </c>
      <c r="D334" t="inlineStr">
        <is>
          <t>2201</t>
        </is>
      </c>
      <c r="E334" t="inlineStr">
        <is>
          <t>Calidad, cobertura y fortalecimiento de la educación inicial, prescolar, básica y media</t>
        </is>
      </c>
      <c r="F334" t="inlineStr">
        <is>
          <t>2201047</t>
        </is>
      </c>
      <c r="G334" t="inlineStr">
        <is>
          <t>Servicios de apoyo a la implementación de modelos de innovación educativa</t>
        </is>
      </c>
      <c r="H334" t="inlineStr">
        <is>
          <t>220104700</t>
        </is>
      </c>
      <c r="I334" t="inlineStr">
        <is>
          <t xml:space="preserve">Establecimientos educativos apoyados para la  implementación de modelos de innovación educativa </t>
        </is>
      </c>
      <c r="J334" t="inlineStr">
        <is>
          <t>2024004250009</t>
        </is>
      </c>
      <c r="K334" t="inlineStr">
        <is>
          <t>Si</t>
        </is>
      </c>
      <c r="L334" t="inlineStr">
        <is>
          <t>Número</t>
        </is>
      </c>
      <c r="M334">
        <v>1</v>
      </c>
      <c r="N334">
        <v>0.18</v>
      </c>
      <c r="O334">
        <v>0.46</v>
      </c>
      <c r="P334">
        <v>0.22</v>
      </c>
      <c r="Q334">
        <v>0.14</v>
      </c>
      <c r="R334" t="inlineStr">
        <is>
          <t xml:space="preserve"> </t>
        </is>
      </c>
      <c r="S334" s="103" t="inlineStr">
        <is>
          <t xml:space="preserve"> </t>
        </is>
      </c>
      <c r="T334" t="inlineStr">
        <is>
          <t>No se encontró ejecución en PIIP</t>
        </is>
      </c>
      <c r="U334" t="inlineStr">
        <is>
          <t xml:space="preserve"> </t>
        </is>
      </c>
      <c r="V334" s="104" t="inlineStr">
        <is>
          <t xml:space="preserve"> </t>
        </is>
      </c>
      <c r="W334" t="inlineStr">
        <is>
          <t>No se encontró ejecución en PIIP</t>
        </is>
      </c>
    </row>
    <row r="335">
      <c r="A335" t="inlineStr">
        <is>
          <t>IP-353</t>
        </is>
      </c>
      <c r="B335" t="inlineStr">
        <is>
          <t>22</t>
        </is>
      </c>
      <c r="C335" t="inlineStr">
        <is>
          <t>Educación</t>
        </is>
      </c>
      <c r="D335" t="inlineStr">
        <is>
          <t>2201</t>
        </is>
      </c>
      <c r="E335" t="inlineStr">
        <is>
          <t>Calidad, cobertura y fortalecimiento de la educación inicial, prescolar, básica y media</t>
        </is>
      </c>
      <c r="F335" t="inlineStr">
        <is>
          <t>2201071</t>
        </is>
      </c>
      <c r="G335" t="inlineStr">
        <is>
          <t>Servicio educativo</t>
        </is>
      </c>
      <c r="H335" t="inlineStr">
        <is>
          <t>220107100</t>
        </is>
      </c>
      <c r="I335" t="inlineStr">
        <is>
          <t>Establecimientos educativos en operación</t>
        </is>
      </c>
      <c r="J335" t="inlineStr">
        <is>
          <t>2024004250009</t>
        </is>
      </c>
      <c r="K335" t="inlineStr">
        <is>
          <t>No</t>
        </is>
      </c>
      <c r="L335" t="inlineStr">
        <is>
          <t>Número</t>
        </is>
      </c>
      <c r="M335">
        <v>275</v>
      </c>
      <c r="N335">
        <v>275</v>
      </c>
      <c r="O335">
        <v>275</v>
      </c>
      <c r="P335">
        <v>275</v>
      </c>
      <c r="Q335">
        <v>275</v>
      </c>
      <c r="R335">
        <v>0</v>
      </c>
      <c r="S335" s="103">
        <v>0</v>
      </c>
      <c r="T335" t="inlineStr">
        <is>
          <t>No se ejecutó en la vigencia</t>
        </is>
      </c>
      <c r="U335">
        <v>11838</v>
      </c>
      <c r="V335" s="104">
        <v>43.0472727272727</v>
      </c>
      <c r="W335" t="inlineStr">
        <is>
          <t>Hubo ejecución por encima de lo programado en SisPT</t>
        </is>
      </c>
    </row>
    <row r="336">
      <c r="A336" t="inlineStr">
        <is>
          <t>IP-354</t>
        </is>
      </c>
      <c r="B336" t="inlineStr">
        <is>
          <t>45</t>
        </is>
      </c>
      <c r="C336" t="inlineStr">
        <is>
          <t>Gobierno Territorial</t>
        </is>
      </c>
      <c r="D336" t="inlineStr">
        <is>
          <t>4599</t>
        </is>
      </c>
      <c r="E336" t="inlineStr">
        <is>
          <t>Fortalecimiento a la gestión y dirección de la administración pública territorial</t>
        </is>
      </c>
      <c r="F336" t="inlineStr">
        <is>
          <t>4599028</t>
        </is>
      </c>
      <c r="G336" t="inlineStr">
        <is>
          <t>Servicio de información actualizado</t>
        </is>
      </c>
      <c r="H336" t="inlineStr">
        <is>
          <t>459902800</t>
        </is>
      </c>
      <c r="I336" t="inlineStr">
        <is>
          <t>Sistemas de información actualizados</t>
        </is>
      </c>
      <c r="J336" t="inlineStr">
        <is>
          <t>2024004250024</t>
        </is>
      </c>
      <c r="K336" t="inlineStr">
        <is>
          <t>No</t>
        </is>
      </c>
      <c r="L336" t="inlineStr">
        <is>
          <t>Número</t>
        </is>
      </c>
      <c r="M336">
        <v>6</v>
      </c>
      <c r="N336">
        <v>6</v>
      </c>
      <c r="O336">
        <v>6</v>
      </c>
      <c r="P336">
        <v>6</v>
      </c>
      <c r="Q336">
        <v>6</v>
      </c>
      <c r="R336">
        <v>1</v>
      </c>
      <c r="S336" s="103">
        <v>0.166666666666667</v>
      </c>
      <c r="T336" t="inlineStr">
        <is>
          <t>Lo ejecutado está por debajo de lo programado en la vigencia</t>
        </is>
      </c>
      <c r="U336">
        <v>1</v>
      </c>
      <c r="V336" s="104">
        <v>0.166666666666667</v>
      </c>
      <c r="W336" t="inlineStr">
        <is>
          <t>Lo ejecutado está por debajo de lo programado en la vigencia</t>
        </is>
      </c>
    </row>
    <row r="337">
      <c r="A337" t="inlineStr">
        <is>
          <t>IP-355</t>
        </is>
      </c>
      <c r="B337" t="inlineStr">
        <is>
          <t>45</t>
        </is>
      </c>
      <c r="C337" t="inlineStr">
        <is>
          <t>Gobierno Territorial</t>
        </is>
      </c>
      <c r="D337" t="inlineStr">
        <is>
          <t>4599</t>
        </is>
      </c>
      <c r="E337" t="inlineStr">
        <is>
          <t>Fortalecimiento a la gestión y dirección de la administración pública territorial</t>
        </is>
      </c>
      <c r="F337" t="inlineStr">
        <is>
          <t>4599025</t>
        </is>
      </c>
      <c r="G337" t="inlineStr">
        <is>
          <t>Servicios de información implementados</t>
        </is>
      </c>
      <c r="H337" t="inlineStr">
        <is>
          <t>459902500</t>
        </is>
      </c>
      <c r="I337" t="inlineStr">
        <is>
          <t>Sistemas de información implementados</t>
        </is>
      </c>
      <c r="J337" t="inlineStr">
        <is>
          <t>2024004250024</t>
        </is>
      </c>
      <c r="K337" t="inlineStr">
        <is>
          <t>Si</t>
        </is>
      </c>
      <c r="L337" t="inlineStr">
        <is>
          <t>Número</t>
        </is>
      </c>
      <c r="M337">
        <v>4</v>
      </c>
      <c r="N337">
        <v>1</v>
      </c>
      <c r="O337">
        <v>1</v>
      </c>
      <c r="P337">
        <v>1</v>
      </c>
      <c r="Q337">
        <v>1</v>
      </c>
      <c r="R337" t="inlineStr">
        <is>
          <t xml:space="preserve"> </t>
        </is>
      </c>
      <c r="S337" s="103" t="inlineStr">
        <is>
          <t xml:space="preserve"> </t>
        </is>
      </c>
      <c r="T337" t="inlineStr">
        <is>
          <t>No se encontró ejecución en PIIP</t>
        </is>
      </c>
      <c r="U337" t="inlineStr">
        <is>
          <t xml:space="preserve"> </t>
        </is>
      </c>
      <c r="V337" s="104" t="inlineStr">
        <is>
          <t xml:space="preserve"> </t>
        </is>
      </c>
      <c r="W337" t="inlineStr">
        <is>
          <t>No se encontró ejecución en PIIP</t>
        </is>
      </c>
    </row>
    <row r="338">
      <c r="A338" t="inlineStr">
        <is>
          <t>IP-356</t>
        </is>
      </c>
      <c r="B338" t="inlineStr">
        <is>
          <t>22</t>
        </is>
      </c>
      <c r="C338" t="inlineStr">
        <is>
          <t>Educación</t>
        </is>
      </c>
      <c r="D338" t="inlineStr">
        <is>
          <t>2201</t>
        </is>
      </c>
      <c r="E338" t="inlineStr">
        <is>
          <t>Calidad, cobertura y fortalecimiento de la educación inicial, prescolar, básica y media</t>
        </is>
      </c>
      <c r="F338" t="inlineStr">
        <is>
          <t>2201049</t>
        </is>
      </c>
      <c r="G338" t="inlineStr">
        <is>
          <t>Servicio de educación informal</t>
        </is>
      </c>
      <c r="H338" t="inlineStr">
        <is>
          <t>220104900</t>
        </is>
      </c>
      <c r="I338" t="inlineStr">
        <is>
          <t>Personas beneficiadas con procesos de formación informal</t>
        </is>
      </c>
      <c r="J338" t="inlineStr">
        <is>
          <t>2024004250009</t>
        </is>
      </c>
      <c r="K338" t="inlineStr">
        <is>
          <t>No</t>
        </is>
      </c>
      <c r="L338" t="inlineStr">
        <is>
          <t>Número</t>
        </is>
      </c>
      <c r="M338">
        <v>1</v>
      </c>
      <c r="N338">
        <v>1</v>
      </c>
      <c r="O338">
        <v>1</v>
      </c>
      <c r="P338">
        <v>1</v>
      </c>
      <c r="Q338">
        <v>1</v>
      </c>
      <c r="R338">
        <v>0</v>
      </c>
      <c r="S338" s="103">
        <v>0</v>
      </c>
      <c r="T338" t="inlineStr">
        <is>
          <t>No se ejecutó en la vigencia</t>
        </is>
      </c>
      <c r="U338" t="inlineStr">
        <is>
          <t xml:space="preserve"> </t>
        </is>
      </c>
      <c r="V338" s="104" t="inlineStr">
        <is>
          <t xml:space="preserve"> </t>
        </is>
      </c>
      <c r="W338" t="inlineStr">
        <is>
          <t>No se encontró ejecución en PIIP</t>
        </is>
      </c>
    </row>
    <row r="339">
      <c r="A339" t="inlineStr">
        <is>
          <t>IP-357</t>
        </is>
      </c>
      <c r="B339" t="inlineStr">
        <is>
          <t>22</t>
        </is>
      </c>
      <c r="C339" t="inlineStr">
        <is>
          <t>Educación</t>
        </is>
      </c>
      <c r="D339" t="inlineStr">
        <is>
          <t>2201</t>
        </is>
      </c>
      <c r="E339" t="inlineStr">
        <is>
          <t>Calidad, cobertura y fortalecimiento de la educación inicial, prescolar, básica y media</t>
        </is>
      </c>
      <c r="F339" t="inlineStr">
        <is>
          <t>2201015</t>
        </is>
      </c>
      <c r="G339" t="inlineStr">
        <is>
          <t>Servicio de monitoreo y seguimiento a la gestión del sector educativo</t>
        </is>
      </c>
      <c r="H339" t="inlineStr">
        <is>
          <t>220101500</t>
        </is>
      </c>
      <c r="I339" t="inlineStr">
        <is>
          <t>Entidades territoriales con seguimiento y evaluación a la gestión</t>
        </is>
      </c>
      <c r="J339" t="inlineStr">
        <is>
          <t>2024004250009</t>
        </is>
      </c>
      <c r="K339" t="inlineStr">
        <is>
          <t>No</t>
        </is>
      </c>
      <c r="L339" t="inlineStr">
        <is>
          <t>Número</t>
        </is>
      </c>
      <c r="M339">
        <v>1</v>
      </c>
      <c r="N339">
        <v>1</v>
      </c>
      <c r="O339">
        <v>1</v>
      </c>
      <c r="P339">
        <v>1</v>
      </c>
      <c r="Q339">
        <v>1</v>
      </c>
      <c r="R339">
        <v>0</v>
      </c>
      <c r="S339" s="103">
        <v>0</v>
      </c>
      <c r="T339" t="inlineStr">
        <is>
          <t>No se ejecutó en la vigencia</t>
        </is>
      </c>
      <c r="U339" t="inlineStr">
        <is>
          <t xml:space="preserve"> </t>
        </is>
      </c>
      <c r="V339" s="104" t="inlineStr">
        <is>
          <t xml:space="preserve"> </t>
        </is>
      </c>
      <c r="W339" t="inlineStr">
        <is>
          <t>No se encontró ejecución en PIIP</t>
        </is>
      </c>
    </row>
    <row r="340">
      <c r="A340" t="inlineStr">
        <is>
          <t>IP-358</t>
        </is>
      </c>
      <c r="B340" t="inlineStr">
        <is>
          <t>45</t>
        </is>
      </c>
      <c r="C340" t="inlineStr">
        <is>
          <t>Gobierno Territorial</t>
        </is>
      </c>
      <c r="D340" t="inlineStr">
        <is>
          <t>4599</t>
        </is>
      </c>
      <c r="E340" t="inlineStr">
        <is>
          <t>Fortalecimiento a la gestión y dirección de la administración pública territorial</t>
        </is>
      </c>
      <c r="F340" t="inlineStr">
        <is>
          <t>4599008</t>
        </is>
      </c>
      <c r="G340" t="inlineStr">
        <is>
          <t>Sede construida y dotada</t>
        </is>
      </c>
      <c r="H340" t="inlineStr">
        <is>
          <t>459900800</t>
        </is>
      </c>
      <c r="I340" t="inlineStr">
        <is>
          <t>Sede construida y dotada</t>
        </is>
      </c>
      <c r="J340" t="inlineStr">
        <is>
          <t>2024004250043</t>
        </is>
      </c>
      <c r="K340" t="inlineStr">
        <is>
          <t>Si</t>
        </is>
      </c>
      <c r="L340" t="inlineStr">
        <is>
          <t>Número</t>
        </is>
      </c>
      <c r="M340">
        <v>1</v>
      </c>
      <c r="N340">
        <v>0.25</v>
      </c>
      <c r="O340">
        <v>0.02</v>
      </c>
      <c r="P340">
        <v>0.5</v>
      </c>
      <c r="Q340">
        <v>0</v>
      </c>
      <c r="R340" t="inlineStr">
        <is>
          <t xml:space="preserve"> </t>
        </is>
      </c>
      <c r="S340" s="103" t="inlineStr">
        <is>
          <t xml:space="preserve"> </t>
        </is>
      </c>
      <c r="T340" t="inlineStr">
        <is>
          <t>No se encontró ejecución en PIIP</t>
        </is>
      </c>
      <c r="U340" t="inlineStr">
        <is>
          <t xml:space="preserve"> </t>
        </is>
      </c>
      <c r="V340" s="104" t="inlineStr">
        <is>
          <t xml:space="preserve"> </t>
        </is>
      </c>
      <c r="W340" t="inlineStr">
        <is>
          <t>No se encontró ejecución en PIIP</t>
        </is>
      </c>
    </row>
    <row r="341">
      <c r="A341" t="inlineStr">
        <is>
          <t>IP-359</t>
        </is>
      </c>
      <c r="B341" t="inlineStr">
        <is>
          <t>12</t>
        </is>
      </c>
      <c r="C341" t="inlineStr">
        <is>
          <t>Justicia y del derecho</t>
        </is>
      </c>
      <c r="D341" t="inlineStr">
        <is>
          <t>1206</t>
        </is>
      </c>
      <c r="E341" t="inlineStr">
        <is>
          <t>Sistema penitenciario y carcelario en el marco de los derechos humanos</t>
        </is>
      </c>
      <c r="F341" t="inlineStr">
        <is>
          <t>1206010</t>
        </is>
      </c>
      <c r="G341" t="inlineStr">
        <is>
          <t>Infraestructura penitenciaria y carcelaria construida y dotada</t>
        </is>
      </c>
      <c r="H341" t="inlineStr">
        <is>
          <t>120601000</t>
        </is>
      </c>
      <c r="I341" t="inlineStr">
        <is>
          <t>Cupos penitenciarios y carcelarios entregados (nacionales y territoriales)</t>
        </is>
      </c>
      <c r="J341" t="inlineStr">
        <is>
          <t>2024004250256</t>
        </is>
      </c>
      <c r="K341" t="inlineStr">
        <is>
          <t>Si</t>
        </is>
      </c>
      <c r="L341" t="inlineStr">
        <is>
          <t>Número</t>
        </is>
      </c>
      <c r="M341">
        <v>1</v>
      </c>
      <c r="N341">
        <v>0</v>
      </c>
      <c r="O341">
        <v>0.1</v>
      </c>
      <c r="P341">
        <v>0.9</v>
      </c>
      <c r="Q341">
        <v>0</v>
      </c>
      <c r="R341" t="inlineStr">
        <is>
          <t xml:space="preserve"> </t>
        </is>
      </c>
      <c r="S341" s="103" t="inlineStr">
        <is>
          <t xml:space="preserve"> </t>
        </is>
      </c>
      <c r="T341" t="inlineStr">
        <is>
          <t>No se encontró ejecución en PIIP</t>
        </is>
      </c>
      <c r="U341">
        <v>0</v>
      </c>
      <c r="V341" s="104">
        <v>0</v>
      </c>
      <c r="W341" t="inlineStr">
        <is>
          <t>No se ejecutó en la vigencia</t>
        </is>
      </c>
    </row>
    <row r="342">
      <c r="A342" t="inlineStr">
        <is>
          <t>IP-360</t>
        </is>
      </c>
      <c r="B342" t="inlineStr">
        <is>
          <t>45</t>
        </is>
      </c>
      <c r="C342" t="inlineStr">
        <is>
          <t>Gobierno Territorial</t>
        </is>
      </c>
      <c r="D342" t="inlineStr">
        <is>
          <t>4501</t>
        </is>
      </c>
      <c r="E342" t="inlineStr">
        <is>
          <t>Fortalecimiento de la convivencia y la seguridad ciudadana</t>
        </is>
      </c>
      <c r="F342" t="inlineStr">
        <is>
          <t>4501072</t>
        </is>
      </c>
      <c r="G342" t="inlineStr">
        <is>
          <t>Infraestructura de soporte construida y dotada</t>
        </is>
      </c>
      <c r="H342" t="inlineStr">
        <is>
          <t>450107200</t>
        </is>
      </c>
      <c r="I342" t="inlineStr">
        <is>
          <t>Infraestructura de soporte construida y dotada</t>
        </is>
      </c>
      <c r="J342" t="inlineStr">
        <is>
          <t>2024004250161</t>
        </is>
      </c>
      <c r="K342" t="inlineStr">
        <is>
          <t>Si</t>
        </is>
      </c>
      <c r="L342" t="inlineStr">
        <is>
          <t>Número</t>
        </is>
      </c>
      <c r="M342">
        <v>20</v>
      </c>
      <c r="N342">
        <v>3</v>
      </c>
      <c r="O342">
        <v>9</v>
      </c>
      <c r="P342">
        <v>6</v>
      </c>
      <c r="Q342">
        <v>2</v>
      </c>
      <c r="R342">
        <v>3</v>
      </c>
      <c r="S342" s="103">
        <v>1</v>
      </c>
      <c r="T342" t="inlineStr">
        <is>
          <t>Se ejecutó el 100% de lo programado en la vigencia</t>
        </is>
      </c>
      <c r="U342">
        <v>4</v>
      </c>
      <c r="V342" s="104">
        <v>0.444444444444444</v>
      </c>
      <c r="W342" t="inlineStr">
        <is>
          <t>Lo ejecutado está por debajo de lo programado en la vigencia</t>
        </is>
      </c>
    </row>
    <row r="343">
      <c r="A343" t="inlineStr">
        <is>
          <t>IP-361</t>
        </is>
      </c>
      <c r="B343" t="inlineStr">
        <is>
          <t>45</t>
        </is>
      </c>
      <c r="C343" t="inlineStr">
        <is>
          <t>Gobierno Territorial</t>
        </is>
      </c>
      <c r="D343" t="inlineStr">
        <is>
          <t>4599</t>
        </is>
      </c>
      <c r="E343" t="inlineStr">
        <is>
          <t>Fortalecimiento a la gestión y dirección de la administración pública territorial</t>
        </is>
      </c>
      <c r="F343" t="inlineStr">
        <is>
          <t>4599018</t>
        </is>
      </c>
      <c r="G343" t="inlineStr">
        <is>
          <t>Documentos de lineamientos técnicos</t>
        </is>
      </c>
      <c r="H343" t="inlineStr">
        <is>
          <t>459901800</t>
        </is>
      </c>
      <c r="I343" t="inlineStr">
        <is>
          <t>Documentos de lineamientos técnicos realizados</t>
        </is>
      </c>
      <c r="J343" t="inlineStr">
        <is>
          <t>2024004250024</t>
        </is>
      </c>
      <c r="K343" t="inlineStr">
        <is>
          <t>Si</t>
        </is>
      </c>
      <c r="L343" t="inlineStr">
        <is>
          <t>Número</t>
        </is>
      </c>
      <c r="M343">
        <v>6</v>
      </c>
      <c r="N343">
        <v>1.5</v>
      </c>
      <c r="O343">
        <v>1.5</v>
      </c>
      <c r="P343">
        <v>1.5</v>
      </c>
      <c r="Q343">
        <v>1.5</v>
      </c>
      <c r="R343" t="inlineStr">
        <is>
          <t xml:space="preserve"> </t>
        </is>
      </c>
      <c r="S343" s="103" t="inlineStr">
        <is>
          <t xml:space="preserve"> </t>
        </is>
      </c>
      <c r="T343" t="inlineStr">
        <is>
          <t>No se encontró ejecución en PIIP</t>
        </is>
      </c>
      <c r="U343" t="inlineStr">
        <is>
          <t xml:space="preserve"> </t>
        </is>
      </c>
      <c r="V343" s="104" t="inlineStr">
        <is>
          <t xml:space="preserve"> </t>
        </is>
      </c>
      <c r="W343" t="inlineStr">
        <is>
          <t>No se encontró ejecución en PIIP</t>
        </is>
      </c>
    </row>
    <row r="344">
      <c r="A344" t="inlineStr">
        <is>
          <t>IP-362</t>
        </is>
      </c>
      <c r="B344" t="inlineStr">
        <is>
          <t>45</t>
        </is>
      </c>
      <c r="C344" t="inlineStr">
        <is>
          <t>Gobierno Territorial</t>
        </is>
      </c>
      <c r="D344" t="inlineStr">
        <is>
          <t>4599</t>
        </is>
      </c>
      <c r="E344" t="inlineStr">
        <is>
          <t>Fortalecimiento a la gestión y dirección de la administración pública territorial</t>
        </is>
      </c>
      <c r="F344" t="inlineStr">
        <is>
          <t>4599023</t>
        </is>
      </c>
      <c r="G344" t="inlineStr">
        <is>
          <t>Servicio de Implementación Sistemas de Gestión</t>
        </is>
      </c>
      <c r="H344" t="inlineStr">
        <is>
          <t>459902300</t>
        </is>
      </c>
      <c r="I344" t="inlineStr">
        <is>
          <t>Sistema de Gestión implementado</t>
        </is>
      </c>
      <c r="J344" t="inlineStr">
        <is>
          <t>2024004250024</t>
        </is>
      </c>
      <c r="K344" t="inlineStr">
        <is>
          <t>Si</t>
        </is>
      </c>
      <c r="L344" t="inlineStr">
        <is>
          <t>Número</t>
        </is>
      </c>
      <c r="M344">
        <v>4</v>
      </c>
      <c r="N344">
        <v>1</v>
      </c>
      <c r="O344">
        <v>1</v>
      </c>
      <c r="P344">
        <v>1</v>
      </c>
      <c r="Q344">
        <v>1</v>
      </c>
      <c r="R344" t="inlineStr">
        <is>
          <t xml:space="preserve"> </t>
        </is>
      </c>
      <c r="S344" s="103" t="inlineStr">
        <is>
          <t xml:space="preserve"> </t>
        </is>
      </c>
      <c r="T344" t="inlineStr">
        <is>
          <t>No se encontró ejecución en PIIP</t>
        </is>
      </c>
      <c r="U344" t="inlineStr">
        <is>
          <t xml:space="preserve"> </t>
        </is>
      </c>
      <c r="V344" s="104" t="inlineStr">
        <is>
          <t xml:space="preserve"> </t>
        </is>
      </c>
      <c r="W344" t="inlineStr">
        <is>
          <t>No se encontró ejecución en PIIP</t>
        </is>
      </c>
    </row>
    <row r="345">
      <c r="A345" t="inlineStr">
        <is>
          <t>IP-363</t>
        </is>
      </c>
      <c r="B345" t="inlineStr">
        <is>
          <t>45</t>
        </is>
      </c>
      <c r="C345" t="inlineStr">
        <is>
          <t>Gobierno Territorial</t>
        </is>
      </c>
      <c r="D345" t="inlineStr">
        <is>
          <t>4599</t>
        </is>
      </c>
      <c r="E345" t="inlineStr">
        <is>
          <t>Fortalecimiento a la gestión y dirección de la administración pública territorial</t>
        </is>
      </c>
      <c r="F345" t="inlineStr">
        <is>
          <t>4599023</t>
        </is>
      </c>
      <c r="G345" t="inlineStr">
        <is>
          <t>Servicio de Implementación Sistemas de Gestión</t>
        </is>
      </c>
      <c r="H345" t="inlineStr">
        <is>
          <t>459902300</t>
        </is>
      </c>
      <c r="I345" t="inlineStr">
        <is>
          <t>Sistema de Gestión implementado</t>
        </is>
      </c>
      <c r="J345" t="inlineStr">
        <is>
          <t>2024004250024</t>
        </is>
      </c>
      <c r="K345" t="inlineStr">
        <is>
          <t>No</t>
        </is>
      </c>
      <c r="L345" t="inlineStr">
        <is>
          <t>Número</t>
        </is>
      </c>
      <c r="M345">
        <v>116</v>
      </c>
      <c r="N345">
        <v>116</v>
      </c>
      <c r="O345">
        <v>116</v>
      </c>
      <c r="P345">
        <v>116</v>
      </c>
      <c r="Q345">
        <v>116</v>
      </c>
      <c r="R345">
        <v>2</v>
      </c>
      <c r="S345" s="103">
        <v>0.0172413793103448</v>
      </c>
      <c r="T345" t="inlineStr">
        <is>
          <t>Lo ejecutado está por debajo de lo programado en la vigencia</t>
        </is>
      </c>
      <c r="U345">
        <v>2</v>
      </c>
      <c r="V345" s="104">
        <v>0.0172413793103448</v>
      </c>
      <c r="W345" t="inlineStr">
        <is>
          <t>Lo ejecutado está por debajo de lo programado en la vigencia</t>
        </is>
      </c>
    </row>
    <row r="346">
      <c r="A346" t="inlineStr">
        <is>
          <t>IP-364</t>
        </is>
      </c>
      <c r="B346" t="inlineStr">
        <is>
          <t>19</t>
        </is>
      </c>
      <c r="C346" t="inlineStr">
        <is>
          <t>Salud y protección social</t>
        </is>
      </c>
      <c r="D346" t="inlineStr">
        <is>
          <t>1906</t>
        </is>
      </c>
      <c r="E346" t="inlineStr">
        <is>
          <t>Aseguramiento y prestación integral de servicios de salud</t>
        </is>
      </c>
      <c r="F346" t="inlineStr">
        <is>
          <t>1906029</t>
        </is>
      </c>
      <c r="G346" t="inlineStr">
        <is>
          <t>Servicio de asistencia técnica a Instituciones Prestadoras de Servicios de Salud</t>
        </is>
      </c>
      <c r="H346" t="inlineStr">
        <is>
          <t>190602900</t>
        </is>
      </c>
      <c r="I346" t="inlineStr">
        <is>
          <t>Instituciones Prestadoras de Servicios de Salud asistidas técnicamente</t>
        </is>
      </c>
      <c r="J346" t="inlineStr">
        <is>
          <t>2024004250002</t>
        </is>
      </c>
      <c r="K346" t="inlineStr">
        <is>
          <t>Si</t>
        </is>
      </c>
      <c r="L346" t="inlineStr">
        <is>
          <t>Número</t>
        </is>
      </c>
      <c r="M346">
        <v>1</v>
      </c>
      <c r="N346">
        <v>0.25</v>
      </c>
      <c r="O346">
        <v>0.25</v>
      </c>
      <c r="P346">
        <v>0.25</v>
      </c>
      <c r="Q346">
        <v>0.25</v>
      </c>
      <c r="R346" t="inlineStr">
        <is>
          <t xml:space="preserve"> </t>
        </is>
      </c>
      <c r="S346" s="103" t="inlineStr">
        <is>
          <t xml:space="preserve"> </t>
        </is>
      </c>
      <c r="T346" t="inlineStr">
        <is>
          <t>No se encontró ejecución en PIIP</t>
        </is>
      </c>
      <c r="U346" t="inlineStr">
        <is>
          <t xml:space="preserve"> </t>
        </is>
      </c>
      <c r="V346" s="104" t="inlineStr">
        <is>
          <t xml:space="preserve"> </t>
        </is>
      </c>
      <c r="W346" t="inlineStr">
        <is>
          <t>No se encontró ejecución en PIIP</t>
        </is>
      </c>
    </row>
    <row r="347">
      <c r="A347" t="inlineStr">
        <is>
          <t>IP-365</t>
        </is>
      </c>
      <c r="B347" t="inlineStr">
        <is>
          <t>19</t>
        </is>
      </c>
      <c r="C347" t="inlineStr">
        <is>
          <t>Salud y protección social</t>
        </is>
      </c>
      <c r="D347" t="inlineStr">
        <is>
          <t>1906</t>
        </is>
      </c>
      <c r="E347" t="inlineStr">
        <is>
          <t>Aseguramiento y prestación integral de servicios de salud</t>
        </is>
      </c>
      <c r="F347" t="inlineStr">
        <is>
          <t>1906025</t>
        </is>
      </c>
      <c r="G347" t="inlineStr">
        <is>
          <t>Servicio de apoyo financiero para el fortalecimiento patrimonial de las empresas prestadoras de salud con participación financiera de las entidades territoriales</t>
        </is>
      </c>
      <c r="H347" t="inlineStr">
        <is>
          <t>190602500</t>
        </is>
      </c>
      <c r="I347" t="inlineStr">
        <is>
          <t>Empresas prestadoras de salud capitalizadas</t>
        </is>
      </c>
      <c r="J347" t="inlineStr">
        <is>
          <t>2024004250146</t>
        </is>
      </c>
      <c r="K347" t="inlineStr">
        <is>
          <t>No</t>
        </is>
      </c>
      <c r="L347" t="inlineStr">
        <is>
          <t>Número</t>
        </is>
      </c>
      <c r="M347">
        <v>1</v>
      </c>
      <c r="N347">
        <v>1</v>
      </c>
      <c r="O347">
        <v>1</v>
      </c>
      <c r="P347">
        <v>1</v>
      </c>
      <c r="Q347">
        <v>1</v>
      </c>
      <c r="R347">
        <v>0</v>
      </c>
      <c r="S347" s="103">
        <v>0</v>
      </c>
      <c r="T347" t="inlineStr">
        <is>
          <t>No se ejecutó en la vigencia</t>
        </is>
      </c>
      <c r="U347" t="inlineStr">
        <is>
          <t xml:space="preserve"> </t>
        </is>
      </c>
      <c r="V347" s="104" t="inlineStr">
        <is>
          <t xml:space="preserve"> </t>
        </is>
      </c>
      <c r="W347" t="inlineStr">
        <is>
          <t>No se encontró ejecución en PIIP</t>
        </is>
      </c>
    </row>
    <row r="348">
      <c r="A348" t="inlineStr">
        <is>
          <t>IP-366</t>
        </is>
      </c>
      <c r="B348" t="inlineStr">
        <is>
          <t>19</t>
        </is>
      </c>
      <c r="C348" t="inlineStr">
        <is>
          <t>Salud y protección social</t>
        </is>
      </c>
      <c r="D348" t="inlineStr">
        <is>
          <t>1906</t>
        </is>
      </c>
      <c r="E348" t="inlineStr">
        <is>
          <t>Aseguramiento y prestación integral de servicios de salud</t>
        </is>
      </c>
      <c r="F348" t="inlineStr">
        <is>
          <t>1906029</t>
        </is>
      </c>
      <c r="G348" t="inlineStr">
        <is>
          <t>Servicio de asistencia técnica a Instituciones Prestadoras de Servicios de Salud</t>
        </is>
      </c>
      <c r="H348" t="inlineStr">
        <is>
          <t>190602900</t>
        </is>
      </c>
      <c r="I348" t="inlineStr">
        <is>
          <t>Instituciones Prestadoras de Servicios de Salud asistidas técnicamente</t>
        </is>
      </c>
      <c r="J348" t="inlineStr">
        <is>
          <t>2024004250039</t>
        </is>
      </c>
      <c r="K348" t="inlineStr">
        <is>
          <t>No</t>
        </is>
      </c>
      <c r="L348" t="inlineStr">
        <is>
          <t>Número</t>
        </is>
      </c>
      <c r="M348">
        <v>53</v>
      </c>
      <c r="N348">
        <v>53</v>
      </c>
      <c r="O348">
        <v>53</v>
      </c>
      <c r="P348">
        <v>53</v>
      </c>
      <c r="Q348">
        <v>53</v>
      </c>
      <c r="R348">
        <v>36</v>
      </c>
      <c r="S348" s="103">
        <v>0.679245283018868</v>
      </c>
      <c r="T348" t="inlineStr">
        <is>
          <t>Lo ejecutado está por debajo de lo programado en la vigencia</t>
        </is>
      </c>
      <c r="U348">
        <v>28</v>
      </c>
      <c r="V348" s="104">
        <v>0.528301886792453</v>
      </c>
      <c r="W348" t="inlineStr">
        <is>
          <t>Lo ejecutado está por debajo de lo programado en la vigencia</t>
        </is>
      </c>
    </row>
    <row r="349">
      <c r="A349" t="inlineStr">
        <is>
          <t>IP-367</t>
        </is>
      </c>
      <c r="B349" t="inlineStr">
        <is>
          <t>19</t>
        </is>
      </c>
      <c r="C349" t="inlineStr">
        <is>
          <t>Salud y protección social</t>
        </is>
      </c>
      <c r="D349" t="inlineStr">
        <is>
          <t>1903</t>
        </is>
      </c>
      <c r="E349" t="inlineStr">
        <is>
          <t>Inspección, vigilancia y control</t>
        </is>
      </c>
      <c r="F349" t="inlineStr">
        <is>
          <t>1903007</t>
        </is>
      </c>
      <c r="G349" t="inlineStr">
        <is>
          <t>Servicio de análisis de laboratorio de estándares sanitarios</t>
        </is>
      </c>
      <c r="H349" t="inlineStr">
        <is>
          <t>190300700</t>
        </is>
      </c>
      <c r="I349" t="inlineStr">
        <is>
          <t>Análisis realizados</t>
        </is>
      </c>
      <c r="J349" t="inlineStr">
        <is>
          <t>2024004250060</t>
        </is>
      </c>
      <c r="K349" t="inlineStr">
        <is>
          <t>Si</t>
        </is>
      </c>
      <c r="L349" t="inlineStr">
        <is>
          <t>Número</t>
        </is>
      </c>
      <c r="M349">
        <v>20</v>
      </c>
      <c r="N349">
        <v>3</v>
      </c>
      <c r="O349">
        <v>10</v>
      </c>
      <c r="P349">
        <v>4</v>
      </c>
      <c r="Q349">
        <v>6</v>
      </c>
      <c r="R349" t="inlineStr">
        <is>
          <t xml:space="preserve"> </t>
        </is>
      </c>
      <c r="S349" s="103" t="inlineStr">
        <is>
          <t xml:space="preserve"> </t>
        </is>
      </c>
      <c r="T349" t="inlineStr">
        <is>
          <t>No se encontró ejecución en PIIP</t>
        </is>
      </c>
      <c r="U349" t="inlineStr">
        <is>
          <t xml:space="preserve"> </t>
        </is>
      </c>
      <c r="V349" s="104" t="inlineStr">
        <is>
          <t xml:space="preserve"> </t>
        </is>
      </c>
      <c r="W349" t="inlineStr">
        <is>
          <t>No se encontró ejecución en PIIP</t>
        </is>
      </c>
    </row>
    <row r="350">
      <c r="A350" t="inlineStr">
        <is>
          <t>IP-368, IP-369</t>
        </is>
      </c>
      <c r="B350" t="inlineStr">
        <is>
          <t>45</t>
        </is>
      </c>
      <c r="C350" t="inlineStr">
        <is>
          <t>Gobierno Territorial</t>
        </is>
      </c>
      <c r="D350" t="inlineStr">
        <is>
          <t>4599</t>
        </is>
      </c>
      <c r="E350" t="inlineStr">
        <is>
          <t>Fortalecimiento a la gestión y dirección de la administración pública territorial</t>
        </is>
      </c>
      <c r="F350" t="inlineStr">
        <is>
          <t>4599031</t>
        </is>
      </c>
      <c r="G350" t="inlineStr">
        <is>
          <t>Servicio de asistencia técnica</t>
        </is>
      </c>
      <c r="H350" t="inlineStr">
        <is>
          <t>459903100</t>
        </is>
      </c>
      <c r="I350" t="inlineStr">
        <is>
          <t>Entidades, organismos y dependencias asistidos técnicamente</t>
        </is>
      </c>
      <c r="J350" t="inlineStr">
        <is>
          <t>2024004250036</t>
        </is>
      </c>
      <c r="K350" t="inlineStr">
        <is>
          <t>No</t>
        </is>
      </c>
      <c r="L350" t="inlineStr">
        <is>
          <t>Número</t>
        </is>
      </c>
      <c r="M350">
        <v>223</v>
      </c>
      <c r="N350">
        <v>223</v>
      </c>
      <c r="O350">
        <v>223</v>
      </c>
      <c r="P350">
        <v>223</v>
      </c>
      <c r="Q350">
        <v>223</v>
      </c>
      <c r="R350">
        <v>0</v>
      </c>
      <c r="S350" s="103">
        <v>0</v>
      </c>
      <c r="T350" t="inlineStr">
        <is>
          <t>No se ejecutó en la vigencia</t>
        </is>
      </c>
      <c r="U350">
        <v>100</v>
      </c>
      <c r="V350" s="104">
        <v>0.448430493273543</v>
      </c>
      <c r="W350" t="inlineStr">
        <is>
          <t>Lo ejecutado está por debajo de lo programado en la vigencia</t>
        </is>
      </c>
    </row>
    <row r="351">
      <c r="A351" t="inlineStr">
        <is>
          <t>IP-370</t>
        </is>
      </c>
      <c r="B351" t="inlineStr">
        <is>
          <t>19</t>
        </is>
      </c>
      <c r="C351" t="inlineStr">
        <is>
          <t>Salud y protección social</t>
        </is>
      </c>
      <c r="D351" t="inlineStr">
        <is>
          <t>1906</t>
        </is>
      </c>
      <c r="E351" t="inlineStr">
        <is>
          <t>Aseguramiento y prestación integral de servicios de salud</t>
        </is>
      </c>
      <c r="F351" t="inlineStr">
        <is>
          <t>1906031</t>
        </is>
      </c>
      <c r="G351" t="inlineStr">
        <is>
          <t>Servicio de información para las instituciones públicas prestadoras de salud y la dirección de la entidad territorial implementado</t>
        </is>
      </c>
      <c r="H351" t="inlineStr">
        <is>
          <t>190603100</t>
        </is>
      </c>
      <c r="I351" t="inlineStr">
        <is>
          <t>Sistema de información implementado</t>
        </is>
      </c>
      <c r="J351" t="inlineStr">
        <is>
          <t>2024004250122</t>
        </is>
      </c>
      <c r="K351" t="inlineStr">
        <is>
          <t>No</t>
        </is>
      </c>
      <c r="L351" t="inlineStr">
        <is>
          <t>Número</t>
        </is>
      </c>
      <c r="M351">
        <v>3</v>
      </c>
      <c r="N351">
        <v>3</v>
      </c>
      <c r="O351">
        <v>3</v>
      </c>
      <c r="P351">
        <v>3</v>
      </c>
      <c r="Q351">
        <v>3</v>
      </c>
      <c r="R351">
        <v>0</v>
      </c>
      <c r="S351" s="103">
        <v>0</v>
      </c>
      <c r="T351" t="inlineStr">
        <is>
          <t>No se ejecutó en la vigencia</t>
        </is>
      </c>
      <c r="U351">
        <v>1</v>
      </c>
      <c r="V351" s="104">
        <v>0.333333333333333</v>
      </c>
      <c r="W351" t="inlineStr">
        <is>
          <t>Lo ejecutado está por debajo de lo programado en la vigencia</t>
        </is>
      </c>
    </row>
    <row r="352">
      <c r="A352" t="inlineStr">
        <is>
          <t>IP-371</t>
        </is>
      </c>
      <c r="B352" t="inlineStr">
        <is>
          <t>19</t>
        </is>
      </c>
      <c r="C352" t="inlineStr">
        <is>
          <t>Salud y protección social</t>
        </is>
      </c>
      <c r="D352" t="inlineStr">
        <is>
          <t>1905</t>
        </is>
      </c>
      <c r="E352" t="inlineStr">
        <is>
          <t>Salud pública</t>
        </is>
      </c>
      <c r="F352" t="inlineStr">
        <is>
          <t>1905054</t>
        </is>
      </c>
      <c r="G352" t="inlineStr">
        <is>
          <t>Servicio de promoción de la salud</t>
        </is>
      </c>
      <c r="H352" t="inlineStr">
        <is>
          <t>190505400</t>
        </is>
      </c>
      <c r="I352" t="inlineStr">
        <is>
          <t>Estrategias de promoción de la salud implementadas</t>
        </is>
      </c>
      <c r="J352" t="inlineStr">
        <is>
          <t>2024004250127</t>
        </is>
      </c>
      <c r="K352" t="inlineStr">
        <is>
          <t>No</t>
        </is>
      </c>
      <c r="L352" t="inlineStr">
        <is>
          <t>Número</t>
        </is>
      </c>
      <c r="M352">
        <v>1</v>
      </c>
      <c r="N352">
        <v>1</v>
      </c>
      <c r="O352">
        <v>1</v>
      </c>
      <c r="P352">
        <v>1</v>
      </c>
      <c r="Q352">
        <v>1</v>
      </c>
      <c r="R352">
        <v>0</v>
      </c>
      <c r="S352" s="103">
        <v>0</v>
      </c>
      <c r="T352" t="inlineStr">
        <is>
          <t>No se ejecutó en la vigencia</t>
        </is>
      </c>
      <c r="U352">
        <v>0</v>
      </c>
      <c r="V352" s="104">
        <v>0</v>
      </c>
      <c r="W352" t="inlineStr">
        <is>
          <t>No se ejecutó en la vigencia</t>
        </is>
      </c>
    </row>
    <row r="353">
      <c r="A353" t="inlineStr">
        <is>
          <t>IP-372</t>
        </is>
      </c>
      <c r="B353" t="inlineStr">
        <is>
          <t>45</t>
        </is>
      </c>
      <c r="C353" t="inlineStr">
        <is>
          <t>Gobierno Territorial</t>
        </is>
      </c>
      <c r="D353" t="inlineStr">
        <is>
          <t>4599</t>
        </is>
      </c>
      <c r="E353" t="inlineStr">
        <is>
          <t>Fortalecimiento a la gestión y dirección de la administración pública territorial</t>
        </is>
      </c>
      <c r="F353" t="inlineStr">
        <is>
          <t>4599038</t>
        </is>
      </c>
      <c r="G353" t="inlineStr">
        <is>
          <t>Servicio de apoyo financiero para el fortalecimiento del talento humano</t>
        </is>
      </c>
      <c r="H353" t="inlineStr">
        <is>
          <t>459903800</t>
        </is>
      </c>
      <c r="I353" t="inlineStr">
        <is>
          <t>Funcionarios apoyados</t>
        </is>
      </c>
      <c r="J353" t="inlineStr">
        <is>
          <t>2024004250245</t>
        </is>
      </c>
      <c r="K353" t="inlineStr">
        <is>
          <t>Si</t>
        </is>
      </c>
      <c r="L353" t="inlineStr">
        <is>
          <t>Número</t>
        </is>
      </c>
      <c r="M353">
        <v>80</v>
      </c>
      <c r="N353">
        <v>0</v>
      </c>
      <c r="O353">
        <v>60</v>
      </c>
      <c r="P353">
        <v>10</v>
      </c>
      <c r="Q353">
        <v>10</v>
      </c>
      <c r="R353" t="inlineStr">
        <is>
          <t xml:space="preserve"> </t>
        </is>
      </c>
      <c r="S353" s="103" t="inlineStr">
        <is>
          <t xml:space="preserve"> </t>
        </is>
      </c>
      <c r="T353" t="inlineStr">
        <is>
          <t>No se encontró ejecución en PIIP</t>
        </is>
      </c>
      <c r="U353" t="inlineStr">
        <is>
          <t xml:space="preserve"> </t>
        </is>
      </c>
      <c r="V353" s="104" t="inlineStr">
        <is>
          <t xml:space="preserve"> </t>
        </is>
      </c>
      <c r="W353" t="inlineStr">
        <is>
          <t>No se encontró ejecución en PIIP</t>
        </is>
      </c>
    </row>
    <row r="354">
      <c r="A354" t="inlineStr">
        <is>
          <t>IP-373</t>
        </is>
      </c>
      <c r="B354" t="inlineStr">
        <is>
          <t>45</t>
        </is>
      </c>
      <c r="C354" t="inlineStr">
        <is>
          <t>Gobierno Territorial</t>
        </is>
      </c>
      <c r="D354" t="inlineStr">
        <is>
          <t>4503</t>
        </is>
      </c>
      <c r="E354" t="inlineStr">
        <is>
          <t>Gestión del riesgo de desastres y emergencias</t>
        </is>
      </c>
      <c r="F354" t="inlineStr">
        <is>
          <t>4503017</t>
        </is>
      </c>
      <c r="G354" t="inlineStr">
        <is>
          <t>Estudios de riesgo de desastres</t>
        </is>
      </c>
      <c r="H354" t="inlineStr">
        <is>
          <t>450301700</t>
        </is>
      </c>
      <c r="I354" t="inlineStr">
        <is>
          <t>Estudios de riesgo de desastres elaborados</t>
        </is>
      </c>
      <c r="J354" t="inlineStr">
        <is>
          <t>2024004250213</t>
        </is>
      </c>
      <c r="K354" t="inlineStr">
        <is>
          <t>Si</t>
        </is>
      </c>
      <c r="L354" t="inlineStr">
        <is>
          <t>Número</t>
        </is>
      </c>
      <c r="M354">
        <v>20</v>
      </c>
      <c r="N354">
        <v>0</v>
      </c>
      <c r="O354">
        <v>5</v>
      </c>
      <c r="P354">
        <v>8</v>
      </c>
      <c r="Q354">
        <v>7</v>
      </c>
      <c r="R354" t="inlineStr">
        <is>
          <t xml:space="preserve"> </t>
        </is>
      </c>
      <c r="S354" s="103" t="inlineStr">
        <is>
          <t xml:space="preserve"> </t>
        </is>
      </c>
      <c r="T354" t="inlineStr">
        <is>
          <t>No se encontró ejecución en PIIP</t>
        </is>
      </c>
      <c r="U354" t="inlineStr">
        <is>
          <t xml:space="preserve"> </t>
        </is>
      </c>
      <c r="V354" s="104" t="inlineStr">
        <is>
          <t xml:space="preserve"> </t>
        </is>
      </c>
      <c r="W354" t="inlineStr">
        <is>
          <t>No se encontró ejecución en PIIP</t>
        </is>
      </c>
    </row>
    <row r="355">
      <c r="A355" t="inlineStr">
        <is>
          <t>IP-374</t>
        </is>
      </c>
      <c r="B355" t="inlineStr">
        <is>
          <t>04</t>
        </is>
      </c>
      <c r="C355" t="inlineStr">
        <is>
          <t>Información Estadística</t>
        </is>
      </c>
      <c r="D355" t="inlineStr">
        <is>
          <t>0406</t>
        </is>
      </c>
      <c r="E355" t="inlineStr">
        <is>
          <t>Generación de la información geográfica del territorio nacional</t>
        </is>
      </c>
      <c r="F355" t="inlineStr">
        <is>
          <t>0406016</t>
        </is>
      </c>
      <c r="G355" t="inlineStr">
        <is>
          <t>Servicio de actualización catastral con enfoque multipropósito</t>
        </is>
      </c>
      <c r="H355" t="inlineStr">
        <is>
          <t>040601600</t>
        </is>
      </c>
      <c r="I355" t="inlineStr">
        <is>
          <t>Área geográfica actualizada catastralmente con enfoque multipropósito</t>
        </is>
      </c>
      <c r="J355" t="inlineStr">
        <is>
          <t>2024004250143</t>
        </is>
      </c>
      <c r="K355" t="inlineStr">
        <is>
          <t>Si</t>
        </is>
      </c>
      <c r="L355" t="inlineStr">
        <is>
          <t>Número</t>
        </is>
      </c>
      <c r="M355">
        <v>102000</v>
      </c>
      <c r="N355">
        <v>10774</v>
      </c>
      <c r="O355">
        <v>51000</v>
      </c>
      <c r="P355">
        <v>40226</v>
      </c>
      <c r="Q355">
        <v>0</v>
      </c>
      <c r="R355" t="inlineStr">
        <is>
          <t xml:space="preserve"> </t>
        </is>
      </c>
      <c r="S355" s="103" t="inlineStr">
        <is>
          <t xml:space="preserve"> </t>
        </is>
      </c>
      <c r="T355" t="inlineStr">
        <is>
          <t>No se encontró ejecución en PIIP</t>
        </is>
      </c>
      <c r="U355" t="inlineStr">
        <is>
          <t xml:space="preserve"> </t>
        </is>
      </c>
      <c r="V355" s="104" t="inlineStr">
        <is>
          <t xml:space="preserve"> </t>
        </is>
      </c>
      <c r="W355" t="inlineStr">
        <is>
          <t>No se encontró ejecución en PIIP</t>
        </is>
      </c>
    </row>
    <row r="356">
      <c r="A356" t="inlineStr">
        <is>
          <t>IP-375</t>
        </is>
      </c>
      <c r="B356" t="inlineStr">
        <is>
          <t>04</t>
        </is>
      </c>
      <c r="C356" t="inlineStr">
        <is>
          <t>Información Estadística</t>
        </is>
      </c>
      <c r="D356" t="inlineStr">
        <is>
          <t>0406</t>
        </is>
      </c>
      <c r="E356" t="inlineStr">
        <is>
          <t>Generación de la información geográfica del territorio nacional</t>
        </is>
      </c>
      <c r="F356" t="inlineStr">
        <is>
          <t>0406005</t>
        </is>
      </c>
      <c r="G356" t="inlineStr">
        <is>
          <t>Servicios de asistencia técnica</t>
        </is>
      </c>
      <c r="H356" t="inlineStr">
        <is>
          <t>040600500</t>
        </is>
      </c>
      <c r="I356" t="inlineStr">
        <is>
          <t>Entidades asistidas técnicamente</t>
        </is>
      </c>
      <c r="J356" t="inlineStr">
        <is>
          <t>2024004250143</t>
        </is>
      </c>
      <c r="K356" t="inlineStr">
        <is>
          <t>Si</t>
        </is>
      </c>
      <c r="L356" t="inlineStr">
        <is>
          <t>Número</t>
        </is>
      </c>
      <c r="M356">
        <v>24</v>
      </c>
      <c r="N356">
        <v>4</v>
      </c>
      <c r="O356">
        <v>6</v>
      </c>
      <c r="P356">
        <v>4</v>
      </c>
      <c r="Q356">
        <v>10</v>
      </c>
      <c r="R356" t="inlineStr">
        <is>
          <t xml:space="preserve"> </t>
        </is>
      </c>
      <c r="S356" s="103" t="inlineStr">
        <is>
          <t xml:space="preserve"> </t>
        </is>
      </c>
      <c r="T356" t="inlineStr">
        <is>
          <t>No se encontró ejecución en PIIP</t>
        </is>
      </c>
      <c r="U356" t="inlineStr">
        <is>
          <t xml:space="preserve"> </t>
        </is>
      </c>
      <c r="V356" s="104" t="inlineStr">
        <is>
          <t xml:space="preserve"> </t>
        </is>
      </c>
      <c r="W356" t="inlineStr">
        <is>
          <t>No se encontró ejecución en PIIP</t>
        </is>
      </c>
    </row>
    <row r="357">
      <c r="A357" t="inlineStr">
        <is>
          <t>IP-376</t>
        </is>
      </c>
      <c r="B357" t="inlineStr">
        <is>
          <t>17</t>
        </is>
      </c>
      <c r="C357" t="inlineStr">
        <is>
          <t xml:space="preserve">Agricultura y desarrollo rural
</t>
        </is>
      </c>
      <c r="D357" t="inlineStr">
        <is>
          <t>1704</t>
        </is>
      </c>
      <c r="E357" t="inlineStr">
        <is>
          <t>Ordenamiento social y uso productivo del territorio rural</t>
        </is>
      </c>
      <c r="F357" t="inlineStr">
        <is>
          <t>1704003</t>
        </is>
      </c>
      <c r="G357" t="inlineStr">
        <is>
          <t>Documentos de planeación</t>
        </is>
      </c>
      <c r="H357" t="inlineStr">
        <is>
          <t>170400300</t>
        </is>
      </c>
      <c r="I357" t="inlineStr">
        <is>
          <t>Documentos de planeación elaborados</t>
        </is>
      </c>
      <c r="J357" t="inlineStr">
        <is>
          <t>2024004250039, 2024004250146</t>
        </is>
      </c>
      <c r="K357" t="inlineStr">
        <is>
          <t>Si</t>
        </is>
      </c>
      <c r="L357" t="inlineStr">
        <is>
          <t>Número</t>
        </is>
      </c>
      <c r="M357">
        <v>5</v>
      </c>
      <c r="N357">
        <v>2.5</v>
      </c>
      <c r="O357">
        <v>1.5</v>
      </c>
      <c r="P357">
        <v>1</v>
      </c>
      <c r="Q357">
        <v>0</v>
      </c>
      <c r="R357" t="inlineStr">
        <is>
          <t xml:space="preserve"> </t>
        </is>
      </c>
      <c r="S357" s="103" t="inlineStr">
        <is>
          <t xml:space="preserve"> </t>
        </is>
      </c>
      <c r="T357" t="inlineStr">
        <is>
          <t>No se encontró ejecución en PIIP</t>
        </is>
      </c>
      <c r="U357" t="inlineStr">
        <is>
          <t xml:space="preserve"> </t>
        </is>
      </c>
      <c r="V357" s="104" t="inlineStr">
        <is>
          <t xml:space="preserve"> </t>
        </is>
      </c>
      <c r="W357" t="inlineStr">
        <is>
          <t>No se encontró ejecución en PIIP</t>
        </is>
      </c>
    </row>
    <row r="358">
      <c r="A358" t="inlineStr">
        <is>
          <t>IP-377</t>
        </is>
      </c>
      <c r="B358" t="inlineStr">
        <is>
          <t>45</t>
        </is>
      </c>
      <c r="C358" t="inlineStr">
        <is>
          <t>Gobierno Territorial</t>
        </is>
      </c>
      <c r="D358" t="inlineStr">
        <is>
          <t>4599</t>
        </is>
      </c>
      <c r="E358" t="inlineStr">
        <is>
          <t>Fortalecimiento a la gestión y dirección de la administración pública territorial</t>
        </is>
      </c>
      <c r="F358" t="inlineStr">
        <is>
          <t>4599018</t>
        </is>
      </c>
      <c r="G358" t="inlineStr">
        <is>
          <t>Documentos de lineamientos técnicos</t>
        </is>
      </c>
      <c r="H358" t="inlineStr">
        <is>
          <t>459901800</t>
        </is>
      </c>
      <c r="I358" t="inlineStr">
        <is>
          <t>Documentos de lineamientos técnicos realizados</t>
        </is>
      </c>
      <c r="J358" t="inlineStr">
        <is>
          <t>2024004250025</t>
        </is>
      </c>
      <c r="K358" t="inlineStr">
        <is>
          <t>No</t>
        </is>
      </c>
      <c r="L358" t="inlineStr">
        <is>
          <t>Número</t>
        </is>
      </c>
      <c r="M358">
        <v>1</v>
      </c>
      <c r="N358">
        <v>1</v>
      </c>
      <c r="O358">
        <v>1</v>
      </c>
      <c r="P358">
        <v>1</v>
      </c>
      <c r="Q358">
        <v>1</v>
      </c>
      <c r="R358">
        <v>0</v>
      </c>
      <c r="S358" s="103">
        <v>0</v>
      </c>
      <c r="T358" t="inlineStr">
        <is>
          <t>No se ejecutó en la vigencia</t>
        </is>
      </c>
      <c r="U358" t="inlineStr">
        <is>
          <t xml:space="preserve"> </t>
        </is>
      </c>
      <c r="V358" s="104" t="inlineStr">
        <is>
          <t xml:space="preserve"> </t>
        </is>
      </c>
      <c r="W358" t="inlineStr">
        <is>
          <t>No se encontró ejecución en PIIP</t>
        </is>
      </c>
    </row>
    <row r="359">
      <c r="A359" t="inlineStr">
        <is>
          <t>IP-378</t>
        </is>
      </c>
      <c r="B359" t="inlineStr">
        <is>
          <t>40</t>
        </is>
      </c>
      <c r="C359" t="inlineStr">
        <is>
          <t>Vivienda, ciudad y territorio</t>
        </is>
      </c>
      <c r="D359" t="inlineStr">
        <is>
          <t>4002</t>
        </is>
      </c>
      <c r="E359" t="inlineStr">
        <is>
          <t>Ordenamiento territorial y desarrollo urbano</t>
        </is>
      </c>
      <c r="F359" t="inlineStr">
        <is>
          <t>4002016</t>
        </is>
      </c>
      <c r="G359" t="inlineStr">
        <is>
          <t>Documentos de planeación</t>
        </is>
      </c>
      <c r="H359" t="inlineStr">
        <is>
          <t>400201600</t>
        </is>
      </c>
      <c r="I359" t="inlineStr">
        <is>
          <t>Documentos de planeación elaborados</t>
        </is>
      </c>
      <c r="J359" t="inlineStr">
        <is>
          <t>2024004250016</t>
        </is>
      </c>
      <c r="K359" t="inlineStr">
        <is>
          <t>Si</t>
        </is>
      </c>
      <c r="L359" t="inlineStr">
        <is>
          <t>Número</t>
        </is>
      </c>
      <c r="M359">
        <v>1</v>
      </c>
      <c r="N359">
        <v>0.2</v>
      </c>
      <c r="O359">
        <v>0.3</v>
      </c>
      <c r="P359">
        <v>0.3</v>
      </c>
      <c r="Q359">
        <v>0.2</v>
      </c>
      <c r="R359" t="inlineStr">
        <is>
          <t xml:space="preserve"> </t>
        </is>
      </c>
      <c r="S359" s="103" t="inlineStr">
        <is>
          <t xml:space="preserve"> </t>
        </is>
      </c>
      <c r="T359" t="inlineStr">
        <is>
          <t>No se encontró ejecución en PIIP</t>
        </is>
      </c>
      <c r="U359" t="inlineStr">
        <is>
          <t xml:space="preserve"> </t>
        </is>
      </c>
      <c r="V359" s="104" t="inlineStr">
        <is>
          <t xml:space="preserve"> </t>
        </is>
      </c>
      <c r="W359" t="inlineStr">
        <is>
          <t>No se encontró ejecución en PIIP</t>
        </is>
      </c>
    </row>
    <row r="360">
      <c r="A360" t="inlineStr">
        <is>
          <t>IP-379</t>
        </is>
      </c>
      <c r="B360" t="inlineStr">
        <is>
          <t>45</t>
        </is>
      </c>
      <c r="C360" t="inlineStr">
        <is>
          <t>Gobierno Territorial</t>
        </is>
      </c>
      <c r="D360" t="inlineStr">
        <is>
          <t>4599</t>
        </is>
      </c>
      <c r="E360" t="inlineStr">
        <is>
          <t>Fortalecimiento a la gestión y dirección de la administración pública territorial</t>
        </is>
      </c>
      <c r="F360" t="inlineStr">
        <is>
          <t>4599031</t>
        </is>
      </c>
      <c r="G360" t="inlineStr">
        <is>
          <t>Servicio de asistencia técnica</t>
        </is>
      </c>
      <c r="H360" t="inlineStr">
        <is>
          <t>459903100</t>
        </is>
      </c>
      <c r="I360" t="inlineStr">
        <is>
          <t>Entidades, organismos y dependencias asistidos técnicamente</t>
        </is>
      </c>
      <c r="J360" t="inlineStr">
        <is>
          <t>2024004250067</t>
        </is>
      </c>
      <c r="K360" t="inlineStr">
        <is>
          <t>No</t>
        </is>
      </c>
      <c r="L360" t="inlineStr">
        <is>
          <t>Número</t>
        </is>
      </c>
      <c r="M360">
        <v>4</v>
      </c>
      <c r="N360">
        <v>4</v>
      </c>
      <c r="O360">
        <v>4</v>
      </c>
      <c r="P360">
        <v>4</v>
      </c>
      <c r="Q360">
        <v>4</v>
      </c>
      <c r="R360">
        <v>17</v>
      </c>
      <c r="S360" s="103">
        <v>4.25</v>
      </c>
      <c r="T360" t="inlineStr">
        <is>
          <t>Hubo ejecución por encima de lo programado en SisPT</t>
        </is>
      </c>
      <c r="U360">
        <v>0</v>
      </c>
      <c r="V360" s="104">
        <v>0</v>
      </c>
      <c r="W360" t="inlineStr">
        <is>
          <t>No se ejecutó en la vigencia</t>
        </is>
      </c>
    </row>
    <row r="361">
      <c r="A361" t="inlineStr">
        <is>
          <t>IP-380</t>
        </is>
      </c>
      <c r="B361" t="inlineStr">
        <is>
          <t>45</t>
        </is>
      </c>
      <c r="C361" t="inlineStr">
        <is>
          <t>Gobierno Territorial</t>
        </is>
      </c>
      <c r="D361" t="inlineStr">
        <is>
          <t>4599</t>
        </is>
      </c>
      <c r="E361" t="inlineStr">
        <is>
          <t>Fortalecimiento a la gestión y dirección de la administración pública territorial</t>
        </is>
      </c>
      <c r="F361" t="inlineStr">
        <is>
          <t>4599031</t>
        </is>
      </c>
      <c r="G361" t="inlineStr">
        <is>
          <t>Servicio de asistencia técnica</t>
        </is>
      </c>
      <c r="H361" t="inlineStr">
        <is>
          <t>459903100</t>
        </is>
      </c>
      <c r="I361" t="inlineStr">
        <is>
          <t>Entidades, organismos y dependencias asistidos técnicamente</t>
        </is>
      </c>
      <c r="J361" t="inlineStr">
        <is>
          <t>2024004250067</t>
        </is>
      </c>
      <c r="K361" t="inlineStr">
        <is>
          <t>Si</t>
        </is>
      </c>
      <c r="L361" t="inlineStr">
        <is>
          <t>Número</t>
        </is>
      </c>
      <c r="M361">
        <v>116</v>
      </c>
      <c r="N361">
        <v>45</v>
      </c>
      <c r="O361">
        <v>36</v>
      </c>
      <c r="P361">
        <v>58</v>
      </c>
      <c r="Q361">
        <v>58</v>
      </c>
      <c r="R361" t="inlineStr">
        <is>
          <t xml:space="preserve"> </t>
        </is>
      </c>
      <c r="S361" s="103" t="inlineStr">
        <is>
          <t xml:space="preserve"> </t>
        </is>
      </c>
      <c r="T361" t="inlineStr">
        <is>
          <t>No se encontró ejecución en PIIP</t>
        </is>
      </c>
      <c r="U361" t="inlineStr">
        <is>
          <t xml:space="preserve"> </t>
        </is>
      </c>
      <c r="V361" s="104" t="inlineStr">
        <is>
          <t xml:space="preserve"> </t>
        </is>
      </c>
      <c r="W361" t="inlineStr">
        <is>
          <t>No se encontró ejecución en PIIP</t>
        </is>
      </c>
    </row>
    <row r="362">
      <c r="A362" t="inlineStr">
        <is>
          <t>IP-381</t>
        </is>
      </c>
      <c r="B362" t="inlineStr">
        <is>
          <t>45</t>
        </is>
      </c>
      <c r="C362" t="inlineStr">
        <is>
          <t>Gobierno Territorial</t>
        </is>
      </c>
      <c r="D362" t="inlineStr">
        <is>
          <t>4501</t>
        </is>
      </c>
      <c r="E362" t="inlineStr">
        <is>
          <t>Fortalecimiento de la convivencia y la seguridad ciudadana</t>
        </is>
      </c>
      <c r="F362" t="inlineStr">
        <is>
          <t>4501026</t>
        </is>
      </c>
      <c r="G362" t="inlineStr">
        <is>
          <t>Documentos Planeacion</t>
        </is>
      </c>
      <c r="H362" t="inlineStr">
        <is>
          <t>450102600</t>
        </is>
      </c>
      <c r="I362" t="inlineStr">
        <is>
          <t>Planes estratégicos elaborados</t>
        </is>
      </c>
      <c r="J362" t="inlineStr">
        <is>
          <t>2024004250181</t>
        </is>
      </c>
      <c r="K362" t="inlineStr">
        <is>
          <t>Si</t>
        </is>
      </c>
      <c r="L362" t="inlineStr">
        <is>
          <t>Número</t>
        </is>
      </c>
      <c r="M362">
        <v>1</v>
      </c>
      <c r="N362">
        <v>0</v>
      </c>
      <c r="O362">
        <v>0.4</v>
      </c>
      <c r="P362">
        <v>0.3</v>
      </c>
      <c r="Q362">
        <v>0.3</v>
      </c>
      <c r="R362" t="inlineStr">
        <is>
          <t xml:space="preserve"> </t>
        </is>
      </c>
      <c r="S362" s="103" t="inlineStr">
        <is>
          <t xml:space="preserve"> </t>
        </is>
      </c>
      <c r="T362" t="inlineStr">
        <is>
          <t>No se encontró ejecución en PIIP</t>
        </is>
      </c>
      <c r="U362">
        <v>0.1784</v>
      </c>
      <c r="V362" s="104">
        <v>0.446</v>
      </c>
      <c r="W362" t="inlineStr">
        <is>
          <t>Lo ejecutado está por debajo de lo programado en la vigencia</t>
        </is>
      </c>
    </row>
    <row r="363">
      <c r="A363" t="inlineStr">
        <is>
          <t>IP-382</t>
        </is>
      </c>
      <c r="B363" t="inlineStr">
        <is>
          <t>45</t>
        </is>
      </c>
      <c r="C363" t="inlineStr">
        <is>
          <t>Gobierno Territorial</t>
        </is>
      </c>
      <c r="D363" t="inlineStr">
        <is>
          <t>4599</t>
        </is>
      </c>
      <c r="E363" t="inlineStr">
        <is>
          <t>Fortalecimiento a la gestión y dirección de la administración pública territorial</t>
        </is>
      </c>
      <c r="F363" t="inlineStr">
        <is>
          <t>4599031</t>
        </is>
      </c>
      <c r="G363" t="inlineStr">
        <is>
          <t>Servicio de asistencia técnica</t>
        </is>
      </c>
      <c r="H363" t="inlineStr">
        <is>
          <t>459903100</t>
        </is>
      </c>
      <c r="I363" t="inlineStr">
        <is>
          <t>Entidades, organismos y dependencias asistidos técnicamente</t>
        </is>
      </c>
      <c r="J363" t="inlineStr">
        <is>
          <t>2024004250005</t>
        </is>
      </c>
      <c r="K363" t="inlineStr">
        <is>
          <t>No</t>
        </is>
      </c>
      <c r="L363" t="inlineStr">
        <is>
          <t>Número</t>
        </is>
      </c>
      <c r="M363">
        <v>117</v>
      </c>
      <c r="N363">
        <v>117</v>
      </c>
      <c r="O363">
        <v>117</v>
      </c>
      <c r="P363">
        <v>117</v>
      </c>
      <c r="Q363">
        <v>117</v>
      </c>
      <c r="R363">
        <v>12</v>
      </c>
      <c r="S363" s="103">
        <v>0.102564102564103</v>
      </c>
      <c r="T363" t="inlineStr">
        <is>
          <t>Lo ejecutado está por debajo de lo programado en la vigencia</t>
        </is>
      </c>
      <c r="U363" t="inlineStr">
        <is>
          <t xml:space="preserve"> </t>
        </is>
      </c>
      <c r="V363" s="104" t="inlineStr">
        <is>
          <t xml:space="preserve"> </t>
        </is>
      </c>
      <c r="W363" t="inlineStr">
        <is>
          <t>No se encontró ejecución en PIIP</t>
        </is>
      </c>
    </row>
    <row r="364">
      <c r="A364" t="inlineStr">
        <is>
          <t>IP-383</t>
        </is>
      </c>
      <c r="B364" t="inlineStr">
        <is>
          <t>45</t>
        </is>
      </c>
      <c r="C364" t="inlineStr">
        <is>
          <t>Gobierno Territorial</t>
        </is>
      </c>
      <c r="D364" t="inlineStr">
        <is>
          <t>4599</t>
        </is>
      </c>
      <c r="E364" t="inlineStr">
        <is>
          <t>Fortalecimiento a la gestión y dirección de la administración pública territorial</t>
        </is>
      </c>
      <c r="F364" t="inlineStr">
        <is>
          <t>4599031</t>
        </is>
      </c>
      <c r="G364" t="inlineStr">
        <is>
          <t>Servicio de asistencia técnica</t>
        </is>
      </c>
      <c r="H364" t="inlineStr">
        <is>
          <t>459903100</t>
        </is>
      </c>
      <c r="I364" t="inlineStr">
        <is>
          <t>Entidades, organismos y dependencias asistidos técnicamente</t>
        </is>
      </c>
      <c r="J364" t="inlineStr">
        <is>
          <t>2024004250026</t>
        </is>
      </c>
      <c r="K364" t="inlineStr">
        <is>
          <t>Si</t>
        </is>
      </c>
      <c r="L364" t="inlineStr">
        <is>
          <t>Número</t>
        </is>
      </c>
      <c r="M364">
        <v>1</v>
      </c>
      <c r="N364">
        <v>0</v>
      </c>
      <c r="O364">
        <v>0</v>
      </c>
      <c r="P364">
        <v>1</v>
      </c>
      <c r="Q364">
        <v>1</v>
      </c>
      <c r="R364" t="inlineStr">
        <is>
          <t xml:space="preserve"> </t>
        </is>
      </c>
      <c r="S364" s="103" t="inlineStr">
        <is>
          <t xml:space="preserve"> </t>
        </is>
      </c>
      <c r="T364" t="inlineStr">
        <is>
          <t>No se encontró ejecución en PIIP</t>
        </is>
      </c>
      <c r="U364" t="inlineStr">
        <is>
          <t xml:space="preserve"> </t>
        </is>
      </c>
      <c r="V364" s="104" t="inlineStr">
        <is>
          <t xml:space="preserve"> </t>
        </is>
      </c>
      <c r="W364" t="inlineStr">
        <is>
          <t>No se encontró ejecución en PIIP</t>
        </is>
      </c>
    </row>
    <row r="365">
      <c r="A365" t="inlineStr">
        <is>
          <t>IP-384</t>
        </is>
      </c>
      <c r="B365" t="inlineStr">
        <is>
          <t>04</t>
        </is>
      </c>
      <c r="C365" t="inlineStr">
        <is>
          <t>Información Estadística</t>
        </is>
      </c>
      <c r="D365" t="inlineStr">
        <is>
          <t>0401</t>
        </is>
      </c>
      <c r="E365" t="inlineStr">
        <is>
          <t>Levantamiento y actualización de información estadística de calidad</t>
        </is>
      </c>
      <c r="F365" t="inlineStr">
        <is>
          <t>0401001</t>
        </is>
      </c>
      <c r="G365" t="inlineStr">
        <is>
          <t>Bases de datos de la temática de Demografía y Población</t>
        </is>
      </c>
      <c r="H365" t="inlineStr">
        <is>
          <t>040100100</t>
        </is>
      </c>
      <c r="I365" t="inlineStr">
        <is>
          <t xml:space="preserve">Bases de datos de la temática de Demografía y Población anonimizadas producidas </t>
        </is>
      </c>
      <c r="J365" t="inlineStr">
        <is>
          <t>2024004250259</t>
        </is>
      </c>
      <c r="K365" t="inlineStr">
        <is>
          <t>Si</t>
        </is>
      </c>
      <c r="L365" t="inlineStr">
        <is>
          <t>Número</t>
        </is>
      </c>
      <c r="M365">
        <v>1</v>
      </c>
      <c r="N365">
        <v>0</v>
      </c>
      <c r="O365">
        <v>0.6</v>
      </c>
      <c r="P365">
        <v>0.4</v>
      </c>
      <c r="Q365">
        <v>0</v>
      </c>
      <c r="R365" t="inlineStr">
        <is>
          <t xml:space="preserve"> </t>
        </is>
      </c>
      <c r="S365" s="103" t="inlineStr">
        <is>
          <t xml:space="preserve"> </t>
        </is>
      </c>
      <c r="T365" t="inlineStr">
        <is>
          <t>No se encontró ejecución en PIIP</t>
        </is>
      </c>
      <c r="U365" t="inlineStr">
        <is>
          <t xml:space="preserve"> </t>
        </is>
      </c>
      <c r="V365" s="104" t="inlineStr">
        <is>
          <t xml:space="preserve"> </t>
        </is>
      </c>
      <c r="W365" t="inlineStr">
        <is>
          <t>No se encontró ejecución en PIIP</t>
        </is>
      </c>
    </row>
    <row r="366">
      <c r="A366" t="inlineStr">
        <is>
          <t>IP-385</t>
        </is>
      </c>
      <c r="B366" t="inlineStr">
        <is>
          <t>24</t>
        </is>
      </c>
      <c r="C366" t="inlineStr">
        <is>
          <t>Transporte</t>
        </is>
      </c>
      <c r="D366" t="inlineStr">
        <is>
          <t>2406</t>
        </is>
      </c>
      <c r="E366" t="inlineStr">
        <is>
          <t>Infraestructura de transporte fluvial</t>
        </is>
      </c>
      <c r="F366" t="inlineStr">
        <is>
          <t>2406057</t>
        </is>
      </c>
      <c r="G366" t="inlineStr">
        <is>
          <t>Servicio de apoyo financiero para el desarrollo de obras de infraestructura fluvial</t>
        </is>
      </c>
      <c r="H366" t="inlineStr">
        <is>
          <t>240605700</t>
        </is>
      </c>
      <c r="I366" t="inlineStr">
        <is>
          <t>Obras de infraestructura fluvial con apoyo financiero</t>
        </is>
      </c>
      <c r="J366" t="inlineStr">
        <is>
          <t>2021004250577</t>
        </is>
      </c>
      <c r="K366" t="inlineStr">
        <is>
          <t>No</t>
        </is>
      </c>
      <c r="L366" t="inlineStr">
        <is>
          <t>Número</t>
        </is>
      </c>
      <c r="M366">
        <v>1</v>
      </c>
      <c r="N366">
        <v>1</v>
      </c>
      <c r="O366">
        <v>1</v>
      </c>
      <c r="P366">
        <v>1</v>
      </c>
      <c r="Q366">
        <v>1</v>
      </c>
      <c r="R366" t="inlineStr">
        <is>
          <t xml:space="preserve"> </t>
        </is>
      </c>
      <c r="S366" s="103" t="inlineStr">
        <is>
          <t xml:space="preserve"> </t>
        </is>
      </c>
      <c r="T366" t="inlineStr">
        <is>
          <t>No se encontró ejecución en PIIP</t>
        </is>
      </c>
      <c r="U366" t="inlineStr">
        <is>
          <t xml:space="preserve"> </t>
        </is>
      </c>
      <c r="V366" s="104" t="inlineStr">
        <is>
          <t xml:space="preserve"> </t>
        </is>
      </c>
      <c r="W366" t="inlineStr">
        <is>
          <t>No se encontró ejecución en PIIP</t>
        </is>
      </c>
    </row>
    <row r="367">
      <c r="S367" s="103"/>
      <c r="V367"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Javier Enrique Fernandez Salamanca</cp:lastModifiedBy>
  <dcterms:created xsi:type="dcterms:W3CDTF">2025-07-07T13:41:15Z</dcterms:created>
  <dcterms:modified xsi:type="dcterms:W3CDTF">2026-02-16T16:13:44Z</dcterms:modified>
</cp:coreProperties>
</file>