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<sst xmlns="http://schemas.openxmlformats.org/spreadsheetml/2006/main" count="135" uniqueCount="135">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</sst>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222" totalsRowCount="0" totalsRowShown="0">
  <autoFilter ref="A7:X222"/>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261" totalsRowCount="0" totalsRowShown="0">
  <autoFilter ref="A7:W261"/>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"CON EL PODER DE LA GENTE, COTA RENACE 2024-2027"</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Cota,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CALIDAD DE VIDA PARA RENACER</t>
        </is>
      </c>
      <c r="Q7" s="6">
        <v>53140.5066202435</v>
      </c>
      <c r="R7" s="6">
        <v>94746.4049820262</v>
      </c>
      <c r="S7" s="6">
        <v>150877.978320675</v>
      </c>
      <c r="T7" s="6">
        <v>180474.062007528</v>
      </c>
      <c r="U7" s="7">
        <f t="shared" ref="U7" si="0">SUM(Q7:T7)</f>
        <v>0</v>
      </c>
      <c r="V7" s="8">
        <f t="shared" ref="V7:V70" si="1">IF(P7="","",INDEX(Q7:U7,MATCH($D$16,$C$23:$G$23,0)))</f>
        <v>0</v>
      </c>
      <c r="W7" s="42" t="str">
        <f>IFERROR(IF(P7="","",CONCATENATE(TEXT(V7,$U$2)," (",TEXT(V7*100/$I$23,$U$3),"%)")),"")</f>
      </c>
    </row>
    <row r="8" spans="2:28" x14ac:dyDescent="0.25">
      <c r="P8" s="6" t="inlineStr">
        <is>
          <t>IMPULSO ECONÓMICO CON SENTIDO HUMANO</t>
        </is>
      </c>
      <c r="Q8" s="6">
        <v>6301.7642949933</v>
      </c>
      <c r="R8" s="6">
        <v>7072.64152384</v>
      </c>
      <c r="S8" s="6">
        <v>23611.54</v>
      </c>
      <c r="T8" s="6">
        <v>18374.39</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INNOVACIÓN PARA EL PROGRESO</t>
        </is>
      </c>
      <c r="Q9" s="6">
        <v>15219.9999998</v>
      </c>
      <c r="R9" s="6">
        <v>2802.615771</v>
      </c>
      <c r="S9" s="6">
        <v>14894.7976</v>
      </c>
      <c r="T9" s="6">
        <v>15466.234268</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ORGANIZAR NUESTRA CASA</t>
        </is>
      </c>
      <c r="Q10" s="6">
        <v>70969.9125762134</v>
      </c>
      <c r="R10" s="6">
        <v>60529.2552770317</v>
      </c>
      <c r="S10" s="6">
        <v>126270.515194</v>
      </c>
      <c r="T10" s="6">
        <v>81163.248766568</v>
      </c>
      <c r="U10" s="7">
        <f t="shared" si="4"/>
        <v>0</v>
      </c>
      <c r="V10" s="8" t="str">
        <f t="shared" si="1"/>
      </c>
      <c r="W10" s="42" t="str">
        <f t="shared" si="3"/>
      </c>
    </row>
    <row r="11" spans="2:28" x14ac:dyDescent="0.25">
      <c r="P11" s="6" t="inlineStr">
        <is>
          <t>TRANSPARENCIA DE UN GOBIERNO PARA TODOS</t>
        </is>
      </c>
      <c r="Q11" s="6">
        <v>16321.8817795867</v>
      </c>
      <c r="R11" s="6">
        <v>10693.6723293064</v>
      </c>
      <c r="S11" s="6">
        <v>21998.177216</v>
      </c>
      <c r="T11" s="6">
        <v>18892.759840072</v>
      </c>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c r="Q12" s="6"/>
      <c r="R12" s="6"/>
      <c r="S12" s="6"/>
      <c r="T12" s="6"/>
      <c r="U12" s="7">
        <f t="shared" si="4"/>
        <v>0</v>
      </c>
      <c r="V12" s="8" t="str">
        <f t="shared" si="1"/>
      </c>
      <c r="W12" s="42" t="str">
        <f t="shared" si="3"/>
      </c>
    </row>
    <row r="13" spans="2:28" x14ac:dyDescent="0.25">
      <c r="P13" s="6"/>
      <c r="Q13" s="6"/>
      <c r="R13" s="6"/>
      <c r="S13" s="6"/>
      <c r="T13" s="6"/>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3629.1448997233</v>
      </c>
      <c r="D24" s="14">
        <v>1858.287245</v>
      </c>
      <c r="E24" s="14">
        <v>11122.54</v>
      </c>
      <c r="F24" s="14">
        <v>10154.64</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3548.64333965</v>
      </c>
      <c r="D25" s="14">
        <v>4692.516524</v>
      </c>
      <c r="E25" s="14">
        <v>6749</v>
      </c>
      <c r="F25" s="14">
        <v>5574</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590</v>
      </c>
      <c r="D26" s="14">
        <v>372</v>
      </c>
      <c r="E26" s="14">
        <v>605</v>
      </c>
      <c r="F26" s="14">
        <v>665.5</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2672.61939527</v>
      </c>
      <c r="D27" s="9">
        <v>5214.35427884</v>
      </c>
      <c r="E27" s="9">
        <v>12489</v>
      </c>
      <c r="F27" s="9">
        <v>8219.75</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11331.1861960534</v>
      </c>
      <c r="D28" s="9">
        <v>16699.9307920169</v>
      </c>
      <c r="E28" s="9">
        <v>17388</v>
      </c>
      <c r="F28" s="9">
        <v>19840</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6804.6412445867</v>
      </c>
      <c r="D30" s="9">
        <v>11680.041528</v>
      </c>
      <c r="E30" s="9">
        <v>32146.207214</v>
      </c>
      <c r="F30" s="9">
        <v>20651.520844</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12427.7746174634</v>
      </c>
      <c r="D31" s="9">
        <v>24917.9929898305</v>
      </c>
      <c r="E31" s="9">
        <v>34142.857225558</v>
      </c>
      <c r="F31" s="9">
        <v>52730.284688258</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30571.4959696067</v>
      </c>
      <c r="D32" s="9">
        <v>25134.2376179594</v>
      </c>
      <c r="E32" s="9">
        <v>51385.1184160001</v>
      </c>
      <c r="F32" s="9">
        <v>43967.641422472</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9355.77343644</v>
      </c>
      <c r="D33" s="9">
        <v>24589.42377358</v>
      </c>
      <c r="E33" s="9">
        <v>44195.9023020672</v>
      </c>
      <c r="F33" s="9">
        <v>61419.1929983153</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11521.66090601</v>
      </c>
      <c r="D34" s="9">
        <v>8979.9928159196</v>
      </c>
      <c r="E34" s="9">
        <v>9910</v>
      </c>
      <c r="F34" s="9">
        <v>9330</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648.2166666667</v>
      </c>
      <c r="D35" s="9">
        <v>963</v>
      </c>
      <c r="E35" s="9">
        <v>1754</v>
      </c>
      <c r="F35" s="9">
        <v>790</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2294.53136708</v>
      </c>
      <c r="D36" s="9">
        <v>3739.6516347081</v>
      </c>
      <c r="E36" s="9">
        <v>3715</v>
      </c>
      <c r="F36" s="9">
        <v>3970</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182.999999998</v>
      </c>
      <c r="E37" s="9">
        <v>131</v>
      </c>
      <c r="F37" s="9">
        <v>143</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11905.82531784</v>
      </c>
      <c r="D38" s="9">
        <v>16275.0158985988</v>
      </c>
      <c r="E38" s="9">
        <v>20894.44957905</v>
      </c>
      <c r="F38" s="9">
        <v>23400.894536955</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12228.9999998</v>
      </c>
      <c r="D39" s="9">
        <v>2280.615771</v>
      </c>
      <c r="E39" s="9">
        <v>11054.7976</v>
      </c>
      <c r="F39" s="9">
        <v>11418.584268</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0</v>
      </c>
      <c r="D40" s="9">
        <v>0</v>
      </c>
      <c r="E40" s="9">
        <v>0</v>
      </c>
      <c r="F40" s="9">
        <v>0</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8126.93709054</v>
      </c>
      <c r="D41" s="9">
        <v>5058.50203</v>
      </c>
      <c r="E41" s="9">
        <v>27367.98</v>
      </c>
      <c r="F41" s="9">
        <v>14880.578</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34296.6148241067</v>
      </c>
      <c r="D42" s="9">
        <v>23206.026983753</v>
      </c>
      <c r="E42" s="9">
        <v>52602.155994</v>
      </c>
      <c r="F42" s="9">
        <v>27215.108124168</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113488.917994947</v>
      </c>
      <c r="D43" s="9">
        <v>121997.040173691</v>
      </c>
      <c r="E43" s="9">
        <v>226449.503412779</v>
      </c>
      <c r="F43" s="9">
        <v>274098.042751684</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194.52406</v>
      </c>
      <c r="D44" s="9">
        <v>563.82841126</v>
      </c>
      <c r="E44" s="9">
        <v>931.1037530782</v>
      </c>
      <c r="F44" s="9">
        <v>646.1774730352</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1873.16733631</v>
      </c>
      <c r="D45" s="9">
        <v>7715.340497475</v>
      </c>
      <c r="E45" s="9">
        <v>4462.6451764656</v>
      </c>
      <c r="F45" s="9">
        <v>4775.0303388181</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80</v>
      </c>
      <c r="D46" s="9">
        <v>299.81961975</v>
      </c>
      <c r="E46" s="9">
        <v>327.2102070991</v>
      </c>
      <c r="F46" s="9">
        <v>350.1149215961</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162.415197</v>
      </c>
      <c r="D47" s="9">
        <v>224.86471455</v>
      </c>
      <c r="E47" s="9">
        <v>3353.9046436127</v>
      </c>
      <c r="F47" s="9">
        <v>262.5861917585</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370.360967</v>
      </c>
      <c r="D48" s="9">
        <v>2848.2863934</v>
      </c>
      <c r="E48" s="9">
        <v>0</v>
      </c>
      <c r="F48" s="9">
        <v>3326.0917769071</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0</v>
      </c>
      <c r="D49" s="9">
        <v>0</v>
      </c>
      <c r="E49" s="9">
        <v>0</v>
      </c>
      <c r="F49" s="9">
        <v>0</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0</v>
      </c>
      <c r="D50" s="9">
        <v>55.2894289697</v>
      </c>
      <c r="E50" s="9">
        <v>0</v>
      </c>
      <c r="F50" s="9">
        <v>0</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847.112109</v>
      </c>
      <c r="D52" s="9">
        <v>1312.53809935</v>
      </c>
      <c r="E52" s="9">
        <v>1478.8519036174</v>
      </c>
      <c r="F52" s="9">
        <v>1582.3715368706</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0</v>
      </c>
      <c r="D53" s="9">
        <v>0</v>
      </c>
      <c r="E53" s="9">
        <v>63662.24</v>
      </c>
      <c r="F53" s="9">
        <v>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0</v>
      </c>
      <c r="D54" s="9">
        <v>0</v>
      </c>
      <c r="E54" s="9">
        <v>10000</v>
      </c>
      <c r="F54" s="9">
        <v>0</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0</v>
      </c>
      <c r="D55" s="9">
        <v>0</v>
      </c>
      <c r="E55" s="9">
        <v>0</v>
      </c>
      <c r="F55" s="9">
        <v>0</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44937.56760658</v>
      </c>
      <c r="D56" s="9">
        <v>40827.5825447583</v>
      </c>
      <c r="E56" s="9">
        <v>26987.5492340237</v>
      </c>
      <c r="F56" s="9">
        <v>29330.2798914991</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5538.2662739033</v>
      </c>
      <c r="D57" s="9">
        <v>14470.10420151</v>
      </c>
      <c r="E57" s="9">
        <v>20853.616</v>
      </c>
      <c r="F57" s="9">
        <v>41889.99744</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2626.49622939</v>
      </c>
      <c r="D58" s="9">
        <v>3583.44219484</v>
      </c>
      <c r="E58" s="9">
        <v>10484.48</v>
      </c>
      <c r="F58" s="9">
        <v>10972.8544</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17992.40945487</v>
      </c>
      <c r="D59" s="9">
        <v>22990.5430515988</v>
      </c>
      <c r="E59" s="9">
        <v>33934.58157905</v>
      </c>
      <c r="F59" s="9">
        <v>37733.544536955</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16327.4708393634</v>
      </c>
      <c r="D60" s="9">
        <v>37584.1578535645</v>
      </c>
      <c r="E60" s="9">
        <v>60679.0021169552</v>
      </c>
      <c r="F60" s="9">
        <v>75190.5757448363</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0</v>
      </c>
      <c r="D61" s="9">
        <v>0</v>
      </c>
      <c r="E61" s="9">
        <v>0</v>
      </c>
      <c r="F61" s="9">
        <v>0</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27401.1515843667</v>
      </c>
      <c r="D62" s="9">
        <v>19400.569483753</v>
      </c>
      <c r="E62" s="9">
        <v>38028.071111</v>
      </c>
      <c r="F62" s="9">
        <v>19681.928889168</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2063.63666667</v>
      </c>
      <c r="D63" s="9">
        <v>3500</v>
      </c>
      <c r="E63" s="9">
        <v>3215</v>
      </c>
      <c r="F63" s="9">
        <v>3470</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1294.96000067</v>
      </c>
      <c r="D64" s="9">
        <v>2677.14</v>
      </c>
      <c r="E64" s="9">
        <v>6228</v>
      </c>
      <c r="F64" s="9">
        <v>5616.5</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8627.7548058</v>
      </c>
      <c r="D65" s="9">
        <v>5117.881538</v>
      </c>
      <c r="E65" s="9">
        <v>33081.745</v>
      </c>
      <c r="F65" s="9">
        <v>15612.43625</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442.4</v>
      </c>
      <c r="D66" s="9">
        <v>515</v>
      </c>
      <c r="E66" s="9">
        <v>1899.12</v>
      </c>
      <c r="F66" s="9">
        <v>1963.682</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23461.6908792701</v>
      </c>
      <c r="D67" s="9">
        <v>25744.4582132456</v>
      </c>
      <c r="E67" s="9">
        <v>47712.172097</v>
      </c>
      <c r="F67" s="9">
        <v>35505.968079</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0</v>
      </c>
      <c r="D68" s="9">
        <v>60</v>
      </c>
      <c r="E68" s="9">
        <v>167.2</v>
      </c>
      <c r="F68" s="9">
        <v>125.4</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22</v>
      </c>
      <c r="D69" s="9">
        <v>110</v>
      </c>
      <c r="E69" s="9">
        <v>1310</v>
      </c>
      <c r="F69" s="9">
        <v>1320</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2980.47667265</v>
      </c>
      <c r="D71" s="9">
        <v>3559.516524</v>
      </c>
      <c r="E71" s="9">
        <v>4215</v>
      </c>
      <c r="F71" s="9">
        <v>2952</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51823.2675262634</v>
      </c>
      <c r="D72" s="9">
        <v>33397.1722766385</v>
      </c>
      <c r="E72" s="9">
        <v>68975.0129266701</v>
      </c>
      <c r="F72" s="9">
        <v>55340.485417209</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1352.08433762</v>
      </c>
      <c r="D73" s="9">
        <v>3134.6045460539</v>
      </c>
      <c r="E73" s="9">
        <v>6870.0075</v>
      </c>
      <c r="F73" s="9">
        <v>6995.322125</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12</v>
      </c>
      <c r="C95" s="22" t="s">
        <v>76</v>
      </c>
      <c r="L95" s="10"/>
      <c r="M95" s="10"/>
    </row>
    <row r="96" spans="2:20" ht="15.6" customHeight="1" x14ac:dyDescent="0.25">
      <c r="B96" s="23">
        <v>15</v>
      </c>
      <c r="C96" s="22" t="s">
        <v>77</v>
      </c>
    </row>
    <row r="97" spans="2:18" ht="15.6" customHeight="1" x14ac:dyDescent="0.25">
      <c r="B97" s="24">
        <v>145</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43</v>
      </c>
      <c r="C99" s="22" t="s">
        <v>78</v>
      </c>
      <c r="D99" s="10"/>
      <c r="E99" s="10"/>
      <c r="F99" s="10"/>
      <c r="G99" s="10"/>
      <c r="H99" s="10"/>
      <c r="I99" s="2"/>
      <c r="J99" s="10"/>
      <c r="K99" s="10"/>
      <c r="L99" s="10"/>
      <c r="M99" s="10"/>
    </row>
    <row r="100" spans="2:18" ht="15.6" customHeight="1" x14ac:dyDescent="0.25">
      <c r="B100" s="27">
        <v>39</v>
      </c>
      <c r="C100" s="22" t="s">
        <v>92</v>
      </c>
      <c r="D100" s="56"/>
      <c r="E100" s="56"/>
      <c r="F100" s="56"/>
      <c r="G100" s="56"/>
      <c r="H100" s="56"/>
      <c r="I100" s="56"/>
      <c r="J100" s="56"/>
      <c r="K100" s="56"/>
      <c r="L100" s="56"/>
      <c r="M100" s="56"/>
    </row>
    <row r="101" spans="2:18" ht="15.6" customHeight="1" x14ac:dyDescent="0.25">
      <c r="B101" s="17">
        <v>113</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84</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131</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292</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280</v>
      </c>
    </row>
    <row r="136" spans="1:17" x14ac:dyDescent="0.25">
      <c r="B136" s="45">
        <f>Q137+Q139+Q140+Q141</f>
        <v>0</v>
      </c>
      <c r="G136" s="45">
        <f>Q135+Q138+Q139+Q141</f>
        <v>0</v>
      </c>
      <c r="I136" s="70"/>
      <c r="J136" s="70"/>
      <c r="K136" s="70"/>
      <c r="L136" s="70"/>
      <c r="M136" s="85"/>
      <c r="P136" s="1" t="s">
        <v>98</v>
      </c>
      <c r="Q136">
        <v>30</v>
      </c>
    </row>
    <row r="137" spans="1:17" x14ac:dyDescent="0.25">
      <c r="I137" s="28"/>
      <c r="J137" s="28"/>
      <c r="K137" s="28"/>
      <c r="L137" s="28"/>
      <c r="M137" s="28"/>
      <c r="P137" s="1" t="s">
        <v>99</v>
      </c>
      <c r="Q137">
        <v>74</v>
      </c>
    </row>
    <row r="138" spans="1:17" x14ac:dyDescent="0.25">
      <c r="I138" s="70" t="s">
        <v>95</v>
      </c>
      <c r="J138" s="70"/>
      <c r="K138" s="70"/>
      <c r="L138" s="70"/>
      <c r="M138" s="84">
        <f>Q141</f>
        <v>0</v>
      </c>
      <c r="P138" s="1" t="s">
        <v>100</v>
      </c>
      <c r="Q138">
        <v>12</v>
      </c>
    </row>
    <row r="139" spans="1:17" x14ac:dyDescent="0.25">
      <c r="I139" s="70"/>
      <c r="J139" s="70"/>
      <c r="K139" s="70"/>
      <c r="L139" s="70"/>
      <c r="M139" s="85"/>
      <c r="P139" s="1" t="s">
        <v>101</v>
      </c>
      <c r="Q139">
        <v>35</v>
      </c>
    </row>
    <row r="140" spans="1:17" x14ac:dyDescent="0.25">
      <c r="I140" s="28"/>
      <c r="J140" s="28"/>
      <c r="K140" s="28"/>
      <c r="L140" s="28"/>
      <c r="M140" s="28"/>
      <c r="P140" s="1" t="s">
        <v>102</v>
      </c>
      <c r="Q140">
        <v>10</v>
      </c>
    </row>
    <row r="141" spans="1:17" x14ac:dyDescent="0.25">
      <c r="I141" s="70" t="s">
        <v>96</v>
      </c>
      <c r="J141" s="70"/>
      <c r="K141" s="70"/>
      <c r="L141" s="70"/>
      <c r="M141" s="86" t="str">
        <f>IFERROR(M138/M135,"-")</f>
        <v>-</v>
      </c>
      <c r="P141" s="1" t="s">
        <v>103</v>
      </c>
      <c r="Q141">
        <v>96</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223"/>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 IP-302</t>
        </is>
      </c>
      <c r="B8" t="inlineStr">
        <is>
          <t>24</t>
        </is>
      </c>
      <c r="C8" t="inlineStr">
        <is>
          <t>Transporte</t>
        </is>
      </c>
      <c r="D8" t="inlineStr">
        <is>
          <t>2402</t>
        </is>
      </c>
      <c r="E8" t="inlineStr">
        <is>
          <t>Infraestructura red vial regional</t>
        </is>
      </c>
      <c r="F8" t="inlineStr">
        <is>
          <t>2402041</t>
        </is>
      </c>
      <c r="G8" t="inlineStr">
        <is>
          <t>Vía terciaria mejorada</t>
        </is>
      </c>
      <c r="H8" t="inlineStr">
        <is>
          <t>Incluye la construcción de obras de infraestructura vial en vías de la red vial terciaria que mejoren la prestación del servicio, así como los cambios en una infraestructura de transporte con el propósito de mejorar sus especificaciones técnicas iniciales</t>
        </is>
      </c>
      <c r="I8" t="inlineStr">
        <is>
          <t>2024252140104</t>
        </is>
      </c>
      <c r="J8" s="99">
        <v>24739065088.54</v>
      </c>
      <c r="K8" s="99">
        <v>4025700074.54</v>
      </c>
      <c r="L8" s="99">
        <v>1173365014</v>
      </c>
      <c r="M8" s="99">
        <v>12140000000</v>
      </c>
      <c r="N8" s="99">
        <v>7400000000</v>
      </c>
      <c r="O8" s="99">
        <v>694000000</v>
      </c>
      <c r="P8" s="99">
        <v>249000000</v>
      </c>
      <c r="Q8" s="99">
        <v>249000000</v>
      </c>
      <c r="R8" s="100">
        <v>0.0618525959185999</v>
      </c>
      <c r="S8" t="inlineStr">
        <is>
          <t>Lo obligado está por debajo de lo programado en la vigencia</t>
        </is>
      </c>
      <c r="T8" s="101">
        <v>760669134</v>
      </c>
      <c r="U8" s="101">
        <v>454889176</v>
      </c>
      <c r="V8" s="101">
        <v>454889176</v>
      </c>
      <c r="W8" s="102">
        <v>0.387679171078472</v>
      </c>
      <c r="X8" t="inlineStr">
        <is>
          <t>Lo obligado está por debajo de lo programado en la vigencia</t>
        </is>
      </c>
    </row>
    <row r="9">
      <c r="A9" t="inlineStr">
        <is>
          <t>IP-2, IP-303</t>
        </is>
      </c>
      <c r="B9" t="inlineStr">
        <is>
          <t>24</t>
        </is>
      </c>
      <c r="C9" t="inlineStr">
        <is>
          <t>Transporte</t>
        </is>
      </c>
      <c r="D9" t="inlineStr">
        <is>
          <t>2402</t>
        </is>
      </c>
      <c r="E9" t="inlineStr">
        <is>
          <t>Infraestructura red vial regional</t>
        </is>
      </c>
      <c r="F9" t="inlineStr">
        <is>
          <t>2402105</t>
        </is>
      </c>
      <c r="G9" t="inlineStr">
        <is>
          <t>Documentos de lineamientos técnicos</t>
        </is>
      </c>
      <c r="H9" t="inlineStr">
        <is>
          <t>Documentos cuyo objetivo es describir y explicar instrumentos, estándares, requisitos y condiciones necesarias para llevar a cabo un proceso o actividad</t>
        </is>
      </c>
      <c r="I9" t="inlineStr">
        <is>
          <t>2024252140104</t>
        </is>
      </c>
      <c r="J9" s="99">
        <v>10281766666.66</v>
      </c>
      <c r="K9" s="99">
        <v>41766666.66</v>
      </c>
      <c r="L9" s="99">
        <v>0</v>
      </c>
      <c r="M9" s="99">
        <v>9260000000</v>
      </c>
      <c r="N9" s="99">
        <v>980000000</v>
      </c>
      <c r="O9" s="99">
        <v>16500000</v>
      </c>
      <c r="P9" s="99">
        <v>16500000</v>
      </c>
      <c r="Q9" s="99">
        <v>16500000</v>
      </c>
      <c r="R9" s="100">
        <v>0.39505187556186</v>
      </c>
      <c r="S9" t="inlineStr">
        <is>
          <t>Lo obligado está por debajo de lo programado en la vigencia</t>
        </is>
      </c>
      <c r="T9" s="101" t="inlineStr">
        <is>
          <t xml:space="preserve"> </t>
        </is>
      </c>
      <c r="U9" s="101" t="inlineStr">
        <is>
          <t xml:space="preserve"> </t>
        </is>
      </c>
      <c r="V9" s="101" t="inlineStr">
        <is>
          <t xml:space="preserve"> </t>
        </is>
      </c>
      <c r="W9" s="102" t="inlineStr">
        <is>
          <t xml:space="preserve"> </t>
        </is>
      </c>
      <c r="X9" t="inlineStr">
        <is>
          <t>No se encontró ejecución en CUIPO</t>
        </is>
      </c>
    </row>
    <row r="10">
      <c r="A10" t="inlineStr">
        <is>
          <t>IP-3, IP-304</t>
        </is>
      </c>
      <c r="B10" t="inlineStr">
        <is>
          <t>24</t>
        </is>
      </c>
      <c r="C10" t="inlineStr">
        <is>
          <t>Transporte</t>
        </is>
      </c>
      <c r="D10" t="inlineStr">
        <is>
          <t>2402</t>
        </is>
      </c>
      <c r="E10" t="inlineStr">
        <is>
          <t>Infraestructura red vial regional</t>
        </is>
      </c>
      <c r="F10" t="inlineStr">
        <is>
          <t>2402033</t>
        </is>
      </c>
      <c r="G10" t="inlineStr">
        <is>
          <t>Ciclo infraestructura construida en red vial secundaria</t>
        </is>
      </c>
      <c r="H10" t="inlineStr">
        <is>
          <t>Incluye la construcción de vías o secciones de la calzada destinada al tránsito de bicicletas en forma exclusiva</t>
        </is>
      </c>
      <c r="I10" t="inlineStr">
        <is>
          <t>2024252140104</t>
        </is>
      </c>
      <c r="J10" s="99">
        <v>39333333.34</v>
      </c>
      <c r="K10" s="99">
        <v>39333333.34</v>
      </c>
      <c r="L10" s="99">
        <v>0</v>
      </c>
      <c r="M10" s="99">
        <v>0</v>
      </c>
      <c r="N10" s="99">
        <v>0</v>
      </c>
      <c r="O10" s="99">
        <v>18666667</v>
      </c>
      <c r="P10" s="99">
        <v>18666667</v>
      </c>
      <c r="Q10" s="99">
        <v>18666667</v>
      </c>
      <c r="R10" s="100">
        <v>0.47457627958058</v>
      </c>
      <c r="S10" t="inlineStr">
        <is>
          <t>Lo obligado está por debajo de lo programado en la vigencia</t>
        </is>
      </c>
      <c r="T10" s="101" t="inlineStr">
        <is>
          <t xml:space="preserve"> </t>
        </is>
      </c>
      <c r="U10" s="101" t="inlineStr">
        <is>
          <t xml:space="preserve"> </t>
        </is>
      </c>
      <c r="V10" s="101" t="inlineStr">
        <is>
          <t xml:space="preserve"> </t>
        </is>
      </c>
      <c r="W10" s="102" t="inlineStr">
        <is>
          <t xml:space="preserve"> </t>
        </is>
      </c>
      <c r="X10" t="inlineStr">
        <is>
          <t>No se encontró ejecución en CUIPO</t>
        </is>
      </c>
    </row>
    <row r="11">
      <c r="A11" t="inlineStr">
        <is>
          <t>IP-13, IP-605, IP-606, IP-607, IP-7</t>
        </is>
      </c>
      <c r="B11" t="inlineStr">
        <is>
          <t>24</t>
        </is>
      </c>
      <c r="C11" t="inlineStr">
        <is>
          <t>Transporte</t>
        </is>
      </c>
      <c r="D11" t="inlineStr">
        <is>
          <t>2409</t>
        </is>
      </c>
      <c r="E11" t="inlineStr">
        <is>
          <t>Seguridad de transporte</t>
        </is>
      </c>
      <c r="F11" t="inlineStr">
        <is>
          <t>2409009</t>
        </is>
      </c>
      <c r="G11" t="inlineStr">
        <is>
          <t>Servicio de promoción y difusión para la seguridad de transporte</t>
        </is>
      </c>
      <c r="H11" t="inlineStr">
        <is>
          <t>Incluye el diseño e implementación de todo tipo de campañas y estrategias formativas e informativas visuales, auditivas y audiovisuales dirigidas a los actores viales.</t>
        </is>
      </c>
      <c r="I11" t="inlineStr">
        <is>
          <t>2024252140098</t>
        </is>
      </c>
      <c r="J11" s="99">
        <v>13202835322</v>
      </c>
      <c r="K11" s="99">
        <v>2149298661</v>
      </c>
      <c r="L11" s="99">
        <v>2014298661</v>
      </c>
      <c r="M11" s="99">
        <v>4306780000</v>
      </c>
      <c r="N11" s="99">
        <v>4732458000</v>
      </c>
      <c r="O11" s="99">
        <v>246043318</v>
      </c>
      <c r="P11" s="99">
        <v>22833331</v>
      </c>
      <c r="Q11" s="99">
        <v>22833331</v>
      </c>
      <c r="R11" s="100">
        <v>0.010623619422615</v>
      </c>
      <c r="S11" t="inlineStr">
        <is>
          <t>Lo obligado está por debajo de lo programado en la vigencia</t>
        </is>
      </c>
      <c r="T11" s="101">
        <v>1025284390</v>
      </c>
      <c r="U11" s="101">
        <v>382466665</v>
      </c>
      <c r="V11" s="101">
        <v>382466665</v>
      </c>
      <c r="W11" s="102">
        <v>0.189875847313588</v>
      </c>
      <c r="X11" t="inlineStr">
        <is>
          <t>Lo obligado está por debajo de lo programado en la vigencia</t>
        </is>
      </c>
    </row>
    <row r="12">
      <c r="A12" t="inlineStr">
        <is>
          <t>IP-14</t>
        </is>
      </c>
      <c r="B12" t="inlineStr">
        <is>
          <t>24</t>
        </is>
      </c>
      <c r="C12" t="inlineStr">
        <is>
          <t>Transporte</t>
        </is>
      </c>
      <c r="D12" t="inlineStr">
        <is>
          <t>2409</t>
        </is>
      </c>
      <c r="E12" t="inlineStr">
        <is>
          <t>Seguridad de transporte</t>
        </is>
      </c>
      <c r="F12" t="inlineStr">
        <is>
          <t>2409011</t>
        </is>
      </c>
      <c r="G12" t="inlineStr">
        <is>
          <t>Servicio de control a la seguridad vial</t>
        </is>
      </c>
      <c r="H12" t="inlineStr">
        <is>
          <t/>
        </is>
      </c>
      <c r="I12" t="inlineStr">
        <is>
          <t>2024252140099</t>
        </is>
      </c>
      <c r="J12" s="99">
        <v>174900280</v>
      </c>
      <c r="K12" s="99">
        <v>87450140</v>
      </c>
      <c r="L12" s="99">
        <v>87450140</v>
      </c>
      <c r="M12" s="99">
        <v>0</v>
      </c>
      <c r="N12" s="99">
        <v>0</v>
      </c>
      <c r="O12" s="99">
        <v>80131650</v>
      </c>
      <c r="P12" s="99">
        <v>45131650</v>
      </c>
      <c r="Q12" s="99">
        <v>0</v>
      </c>
      <c r="R12" s="100">
        <v>0.516084365330919</v>
      </c>
      <c r="S12" t="inlineStr">
        <is>
          <t>Lo obligado está por debajo de lo programado en la vigencia</t>
        </is>
      </c>
      <c r="T12" s="101" t="inlineStr">
        <is>
          <t xml:space="preserve"> </t>
        </is>
      </c>
      <c r="U12" s="101" t="inlineStr">
        <is>
          <t xml:space="preserve"> </t>
        </is>
      </c>
      <c r="V12" s="101" t="inlineStr">
        <is>
          <t xml:space="preserve"> </t>
        </is>
      </c>
      <c r="W12" s="102" t="inlineStr">
        <is>
          <t xml:space="preserve"> </t>
        </is>
      </c>
      <c r="X12" t="inlineStr">
        <is>
          <t>No se encontró ejecución en CUIPO</t>
        </is>
      </c>
    </row>
    <row r="13">
      <c r="A13" t="inlineStr">
        <is>
          <t>IP-15</t>
        </is>
      </c>
      <c r="B13" t="inlineStr">
        <is>
          <t>12</t>
        </is>
      </c>
      <c r="C13" t="inlineStr">
        <is>
          <t>Justicia y del derecho</t>
        </is>
      </c>
      <c r="D13" t="inlineStr">
        <is>
          <t>1202</t>
        </is>
      </c>
      <c r="E13" t="inlineStr">
        <is>
          <t>Promoción al acceso a la justicia</t>
        </is>
      </c>
      <c r="F13" t="inlineStr">
        <is>
          <t>1202001</t>
        </is>
      </c>
      <c r="G13" t="inlineStr">
        <is>
          <t>Casas de Justicia en operación</t>
        </is>
      </c>
      <c r="H13" t="inlineStr">
        <is>
          <t>"Modelo de atención (infraestructura y equipamiento) para el acceso a la justicia donde se ofrecen servicios de información, orientación, resolución de conflictos y se aplican y ejecutan los mecanismos de justicia formal y no formal existentes en el municipio, a través de entidades del orden nacional y local"</t>
        </is>
      </c>
      <c r="I13" t="inlineStr">
        <is>
          <t>2024252140105</t>
        </is>
      </c>
      <c r="J13" s="99">
        <v>1034166666.6667</v>
      </c>
      <c r="K13" s="99">
        <v>14166666.6667</v>
      </c>
      <c r="L13" s="99">
        <v>20000000</v>
      </c>
      <c r="M13" s="99">
        <v>1000000000</v>
      </c>
      <c r="N13" s="99">
        <v>0</v>
      </c>
      <c r="O13" s="99">
        <v>13333333</v>
      </c>
      <c r="P13" s="99">
        <v>13333333</v>
      </c>
      <c r="Q13" s="99">
        <v>13333333</v>
      </c>
      <c r="R13" s="100">
        <v>0.941176447056609</v>
      </c>
      <c r="S13" t="inlineStr">
        <is>
          <t>Lo obligado está por debajo de lo programado en la vigencia</t>
        </is>
      </c>
      <c r="T13" s="101" t="inlineStr">
        <is>
          <t xml:space="preserve"> </t>
        </is>
      </c>
      <c r="U13" s="101" t="inlineStr">
        <is>
          <t xml:space="preserve"> </t>
        </is>
      </c>
      <c r="V13" s="101" t="inlineStr">
        <is>
          <t xml:space="preserve"> </t>
        </is>
      </c>
      <c r="W13" s="102" t="inlineStr">
        <is>
          <t xml:space="preserve"> </t>
        </is>
      </c>
      <c r="X13" t="inlineStr">
        <is>
          <t>No se encontró ejecución en CUIPO</t>
        </is>
      </c>
    </row>
    <row r="14">
      <c r="A14" t="inlineStr">
        <is>
          <t>IP-16</t>
        </is>
      </c>
      <c r="B14" t="inlineStr">
        <is>
          <t>12</t>
        </is>
      </c>
      <c r="C14" t="inlineStr">
        <is>
          <t>Justicia y del derecho</t>
        </is>
      </c>
      <c r="D14" t="inlineStr">
        <is>
          <t>1202</t>
        </is>
      </c>
      <c r="E14" t="inlineStr">
        <is>
          <t>Promoción al acceso a la justicia</t>
        </is>
      </c>
      <c r="F14" t="inlineStr">
        <is>
          <t>1202002</t>
        </is>
      </c>
      <c r="G14" t="inlineStr">
        <is>
          <t>Servicio de justicia a los ciudadanos</t>
        </is>
      </c>
      <c r="H14" t="inlineStr">
        <is>
          <t>Hace referencia a servicios de información y orientación sobre herramientas y mecanismos legales, formales y no formales, para el reconocimiento y protección de los derechos de los ciudadanos</t>
        </is>
      </c>
      <c r="I14" t="inlineStr">
        <is>
          <t>2024252140123</t>
        </is>
      </c>
      <c r="J14" s="99">
        <v>742000000</v>
      </c>
      <c r="K14" s="99">
        <v>45000000</v>
      </c>
      <c r="L14" s="99">
        <v>300000000</v>
      </c>
      <c r="M14" s="99">
        <v>192000000</v>
      </c>
      <c r="N14" s="99">
        <v>205000000</v>
      </c>
      <c r="O14" s="99">
        <v>16349999</v>
      </c>
      <c r="P14" s="99">
        <v>16349999</v>
      </c>
      <c r="Q14" s="99">
        <v>16349999</v>
      </c>
      <c r="R14" s="100">
        <v>0.363333311111111</v>
      </c>
      <c r="S14" t="inlineStr">
        <is>
          <t>Lo obligado está por debajo de lo programado en la vigencia</t>
        </is>
      </c>
      <c r="T14" s="101">
        <v>126000000</v>
      </c>
      <c r="U14" s="101">
        <v>87987243</v>
      </c>
      <c r="V14" s="101">
        <v>87987243</v>
      </c>
      <c r="W14" s="102">
        <v>0.29329081</v>
      </c>
      <c r="X14" t="inlineStr">
        <is>
          <t>Lo obligado está por debajo de lo programado en la vigencia</t>
        </is>
      </c>
    </row>
    <row r="15">
      <c r="A15" t="inlineStr">
        <is>
          <t>IP-17, IP-18</t>
        </is>
      </c>
      <c r="B15" t="inlineStr">
        <is>
          <t>12</t>
        </is>
      </c>
      <c r="C15" t="inlineStr">
        <is>
          <t>Justicia y del derecho</t>
        </is>
      </c>
      <c r="D15" t="inlineStr">
        <is>
          <t>1207</t>
        </is>
      </c>
      <c r="E15" t="inlineStr">
        <is>
          <t>Fortalecimiento de la política criminal del Estado colombiano</t>
        </is>
      </c>
      <c r="F15" t="inlineStr">
        <is>
          <t>1207002</t>
        </is>
      </c>
      <c r="G15" t="inlineStr">
        <is>
          <t>Documentos de planeación</t>
        </is>
      </c>
      <c r="H15" t="inlineStr">
        <is>
          <t>Documentos cuyo objetivo es plasmar una visión de futuro a nivel país, entidad territorial, comunidad, sector, región, entidad o cualquier nivel de desagregación que se requiera. Incluye objetivos, estrategias, metas e indicadores</t>
        </is>
      </c>
      <c r="I15" t="inlineStr">
        <is>
          <t>2024252140124</t>
        </is>
      </c>
      <c r="J15" s="99">
        <v>2379050000</v>
      </c>
      <c r="K15" s="99">
        <v>589050000</v>
      </c>
      <c r="L15" s="99">
        <v>643000000</v>
      </c>
      <c r="M15" s="99">
        <v>562000000</v>
      </c>
      <c r="N15" s="99">
        <v>585000000</v>
      </c>
      <c r="O15" s="99">
        <v>408575000</v>
      </c>
      <c r="P15" s="99">
        <v>380958118</v>
      </c>
      <c r="Q15" s="99">
        <v>380958118</v>
      </c>
      <c r="R15" s="100">
        <v>0.646733075290722</v>
      </c>
      <c r="S15" t="inlineStr">
        <is>
          <t>Lo obligado está por debajo de lo programado en la vigencia</t>
        </is>
      </c>
      <c r="T15" s="101" t="inlineStr">
        <is>
          <t xml:space="preserve"> </t>
        </is>
      </c>
      <c r="U15" s="101" t="inlineStr">
        <is>
          <t xml:space="preserve"> </t>
        </is>
      </c>
      <c r="V15" s="101" t="inlineStr">
        <is>
          <t xml:space="preserve"> </t>
        </is>
      </c>
      <c r="W15" s="102" t="inlineStr">
        <is>
          <t xml:space="preserve"> </t>
        </is>
      </c>
      <c r="X15" t="inlineStr">
        <is>
          <t>No se encontró ejecución en CUIPO</t>
        </is>
      </c>
    </row>
    <row r="16">
      <c r="A16" t="inlineStr">
        <is>
          <t>IP-19</t>
        </is>
      </c>
      <c r="B16" t="inlineStr">
        <is>
          <t>25</t>
        </is>
      </c>
      <c r="C16" t="inlineStr">
        <is>
          <t>Organismos de Control</t>
        </is>
      </c>
      <c r="D16" t="inlineStr">
        <is>
          <t>2503</t>
        </is>
      </c>
      <c r="E16" t="inlineStr">
        <is>
          <t>Lucha contra la corrupción</t>
        </is>
      </c>
      <c r="F16" t="inlineStr">
        <is>
          <t>2503009</t>
        </is>
      </c>
      <c r="G16" t="inlineStr">
        <is>
          <t>Servicio para fortalecer las capacidades en temas de lucha contra la corrupción</t>
        </is>
      </c>
      <c r="H16" t="inlineStr">
        <is>
          <t/>
        </is>
      </c>
      <c r="I16" t="inlineStr">
        <is>
          <t>2024252140125</t>
        </is>
      </c>
      <c r="J16" s="99">
        <v>456999999.998</v>
      </c>
      <c r="K16" s="99">
        <v>0</v>
      </c>
      <c r="L16" s="99">
        <v>182999999.998</v>
      </c>
      <c r="M16" s="99">
        <v>131000000</v>
      </c>
      <c r="N16" s="99">
        <v>143000000</v>
      </c>
      <c r="O16" s="99" t="inlineStr">
        <is>
          <t xml:space="preserve"> </t>
        </is>
      </c>
      <c r="P16" s="99" t="inlineStr">
        <is>
          <t xml:space="preserve"> </t>
        </is>
      </c>
      <c r="Q16" s="99" t="inlineStr">
        <is>
          <t xml:space="preserve"> </t>
        </is>
      </c>
      <c r="R16" s="100" t="inlineStr">
        <is>
          <t xml:space="preserve"> </t>
        </is>
      </c>
      <c r="S16" t="inlineStr">
        <is>
          <t>No se encontró ejecución en CUIPO</t>
        </is>
      </c>
      <c r="T16" s="101">
        <v>146850000</v>
      </c>
      <c r="U16" s="101">
        <v>93405000</v>
      </c>
      <c r="V16" s="101">
        <v>93405000</v>
      </c>
      <c r="W16" s="102">
        <v>0.510409836071152</v>
      </c>
      <c r="X16" t="inlineStr">
        <is>
          <t>Lo obligado está por debajo de lo programado en la vigencia</t>
        </is>
      </c>
    </row>
    <row r="17">
      <c r="A17" t="inlineStr">
        <is>
          <t>IP-20, IP-21</t>
        </is>
      </c>
      <c r="B17" t="inlineStr">
        <is>
          <t>45</t>
        </is>
      </c>
      <c r="C17" t="inlineStr">
        <is>
          <t>Gobierno Territorial</t>
        </is>
      </c>
      <c r="D17" t="inlineStr">
        <is>
          <t>4501</t>
        </is>
      </c>
      <c r="E17" t="inlineStr">
        <is>
          <t>Fortalecimiento de la convivencia y la seguridad ciudadana</t>
        </is>
      </c>
      <c r="F17" t="inlineStr">
        <is>
          <t>4501001</t>
        </is>
      </c>
      <c r="G17" t="inlineStr">
        <is>
          <t>Servicio de asistencia técnica</t>
        </is>
      </c>
      <c r="H17" t="inlineStr">
        <is>
          <t xml:space="preserve">Incluye las acciones de transferencia de conocimientos y procesos para la implementación de políticas y lineamientos sobre convivencia y seguridad ciudadana, prestados por los actores competentes. </t>
        </is>
      </c>
      <c r="I17" t="inlineStr">
        <is>
          <t>2024252140126</t>
        </is>
      </c>
      <c r="J17" s="99">
        <v>16071065058.5183</v>
      </c>
      <c r="K17" s="99">
        <v>3820427228.16</v>
      </c>
      <c r="L17" s="99">
        <v>3528637830.3583</v>
      </c>
      <c r="M17" s="99">
        <v>4332000000</v>
      </c>
      <c r="N17" s="99">
        <v>4390000000</v>
      </c>
      <c r="O17" s="99">
        <v>1165036390</v>
      </c>
      <c r="P17" s="99">
        <v>542538070</v>
      </c>
      <c r="Q17" s="99">
        <v>509538070</v>
      </c>
      <c r="R17" s="100">
        <v>0.1420097904237</v>
      </c>
      <c r="S17" t="inlineStr">
        <is>
          <t>Lo obligado está por debajo de lo programado en la vigencia</t>
        </is>
      </c>
      <c r="T17" s="101">
        <v>3005515622</v>
      </c>
      <c r="U17" s="101">
        <v>667352780</v>
      </c>
      <c r="V17" s="101">
        <v>667352780</v>
      </c>
      <c r="W17" s="102">
        <v>0.189124759208353</v>
      </c>
      <c r="X17" t="inlineStr">
        <is>
          <t>Lo obligado está por debajo de lo programado en la vigencia</t>
        </is>
      </c>
    </row>
    <row r="18">
      <c r="A18" t="inlineStr">
        <is>
          <t>IP-22, IP-23</t>
        </is>
      </c>
      <c r="B18" t="inlineStr">
        <is>
          <t>45</t>
        </is>
      </c>
      <c r="C18" t="inlineStr">
        <is>
          <t>Gobierno Territorial</t>
        </is>
      </c>
      <c r="D18" t="inlineStr">
        <is>
          <t>4501</t>
        </is>
      </c>
      <c r="E18" t="inlineStr">
        <is>
          <t>Fortalecimiento de la convivencia y la seguridad ciudadana</t>
        </is>
      </c>
      <c r="F18" t="inlineStr">
        <is>
          <t>4501048</t>
        </is>
      </c>
      <c r="G18" t="inlineStr">
        <is>
          <t>Servicio de apoyo para el acceso a la justicia policiva</t>
        </is>
      </c>
      <c r="H18" t="inlineStr">
        <is>
          <t>Comprende la estructuración , definición , implementacion y evaluación de estrategias que permitan garantizar el  efectivo cumplimiento de las normas para la prestación de los servicios de justicia policiva.</t>
        </is>
      </c>
      <c r="I18" t="inlineStr">
        <is>
          <t>2024252140127</t>
        </is>
      </c>
      <c r="J18" s="99">
        <v>6324878453.73</v>
      </c>
      <c r="K18" s="99">
        <v>1425180861.73</v>
      </c>
      <c r="L18" s="99">
        <v>1200767592</v>
      </c>
      <c r="M18" s="99">
        <v>1807450000</v>
      </c>
      <c r="N18" s="99">
        <v>1891480000</v>
      </c>
      <c r="O18" s="99">
        <v>487210747</v>
      </c>
      <c r="P18" s="99">
        <v>348971546</v>
      </c>
      <c r="Q18" s="99">
        <v>198971546</v>
      </c>
      <c r="R18" s="100">
        <v>0.244861235069063</v>
      </c>
      <c r="S18" t="inlineStr">
        <is>
          <t>Lo obligado está por debajo de lo programado en la vigencia</t>
        </is>
      </c>
      <c r="T18" s="101">
        <v>577400000</v>
      </c>
      <c r="U18" s="101">
        <v>440509999</v>
      </c>
      <c r="V18" s="101">
        <v>440509999</v>
      </c>
      <c r="W18" s="102">
        <v>0.366857002083381</v>
      </c>
      <c r="X18" t="inlineStr">
        <is>
          <t>Lo obligado está por debajo de lo programado en la vigencia</t>
        </is>
      </c>
    </row>
    <row r="19">
      <c r="A19" t="inlineStr">
        <is>
          <t>IP-24</t>
        </is>
      </c>
      <c r="B19" t="inlineStr">
        <is>
          <t>45</t>
        </is>
      </c>
      <c r="C19" t="inlineStr">
        <is>
          <t>Gobierno Territorial</t>
        </is>
      </c>
      <c r="D19" t="inlineStr">
        <is>
          <t>4501</t>
        </is>
      </c>
      <c r="E19" t="inlineStr">
        <is>
          <t>Fortalecimiento de la convivencia y la seguridad ciudadana</t>
        </is>
      </c>
      <c r="F19" t="inlineStr">
        <is>
          <t>4501082</t>
        </is>
      </c>
      <c r="G19" t="inlineStr">
        <is>
          <t>Servicio de apoyo para la atención especializada e interdisciplinaria en las comisarias de familia</t>
        </is>
      </c>
      <c r="H19" t="inlineStr">
        <is>
          <t>Recursos para garantizar la atención de las comisarías de familia a aquellas personas que han sido victimas de violencia en el contexto familiar según lo establecido en la normatividad vigente.</t>
        </is>
      </c>
      <c r="I19" t="inlineStr">
        <is>
          <t>2024252140128</t>
        </is>
      </c>
      <c r="J19" s="99">
        <v>8594578162</v>
      </c>
      <c r="K19" s="99">
        <v>696661760</v>
      </c>
      <c r="L19" s="99">
        <v>2046156402</v>
      </c>
      <c r="M19" s="99">
        <v>2774000000</v>
      </c>
      <c r="N19" s="99">
        <v>3077760000</v>
      </c>
      <c r="O19" s="99" t="inlineStr">
        <is>
          <t xml:space="preserve"> </t>
        </is>
      </c>
      <c r="P19" s="99" t="inlineStr">
        <is>
          <t xml:space="preserve"> </t>
        </is>
      </c>
      <c r="Q19" s="99" t="inlineStr">
        <is>
          <t xml:space="preserve"> </t>
        </is>
      </c>
      <c r="R19" s="100" t="inlineStr">
        <is>
          <t xml:space="preserve"> </t>
        </is>
      </c>
      <c r="S19" t="inlineStr">
        <is>
          <t>No se encontró ejecución en CUIPO</t>
        </is>
      </c>
      <c r="T19" s="101">
        <v>1577028026</v>
      </c>
      <c r="U19" s="101">
        <v>755803745</v>
      </c>
      <c r="V19" s="101">
        <v>755803745</v>
      </c>
      <c r="W19" s="102">
        <v>0.369377308724419</v>
      </c>
      <c r="X19" t="inlineStr">
        <is>
          <t>Lo obligado está por debajo de lo programado en la vigencia</t>
        </is>
      </c>
    </row>
    <row r="20">
      <c r="A20" t="inlineStr">
        <is>
          <t>IP-25</t>
        </is>
      </c>
      <c r="B20" t="inlineStr">
        <is>
          <t>40</t>
        </is>
      </c>
      <c r="C20" t="inlineStr">
        <is>
          <t>Vivienda, ciudad y territorio</t>
        </is>
      </c>
      <c r="D20" t="inlineStr">
        <is>
          <t>4002</t>
        </is>
      </c>
      <c r="E20" t="inlineStr">
        <is>
          <t>Ordenamiento territorial y desarrollo urbano</t>
        </is>
      </c>
      <c r="F20" t="inlineStr">
        <is>
          <t>4002019</t>
        </is>
      </c>
      <c r="G20" t="inlineStr">
        <is>
          <t>Espacio publico construido</t>
        </is>
      </c>
      <c r="H20" t="inlineStr">
        <is>
          <t>Construcción de obras de infraestructura que intervienen los elementos constitutivos y complementarios del espacio público contenidos en el Decreto 1504 de 1998</t>
        </is>
      </c>
      <c r="I20" t="inlineStr">
        <is>
          <t>2024252140106</t>
        </is>
      </c>
      <c r="J20" s="99">
        <v>237833333.33</v>
      </c>
      <c r="K20" s="99">
        <v>127833333.33</v>
      </c>
      <c r="L20" s="99">
        <v>110000000</v>
      </c>
      <c r="M20" s="99">
        <v>0</v>
      </c>
      <c r="N20" s="99">
        <v>0</v>
      </c>
      <c r="O20" s="99">
        <v>68616666</v>
      </c>
      <c r="P20" s="99">
        <v>65283333</v>
      </c>
      <c r="Q20" s="99">
        <v>65283333</v>
      </c>
      <c r="R20" s="100">
        <v>0.510691001317098</v>
      </c>
      <c r="S20" t="inlineStr">
        <is>
          <t>Lo obligado está por debajo de lo programado en la vigencia</t>
        </is>
      </c>
      <c r="T20" s="101" t="inlineStr">
        <is>
          <t xml:space="preserve"> </t>
        </is>
      </c>
      <c r="U20" s="101" t="inlineStr">
        <is>
          <t xml:space="preserve"> </t>
        </is>
      </c>
      <c r="V20" s="101" t="inlineStr">
        <is>
          <t xml:space="preserve"> </t>
        </is>
      </c>
      <c r="W20" s="102" t="inlineStr">
        <is>
          <t xml:space="preserve"> </t>
        </is>
      </c>
      <c r="X20" t="inlineStr">
        <is>
          <t>No se encontró ejecución en CUIPO</t>
        </is>
      </c>
    </row>
    <row r="21">
      <c r="A21" t="inlineStr">
        <is>
          <t>IP-26</t>
        </is>
      </c>
      <c r="B21" t="inlineStr">
        <is>
          <t>40</t>
        </is>
      </c>
      <c r="C21" t="inlineStr">
        <is>
          <t>Vivienda, ciudad y territorio</t>
        </is>
      </c>
      <c r="D21" t="inlineStr">
        <is>
          <t>4002</t>
        </is>
      </c>
      <c r="E21" t="inlineStr">
        <is>
          <t>Ordenamiento territorial y desarrollo urbano</t>
        </is>
      </c>
      <c r="F21" t="inlineStr">
        <is>
          <t>4002034</t>
        </is>
      </c>
      <c r="G21" t="inlineStr">
        <is>
          <t>Estudios de pre inversión e inversión</t>
        </is>
      </c>
      <c r="H21" t="inlineStr">
        <is>
          <t>Incluye la realización de estudios de pre factibilidad, factibilidad o definitivos para la ejecución de proyectos</t>
        </is>
      </c>
      <c r="I21" t="inlineStr">
        <is>
          <t/>
        </is>
      </c>
      <c r="J21" s="99">
        <v>6800000000</v>
      </c>
      <c r="K21" s="99">
        <v>0</v>
      </c>
      <c r="L21" s="99">
        <v>0</v>
      </c>
      <c r="M21" s="99">
        <v>5540000000</v>
      </c>
      <c r="N21" s="99">
        <v>1260000000</v>
      </c>
      <c r="O21" s="99" t="inlineStr">
        <is>
          <t xml:space="preserve"> </t>
        </is>
      </c>
      <c r="P21" s="99" t="inlineStr">
        <is>
          <t xml:space="preserve"> </t>
        </is>
      </c>
      <c r="Q21" s="99" t="inlineStr">
        <is>
          <t xml:space="preserve"> </t>
        </is>
      </c>
      <c r="R21" s="100" t="inlineStr">
        <is>
          <t xml:space="preserve"> </t>
        </is>
      </c>
      <c r="S21" t="inlineStr">
        <is>
          <t>Por falta de código BPIN, no se encontró ejecución en CUIPO</t>
        </is>
      </c>
      <c r="T21" s="101" t="inlineStr">
        <is>
          <t xml:space="preserve"> </t>
        </is>
      </c>
      <c r="U21" s="101" t="inlineStr">
        <is>
          <t xml:space="preserve"> </t>
        </is>
      </c>
      <c r="V21" s="101" t="inlineStr">
        <is>
          <t xml:space="preserve"> </t>
        </is>
      </c>
      <c r="W21" s="102" t="inlineStr">
        <is>
          <t xml:space="preserve"> </t>
        </is>
      </c>
      <c r="X21" t="inlineStr">
        <is>
          <t>Por falta de código BPIN, no se encontró ejecución en CUIPO</t>
        </is>
      </c>
    </row>
    <row r="22">
      <c r="A22" t="inlineStr">
        <is>
          <t>IP-27</t>
        </is>
      </c>
      <c r="B22" t="inlineStr">
        <is>
          <t>40</t>
        </is>
      </c>
      <c r="C22" t="inlineStr">
        <is>
          <t>Vivienda, ciudad y territorio</t>
        </is>
      </c>
      <c r="D22" t="inlineStr">
        <is>
          <t>4002</t>
        </is>
      </c>
      <c r="E22" t="inlineStr">
        <is>
          <t>Ordenamiento territorial y desarrollo urbano</t>
        </is>
      </c>
      <c r="F22" t="inlineStr">
        <is>
          <t>4002021</t>
        </is>
      </c>
      <c r="G22" t="inlineStr">
        <is>
          <t>Parques construidos</t>
        </is>
      </c>
      <c r="H22" t="inlineStr">
        <is>
          <t/>
        </is>
      </c>
      <c r="I22" t="inlineStr">
        <is>
          <t>2024252140X53</t>
        </is>
      </c>
      <c r="J22" s="99">
        <v>5947388284.67</v>
      </c>
      <c r="K22" s="99">
        <v>26666666.67</v>
      </c>
      <c r="L22" s="99">
        <v>443457500</v>
      </c>
      <c r="M22" s="99">
        <v>3814084883</v>
      </c>
      <c r="N22" s="99">
        <v>1663179235</v>
      </c>
      <c r="O22" s="99" t="inlineStr">
        <is>
          <t xml:space="preserve"> </t>
        </is>
      </c>
      <c r="P22" s="99" t="inlineStr">
        <is>
          <t xml:space="preserve"> </t>
        </is>
      </c>
      <c r="Q22" s="99" t="inlineStr">
        <is>
          <t xml:space="preserve"> </t>
        </is>
      </c>
      <c r="R22" s="100" t="inlineStr">
        <is>
          <t xml:space="preserve"> </t>
        </is>
      </c>
      <c r="S22" t="inlineStr">
        <is>
          <t>No se encontró ejecución en CUIPO</t>
        </is>
      </c>
      <c r="T22" s="101" t="inlineStr">
        <is>
          <t xml:space="preserve"> </t>
        </is>
      </c>
      <c r="U22" s="101" t="inlineStr">
        <is>
          <t xml:space="preserve"> </t>
        </is>
      </c>
      <c r="V22" s="101" t="inlineStr">
        <is>
          <t xml:space="preserve"> </t>
        </is>
      </c>
      <c r="W22" s="102" t="inlineStr">
        <is>
          <t xml:space="preserve"> </t>
        </is>
      </c>
      <c r="X22" t="inlineStr">
        <is>
          <t>No se encontró ejecución en CUIPO</t>
        </is>
      </c>
    </row>
    <row r="23">
      <c r="A23" t="inlineStr">
        <is>
          <t>IP-28</t>
        </is>
      </c>
      <c r="B23" t="inlineStr">
        <is>
          <t>40</t>
        </is>
      </c>
      <c r="C23" t="inlineStr">
        <is>
          <t>Vivienda, ciudad y territorio</t>
        </is>
      </c>
      <c r="D23" t="inlineStr">
        <is>
          <t>4002</t>
        </is>
      </c>
      <c r="E23" t="inlineStr">
        <is>
          <t>Ordenamiento territorial y desarrollo urbano</t>
        </is>
      </c>
      <c r="F23" t="inlineStr">
        <is>
          <t>4002020</t>
        </is>
      </c>
      <c r="G23" t="inlineStr">
        <is>
          <t>Espacio publico adecuado</t>
        </is>
      </c>
      <c r="H23" t="inlineStr">
        <is>
          <t>Mejoramiento, ampliación y/o mantenimiento de los elementos constitutivos y complementarios del espacio público contenidos en el Decreto 1504 de 1998</t>
        </is>
      </c>
      <c r="I23" t="inlineStr">
        <is>
          <t>2024252140106</t>
        </is>
      </c>
      <c r="J23" s="99">
        <v>8504303652.95</v>
      </c>
      <c r="K23" s="99">
        <v>4812303652.95</v>
      </c>
      <c r="L23" s="99">
        <v>1692000000</v>
      </c>
      <c r="M23" s="99">
        <v>1000000000</v>
      </c>
      <c r="N23" s="99">
        <v>1000000000</v>
      </c>
      <c r="O23" s="99">
        <v>118883333</v>
      </c>
      <c r="P23" s="99">
        <v>18883333</v>
      </c>
      <c r="Q23" s="99">
        <v>18883333</v>
      </c>
      <c r="R23" s="100">
        <v>0.00392396955009776</v>
      </c>
      <c r="S23" t="inlineStr">
        <is>
          <t>Lo obligado está por debajo de lo programado en la vigencia</t>
        </is>
      </c>
      <c r="T23" s="101">
        <v>629411443</v>
      </c>
      <c r="U23" s="101">
        <v>427200001</v>
      </c>
      <c r="V23" s="101">
        <v>427200001</v>
      </c>
      <c r="W23" s="102">
        <v>0.252482270094563</v>
      </c>
      <c r="X23" t="inlineStr">
        <is>
          <t>Lo obligado está por debajo de lo programado en la vigencia</t>
        </is>
      </c>
    </row>
    <row r="24">
      <c r="A24" t="inlineStr">
        <is>
          <t>IP-29, IP-30</t>
        </is>
      </c>
      <c r="B24" t="inlineStr">
        <is>
          <t>40</t>
        </is>
      </c>
      <c r="C24" t="inlineStr">
        <is>
          <t>Vivienda, ciudad y territorio</t>
        </is>
      </c>
      <c r="D24" t="inlineStr">
        <is>
          <t>4002</t>
        </is>
      </c>
      <c r="E24" t="inlineStr">
        <is>
          <t>Ordenamiento territorial y desarrollo urbano</t>
        </is>
      </c>
      <c r="F24" t="inlineStr">
        <is>
          <t>4002016</t>
        </is>
      </c>
      <c r="G24" t="inlineStr">
        <is>
          <t>Documentos de planeación</t>
        </is>
      </c>
      <c r="H24" t="inlineStr">
        <is>
          <t>Documentos cuyo objetivo es plasmar una visión de futuro a nivel país, entidad territorial, comunidad, sector, región, entidad o cualquier nivel de desagregación que se requiera. Incluye objetivos, estrategias, metas e indicadores</t>
        </is>
      </c>
      <c r="I24" t="inlineStr">
        <is>
          <t>2024252140152</t>
        </is>
      </c>
      <c r="J24" s="99">
        <v>3672921461.8</v>
      </c>
      <c r="K24" s="99">
        <v>592921461.8</v>
      </c>
      <c r="L24" s="99">
        <v>800000000</v>
      </c>
      <c r="M24" s="99">
        <v>1140000000</v>
      </c>
      <c r="N24" s="99">
        <v>1140000000</v>
      </c>
      <c r="O24" s="99">
        <v>305749998</v>
      </c>
      <c r="P24" s="99">
        <v>134949998</v>
      </c>
      <c r="Q24" s="99">
        <v>134949998</v>
      </c>
      <c r="R24" s="100">
        <v>0.227601810179575</v>
      </c>
      <c r="S24" t="inlineStr">
        <is>
          <t>Lo obligado está por debajo de lo programado en la vigencia</t>
        </is>
      </c>
      <c r="T24" s="101">
        <v>518966666</v>
      </c>
      <c r="U24" s="101">
        <v>370459998</v>
      </c>
      <c r="V24" s="101">
        <v>370459998</v>
      </c>
      <c r="W24" s="102">
        <v>0.4630749975</v>
      </c>
      <c r="X24" t="inlineStr">
        <is>
          <t>Lo obligado está por debajo de lo programado en la vigencia</t>
        </is>
      </c>
    </row>
    <row r="25">
      <c r="A25" t="inlineStr">
        <is>
          <t>IP-31</t>
        </is>
      </c>
      <c r="B25" t="inlineStr">
        <is>
          <t>04</t>
        </is>
      </c>
      <c r="C25" t="inlineStr">
        <is>
          <t>Información Estadística</t>
        </is>
      </c>
      <c r="D25" t="inlineStr">
        <is>
          <t>0401</t>
        </is>
      </c>
      <c r="E25" t="inlineStr">
        <is>
          <t>Levantamiento y actualización de información estadística de calidad</t>
        </is>
      </c>
      <c r="F25" t="inlineStr">
        <is>
          <t>0401105</t>
        </is>
      </c>
      <c r="G25" t="inlineStr">
        <is>
          <t>Servicio de estratificación socioeconómica</t>
        </is>
      </c>
      <c r="H25" t="inlineStr">
        <is>
          <t>Acciones orientadas a establecer la clasificación de los inmuebles residenciales de un municipio, que se hace en atención al Régimen de los Servicios Públicos Domiciliarios en Colombia.</t>
        </is>
      </c>
      <c r="I25" t="inlineStr">
        <is>
          <t>2024252140058</t>
        </is>
      </c>
      <c r="J25" s="99">
        <v>1337031270.9196</v>
      </c>
      <c r="K25" s="99">
        <v>99940251</v>
      </c>
      <c r="L25" s="99">
        <v>149091019.9196</v>
      </c>
      <c r="M25" s="99">
        <v>644000000</v>
      </c>
      <c r="N25" s="99">
        <v>444000000</v>
      </c>
      <c r="O25" s="99" t="inlineStr">
        <is>
          <t xml:space="preserve"> </t>
        </is>
      </c>
      <c r="P25" s="99" t="inlineStr">
        <is>
          <t xml:space="preserve"> </t>
        </is>
      </c>
      <c r="Q25" s="99" t="inlineStr">
        <is>
          <t xml:space="preserve"> </t>
        </is>
      </c>
      <c r="R25" s="100" t="inlineStr">
        <is>
          <t xml:space="preserve"> </t>
        </is>
      </c>
      <c r="S25" t="inlineStr">
        <is>
          <t>No se encontró ejecución en CUIPO</t>
        </is>
      </c>
      <c r="T25" s="101" t="inlineStr">
        <is>
          <t xml:space="preserve"> </t>
        </is>
      </c>
      <c r="U25" s="101" t="inlineStr">
        <is>
          <t xml:space="preserve"> </t>
        </is>
      </c>
      <c r="V25" s="101" t="inlineStr">
        <is>
          <t xml:space="preserve"> </t>
        </is>
      </c>
      <c r="W25" s="102" t="inlineStr">
        <is>
          <t xml:space="preserve"> </t>
        </is>
      </c>
      <c r="X25" t="inlineStr">
        <is>
          <t>No se encontró ejecución en CUIPO</t>
        </is>
      </c>
    </row>
    <row r="26">
      <c r="A26" t="inlineStr">
        <is>
          <t>IP-32, IP-33, IP-35</t>
        </is>
      </c>
      <c r="B26" t="inlineStr">
        <is>
          <t>04</t>
        </is>
      </c>
      <c r="C26" t="inlineStr">
        <is>
          <t>Información Estadística</t>
        </is>
      </c>
      <c r="D26" t="inlineStr">
        <is>
          <t>0406</t>
        </is>
      </c>
      <c r="E26" t="inlineStr">
        <is>
          <t>Generación de la información geográfica del territorio nacional</t>
        </is>
      </c>
      <c r="F26" t="inlineStr">
        <is>
          <t>0406001</t>
        </is>
      </c>
      <c r="G26" t="inlineStr">
        <is>
          <t>Servicio de información geográfica, geodésica y cartográfica actualizado</t>
        </is>
      </c>
      <c r="H26" t="inlineStr">
        <is>
          <t>Corresponde al proceso que mejora la disposición de los servicios web de mapas de información Geográfica, cartográfica y geodésica para garantizar el uso y acceso de los datos.</t>
        </is>
      </c>
      <c r="I26" t="inlineStr">
        <is>
          <t>2024252140153</t>
        </is>
      </c>
      <c r="J26" s="99">
        <v>19586734655.01</v>
      </c>
      <c r="K26" s="99">
        <v>6204734655.01</v>
      </c>
      <c r="L26" s="99">
        <v>2050000000</v>
      </c>
      <c r="M26" s="99">
        <v>5866000000</v>
      </c>
      <c r="N26" s="99">
        <v>5466000000</v>
      </c>
      <c r="O26" s="99" t="inlineStr">
        <is>
          <t xml:space="preserve"> </t>
        </is>
      </c>
      <c r="P26" s="99" t="inlineStr">
        <is>
          <t xml:space="preserve"> </t>
        </is>
      </c>
      <c r="Q26" s="99" t="inlineStr">
        <is>
          <t xml:space="preserve"> </t>
        </is>
      </c>
      <c r="R26" s="100" t="inlineStr">
        <is>
          <t xml:space="preserve"> </t>
        </is>
      </c>
      <c r="S26" t="inlineStr">
        <is>
          <t>No se encontró ejecución en CUIPO</t>
        </is>
      </c>
      <c r="T26" s="101">
        <v>375616667</v>
      </c>
      <c r="U26" s="101">
        <v>201296667</v>
      </c>
      <c r="V26" s="101">
        <v>201296667</v>
      </c>
      <c r="W26" s="102">
        <v>0.098193496097561</v>
      </c>
      <c r="X26" t="inlineStr">
        <is>
          <t>Lo obligado está por debajo de lo programado en la vigencia</t>
        </is>
      </c>
    </row>
    <row r="27">
      <c r="A27" t="inlineStr">
        <is>
          <t>IP-34, IP-36</t>
        </is>
      </c>
      <c r="B27" t="inlineStr">
        <is>
          <t>04</t>
        </is>
      </c>
      <c r="C27" t="inlineStr">
        <is>
          <t>Información Estadística</t>
        </is>
      </c>
      <c r="D27" t="inlineStr">
        <is>
          <t>0406</t>
        </is>
      </c>
      <c r="E27" t="inlineStr">
        <is>
          <t>Generación de la información geográfica del territorio nacional</t>
        </is>
      </c>
      <c r="F27" t="inlineStr">
        <is>
          <t>0406004</t>
        </is>
      </c>
      <c r="G27" t="inlineStr">
        <is>
          <t>Servicio de información catastral actualizado</t>
        </is>
      </c>
      <c r="H27" t="inlineStr">
        <is>
          <t>Corresponde al proceso que mejora la disposición de la información catastral para garantizar el uso y acceso de los datos.</t>
        </is>
      </c>
      <c r="I27" t="inlineStr">
        <is>
          <t>2024252140153</t>
        </is>
      </c>
      <c r="J27" s="99">
        <v>18817887796</v>
      </c>
      <c r="K27" s="99">
        <v>5216986000</v>
      </c>
      <c r="L27" s="99">
        <v>6780901796</v>
      </c>
      <c r="M27" s="99">
        <v>3400000000</v>
      </c>
      <c r="N27" s="99">
        <v>3420000000</v>
      </c>
      <c r="O27" s="99" t="inlineStr">
        <is>
          <t xml:space="preserve"> </t>
        </is>
      </c>
      <c r="P27" s="99" t="inlineStr">
        <is>
          <t xml:space="preserve"> </t>
        </is>
      </c>
      <c r="Q27" s="99" t="inlineStr">
        <is>
          <t xml:space="preserve"> </t>
        </is>
      </c>
      <c r="R27" s="100" t="inlineStr">
        <is>
          <t xml:space="preserve"> </t>
        </is>
      </c>
      <c r="S27" t="inlineStr">
        <is>
          <t>No se encontró ejecución en CUIPO</t>
        </is>
      </c>
      <c r="T27" s="101">
        <v>7758617752</v>
      </c>
      <c r="U27" s="101">
        <v>2459923212</v>
      </c>
      <c r="V27" s="101">
        <v>2459923212</v>
      </c>
      <c r="W27" s="102">
        <v>0.362772281033636</v>
      </c>
      <c r="X27" t="inlineStr">
        <is>
          <t>Lo obligado está por debajo de lo programado en la vigencia</t>
        </is>
      </c>
    </row>
    <row r="28">
      <c r="A28" t="inlineStr">
        <is>
          <t>IP-37</t>
        </is>
      </c>
      <c r="B28" t="inlineStr">
        <is>
          <t>40</t>
        </is>
      </c>
      <c r="C28" t="inlineStr">
        <is>
          <t>Vivienda, ciudad y territorio</t>
        </is>
      </c>
      <c r="D28" t="inlineStr">
        <is>
          <t>4001</t>
        </is>
      </c>
      <c r="E28" t="inlineStr">
        <is>
          <t>Acceso a soluciones de vivienda</t>
        </is>
      </c>
      <c r="F28" t="inlineStr">
        <is>
          <t>4001042</t>
        </is>
      </c>
      <c r="G28" t="inlineStr">
        <is>
          <t>Vivienda de Interés Social construidas</t>
        </is>
      </c>
      <c r="H28" t="inlineStr">
        <is>
          <t>Corresponde a la solución de vivienda de interés social nueva construida y entregada por el estado al hogar que le fue asignado el subsidio familiar de vivienda de interés social para la adquisición de una vivienda nueva.</t>
        </is>
      </c>
      <c r="I28" t="inlineStr">
        <is>
          <t>2024252140154</t>
        </is>
      </c>
      <c r="J28" s="99">
        <v>7467404792</v>
      </c>
      <c r="K28" s="99">
        <v>1467404792</v>
      </c>
      <c r="L28" s="99">
        <v>1000000000</v>
      </c>
      <c r="M28" s="99">
        <v>2500000000</v>
      </c>
      <c r="N28" s="99">
        <v>2500000000</v>
      </c>
      <c r="O28" s="99">
        <v>693148933</v>
      </c>
      <c r="P28" s="99">
        <v>133059999</v>
      </c>
      <c r="Q28" s="99">
        <v>133059999</v>
      </c>
      <c r="R28" s="100">
        <v>0.090677091778231</v>
      </c>
      <c r="S28" t="inlineStr">
        <is>
          <t>Lo obligado está por debajo de lo programado en la vigencia</t>
        </is>
      </c>
      <c r="T28" s="101">
        <v>218733333</v>
      </c>
      <c r="U28" s="101">
        <v>181176668</v>
      </c>
      <c r="V28" s="101">
        <v>181176668</v>
      </c>
      <c r="W28" s="102">
        <v>0.181176668</v>
      </c>
      <c r="X28" t="inlineStr">
        <is>
          <t>Lo obligado está por debajo de lo programado en la vigencia</t>
        </is>
      </c>
    </row>
    <row r="29">
      <c r="A29" t="inlineStr">
        <is>
          <t>IP-38, IP-42</t>
        </is>
      </c>
      <c r="B29" t="inlineStr">
        <is>
          <t>40</t>
        </is>
      </c>
      <c r="C29" t="inlineStr">
        <is>
          <t>Vivienda, ciudad y territorio</t>
        </is>
      </c>
      <c r="D29" t="inlineStr">
        <is>
          <t>4003</t>
        </is>
      </c>
      <c r="E29" t="inlineStr">
        <is>
          <t>Acceso de la población a los servicios de agua potable y saneamiento básico</t>
        </is>
      </c>
      <c r="F29" t="inlineStr">
        <is>
          <t>4003006</t>
        </is>
      </c>
      <c r="G29" t="inlineStr">
        <is>
          <t>Documentos de planeación</t>
        </is>
      </c>
      <c r="H29" t="inlineStr">
        <is>
          <t>Documentos cuyo objetivo es plasmar una visión de futuro a nivel país, entidad territorial, comunidad, sector, región, entidad o cualquier nivel de desagregación que se requiera. Incluye objetivos, estrategias, metas e indicadores</t>
        </is>
      </c>
      <c r="I29" t="inlineStr">
        <is>
          <t>2024252140169</t>
        </is>
      </c>
      <c r="J29" s="99">
        <v>64766666.6667</v>
      </c>
      <c r="K29" s="99">
        <v>44766666.6667</v>
      </c>
      <c r="L29" s="99">
        <v>20000000</v>
      </c>
      <c r="M29" s="99">
        <v>0</v>
      </c>
      <c r="N29" s="99">
        <v>0</v>
      </c>
      <c r="O29" s="99">
        <v>24866667</v>
      </c>
      <c r="P29" s="99">
        <v>17866667</v>
      </c>
      <c r="Q29" s="99">
        <v>17866667</v>
      </c>
      <c r="R29" s="100">
        <v>0.399106485479971</v>
      </c>
      <c r="S29" t="inlineStr">
        <is>
          <t>Lo obligado está por debajo de lo programado en la vigencia</t>
        </is>
      </c>
      <c r="T29" s="101" t="inlineStr">
        <is>
          <t xml:space="preserve"> </t>
        </is>
      </c>
      <c r="U29" s="101" t="inlineStr">
        <is>
          <t xml:space="preserve"> </t>
        </is>
      </c>
      <c r="V29" s="101" t="inlineStr">
        <is>
          <t xml:space="preserve"> </t>
        </is>
      </c>
      <c r="W29" s="102" t="inlineStr">
        <is>
          <t xml:space="preserve"> </t>
        </is>
      </c>
      <c r="X29" t="inlineStr">
        <is>
          <t>No se encontró ejecución en CUIPO</t>
        </is>
      </c>
    </row>
    <row r="30">
      <c r="A30" t="inlineStr">
        <is>
          <t>IP-39</t>
        </is>
      </c>
      <c r="B30" t="inlineStr">
        <is>
          <t>40</t>
        </is>
      </c>
      <c r="C30" t="inlineStr">
        <is>
          <t>Vivienda, ciudad y territorio</t>
        </is>
      </c>
      <c r="D30" t="inlineStr">
        <is>
          <t>4003</t>
        </is>
      </c>
      <c r="E30" t="inlineStr">
        <is>
          <t>Acceso de la población a los servicios de agua potable y saneamiento básico</t>
        </is>
      </c>
      <c r="F30" t="inlineStr">
        <is>
          <t>4003017</t>
        </is>
      </c>
      <c r="G30" t="inlineStr">
        <is>
          <t>Acueductos optimizados</t>
        </is>
      </c>
      <c r="H30" t="inlineStr">
        <is>
          <t>Conjunto de acciones encaminadas a mejorar la capacidad, eficiencia y eficacia de la infraestructura componente del sistema de acueducto mediante su intervención parcial o total.</t>
        </is>
      </c>
      <c r="I30" t="inlineStr">
        <is>
          <t>2024252140169</t>
        </is>
      </c>
      <c r="J30" s="99">
        <v>27555583221.198</v>
      </c>
      <c r="K30" s="99">
        <v>3197583221.03</v>
      </c>
      <c r="L30" s="99">
        <v>1558000000</v>
      </c>
      <c r="M30" s="99">
        <v>13808071111</v>
      </c>
      <c r="N30" s="99">
        <v>8991928889.168</v>
      </c>
      <c r="O30" s="99">
        <v>4510001065</v>
      </c>
      <c r="P30" s="99">
        <v>4510001065</v>
      </c>
      <c r="Q30" s="99">
        <v>105624899</v>
      </c>
      <c r="R30" s="100">
        <v>1.41044055877528</v>
      </c>
      <c r="S30" t="inlineStr">
        <is>
          <t>Hubo ejecución por encima de lo programado en SisPT</t>
        </is>
      </c>
      <c r="T30" s="101" t="inlineStr">
        <is>
          <t xml:space="preserve"> </t>
        </is>
      </c>
      <c r="U30" s="101" t="inlineStr">
        <is>
          <t xml:space="preserve"> </t>
        </is>
      </c>
      <c r="V30" s="101" t="inlineStr">
        <is>
          <t xml:space="preserve"> </t>
        </is>
      </c>
      <c r="W30" s="102" t="inlineStr">
        <is>
          <t xml:space="preserve"> </t>
        </is>
      </c>
      <c r="X30" t="inlineStr">
        <is>
          <t>No se encontró ejecución en CUIPO</t>
        </is>
      </c>
    </row>
    <row r="31">
      <c r="A31" t="inlineStr">
        <is>
          <t>IP-40</t>
        </is>
      </c>
      <c r="B31" t="inlineStr">
        <is>
          <t>40</t>
        </is>
      </c>
      <c r="C31" t="inlineStr">
        <is>
          <t>Vivienda, ciudad y territorio</t>
        </is>
      </c>
      <c r="D31" t="inlineStr">
        <is>
          <t>4003</t>
        </is>
      </c>
      <c r="E31" t="inlineStr">
        <is>
          <t>Acceso de la población a los servicios de agua potable y saneamiento básico</t>
        </is>
      </c>
      <c r="F31" t="inlineStr">
        <is>
          <t>4003020</t>
        </is>
      </c>
      <c r="G31" t="inlineStr">
        <is>
          <t>Alcantarillados optimizados</t>
        </is>
      </c>
      <c r="H31" t="inlineStr">
        <is>
          <t>Conjunto de acciones encaminadas a mejorar la capacidad, eficiencia y eficacia de la infraestructura componente del sistema de alcantarillado mediante su intervención parcial o total.</t>
        </is>
      </c>
      <c r="I31" t="inlineStr">
        <is>
          <t>2024252140169</t>
        </is>
      </c>
      <c r="J31" s="99">
        <v>25771767035.67</v>
      </c>
      <c r="K31" s="99">
        <v>4451767035.67</v>
      </c>
      <c r="L31" s="99">
        <v>6920000000</v>
      </c>
      <c r="M31" s="99">
        <v>13800000000</v>
      </c>
      <c r="N31" s="99">
        <v>600000000</v>
      </c>
      <c r="O31" s="99">
        <v>3640370461</v>
      </c>
      <c r="P31" s="99">
        <v>2530528459</v>
      </c>
      <c r="Q31" s="99">
        <v>30533333</v>
      </c>
      <c r="R31" s="100">
        <v>0.56843236376118</v>
      </c>
      <c r="S31" t="inlineStr">
        <is>
          <t>Lo obligado está por debajo de lo programado en la vigencia</t>
        </is>
      </c>
      <c r="T31" s="101" t="inlineStr">
        <is>
          <t xml:space="preserve"> </t>
        </is>
      </c>
      <c r="U31" s="101" t="inlineStr">
        <is>
          <t xml:space="preserve"> </t>
        </is>
      </c>
      <c r="V31" s="101" t="inlineStr">
        <is>
          <t xml:space="preserve"> </t>
        </is>
      </c>
      <c r="W31" s="102" t="inlineStr">
        <is>
          <t xml:space="preserve"> </t>
        </is>
      </c>
      <c r="X31" t="inlineStr">
        <is>
          <t>No se encontró ejecución en CUIPO</t>
        </is>
      </c>
    </row>
    <row r="32">
      <c r="A32" t="inlineStr">
        <is>
          <t>IP-41</t>
        </is>
      </c>
      <c r="B32" t="inlineStr">
        <is>
          <t>40</t>
        </is>
      </c>
      <c r="C32" t="inlineStr">
        <is>
          <t>Vivienda, ciudad y territorio</t>
        </is>
      </c>
      <c r="D32" t="inlineStr">
        <is>
          <t>4003</t>
        </is>
      </c>
      <c r="E32" t="inlineStr">
        <is>
          <t>Acceso de la población a los servicios de agua potable y saneamiento básico</t>
        </is>
      </c>
      <c r="F32" t="inlineStr">
        <is>
          <t>4003041</t>
        </is>
      </c>
      <c r="G32" t="inlineStr">
        <is>
          <t>Servicio de regulación en Agua Potable y Saneamiento Básico</t>
        </is>
      </c>
      <c r="H32" t="inlineStr">
        <is>
          <t>Es el conjunto de actividades que permiten la expedición de la regulación de carácter general y particular en agua potable y saneamiento básico, basado en el conocimiento jurídico y técnico de la entidad.</t>
        </is>
      </c>
      <c r="I32" t="inlineStr">
        <is>
          <t/>
        </is>
      </c>
      <c r="J32" s="99">
        <v>600000000</v>
      </c>
      <c r="K32" s="99">
        <v>0</v>
      </c>
      <c r="L32" s="99">
        <v>0</v>
      </c>
      <c r="M32" s="99">
        <v>600000000</v>
      </c>
      <c r="N32" s="99">
        <v>0</v>
      </c>
      <c r="O32" s="99" t="inlineStr">
        <is>
          <t xml:space="preserve"> </t>
        </is>
      </c>
      <c r="P32" s="99" t="inlineStr">
        <is>
          <t xml:space="preserve"> </t>
        </is>
      </c>
      <c r="Q32" s="99" t="inlineStr">
        <is>
          <t xml:space="preserve"> </t>
        </is>
      </c>
      <c r="R32" s="100" t="inlineStr">
        <is>
          <t xml:space="preserve"> </t>
        </is>
      </c>
      <c r="S32" t="inlineStr">
        <is>
          <t>Por falta de código BPIN, no se encontró ejecución en CUIPO</t>
        </is>
      </c>
      <c r="T32" s="101" t="inlineStr">
        <is>
          <t xml:space="preserve"> </t>
        </is>
      </c>
      <c r="U32" s="101" t="inlineStr">
        <is>
          <t xml:space="preserve"> </t>
        </is>
      </c>
      <c r="V32" s="101" t="inlineStr">
        <is>
          <t xml:space="preserve"> </t>
        </is>
      </c>
      <c r="W32" s="102" t="inlineStr">
        <is>
          <t xml:space="preserve"> </t>
        </is>
      </c>
      <c r="X32" t="inlineStr">
        <is>
          <t>Por falta de código BPIN, no se encontró ejecución en CUIPO</t>
        </is>
      </c>
    </row>
    <row r="33">
      <c r="A33" t="inlineStr">
        <is>
          <t>IP-43</t>
        </is>
      </c>
      <c r="B33" t="inlineStr">
        <is>
          <t>40</t>
        </is>
      </c>
      <c r="C33" t="inlineStr">
        <is>
          <t>Vivienda, ciudad y territorio</t>
        </is>
      </c>
      <c r="D33" t="inlineStr">
        <is>
          <t>4003</t>
        </is>
      </c>
      <c r="E33" t="inlineStr">
        <is>
          <t>Acceso de la población a los servicios de agua potable y saneamiento básico</t>
        </is>
      </c>
      <c r="F33" t="inlineStr">
        <is>
          <t>4003006</t>
        </is>
      </c>
      <c r="G33" t="inlineStr">
        <is>
          <t>Documentos de planeación</t>
        </is>
      </c>
      <c r="H33" t="inlineStr">
        <is>
          <t>Documentos cuyo objetivo es plasmar una visión de futuro a nivel país, entidad territorial, comunidad, sector, región, entidad o cualquier nivel de desagregación que se requiera. Incluye objetivos, estrategias, metas e indicadores</t>
        </is>
      </c>
      <c r="I33" t="inlineStr">
        <is>
          <t>2024252140072</t>
        </is>
      </c>
      <c r="J33" s="99">
        <v>5376195951.6286</v>
      </c>
      <c r="K33" s="99">
        <v>740000000</v>
      </c>
      <c r="L33" s="99">
        <v>786195951.6286</v>
      </c>
      <c r="M33" s="99">
        <v>2100000000</v>
      </c>
      <c r="N33" s="99">
        <v>1750000000</v>
      </c>
      <c r="O33" s="99" t="inlineStr">
        <is>
          <t xml:space="preserve"> </t>
        </is>
      </c>
      <c r="P33" s="99" t="inlineStr">
        <is>
          <t xml:space="preserve"> </t>
        </is>
      </c>
      <c r="Q33" s="99" t="inlineStr">
        <is>
          <t xml:space="preserve"> </t>
        </is>
      </c>
      <c r="R33" s="100" t="inlineStr">
        <is>
          <t xml:space="preserve"> </t>
        </is>
      </c>
      <c r="S33" t="inlineStr">
        <is>
          <t>No se encontró ejecución en CUIPO</t>
        </is>
      </c>
      <c r="T33" s="101" t="inlineStr">
        <is>
          <t xml:space="preserve"> </t>
        </is>
      </c>
      <c r="U33" s="101" t="inlineStr">
        <is>
          <t xml:space="preserve"> </t>
        </is>
      </c>
      <c r="V33" s="101" t="inlineStr">
        <is>
          <t xml:space="preserve"> </t>
        </is>
      </c>
      <c r="W33" s="102" t="inlineStr">
        <is>
          <t xml:space="preserve"> </t>
        </is>
      </c>
      <c r="X33" t="inlineStr">
        <is>
          <t>No se encontró ejecución en CUIPO</t>
        </is>
      </c>
    </row>
    <row r="34">
      <c r="A34" t="inlineStr">
        <is>
          <t>IP-44</t>
        </is>
      </c>
      <c r="B34" t="inlineStr">
        <is>
          <t>40</t>
        </is>
      </c>
      <c r="C34" t="inlineStr">
        <is>
          <t>Vivienda, ciudad y territorio</t>
        </is>
      </c>
      <c r="D34" t="inlineStr">
        <is>
          <t>4003</t>
        </is>
      </c>
      <c r="E34" t="inlineStr">
        <is>
          <t>Acceso de la población a los servicios de agua potable y saneamiento básico</t>
        </is>
      </c>
      <c r="F34" t="inlineStr">
        <is>
          <t>4003047</t>
        </is>
      </c>
      <c r="G34" t="inlineStr">
        <is>
          <t>Servicio de apoyo financiero para subsidios al consumo en los servicios públicos domiciliarios</t>
        </is>
      </c>
      <c r="H34" t="inlineStr">
        <is>
          <t>Los subsidios al consumo están destinados a satisfacer necesidades básicas de los usuarios de los estratos 1, 2 y 3 en el servicio público domiciliario de acueducto, alcantarillado y aseo.</t>
        </is>
      </c>
      <c r="I34" t="inlineStr">
        <is>
          <t>2024252140155</t>
        </is>
      </c>
      <c r="J34" s="99">
        <v>44801741526.1244</v>
      </c>
      <c r="K34" s="99">
        <v>18825367994</v>
      </c>
      <c r="L34" s="99">
        <v>9776373532.1244</v>
      </c>
      <c r="M34" s="99">
        <v>8100000000</v>
      </c>
      <c r="N34" s="99">
        <v>8100000000</v>
      </c>
      <c r="O34" s="99">
        <v>324511842</v>
      </c>
      <c r="P34" s="99">
        <v>226113106</v>
      </c>
      <c r="Q34" s="99">
        <v>201719312</v>
      </c>
      <c r="R34" s="100">
        <v>0.0120110855772948</v>
      </c>
      <c r="S34" t="inlineStr">
        <is>
          <t>Lo obligado está por debajo de lo programado en la vigencia</t>
        </is>
      </c>
      <c r="T34" s="101">
        <v>1160458916</v>
      </c>
      <c r="U34" s="101">
        <v>227873960</v>
      </c>
      <c r="V34" s="101">
        <v>227873960</v>
      </c>
      <c r="W34" s="102">
        <v>0.0233086388578775</v>
      </c>
      <c r="X34" t="inlineStr">
        <is>
          <t>Lo obligado está por debajo de lo programado en la vigencia</t>
        </is>
      </c>
    </row>
    <row r="35">
      <c r="A35" t="inlineStr">
        <is>
          <t>IP-45</t>
        </is>
      </c>
      <c r="B35" t="inlineStr">
        <is>
          <t>40</t>
        </is>
      </c>
      <c r="C35" t="inlineStr">
        <is>
          <t>Vivienda, ciudad y territorio</t>
        </is>
      </c>
      <c r="D35" t="inlineStr">
        <is>
          <t>4003</t>
        </is>
      </c>
      <c r="E35" t="inlineStr">
        <is>
          <t>Acceso de la población a los servicios de agua potable y saneamiento básico</t>
        </is>
      </c>
      <c r="F35" t="inlineStr">
        <is>
          <t>4003055</t>
        </is>
      </c>
      <c r="G35" t="inlineStr">
        <is>
          <t>Servicio de asistencia técnica</t>
        </is>
      </c>
      <c r="H35" t="inlineStr">
        <is>
          <t>Corresponde al acompañamiento, asesoría y seguimiento técnico para la transferencia de herramientas de gestión y conocimiento a entidades nacionales y territoriales, o a grupos de valor, en procedimientos y trámites institucionales de competencia de la entidad.</t>
        </is>
      </c>
      <c r="I35" t="inlineStr">
        <is>
          <t>2024252140155</t>
        </is>
      </c>
      <c r="J35" s="99">
        <v>519999999.99</v>
      </c>
      <c r="K35" s="99">
        <v>9999999.99</v>
      </c>
      <c r="L35" s="99">
        <v>100000000</v>
      </c>
      <c r="M35" s="99">
        <v>200000000</v>
      </c>
      <c r="N35" s="99">
        <v>210000000</v>
      </c>
      <c r="O35" s="99" t="inlineStr">
        <is>
          <t xml:space="preserve"> </t>
        </is>
      </c>
      <c r="P35" s="99" t="inlineStr">
        <is>
          <t xml:space="preserve"> </t>
        </is>
      </c>
      <c r="Q35" s="99" t="inlineStr">
        <is>
          <t xml:space="preserve"> </t>
        </is>
      </c>
      <c r="R35" s="100" t="inlineStr">
        <is>
          <t xml:space="preserve"> </t>
        </is>
      </c>
      <c r="S35" t="inlineStr">
        <is>
          <t>No se encontró ejecución en CUIPO</t>
        </is>
      </c>
      <c r="T35" s="101">
        <v>35800000</v>
      </c>
      <c r="U35" s="101">
        <v>31700000</v>
      </c>
      <c r="V35" s="101">
        <v>31700000</v>
      </c>
      <c r="W35" s="102">
        <v>0.317</v>
      </c>
      <c r="X35" t="inlineStr">
        <is>
          <t>Lo obligado está por debajo de lo programado en la vigencia</t>
        </is>
      </c>
    </row>
    <row r="36">
      <c r="A36" t="inlineStr">
        <is>
          <t>IP-46</t>
        </is>
      </c>
      <c r="B36" t="inlineStr">
        <is>
          <t>21</t>
        </is>
      </c>
      <c r="C36" t="inlineStr">
        <is>
          <t>Minas y Energía</t>
        </is>
      </c>
      <c r="D36" t="inlineStr">
        <is>
          <t>2101</t>
        </is>
      </c>
      <c r="E36" t="inlineStr">
        <is>
          <t>Acceso al servicio público domiciliario de gas combustible</t>
        </is>
      </c>
      <c r="F36" t="inlineStr">
        <is>
          <t>2101002</t>
        </is>
      </c>
      <c r="G36" t="inlineStr">
        <is>
          <t>Estudios de pre inversión</t>
        </is>
      </c>
      <c r="H36" t="inlineStr">
        <is>
          <t>Conjunto de análisis y estudios necesarios para evaluar, desde el punto de vista técnico y económico, la viabilidad de emprender un proyecto de infraestructura en los municipios y las zonas rurales dentro del área de influencia de los gasoductos troncales</t>
        </is>
      </c>
      <c r="I36" t="inlineStr">
        <is>
          <t>2024252140108</t>
        </is>
      </c>
      <c r="J36" s="99">
        <v>148450000</v>
      </c>
      <c r="K36" s="99">
        <v>13450000</v>
      </c>
      <c r="L36" s="99">
        <v>0</v>
      </c>
      <c r="M36" s="99">
        <v>65000000</v>
      </c>
      <c r="N36" s="99">
        <v>70000000</v>
      </c>
      <c r="O36" s="99">
        <v>12583333</v>
      </c>
      <c r="P36" s="99">
        <v>12583333</v>
      </c>
      <c r="Q36" s="99">
        <v>12583333</v>
      </c>
      <c r="R36" s="100">
        <v>0.935563791821561</v>
      </c>
      <c r="S36" t="inlineStr">
        <is>
          <t>Lo obligado está por debajo de lo programado en la vigencia</t>
        </is>
      </c>
      <c r="T36" s="101" t="inlineStr">
        <is>
          <t xml:space="preserve"> </t>
        </is>
      </c>
      <c r="U36" s="101" t="inlineStr">
        <is>
          <t xml:space="preserve"> </t>
        </is>
      </c>
      <c r="V36" s="101" t="inlineStr">
        <is>
          <t xml:space="preserve"> </t>
        </is>
      </c>
      <c r="W36" s="102" t="inlineStr">
        <is>
          <t xml:space="preserve"> </t>
        </is>
      </c>
      <c r="X36" t="inlineStr">
        <is>
          <t>No se encontró ejecución en CUIPO</t>
        </is>
      </c>
    </row>
    <row r="37">
      <c r="A37" t="inlineStr">
        <is>
          <t>IP-47, IP-48</t>
        </is>
      </c>
      <c r="B37" t="inlineStr">
        <is>
          <t>21</t>
        </is>
      </c>
      <c r="C37" t="inlineStr">
        <is>
          <t>Minas y Energía</t>
        </is>
      </c>
      <c r="D37" t="inlineStr">
        <is>
          <t>2102</t>
        </is>
      </c>
      <c r="E37" t="inlineStr">
        <is>
          <t>Consolidación productiva del sector de energía eléctrica</t>
        </is>
      </c>
      <c r="F37" t="inlineStr">
        <is>
          <t>2102009</t>
        </is>
      </c>
      <c r="G37" t="inlineStr">
        <is>
          <t>Documentos de planeación</t>
        </is>
      </c>
      <c r="H37" t="inlineStr">
        <is>
          <t>Documentos cuyo objetivo es plasmar una visión de futuro a nivel país, entidad territorial, comunidad, sector, región, entidad o cualquier nivel de desagregación que se requiera. Incluye objetivos, estrategias, metas e indicadores</t>
        </is>
      </c>
      <c r="I37" t="inlineStr">
        <is>
          <t>2024252140109</t>
        </is>
      </c>
      <c r="J37" s="99">
        <v>2925866666.67</v>
      </c>
      <c r="K37" s="99">
        <v>175866666.67</v>
      </c>
      <c r="L37" s="99">
        <v>0</v>
      </c>
      <c r="M37" s="99">
        <v>1350000000</v>
      </c>
      <c r="N37" s="99">
        <v>1400000000</v>
      </c>
      <c r="O37" s="99">
        <v>1440561125</v>
      </c>
      <c r="P37" s="99">
        <v>1307731575</v>
      </c>
      <c r="Q37" s="99">
        <v>1307731575</v>
      </c>
      <c r="R37" s="100">
        <v>7.43592631714488</v>
      </c>
      <c r="S37" t="inlineStr">
        <is>
          <t>Hubo ejecución por encima de lo programado en SisPT</t>
        </is>
      </c>
      <c r="T37" s="101">
        <v>1814727691</v>
      </c>
      <c r="U37" s="101">
        <v>1810704436</v>
      </c>
      <c r="V37" s="101">
        <v>1810704436</v>
      </c>
      <c r="W37" s="102" t="inlineStr">
        <is>
          <t xml:space="preserve"> </t>
        </is>
      </c>
      <c r="X37" t="inlineStr">
        <is>
          <t>Se ejecutó un producto no programado en la vigencia</t>
        </is>
      </c>
    </row>
    <row r="38">
      <c r="A38" t="inlineStr">
        <is>
          <t>IP-50</t>
        </is>
      </c>
      <c r="B38" t="inlineStr">
        <is>
          <t>21</t>
        </is>
      </c>
      <c r="C38" t="inlineStr">
        <is>
          <t>Minas y Energía</t>
        </is>
      </c>
      <c r="D38" t="inlineStr">
        <is>
          <t>2102</t>
        </is>
      </c>
      <c r="E38" t="inlineStr">
        <is>
          <t>Consolidación productiva del sector de energía eléctrica</t>
        </is>
      </c>
      <c r="F38" t="inlineStr">
        <is>
          <t>2102030</t>
        </is>
      </c>
      <c r="G38" t="inlineStr">
        <is>
          <t>Servicio de asistencia técnica en la estructuración de proyectos energéticos</t>
        </is>
      </c>
      <c r="H38" t="inlineStr">
        <is>
          <t>Mediante los cuales se apoyan los análisis y estudios necesarios desde el punto de vista técnico, en los procesos de estructuración de los proyectos de construcción de la nueva infraestructura energética susceptibles de financiarse con los fondos FAER Y FAZNI.</t>
        </is>
      </c>
      <c r="I38" t="inlineStr">
        <is>
          <t>2024252140059</t>
        </is>
      </c>
      <c r="J38" s="99">
        <v>1470546335.1181</v>
      </c>
      <c r="K38" s="99">
        <v>230894700.41</v>
      </c>
      <c r="L38" s="99">
        <v>239651634.7081</v>
      </c>
      <c r="M38" s="99">
        <v>500000000</v>
      </c>
      <c r="N38" s="99">
        <v>500000000</v>
      </c>
      <c r="O38" s="99">
        <v>7500000</v>
      </c>
      <c r="P38" s="99">
        <v>7500000</v>
      </c>
      <c r="Q38" s="99">
        <v>7500000</v>
      </c>
      <c r="R38" s="100">
        <v>0.0324823392944153</v>
      </c>
      <c r="S38" t="inlineStr">
        <is>
          <t>Lo obligado está por debajo de lo programado en la vigencia</t>
        </is>
      </c>
      <c r="T38" s="101" t="inlineStr">
        <is>
          <t xml:space="preserve"> </t>
        </is>
      </c>
      <c r="U38" s="101" t="inlineStr">
        <is>
          <t xml:space="preserve"> </t>
        </is>
      </c>
      <c r="V38" s="101" t="inlineStr">
        <is>
          <t xml:space="preserve"> </t>
        </is>
      </c>
      <c r="W38" s="102" t="inlineStr">
        <is>
          <t xml:space="preserve"> </t>
        </is>
      </c>
      <c r="X38" t="inlineStr">
        <is>
          <t>No se encontró ejecución en CUIPO</t>
        </is>
      </c>
    </row>
    <row r="39">
      <c r="A39" t="inlineStr">
        <is>
          <t>IP-51, IP-54</t>
        </is>
      </c>
      <c r="B39" t="inlineStr">
        <is>
          <t>45</t>
        </is>
      </c>
      <c r="C39" t="inlineStr">
        <is>
          <t>Gobierno Territorial</t>
        </is>
      </c>
      <c r="D39" t="inlineStr">
        <is>
          <t>4503</t>
        </is>
      </c>
      <c r="E39" t="inlineStr">
        <is>
          <t>Gestión del riesgo de desastres y emergencias</t>
        </is>
      </c>
      <c r="F39" t="inlineStr">
        <is>
          <t>4503023</t>
        </is>
      </c>
      <c r="G39" t="inlineStr">
        <is>
          <t>Documentos de planeación</t>
        </is>
      </c>
      <c r="H39" t="inlineStr">
        <is>
          <t>Documentos cuyo objetivo es plasmar una visión de futuro a nivel país, entidad territorial, comunidad, sector, región, entidad o cualquier nivel de desagregación que se requiera. Incluye objetivos, estrategias, metas e indicadores</t>
        </is>
      </c>
      <c r="I39" t="inlineStr">
        <is>
          <t>2024252140156</t>
        </is>
      </c>
      <c r="J39" s="99">
        <v>1614728765.4</v>
      </c>
      <c r="K39" s="99">
        <v>764347982</v>
      </c>
      <c r="L39" s="99">
        <v>690380783.4</v>
      </c>
      <c r="M39" s="99">
        <v>160000000</v>
      </c>
      <c r="N39" s="99">
        <v>0</v>
      </c>
      <c r="O39" s="99">
        <v>34110081</v>
      </c>
      <c r="P39" s="99">
        <v>31400000</v>
      </c>
      <c r="Q39" s="99">
        <v>31400000</v>
      </c>
      <c r="R39" s="100">
        <v>0.0410807652266425</v>
      </c>
      <c r="S39" t="inlineStr">
        <is>
          <t>Lo obligado está por debajo de lo programado en la vigencia</t>
        </is>
      </c>
      <c r="T39" s="101">
        <v>163166667</v>
      </c>
      <c r="U39" s="101">
        <v>79333333</v>
      </c>
      <c r="V39" s="101">
        <v>79333333</v>
      </c>
      <c r="W39" s="102">
        <v>0.114912429354273</v>
      </c>
      <c r="X39" t="inlineStr">
        <is>
          <t>Lo obligado está por debajo de lo programado en la vigencia</t>
        </is>
      </c>
    </row>
    <row r="40">
      <c r="A40" t="inlineStr">
        <is>
          <t>IP-52</t>
        </is>
      </c>
      <c r="B40" t="inlineStr">
        <is>
          <t>45</t>
        </is>
      </c>
      <c r="C40" t="inlineStr">
        <is>
          <t>Gobierno Territorial</t>
        </is>
      </c>
      <c r="D40" t="inlineStr">
        <is>
          <t>4503</t>
        </is>
      </c>
      <c r="E40" t="inlineStr">
        <is>
          <t>Gestión del riesgo de desastres y emergencias</t>
        </is>
      </c>
      <c r="F40" t="inlineStr">
        <is>
          <t>4503019</t>
        </is>
      </c>
      <c r="G40" t="inlineStr">
        <is>
          <t>"Servicios de información implementados"</t>
        </is>
      </c>
      <c r="H40" t="inlineStr">
        <is>
          <t>Corresponde al proceso que asegura la disposición de la información de manera accesible, confiable y oportuna.</t>
        </is>
      </c>
      <c r="I40" t="inlineStr">
        <is>
          <t>2024252140156</t>
        </is>
      </c>
      <c r="J40" s="99">
        <v>710000000</v>
      </c>
      <c r="K40" s="99">
        <v>110000000</v>
      </c>
      <c r="L40" s="99">
        <v>200000000</v>
      </c>
      <c r="M40" s="99">
        <v>200000000</v>
      </c>
      <c r="N40" s="99">
        <v>200000000</v>
      </c>
      <c r="O40" s="99">
        <v>0</v>
      </c>
      <c r="P40" s="99">
        <v>0</v>
      </c>
      <c r="Q40" s="99">
        <v>0</v>
      </c>
      <c r="R40" s="100">
        <v>0</v>
      </c>
      <c r="S40" t="inlineStr">
        <is>
          <t>No se ejecutó en la vigencia</t>
        </is>
      </c>
      <c r="T40" s="101" t="inlineStr">
        <is>
          <t xml:space="preserve"> </t>
        </is>
      </c>
      <c r="U40" s="101" t="inlineStr">
        <is>
          <t xml:space="preserve"> </t>
        </is>
      </c>
      <c r="V40" s="101" t="inlineStr">
        <is>
          <t xml:space="preserve"> </t>
        </is>
      </c>
      <c r="W40" s="102" t="inlineStr">
        <is>
          <t xml:space="preserve"> </t>
        </is>
      </c>
      <c r="X40" t="inlineStr">
        <is>
          <t>No se encontró ejecución en CUIPO</t>
        </is>
      </c>
    </row>
    <row r="41">
      <c r="A41" t="inlineStr">
        <is>
          <t>IP-53</t>
        </is>
      </c>
      <c r="B41" t="inlineStr">
        <is>
          <t>45</t>
        </is>
      </c>
      <c r="C41" t="inlineStr">
        <is>
          <t>Gobierno Territorial</t>
        </is>
      </c>
      <c r="D41" t="inlineStr">
        <is>
          <t>4503</t>
        </is>
      </c>
      <c r="E41" t="inlineStr">
        <is>
          <t>Gestión del riesgo de desastres y emergencias</t>
        </is>
      </c>
      <c r="F41" t="inlineStr">
        <is>
          <t>4503004</t>
        </is>
      </c>
      <c r="G41" t="inlineStr">
        <is>
          <t>Servicio de atención a emergencias y desastres</t>
        </is>
      </c>
      <c r="H41" t="inlineStr">
        <is>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is>
      </c>
      <c r="I41" t="inlineStr">
        <is>
          <t>2024252140156</t>
        </is>
      </c>
      <c r="J41" s="99">
        <v>1394319407.4511</v>
      </c>
      <c r="K41" s="99">
        <v>199999999.6</v>
      </c>
      <c r="L41" s="99">
        <v>394319407.8511</v>
      </c>
      <c r="M41" s="99">
        <v>400000000</v>
      </c>
      <c r="N41" s="99">
        <v>400000000</v>
      </c>
      <c r="O41" s="99" t="inlineStr">
        <is>
          <t xml:space="preserve"> </t>
        </is>
      </c>
      <c r="P41" s="99" t="inlineStr">
        <is>
          <t xml:space="preserve"> </t>
        </is>
      </c>
      <c r="Q41" s="99" t="inlineStr">
        <is>
          <t xml:space="preserve"> </t>
        </is>
      </c>
      <c r="R41" s="100" t="inlineStr">
        <is>
          <t xml:space="preserve"> </t>
        </is>
      </c>
      <c r="S41" t="inlineStr">
        <is>
          <t>No se encontró ejecución en CUIPO</t>
        </is>
      </c>
      <c r="T41" s="101">
        <v>68200000</v>
      </c>
      <c r="U41" s="101">
        <v>44200000</v>
      </c>
      <c r="V41" s="101">
        <v>44200000</v>
      </c>
      <c r="W41" s="102">
        <v>0.112091870498777</v>
      </c>
      <c r="X41" t="inlineStr">
        <is>
          <t>Lo obligado está por debajo de lo programado en la vigencia</t>
        </is>
      </c>
    </row>
    <row r="42">
      <c r="A42" t="inlineStr">
        <is>
          <t>IP-55</t>
        </is>
      </c>
      <c r="B42" t="inlineStr">
        <is>
          <t>45</t>
        </is>
      </c>
      <c r="C42" t="inlineStr">
        <is>
          <t>Gobierno Territorial</t>
        </is>
      </c>
      <c r="D42" t="inlineStr">
        <is>
          <t>4503</t>
        </is>
      </c>
      <c r="E42" t="inlineStr">
        <is>
          <t>Gestión del riesgo de desastres y emergencias</t>
        </is>
      </c>
      <c r="F42" t="inlineStr">
        <is>
          <t>4503017</t>
        </is>
      </c>
      <c r="G42" t="inlineStr">
        <is>
          <t>Estudios de riesgo de desastres</t>
        </is>
      </c>
      <c r="H42" t="inlineStr">
        <is>
          <t xml:space="preserve">Estudios cuyo propósito es conocer las condiciones de riesgo de un territorio, analizar (valorar) la amenaza y la vulnerabilidad de los elementos expuestos, realizar análisis de riesgo a diferentes escalas con el propósito de definir tipos de intervención y alcance de la reducción del riesgo y el manejo post desastre. </t>
        </is>
      </c>
      <c r="I42" t="inlineStr">
        <is>
          <t>2024252140110</t>
        </is>
      </c>
      <c r="J42" s="99">
        <v>2642483333.33</v>
      </c>
      <c r="K42" s="99">
        <v>622483333.33</v>
      </c>
      <c r="L42" s="99">
        <v>20000000</v>
      </c>
      <c r="M42" s="99">
        <v>1000000000</v>
      </c>
      <c r="N42" s="99">
        <v>1000000000</v>
      </c>
      <c r="O42" s="99" t="inlineStr">
        <is>
          <t xml:space="preserve"> </t>
        </is>
      </c>
      <c r="P42" s="99" t="inlineStr">
        <is>
          <t xml:space="preserve"> </t>
        </is>
      </c>
      <c r="Q42" s="99" t="inlineStr">
        <is>
          <t xml:space="preserve"> </t>
        </is>
      </c>
      <c r="R42" s="100" t="inlineStr">
        <is>
          <t xml:space="preserve"> </t>
        </is>
      </c>
      <c r="S42" t="inlineStr">
        <is>
          <t>No se encontró ejecución en CUIPO</t>
        </is>
      </c>
      <c r="T42" s="101" t="inlineStr">
        <is>
          <t xml:space="preserve"> </t>
        </is>
      </c>
      <c r="U42" s="101" t="inlineStr">
        <is>
          <t xml:space="preserve"> </t>
        </is>
      </c>
      <c r="V42" s="101" t="inlineStr">
        <is>
          <t xml:space="preserve"> </t>
        </is>
      </c>
      <c r="W42" s="102" t="inlineStr">
        <is>
          <t xml:space="preserve"> </t>
        </is>
      </c>
      <c r="X42" t="inlineStr">
        <is>
          <t>No se encontró ejecución en CUIPO</t>
        </is>
      </c>
    </row>
    <row r="43">
      <c r="A43" t="inlineStr">
        <is>
          <t>IP-56</t>
        </is>
      </c>
      <c r="B43" t="inlineStr">
        <is>
          <t>45</t>
        </is>
      </c>
      <c r="C43" t="inlineStr">
        <is>
          <t>Gobierno Territorial</t>
        </is>
      </c>
      <c r="D43" t="inlineStr">
        <is>
          <t>4503</t>
        </is>
      </c>
      <c r="E43" t="inlineStr">
        <is>
          <t>Gestión del riesgo de desastres y emergencias</t>
        </is>
      </c>
      <c r="F43" t="inlineStr">
        <is>
          <t>4503016</t>
        </is>
      </c>
      <c r="G43" t="inlineStr">
        <is>
          <t>Servicio de fortalecimiento a las salas de crisis territorial</t>
        </is>
      </c>
      <c r="H43" t="inlineStr">
        <is>
          <t>Incluye la dotación de los organismos que componen la sala de crisis de los Consejos territoriales de Gestión de Riesgo con vehículos, equipos de protección personal y equipos, herramientas y accesorios para la atención de emergencias, así como el aseguramiento del personal misional.</t>
        </is>
      </c>
      <c r="I43" t="inlineStr">
        <is>
          <t>2024252140129</t>
        </is>
      </c>
      <c r="J43" s="99">
        <v>14368303481.2036</v>
      </c>
      <c r="K43" s="99">
        <v>1729380991.56</v>
      </c>
      <c r="L43" s="99">
        <v>3578922489.6436</v>
      </c>
      <c r="M43" s="99">
        <v>4320000000</v>
      </c>
      <c r="N43" s="99">
        <v>4740000000</v>
      </c>
      <c r="O43" s="99">
        <v>1192049000</v>
      </c>
      <c r="P43" s="99">
        <v>940230557</v>
      </c>
      <c r="Q43" s="99">
        <v>940230557</v>
      </c>
      <c r="R43" s="100">
        <v>0.543680404484994</v>
      </c>
      <c r="S43" t="inlineStr">
        <is>
          <t>Lo obligado está por debajo de lo programado en la vigencia</t>
        </is>
      </c>
      <c r="T43" s="101">
        <v>3209157086</v>
      </c>
      <c r="U43" s="101">
        <v>1851281782</v>
      </c>
      <c r="V43" s="101">
        <v>1851281782</v>
      </c>
      <c r="W43" s="102">
        <v>0.517273505463472</v>
      </c>
      <c r="X43" t="inlineStr">
        <is>
          <t>Lo obligado está por debajo de lo programado en la vigencia</t>
        </is>
      </c>
    </row>
    <row r="44">
      <c r="A44" t="inlineStr">
        <is>
          <t>IP-57</t>
        </is>
      </c>
      <c r="B44" t="inlineStr">
        <is>
          <t>45</t>
        </is>
      </c>
      <c r="C44" t="inlineStr">
        <is>
          <t>Gobierno Territorial</t>
        </is>
      </c>
      <c r="D44" t="inlineStr">
        <is>
          <t>4503</t>
        </is>
      </c>
      <c r="E44" t="inlineStr">
        <is>
          <t>Gestión del riesgo de desastres y emergencias</t>
        </is>
      </c>
      <c r="F44" t="inlineStr">
        <is>
          <t>4503003</t>
        </is>
      </c>
      <c r="G44" t="inlineStr">
        <is>
          <t>Servicio de asistencia técnica</t>
        </is>
      </c>
      <c r="H44"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44" t="inlineStr">
        <is>
          <t>2024252140156</t>
        </is>
      </c>
      <c r="J44" s="99">
        <v>1338588625.8</v>
      </c>
      <c r="K44" s="99">
        <v>115000000</v>
      </c>
      <c r="L44" s="99">
        <v>890380783.4</v>
      </c>
      <c r="M44" s="99">
        <v>163177200</v>
      </c>
      <c r="N44" s="99">
        <v>170030642.4</v>
      </c>
      <c r="O44" s="99">
        <v>108699972</v>
      </c>
      <c r="P44" s="99">
        <v>103699972</v>
      </c>
      <c r="Q44" s="99">
        <v>103699972</v>
      </c>
      <c r="R44" s="100">
        <v>0.901738886956522</v>
      </c>
      <c r="S44" t="inlineStr">
        <is>
          <t>Lo obligado está por debajo de lo programado en la vigencia</t>
        </is>
      </c>
      <c r="T44" s="101">
        <v>324916667</v>
      </c>
      <c r="U44" s="101">
        <v>215466667</v>
      </c>
      <c r="V44" s="101">
        <v>215466667</v>
      </c>
      <c r="W44" s="102">
        <v>0.241993842429102</v>
      </c>
      <c r="X44" t="inlineStr">
        <is>
          <t>Lo obligado está por debajo de lo programado en la vigencia</t>
        </is>
      </c>
    </row>
    <row r="45">
      <c r="A45" t="inlineStr">
        <is>
          <t>IP-58</t>
        </is>
      </c>
      <c r="B45" t="inlineStr">
        <is>
          <t>45</t>
        </is>
      </c>
      <c r="C45" t="inlineStr">
        <is>
          <t>Gobierno Territorial</t>
        </is>
      </c>
      <c r="D45" t="inlineStr">
        <is>
          <t>4503</t>
        </is>
      </c>
      <c r="E45" t="inlineStr">
        <is>
          <t>Gestión del riesgo de desastres y emergencias</t>
        </is>
      </c>
      <c r="F45" t="inlineStr">
        <is>
          <t>4503026</t>
        </is>
      </c>
      <c r="G45" t="inlineStr">
        <is>
          <t>Centros logísticos construidos y dotados</t>
        </is>
      </c>
      <c r="H45" t="inlineStr">
        <is>
          <t xml:space="preserve">Incluye la construcción de centros logísticos en terrenos no construidos o cuya área esté libre por autorización de demolición total. A su vez, contiene la dotación a la infraestructura construida. </t>
        </is>
      </c>
      <c r="I45" t="inlineStr">
        <is>
          <t/>
        </is>
      </c>
      <c r="J45" s="99">
        <v>1020000000</v>
      </c>
      <c r="K45" s="99">
        <v>0</v>
      </c>
      <c r="L45" s="99">
        <v>20000000</v>
      </c>
      <c r="M45" s="99">
        <v>500000000</v>
      </c>
      <c r="N45" s="99">
        <v>500000000</v>
      </c>
      <c r="O45" s="99" t="inlineStr">
        <is>
          <t xml:space="preserve"> </t>
        </is>
      </c>
      <c r="P45" s="99" t="inlineStr">
        <is>
          <t xml:space="preserve"> </t>
        </is>
      </c>
      <c r="Q45" s="99" t="inlineStr">
        <is>
          <t xml:space="preserve"> </t>
        </is>
      </c>
      <c r="R45" s="100" t="inlineStr">
        <is>
          <t xml:space="preserve"> </t>
        </is>
      </c>
      <c r="S45" t="inlineStr">
        <is>
          <t>Por falta de código BPIN, no se encontró ejecución en CUIPO</t>
        </is>
      </c>
      <c r="T45" s="101" t="inlineStr">
        <is>
          <t xml:space="preserve"> </t>
        </is>
      </c>
      <c r="U45" s="101" t="inlineStr">
        <is>
          <t xml:space="preserve"> </t>
        </is>
      </c>
      <c r="V45" s="101" t="inlineStr">
        <is>
          <t xml:space="preserve"> </t>
        </is>
      </c>
      <c r="W45" s="102" t="inlineStr">
        <is>
          <t xml:space="preserve"> </t>
        </is>
      </c>
      <c r="X45" t="inlineStr">
        <is>
          <t>Por falta de código BPIN, no se encontró ejecución en CUIPO</t>
        </is>
      </c>
    </row>
    <row r="46">
      <c r="A46" t="inlineStr">
        <is>
          <t>IP-59</t>
        </is>
      </c>
      <c r="B46" t="inlineStr">
        <is>
          <t>32</t>
        </is>
      </c>
      <c r="C46" t="inlineStr">
        <is>
          <t>Ambiente y desarrollo sostenible</t>
        </is>
      </c>
      <c r="D46" t="inlineStr">
        <is>
          <t>3201</t>
        </is>
      </c>
      <c r="E46" t="inlineStr">
        <is>
          <t>Fortalecimiento del desempeño ambiental de los sectores productivos</t>
        </is>
      </c>
      <c r="F46" t="inlineStr">
        <is>
          <t>3201002</t>
        </is>
      </c>
      <c r="G46" t="inlineStr">
        <is>
          <t>Documentos de lineamientos técnicos para el fortalecimiento del desempeño ambiental de los sectores productivos</t>
        </is>
      </c>
      <c r="H46" t="inlineStr">
        <is>
          <t>Documentos cuyo objetivo es describir y explicar instrumentos, estándares, requisitos y condiciones necesarias para llevar a cabo un proceso o actividad</t>
        </is>
      </c>
      <c r="I46" t="inlineStr">
        <is>
          <t>2024252140060</t>
        </is>
      </c>
      <c r="J46" s="99">
        <v>537333333.33</v>
      </c>
      <c r="K46" s="99">
        <v>3333333.33</v>
      </c>
      <c r="L46" s="99">
        <v>190000000</v>
      </c>
      <c r="M46" s="99">
        <v>272000000</v>
      </c>
      <c r="N46" s="99">
        <v>72000000</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t="inlineStr">
        <is>
          <t xml:space="preserve"> </t>
        </is>
      </c>
      <c r="U46" s="101" t="inlineStr">
        <is>
          <t xml:space="preserve"> </t>
        </is>
      </c>
      <c r="V46" s="101" t="inlineStr">
        <is>
          <t xml:space="preserve"> </t>
        </is>
      </c>
      <c r="W46" s="102" t="inlineStr">
        <is>
          <t xml:space="preserve"> </t>
        </is>
      </c>
      <c r="X46" t="inlineStr">
        <is>
          <t>No se encontró ejecución en CUIPO</t>
        </is>
      </c>
    </row>
    <row r="47">
      <c r="A47" t="inlineStr">
        <is>
          <t>IP-60</t>
        </is>
      </c>
      <c r="B47" t="inlineStr">
        <is>
          <t>32</t>
        </is>
      </c>
      <c r="C47" t="inlineStr">
        <is>
          <t>Ambiente y desarrollo sostenible</t>
        </is>
      </c>
      <c r="D47" t="inlineStr">
        <is>
          <t>3201</t>
        </is>
      </c>
      <c r="E47" t="inlineStr">
        <is>
          <t>Fortalecimiento del desempeño ambiental de los sectores productivos</t>
        </is>
      </c>
      <c r="F47" t="inlineStr">
        <is>
          <t>3201003</t>
        </is>
      </c>
      <c r="G47" t="inlineStr">
        <is>
          <t>Servicio de asistencia técnica para la consolidación de negocios verdes</t>
        </is>
      </c>
      <c r="H47" t="inlineStr">
        <is>
          <t>Incluye la verificación y asesoría técnica en la consolidación de negocios verdes </t>
        </is>
      </c>
      <c r="I47" t="inlineStr">
        <is>
          <t>2024252140060</t>
        </is>
      </c>
      <c r="J47" s="99">
        <v>568100000</v>
      </c>
      <c r="K47" s="99">
        <v>108100000</v>
      </c>
      <c r="L47" s="99">
        <v>130000000</v>
      </c>
      <c r="M47" s="99">
        <v>160000000</v>
      </c>
      <c r="N47" s="99">
        <v>170000000</v>
      </c>
      <c r="O47" s="99">
        <v>34416666</v>
      </c>
      <c r="P47" s="99">
        <v>34416666</v>
      </c>
      <c r="Q47" s="99">
        <v>34416666</v>
      </c>
      <c r="R47" s="100">
        <v>0.318378038852914</v>
      </c>
      <c r="S47" t="inlineStr">
        <is>
          <t>Lo obligado está por debajo de lo programado en la vigencia</t>
        </is>
      </c>
      <c r="T47" s="101">
        <v>314311546</v>
      </c>
      <c r="U47" s="101">
        <v>212210373</v>
      </c>
      <c r="V47" s="101">
        <v>212210373</v>
      </c>
      <c r="W47" s="102">
        <v>1.63238748461538</v>
      </c>
      <c r="X47" t="inlineStr">
        <is>
          <t>Hubo ejecución por encima de lo programado en SisPT</t>
        </is>
      </c>
    </row>
    <row r="48">
      <c r="A48" t="inlineStr">
        <is>
          <t>IP-61</t>
        </is>
      </c>
      <c r="B48" t="inlineStr">
        <is>
          <t>32</t>
        </is>
      </c>
      <c r="C48" t="inlineStr">
        <is>
          <t>Ambiente y desarrollo sostenible</t>
        </is>
      </c>
      <c r="D48" t="inlineStr">
        <is>
          <t>3201</t>
        </is>
      </c>
      <c r="E48" t="inlineStr">
        <is>
          <t>Fortalecimiento del desempeño ambiental de los sectores productivos</t>
        </is>
      </c>
      <c r="F48" t="inlineStr">
        <is>
          <t>3201021</t>
        </is>
      </c>
      <c r="G48" t="inlineStr">
        <is>
          <t>Documentos de instrumentos técnicos de evaluación y seguimiento ambiental</t>
        </is>
      </c>
      <c r="H48" t="inlineStr">
        <is>
          <t xml:space="preserve">Herramientas de gestión y generación de información ambiental asociada a la evaluación y seguimiento de licencias, permisos y trámites ambientales </t>
        </is>
      </c>
      <c r="I48" t="inlineStr">
        <is>
          <t>2024252140060</t>
        </is>
      </c>
      <c r="J48" s="99">
        <v>492000000</v>
      </c>
      <c r="K48" s="99">
        <v>30000000</v>
      </c>
      <c r="L48" s="99">
        <v>80000000</v>
      </c>
      <c r="M48" s="99">
        <v>182000000</v>
      </c>
      <c r="N48" s="99">
        <v>200000000</v>
      </c>
      <c r="O48" s="99" t="inlineStr">
        <is>
          <t xml:space="preserve"> </t>
        </is>
      </c>
      <c r="P48" s="99" t="inlineStr">
        <is>
          <t xml:space="preserve"> </t>
        </is>
      </c>
      <c r="Q48" s="99" t="inlineStr">
        <is>
          <t xml:space="preserve"> </t>
        </is>
      </c>
      <c r="R48" s="100" t="inlineStr">
        <is>
          <t xml:space="preserve"> </t>
        </is>
      </c>
      <c r="S48" t="inlineStr">
        <is>
          <t>No se encontró ejecución en CUIPO</t>
        </is>
      </c>
      <c r="T48" s="101" t="inlineStr">
        <is>
          <t xml:space="preserve"> </t>
        </is>
      </c>
      <c r="U48" s="101" t="inlineStr">
        <is>
          <t xml:space="preserve"> </t>
        </is>
      </c>
      <c r="V48" s="101" t="inlineStr">
        <is>
          <t xml:space="preserve"> </t>
        </is>
      </c>
      <c r="W48" s="102" t="inlineStr">
        <is>
          <t xml:space="preserve"> </t>
        </is>
      </c>
      <c r="X48" t="inlineStr">
        <is>
          <t>No se encontró ejecución en CUIPO</t>
        </is>
      </c>
    </row>
    <row r="49">
      <c r="A49" t="inlineStr">
        <is>
          <t>IP-62, IP-65, IP-66</t>
        </is>
      </c>
      <c r="B49" t="inlineStr">
        <is>
          <t>32</t>
        </is>
      </c>
      <c r="C49" t="inlineStr">
        <is>
          <t>Ambiente y desarrollo sostenible</t>
        </is>
      </c>
      <c r="D49" t="inlineStr">
        <is>
          <t>3202</t>
        </is>
      </c>
      <c r="E49" t="inlineStr">
        <is>
          <t>Conservación de la biodiversidad y sus servicios ecosistémicos</t>
        </is>
      </c>
      <c r="F49" t="inlineStr">
        <is>
          <t>3202049</t>
        </is>
      </c>
      <c r="G49" t="inlineStr">
        <is>
          <t>Servicio de recuperación de ecosistemas</t>
        </is>
      </c>
      <c r="H49" t="inlineStr">
        <is>
          <t>Incluye al recuperación de áreas disturbadas en ecosistemas boscosos y no boscosos a través del análisis de tensionantes en el territorio, el análisis de suelos para conocer su estado, la plantación de árboles y arbustos de especies nativas relacionadas con el ecosistema de referencia, el aislamiento de áreas más afectadas por el tensionante identificado, la suscripción de acuerdo voluntarios con la comunidad para el mantenimiento de las acciones implementadas y el seguimiento y monitoreo a las intervenciones adelantadas.</t>
        </is>
      </c>
      <c r="I49" t="inlineStr">
        <is>
          <t>2024252140061</t>
        </is>
      </c>
      <c r="J49" s="99">
        <v>8470359863.32</v>
      </c>
      <c r="K49" s="99">
        <v>2891843339.32</v>
      </c>
      <c r="L49" s="99">
        <v>2176516524</v>
      </c>
      <c r="M49" s="99">
        <v>1310000000</v>
      </c>
      <c r="N49" s="99">
        <v>2092000000</v>
      </c>
      <c r="O49" s="99" t="inlineStr">
        <is>
          <t xml:space="preserve"> </t>
        </is>
      </c>
      <c r="P49" s="99" t="inlineStr">
        <is>
          <t xml:space="preserve"> </t>
        </is>
      </c>
      <c r="Q49" s="99" t="inlineStr">
        <is>
          <t xml:space="preserve"> </t>
        </is>
      </c>
      <c r="R49" s="100" t="inlineStr">
        <is>
          <t xml:space="preserve"> </t>
        </is>
      </c>
      <c r="S49" t="inlineStr">
        <is>
          <t>No se encontró ejecución en CUIPO</t>
        </is>
      </c>
      <c r="T49" s="101">
        <v>466599627</v>
      </c>
      <c r="U49" s="101">
        <v>342519294</v>
      </c>
      <c r="V49" s="101">
        <v>342519294</v>
      </c>
      <c r="W49" s="102">
        <v>0.157370408275384</v>
      </c>
      <c r="X49" t="inlineStr">
        <is>
          <t>Lo obligado está por debajo de lo programado en la vigencia</t>
        </is>
      </c>
    </row>
    <row r="50">
      <c r="A50" t="inlineStr">
        <is>
          <t>IP-63, IP-64</t>
        </is>
      </c>
      <c r="B50" t="inlineStr">
        <is>
          <t>32</t>
        </is>
      </c>
      <c r="C50" t="inlineStr">
        <is>
          <t>Ambiente y desarrollo sostenible</t>
        </is>
      </c>
      <c r="D50" t="inlineStr">
        <is>
          <t>3202</t>
        </is>
      </c>
      <c r="E50" t="inlineStr">
        <is>
          <t>Conservación de la biodiversidad y sus servicios ecosistémicos</t>
        </is>
      </c>
      <c r="F50" t="inlineStr">
        <is>
          <t>3202043</t>
        </is>
      </c>
      <c r="G50" t="inlineStr">
        <is>
          <t>Servicio apoyo financiero para la implementación de esquemas de pago por Servicio ambientales</t>
        </is>
      </c>
      <c r="H50" t="inlineStr">
        <is>
          <t>Incluye el diseño y entrega de instrumentos económicos para dar incentivos a los usuarios del suelo, de manera que continúen ofreciendo un servicio ambiental (ecológico) que beneficia a la sociedad como un todo.</t>
        </is>
      </c>
      <c r="I50" t="inlineStr">
        <is>
          <t>2024252140061</t>
        </is>
      </c>
      <c r="J50" s="99">
        <v>3054300000</v>
      </c>
      <c r="K50" s="99">
        <v>28300000</v>
      </c>
      <c r="L50" s="99">
        <v>576000000</v>
      </c>
      <c r="M50" s="99">
        <v>2150000000</v>
      </c>
      <c r="N50" s="99">
        <v>300000000</v>
      </c>
      <c r="O50" s="99" t="inlineStr">
        <is>
          <t xml:space="preserve"> </t>
        </is>
      </c>
      <c r="P50" s="99" t="inlineStr">
        <is>
          <t xml:space="preserve"> </t>
        </is>
      </c>
      <c r="Q50" s="99" t="inlineStr">
        <is>
          <t xml:space="preserve"> </t>
        </is>
      </c>
      <c r="R50" s="100" t="inlineStr">
        <is>
          <t xml:space="preserve"> </t>
        </is>
      </c>
      <c r="S50" t="inlineStr">
        <is>
          <t>No se encontró ejecución en CUIPO</t>
        </is>
      </c>
      <c r="T50" s="101" t="inlineStr">
        <is>
          <t xml:space="preserve"> </t>
        </is>
      </c>
      <c r="U50" s="101" t="inlineStr">
        <is>
          <t xml:space="preserve"> </t>
        </is>
      </c>
      <c r="V50" s="101" t="inlineStr">
        <is>
          <t xml:space="preserve"> </t>
        </is>
      </c>
      <c r="W50" s="102" t="inlineStr">
        <is>
          <t xml:space="preserve"> </t>
        </is>
      </c>
      <c r="X50" t="inlineStr">
        <is>
          <t>No se encontró ejecución en CUIPO</t>
        </is>
      </c>
    </row>
    <row r="51">
      <c r="A51" t="inlineStr">
        <is>
          <t>IP-67</t>
        </is>
      </c>
      <c r="B51" t="inlineStr">
        <is>
          <t>32</t>
        </is>
      </c>
      <c r="C51" t="inlineStr">
        <is>
          <t>Ambiente y desarrollo sostenible</t>
        </is>
      </c>
      <c r="D51" t="inlineStr">
        <is>
          <t>3202</t>
        </is>
      </c>
      <c r="E51" t="inlineStr">
        <is>
          <t>Conservación de la biodiversidad y sus servicios ecosistémicos</t>
        </is>
      </c>
      <c r="F51" t="inlineStr">
        <is>
          <t>3202003</t>
        </is>
      </c>
      <c r="G51" t="inlineStr">
        <is>
          <t>Documentos de política para la conservación de la biodiversidad y sus servicio eco sistémicos</t>
        </is>
      </c>
      <c r="H51" t="inlineStr">
        <is>
          <t>Incluye la realización de los documentos de política orientados a  conservación de la biodiversidad y sus Servicio eco sistémicos</t>
        </is>
      </c>
      <c r="I51" t="inlineStr">
        <is>
          <t>2024252140061</t>
        </is>
      </c>
      <c r="J51" s="99">
        <v>907000000</v>
      </c>
      <c r="K51" s="99">
        <v>17000000</v>
      </c>
      <c r="L51" s="99">
        <v>290000000</v>
      </c>
      <c r="M51" s="99">
        <v>300000000</v>
      </c>
      <c r="N51" s="99">
        <v>300000000</v>
      </c>
      <c r="O51" s="99" t="inlineStr">
        <is>
          <t xml:space="preserve"> </t>
        </is>
      </c>
      <c r="P51" s="99" t="inlineStr">
        <is>
          <t xml:space="preserve"> </t>
        </is>
      </c>
      <c r="Q51" s="99" t="inlineStr">
        <is>
          <t xml:space="preserve"> </t>
        </is>
      </c>
      <c r="R51" s="100" t="inlineStr">
        <is>
          <t xml:space="preserve"> </t>
        </is>
      </c>
      <c r="S51" t="inlineStr">
        <is>
          <t>No se encontró ejecución en CUIPO</t>
        </is>
      </c>
      <c r="T51" s="101" t="inlineStr">
        <is>
          <t xml:space="preserve"> </t>
        </is>
      </c>
      <c r="U51" s="101" t="inlineStr">
        <is>
          <t xml:space="preserve"> </t>
        </is>
      </c>
      <c r="V51" s="101" t="inlineStr">
        <is>
          <t xml:space="preserve"> </t>
        </is>
      </c>
      <c r="W51" s="102" t="inlineStr">
        <is>
          <t xml:space="preserve"> </t>
        </is>
      </c>
      <c r="X51" t="inlineStr">
        <is>
          <t>No se encontró ejecución en CUIPO</t>
        </is>
      </c>
    </row>
    <row r="52">
      <c r="A52" t="inlineStr">
        <is>
          <t>IP-68, IP-70</t>
        </is>
      </c>
      <c r="B52" t="inlineStr">
        <is>
          <t>32</t>
        </is>
      </c>
      <c r="C52" t="inlineStr">
        <is>
          <t>Ambiente y desarrollo sostenible</t>
        </is>
      </c>
      <c r="D52" t="inlineStr">
        <is>
          <t>3203</t>
        </is>
      </c>
      <c r="E52" t="inlineStr">
        <is>
          <t>Gestión integral del recurso hídrico</t>
        </is>
      </c>
      <c r="F52" t="inlineStr">
        <is>
          <t>3203002</t>
        </is>
      </c>
      <c r="G52" t="inlineStr">
        <is>
          <t>Documentos de planeación para la gestión integral del recurso hídrico</t>
        </is>
      </c>
      <c r="H52" t="inlineStr">
        <is>
          <t>Documentos cuyo objetivo es plasmar una visión de futuro a nivel país, entidad territorial, comunidad, sector, región, entidad o cualquier nivel de desagregación que se requiera. Incluye objetivos, estrategias, metas e indicadores</t>
        </is>
      </c>
      <c r="I52" t="inlineStr">
        <is>
          <t>2024252140062</t>
        </is>
      </c>
      <c r="J52" s="99">
        <v>941666667</v>
      </c>
      <c r="K52" s="99">
        <v>141666667</v>
      </c>
      <c r="L52" s="99">
        <v>340000000</v>
      </c>
      <c r="M52" s="99">
        <v>220000000</v>
      </c>
      <c r="N52" s="99">
        <v>240000000</v>
      </c>
      <c r="O52" s="99" t="inlineStr">
        <is>
          <t xml:space="preserve"> </t>
        </is>
      </c>
      <c r="P52" s="99" t="inlineStr">
        <is>
          <t xml:space="preserve"> </t>
        </is>
      </c>
      <c r="Q52" s="99" t="inlineStr">
        <is>
          <t xml:space="preserve"> </t>
        </is>
      </c>
      <c r="R52" s="100" t="inlineStr">
        <is>
          <t xml:space="preserve"> </t>
        </is>
      </c>
      <c r="S52" t="inlineStr">
        <is>
          <t>No se encontró ejecución en CUIPO</t>
        </is>
      </c>
      <c r="T52" s="101" t="inlineStr">
        <is>
          <t xml:space="preserve"> </t>
        </is>
      </c>
      <c r="U52" s="101" t="inlineStr">
        <is>
          <t xml:space="preserve"> </t>
        </is>
      </c>
      <c r="V52" s="101" t="inlineStr">
        <is>
          <t xml:space="preserve"> </t>
        </is>
      </c>
      <c r="W52" s="102" t="inlineStr">
        <is>
          <t xml:space="preserve"> </t>
        </is>
      </c>
      <c r="X52" t="inlineStr">
        <is>
          <t>No se encontró ejecución en CUIPO</t>
        </is>
      </c>
    </row>
    <row r="53">
      <c r="A53" t="inlineStr">
        <is>
          <t>IP-69</t>
        </is>
      </c>
      <c r="B53" t="inlineStr">
        <is>
          <t>32</t>
        </is>
      </c>
      <c r="C53" t="inlineStr">
        <is>
          <t>Ambiente y desarrollo sostenible</t>
        </is>
      </c>
      <c r="D53" t="inlineStr">
        <is>
          <t>3203</t>
        </is>
      </c>
      <c r="E53" t="inlineStr">
        <is>
          <t>Gestión integral del recurso hídrico</t>
        </is>
      </c>
      <c r="F53" t="inlineStr">
        <is>
          <t>3203033</t>
        </is>
      </c>
      <c r="G53" t="inlineStr">
        <is>
          <t>Servicio de asistencia técnica para la promoción del uso eficiente y ahorro del agua</t>
        </is>
      </c>
      <c r="H53" t="inlineStr">
        <is>
          <t> Acciones enfocadas a definir y promover la implementación de programas y mecanismos a los diferentes usuarios del agua que permita crear un habito sostenible en el uso del agua</t>
        </is>
      </c>
      <c r="I53" t="inlineStr">
        <is>
          <t>2024252140062</t>
        </is>
      </c>
      <c r="J53" s="99">
        <v>526400000</v>
      </c>
      <c r="K53" s="99">
        <v>246400000</v>
      </c>
      <c r="L53" s="99">
        <v>50000000</v>
      </c>
      <c r="M53" s="99">
        <v>110000000</v>
      </c>
      <c r="N53" s="99">
        <v>120000000</v>
      </c>
      <c r="O53" s="99" t="inlineStr">
        <is>
          <t xml:space="preserve"> </t>
        </is>
      </c>
      <c r="P53" s="99" t="inlineStr">
        <is>
          <t xml:space="preserve"> </t>
        </is>
      </c>
      <c r="Q53" s="99" t="inlineStr">
        <is>
          <t xml:space="preserve"> </t>
        </is>
      </c>
      <c r="R53" s="100" t="inlineStr">
        <is>
          <t xml:space="preserve"> </t>
        </is>
      </c>
      <c r="S53" t="inlineStr">
        <is>
          <t>No se encontró ejecución en CUIPO</t>
        </is>
      </c>
      <c r="T53" s="101" t="inlineStr">
        <is>
          <t xml:space="preserve"> </t>
        </is>
      </c>
      <c r="U53" s="101" t="inlineStr">
        <is>
          <t xml:space="preserve"> </t>
        </is>
      </c>
      <c r="V53" s="101" t="inlineStr">
        <is>
          <t xml:space="preserve"> </t>
        </is>
      </c>
      <c r="W53" s="102" t="inlineStr">
        <is>
          <t xml:space="preserve"> </t>
        </is>
      </c>
      <c r="X53" t="inlineStr">
        <is>
          <t>No se encontró ejecución en CUIPO</t>
        </is>
      </c>
    </row>
    <row r="54">
      <c r="A54" t="inlineStr">
        <is>
          <t>IP-71, IP-72, IP-73</t>
        </is>
      </c>
      <c r="B54" t="inlineStr">
        <is>
          <t>32</t>
        </is>
      </c>
      <c r="C54" t="inlineStr">
        <is>
          <t>Ambiente y desarrollo sostenible</t>
        </is>
      </c>
      <c r="D54" t="inlineStr">
        <is>
          <t>3204</t>
        </is>
      </c>
      <c r="E54" t="inlineStr">
        <is>
          <t>Gestión de la información y el conocimiento ambiental</t>
        </is>
      </c>
      <c r="F54" t="inlineStr">
        <is>
          <t>3204055</t>
        </is>
      </c>
      <c r="G54" t="inlineStr">
        <is>
          <t>Servicio de información para la gestión del conocimiento  ambiental implementado </t>
        </is>
      </c>
      <c r="H54" t="inlineStr">
        <is>
          <t>Corresponde al proceso que asegura la disposición de la información de manera accesible, confiable y oportuna; así como también corresponde a la información en componentes funcionales y no funcionales de intercambio de información entre los subsistemas que conforman el SIAC;  mecanismos de articulación del SAIC con otros sistemas de información sectoriales del país; desarrollar metodologias y aplicativos para el intercambio y consolidación de información geográfica y alfanumerica ambiental a nivel regional; y capacitar a entidades del SINA en la articulación  de los sistemas de información ambiental nacional con el regional</t>
        </is>
      </c>
      <c r="I54" t="inlineStr">
        <is>
          <t>2024252140063</t>
        </is>
      </c>
      <c r="J54" s="99">
        <v>1200000000</v>
      </c>
      <c r="K54" s="99">
        <v>60000000</v>
      </c>
      <c r="L54" s="99">
        <v>350000000</v>
      </c>
      <c r="M54" s="99">
        <v>390000000</v>
      </c>
      <c r="N54" s="99">
        <v>400000000</v>
      </c>
      <c r="O54" s="99">
        <v>57320872</v>
      </c>
      <c r="P54" s="99">
        <v>0</v>
      </c>
      <c r="Q54" s="99">
        <v>0</v>
      </c>
      <c r="R54" s="100">
        <v>0</v>
      </c>
      <c r="S54" t="inlineStr">
        <is>
          <t>No se ejecutó en la vigencia</t>
        </is>
      </c>
      <c r="T54" s="101">
        <v>64000000</v>
      </c>
      <c r="U54" s="101">
        <v>49866666</v>
      </c>
      <c r="V54" s="101">
        <v>49866666</v>
      </c>
      <c r="W54" s="102">
        <v>0.142476188571429</v>
      </c>
      <c r="X54" t="inlineStr">
        <is>
          <t>Lo obligado está por debajo de lo programado en la vigencia</t>
        </is>
      </c>
    </row>
    <row r="55">
      <c r="A55" t="inlineStr">
        <is>
          <t>IP-74</t>
        </is>
      </c>
      <c r="B55" t="inlineStr">
        <is>
          <t>32</t>
        </is>
      </c>
      <c r="C55" t="inlineStr">
        <is>
          <t>Ambiente y desarrollo sostenible</t>
        </is>
      </c>
      <c r="D55" t="inlineStr">
        <is>
          <t>3206</t>
        </is>
      </c>
      <c r="E55" t="inlineStr">
        <is>
          <t>Gestión del cambio climático para un desarrollo bajo en carbono y resiliente al clima</t>
        </is>
      </c>
      <c r="F55" t="inlineStr">
        <is>
          <t>3206003</t>
        </is>
      </c>
      <c r="G55" t="inlineStr">
        <is>
          <t>Servicio de apoyo técnico para la implementación de acciones de mitigación y adaptación al cambio climático</t>
        </is>
      </c>
      <c r="H55" t="inlineStr">
        <is>
          <t>Incluye la formulación e implementación de intervenciones locales orientadas a reducir las emisiones de gases efecto invernadero, aumento de sumideros de carbono, reducción de la vulnerabilidad, y aumento de la resiliencia a la variabilidad y al cambio climático. </t>
        </is>
      </c>
      <c r="I55" t="inlineStr">
        <is>
          <t>2024252140064</t>
        </is>
      </c>
      <c r="J55" s="99">
        <v>2762000000</v>
      </c>
      <c r="K55" s="99">
        <v>22000000</v>
      </c>
      <c r="L55" s="99">
        <v>110000000</v>
      </c>
      <c r="M55" s="99">
        <v>1310000000</v>
      </c>
      <c r="N55" s="99">
        <v>1320000000</v>
      </c>
      <c r="O55" s="99" t="inlineStr">
        <is>
          <t xml:space="preserve"> </t>
        </is>
      </c>
      <c r="P55" s="99" t="inlineStr">
        <is>
          <t xml:space="preserve"> </t>
        </is>
      </c>
      <c r="Q55" s="99" t="inlineStr">
        <is>
          <t xml:space="preserve"> </t>
        </is>
      </c>
      <c r="R55" s="100" t="inlineStr">
        <is>
          <t xml:space="preserve"> </t>
        </is>
      </c>
      <c r="S55" t="inlineStr">
        <is>
          <t>No se encontró ejecución en CUIPO</t>
        </is>
      </c>
      <c r="T55" s="101">
        <v>75040000</v>
      </c>
      <c r="U55" s="101">
        <v>60512667</v>
      </c>
      <c r="V55" s="101">
        <v>60512667</v>
      </c>
      <c r="W55" s="102">
        <v>0.550115154545455</v>
      </c>
      <c r="X55" t="inlineStr">
        <is>
          <t>Lo obligado está por debajo de lo programado en la vigencia</t>
        </is>
      </c>
    </row>
    <row r="56">
      <c r="A56" t="inlineStr">
        <is>
          <t>IP-75</t>
        </is>
      </c>
      <c r="B56" t="inlineStr">
        <is>
          <t>32</t>
        </is>
      </c>
      <c r="C56" t="inlineStr">
        <is>
          <t>Ambiente y desarrollo sostenible</t>
        </is>
      </c>
      <c r="D56" t="inlineStr">
        <is>
          <t>3206</t>
        </is>
      </c>
      <c r="E56" t="inlineStr">
        <is>
          <t>Gestión del cambio climático para un desarrollo bajo en carbono y resiliente al clima</t>
        </is>
      </c>
      <c r="F56" t="inlineStr">
        <is>
          <t>3206014</t>
        </is>
      </c>
      <c r="G56" t="inlineStr">
        <is>
          <t>Servicio de producción de plántulas en viveros</t>
        </is>
      </c>
      <c r="H56" t="inlineStr">
        <is>
          <t>Acciones orientadas a producir plántulas en viveros que serán utilizadas en la recuperación de ecosistemas degradados</t>
        </is>
      </c>
      <c r="I56" t="inlineStr">
        <is>
          <t>2024252140064</t>
        </is>
      </c>
      <c r="J56" s="99">
        <v>535000000</v>
      </c>
      <c r="K56" s="99">
        <v>0</v>
      </c>
      <c r="L56" s="99">
        <v>260000000</v>
      </c>
      <c r="M56" s="99">
        <v>135000000</v>
      </c>
      <c r="N56" s="99">
        <v>140000000</v>
      </c>
      <c r="O56" s="99" t="inlineStr">
        <is>
          <t xml:space="preserve"> </t>
        </is>
      </c>
      <c r="P56" s="99" t="inlineStr">
        <is>
          <t xml:space="preserve"> </t>
        </is>
      </c>
      <c r="Q56" s="99" t="inlineStr">
        <is>
          <t xml:space="preserve"> </t>
        </is>
      </c>
      <c r="R56" s="100" t="inlineStr">
        <is>
          <t xml:space="preserve"> </t>
        </is>
      </c>
      <c r="S56" t="inlineStr">
        <is>
          <t>No se encontró ejecución en CUIPO</t>
        </is>
      </c>
      <c r="T56" s="101" t="inlineStr">
        <is>
          <t xml:space="preserve"> </t>
        </is>
      </c>
      <c r="U56" s="101" t="inlineStr">
        <is>
          <t xml:space="preserve"> </t>
        </is>
      </c>
      <c r="V56" s="101" t="inlineStr">
        <is>
          <t xml:space="preserve"> </t>
        </is>
      </c>
      <c r="W56" s="102" t="inlineStr">
        <is>
          <t xml:space="preserve"> </t>
        </is>
      </c>
      <c r="X56" t="inlineStr">
        <is>
          <t>No se encontró ejecución en CUIPO</t>
        </is>
      </c>
    </row>
    <row r="57">
      <c r="A57" t="inlineStr">
        <is>
          <t>IP-76</t>
        </is>
      </c>
      <c r="B57" t="inlineStr">
        <is>
          <t>32</t>
        </is>
      </c>
      <c r="C57" t="inlineStr">
        <is>
          <t>Ambiente y desarrollo sostenible</t>
        </is>
      </c>
      <c r="D57" t="inlineStr">
        <is>
          <t>3206</t>
        </is>
      </c>
      <c r="E57" t="inlineStr">
        <is>
          <t>Gestión del cambio climático para un desarrollo bajo en carbono y resiliente al clima</t>
        </is>
      </c>
      <c r="F57" t="inlineStr">
        <is>
          <t>3206012</t>
        </is>
      </c>
      <c r="G57" t="inlineStr">
        <is>
          <t>Servicio de identificaciónde sitios generadores de gases efecto invernadero</t>
        </is>
      </c>
      <c r="H57" t="inlineStr">
        <is>
          <t>Acciones orientadas a identificar los sitios (fogones campesinos) generadores de gases de efecto invernadero con combustión incompleta</t>
        </is>
      </c>
      <c r="I57" t="inlineStr">
        <is>
          <t>2024252140064</t>
        </is>
      </c>
      <c r="J57" s="99">
        <v>570000000</v>
      </c>
      <c r="K57" s="99">
        <v>0</v>
      </c>
      <c r="L57" s="99">
        <v>140000000</v>
      </c>
      <c r="M57" s="99">
        <v>210000000</v>
      </c>
      <c r="N57" s="99">
        <v>220000000</v>
      </c>
      <c r="O57" s="99" t="inlineStr">
        <is>
          <t xml:space="preserve"> </t>
        </is>
      </c>
      <c r="P57" s="99" t="inlineStr">
        <is>
          <t xml:space="preserve"> </t>
        </is>
      </c>
      <c r="Q57" s="99" t="inlineStr">
        <is>
          <t xml:space="preserve"> </t>
        </is>
      </c>
      <c r="R57" s="100" t="inlineStr">
        <is>
          <t xml:space="preserve"> </t>
        </is>
      </c>
      <c r="S57" t="inlineStr">
        <is>
          <t>No se encontró ejecución en CUIPO</t>
        </is>
      </c>
      <c r="T57" s="101" t="inlineStr">
        <is>
          <t xml:space="preserve"> </t>
        </is>
      </c>
      <c r="U57" s="101" t="inlineStr">
        <is>
          <t xml:space="preserve"> </t>
        </is>
      </c>
      <c r="V57" s="101" t="inlineStr">
        <is>
          <t xml:space="preserve"> </t>
        </is>
      </c>
      <c r="W57" s="102" t="inlineStr">
        <is>
          <t xml:space="preserve"> </t>
        </is>
      </c>
      <c r="X57" t="inlineStr">
        <is>
          <t>No se encontró ejecución en CUIPO</t>
        </is>
      </c>
    </row>
    <row r="58">
      <c r="A58" t="inlineStr">
        <is>
          <t>IP-77</t>
        </is>
      </c>
      <c r="B58" t="inlineStr">
        <is>
          <t>45</t>
        </is>
      </c>
      <c r="C58" t="inlineStr">
        <is>
          <t>Gobierno Territorial</t>
        </is>
      </c>
      <c r="D58" t="inlineStr">
        <is>
          <t>4501</t>
        </is>
      </c>
      <c r="E58" t="inlineStr">
        <is>
          <t>Fortalecimiento de la convivencia y la seguridad ciudadana</t>
        </is>
      </c>
      <c r="F58" t="inlineStr">
        <is>
          <t>4501069</t>
        </is>
      </c>
      <c r="G58" t="inlineStr">
        <is>
          <t>Infraestructura de soporte construida</t>
        </is>
      </c>
      <c r="H58" t="inlineStr">
        <is>
          <t>Gestión de construir infraestructura para mantener o mejorar sus condiciones operativas.</t>
        </is>
      </c>
      <c r="I58" t="inlineStr">
        <is>
          <t/>
        </is>
      </c>
      <c r="J58" s="99">
        <v>5500000000</v>
      </c>
      <c r="K58" s="99">
        <v>0</v>
      </c>
      <c r="L58" s="99">
        <v>0</v>
      </c>
      <c r="M58" s="99">
        <v>5500000000</v>
      </c>
      <c r="N58" s="99">
        <v>0</v>
      </c>
      <c r="O58" s="99" t="inlineStr">
        <is>
          <t xml:space="preserve"> </t>
        </is>
      </c>
      <c r="P58" s="99" t="inlineStr">
        <is>
          <t xml:space="preserve"> </t>
        </is>
      </c>
      <c r="Q58" s="99" t="inlineStr">
        <is>
          <t xml:space="preserve"> </t>
        </is>
      </c>
      <c r="R58" s="100" t="inlineStr">
        <is>
          <t xml:space="preserve"> </t>
        </is>
      </c>
      <c r="S58" t="inlineStr">
        <is>
          <t>Por falta de código BPIN, no se encontró ejecución en CUIPO</t>
        </is>
      </c>
      <c r="T58" s="101" t="inlineStr">
        <is>
          <t xml:space="preserve"> </t>
        </is>
      </c>
      <c r="U58" s="101" t="inlineStr">
        <is>
          <t xml:space="preserve"> </t>
        </is>
      </c>
      <c r="V58" s="101" t="inlineStr">
        <is>
          <t xml:space="preserve"> </t>
        </is>
      </c>
      <c r="W58" s="102" t="inlineStr">
        <is>
          <t xml:space="preserve"> </t>
        </is>
      </c>
      <c r="X58" t="inlineStr">
        <is>
          <t>Por falta de código BPIN, no se encontró ejecución en CUIPO</t>
        </is>
      </c>
    </row>
    <row r="59">
      <c r="A59" t="inlineStr">
        <is>
          <t>IP-78, IP-79, IP-82, IP-84</t>
        </is>
      </c>
      <c r="B59" t="inlineStr">
        <is>
          <t>45</t>
        </is>
      </c>
      <c r="C59" t="inlineStr">
        <is>
          <t>Gobierno Territorial</t>
        </is>
      </c>
      <c r="D59" t="inlineStr">
        <is>
          <t>4501</t>
        </is>
      </c>
      <c r="E59" t="inlineStr">
        <is>
          <t>Fortalecimiento de la convivencia y la seguridad ciudadana</t>
        </is>
      </c>
      <c r="F59" t="inlineStr">
        <is>
          <t>4501061</t>
        </is>
      </c>
      <c r="G59" t="inlineStr">
        <is>
          <t>Servicio de atención integral a la fauna</t>
        </is>
      </c>
      <c r="H59" t="inlineStr">
        <is>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is>
      </c>
      <c r="I59" t="inlineStr">
        <is>
          <t>2024252140066</t>
        </is>
      </c>
      <c r="J59" s="99">
        <v>7033453559.11</v>
      </c>
      <c r="K59" s="99">
        <v>914209559.11</v>
      </c>
      <c r="L59" s="99">
        <v>830000000</v>
      </c>
      <c r="M59" s="99">
        <v>2616352000</v>
      </c>
      <c r="N59" s="99">
        <v>2672892000</v>
      </c>
      <c r="O59" s="99" t="inlineStr">
        <is>
          <t xml:space="preserve"> </t>
        </is>
      </c>
      <c r="P59" s="99" t="inlineStr">
        <is>
          <t xml:space="preserve"> </t>
        </is>
      </c>
      <c r="Q59" s="99" t="inlineStr">
        <is>
          <t xml:space="preserve"> </t>
        </is>
      </c>
      <c r="R59" s="100" t="inlineStr">
        <is>
          <t xml:space="preserve"> </t>
        </is>
      </c>
      <c r="S59" t="inlineStr">
        <is>
          <t>No se encontró ejecución en CUIPO</t>
        </is>
      </c>
      <c r="T59" s="101">
        <v>539866667</v>
      </c>
      <c r="U59" s="101">
        <v>394606668</v>
      </c>
      <c r="V59" s="101">
        <v>394606668</v>
      </c>
      <c r="W59" s="102">
        <v>0.475429720481928</v>
      </c>
      <c r="X59" t="inlineStr">
        <is>
          <t>Lo obligado está por debajo de lo programado en la vigencia</t>
        </is>
      </c>
    </row>
    <row r="60">
      <c r="A60" t="inlineStr">
        <is>
          <t>IP-80</t>
        </is>
      </c>
      <c r="B60" t="inlineStr">
        <is>
          <t>45</t>
        </is>
      </c>
      <c r="C60" t="inlineStr">
        <is>
          <t>Gobierno Territorial</t>
        </is>
      </c>
      <c r="D60" t="inlineStr">
        <is>
          <t>4501</t>
        </is>
      </c>
      <c r="E60" t="inlineStr">
        <is>
          <t>Fortalecimiento de la convivencia y la seguridad ciudadana</t>
        </is>
      </c>
      <c r="F60" t="inlineStr">
        <is>
          <t>4501063</t>
        </is>
      </c>
      <c r="G60" t="inlineStr">
        <is>
          <t>Servicio de apoyo financiero para la atención integral de animales</t>
        </is>
      </c>
      <c r="H60" t="inlineStr">
        <is>
          <t>Corresponde al apoyo financiero entregado para el desarrollo de las labores de refugios o fundaciones que reciban animales vulnerables</t>
        </is>
      </c>
      <c r="I60" t="inlineStr">
        <is>
          <t>2024252140066</t>
        </is>
      </c>
      <c r="J60" s="99">
        <v>203000000</v>
      </c>
      <c r="K60" s="99">
        <v>40000000</v>
      </c>
      <c r="L60" s="99">
        <v>67000000</v>
      </c>
      <c r="M60" s="99">
        <v>48000000</v>
      </c>
      <c r="N60" s="99">
        <v>48000000</v>
      </c>
      <c r="O60" s="99" t="inlineStr">
        <is>
          <t xml:space="preserve"> </t>
        </is>
      </c>
      <c r="P60" s="99" t="inlineStr">
        <is>
          <t xml:space="preserve"> </t>
        </is>
      </c>
      <c r="Q60" s="99" t="inlineStr">
        <is>
          <t xml:space="preserve"> </t>
        </is>
      </c>
      <c r="R60" s="100" t="inlineStr">
        <is>
          <t xml:space="preserve"> </t>
        </is>
      </c>
      <c r="S60" t="inlineStr">
        <is>
          <t>No se encontró ejecución en CUIPO</t>
        </is>
      </c>
      <c r="T60" s="101" t="inlineStr">
        <is>
          <t xml:space="preserve"> </t>
        </is>
      </c>
      <c r="U60" s="101" t="inlineStr">
        <is>
          <t xml:space="preserve"> </t>
        </is>
      </c>
      <c r="V60" s="101" t="inlineStr">
        <is>
          <t xml:space="preserve"> </t>
        </is>
      </c>
      <c r="W60" s="102" t="inlineStr">
        <is>
          <t xml:space="preserve"> </t>
        </is>
      </c>
      <c r="X60" t="inlineStr">
        <is>
          <t>No se encontró ejecución en CUIPO</t>
        </is>
      </c>
    </row>
    <row r="61">
      <c r="A61" t="inlineStr">
        <is>
          <t>IP-81</t>
        </is>
      </c>
      <c r="B61" t="inlineStr">
        <is>
          <t>45</t>
        </is>
      </c>
      <c r="C61" t="inlineStr">
        <is>
          <t>Gobierno Territorial</t>
        </is>
      </c>
      <c r="D61" t="inlineStr">
        <is>
          <t>4501</t>
        </is>
      </c>
      <c r="E61" t="inlineStr">
        <is>
          <t>Fortalecimiento de la convivencia y la seguridad ciudadana</t>
        </is>
      </c>
      <c r="F61" t="inlineStr">
        <is>
          <t>4501049</t>
        </is>
      </c>
      <c r="G61" t="inlineStr">
        <is>
          <t>Servicio de educación informal</t>
        </is>
      </c>
      <c r="H61" t="inlineStr">
        <is>
          <t>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t>
        </is>
      </c>
      <c r="I61" t="inlineStr">
        <is>
          <t>2024252140066</t>
        </is>
      </c>
      <c r="J61" s="99">
        <v>332800000</v>
      </c>
      <c r="K61" s="99">
        <v>0</v>
      </c>
      <c r="L61" s="99">
        <v>160000000</v>
      </c>
      <c r="M61" s="99">
        <v>86400000</v>
      </c>
      <c r="N61" s="99">
        <v>86400000</v>
      </c>
      <c r="O61" s="99" t="inlineStr">
        <is>
          <t xml:space="preserve"> </t>
        </is>
      </c>
      <c r="P61" s="99" t="inlineStr">
        <is>
          <t xml:space="preserve"> </t>
        </is>
      </c>
      <c r="Q61" s="99" t="inlineStr">
        <is>
          <t xml:space="preserve"> </t>
        </is>
      </c>
      <c r="R61" s="100" t="inlineStr">
        <is>
          <t xml:space="preserve"> </t>
        </is>
      </c>
      <c r="S61" t="inlineStr">
        <is>
          <t>No se encontró ejecución en CUIPO</t>
        </is>
      </c>
      <c r="T61" s="101" t="inlineStr">
        <is>
          <t xml:space="preserve"> </t>
        </is>
      </c>
      <c r="U61" s="101" t="inlineStr">
        <is>
          <t xml:space="preserve"> </t>
        </is>
      </c>
      <c r="V61" s="101" t="inlineStr">
        <is>
          <t xml:space="preserve"> </t>
        </is>
      </c>
      <c r="W61" s="102" t="inlineStr">
        <is>
          <t xml:space="preserve"> </t>
        </is>
      </c>
      <c r="X61" t="inlineStr">
        <is>
          <t>No se encontró ejecución en CUIPO</t>
        </is>
      </c>
    </row>
    <row r="62">
      <c r="A62" t="inlineStr">
        <is>
          <t>IP-83</t>
        </is>
      </c>
      <c r="B62" t="inlineStr">
        <is>
          <t>45</t>
        </is>
      </c>
      <c r="C62" t="inlineStr">
        <is>
          <t>Gobierno Territorial</t>
        </is>
      </c>
      <c r="D62" t="inlineStr">
        <is>
          <t>4501</t>
        </is>
      </c>
      <c r="E62" t="inlineStr">
        <is>
          <t>Fortalecimiento de la convivencia y la seguridad ciudadana</t>
        </is>
      </c>
      <c r="F62" t="inlineStr">
        <is>
          <t>4501026</t>
        </is>
      </c>
      <c r="G62" t="inlineStr">
        <is>
          <t>Documentos Planeacion</t>
        </is>
      </c>
      <c r="H62" t="inlineStr">
        <is>
          <t>Documentos cuyo objetivo es plasmar una visión de futuro a anivel de entidad territorial, comunidad, sector, región, entidad o cualquier nivel de desagregación que se requiera. Incluye objetivos, estrategias, metas e indicadores.</t>
        </is>
      </c>
      <c r="I62" t="inlineStr">
        <is>
          <t>2024252140066</t>
        </is>
      </c>
      <c r="J62" s="99">
        <v>393616666.67</v>
      </c>
      <c r="K62" s="99">
        <v>95616666.67</v>
      </c>
      <c r="L62" s="99">
        <v>80000000</v>
      </c>
      <c r="M62" s="99">
        <v>134000000</v>
      </c>
      <c r="N62" s="99">
        <v>84000000</v>
      </c>
      <c r="O62" s="99" t="inlineStr">
        <is>
          <t xml:space="preserve"> </t>
        </is>
      </c>
      <c r="P62" s="99" t="inlineStr">
        <is>
          <t xml:space="preserve"> </t>
        </is>
      </c>
      <c r="Q62" s="99" t="inlineStr">
        <is>
          <t xml:space="preserve"> </t>
        </is>
      </c>
      <c r="R62" s="100" t="inlineStr">
        <is>
          <t xml:space="preserve"> </t>
        </is>
      </c>
      <c r="S62" t="inlineStr">
        <is>
          <t>No se encontró ejecución en CUIPO</t>
        </is>
      </c>
      <c r="T62" s="101" t="inlineStr">
        <is>
          <t xml:space="preserve"> </t>
        </is>
      </c>
      <c r="U62" s="101" t="inlineStr">
        <is>
          <t xml:space="preserve"> </t>
        </is>
      </c>
      <c r="V62" s="101" t="inlineStr">
        <is>
          <t xml:space="preserve"> </t>
        </is>
      </c>
      <c r="W62" s="102" t="inlineStr">
        <is>
          <t xml:space="preserve"> </t>
        </is>
      </c>
      <c r="X62" t="inlineStr">
        <is>
          <t>No se encontró ejecución en CUIPO</t>
        </is>
      </c>
    </row>
    <row r="63">
      <c r="A63" t="inlineStr">
        <is>
          <t>IP-85, IP-86</t>
        </is>
      </c>
      <c r="B63" t="inlineStr">
        <is>
          <t>35</t>
        </is>
      </c>
      <c r="C63" t="inlineStr">
        <is>
          <t>Comercio, industria y turismo</t>
        </is>
      </c>
      <c r="D63" t="inlineStr">
        <is>
          <t>3502</t>
        </is>
      </c>
      <c r="E63" t="inlineStr">
        <is>
          <t>Productividad y competitividad de las empresas colombianas</t>
        </is>
      </c>
      <c r="F63" t="inlineStr">
        <is>
          <t>3502020</t>
        </is>
      </c>
      <c r="G63" t="inlineStr">
        <is>
          <t>Servicio de asistencia técnica y fortalecimiento a las unidades productivas pertenecientes a la red empresarial Red-i y sector detallista</t>
        </is>
      </c>
      <c r="H63" t="inlineStr">
        <is>
          <t>Con este servicio se busca mejorar la capacidad empresarial y competitiva de empresarios vinculados a la Red-i, certificados como población victima del conflicto armado y de empresarios dedicados al comercio minorista.</t>
        </is>
      </c>
      <c r="I63" t="inlineStr">
        <is>
          <t>2024252140067</t>
        </is>
      </c>
      <c r="J63" s="99">
        <v>3483150000</v>
      </c>
      <c r="K63" s="99">
        <v>177400000</v>
      </c>
      <c r="L63" s="99">
        <v>390000000</v>
      </c>
      <c r="M63" s="99">
        <v>1411000000</v>
      </c>
      <c r="N63" s="99">
        <v>1504750000</v>
      </c>
      <c r="O63" s="99">
        <v>227250041</v>
      </c>
      <c r="P63" s="99">
        <v>160169457</v>
      </c>
      <c r="Q63" s="99">
        <v>160169457</v>
      </c>
      <c r="R63" s="100">
        <v>0.902871798196167</v>
      </c>
      <c r="S63" t="inlineStr">
        <is>
          <t>Lo obligado está por debajo de lo programado en la vigencia</t>
        </is>
      </c>
      <c r="T63" s="101">
        <v>566631907</v>
      </c>
      <c r="U63" s="101">
        <v>417987934</v>
      </c>
      <c r="V63" s="101">
        <v>417987934</v>
      </c>
      <c r="W63" s="102">
        <v>1.07176393333333</v>
      </c>
      <c r="X63" t="inlineStr">
        <is>
          <t>Hubo ejecución por encima de lo programado en SisPT</t>
        </is>
      </c>
    </row>
    <row r="64">
      <c r="A64" t="inlineStr">
        <is>
          <t>IP-87, IP-88</t>
        </is>
      </c>
      <c r="B64" t="inlineStr">
        <is>
          <t>35</t>
        </is>
      </c>
      <c r="C64" t="inlineStr">
        <is>
          <t>Comercio, industria y turismo</t>
        </is>
      </c>
      <c r="D64" t="inlineStr">
        <is>
          <t>3502</t>
        </is>
      </c>
      <c r="E64" t="inlineStr">
        <is>
          <t>Productividad y competitividad de las empresas colombianas</t>
        </is>
      </c>
      <c r="F64" t="inlineStr">
        <is>
          <t>3502047</t>
        </is>
      </c>
      <c r="G64" t="inlineStr">
        <is>
          <t>Documentos de planeación</t>
        </is>
      </c>
      <c r="H64" t="inlineStr">
        <is>
          <t>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t>
        </is>
      </c>
      <c r="I64" t="inlineStr">
        <is>
          <t>2024252140067</t>
        </is>
      </c>
      <c r="J64" s="99">
        <v>2090116667</v>
      </c>
      <c r="K64" s="99">
        <v>80116667</v>
      </c>
      <c r="L64" s="99">
        <v>360000000</v>
      </c>
      <c r="M64" s="99">
        <v>1250000000</v>
      </c>
      <c r="N64" s="99">
        <v>400000000</v>
      </c>
      <c r="O64" s="99" t="inlineStr">
        <is>
          <t xml:space="preserve"> </t>
        </is>
      </c>
      <c r="P64" s="99" t="inlineStr">
        <is>
          <t xml:space="preserve"> </t>
        </is>
      </c>
      <c r="Q64" s="99" t="inlineStr">
        <is>
          <t xml:space="preserve"> </t>
        </is>
      </c>
      <c r="R64" s="100" t="inlineStr">
        <is>
          <t xml:space="preserve"> </t>
        </is>
      </c>
      <c r="S64" t="inlineStr">
        <is>
          <t>No se encontró ejecución en CUIPO</t>
        </is>
      </c>
      <c r="T64" s="101" t="inlineStr">
        <is>
          <t xml:space="preserve"> </t>
        </is>
      </c>
      <c r="U64" s="101" t="inlineStr">
        <is>
          <t xml:space="preserve"> </t>
        </is>
      </c>
      <c r="V64" s="101" t="inlineStr">
        <is>
          <t xml:space="preserve"> </t>
        </is>
      </c>
      <c r="W64" s="102" t="inlineStr">
        <is>
          <t xml:space="preserve"> </t>
        </is>
      </c>
      <c r="X64" t="inlineStr">
        <is>
          <t>No se encontró ejecución en CUIPO</t>
        </is>
      </c>
    </row>
    <row r="65">
      <c r="A65" t="inlineStr">
        <is>
          <t>IP-89</t>
        </is>
      </c>
      <c r="B65" t="inlineStr">
        <is>
          <t>35</t>
        </is>
      </c>
      <c r="C65" t="inlineStr">
        <is>
          <t>Comercio, industria y turismo</t>
        </is>
      </c>
      <c r="D65" t="inlineStr">
        <is>
          <t>3502</t>
        </is>
      </c>
      <c r="E65" t="inlineStr">
        <is>
          <t>Productividad y competitividad de las empresas colombianas</t>
        </is>
      </c>
      <c r="F65" t="inlineStr">
        <is>
          <t>3502021</t>
        </is>
      </c>
      <c r="G65" t="inlineStr">
        <is>
          <t>Servicio de fortalecimiento y desarrollo de unidades productivas para la comercialización de productos agroindustriales</t>
        </is>
      </c>
      <c r="H65" t="inlineStr">
        <is>
          <t>Generación de encadenamientos productivos con procesos asociativos bajo el esquema de marca social jalonados por empresas ancla para impulsar la comercialización de la producción agrícola familiar</t>
        </is>
      </c>
      <c r="I65" t="inlineStr">
        <is>
          <t>2024252140067</t>
        </is>
      </c>
      <c r="J65" s="99">
        <v>797805751.51</v>
      </c>
      <c r="K65" s="99">
        <v>88007996.67</v>
      </c>
      <c r="L65" s="99">
        <v>286297754.84</v>
      </c>
      <c r="M65" s="99">
        <v>231000000</v>
      </c>
      <c r="N65" s="99">
        <v>192500000</v>
      </c>
      <c r="O65" s="99" t="inlineStr">
        <is>
          <t xml:space="preserve"> </t>
        </is>
      </c>
      <c r="P65" s="99" t="inlineStr">
        <is>
          <t xml:space="preserve"> </t>
        </is>
      </c>
      <c r="Q65" s="99" t="inlineStr">
        <is>
          <t xml:space="preserve"> </t>
        </is>
      </c>
      <c r="R65" s="100" t="inlineStr">
        <is>
          <t xml:space="preserve"> </t>
        </is>
      </c>
      <c r="S65" t="inlineStr">
        <is>
          <t>No se encontró ejecución en CUIPO</t>
        </is>
      </c>
      <c r="T65" s="101" t="inlineStr">
        <is>
          <t xml:space="preserve"> </t>
        </is>
      </c>
      <c r="U65" s="101" t="inlineStr">
        <is>
          <t xml:space="preserve"> </t>
        </is>
      </c>
      <c r="V65" s="101" t="inlineStr">
        <is>
          <t xml:space="preserve"> </t>
        </is>
      </c>
      <c r="W65" s="102" t="inlineStr">
        <is>
          <t xml:space="preserve"> </t>
        </is>
      </c>
      <c r="X65" t="inlineStr">
        <is>
          <t>No se encontró ejecución en CUIPO</t>
        </is>
      </c>
    </row>
    <row r="66">
      <c r="A66" t="inlineStr">
        <is>
          <t>IP-90</t>
        </is>
      </c>
      <c r="B66" t="inlineStr">
        <is>
          <t>35</t>
        </is>
      </c>
      <c r="C66" t="inlineStr">
        <is>
          <t>Comercio, industria y turismo</t>
        </is>
      </c>
      <c r="D66" t="inlineStr">
        <is>
          <t>3502</t>
        </is>
      </c>
      <c r="E66" t="inlineStr">
        <is>
          <t>Productividad y competitividad de las empresas colombianas</t>
        </is>
      </c>
      <c r="F66" t="inlineStr">
        <is>
          <t>3502017</t>
        </is>
      </c>
      <c r="G66" t="inlineStr">
        <is>
          <t>Servicio de asistencia técnica para emprendedores y/o empresas en edad temprana</t>
        </is>
      </c>
      <c r="H66" t="inlineStr">
        <is>
          <t>Asistencia técnica dirigida a emprendedores con empresas en etapa temprana (menores de 5 años).</t>
        </is>
      </c>
      <c r="I66" t="inlineStr">
        <is>
          <t>2024252140067</t>
        </is>
      </c>
      <c r="J66" s="99">
        <v>837220000</v>
      </c>
      <c r="K66" s="99">
        <v>17220000</v>
      </c>
      <c r="L66" s="99">
        <v>220000000</v>
      </c>
      <c r="M66" s="99">
        <v>60000000</v>
      </c>
      <c r="N66" s="99">
        <v>540000000</v>
      </c>
      <c r="O66" s="99" t="inlineStr">
        <is>
          <t xml:space="preserve"> </t>
        </is>
      </c>
      <c r="P66" s="99" t="inlineStr">
        <is>
          <t xml:space="preserve"> </t>
        </is>
      </c>
      <c r="Q66" s="99" t="inlineStr">
        <is>
          <t xml:space="preserve"> </t>
        </is>
      </c>
      <c r="R66" s="100" t="inlineStr">
        <is>
          <t xml:space="preserve"> </t>
        </is>
      </c>
      <c r="S66" t="inlineStr">
        <is>
          <t>No se encontró ejecución en CUIPO</t>
        </is>
      </c>
      <c r="T66" s="101" t="inlineStr">
        <is>
          <t xml:space="preserve"> </t>
        </is>
      </c>
      <c r="U66" s="101" t="inlineStr">
        <is>
          <t xml:space="preserve"> </t>
        </is>
      </c>
      <c r="V66" s="101" t="inlineStr">
        <is>
          <t xml:space="preserve"> </t>
        </is>
      </c>
      <c r="W66" s="102" t="inlineStr">
        <is>
          <t xml:space="preserve"> </t>
        </is>
      </c>
      <c r="X66" t="inlineStr">
        <is>
          <t>No se encontró ejecución en CUIPO</t>
        </is>
      </c>
    </row>
    <row r="67">
      <c r="A67" t="inlineStr">
        <is>
          <t>IP-91, IP-92, IP-94</t>
        </is>
      </c>
      <c r="B67" t="inlineStr">
        <is>
          <t>35</t>
        </is>
      </c>
      <c r="C67" t="inlineStr">
        <is>
          <t>Comercio, industria y turismo</t>
        </is>
      </c>
      <c r="D67" t="inlineStr">
        <is>
          <t>3502</t>
        </is>
      </c>
      <c r="E67" t="inlineStr">
        <is>
          <t>Productividad y competitividad de las empresas colombianas</t>
        </is>
      </c>
      <c r="F67" t="inlineStr">
        <is>
          <t>3502012</t>
        </is>
      </c>
      <c r="G67" t="inlineStr">
        <is>
          <t>Servicio de apoyo para la modernización y fomento de la innovación empresarial</t>
        </is>
      </c>
      <c r="H67" t="inlineStr">
        <is>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is>
      </c>
      <c r="I67" t="inlineStr">
        <is>
          <t>2024252140067</t>
        </is>
      </c>
      <c r="J67" s="99">
        <v>11736767921.93</v>
      </c>
      <c r="K67" s="99">
        <v>1579251397.93</v>
      </c>
      <c r="L67" s="99">
        <v>2472516524</v>
      </c>
      <c r="M67" s="99">
        <v>5619000000</v>
      </c>
      <c r="N67" s="99">
        <v>2066000000</v>
      </c>
      <c r="O67" s="99">
        <v>436084747</v>
      </c>
      <c r="P67" s="99">
        <v>406489107</v>
      </c>
      <c r="Q67" s="99">
        <v>273135206</v>
      </c>
      <c r="R67" s="100">
        <v>0.257393539453443</v>
      </c>
      <c r="S67" t="inlineStr">
        <is>
          <t>Lo obligado está por debajo de lo programado en la vigencia</t>
        </is>
      </c>
      <c r="T67" s="101">
        <v>1633882245</v>
      </c>
      <c r="U67" s="101">
        <v>1039338703</v>
      </c>
      <c r="V67" s="101">
        <v>1039338703</v>
      </c>
      <c r="W67" s="102">
        <v>0.420356625693475</v>
      </c>
      <c r="X67" t="inlineStr">
        <is>
          <t>Lo obligado está por debajo de lo programado en la vigencia</t>
        </is>
      </c>
    </row>
    <row r="68">
      <c r="A68" t="inlineStr">
        <is>
          <t>IP-93</t>
        </is>
      </c>
      <c r="B68" t="inlineStr">
        <is>
          <t>35</t>
        </is>
      </c>
      <c r="C68" t="inlineStr">
        <is>
          <t>Comercio, industria y turismo</t>
        </is>
      </c>
      <c r="D68" t="inlineStr">
        <is>
          <t>3502</t>
        </is>
      </c>
      <c r="E68" t="inlineStr">
        <is>
          <t>Productividad y competitividad de las empresas colombianas</t>
        </is>
      </c>
      <c r="F68" t="inlineStr">
        <is>
          <t>3502019</t>
        </is>
      </c>
      <c r="G68" t="inlineStr">
        <is>
          <t>Servicio de asistencia técnica y acompañamiento productivo y empresarial</t>
        </is>
      </c>
      <c r="H68" t="inlineStr">
        <is>
          <t>Incluye la identificación del estado de los procesos productivos y definición de planes de mejora para el fomento al desarrollo empresarial con el fin de mejorar procesos de producción, trasformación, administración financiera, mercadeo y distribución, así como procesos organizativos, certificaciones, apertura de mercados, sostenibilidad y recuperación empresarial, dirigidos a personas naturales y/o jurídicas.</t>
        </is>
      </c>
      <c r="I68" t="inlineStr">
        <is>
          <t>2024252140067</t>
        </is>
      </c>
      <c r="J68" s="99">
        <v>2750156667</v>
      </c>
      <c r="K68" s="99">
        <v>489616667</v>
      </c>
      <c r="L68" s="99">
        <v>760540000</v>
      </c>
      <c r="M68" s="99">
        <v>900000000</v>
      </c>
      <c r="N68" s="99">
        <v>600000000</v>
      </c>
      <c r="O68" s="99" t="inlineStr">
        <is>
          <t xml:space="preserve"> </t>
        </is>
      </c>
      <c r="P68" s="99" t="inlineStr">
        <is>
          <t xml:space="preserve"> </t>
        </is>
      </c>
      <c r="Q68" s="99" t="inlineStr">
        <is>
          <t xml:space="preserve"> </t>
        </is>
      </c>
      <c r="R68" s="100" t="inlineStr">
        <is>
          <t xml:space="preserve"> </t>
        </is>
      </c>
      <c r="S68" t="inlineStr">
        <is>
          <t>No se encontró ejecución en CUIPO</t>
        </is>
      </c>
      <c r="T68" s="101" t="inlineStr">
        <is>
          <t xml:space="preserve"> </t>
        </is>
      </c>
      <c r="U68" s="101" t="inlineStr">
        <is>
          <t xml:space="preserve"> </t>
        </is>
      </c>
      <c r="V68" s="101" t="inlineStr">
        <is>
          <t xml:space="preserve"> </t>
        </is>
      </c>
      <c r="W68" s="102" t="inlineStr">
        <is>
          <t xml:space="preserve"> </t>
        </is>
      </c>
      <c r="X68" t="inlineStr">
        <is>
          <t>No se encontró ejecución en CUIPO</t>
        </is>
      </c>
    </row>
    <row r="69">
      <c r="A69" t="inlineStr">
        <is>
          <t>IP-95</t>
        </is>
      </c>
      <c r="B69" t="inlineStr">
        <is>
          <t>35</t>
        </is>
      </c>
      <c r="C69" t="inlineStr">
        <is>
          <t>Comercio, industria y turismo</t>
        </is>
      </c>
      <c r="D69" t="inlineStr">
        <is>
          <t>3502</t>
        </is>
      </c>
      <c r="E69" t="inlineStr">
        <is>
          <t>Productividad y competitividad de las empresas colombianas</t>
        </is>
      </c>
      <c r="F69" t="inlineStr">
        <is>
          <t>3502059</t>
        </is>
      </c>
      <c r="G69" t="inlineStr">
        <is>
          <t>Señalización turística construida</t>
        </is>
      </c>
      <c r="H69" t="inlineStr">
        <is>
          <t>Corresponde a la señalización de espacios turísticos que lo requieran.</t>
        </is>
      </c>
      <c r="I69" t="inlineStr">
        <is>
          <t>2024252140067</t>
        </is>
      </c>
      <c r="J69" s="99">
        <v>560000000</v>
      </c>
      <c r="K69" s="99">
        <v>0</v>
      </c>
      <c r="L69" s="99">
        <v>60000000</v>
      </c>
      <c r="M69" s="99">
        <v>0</v>
      </c>
      <c r="N69" s="99">
        <v>500000000</v>
      </c>
      <c r="O69" s="99" t="inlineStr">
        <is>
          <t xml:space="preserve"> </t>
        </is>
      </c>
      <c r="P69" s="99" t="inlineStr">
        <is>
          <t xml:space="preserve"> </t>
        </is>
      </c>
      <c r="Q69" s="99" t="inlineStr">
        <is>
          <t xml:space="preserve"> </t>
        </is>
      </c>
      <c r="R69" s="100" t="inlineStr">
        <is>
          <t xml:space="preserve"> </t>
        </is>
      </c>
      <c r="S69" t="inlineStr">
        <is>
          <t>No se encontró ejecución en CUIPO</t>
        </is>
      </c>
      <c r="T69" s="101" t="inlineStr">
        <is>
          <t xml:space="preserve"> </t>
        </is>
      </c>
      <c r="U69" s="101" t="inlineStr">
        <is>
          <t xml:space="preserve"> </t>
        </is>
      </c>
      <c r="V69" s="101" t="inlineStr">
        <is>
          <t xml:space="preserve"> </t>
        </is>
      </c>
      <c r="W69" s="102" t="inlineStr">
        <is>
          <t xml:space="preserve"> </t>
        </is>
      </c>
      <c r="X69" t="inlineStr">
        <is>
          <t>No se encontró ejecución en CUIPO</t>
        </is>
      </c>
    </row>
    <row r="70">
      <c r="A70" t="inlineStr">
        <is>
          <t>IP-96</t>
        </is>
      </c>
      <c r="B70" t="inlineStr">
        <is>
          <t>35</t>
        </is>
      </c>
      <c r="C70" t="inlineStr">
        <is>
          <t>Comercio, industria y turismo</t>
        </is>
      </c>
      <c r="D70" t="inlineStr">
        <is>
          <t>3502</t>
        </is>
      </c>
      <c r="E70" t="inlineStr">
        <is>
          <t>Productividad y competitividad de las empresas colombianas</t>
        </is>
      </c>
      <c r="F70" t="inlineStr">
        <is>
          <t>3502053</t>
        </is>
      </c>
      <c r="G70" t="inlineStr">
        <is>
          <t>Centro turístico construido</t>
        </is>
      </c>
      <c r="H70" t="inlineStr">
        <is>
          <t>Corresponde a la infraestructura diseñada para la realización de actividades turísticas.</t>
        </is>
      </c>
      <c r="I70" t="inlineStr">
        <is>
          <t/>
        </is>
      </c>
      <c r="J70" s="99">
        <v>500000000</v>
      </c>
      <c r="K70" s="99">
        <v>0</v>
      </c>
      <c r="L70" s="99">
        <v>0</v>
      </c>
      <c r="M70" s="99">
        <v>500000000</v>
      </c>
      <c r="N70" s="99">
        <v>0</v>
      </c>
      <c r="O70" s="99" t="inlineStr">
        <is>
          <t xml:space="preserve"> </t>
        </is>
      </c>
      <c r="P70" s="99" t="inlineStr">
        <is>
          <t xml:space="preserve"> </t>
        </is>
      </c>
      <c r="Q70" s="99" t="inlineStr">
        <is>
          <t xml:space="preserve"> </t>
        </is>
      </c>
      <c r="R70" s="100" t="inlineStr">
        <is>
          <t xml:space="preserve"> </t>
        </is>
      </c>
      <c r="S70" t="inlineStr">
        <is>
          <t>Por falta de código BPIN, no se encontró ejecución en CUIPO</t>
        </is>
      </c>
      <c r="T70" s="101" t="inlineStr">
        <is>
          <t xml:space="preserve"> </t>
        </is>
      </c>
      <c r="U70" s="101" t="inlineStr">
        <is>
          <t xml:space="preserve"> </t>
        </is>
      </c>
      <c r="V70" s="101" t="inlineStr">
        <is>
          <t xml:space="preserve"> </t>
        </is>
      </c>
      <c r="W70" s="102" t="inlineStr">
        <is>
          <t xml:space="preserve"> </t>
        </is>
      </c>
      <c r="X70" t="inlineStr">
        <is>
          <t>Por falta de código BPIN, no se encontró ejecución en CUIPO</t>
        </is>
      </c>
    </row>
    <row r="71">
      <c r="A71" t="inlineStr">
        <is>
          <t>IP-100</t>
        </is>
      </c>
      <c r="B71" t="inlineStr">
        <is>
          <t>35</t>
        </is>
      </c>
      <c r="C71" t="inlineStr">
        <is>
          <t>Comercio, industria y turismo</t>
        </is>
      </c>
      <c r="D71" t="inlineStr">
        <is>
          <t>3502</t>
        </is>
      </c>
      <c r="E71" t="inlineStr">
        <is>
          <t>Productividad y competitividad de las empresas colombianas</t>
        </is>
      </c>
      <c r="F71" t="inlineStr">
        <is>
          <t>3502049</t>
        </is>
      </c>
      <c r="G71" t="inlineStr">
        <is>
          <t>Servicio de circuito turístico</t>
        </is>
      </c>
      <c r="H71" t="inlineStr">
        <is>
          <t>Corresponde a un recorrido por determinados atractivos turísticos.</t>
        </is>
      </c>
      <c r="I71" t="inlineStr">
        <is>
          <t>2024252140067</t>
        </is>
      </c>
      <c r="J71" s="99">
        <v>866100000</v>
      </c>
      <c r="K71" s="99">
        <v>26100000</v>
      </c>
      <c r="L71" s="99">
        <v>80000000</v>
      </c>
      <c r="M71" s="99">
        <v>380000000</v>
      </c>
      <c r="N71" s="99">
        <v>380000000</v>
      </c>
      <c r="O71" s="99" t="inlineStr">
        <is>
          <t xml:space="preserve"> </t>
        </is>
      </c>
      <c r="P71" s="99" t="inlineStr">
        <is>
          <t xml:space="preserve"> </t>
        </is>
      </c>
      <c r="Q71" s="99" t="inlineStr">
        <is>
          <t xml:space="preserve"> </t>
        </is>
      </c>
      <c r="R71" s="100" t="inlineStr">
        <is>
          <t xml:space="preserve"> </t>
        </is>
      </c>
      <c r="S71" t="inlineStr">
        <is>
          <t>No se encontró ejecución en CUIPO</t>
        </is>
      </c>
      <c r="T71" s="101" t="inlineStr">
        <is>
          <t xml:space="preserve"> </t>
        </is>
      </c>
      <c r="U71" s="101" t="inlineStr">
        <is>
          <t xml:space="preserve"> </t>
        </is>
      </c>
      <c r="V71" s="101" t="inlineStr">
        <is>
          <t xml:space="preserve"> </t>
        </is>
      </c>
      <c r="W71" s="102" t="inlineStr">
        <is>
          <t xml:space="preserve"> </t>
        </is>
      </c>
      <c r="X71" t="inlineStr">
        <is>
          <t>No se encontró ejecución en CUIPO</t>
        </is>
      </c>
    </row>
    <row r="72">
      <c r="A72" t="inlineStr">
        <is>
          <t>IP-101, IP-97, IP-98, IP-99</t>
        </is>
      </c>
      <c r="B72" t="inlineStr">
        <is>
          <t>35</t>
        </is>
      </c>
      <c r="C72" t="inlineStr">
        <is>
          <t>Comercio, industria y turismo</t>
        </is>
      </c>
      <c r="D72" t="inlineStr">
        <is>
          <t>3502</t>
        </is>
      </c>
      <c r="E72" t="inlineStr">
        <is>
          <t>Productividad y competitividad de las empresas colombianas</t>
        </is>
      </c>
      <c r="F72" t="inlineStr">
        <is>
          <t>3502046</t>
        </is>
      </c>
      <c r="G72" t="inlineStr">
        <is>
          <t>Servicio de promoción turística</t>
        </is>
      </c>
      <c r="H72" t="inlineStr">
        <is>
          <t>Corresponde a campañas de divulgación y promoción de los atractivos turísticos de la zonas, así como las actividades para el posicionamiento de las regiones, departamentos y municipios como destinos turísticos.</t>
        </is>
      </c>
      <c r="I72" t="inlineStr">
        <is>
          <t>2024252140067</t>
        </is>
      </c>
      <c r="J72" s="99">
        <v>3634406666.67</v>
      </c>
      <c r="K72" s="99">
        <v>214906666.67</v>
      </c>
      <c r="L72" s="99">
        <v>410000000</v>
      </c>
      <c r="M72" s="99">
        <v>1543000000</v>
      </c>
      <c r="N72" s="99">
        <v>1466500000</v>
      </c>
      <c r="O72" s="99">
        <v>33826667</v>
      </c>
      <c r="P72" s="99">
        <v>33826667</v>
      </c>
      <c r="Q72" s="99">
        <v>21000000</v>
      </c>
      <c r="R72" s="100">
        <v>0.157401664285932</v>
      </c>
      <c r="S72" t="inlineStr">
        <is>
          <t>Lo obligado está por debajo de lo programado en la vigencia</t>
        </is>
      </c>
      <c r="T72" s="101">
        <v>410333333</v>
      </c>
      <c r="U72" s="101">
        <v>86000000</v>
      </c>
      <c r="V72" s="101">
        <v>86000000</v>
      </c>
      <c r="W72" s="102">
        <v>0.209756097560976</v>
      </c>
      <c r="X72" t="inlineStr">
        <is>
          <t>Lo obligado está por debajo de lo programado en la vigencia</t>
        </is>
      </c>
    </row>
    <row r="73">
      <c r="A73" t="inlineStr">
        <is>
          <t>IP-102</t>
        </is>
      </c>
      <c r="B73" t="inlineStr">
        <is>
          <t>35</t>
        </is>
      </c>
      <c r="C73" t="inlineStr">
        <is>
          <t>Comercio, industria y turismo</t>
        </is>
      </c>
      <c r="D73" t="inlineStr">
        <is>
          <t>3502</t>
        </is>
      </c>
      <c r="E73" t="inlineStr">
        <is>
          <t>Productividad y competitividad de las empresas colombianas</t>
        </is>
      </c>
      <c r="F73" t="inlineStr">
        <is>
          <t>3502114</t>
        </is>
      </c>
      <c r="G73" t="inlineStr">
        <is>
          <t>Equipamientos turísticos dotados</t>
        </is>
      </c>
      <c r="H73" t="inlineStr">
        <is>
          <t>Corresponde a la dotación necesaria para que la infraestructura o espacios de uso público en los atractivos turísticos del territorio  puedan iniciar su funcionamiento y operación.</t>
        </is>
      </c>
      <c r="I73" t="inlineStr">
        <is>
          <t>2024252140067</t>
        </is>
      </c>
      <c r="J73" s="99">
        <v>1280000000</v>
      </c>
      <c r="K73" s="99">
        <v>0</v>
      </c>
      <c r="L73" s="99">
        <v>140000000</v>
      </c>
      <c r="M73" s="99">
        <v>570000000</v>
      </c>
      <c r="N73" s="99">
        <v>570000000</v>
      </c>
      <c r="O73" s="99" t="inlineStr">
        <is>
          <t xml:space="preserve"> </t>
        </is>
      </c>
      <c r="P73" s="99" t="inlineStr">
        <is>
          <t xml:space="preserve"> </t>
        </is>
      </c>
      <c r="Q73" s="99" t="inlineStr">
        <is>
          <t xml:space="preserve"> </t>
        </is>
      </c>
      <c r="R73" s="100" t="inlineStr">
        <is>
          <t xml:space="preserve"> </t>
        </is>
      </c>
      <c r="S73" t="inlineStr">
        <is>
          <t>No se encontró ejecución en CUIPO</t>
        </is>
      </c>
      <c r="T73" s="101" t="inlineStr">
        <is>
          <t xml:space="preserve"> </t>
        </is>
      </c>
      <c r="U73" s="101" t="inlineStr">
        <is>
          <t xml:space="preserve"> </t>
        </is>
      </c>
      <c r="V73" s="101" t="inlineStr">
        <is>
          <t xml:space="preserve"> </t>
        </is>
      </c>
      <c r="W73" s="102" t="inlineStr">
        <is>
          <t xml:space="preserve"> </t>
        </is>
      </c>
      <c r="X73" t="inlineStr">
        <is>
          <t>No se encontró ejecución en CUIPO</t>
        </is>
      </c>
    </row>
    <row r="74">
      <c r="A74" t="inlineStr">
        <is>
          <t>IP-103</t>
        </is>
      </c>
      <c r="B74" t="inlineStr">
        <is>
          <t>35</t>
        </is>
      </c>
      <c r="C74" t="inlineStr">
        <is>
          <t>Comercio, industria y turismo</t>
        </is>
      </c>
      <c r="D74" t="inlineStr">
        <is>
          <t>3502</t>
        </is>
      </c>
      <c r="E74" t="inlineStr">
        <is>
          <t>Productividad y competitividad de las empresas colombianas</t>
        </is>
      </c>
      <c r="F74" t="inlineStr">
        <is>
          <t>3502094</t>
        </is>
      </c>
      <c r="G74" t="inlineStr">
        <is>
          <t>Documentos de investigación sobre turismo</t>
        </is>
      </c>
      <c r="H74" t="inlineStr">
        <is>
          <t>Comprende las actividades necesarias para el procesamiento y generación de conocimiento en torno al sector turismo</t>
        </is>
      </c>
      <c r="I74" t="inlineStr">
        <is>
          <t>2024252140067</t>
        </is>
      </c>
      <c r="J74" s="99">
        <v>60000000</v>
      </c>
      <c r="K74" s="99">
        <v>0</v>
      </c>
      <c r="L74" s="99">
        <v>35000000</v>
      </c>
      <c r="M74" s="99">
        <v>25000000</v>
      </c>
      <c r="N74" s="99">
        <v>0</v>
      </c>
      <c r="O74" s="99" t="inlineStr">
        <is>
          <t xml:space="preserve"> </t>
        </is>
      </c>
      <c r="P74" s="99" t="inlineStr">
        <is>
          <t xml:space="preserve"> </t>
        </is>
      </c>
      <c r="Q74" s="99" t="inlineStr">
        <is>
          <t xml:space="preserve"> </t>
        </is>
      </c>
      <c r="R74" s="100" t="inlineStr">
        <is>
          <t xml:space="preserve"> </t>
        </is>
      </c>
      <c r="S74" t="inlineStr">
        <is>
          <t>No se encontró ejecución en CUIPO</t>
        </is>
      </c>
      <c r="T74" s="101" t="inlineStr">
        <is>
          <t xml:space="preserve"> </t>
        </is>
      </c>
      <c r="U74" s="101" t="inlineStr">
        <is>
          <t xml:space="preserve"> </t>
        </is>
      </c>
      <c r="V74" s="101" t="inlineStr">
        <is>
          <t xml:space="preserve"> </t>
        </is>
      </c>
      <c r="W74" s="102" t="inlineStr">
        <is>
          <t xml:space="preserve"> </t>
        </is>
      </c>
      <c r="X74" t="inlineStr">
        <is>
          <t>No se encontró ejecución en CUIPO</t>
        </is>
      </c>
    </row>
    <row r="75">
      <c r="A75" t="inlineStr">
        <is>
          <t>IP-104, IP-105</t>
        </is>
      </c>
      <c r="B75" t="inlineStr">
        <is>
          <t>17</t>
        </is>
      </c>
      <c r="C75" t="inlineStr">
        <is>
          <t xml:space="preserve">Agricultura y desarrollo rural
</t>
        </is>
      </c>
      <c r="D75" t="inlineStr">
        <is>
          <t>1702</t>
        </is>
      </c>
      <c r="E75" t="inlineStr">
        <is>
          <t>Inclusión productiva de pequeños productores rurales</t>
        </is>
      </c>
      <c r="F75" t="inlineStr">
        <is>
          <t>1702017</t>
        </is>
      </c>
      <c r="G75" t="inlineStr">
        <is>
          <t>Servicio de apoyo para el fomento organizativo de la Agricultura Campesina, Familiar y Comunitaria</t>
        </is>
      </c>
      <c r="H75" t="inlineStr">
        <is>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is>
      </c>
      <c r="I75" t="inlineStr">
        <is>
          <t>2024252140073</t>
        </is>
      </c>
      <c r="J75" s="99">
        <v>963183333.33</v>
      </c>
      <c r="K75" s="99">
        <v>263383333.33</v>
      </c>
      <c r="L75" s="99">
        <v>245000000</v>
      </c>
      <c r="M75" s="99">
        <v>227400000</v>
      </c>
      <c r="N75" s="99">
        <v>227400000</v>
      </c>
      <c r="O75" s="99">
        <v>68715989</v>
      </c>
      <c r="P75" s="99">
        <v>68715989</v>
      </c>
      <c r="Q75" s="99">
        <v>68715989</v>
      </c>
      <c r="R75" s="100">
        <v>0.260897256220476</v>
      </c>
      <c r="S75" t="inlineStr">
        <is>
          <t>Lo obligado está por debajo de lo programado en la vigencia</t>
        </is>
      </c>
      <c r="T75" s="101">
        <v>460016667</v>
      </c>
      <c r="U75" s="101">
        <v>261910000</v>
      </c>
      <c r="V75" s="101">
        <v>261910000</v>
      </c>
      <c r="W75" s="102">
        <v>1.06902040816327</v>
      </c>
      <c r="X75" t="inlineStr">
        <is>
          <t>Hubo ejecución por encima de lo programado en SisPT</t>
        </is>
      </c>
    </row>
    <row r="76">
      <c r="A76" t="inlineStr">
        <is>
          <t>IP-106</t>
        </is>
      </c>
      <c r="B76" t="inlineStr">
        <is>
          <t>17</t>
        </is>
      </c>
      <c r="C76" t="inlineStr">
        <is>
          <t xml:space="preserve">Agricultura y desarrollo rural
</t>
        </is>
      </c>
      <c r="D76" t="inlineStr">
        <is>
          <t>1702</t>
        </is>
      </c>
      <c r="E76" t="inlineStr">
        <is>
          <t>Inclusión productiva de pequeños productores rurales</t>
        </is>
      </c>
      <c r="F76" t="inlineStr">
        <is>
          <t>1702012</t>
        </is>
      </c>
      <c r="G76" t="inlineStr">
        <is>
          <t>Servicio de educación informal en temas administrativos y de gestión financiera a pequeños productores</t>
        </is>
      </c>
      <c r="H76" t="inlineStr">
        <is>
          <t>Contempla acciones que se realizan para contribuir al  conocimiento y apropiación de los pequeños productores sobre temas administrativos y de gestión financiera.</t>
        </is>
      </c>
      <c r="I76" t="inlineStr">
        <is>
          <t>2024252140073</t>
        </is>
      </c>
      <c r="J76" s="99">
        <v>254800000</v>
      </c>
      <c r="K76" s="99">
        <v>0</v>
      </c>
      <c r="L76" s="99">
        <v>70000000</v>
      </c>
      <c r="M76" s="99">
        <v>117600000</v>
      </c>
      <c r="N76" s="99">
        <v>67200000</v>
      </c>
      <c r="O76" s="99" t="inlineStr">
        <is>
          <t xml:space="preserve"> </t>
        </is>
      </c>
      <c r="P76" s="99" t="inlineStr">
        <is>
          <t xml:space="preserve"> </t>
        </is>
      </c>
      <c r="Q76" s="99" t="inlineStr">
        <is>
          <t xml:space="preserve"> </t>
        </is>
      </c>
      <c r="R76" s="100" t="inlineStr">
        <is>
          <t xml:space="preserve"> </t>
        </is>
      </c>
      <c r="S76" t="inlineStr">
        <is>
          <t>No se encontró ejecución en CUIPO</t>
        </is>
      </c>
      <c r="T76" s="101" t="inlineStr">
        <is>
          <t xml:space="preserve"> </t>
        </is>
      </c>
      <c r="U76" s="101" t="inlineStr">
        <is>
          <t xml:space="preserve"> </t>
        </is>
      </c>
      <c r="V76" s="101" t="inlineStr">
        <is>
          <t xml:space="preserve"> </t>
        </is>
      </c>
      <c r="W76" s="102" t="inlineStr">
        <is>
          <t xml:space="preserve"> </t>
        </is>
      </c>
      <c r="X76" t="inlineStr">
        <is>
          <t>No se encontró ejecución en CUIPO</t>
        </is>
      </c>
    </row>
    <row r="77">
      <c r="A77" t="inlineStr">
        <is>
          <t>IP-107</t>
        </is>
      </c>
      <c r="B77" t="inlineStr">
        <is>
          <t>17</t>
        </is>
      </c>
      <c r="C77" t="inlineStr">
        <is>
          <t xml:space="preserve">Agricultura y desarrollo rural
</t>
        </is>
      </c>
      <c r="D77" t="inlineStr">
        <is>
          <t>1702</t>
        </is>
      </c>
      <c r="E77" t="inlineStr">
        <is>
          <t>Inclusión productiva de pequeños productores rurales</t>
        </is>
      </c>
      <c r="F77" t="inlineStr">
        <is>
          <t>1702014</t>
        </is>
      </c>
      <c r="G77" t="inlineStr">
        <is>
          <t>Servicio de apoyo para el acceso a maquinaria y equipos</t>
        </is>
      </c>
      <c r="H77" t="inlineStr">
        <is>
          <t>Contempla el acceso de los pequeños productores a los bancos de maquinaria a partir de figuras como el arriendo, la adquisición, entre otros, entre otros</t>
        </is>
      </c>
      <c r="I77" t="inlineStr">
        <is>
          <t>2024252140073</t>
        </is>
      </c>
      <c r="J77" s="99">
        <v>3094753333.3333</v>
      </c>
      <c r="K77" s="99">
        <v>34753333.3333</v>
      </c>
      <c r="L77" s="99">
        <v>180000000</v>
      </c>
      <c r="M77" s="99">
        <v>1440000000</v>
      </c>
      <c r="N77" s="99">
        <v>1440000000</v>
      </c>
      <c r="O77" s="99" t="inlineStr">
        <is>
          <t xml:space="preserve"> </t>
        </is>
      </c>
      <c r="P77" s="99" t="inlineStr">
        <is>
          <t xml:space="preserve"> </t>
        </is>
      </c>
      <c r="Q77" s="99" t="inlineStr">
        <is>
          <t xml:space="preserve"> </t>
        </is>
      </c>
      <c r="R77" s="100" t="inlineStr">
        <is>
          <t xml:space="preserve"> </t>
        </is>
      </c>
      <c r="S77" t="inlineStr">
        <is>
          <t>No se encontró ejecución en CUIPO</t>
        </is>
      </c>
      <c r="T77" s="101" t="inlineStr">
        <is>
          <t xml:space="preserve"> </t>
        </is>
      </c>
      <c r="U77" s="101" t="inlineStr">
        <is>
          <t xml:space="preserve"> </t>
        </is>
      </c>
      <c r="V77" s="101" t="inlineStr">
        <is>
          <t xml:space="preserve"> </t>
        </is>
      </c>
      <c r="W77" s="102" t="inlineStr">
        <is>
          <t xml:space="preserve"> </t>
        </is>
      </c>
      <c r="X77" t="inlineStr">
        <is>
          <t>No se encontró ejecución en CUIPO</t>
        </is>
      </c>
    </row>
    <row r="78">
      <c r="A78" t="inlineStr">
        <is>
          <t>IP-108</t>
        </is>
      </c>
      <c r="B78" t="inlineStr">
        <is>
          <t>17</t>
        </is>
      </c>
      <c r="C78" t="inlineStr">
        <is>
          <t xml:space="preserve">Agricultura y desarrollo rural
</t>
        </is>
      </c>
      <c r="D78" t="inlineStr">
        <is>
          <t>1702</t>
        </is>
      </c>
      <c r="E78" t="inlineStr">
        <is>
          <t>Inclusión productiva de pequeños productores rurales</t>
        </is>
      </c>
      <c r="F78" t="inlineStr">
        <is>
          <t>1702038</t>
        </is>
      </c>
      <c r="G78" t="inlineStr">
        <is>
          <t>Servicio de apoyo a la comercialización</t>
        </is>
      </c>
      <c r="H78" t="inlineStr">
        <is>
          <t>Consiste en el acompañamiento para la  identificación de apoyos específicos, la adquisición de competencias comerciales y  en casos requeridos, la inserción o consolidación en  encadenamientos comerciales.</t>
        </is>
      </c>
      <c r="I78" t="inlineStr">
        <is>
          <t>2024252140073</t>
        </is>
      </c>
      <c r="J78" s="99">
        <v>1300666666.6667</v>
      </c>
      <c r="K78" s="99">
        <v>16666666.6667</v>
      </c>
      <c r="L78" s="99">
        <v>140000000</v>
      </c>
      <c r="M78" s="99">
        <v>624000000</v>
      </c>
      <c r="N78" s="99">
        <v>520000000</v>
      </c>
      <c r="O78" s="99" t="inlineStr">
        <is>
          <t xml:space="preserve"> </t>
        </is>
      </c>
      <c r="P78" s="99" t="inlineStr">
        <is>
          <t xml:space="preserve"> </t>
        </is>
      </c>
      <c r="Q78" s="99" t="inlineStr">
        <is>
          <t xml:space="preserve"> </t>
        </is>
      </c>
      <c r="R78" s="100" t="inlineStr">
        <is>
          <t xml:space="preserve"> </t>
        </is>
      </c>
      <c r="S78" t="inlineStr">
        <is>
          <t>No se encontró ejecución en CUIPO</t>
        </is>
      </c>
      <c r="T78" s="101" t="inlineStr">
        <is>
          <t xml:space="preserve"> </t>
        </is>
      </c>
      <c r="U78" s="101" t="inlineStr">
        <is>
          <t xml:space="preserve"> </t>
        </is>
      </c>
      <c r="V78" s="101" t="inlineStr">
        <is>
          <t xml:space="preserve"> </t>
        </is>
      </c>
      <c r="W78" s="102" t="inlineStr">
        <is>
          <t xml:space="preserve"> </t>
        </is>
      </c>
      <c r="X78" t="inlineStr">
        <is>
          <t>No se encontró ejecución en CUIPO</t>
        </is>
      </c>
    </row>
    <row r="79">
      <c r="A79" t="inlineStr">
        <is>
          <t>IP-109</t>
        </is>
      </c>
      <c r="B79" t="inlineStr">
        <is>
          <t>17</t>
        </is>
      </c>
      <c r="C79" t="inlineStr">
        <is>
          <t xml:space="preserve">Agricultura y desarrollo rural
</t>
        </is>
      </c>
      <c r="D79" t="inlineStr">
        <is>
          <t>1703</t>
        </is>
      </c>
      <c r="E79" t="inlineStr">
        <is>
          <t>Servicios financieros y gestión del riesgo para las actividades agropecuarias y rurales</t>
        </is>
      </c>
      <c r="F79" t="inlineStr">
        <is>
          <t>1703001</t>
        </is>
      </c>
      <c r="G79" t="inlineStr">
        <is>
          <t>Documentos de lineamientos técnicos</t>
        </is>
      </c>
      <c r="H79" t="inlineStr">
        <is>
          <t>Documentos cuyo objetivo es describir y explicar instrumentos, estándares, requisitos y condiciones necesarias para llevar a cabo un proceso o actividad</t>
        </is>
      </c>
      <c r="I79" t="inlineStr">
        <is>
          <t/>
        </is>
      </c>
      <c r="J79" s="99">
        <v>1870000000</v>
      </c>
      <c r="K79" s="99">
        <v>0</v>
      </c>
      <c r="L79" s="99">
        <v>310000000</v>
      </c>
      <c r="M79" s="99">
        <v>840000000</v>
      </c>
      <c r="N79" s="99">
        <v>720000000</v>
      </c>
      <c r="O79" s="99" t="inlineStr">
        <is>
          <t xml:space="preserve"> </t>
        </is>
      </c>
      <c r="P79" s="99" t="inlineStr">
        <is>
          <t xml:space="preserve"> </t>
        </is>
      </c>
      <c r="Q79" s="99" t="inlineStr">
        <is>
          <t xml:space="preserve"> </t>
        </is>
      </c>
      <c r="R79" s="100" t="inlineStr">
        <is>
          <t xml:space="preserve"> </t>
        </is>
      </c>
      <c r="S79" t="inlineStr">
        <is>
          <t>Por falta de código BPIN, no se encontró ejecución en CUIPO</t>
        </is>
      </c>
      <c r="T79" s="101" t="inlineStr">
        <is>
          <t xml:space="preserve"> </t>
        </is>
      </c>
      <c r="U79" s="101" t="inlineStr">
        <is>
          <t xml:space="preserve"> </t>
        </is>
      </c>
      <c r="V79" s="101" t="inlineStr">
        <is>
          <t xml:space="preserve"> </t>
        </is>
      </c>
      <c r="W79" s="102" t="inlineStr">
        <is>
          <t xml:space="preserve"> </t>
        </is>
      </c>
      <c r="X79" t="inlineStr">
        <is>
          <t>Por falta de código BPIN, no se encontró ejecución en CUIPO</t>
        </is>
      </c>
    </row>
    <row r="80">
      <c r="A80" t="inlineStr">
        <is>
          <t>IP-110</t>
        </is>
      </c>
      <c r="B80" t="inlineStr">
        <is>
          <t>17</t>
        </is>
      </c>
      <c r="C80" t="inlineStr">
        <is>
          <t xml:space="preserve">Agricultura y desarrollo rural
</t>
        </is>
      </c>
      <c r="D80" t="inlineStr">
        <is>
          <t>1704</t>
        </is>
      </c>
      <c r="E80" t="inlineStr">
        <is>
          <t>Ordenamiento social y uso productivo del territorio rural</t>
        </is>
      </c>
      <c r="F80" t="inlineStr">
        <is>
          <t>1704024</t>
        </is>
      </c>
      <c r="G80" t="inlineStr">
        <is>
          <t>Servicio de gestión de información para la planificación agropecuaria</t>
        </is>
      </c>
      <c r="H80" t="inlineStr">
        <is>
          <t>Comprende el desarrollo de los procesos de identificación, acceso, estructuración y administración  de la información para la  planificación rural agropecuaria en especial en en materia de ordenamiento productivo y social de la propiedad.</t>
        </is>
      </c>
      <c r="I80" t="inlineStr">
        <is>
          <t/>
        </is>
      </c>
      <c r="J80" s="99">
        <v>410000000</v>
      </c>
      <c r="K80" s="99">
        <v>0</v>
      </c>
      <c r="L80" s="99">
        <v>60000000</v>
      </c>
      <c r="M80" s="99">
        <v>200000000</v>
      </c>
      <c r="N80" s="99">
        <v>150000000</v>
      </c>
      <c r="O80" s="99" t="inlineStr">
        <is>
          <t xml:space="preserve"> </t>
        </is>
      </c>
      <c r="P80" s="99" t="inlineStr">
        <is>
          <t xml:space="preserve"> </t>
        </is>
      </c>
      <c r="Q80" s="99" t="inlineStr">
        <is>
          <t xml:space="preserve"> </t>
        </is>
      </c>
      <c r="R80" s="100" t="inlineStr">
        <is>
          <t xml:space="preserve"> </t>
        </is>
      </c>
      <c r="S80" t="inlineStr">
        <is>
          <t>Por falta de código BPIN, no se encontró ejecución en CUIPO</t>
        </is>
      </c>
      <c r="T80" s="101" t="inlineStr">
        <is>
          <t xml:space="preserve"> </t>
        </is>
      </c>
      <c r="U80" s="101" t="inlineStr">
        <is>
          <t xml:space="preserve"> </t>
        </is>
      </c>
      <c r="V80" s="101" t="inlineStr">
        <is>
          <t xml:space="preserve"> </t>
        </is>
      </c>
      <c r="W80" s="102" t="inlineStr">
        <is>
          <t xml:space="preserve"> </t>
        </is>
      </c>
      <c r="X80" t="inlineStr">
        <is>
          <t>Por falta de código BPIN, no se encontró ejecución en CUIPO</t>
        </is>
      </c>
    </row>
    <row r="81">
      <c r="A81" t="inlineStr">
        <is>
          <t>IP-111</t>
        </is>
      </c>
      <c r="B81" t="inlineStr">
        <is>
          <t>17</t>
        </is>
      </c>
      <c r="C81" t="inlineStr">
        <is>
          <t xml:space="preserve">Agricultura y desarrollo rural
</t>
        </is>
      </c>
      <c r="D81" t="inlineStr">
        <is>
          <t>1707</t>
        </is>
      </c>
      <c r="E81" t="inlineStr">
        <is>
          <t>Sanidad agropecuaria e inocuidad agroalimentaria</t>
        </is>
      </c>
      <c r="F81" t="inlineStr">
        <is>
          <t>1707043</t>
        </is>
      </c>
      <c r="G81" t="inlineStr">
        <is>
          <t>Servicios de control de parásitos para especies de interés agropecuario</t>
        </is>
      </c>
      <c r="H81" t="inlineStr">
        <is>
          <t>Consiste en el desarrollo de prácticas enfocadas a promover y proteger la salud de las especies animales por medio del control de parásitos internos y/o extermos . Incluye aplicación de vermífugos, baños, entre otros</t>
        </is>
      </c>
      <c r="I81" t="inlineStr">
        <is>
          <t>2024252140071</t>
        </is>
      </c>
      <c r="J81" s="99">
        <v>575000000</v>
      </c>
      <c r="K81" s="99">
        <v>200000000</v>
      </c>
      <c r="L81" s="99">
        <v>100000000</v>
      </c>
      <c r="M81" s="99">
        <v>150000000</v>
      </c>
      <c r="N81" s="99">
        <v>125000000</v>
      </c>
      <c r="O81" s="99" t="inlineStr">
        <is>
          <t xml:space="preserve"> </t>
        </is>
      </c>
      <c r="P81" s="99" t="inlineStr">
        <is>
          <t xml:space="preserve"> </t>
        </is>
      </c>
      <c r="Q81" s="99" t="inlineStr">
        <is>
          <t xml:space="preserve"> </t>
        </is>
      </c>
      <c r="R81" s="100" t="inlineStr">
        <is>
          <t xml:space="preserve"> </t>
        </is>
      </c>
      <c r="S81" t="inlineStr">
        <is>
          <t>No se encontró ejecución en CUIPO</t>
        </is>
      </c>
      <c r="T81" s="101" t="inlineStr">
        <is>
          <t xml:space="preserve"> </t>
        </is>
      </c>
      <c r="U81" s="101" t="inlineStr">
        <is>
          <t xml:space="preserve"> </t>
        </is>
      </c>
      <c r="V81" s="101" t="inlineStr">
        <is>
          <t xml:space="preserve"> </t>
        </is>
      </c>
      <c r="W81" s="102" t="inlineStr">
        <is>
          <t xml:space="preserve"> </t>
        </is>
      </c>
      <c r="X81" t="inlineStr">
        <is>
          <t>No se encontró ejecución en CUIPO</t>
        </is>
      </c>
    </row>
    <row r="82">
      <c r="A82" t="inlineStr">
        <is>
          <t>IP-112, IP-114</t>
        </is>
      </c>
      <c r="B82" t="inlineStr">
        <is>
          <t>17</t>
        </is>
      </c>
      <c r="C82" t="inlineStr">
        <is>
          <t xml:space="preserve">Agricultura y desarrollo rural
</t>
        </is>
      </c>
      <c r="D82" t="inlineStr">
        <is>
          <t>1708</t>
        </is>
      </c>
      <c r="E82" t="inlineStr">
        <is>
          <t>Ciencia, tecnología e innovación agropecuaria</t>
        </is>
      </c>
      <c r="F82" t="inlineStr">
        <is>
          <t>1708041</t>
        </is>
      </c>
      <c r="G82" t="inlineStr">
        <is>
          <t>Servicio de extensión agropecuaria</t>
        </is>
      </c>
      <c r="H82" t="inlineStr">
        <is>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is>
      </c>
      <c r="I82" t="inlineStr">
        <is>
          <t>2024252140069</t>
        </is>
      </c>
      <c r="J82" s="99">
        <v>10249984899.39</v>
      </c>
      <c r="K82" s="99">
        <v>2104704899.39</v>
      </c>
      <c r="L82" s="99">
        <v>484000000</v>
      </c>
      <c r="M82" s="99">
        <v>4380640000</v>
      </c>
      <c r="N82" s="99">
        <v>3280640000</v>
      </c>
      <c r="O82" s="99">
        <v>1656413005</v>
      </c>
      <c r="P82" s="99">
        <v>1606413005</v>
      </c>
      <c r="Q82" s="99">
        <v>1606413005</v>
      </c>
      <c r="R82" s="100">
        <v>0.763248570127613</v>
      </c>
      <c r="S82" t="inlineStr">
        <is>
          <t>Lo obligado está por debajo de lo programado en la vigencia</t>
        </is>
      </c>
      <c r="T82" s="101">
        <v>618906667</v>
      </c>
      <c r="U82" s="101">
        <v>446650001</v>
      </c>
      <c r="V82" s="101">
        <v>446650001</v>
      </c>
      <c r="W82" s="102">
        <v>0.922830580578512</v>
      </c>
      <c r="X82" t="inlineStr">
        <is>
          <t>Lo obligado está por debajo de lo programado en la vigencia</t>
        </is>
      </c>
    </row>
    <row r="83">
      <c r="A83" t="inlineStr">
        <is>
          <t>IP-113</t>
        </is>
      </c>
      <c r="B83" t="inlineStr">
        <is>
          <t>17</t>
        </is>
      </c>
      <c r="C83" t="inlineStr">
        <is>
          <t xml:space="preserve">Agricultura y desarrollo rural
</t>
        </is>
      </c>
      <c r="D83" t="inlineStr">
        <is>
          <t>1708</t>
        </is>
      </c>
      <c r="E83" t="inlineStr">
        <is>
          <t>Ciencia, tecnología e innovación agropecuaria</t>
        </is>
      </c>
      <c r="F83" t="inlineStr">
        <is>
          <t>1708040</t>
        </is>
      </c>
      <c r="G83" t="inlineStr">
        <is>
          <t>Servicio de divulgación de transferencia de tecnología</t>
        </is>
      </c>
      <c r="H83" t="inlineStr">
        <is>
          <t/>
        </is>
      </c>
      <c r="I83" t="inlineStr">
        <is>
          <t>2024252140069</t>
        </is>
      </c>
      <c r="J83" s="99">
        <v>873253912</v>
      </c>
      <c r="K83" s="99">
        <v>68866667</v>
      </c>
      <c r="L83" s="99">
        <v>119287245</v>
      </c>
      <c r="M83" s="99">
        <v>368900000</v>
      </c>
      <c r="N83" s="99">
        <v>316200000</v>
      </c>
      <c r="O83" s="99" t="inlineStr">
        <is>
          <t xml:space="preserve"> </t>
        </is>
      </c>
      <c r="P83" s="99" t="inlineStr">
        <is>
          <t xml:space="preserve"> </t>
        </is>
      </c>
      <c r="Q83" s="99" t="inlineStr">
        <is>
          <t xml:space="preserve"> </t>
        </is>
      </c>
      <c r="R83" s="100" t="inlineStr">
        <is>
          <t xml:space="preserve"> </t>
        </is>
      </c>
      <c r="S83" t="inlineStr">
        <is>
          <t>No se encontró ejecución en CUIPO</t>
        </is>
      </c>
      <c r="T83" s="101" t="inlineStr">
        <is>
          <t xml:space="preserve"> </t>
        </is>
      </c>
      <c r="U83" s="101" t="inlineStr">
        <is>
          <t xml:space="preserve"> </t>
        </is>
      </c>
      <c r="V83" s="101" t="inlineStr">
        <is>
          <t xml:space="preserve"> </t>
        </is>
      </c>
      <c r="W83" s="102" t="inlineStr">
        <is>
          <t xml:space="preserve"> </t>
        </is>
      </c>
      <c r="X83" t="inlineStr">
        <is>
          <t>No se encontró ejecución en CUIPO</t>
        </is>
      </c>
    </row>
    <row r="84">
      <c r="A84" t="inlineStr">
        <is>
          <t>IP-115</t>
        </is>
      </c>
      <c r="B84" t="inlineStr">
        <is>
          <t>17</t>
        </is>
      </c>
      <c r="C84" t="inlineStr">
        <is>
          <t xml:space="preserve">Agricultura y desarrollo rural
</t>
        </is>
      </c>
      <c r="D84" t="inlineStr">
        <is>
          <t>1708</t>
        </is>
      </c>
      <c r="E84" t="inlineStr">
        <is>
          <t>Ciencia, tecnología e innovación agropecuaria</t>
        </is>
      </c>
      <c r="F84" t="inlineStr">
        <is>
          <t>1708039</t>
        </is>
      </c>
      <c r="G84" t="inlineStr">
        <is>
          <t>Servicio de conservación y mantenimiento de especies animales, vegetales y microbiales en bancos de germoplasma</t>
        </is>
      </c>
      <c r="H84" t="inlineStr">
        <is>
          <t>Corresponde al manejo, preservación y utilización adecuados de los Recursos Genéticos conocidos, de tal forma que estos rindan un beneficio sostenible para las generaciones presentes y futuras</t>
        </is>
      </c>
      <c r="I84" t="inlineStr">
        <is>
          <t>2024252140069</t>
        </is>
      </c>
      <c r="J84" s="99">
        <v>323300000</v>
      </c>
      <c r="K84" s="99">
        <v>123700000</v>
      </c>
      <c r="L84" s="99">
        <v>70000000</v>
      </c>
      <c r="M84" s="99">
        <v>64800000</v>
      </c>
      <c r="N84" s="99">
        <v>64800000</v>
      </c>
      <c r="O84" s="99" t="inlineStr">
        <is>
          <t xml:space="preserve"> </t>
        </is>
      </c>
      <c r="P84" s="99" t="inlineStr">
        <is>
          <t xml:space="preserve"> </t>
        </is>
      </c>
      <c r="Q84" s="99" t="inlineStr">
        <is>
          <t xml:space="preserve"> </t>
        </is>
      </c>
      <c r="R84" s="100" t="inlineStr">
        <is>
          <t xml:space="preserve"> </t>
        </is>
      </c>
      <c r="S84" t="inlineStr">
        <is>
          <t>No se encontró ejecución en CUIPO</t>
        </is>
      </c>
      <c r="T84" s="101" t="inlineStr">
        <is>
          <t xml:space="preserve"> </t>
        </is>
      </c>
      <c r="U84" s="101" t="inlineStr">
        <is>
          <t xml:space="preserve"> </t>
        </is>
      </c>
      <c r="V84" s="101" t="inlineStr">
        <is>
          <t xml:space="preserve"> </t>
        </is>
      </c>
      <c r="W84" s="102" t="inlineStr">
        <is>
          <t xml:space="preserve"> </t>
        </is>
      </c>
      <c r="X84" t="inlineStr">
        <is>
          <t>No se encontró ejecución en CUIPO</t>
        </is>
      </c>
    </row>
    <row r="85">
      <c r="A85" t="inlineStr">
        <is>
          <t>IP-116</t>
        </is>
      </c>
      <c r="B85" t="inlineStr">
        <is>
          <t>17</t>
        </is>
      </c>
      <c r="C85" t="inlineStr">
        <is>
          <t xml:space="preserve">Agricultura y desarrollo rural
</t>
        </is>
      </c>
      <c r="D85" t="inlineStr">
        <is>
          <t>1708</t>
        </is>
      </c>
      <c r="E85" t="inlineStr">
        <is>
          <t>Ciencia, tecnología e innovación agropecuaria</t>
        </is>
      </c>
      <c r="F85" t="inlineStr">
        <is>
          <t>1708056</t>
        </is>
      </c>
      <c r="G85" t="inlineStr">
        <is>
          <t>Servicio de implementación de rutas agroecológicas</t>
        </is>
      </c>
      <c r="H85" t="inlineStr">
        <is>
          <t>Contempla la implementación de estrategias para la articulación, promoción y ejecución de rutas agroecológicas, las cuales incluyen huertas que desarrollan procesos de agricultura urbana.</t>
        </is>
      </c>
      <c r="I85" t="inlineStr">
        <is>
          <t>2024252140069</t>
        </is>
      </c>
      <c r="J85" s="99">
        <v>352600000</v>
      </c>
      <c r="K85" s="99">
        <v>0</v>
      </c>
      <c r="L85" s="99">
        <v>60000000</v>
      </c>
      <c r="M85" s="99">
        <v>167200000</v>
      </c>
      <c r="N85" s="99">
        <v>125400000</v>
      </c>
      <c r="O85" s="99" t="inlineStr">
        <is>
          <t xml:space="preserve"> </t>
        </is>
      </c>
      <c r="P85" s="99" t="inlineStr">
        <is>
          <t xml:space="preserve"> </t>
        </is>
      </c>
      <c r="Q85" s="99" t="inlineStr">
        <is>
          <t xml:space="preserve"> </t>
        </is>
      </c>
      <c r="R85" s="100" t="inlineStr">
        <is>
          <t xml:space="preserve"> </t>
        </is>
      </c>
      <c r="S85" t="inlineStr">
        <is>
          <t>No se encontró ejecución en CUIPO</t>
        </is>
      </c>
      <c r="T85" s="101" t="inlineStr">
        <is>
          <t xml:space="preserve"> </t>
        </is>
      </c>
      <c r="U85" s="101" t="inlineStr">
        <is>
          <t xml:space="preserve"> </t>
        </is>
      </c>
      <c r="V85" s="101" t="inlineStr">
        <is>
          <t xml:space="preserve"> </t>
        </is>
      </c>
      <c r="W85" s="102" t="inlineStr">
        <is>
          <t xml:space="preserve"> </t>
        </is>
      </c>
      <c r="X85" t="inlineStr">
        <is>
          <t>No se encontró ejecución en CUIPO</t>
        </is>
      </c>
    </row>
    <row r="86">
      <c r="A86" t="inlineStr">
        <is>
          <t>IP-117</t>
        </is>
      </c>
      <c r="B86" t="inlineStr">
        <is>
          <t>17</t>
        </is>
      </c>
      <c r="C86" t="inlineStr">
        <is>
          <t xml:space="preserve">Agricultura y desarrollo rural
</t>
        </is>
      </c>
      <c r="D86" t="inlineStr">
        <is>
          <t>1709</t>
        </is>
      </c>
      <c r="E86" t="inlineStr">
        <is>
          <t>Infraestructura productiva y comercialización</t>
        </is>
      </c>
      <c r="F86" t="inlineStr">
        <is>
          <t>1709116</t>
        </is>
      </c>
      <c r="G86" t="inlineStr">
        <is>
          <t>Servicio de apoyo financiero para proyectos de adecuación de tierras</t>
        </is>
      </c>
      <c r="H86" t="inlineStr">
        <is>
          <t>Corresponde al apoyo financiero destinado a financiar o cofinanciar proyectos de adecuación de tierras presentados  para preinversión de distritos, construcción de distritos, mejoramiento de distritos, reposición de maquinaría en distritos y actividades agropecuarias complementarias en distritos en los terminos de la Ley.</t>
        </is>
      </c>
      <c r="I86" t="inlineStr">
        <is>
          <t>2024252140113</t>
        </is>
      </c>
      <c r="J86" s="99">
        <v>2820036666.67</v>
      </c>
      <c r="K86" s="99">
        <v>800036666.67</v>
      </c>
      <c r="L86" s="99">
        <v>20000000</v>
      </c>
      <c r="M86" s="99">
        <v>1500000000</v>
      </c>
      <c r="N86" s="99">
        <v>500000000</v>
      </c>
      <c r="O86" s="99" t="inlineStr">
        <is>
          <t xml:space="preserve"> </t>
        </is>
      </c>
      <c r="P86" s="99" t="inlineStr">
        <is>
          <t xml:space="preserve"> </t>
        </is>
      </c>
      <c r="Q86" s="99" t="inlineStr">
        <is>
          <t xml:space="preserve"> </t>
        </is>
      </c>
      <c r="R86" s="100" t="inlineStr">
        <is>
          <t xml:space="preserve"> </t>
        </is>
      </c>
      <c r="S86" t="inlineStr">
        <is>
          <t>No se encontró ejecución en CUIPO</t>
        </is>
      </c>
      <c r="T86" s="101" t="inlineStr">
        <is>
          <t xml:space="preserve"> </t>
        </is>
      </c>
      <c r="U86" s="101" t="inlineStr">
        <is>
          <t xml:space="preserve"> </t>
        </is>
      </c>
      <c r="V86" s="101" t="inlineStr">
        <is>
          <t xml:space="preserve"> </t>
        </is>
      </c>
      <c r="W86" s="102" t="inlineStr">
        <is>
          <t xml:space="preserve"> </t>
        </is>
      </c>
      <c r="X86" t="inlineStr">
        <is>
          <t>No se encontró ejecución en CUIPO</t>
        </is>
      </c>
    </row>
    <row r="87">
      <c r="A87" t="inlineStr">
        <is>
          <t>IP-118</t>
        </is>
      </c>
      <c r="B87" t="inlineStr">
        <is>
          <t>17</t>
        </is>
      </c>
      <c r="C87" t="inlineStr">
        <is>
          <t xml:space="preserve">Agricultura y desarrollo rural
</t>
        </is>
      </c>
      <c r="D87" t="inlineStr">
        <is>
          <t>1709</t>
        </is>
      </c>
      <c r="E87" t="inlineStr">
        <is>
          <t>Infraestructura productiva y comercialización</t>
        </is>
      </c>
      <c r="F87" t="inlineStr">
        <is>
          <t>1709081</t>
        </is>
      </c>
      <c r="G87" t="inlineStr">
        <is>
          <t>Plaza de mercado construidas</t>
        </is>
      </c>
      <c r="H87" t="inlineStr">
        <is>
          <t>Lugar con infraestructura  que acopia productores y comercializadores minoristas a  lo cuales el cliente final y/o consumidor  podrá tener acceso a los productos que se ofrecen.</t>
        </is>
      </c>
      <c r="I87" t="inlineStr">
        <is>
          <t>2024252140113</t>
        </is>
      </c>
      <c r="J87" s="99">
        <v>3677033333.3333</v>
      </c>
      <c r="K87" s="99">
        <v>17033333.3333</v>
      </c>
      <c r="L87" s="99">
        <v>0</v>
      </c>
      <c r="M87" s="99">
        <v>1042000000</v>
      </c>
      <c r="N87" s="99">
        <v>2618000000</v>
      </c>
      <c r="O87" s="99" t="inlineStr">
        <is>
          <t xml:space="preserve"> </t>
        </is>
      </c>
      <c r="P87" s="99" t="inlineStr">
        <is>
          <t xml:space="preserve"> </t>
        </is>
      </c>
      <c r="Q87" s="99" t="inlineStr">
        <is>
          <t xml:space="preserve"> </t>
        </is>
      </c>
      <c r="R87" s="100" t="inlineStr">
        <is>
          <t xml:space="preserve"> </t>
        </is>
      </c>
      <c r="S87" t="inlineStr">
        <is>
          <t>No se encontró ejecución en CUIPO</t>
        </is>
      </c>
      <c r="T87" s="101" t="inlineStr">
        <is>
          <t xml:space="preserve"> </t>
        </is>
      </c>
      <c r="U87" s="101" t="inlineStr">
        <is>
          <t xml:space="preserve"> </t>
        </is>
      </c>
      <c r="V87" s="101" t="inlineStr">
        <is>
          <t xml:space="preserve"> </t>
        </is>
      </c>
      <c r="W87" s="102" t="inlineStr">
        <is>
          <t xml:space="preserve"> </t>
        </is>
      </c>
      <c r="X87" t="inlineStr">
        <is>
          <t>No se encontró ejecución en CUIPO</t>
        </is>
      </c>
    </row>
    <row r="88">
      <c r="A88" t="inlineStr">
        <is>
          <t>IP-119</t>
        </is>
      </c>
      <c r="B88" t="inlineStr">
        <is>
          <t>19</t>
        </is>
      </c>
      <c r="C88" t="inlineStr">
        <is>
          <t>Salud y protección social</t>
        </is>
      </c>
      <c r="D88" t="inlineStr">
        <is>
          <t>1903</t>
        </is>
      </c>
      <c r="E88" t="inlineStr">
        <is>
          <t>Inspección, vigilancia y control</t>
        </is>
      </c>
      <c r="F88" t="inlineStr">
        <is>
          <t>1903011</t>
        </is>
      </c>
      <c r="G88" t="inlineStr">
        <is>
          <t>Servicio de inspección, vigilancia y control</t>
        </is>
      </c>
      <c r="H88" t="inlineStr">
        <is>
          <t>El servicio de inspección, vigilancia y control permite mantener los estándares en las entidades del sector salud</t>
        </is>
      </c>
      <c r="I88" t="inlineStr">
        <is>
          <t>2024252140080</t>
        </is>
      </c>
      <c r="J88" s="99">
        <v>3263340000</v>
      </c>
      <c r="K88" s="99">
        <v>691500000</v>
      </c>
      <c r="L88" s="99">
        <v>691500000</v>
      </c>
      <c r="M88" s="99">
        <v>895400000</v>
      </c>
      <c r="N88" s="99">
        <v>984940000</v>
      </c>
      <c r="O88" s="99">
        <v>144294983</v>
      </c>
      <c r="P88" s="99">
        <v>144294983</v>
      </c>
      <c r="Q88" s="99">
        <v>144294983</v>
      </c>
      <c r="R88" s="100">
        <v>0.208669534345625</v>
      </c>
      <c r="S88" t="inlineStr">
        <is>
          <t>Lo obligado está por debajo de lo programado en la vigencia</t>
        </is>
      </c>
      <c r="T88" s="101">
        <v>551843332</v>
      </c>
      <c r="U88" s="101">
        <v>403186666</v>
      </c>
      <c r="V88" s="101">
        <v>403186666</v>
      </c>
      <c r="W88" s="102">
        <v>0.58306097758496</v>
      </c>
      <c r="X88" t="inlineStr">
        <is>
          <t>Lo obligado está por debajo de lo programado en la vigencia</t>
        </is>
      </c>
    </row>
    <row r="89">
      <c r="A89" t="inlineStr">
        <is>
          <t>IP-120</t>
        </is>
      </c>
      <c r="B89" t="inlineStr">
        <is>
          <t>19</t>
        </is>
      </c>
      <c r="C89" t="inlineStr">
        <is>
          <t>Salud y protección social</t>
        </is>
      </c>
      <c r="D89" t="inlineStr">
        <is>
          <t>1903</t>
        </is>
      </c>
      <c r="E89" t="inlineStr">
        <is>
          <t>Inspección, vigilancia y control</t>
        </is>
      </c>
      <c r="F89" t="inlineStr">
        <is>
          <t>1903025</t>
        </is>
      </c>
      <c r="G89" t="inlineStr">
        <is>
          <t>Servicio de implementación de estrategias para el fortalecimiento del control social en salud</t>
        </is>
      </c>
      <c r="H89" t="inlineStr">
        <is>
          <t xml:space="preserve">Este servicio permite obtener estrategias para el fortalecimiento del control social en salud </t>
        </is>
      </c>
      <c r="I89" t="inlineStr">
        <is>
          <t>2024252140080</t>
        </is>
      </c>
      <c r="J89" s="99">
        <v>4037000000</v>
      </c>
      <c r="K89" s="99">
        <v>368500000</v>
      </c>
      <c r="L89" s="99">
        <v>368500000</v>
      </c>
      <c r="M89" s="99">
        <v>1600000000</v>
      </c>
      <c r="N89" s="99">
        <v>1700000000</v>
      </c>
      <c r="O89" s="99" t="inlineStr">
        <is>
          <t xml:space="preserve"> </t>
        </is>
      </c>
      <c r="P89" s="99" t="inlineStr">
        <is>
          <t xml:space="preserve"> </t>
        </is>
      </c>
      <c r="Q89" s="99" t="inlineStr">
        <is>
          <t xml:space="preserve"> </t>
        </is>
      </c>
      <c r="R89" s="100" t="inlineStr">
        <is>
          <t xml:space="preserve"> </t>
        </is>
      </c>
      <c r="S89" t="inlineStr">
        <is>
          <t>No se encontró ejecución en CUIPO</t>
        </is>
      </c>
      <c r="T89" s="101" t="inlineStr">
        <is>
          <t xml:space="preserve"> </t>
        </is>
      </c>
      <c r="U89" s="101" t="inlineStr">
        <is>
          <t xml:space="preserve"> </t>
        </is>
      </c>
      <c r="V89" s="101" t="inlineStr">
        <is>
          <t xml:space="preserve"> </t>
        </is>
      </c>
      <c r="W89" s="102" t="inlineStr">
        <is>
          <t xml:space="preserve"> </t>
        </is>
      </c>
      <c r="X89" t="inlineStr">
        <is>
          <t>No se encontró ejecución en CUIPO</t>
        </is>
      </c>
    </row>
    <row r="90">
      <c r="A90" t="inlineStr">
        <is>
          <t>IP-121</t>
        </is>
      </c>
      <c r="B90" t="inlineStr">
        <is>
          <t>19</t>
        </is>
      </c>
      <c r="C90" t="inlineStr">
        <is>
          <t>Salud y protección social</t>
        </is>
      </c>
      <c r="D90" t="inlineStr">
        <is>
          <t>1903</t>
        </is>
      </c>
      <c r="E90" t="inlineStr">
        <is>
          <t>Inspección, vigilancia y control</t>
        </is>
      </c>
      <c r="F90" t="inlineStr">
        <is>
          <t>1903057</t>
        </is>
      </c>
      <c r="G90" t="inlineStr">
        <is>
          <t>Servicio de promoción, prevención, vigilancia y control de vectores y zoonosis</t>
        </is>
      </c>
      <c r="H90" t="inlineStr">
        <is>
          <t>El Servicio de promoción, prevención, vigilancia  y control de vectores y zoonosis  permite a las entidades formular y ejecutar  efectivamente acciones para la atención del tema control de vectores y zoonosis.</t>
        </is>
      </c>
      <c r="I90" t="inlineStr">
        <is>
          <t>2024252140080</t>
        </is>
      </c>
      <c r="J90" s="99">
        <v>3254290000</v>
      </c>
      <c r="K90" s="99">
        <v>750500000</v>
      </c>
      <c r="L90" s="99">
        <v>750500000</v>
      </c>
      <c r="M90" s="99">
        <v>834900000</v>
      </c>
      <c r="N90" s="99">
        <v>918390000</v>
      </c>
      <c r="O90" s="99" t="inlineStr">
        <is>
          <t xml:space="preserve"> </t>
        </is>
      </c>
      <c r="P90" s="99" t="inlineStr">
        <is>
          <t xml:space="preserve"> </t>
        </is>
      </c>
      <c r="Q90" s="99" t="inlineStr">
        <is>
          <t xml:space="preserve"> </t>
        </is>
      </c>
      <c r="R90" s="100" t="inlineStr">
        <is>
          <t xml:space="preserve"> </t>
        </is>
      </c>
      <c r="S90" t="inlineStr">
        <is>
          <t>No se encontró ejecución en CUIPO</t>
        </is>
      </c>
      <c r="T90" s="101">
        <v>232385000</v>
      </c>
      <c r="U90" s="101">
        <v>161058334</v>
      </c>
      <c r="V90" s="101">
        <v>161058334</v>
      </c>
      <c r="W90" s="102">
        <v>0.214601377748168</v>
      </c>
      <c r="X90" t="inlineStr">
        <is>
          <t>Lo obligado está por debajo de lo programado en la vigencia</t>
        </is>
      </c>
    </row>
    <row r="91">
      <c r="A91" t="inlineStr">
        <is>
          <t>IP-122, IP-123, IP-124, IP-125</t>
        </is>
      </c>
      <c r="B91" t="inlineStr">
        <is>
          <t>19</t>
        </is>
      </c>
      <c r="C91" t="inlineStr">
        <is>
          <t>Salud y protección social</t>
        </is>
      </c>
      <c r="D91" t="inlineStr">
        <is>
          <t>1905</t>
        </is>
      </c>
      <c r="E91" t="inlineStr">
        <is>
          <t>Salud pública</t>
        </is>
      </c>
      <c r="F91" t="inlineStr">
        <is>
          <t>1905054</t>
        </is>
      </c>
      <c r="G91" t="inlineStr">
        <is>
          <t>Servicio de promoción de la salud</t>
        </is>
      </c>
      <c r="H91" t="inlineStr">
        <is>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is>
      </c>
      <c r="I91" t="inlineStr">
        <is>
          <t>2024252140081</t>
        </is>
      </c>
      <c r="J91" s="99">
        <v>4921864982.62</v>
      </c>
      <c r="K91" s="99">
        <v>1123442491.31</v>
      </c>
      <c r="L91" s="99">
        <v>1123442491.31</v>
      </c>
      <c r="M91" s="99">
        <v>1273800000</v>
      </c>
      <c r="N91" s="99">
        <v>1401180000</v>
      </c>
      <c r="O91" s="99" t="inlineStr">
        <is>
          <t xml:space="preserve"> </t>
        </is>
      </c>
      <c r="P91" s="99" t="inlineStr">
        <is>
          <t xml:space="preserve"> </t>
        </is>
      </c>
      <c r="Q91" s="99" t="inlineStr">
        <is>
          <t xml:space="preserve"> </t>
        </is>
      </c>
      <c r="R91" s="100" t="inlineStr">
        <is>
          <t xml:space="preserve"> </t>
        </is>
      </c>
      <c r="S91" t="inlineStr">
        <is>
          <t>No se encontró ejecución en CUIPO</t>
        </is>
      </c>
      <c r="T91" s="101" t="inlineStr">
        <is>
          <t xml:space="preserve"> </t>
        </is>
      </c>
      <c r="U91" s="101" t="inlineStr">
        <is>
          <t xml:space="preserve"> </t>
        </is>
      </c>
      <c r="V91" s="101" t="inlineStr">
        <is>
          <t xml:space="preserve"> </t>
        </is>
      </c>
      <c r="W91" s="102" t="inlineStr">
        <is>
          <t xml:space="preserve"> </t>
        </is>
      </c>
      <c r="X91" t="inlineStr">
        <is>
          <t>No se encontró ejecución en CUIPO</t>
        </is>
      </c>
    </row>
    <row r="92">
      <c r="A92" t="inlineStr">
        <is>
          <t>IP-126</t>
        </is>
      </c>
      <c r="B92" t="inlineStr">
        <is>
          <t>19</t>
        </is>
      </c>
      <c r="C92" t="inlineStr">
        <is>
          <t>Salud y protección social</t>
        </is>
      </c>
      <c r="D92" t="inlineStr">
        <is>
          <t>1905</t>
        </is>
      </c>
      <c r="E92" t="inlineStr">
        <is>
          <t>Salud pública</t>
        </is>
      </c>
      <c r="F92" t="inlineStr">
        <is>
          <t>1905040</t>
        </is>
      </c>
      <c r="G92" t="inlineStr">
        <is>
          <t>Servicio de certificación de discapacidad para las personas con discapacidad</t>
        </is>
      </c>
      <c r="H92" t="inlineStr">
        <is>
          <t>Corresponde a las acciones para la valoración clínica multidisciplinaria simultánea para identificar la condición de discapacidad, registro de localización y caracterización de las personas con discapacidad y generación del certificado de discapacidad.</t>
        </is>
      </c>
      <c r="I92" t="inlineStr">
        <is>
          <t>2024252140081</t>
        </is>
      </c>
      <c r="J92" s="99">
        <v>557052000</v>
      </c>
      <c r="K92" s="99">
        <v>60000000</v>
      </c>
      <c r="L92" s="99">
        <v>60000000</v>
      </c>
      <c r="M92" s="99">
        <v>208120000</v>
      </c>
      <c r="N92" s="99">
        <v>228932000</v>
      </c>
      <c r="O92" s="99" t="inlineStr">
        <is>
          <t xml:space="preserve"> </t>
        </is>
      </c>
      <c r="P92" s="99" t="inlineStr">
        <is>
          <t xml:space="preserve"> </t>
        </is>
      </c>
      <c r="Q92" s="99" t="inlineStr">
        <is>
          <t xml:space="preserve"> </t>
        </is>
      </c>
      <c r="R92" s="100" t="inlineStr">
        <is>
          <t xml:space="preserve"> </t>
        </is>
      </c>
      <c r="S92" t="inlineStr">
        <is>
          <t>No se encontró ejecución en CUIPO</t>
        </is>
      </c>
      <c r="T92" s="101" t="inlineStr">
        <is>
          <t xml:space="preserve"> </t>
        </is>
      </c>
      <c r="U92" s="101" t="inlineStr">
        <is>
          <t xml:space="preserve"> </t>
        </is>
      </c>
      <c r="V92" s="101" t="inlineStr">
        <is>
          <t xml:space="preserve"> </t>
        </is>
      </c>
      <c r="W92" s="102" t="inlineStr">
        <is>
          <t xml:space="preserve"> </t>
        </is>
      </c>
      <c r="X92" t="inlineStr">
        <is>
          <t>No se encontró ejecución en CUIPO</t>
        </is>
      </c>
    </row>
    <row r="93">
      <c r="A93" t="inlineStr">
        <is>
          <t>IP-127</t>
        </is>
      </c>
      <c r="B93" t="inlineStr">
        <is>
          <t>19</t>
        </is>
      </c>
      <c r="C93" t="inlineStr">
        <is>
          <t>Salud y protección social</t>
        </is>
      </c>
      <c r="D93" t="inlineStr">
        <is>
          <t>1905</t>
        </is>
      </c>
      <c r="E93" t="inlineStr">
        <is>
          <t>Salud pública</t>
        </is>
      </c>
      <c r="F93" t="inlineStr">
        <is>
          <t>1905023</t>
        </is>
      </c>
      <c r="G93" t="inlineStr">
        <is>
          <t>Servicio de gestión del riesgo para abordar condiciones crónicas prevalentes</t>
        </is>
      </c>
      <c r="H93" t="inlineStr">
        <is>
          <t>Acciones para garantizar la prevención y el abordaje de enfermedades no transmisibles y de alteraciones de la salud bucal, visual y auditiva, gestión del riesgo disminución de la enfermedad y la discapacidad evitable.</t>
        </is>
      </c>
      <c r="I93" t="inlineStr">
        <is>
          <t>2024252140081</t>
        </is>
      </c>
      <c r="J93" s="99">
        <v>596780000</v>
      </c>
      <c r="K93" s="99">
        <v>139000000</v>
      </c>
      <c r="L93" s="99">
        <v>139000000</v>
      </c>
      <c r="M93" s="99">
        <v>151800000</v>
      </c>
      <c r="N93" s="99">
        <v>166980000</v>
      </c>
      <c r="O93" s="99" t="inlineStr">
        <is>
          <t xml:space="preserve"> </t>
        </is>
      </c>
      <c r="P93" s="99" t="inlineStr">
        <is>
          <t xml:space="preserve"> </t>
        </is>
      </c>
      <c r="Q93" s="99" t="inlineStr">
        <is>
          <t xml:space="preserve"> </t>
        </is>
      </c>
      <c r="R93" s="100" t="inlineStr">
        <is>
          <t xml:space="preserve"> </t>
        </is>
      </c>
      <c r="S93" t="inlineStr">
        <is>
          <t>No se encontró ejecución en CUIPO</t>
        </is>
      </c>
      <c r="T93" s="101" t="inlineStr">
        <is>
          <t xml:space="preserve"> </t>
        </is>
      </c>
      <c r="U93" s="101" t="inlineStr">
        <is>
          <t xml:space="preserve"> </t>
        </is>
      </c>
      <c r="V93" s="101" t="inlineStr">
        <is>
          <t xml:space="preserve"> </t>
        </is>
      </c>
      <c r="W93" s="102" t="inlineStr">
        <is>
          <t xml:space="preserve"> </t>
        </is>
      </c>
      <c r="X93" t="inlineStr">
        <is>
          <t>No se encontró ejecución en CUIPO</t>
        </is>
      </c>
    </row>
    <row r="94">
      <c r="A94" t="inlineStr">
        <is>
          <t>IP-128</t>
        </is>
      </c>
      <c r="B94" t="inlineStr">
        <is>
          <t>19</t>
        </is>
      </c>
      <c r="C94" t="inlineStr">
        <is>
          <t>Salud y protección social</t>
        </is>
      </c>
      <c r="D94" t="inlineStr">
        <is>
          <t>1905</t>
        </is>
      </c>
      <c r="E94" t="inlineStr">
        <is>
          <t>Salud pública</t>
        </is>
      </c>
      <c r="F94" t="inlineStr">
        <is>
          <t>1905052</t>
        </is>
      </c>
      <c r="G94" t="inlineStr">
        <is>
          <t>Servicios de información implementados</t>
        </is>
      </c>
      <c r="H94" t="inlineStr">
        <is>
          <t>Corresponde al proceso que asegura la disposición de la información de manera accesible, confiable y oportuna.</t>
        </is>
      </c>
      <c r="I94" t="inlineStr">
        <is>
          <t>2024252140081</t>
        </is>
      </c>
      <c r="J94" s="99">
        <v>1044120000</v>
      </c>
      <c r="K94" s="99">
        <v>231000000</v>
      </c>
      <c r="L94" s="99">
        <v>231000000</v>
      </c>
      <c r="M94" s="99">
        <v>277200000</v>
      </c>
      <c r="N94" s="99">
        <v>304920000</v>
      </c>
      <c r="O94" s="99" t="inlineStr">
        <is>
          <t xml:space="preserve"> </t>
        </is>
      </c>
      <c r="P94" s="99" t="inlineStr">
        <is>
          <t xml:space="preserve"> </t>
        </is>
      </c>
      <c r="Q94" s="99" t="inlineStr">
        <is>
          <t xml:space="preserve"> </t>
        </is>
      </c>
      <c r="R94" s="100" t="inlineStr">
        <is>
          <t xml:space="preserve"> </t>
        </is>
      </c>
      <c r="S94" t="inlineStr">
        <is>
          <t>No se encontró ejecución en CUIPO</t>
        </is>
      </c>
      <c r="T94" s="101">
        <v>196236666</v>
      </c>
      <c r="U94" s="101">
        <v>133556666</v>
      </c>
      <c r="V94" s="101">
        <v>133556666</v>
      </c>
      <c r="W94" s="102">
        <v>0.578167385281385</v>
      </c>
      <c r="X94" t="inlineStr">
        <is>
          <t>Lo obligado está por debajo de lo programado en la vigencia</t>
        </is>
      </c>
    </row>
    <row r="95">
      <c r="A95" t="inlineStr">
        <is>
          <t>IP-129</t>
        </is>
      </c>
      <c r="B95" t="inlineStr">
        <is>
          <t>19</t>
        </is>
      </c>
      <c r="C95" t="inlineStr">
        <is>
          <t>Salud y protección social</t>
        </is>
      </c>
      <c r="D95" t="inlineStr">
        <is>
          <t>1905</t>
        </is>
      </c>
      <c r="E95" t="inlineStr">
        <is>
          <t>Salud pública</t>
        </is>
      </c>
      <c r="F95" t="inlineStr">
        <is>
          <t>1905049</t>
        </is>
      </c>
      <c r="G95" t="inlineStr">
        <is>
          <t>Servicio de promoción de la participación social en salud</t>
        </is>
      </c>
      <c r="H95" t="inlineStr">
        <is>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is>
      </c>
      <c r="I95" t="inlineStr">
        <is>
          <t>2024252140081</t>
        </is>
      </c>
      <c r="J95" s="99">
        <v>447480000</v>
      </c>
      <c r="K95" s="99">
        <v>99000000</v>
      </c>
      <c r="L95" s="99">
        <v>99000000</v>
      </c>
      <c r="M95" s="99">
        <v>118800000</v>
      </c>
      <c r="N95" s="99">
        <v>130680000</v>
      </c>
      <c r="O95" s="99" t="inlineStr">
        <is>
          <t xml:space="preserve"> </t>
        </is>
      </c>
      <c r="P95" s="99" t="inlineStr">
        <is>
          <t xml:space="preserve"> </t>
        </is>
      </c>
      <c r="Q95" s="99" t="inlineStr">
        <is>
          <t xml:space="preserve"> </t>
        </is>
      </c>
      <c r="R95" s="100" t="inlineStr">
        <is>
          <t xml:space="preserve"> </t>
        </is>
      </c>
      <c r="S95" t="inlineStr">
        <is>
          <t>No se encontró ejecución en CUIPO</t>
        </is>
      </c>
      <c r="T95" s="101" t="inlineStr">
        <is>
          <t xml:space="preserve"> </t>
        </is>
      </c>
      <c r="U95" s="101" t="inlineStr">
        <is>
          <t xml:space="preserve"> </t>
        </is>
      </c>
      <c r="V95" s="101" t="inlineStr">
        <is>
          <t xml:space="preserve"> </t>
        </is>
      </c>
      <c r="W95" s="102" t="inlineStr">
        <is>
          <t xml:space="preserve"> </t>
        </is>
      </c>
      <c r="X95" t="inlineStr">
        <is>
          <t>No se encontró ejecución en CUIPO</t>
        </is>
      </c>
    </row>
    <row r="96">
      <c r="A96" t="inlineStr">
        <is>
          <t>IP-130, IP-131, IP-132, IP-133</t>
        </is>
      </c>
      <c r="B96" t="inlineStr">
        <is>
          <t>19</t>
        </is>
      </c>
      <c r="C96" t="inlineStr">
        <is>
          <t>Salud y protección social</t>
        </is>
      </c>
      <c r="D96" t="inlineStr">
        <is>
          <t>1905</t>
        </is>
      </c>
      <c r="E96" t="inlineStr">
        <is>
          <t>Salud pública</t>
        </is>
      </c>
      <c r="F96" t="inlineStr">
        <is>
          <t>1905015</t>
        </is>
      </c>
      <c r="G96" t="inlineStr">
        <is>
          <t>Documentos de planeación</t>
        </is>
      </c>
      <c r="H96" t="inlineStr">
        <is>
          <t>Documentos cuyo objetivo es plasmar una visión de futuro a nivel país, entidad territorial, comunidad, sector, región, entidad o cualquier nivel de desagregación que se requiera. Incluye objetivos, estrategias, metas e indicadores.</t>
        </is>
      </c>
      <c r="I96" t="inlineStr">
        <is>
          <t>2024252140081</t>
        </is>
      </c>
      <c r="J96" s="99">
        <v>7077760000</v>
      </c>
      <c r="K96" s="99">
        <v>1167500000</v>
      </c>
      <c r="L96" s="99">
        <v>1642500000</v>
      </c>
      <c r="M96" s="99">
        <v>2015600000</v>
      </c>
      <c r="N96" s="99">
        <v>2252160000</v>
      </c>
      <c r="O96" s="99">
        <v>827679739</v>
      </c>
      <c r="P96" s="99">
        <v>822579739</v>
      </c>
      <c r="Q96" s="99">
        <v>822579739</v>
      </c>
      <c r="R96" s="100">
        <v>0.704565086937902</v>
      </c>
      <c r="S96" t="inlineStr">
        <is>
          <t>Lo obligado está por debajo de lo programado en la vigencia</t>
        </is>
      </c>
      <c r="T96" s="101">
        <v>2819878000</v>
      </c>
      <c r="U96" s="101">
        <v>2008104035</v>
      </c>
      <c r="V96" s="101">
        <v>2008104035</v>
      </c>
      <c r="W96" s="102">
        <v>1.22258997564688</v>
      </c>
      <c r="X96" t="inlineStr">
        <is>
          <t>Hubo ejecución por encima de lo programado en SisPT</t>
        </is>
      </c>
    </row>
    <row r="97">
      <c r="A97" t="inlineStr">
        <is>
          <t>IP-134, IP-135</t>
        </is>
      </c>
      <c r="B97" t="inlineStr">
        <is>
          <t>19</t>
        </is>
      </c>
      <c r="C97" t="inlineStr">
        <is>
          <t>Salud y protección social</t>
        </is>
      </c>
      <c r="D97" t="inlineStr">
        <is>
          <t>1906</t>
        </is>
      </c>
      <c r="E97" t="inlineStr">
        <is>
          <t>Aseguramiento y prestación integral de servicios de salud</t>
        </is>
      </c>
      <c r="F97" t="inlineStr">
        <is>
          <t>1906001</t>
        </is>
      </c>
      <c r="G97" t="inlineStr">
        <is>
          <t>Hospitales de primer nivel de atención adecuados</t>
        </is>
      </c>
      <c r="H97" t="inlineStr">
        <is>
          <t>Infraestructura hospitalaria de primer nivel de atención adecuada, para la prestación de servicios de salud a la población. Incluye centros de salud, puestos de salud e infraestructura local de prestación de servicios.</t>
        </is>
      </c>
      <c r="I97" t="inlineStr">
        <is>
          <t>2024252140114</t>
        </is>
      </c>
      <c r="J97" s="99">
        <v>3033916670.89</v>
      </c>
      <c r="K97" s="99">
        <v>1333916670.89</v>
      </c>
      <c r="L97" s="99">
        <v>700000000</v>
      </c>
      <c r="M97" s="99">
        <v>500000000</v>
      </c>
      <c r="N97" s="99">
        <v>500000000</v>
      </c>
      <c r="O97" s="99">
        <v>1192514329</v>
      </c>
      <c r="P97" s="99">
        <v>0</v>
      </c>
      <c r="Q97" s="99">
        <v>0</v>
      </c>
      <c r="R97" s="100">
        <v>0</v>
      </c>
      <c r="S97" t="inlineStr">
        <is>
          <t>No se ejecutó en la vigencia</t>
        </is>
      </c>
      <c r="T97" s="101">
        <v>575528164</v>
      </c>
      <c r="U97" s="101">
        <v>0</v>
      </c>
      <c r="V97" s="101">
        <v>0</v>
      </c>
      <c r="W97" s="102">
        <v>0</v>
      </c>
      <c r="X97" t="inlineStr">
        <is>
          <t>No se ejecutó en la vigencia</t>
        </is>
      </c>
    </row>
    <row r="98">
      <c r="A98" t="inlineStr">
        <is>
          <t>IP-136</t>
        </is>
      </c>
      <c r="B98" t="inlineStr">
        <is>
          <t>19</t>
        </is>
      </c>
      <c r="C98" t="inlineStr">
        <is>
          <t>Salud y protección social</t>
        </is>
      </c>
      <c r="D98" t="inlineStr">
        <is>
          <t>1906</t>
        </is>
      </c>
      <c r="E98" t="inlineStr">
        <is>
          <t>Aseguramiento y prestación integral de servicios de salud</t>
        </is>
      </c>
      <c r="F98" t="inlineStr">
        <is>
          <t>1906030</t>
        </is>
      </c>
      <c r="G98" t="inlineStr">
        <is>
          <t>Hospitales de primer nivel de atención construidos y dotados</t>
        </is>
      </c>
      <c r="H98" t="inlineStr">
        <is>
          <t>Infraestructura hospitalaria de primer nivel de atención construida y dotada con equipos y mobiliario, para la prestación de servicios de salud a la población. Incluye centros de salud, puestos de salud e infraestructura local de prestación de servicios.</t>
        </is>
      </c>
      <c r="I98" t="inlineStr">
        <is>
          <t>2024252140085</t>
        </is>
      </c>
      <c r="J98" s="99">
        <v>2542047998.7</v>
      </c>
      <c r="K98" s="99">
        <v>842047998.7</v>
      </c>
      <c r="L98" s="99">
        <v>200000000</v>
      </c>
      <c r="M98" s="99">
        <v>500000000</v>
      </c>
      <c r="N98" s="99">
        <v>1000000000</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t="inlineStr">
        <is>
          <t xml:space="preserve"> </t>
        </is>
      </c>
      <c r="U98" s="101" t="inlineStr">
        <is>
          <t xml:space="preserve"> </t>
        </is>
      </c>
      <c r="V98" s="101" t="inlineStr">
        <is>
          <t xml:space="preserve"> </t>
        </is>
      </c>
      <c r="W98" s="102" t="inlineStr">
        <is>
          <t xml:space="preserve"> </t>
        </is>
      </c>
      <c r="X98" t="inlineStr">
        <is>
          <t>No se encontró ejecución en CUIPO</t>
        </is>
      </c>
    </row>
    <row r="99">
      <c r="A99" t="inlineStr">
        <is>
          <t>IP-137</t>
        </is>
      </c>
      <c r="B99" t="inlineStr">
        <is>
          <t>19</t>
        </is>
      </c>
      <c r="C99" t="inlineStr">
        <is>
          <t>Salud y protección social</t>
        </is>
      </c>
      <c r="D99" t="inlineStr">
        <is>
          <t>1906</t>
        </is>
      </c>
      <c r="E99" t="inlineStr">
        <is>
          <t>Aseguramiento y prestación integral de servicios de salud</t>
        </is>
      </c>
      <c r="F99" t="inlineStr">
        <is>
          <t>1906044</t>
        </is>
      </c>
      <c r="G99" t="inlineStr">
        <is>
          <t>Servicio de afiliaciones al régimen subsidiado del Sistema General de Seguridad Social</t>
        </is>
      </c>
      <c r="H99"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99" t="inlineStr">
        <is>
          <t>2024252140082</t>
        </is>
      </c>
      <c r="J99" s="99">
        <v>37771458804.163</v>
      </c>
      <c r="K99" s="99">
        <v>4883457418.45</v>
      </c>
      <c r="L99" s="99">
        <v>9341059269.708</v>
      </c>
      <c r="M99" s="99">
        <v>11212829579.05</v>
      </c>
      <c r="N99" s="99">
        <v>12334112536.955</v>
      </c>
      <c r="O99" s="99" t="inlineStr">
        <is>
          <t xml:space="preserve"> </t>
        </is>
      </c>
      <c r="P99" s="99" t="inlineStr">
        <is>
          <t xml:space="preserve"> </t>
        </is>
      </c>
      <c r="Q99" s="99" t="inlineStr">
        <is>
          <t xml:space="preserve"> </t>
        </is>
      </c>
      <c r="R99" s="100" t="inlineStr">
        <is>
          <t xml:space="preserve"> </t>
        </is>
      </c>
      <c r="S99" t="inlineStr">
        <is>
          <t>No se encontró ejecución en CUIPO</t>
        </is>
      </c>
      <c r="T99" s="101">
        <v>7574762504</v>
      </c>
      <c r="U99" s="101">
        <v>7221875366</v>
      </c>
      <c r="V99" s="101">
        <v>7221875366</v>
      </c>
      <c r="W99" s="102">
        <v>0.773132377975561</v>
      </c>
      <c r="X99" t="inlineStr">
        <is>
          <t>Lo obligado está por debajo de lo programado en la vigencia</t>
        </is>
      </c>
    </row>
    <row r="100">
      <c r="A100" t="inlineStr">
        <is>
          <t>IP-138</t>
        </is>
      </c>
      <c r="B100" t="inlineStr">
        <is>
          <t>19</t>
        </is>
      </c>
      <c r="C100" t="inlineStr">
        <is>
          <t>Salud y protección social</t>
        </is>
      </c>
      <c r="D100" t="inlineStr">
        <is>
          <t>1906</t>
        </is>
      </c>
      <c r="E100" t="inlineStr">
        <is>
          <t>Aseguramiento y prestación integral de servicios de salud</t>
        </is>
      </c>
      <c r="F100" t="inlineStr">
        <is>
          <t>1906022</t>
        </is>
      </c>
      <c r="G100" t="inlineStr">
        <is>
          <t>Servicio de apoyo a la prestación del servicio de transporte de pacientes</t>
        </is>
      </c>
      <c r="H100" t="inlineStr">
        <is>
          <t xml:space="preserve">Incluye el apoyo tanto el financiero como en especie para prestar el servicio de transporte de pacientes. </t>
        </is>
      </c>
      <c r="I100" t="inlineStr">
        <is>
          <t>2024252140086</t>
        </is>
      </c>
      <c r="J100" s="99">
        <v>2314074876.0708</v>
      </c>
      <c r="K100" s="99">
        <v>182960738.49</v>
      </c>
      <c r="L100" s="99">
        <v>606514137.5808</v>
      </c>
      <c r="M100" s="99">
        <v>726000000</v>
      </c>
      <c r="N100" s="99">
        <v>798600000</v>
      </c>
      <c r="O100" s="99">
        <v>150069999</v>
      </c>
      <c r="P100" s="99">
        <v>33119999</v>
      </c>
      <c r="Q100" s="99">
        <v>33119999</v>
      </c>
      <c r="R100" s="100">
        <v>0.181022438329359</v>
      </c>
      <c r="S100" t="inlineStr">
        <is>
          <t>Lo obligado está por debajo de lo programado en la vigencia</t>
        </is>
      </c>
      <c r="T100" s="101">
        <v>237386667</v>
      </c>
      <c r="U100" s="101">
        <v>161106666</v>
      </c>
      <c r="V100" s="101">
        <v>161106666</v>
      </c>
      <c r="W100" s="102">
        <v>0.265627222874978</v>
      </c>
      <c r="X100" t="inlineStr">
        <is>
          <t>Lo obligado está por debajo de lo programado en la vigencia</t>
        </is>
      </c>
    </row>
    <row r="101">
      <c r="A101" t="inlineStr">
        <is>
          <t>IP-139</t>
        </is>
      </c>
      <c r="B101" t="inlineStr">
        <is>
          <t>19</t>
        </is>
      </c>
      <c r="C101" t="inlineStr">
        <is>
          <t>Salud y protección social</t>
        </is>
      </c>
      <c r="D101" t="inlineStr">
        <is>
          <t>1906</t>
        </is>
      </c>
      <c r="E101" t="inlineStr">
        <is>
          <t>Aseguramiento y prestación integral de servicios de salud</t>
        </is>
      </c>
      <c r="F101" t="inlineStr">
        <is>
          <t>1906029</t>
        </is>
      </c>
      <c r="G101" t="inlineStr">
        <is>
          <t>Servicio de asistencia técnica a Instituciones Prestadoras de Servicios de Salud</t>
        </is>
      </c>
      <c r="H101" t="inlineStr">
        <is>
          <t>Acciones orientadas al desarrollo de capacidades en las Instituciones Prestadoras de Servicios de salud, para contribuir al logro de resultados en salud, mediante asesoría, acompañamiento y capacitación.</t>
        </is>
      </c>
      <c r="I101" t="inlineStr">
        <is>
          <t>2024252140082</t>
        </is>
      </c>
      <c r="J101" s="99">
        <v>1615000000</v>
      </c>
      <c r="K101" s="99">
        <v>33000000</v>
      </c>
      <c r="L101" s="99">
        <v>322000000</v>
      </c>
      <c r="M101" s="99">
        <v>580000000</v>
      </c>
      <c r="N101" s="99">
        <v>680000000</v>
      </c>
      <c r="O101" s="99">
        <v>26800000</v>
      </c>
      <c r="P101" s="99">
        <v>26800000</v>
      </c>
      <c r="Q101" s="99">
        <v>26800000</v>
      </c>
      <c r="R101" s="100">
        <v>0.812121212121212</v>
      </c>
      <c r="S101" t="inlineStr">
        <is>
          <t>Lo obligado está por debajo de lo programado en la vigencia</t>
        </is>
      </c>
      <c r="T101" s="101">
        <v>286000000</v>
      </c>
      <c r="U101" s="101">
        <v>183272719</v>
      </c>
      <c r="V101" s="101">
        <v>183272719</v>
      </c>
      <c r="W101" s="102">
        <v>0.569169934782609</v>
      </c>
      <c r="X101" t="inlineStr">
        <is>
          <t>Lo obligado está por debajo de lo programado en la vigencia</t>
        </is>
      </c>
    </row>
    <row r="102">
      <c r="A102" t="inlineStr">
        <is>
          <t>IP-140</t>
        </is>
      </c>
      <c r="B102" t="inlineStr">
        <is>
          <t>22</t>
        </is>
      </c>
      <c r="C102" t="inlineStr">
        <is>
          <t>Educación</t>
        </is>
      </c>
      <c r="D102" t="inlineStr">
        <is>
          <t>2201</t>
        </is>
      </c>
      <c r="E102" t="inlineStr">
        <is>
          <t>Calidad, cobertura y fortalecimiento de la educación inicial, prescolar, básica y media</t>
        </is>
      </c>
      <c r="F102" t="inlineStr">
        <is>
          <t>2201051</t>
        </is>
      </c>
      <c r="G102" t="inlineStr">
        <is>
          <t>Infraestructura educativa construida</t>
        </is>
      </c>
      <c r="H102"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102" t="inlineStr">
        <is>
          <t>2024252140091</t>
        </is>
      </c>
      <c r="J102" s="99">
        <v>4080000000</v>
      </c>
      <c r="K102" s="99">
        <v>0</v>
      </c>
      <c r="L102" s="99">
        <v>80000000</v>
      </c>
      <c r="M102" s="99">
        <v>1000000000</v>
      </c>
      <c r="N102" s="99">
        <v>3000000000</v>
      </c>
      <c r="O102" s="99" t="inlineStr">
        <is>
          <t xml:space="preserve"> </t>
        </is>
      </c>
      <c r="P102" s="99" t="inlineStr">
        <is>
          <t xml:space="preserve"> </t>
        </is>
      </c>
      <c r="Q102" s="99" t="inlineStr">
        <is>
          <t xml:space="preserve"> </t>
        </is>
      </c>
      <c r="R102" s="100" t="inlineStr">
        <is>
          <t xml:space="preserve"> </t>
        </is>
      </c>
      <c r="S102" t="inlineStr">
        <is>
          <t>No se encontró ejecución en CUIPO</t>
        </is>
      </c>
      <c r="T102" s="101" t="inlineStr">
        <is>
          <t xml:space="preserve"> </t>
        </is>
      </c>
      <c r="U102" s="101" t="inlineStr">
        <is>
          <t xml:space="preserve"> </t>
        </is>
      </c>
      <c r="V102" s="101" t="inlineStr">
        <is>
          <t xml:space="preserve"> </t>
        </is>
      </c>
      <c r="W102" s="102" t="inlineStr">
        <is>
          <t xml:space="preserve"> </t>
        </is>
      </c>
      <c r="X102" t="inlineStr">
        <is>
          <t>No se encontró ejecución en CUIPO</t>
        </is>
      </c>
    </row>
    <row r="103">
      <c r="A103" t="inlineStr">
        <is>
          <t>IP-141</t>
        </is>
      </c>
      <c r="B103" t="inlineStr">
        <is>
          <t>22</t>
        </is>
      </c>
      <c r="C103" t="inlineStr">
        <is>
          <t>Educación</t>
        </is>
      </c>
      <c r="D103" t="inlineStr">
        <is>
          <t>2201</t>
        </is>
      </c>
      <c r="E103" t="inlineStr">
        <is>
          <t>Calidad, cobertura y fortalecimiento de la educación inicial, prescolar, básica y media</t>
        </is>
      </c>
      <c r="F103" t="inlineStr">
        <is>
          <t>2201036</t>
        </is>
      </c>
      <c r="G103" t="inlineStr">
        <is>
          <t>Servicio de desarrollo de contenidos educativos para la educación inicial, preescolar, básica y media</t>
        </is>
      </c>
      <c r="H103" t="inlineStr">
        <is>
          <t>Incluye la investigación y desarrollo de contenidos educativos</t>
        </is>
      </c>
      <c r="I103" t="inlineStr">
        <is>
          <t>2024252140091</t>
        </is>
      </c>
      <c r="J103" s="99">
        <v>1321339036</v>
      </c>
      <c r="K103" s="99">
        <v>51739036</v>
      </c>
      <c r="L103" s="99">
        <v>190600000</v>
      </c>
      <c r="M103" s="99">
        <v>514000000</v>
      </c>
      <c r="N103" s="99">
        <v>565000000</v>
      </c>
      <c r="O103" s="99">
        <v>49736610</v>
      </c>
      <c r="P103" s="99">
        <v>49736610</v>
      </c>
      <c r="Q103" s="99">
        <v>49736610</v>
      </c>
      <c r="R103" s="100">
        <v>0.961297578099445</v>
      </c>
      <c r="S103" t="inlineStr">
        <is>
          <t>Lo obligado está por debajo de lo programado en la vigencia</t>
        </is>
      </c>
      <c r="T103" s="101">
        <v>97310000</v>
      </c>
      <c r="U103" s="101">
        <v>76353333</v>
      </c>
      <c r="V103" s="101">
        <v>76353333</v>
      </c>
      <c r="W103" s="102">
        <v>0.400594611752361</v>
      </c>
      <c r="X103" t="inlineStr">
        <is>
          <t>Lo obligado está por debajo de lo programado en la vigencia</t>
        </is>
      </c>
    </row>
    <row r="104">
      <c r="A104" t="inlineStr">
        <is>
          <t>IP-142</t>
        </is>
      </c>
      <c r="B104" t="inlineStr">
        <is>
          <t>22</t>
        </is>
      </c>
      <c r="C104" t="inlineStr">
        <is>
          <t>Educación</t>
        </is>
      </c>
      <c r="D104" t="inlineStr">
        <is>
          <t>2201</t>
        </is>
      </c>
      <c r="E104" t="inlineStr">
        <is>
          <t>Calidad, cobertura y fortalecimiento de la educación inicial, prescolar, básica y media</t>
        </is>
      </c>
      <c r="F104" t="inlineStr">
        <is>
          <t>2201062</t>
        </is>
      </c>
      <c r="G104" t="inlineStr">
        <is>
          <t>Infraestructura educativa mantenida</t>
        </is>
      </c>
      <c r="H104" t="inlineStr">
        <is>
          <t>Conjunto de acciones periódicas y sistemáticas realizadas con el propósito de asegurar, garantizar o extender la vida útil de la infraestructura, necesarias para conservar las condiciones originales de funcionamiento normal y adecuado, su seguridad, productividad, confort, imagen corporativa, salubridad e higiene.</t>
        </is>
      </c>
      <c r="I104" t="inlineStr">
        <is>
          <t>2024252140115</t>
        </is>
      </c>
      <c r="J104" s="99">
        <v>3196666666.6667</v>
      </c>
      <c r="K104" s="99">
        <v>686666666.6667</v>
      </c>
      <c r="L104" s="99">
        <v>10000000</v>
      </c>
      <c r="M104" s="99">
        <v>1000000000</v>
      </c>
      <c r="N104" s="99">
        <v>1500000000</v>
      </c>
      <c r="O104" s="99">
        <v>80000000</v>
      </c>
      <c r="P104" s="99">
        <v>0</v>
      </c>
      <c r="Q104" s="99">
        <v>0</v>
      </c>
      <c r="R104" s="100">
        <v>0</v>
      </c>
      <c r="S104" t="inlineStr">
        <is>
          <t>No se ejecutó en la vigencia</t>
        </is>
      </c>
      <c r="T104" s="101" t="inlineStr">
        <is>
          <t xml:space="preserve"> </t>
        </is>
      </c>
      <c r="U104" s="101" t="inlineStr">
        <is>
          <t xml:space="preserve"> </t>
        </is>
      </c>
      <c r="V104" s="101" t="inlineStr">
        <is>
          <t xml:space="preserve"> </t>
        </is>
      </c>
      <c r="W104" s="102" t="inlineStr">
        <is>
          <t xml:space="preserve"> </t>
        </is>
      </c>
      <c r="X104" t="inlineStr">
        <is>
          <t>No se encontró ejecución en CUIPO</t>
        </is>
      </c>
    </row>
    <row r="105">
      <c r="A105" t="inlineStr">
        <is>
          <t>IP-143</t>
        </is>
      </c>
      <c r="B105" t="inlineStr">
        <is>
          <t>22</t>
        </is>
      </c>
      <c r="C105" t="inlineStr">
        <is>
          <t>Educación</t>
        </is>
      </c>
      <c r="D105" t="inlineStr">
        <is>
          <t>2201</t>
        </is>
      </c>
      <c r="E105" t="inlineStr">
        <is>
          <t>Calidad, cobertura y fortalecimiento de la educación inicial, prescolar, básica y media</t>
        </is>
      </c>
      <c r="F105" t="inlineStr">
        <is>
          <t>2201069</t>
        </is>
      </c>
      <c r="G105" t="inlineStr">
        <is>
          <t>Infraestructura educativa dotada</t>
        </is>
      </c>
      <c r="H105"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105" t="inlineStr">
        <is>
          <t>2024252140092</t>
        </is>
      </c>
      <c r="J105" s="99">
        <v>1352157760.8467</v>
      </c>
      <c r="K105" s="99">
        <v>467466609.9967</v>
      </c>
      <c r="L105" s="99">
        <v>334691150.85</v>
      </c>
      <c r="M105" s="99">
        <v>400000000</v>
      </c>
      <c r="N105" s="99">
        <v>150000000</v>
      </c>
      <c r="O105" s="99">
        <v>185896190</v>
      </c>
      <c r="P105" s="99">
        <v>185896190</v>
      </c>
      <c r="Q105" s="99">
        <v>185896190</v>
      </c>
      <c r="R105" s="100">
        <v>0.39766731147132</v>
      </c>
      <c r="S105" t="inlineStr">
        <is>
          <t>Lo obligado está por debajo de lo programado en la vigencia</t>
        </is>
      </c>
      <c r="T105" s="101" t="inlineStr">
        <is>
          <t xml:space="preserve"> </t>
        </is>
      </c>
      <c r="U105" s="101" t="inlineStr">
        <is>
          <t xml:space="preserve"> </t>
        </is>
      </c>
      <c r="V105" s="101" t="inlineStr">
        <is>
          <t xml:space="preserve"> </t>
        </is>
      </c>
      <c r="W105" s="102" t="inlineStr">
        <is>
          <t xml:space="preserve"> </t>
        </is>
      </c>
      <c r="X105" t="inlineStr">
        <is>
          <t>No se encontró ejecución en CUIPO</t>
        </is>
      </c>
    </row>
    <row r="106">
      <c r="A106" t="inlineStr">
        <is>
          <t>IP-144</t>
        </is>
      </c>
      <c r="B106" t="inlineStr">
        <is>
          <t>22</t>
        </is>
      </c>
      <c r="C106" t="inlineStr">
        <is>
          <t>Educación</t>
        </is>
      </c>
      <c r="D106" t="inlineStr">
        <is>
          <t>2201</t>
        </is>
      </c>
      <c r="E106" t="inlineStr">
        <is>
          <t>Calidad, cobertura y fortalecimiento de la educación inicial, prescolar, básica y media</t>
        </is>
      </c>
      <c r="F106" t="inlineStr">
        <is>
          <t>2201017</t>
        </is>
      </c>
      <c r="G106" t="inlineStr">
        <is>
          <t>Servicio de fomento para el acceso a la educación inicial, preescolar, básica y media.</t>
        </is>
      </c>
      <c r="H106" t="inlineStr">
        <is>
          <t xml:space="preserve">Incluye el desarrollo de estrategias para  ampliar la cobertura de la educación  inicial, preescolar, básica y media. </t>
        </is>
      </c>
      <c r="I106" t="inlineStr">
        <is>
          <t>2024252140092</t>
        </is>
      </c>
      <c r="J106" s="99">
        <v>5727930000</v>
      </c>
      <c r="K106" s="99">
        <v>3800000000</v>
      </c>
      <c r="L106" s="99">
        <v>150000000</v>
      </c>
      <c r="M106" s="99">
        <v>1738000000</v>
      </c>
      <c r="N106" s="99">
        <v>39930000</v>
      </c>
      <c r="O106" s="99">
        <v>3796529650</v>
      </c>
      <c r="P106" s="99">
        <v>0</v>
      </c>
      <c r="Q106" s="99">
        <v>0</v>
      </c>
      <c r="R106" s="100">
        <v>0</v>
      </c>
      <c r="S106" t="inlineStr">
        <is>
          <t>No se ejecutó en la vigencia</t>
        </is>
      </c>
      <c r="T106" s="101" t="inlineStr">
        <is>
          <t xml:space="preserve"> </t>
        </is>
      </c>
      <c r="U106" s="101" t="inlineStr">
        <is>
          <t xml:space="preserve"> </t>
        </is>
      </c>
      <c r="V106" s="101" t="inlineStr">
        <is>
          <t xml:space="preserve"> </t>
        </is>
      </c>
      <c r="W106" s="102" t="inlineStr">
        <is>
          <t xml:space="preserve"> </t>
        </is>
      </c>
      <c r="X106" t="inlineStr">
        <is>
          <t>No se encontró ejecución en CUIPO</t>
        </is>
      </c>
    </row>
    <row r="107">
      <c r="A107" t="inlineStr">
        <is>
          <t>IP-145</t>
        </is>
      </c>
      <c r="B107" t="inlineStr">
        <is>
          <t>22</t>
        </is>
      </c>
      <c r="C107" t="inlineStr">
        <is>
          <t>Educación</t>
        </is>
      </c>
      <c r="D107" t="inlineStr">
        <is>
          <t>2201</t>
        </is>
      </c>
      <c r="E107" t="inlineStr">
        <is>
          <t>Calidad, cobertura y fortalecimiento de la educación inicial, prescolar, básica y media</t>
        </is>
      </c>
      <c r="F107" t="inlineStr">
        <is>
          <t>2201028</t>
        </is>
      </c>
      <c r="G107" t="inlineStr">
        <is>
          <t>Servicio de apoyo a la permanencia con alimentación escolar</t>
        </is>
      </c>
      <c r="H107" t="inlineStr">
        <is>
          <t>Incluye la implementación de estrategias de alimentación escolar para fortalecer las acciones de retención estudiantil.</t>
        </is>
      </c>
      <c r="I107" t="inlineStr">
        <is>
          <t>2024252140092</t>
        </is>
      </c>
      <c r="J107" s="99">
        <v>40637878022.49</v>
      </c>
      <c r="K107" s="99">
        <v>799731127</v>
      </c>
      <c r="L107" s="99">
        <v>9345708996.61</v>
      </c>
      <c r="M107" s="99">
        <v>14520418949.44</v>
      </c>
      <c r="N107" s="99">
        <v>15972018949.44</v>
      </c>
      <c r="O107" s="99">
        <v>862945496</v>
      </c>
      <c r="P107" s="99">
        <v>65350000</v>
      </c>
      <c r="Q107" s="99">
        <v>65350000</v>
      </c>
      <c r="R107" s="100">
        <v>0.0817149636842884</v>
      </c>
      <c r="S107" t="inlineStr">
        <is>
          <t>Lo obligado está por debajo de lo programado en la vigencia</t>
        </is>
      </c>
      <c r="T107" s="101">
        <v>8488132132</v>
      </c>
      <c r="U107" s="101">
        <v>2931300318</v>
      </c>
      <c r="V107" s="101">
        <v>2931300318</v>
      </c>
      <c r="W107" s="102">
        <v>0.313651999978095</v>
      </c>
      <c r="X107" t="inlineStr">
        <is>
          <t>Lo obligado está por debajo de lo programado en la vigencia</t>
        </is>
      </c>
    </row>
    <row r="108">
      <c r="A108" t="inlineStr">
        <is>
          <t>IP-146</t>
        </is>
      </c>
      <c r="B108" t="inlineStr">
        <is>
          <t>22</t>
        </is>
      </c>
      <c r="C108" t="inlineStr">
        <is>
          <t>Educación</t>
        </is>
      </c>
      <c r="D108" t="inlineStr">
        <is>
          <t>2201</t>
        </is>
      </c>
      <c r="E108" t="inlineStr">
        <is>
          <t>Calidad, cobertura y fortalecimiento de la educación inicial, prescolar, básica y media</t>
        </is>
      </c>
      <c r="F108" t="inlineStr">
        <is>
          <t>2201029</t>
        </is>
      </c>
      <c r="G108" t="inlineStr">
        <is>
          <t>Servicio de apoyo a la permanencia con transporte escolar</t>
        </is>
      </c>
      <c r="H108" t="inlineStr">
        <is>
          <t>Incluye la implementación de estrategias de transporte escolar para fortalecer las acciones de retención estudiantil</t>
        </is>
      </c>
      <c r="I108" t="inlineStr">
        <is>
          <t>2024252140092</t>
        </is>
      </c>
      <c r="J108" s="99">
        <v>7177232118.588</v>
      </c>
      <c r="K108" s="99">
        <v>715535058</v>
      </c>
      <c r="L108" s="99">
        <v>1910300000</v>
      </c>
      <c r="M108" s="99">
        <v>2166354012.238</v>
      </c>
      <c r="N108" s="99">
        <v>2385043048.35</v>
      </c>
      <c r="O108" s="99">
        <v>700083867</v>
      </c>
      <c r="P108" s="99">
        <v>700083867</v>
      </c>
      <c r="Q108" s="99">
        <v>700083867</v>
      </c>
      <c r="R108" s="100">
        <v>0.978406102080885</v>
      </c>
      <c r="S108" t="inlineStr">
        <is>
          <t>Lo obligado está por debajo de lo programado en la vigencia</t>
        </is>
      </c>
      <c r="T108" s="101">
        <v>1943135680</v>
      </c>
      <c r="U108" s="101">
        <v>903731377</v>
      </c>
      <c r="V108" s="101">
        <v>903731377</v>
      </c>
      <c r="W108" s="102">
        <v>0.473083482699052</v>
      </c>
      <c r="X108" t="inlineStr">
        <is>
          <t>Lo obligado está por debajo de lo programado en la vigencia</t>
        </is>
      </c>
    </row>
    <row r="109">
      <c r="A109" t="inlineStr">
        <is>
          <t>IP-147</t>
        </is>
      </c>
      <c r="B109" t="inlineStr">
        <is>
          <t>22</t>
        </is>
      </c>
      <c r="C109" t="inlineStr">
        <is>
          <t>Educación</t>
        </is>
      </c>
      <c r="D109" t="inlineStr">
        <is>
          <t>2201</t>
        </is>
      </c>
      <c r="E109" t="inlineStr">
        <is>
          <t>Calidad, cobertura y fortalecimiento de la educación inicial, prescolar, básica y media</t>
        </is>
      </c>
      <c r="F109" t="inlineStr">
        <is>
          <t>2201026</t>
        </is>
      </c>
      <c r="G109" t="inlineStr">
        <is>
          <t>Servicio de acondicionamiento de ambientes de aprendizaje</t>
        </is>
      </c>
      <c r="H109" t="inlineStr">
        <is>
          <t>Incluye la disposición de material didáctico, pedagógico, tecnológico o de mobiliario en espacios estructurados para el aprendizaje significativo.</t>
        </is>
      </c>
      <c r="I109" t="inlineStr">
        <is>
          <t>2024252140092</t>
        </is>
      </c>
      <c r="J109" s="99">
        <v>7855812037.1677</v>
      </c>
      <c r="K109" s="99">
        <v>625093532</v>
      </c>
      <c r="L109" s="99">
        <v>4062938552.5997</v>
      </c>
      <c r="M109" s="99">
        <v>1508466644.08</v>
      </c>
      <c r="N109" s="99">
        <v>1659313308.488</v>
      </c>
      <c r="O109" s="99">
        <v>200000000</v>
      </c>
      <c r="P109" s="99">
        <v>0</v>
      </c>
      <c r="Q109" s="99">
        <v>0</v>
      </c>
      <c r="R109" s="100">
        <v>0</v>
      </c>
      <c r="S109" t="inlineStr">
        <is>
          <t>No se ejecutó en la vigencia</t>
        </is>
      </c>
      <c r="T109" s="101">
        <v>2652745970</v>
      </c>
      <c r="U109" s="101">
        <v>696492642</v>
      </c>
      <c r="V109" s="101">
        <v>696492642</v>
      </c>
      <c r="W109" s="102">
        <v>0.171425836985485</v>
      </c>
      <c r="X109" t="inlineStr">
        <is>
          <t>Lo obligado está por debajo de lo programado en la vigencia</t>
        </is>
      </c>
    </row>
    <row r="110">
      <c r="A110" t="inlineStr">
        <is>
          <t>IP-148</t>
        </is>
      </c>
      <c r="B110" t="inlineStr">
        <is>
          <t>22</t>
        </is>
      </c>
      <c r="C110" t="inlineStr">
        <is>
          <t>Educación</t>
        </is>
      </c>
      <c r="D110" t="inlineStr">
        <is>
          <t>2201</t>
        </is>
      </c>
      <c r="E110" t="inlineStr">
        <is>
          <t>Calidad, cobertura y fortalecimiento de la educación inicial, prescolar, básica y media</t>
        </is>
      </c>
      <c r="F110" t="inlineStr">
        <is>
          <t>2201030</t>
        </is>
      </c>
      <c r="G110" t="inlineStr">
        <is>
          <t>Servicio educación formal por modelos educativos flexibles</t>
        </is>
      </c>
      <c r="H110" t="inlineStr">
        <is>
          <t>Incluye la puesta en marcha de  propuestas de educación formal que permiten atender a poblaciones diversas o en condiciones de vulnerabilidad, que presentan dificultades para participar en la oferta educativa tradicional.</t>
        </is>
      </c>
      <c r="I110" t="inlineStr">
        <is>
          <t>2024252140093</t>
        </is>
      </c>
      <c r="J110" s="99">
        <v>1794866667</v>
      </c>
      <c r="K110" s="99">
        <v>231216667</v>
      </c>
      <c r="L110" s="99">
        <v>547250000</v>
      </c>
      <c r="M110" s="99">
        <v>484000000</v>
      </c>
      <c r="N110" s="99">
        <v>532400000</v>
      </c>
      <c r="O110" s="99">
        <v>90816666</v>
      </c>
      <c r="P110" s="99">
        <v>90816666</v>
      </c>
      <c r="Q110" s="99">
        <v>90816666</v>
      </c>
      <c r="R110" s="100">
        <v>0.392777333824296</v>
      </c>
      <c r="S110" t="inlineStr">
        <is>
          <t>Lo obligado está por debajo de lo programado en la vigencia</t>
        </is>
      </c>
      <c r="T110" s="101">
        <v>374658832</v>
      </c>
      <c r="U110" s="101">
        <v>209396566</v>
      </c>
      <c r="V110" s="101">
        <v>209396566</v>
      </c>
      <c r="W110" s="102">
        <v>0.382634200091366</v>
      </c>
      <c r="X110" t="inlineStr">
        <is>
          <t>Lo obligado está por debajo de lo programado en la vigencia</t>
        </is>
      </c>
    </row>
    <row r="111">
      <c r="A111" t="inlineStr">
        <is>
          <t>IP-149, IP-152</t>
        </is>
      </c>
      <c r="B111" t="inlineStr">
        <is>
          <t>22</t>
        </is>
      </c>
      <c r="C111" t="inlineStr">
        <is>
          <t>Educación</t>
        </is>
      </c>
      <c r="D111" t="inlineStr">
        <is>
          <t>2201</t>
        </is>
      </c>
      <c r="E111" t="inlineStr">
        <is>
          <t>Calidad, cobertura y fortalecimiento de la educación inicial, prescolar, básica y media</t>
        </is>
      </c>
      <c r="F111" t="inlineStr">
        <is>
          <t>2201033</t>
        </is>
      </c>
      <c r="G111" t="inlineStr">
        <is>
          <t>Servicio de fomento para la permanencia en programas de educación formal</t>
        </is>
      </c>
      <c r="H111" t="inlineStr">
        <is>
          <t>Incluye la implementación de estrategias para fortalecer las acciones de retención estudiantil de la población vulnerable escolarizada en el sistema educativo</t>
        </is>
      </c>
      <c r="I111" t="inlineStr">
        <is>
          <t>2024252140093</t>
        </is>
      </c>
      <c r="J111" s="99">
        <v>2016026667</v>
      </c>
      <c r="K111" s="99">
        <v>58016667</v>
      </c>
      <c r="L111" s="99">
        <v>408000000</v>
      </c>
      <c r="M111" s="99">
        <v>738100000</v>
      </c>
      <c r="N111" s="99">
        <v>811910000</v>
      </c>
      <c r="O111" s="99">
        <v>43516666</v>
      </c>
      <c r="P111" s="99">
        <v>43516666</v>
      </c>
      <c r="Q111" s="99">
        <v>43516666</v>
      </c>
      <c r="R111" s="100">
        <v>0.750071802642506</v>
      </c>
      <c r="S111" t="inlineStr">
        <is>
          <t>Lo obligado está por debajo de lo programado en la vigencia</t>
        </is>
      </c>
      <c r="T111" s="101">
        <v>488543329</v>
      </c>
      <c r="U111" s="101">
        <v>318493332</v>
      </c>
      <c r="V111" s="101">
        <v>318493332</v>
      </c>
      <c r="W111" s="102">
        <v>0.780620911764706</v>
      </c>
      <c r="X111" t="inlineStr">
        <is>
          <t>Lo obligado está por debajo de lo programado en la vigencia</t>
        </is>
      </c>
    </row>
    <row r="112">
      <c r="A112" t="inlineStr">
        <is>
          <t>IP-150</t>
        </is>
      </c>
      <c r="B112" t="inlineStr">
        <is>
          <t>22</t>
        </is>
      </c>
      <c r="C112" t="inlineStr">
        <is>
          <t>Educación</t>
        </is>
      </c>
      <c r="D112" t="inlineStr">
        <is>
          <t>2201</t>
        </is>
      </c>
      <c r="E112" t="inlineStr">
        <is>
          <t>Calidad, cobertura y fortalecimiento de la educación inicial, prescolar, básica y media</t>
        </is>
      </c>
      <c r="F112" t="inlineStr">
        <is>
          <t>2201034</t>
        </is>
      </c>
      <c r="G112" t="inlineStr">
        <is>
          <t>Servicio educativos de promoción del bilingüismo</t>
        </is>
      </c>
      <c r="H112" t="inlineStr">
        <is>
          <t xml:space="preserve">Procesos de formación para el desarrollo de competencias en un segundo idioma </t>
        </is>
      </c>
      <c r="I112" t="inlineStr">
        <is>
          <t>2024252140093</t>
        </is>
      </c>
      <c r="J112" s="99">
        <v>2887912000</v>
      </c>
      <c r="K112" s="99">
        <v>632000000</v>
      </c>
      <c r="L112" s="99">
        <v>650000000</v>
      </c>
      <c r="M112" s="99">
        <v>764720000</v>
      </c>
      <c r="N112" s="99">
        <v>841192000</v>
      </c>
      <c r="O112" s="99">
        <v>623464000</v>
      </c>
      <c r="P112" s="99">
        <v>623464000</v>
      </c>
      <c r="Q112" s="99">
        <v>623464000</v>
      </c>
      <c r="R112" s="100">
        <v>0.986493670886076</v>
      </c>
      <c r="S112" t="inlineStr">
        <is>
          <t>Lo obligado está por debajo de lo programado en la vigencia</t>
        </is>
      </c>
      <c r="T112" s="101">
        <v>646749833</v>
      </c>
      <c r="U112" s="101">
        <v>19483333</v>
      </c>
      <c r="V112" s="101">
        <v>19483333</v>
      </c>
      <c r="W112" s="102">
        <v>0.0299743584615385</v>
      </c>
      <c r="X112" t="inlineStr">
        <is>
          <t>Lo obligado está por debajo de lo programado en la vigencia</t>
        </is>
      </c>
    </row>
    <row r="113">
      <c r="A113" t="inlineStr">
        <is>
          <t>IP-151</t>
        </is>
      </c>
      <c r="B113" t="inlineStr">
        <is>
          <t>22</t>
        </is>
      </c>
      <c r="C113" t="inlineStr">
        <is>
          <t>Educación</t>
        </is>
      </c>
      <c r="D113" t="inlineStr">
        <is>
          <t>2201</t>
        </is>
      </c>
      <c r="E113" t="inlineStr">
        <is>
          <t>Calidad, cobertura y fortalecimiento de la educación inicial, prescolar, básica y media</t>
        </is>
      </c>
      <c r="F113" t="inlineStr">
        <is>
          <t>2201048</t>
        </is>
      </c>
      <c r="G113" t="inlineStr">
        <is>
          <t>Servicios de información en materia educativa</t>
        </is>
      </c>
      <c r="H113" t="inlineStr">
        <is>
          <t>Incluye todos los procesos asociados a la identificación, generación, procesamiento y análisis de información relacionada con el sector educativo en los niveles inicial, preescolar, básico y media, para fortalecer la toma de decisiones</t>
        </is>
      </c>
      <c r="I113" t="inlineStr">
        <is>
          <t>2024252140093</t>
        </is>
      </c>
      <c r="J113" s="99">
        <v>1623000000</v>
      </c>
      <c r="K113" s="99">
        <v>227000000</v>
      </c>
      <c r="L113" s="99">
        <v>396000000</v>
      </c>
      <c r="M113" s="99">
        <v>450000000</v>
      </c>
      <c r="N113" s="99">
        <v>550000000</v>
      </c>
      <c r="O113" s="99">
        <v>226900000</v>
      </c>
      <c r="P113" s="99">
        <v>226900000</v>
      </c>
      <c r="Q113" s="99">
        <v>226900000</v>
      </c>
      <c r="R113" s="100">
        <v>0.999559471365639</v>
      </c>
      <c r="S113" t="inlineStr">
        <is>
          <t>Lo obligado está por debajo de lo programado en la vigencia</t>
        </is>
      </c>
      <c r="T113" s="101">
        <v>396399999</v>
      </c>
      <c r="U113" s="101">
        <v>356825399</v>
      </c>
      <c r="V113" s="101">
        <v>356825399</v>
      </c>
      <c r="W113" s="102">
        <v>0.90107423989899</v>
      </c>
      <c r="X113" t="inlineStr">
        <is>
          <t>Lo obligado está por debajo de lo programado en la vigencia</t>
        </is>
      </c>
    </row>
    <row r="114">
      <c r="A114" t="inlineStr">
        <is>
          <t>IP-153</t>
        </is>
      </c>
      <c r="B114" t="inlineStr">
        <is>
          <t>22</t>
        </is>
      </c>
      <c r="C114" t="inlineStr">
        <is>
          <t>Educación</t>
        </is>
      </c>
      <c r="D114" t="inlineStr">
        <is>
          <t>2201</t>
        </is>
      </c>
      <c r="E114" t="inlineStr">
        <is>
          <t>Calidad, cobertura y fortalecimiento de la educación inicial, prescolar, básica y media</t>
        </is>
      </c>
      <c r="F114" t="inlineStr">
        <is>
          <t>2201086</t>
        </is>
      </c>
      <c r="G114" t="inlineStr">
        <is>
          <t>Servicio de atención psicosocial a estudiantes</t>
        </is>
      </c>
      <c r="H114" t="inlineStr">
        <is>
          <t>Incluye aquellos servicios que se presten  a alumnos en educación  preescolar, básica o media para mitigar, superar o prevenir daños e impactos psicológicos o emocionales.</t>
        </is>
      </c>
      <c r="I114" t="inlineStr">
        <is>
          <t>2024252140091</t>
        </is>
      </c>
      <c r="J114" s="99">
        <v>5541234412.373</v>
      </c>
      <c r="K114" s="99">
        <v>188388494</v>
      </c>
      <c r="L114" s="99">
        <v>755400000</v>
      </c>
      <c r="M114" s="99">
        <v>2189259961.13</v>
      </c>
      <c r="N114" s="99">
        <v>2408185957.243</v>
      </c>
      <c r="O114" s="99" t="inlineStr">
        <is>
          <t xml:space="preserve"> </t>
        </is>
      </c>
      <c r="P114" s="99" t="inlineStr">
        <is>
          <t xml:space="preserve"> </t>
        </is>
      </c>
      <c r="Q114" s="99" t="inlineStr">
        <is>
          <t xml:space="preserve"> </t>
        </is>
      </c>
      <c r="R114" s="100" t="inlineStr">
        <is>
          <t xml:space="preserve"> </t>
        </is>
      </c>
      <c r="S114" t="inlineStr">
        <is>
          <t>No se encontró ejecución en CUIPO</t>
        </is>
      </c>
      <c r="T114" s="101">
        <v>758174995</v>
      </c>
      <c r="U114" s="101">
        <v>465640002</v>
      </c>
      <c r="V114" s="101">
        <v>465640002</v>
      </c>
      <c r="W114" s="102">
        <v>0.616415146942017</v>
      </c>
      <c r="X114" t="inlineStr">
        <is>
          <t>Lo obligado está por debajo de lo programado en la vigencia</t>
        </is>
      </c>
    </row>
    <row r="115">
      <c r="A115" t="inlineStr">
        <is>
          <t>IP-154</t>
        </is>
      </c>
      <c r="B115" t="inlineStr">
        <is>
          <t>22</t>
        </is>
      </c>
      <c r="C115" t="inlineStr">
        <is>
          <t>Educación</t>
        </is>
      </c>
      <c r="D115" t="inlineStr">
        <is>
          <t>2201</t>
        </is>
      </c>
      <c r="E115" t="inlineStr">
        <is>
          <t>Calidad, cobertura y fortalecimiento de la educación inicial, prescolar, básica y media</t>
        </is>
      </c>
      <c r="F115" t="inlineStr">
        <is>
          <t>2201080</t>
        </is>
      </c>
      <c r="G115" t="inlineStr">
        <is>
          <t>Servicio de fomento a las instancias de participación del sector educación</t>
        </is>
      </c>
      <c r="H115" t="inlineStr">
        <is>
          <t xml:space="preserve">Incluye las acciones de promoción y acompañamiento a los actores del sistema educativo orientadas a fomentar la conformación, reactivación y fortalecimiento de las instancias de participación del sector como las juntas de educación de los niveles departamental, distrital y municipal, entre otras.  </t>
        </is>
      </c>
      <c r="I115" t="inlineStr">
        <is>
          <t>2024252140091</t>
        </is>
      </c>
      <c r="J115" s="99">
        <v>1102339862.407</v>
      </c>
      <c r="K115" s="99">
        <v>42000000</v>
      </c>
      <c r="L115" s="99">
        <v>175000000</v>
      </c>
      <c r="M115" s="99">
        <v>421590410.67</v>
      </c>
      <c r="N115" s="99">
        <v>463749451.737</v>
      </c>
      <c r="O115" s="99" t="inlineStr">
        <is>
          <t xml:space="preserve"> </t>
        </is>
      </c>
      <c r="P115" s="99" t="inlineStr">
        <is>
          <t xml:space="preserve"> </t>
        </is>
      </c>
      <c r="Q115" s="99" t="inlineStr">
        <is>
          <t xml:space="preserve"> </t>
        </is>
      </c>
      <c r="R115" s="100" t="inlineStr">
        <is>
          <t xml:space="preserve"> </t>
        </is>
      </c>
      <c r="S115" t="inlineStr">
        <is>
          <t>No se encontró ejecución en CUIPO</t>
        </is>
      </c>
      <c r="T115" s="101">
        <v>56833333</v>
      </c>
      <c r="U115" s="101">
        <v>36833333</v>
      </c>
      <c r="V115" s="101">
        <v>36833333</v>
      </c>
      <c r="W115" s="102">
        <v>0.210476188571429</v>
      </c>
      <c r="X115" t="inlineStr">
        <is>
          <t>Lo obligado está por debajo de lo programado en la vigencia</t>
        </is>
      </c>
    </row>
    <row r="116">
      <c r="A116" t="inlineStr">
        <is>
          <t>IP-155</t>
        </is>
      </c>
      <c r="B116" t="inlineStr">
        <is>
          <t>22</t>
        </is>
      </c>
      <c r="C116" t="inlineStr">
        <is>
          <t>Educación</t>
        </is>
      </c>
      <c r="D116" t="inlineStr">
        <is>
          <t>2202</t>
        </is>
      </c>
      <c r="E116" t="inlineStr">
        <is>
          <t>Calidad y fomento de la educación superior</t>
        </is>
      </c>
      <c r="F116" t="inlineStr">
        <is>
          <t>2202071</t>
        </is>
      </c>
      <c r="G116" t="inlineStr">
        <is>
          <t>Sedes de instituciones de educación superior  construidas</t>
        </is>
      </c>
      <c r="H116" t="inlineStr">
        <is>
          <t>Infraestructura educativa nueva para la prestación del servicio de educación  superior en cualquiera de sus modalidades de conformidad con los lineamientos técnicos del sector</t>
        </is>
      </c>
      <c r="I116" t="inlineStr">
        <is>
          <t/>
        </is>
      </c>
      <c r="J116" s="99">
        <v>18233835200</v>
      </c>
      <c r="K116" s="99">
        <v>0</v>
      </c>
      <c r="L116" s="99">
        <v>1013835200</v>
      </c>
      <c r="M116" s="99">
        <v>1034000000</v>
      </c>
      <c r="N116" s="99">
        <v>16186000000</v>
      </c>
      <c r="O116" s="99" t="inlineStr">
        <is>
          <t xml:space="preserve"> </t>
        </is>
      </c>
      <c r="P116" s="99" t="inlineStr">
        <is>
          <t xml:space="preserve"> </t>
        </is>
      </c>
      <c r="Q116" s="99" t="inlineStr">
        <is>
          <t xml:space="preserve"> </t>
        </is>
      </c>
      <c r="R116" s="100" t="inlineStr">
        <is>
          <t xml:space="preserve"> </t>
        </is>
      </c>
      <c r="S116" t="inlineStr">
        <is>
          <t>Por falta de código BPIN, no se encontró ejecución en CUIPO</t>
        </is>
      </c>
      <c r="T116" s="101" t="inlineStr">
        <is>
          <t xml:space="preserve"> </t>
        </is>
      </c>
      <c r="U116" s="101" t="inlineStr">
        <is>
          <t xml:space="preserve"> </t>
        </is>
      </c>
      <c r="V116" s="101" t="inlineStr">
        <is>
          <t xml:space="preserve"> </t>
        </is>
      </c>
      <c r="W116" s="102" t="inlineStr">
        <is>
          <t xml:space="preserve"> </t>
        </is>
      </c>
      <c r="X116" t="inlineStr">
        <is>
          <t>Por falta de código BPIN, no se encontró ejecución en CUIPO</t>
        </is>
      </c>
    </row>
    <row r="117">
      <c r="A117" t="inlineStr">
        <is>
          <t>IP-156</t>
        </is>
      </c>
      <c r="B117" t="inlineStr">
        <is>
          <t>22</t>
        </is>
      </c>
      <c r="C117" t="inlineStr">
        <is>
          <t>Educación</t>
        </is>
      </c>
      <c r="D117" t="inlineStr">
        <is>
          <t>2202</t>
        </is>
      </c>
      <c r="E117" t="inlineStr">
        <is>
          <t>Calidad y fomento de la educación superior</t>
        </is>
      </c>
      <c r="F117" t="inlineStr">
        <is>
          <t>2202062</t>
        </is>
      </c>
      <c r="G117" t="inlineStr">
        <is>
          <t xml:space="preserve">Servicio de fomento para el acceso a la educación superior </t>
        </is>
      </c>
      <c r="H117" t="inlineStr">
        <is>
          <t xml:space="preserve">Incluye el desarrollo de estrategias diferentes a las de apoyo financiero para el acceso a educación superior
</t>
        </is>
      </c>
      <c r="I117" t="inlineStr">
        <is>
          <t>2024252140094</t>
        </is>
      </c>
      <c r="J117" s="99">
        <v>2469249990</v>
      </c>
      <c r="K117" s="99">
        <v>563249990</v>
      </c>
      <c r="L117" s="99">
        <v>1098000000</v>
      </c>
      <c r="M117" s="99">
        <v>418000000</v>
      </c>
      <c r="N117" s="99">
        <v>390000000</v>
      </c>
      <c r="O117" s="99" t="inlineStr">
        <is>
          <t xml:space="preserve"> </t>
        </is>
      </c>
      <c r="P117" s="99" t="inlineStr">
        <is>
          <t xml:space="preserve"> </t>
        </is>
      </c>
      <c r="Q117" s="99" t="inlineStr">
        <is>
          <t xml:space="preserve"> </t>
        </is>
      </c>
      <c r="R117" s="100" t="inlineStr">
        <is>
          <t xml:space="preserve"> </t>
        </is>
      </c>
      <c r="S117" t="inlineStr">
        <is>
          <t>No se encontró ejecución en CUIPO</t>
        </is>
      </c>
      <c r="T117" s="101">
        <v>438433333</v>
      </c>
      <c r="U117" s="101">
        <v>399857874</v>
      </c>
      <c r="V117" s="101">
        <v>399857874</v>
      </c>
      <c r="W117" s="102">
        <v>0.364169284153005</v>
      </c>
      <c r="X117" t="inlineStr">
        <is>
          <t>Lo obligado está por debajo de lo programado en la vigencia</t>
        </is>
      </c>
    </row>
    <row r="118">
      <c r="A118" t="inlineStr">
        <is>
          <t>IP-157</t>
        </is>
      </c>
      <c r="B118" t="inlineStr">
        <is>
          <t>22</t>
        </is>
      </c>
      <c r="C118" t="inlineStr">
        <is>
          <t>Educación</t>
        </is>
      </c>
      <c r="D118" t="inlineStr">
        <is>
          <t>2201</t>
        </is>
      </c>
      <c r="E118" t="inlineStr">
        <is>
          <t>Calidad, cobertura y fortalecimiento de la educación inicial, prescolar, básica y media</t>
        </is>
      </c>
      <c r="F118" t="inlineStr">
        <is>
          <t>2201085</t>
        </is>
      </c>
      <c r="G118" t="inlineStr">
        <is>
          <t>Servicio de orientación socio ocupacional</t>
        </is>
      </c>
      <c r="H118" t="inlineStr">
        <is>
          <t>Incluye el apoyo de orientación socio ocupacional brindado a los jóvenes para que a partir del conocimiento de sus intereses, aptitudes y habilidades, y de la identificación de los recursos y oportunidades del entorno,  para que estén mejor preparados para la toma de decisiones sobre su educación y formación postmedia  para la vida laboral.</t>
        </is>
      </c>
      <c r="I118" t="inlineStr">
        <is>
          <t>2024252140094</t>
        </is>
      </c>
      <c r="J118" s="99">
        <v>2046550000</v>
      </c>
      <c r="K118" s="99">
        <v>313000000</v>
      </c>
      <c r="L118" s="99">
        <v>336000000</v>
      </c>
      <c r="M118" s="99">
        <v>665500000</v>
      </c>
      <c r="N118" s="99">
        <v>732050000</v>
      </c>
      <c r="O118" s="99" t="inlineStr">
        <is>
          <t xml:space="preserve"> </t>
        </is>
      </c>
      <c r="P118" s="99" t="inlineStr">
        <is>
          <t xml:space="preserve"> </t>
        </is>
      </c>
      <c r="Q118" s="99" t="inlineStr">
        <is>
          <t xml:space="preserve"> </t>
        </is>
      </c>
      <c r="R118" s="100" t="inlineStr">
        <is>
          <t xml:space="preserve"> </t>
        </is>
      </c>
      <c r="S118" t="inlineStr">
        <is>
          <t>No se encontró ejecución en CUIPO</t>
        </is>
      </c>
      <c r="T118" s="101">
        <v>444530520</v>
      </c>
      <c r="U118" s="101">
        <v>197995224</v>
      </c>
      <c r="V118" s="101">
        <v>197995224</v>
      </c>
      <c r="W118" s="102">
        <v>0.5892715</v>
      </c>
      <c r="X118" t="inlineStr">
        <is>
          <t>Lo obligado está por debajo de lo programado en la vigencia</t>
        </is>
      </c>
    </row>
    <row r="119">
      <c r="A119" t="inlineStr">
        <is>
          <t>IP-158</t>
        </is>
      </c>
      <c r="B119" t="inlineStr">
        <is>
          <t>22</t>
        </is>
      </c>
      <c r="C119" t="inlineStr">
        <is>
          <t>Educación</t>
        </is>
      </c>
      <c r="D119" t="inlineStr">
        <is>
          <t>2202</t>
        </is>
      </c>
      <c r="E119" t="inlineStr">
        <is>
          <t>Calidad y fomento de la educación superior</t>
        </is>
      </c>
      <c r="F119" t="inlineStr">
        <is>
          <t>2202063</t>
        </is>
      </c>
      <c r="G119" t="inlineStr">
        <is>
          <t>Servicio de apoyo financiero para el acceso a la educación superior</t>
        </is>
      </c>
      <c r="H119" t="inlineStr">
        <is>
          <t>Incluye becas y créditos en todas sus modalidades</t>
        </is>
      </c>
      <c r="I119" t="inlineStr">
        <is>
          <t>2024252140094</t>
        </is>
      </c>
      <c r="J119" s="99">
        <v>15154879080.5708</v>
      </c>
      <c r="K119" s="99">
        <v>3026670769.8</v>
      </c>
      <c r="L119" s="99">
        <v>3454269089.7708</v>
      </c>
      <c r="M119" s="99">
        <v>4130447248</v>
      </c>
      <c r="N119" s="99">
        <v>4543491973</v>
      </c>
      <c r="O119" s="99" t="inlineStr">
        <is>
          <t xml:space="preserve"> </t>
        </is>
      </c>
      <c r="P119" s="99" t="inlineStr">
        <is>
          <t xml:space="preserve"> </t>
        </is>
      </c>
      <c r="Q119" s="99" t="inlineStr">
        <is>
          <t xml:space="preserve"> </t>
        </is>
      </c>
      <c r="R119" s="100" t="inlineStr">
        <is>
          <t xml:space="preserve"> </t>
        </is>
      </c>
      <c r="S119" t="inlineStr">
        <is>
          <t>No se encontró ejecución en CUIPO</t>
        </is>
      </c>
      <c r="T119" s="101">
        <v>1832666264</v>
      </c>
      <c r="U119" s="101">
        <v>1324242207</v>
      </c>
      <c r="V119" s="101">
        <v>1324242207</v>
      </c>
      <c r="W119" s="102">
        <v>0.383363939688864</v>
      </c>
      <c r="X119" t="inlineStr">
        <is>
          <t>Lo obligado está por debajo de lo programado en la vigencia</t>
        </is>
      </c>
    </row>
    <row r="120">
      <c r="A120" t="inlineStr">
        <is>
          <t>IP-159</t>
        </is>
      </c>
      <c r="B120" t="inlineStr">
        <is>
          <t>33</t>
        </is>
      </c>
      <c r="C120" t="inlineStr">
        <is>
          <t>Cultura</t>
        </is>
      </c>
      <c r="D120" t="inlineStr">
        <is>
          <t>3301</t>
        </is>
      </c>
      <c r="E120" t="inlineStr">
        <is>
          <t>Promoción y acceso efectivo a procesos culturales y artísticos</t>
        </is>
      </c>
      <c r="F120" t="inlineStr">
        <is>
          <t>3301089</t>
        </is>
      </c>
      <c r="G120" t="inlineStr">
        <is>
          <t>Centros culturales ampliados</t>
        </is>
      </c>
      <c r="H120" t="inlineStr">
        <is>
          <t>Incrementar el área construida de la infraestructura cultural ya existente.</t>
        </is>
      </c>
      <c r="I120" t="inlineStr">
        <is>
          <t>2024252140116</t>
        </is>
      </c>
      <c r="J120" s="99">
        <v>3695040300</v>
      </c>
      <c r="K120" s="99">
        <v>931900000</v>
      </c>
      <c r="L120" s="99">
        <v>2763140300</v>
      </c>
      <c r="M120" s="99">
        <v>0</v>
      </c>
      <c r="N120" s="99">
        <v>0</v>
      </c>
      <c r="O120" s="99">
        <v>963855754</v>
      </c>
      <c r="P120" s="99">
        <v>36466666</v>
      </c>
      <c r="Q120" s="99">
        <v>36466666</v>
      </c>
      <c r="R120" s="100">
        <v>0.0391315226955682</v>
      </c>
      <c r="S120" t="inlineStr">
        <is>
          <t>Lo obligado está por debajo de lo programado en la vigencia</t>
        </is>
      </c>
      <c r="T120" s="101" t="inlineStr">
        <is>
          <t xml:space="preserve"> </t>
        </is>
      </c>
      <c r="U120" s="101" t="inlineStr">
        <is>
          <t xml:space="preserve"> </t>
        </is>
      </c>
      <c r="V120" s="101" t="inlineStr">
        <is>
          <t xml:space="preserve"> </t>
        </is>
      </c>
      <c r="W120" s="102" t="inlineStr">
        <is>
          <t xml:space="preserve"> </t>
        </is>
      </c>
      <c r="X120" t="inlineStr">
        <is>
          <t>No se encontró ejecución en CUIPO</t>
        </is>
      </c>
    </row>
    <row r="121">
      <c r="A121" t="inlineStr">
        <is>
          <t>IP-160</t>
        </is>
      </c>
      <c r="B121" t="inlineStr">
        <is>
          <t>33</t>
        </is>
      </c>
      <c r="C121" t="inlineStr">
        <is>
          <t>Cultura</t>
        </is>
      </c>
      <c r="D121" t="inlineStr">
        <is>
          <t>3301</t>
        </is>
      </c>
      <c r="E121" t="inlineStr">
        <is>
          <t>Promoción y acceso efectivo a procesos culturales y artísticos</t>
        </is>
      </c>
      <c r="F121" t="inlineStr">
        <is>
          <t>3301090</t>
        </is>
      </c>
      <c r="G121" t="inlineStr">
        <is>
          <t>Centros culturales adecuados</t>
        </is>
      </c>
      <c r="H121" t="inlineStr">
        <is>
          <t>Cambio del uso de la infraestructura cultural o parte de ella, garantizando la permanencia del inmueble original.</t>
        </is>
      </c>
      <c r="I121" t="inlineStr">
        <is>
          <t>2024252140116</t>
        </is>
      </c>
      <c r="J121" s="99">
        <v>766346666.6667</v>
      </c>
      <c r="K121" s="99">
        <v>156346666.6667</v>
      </c>
      <c r="L121" s="99">
        <v>10000000</v>
      </c>
      <c r="M121" s="99">
        <v>300000000</v>
      </c>
      <c r="N121" s="99">
        <v>300000000</v>
      </c>
      <c r="O121" s="99" t="inlineStr">
        <is>
          <t xml:space="preserve"> </t>
        </is>
      </c>
      <c r="P121" s="99" t="inlineStr">
        <is>
          <t xml:space="preserve"> </t>
        </is>
      </c>
      <c r="Q121" s="99" t="inlineStr">
        <is>
          <t xml:space="preserve"> </t>
        </is>
      </c>
      <c r="R121" s="100" t="inlineStr">
        <is>
          <t xml:space="preserve"> </t>
        </is>
      </c>
      <c r="S121" t="inlineStr">
        <is>
          <t>No se encontró ejecución en CUIPO</t>
        </is>
      </c>
      <c r="T121" s="101" t="inlineStr">
        <is>
          <t xml:space="preserve"> </t>
        </is>
      </c>
      <c r="U121" s="101" t="inlineStr">
        <is>
          <t xml:space="preserve"> </t>
        </is>
      </c>
      <c r="V121" s="101" t="inlineStr">
        <is>
          <t xml:space="preserve"> </t>
        </is>
      </c>
      <c r="W121" s="102" t="inlineStr">
        <is>
          <t xml:space="preserve"> </t>
        </is>
      </c>
      <c r="X121" t="inlineStr">
        <is>
          <t>No se encontró ejecución en CUIPO</t>
        </is>
      </c>
    </row>
    <row r="122">
      <c r="A122" t="inlineStr">
        <is>
          <t>IP-161</t>
        </is>
      </c>
      <c r="B122" t="inlineStr">
        <is>
          <t>33</t>
        </is>
      </c>
      <c r="C122" t="inlineStr">
        <is>
          <t>Cultura</t>
        </is>
      </c>
      <c r="D122" t="inlineStr">
        <is>
          <t>3301</t>
        </is>
      </c>
      <c r="E122" t="inlineStr">
        <is>
          <t>Promoción y acceso efectivo a procesos culturales y artísticos</t>
        </is>
      </c>
      <c r="F122" t="inlineStr">
        <is>
          <t>3301001</t>
        </is>
      </c>
      <c r="G122" t="inlineStr">
        <is>
          <t>Bibliotecas construidas</t>
        </is>
      </c>
      <c r="H122" t="inlineStr">
        <is>
          <t xml:space="preserve">Son todas aquellas infraestructuras culturales que se construyan en un predio o terreno donde no existen elementos o construcciones previstas. 
</t>
        </is>
      </c>
      <c r="I122" t="inlineStr">
        <is>
          <t/>
        </is>
      </c>
      <c r="J122" s="99">
        <v>1800000000</v>
      </c>
      <c r="K122" s="99">
        <v>0</v>
      </c>
      <c r="L122" s="99">
        <v>0</v>
      </c>
      <c r="M122" s="99">
        <v>1000000000</v>
      </c>
      <c r="N122" s="99">
        <v>800000000</v>
      </c>
      <c r="O122" s="99" t="inlineStr">
        <is>
          <t xml:space="preserve"> </t>
        </is>
      </c>
      <c r="P122" s="99" t="inlineStr">
        <is>
          <t xml:space="preserve"> </t>
        </is>
      </c>
      <c r="Q122" s="99" t="inlineStr">
        <is>
          <t xml:space="preserve"> </t>
        </is>
      </c>
      <c r="R122" s="100" t="inlineStr">
        <is>
          <t xml:space="preserve"> </t>
        </is>
      </c>
      <c r="S122" t="inlineStr">
        <is>
          <t>Por falta de código BPIN, no se encontró ejecución en CUIPO</t>
        </is>
      </c>
      <c r="T122" s="101" t="inlineStr">
        <is>
          <t xml:space="preserve"> </t>
        </is>
      </c>
      <c r="U122" s="101" t="inlineStr">
        <is>
          <t xml:space="preserve"> </t>
        </is>
      </c>
      <c r="V122" s="101" t="inlineStr">
        <is>
          <t xml:space="preserve"> </t>
        </is>
      </c>
      <c r="W122" s="102" t="inlineStr">
        <is>
          <t xml:space="preserve"> </t>
        </is>
      </c>
      <c r="X122" t="inlineStr">
        <is>
          <t>Por falta de código BPIN, no se encontró ejecución en CUIPO</t>
        </is>
      </c>
    </row>
    <row r="123">
      <c r="A123" t="inlineStr">
        <is>
          <t>IP-162</t>
        </is>
      </c>
      <c r="B123" t="inlineStr">
        <is>
          <t>33</t>
        </is>
      </c>
      <c r="C123" t="inlineStr">
        <is>
          <t>Cultura</t>
        </is>
      </c>
      <c r="D123" t="inlineStr">
        <is>
          <t>3301</t>
        </is>
      </c>
      <c r="E123" t="inlineStr">
        <is>
          <t>Promoción y acceso efectivo a procesos culturales y artísticos</t>
        </is>
      </c>
      <c r="F123" t="inlineStr">
        <is>
          <t>3301127</t>
        </is>
      </c>
      <c r="G123" t="inlineStr">
        <is>
          <t>Infraestructuras culturales dotadas</t>
        </is>
      </c>
      <c r="H123" t="inlineStr">
        <is>
          <t>Corresponde a la disposición de material didáctico, pedagógico, tecnológico y/o mobiliario para espacios estructurados para el desarrollo de procesos artístico y/o cultural, este incluye también el desarrollo de infraestructura tecnológica  para la conexión y el acceso a internet de las bibliotecas y espacios culturales.</t>
        </is>
      </c>
      <c r="I123" t="inlineStr">
        <is>
          <t>2024252140144</t>
        </is>
      </c>
      <c r="J123" s="99">
        <v>3420944378.6649</v>
      </c>
      <c r="K123" s="99">
        <v>566354568</v>
      </c>
      <c r="L123" s="99">
        <v>854589810.6649</v>
      </c>
      <c r="M123" s="99">
        <v>1000000000</v>
      </c>
      <c r="N123" s="99">
        <v>1000000000</v>
      </c>
      <c r="O123" s="99" t="inlineStr">
        <is>
          <t xml:space="preserve"> </t>
        </is>
      </c>
      <c r="P123" s="99" t="inlineStr">
        <is>
          <t xml:space="preserve"> </t>
        </is>
      </c>
      <c r="Q123" s="99" t="inlineStr">
        <is>
          <t xml:space="preserve"> </t>
        </is>
      </c>
      <c r="R123" s="100" t="inlineStr">
        <is>
          <t xml:space="preserve"> </t>
        </is>
      </c>
      <c r="S123" t="inlineStr">
        <is>
          <t>No se encontró ejecución en CUIPO</t>
        </is>
      </c>
      <c r="T123" s="101" t="inlineStr">
        <is>
          <t xml:space="preserve"> </t>
        </is>
      </c>
      <c r="U123" s="101" t="inlineStr">
        <is>
          <t xml:space="preserve"> </t>
        </is>
      </c>
      <c r="V123" s="101" t="inlineStr">
        <is>
          <t xml:space="preserve"> </t>
        </is>
      </c>
      <c r="W123" s="102" t="inlineStr">
        <is>
          <t xml:space="preserve"> </t>
        </is>
      </c>
      <c r="X123" t="inlineStr">
        <is>
          <t>No se encontró ejecución en CUIPO</t>
        </is>
      </c>
    </row>
    <row r="124">
      <c r="A124" t="inlineStr">
        <is>
          <t>IP-163</t>
        </is>
      </c>
      <c r="B124" t="inlineStr">
        <is>
          <t>33</t>
        </is>
      </c>
      <c r="C124" t="inlineStr">
        <is>
          <t>Cultura</t>
        </is>
      </c>
      <c r="D124" t="inlineStr">
        <is>
          <t>3301</t>
        </is>
      </c>
      <c r="E124" t="inlineStr">
        <is>
          <t>Promoción y acceso efectivo a procesos culturales y artísticos</t>
        </is>
      </c>
      <c r="F124" t="inlineStr">
        <is>
          <t>3301088</t>
        </is>
      </c>
      <c r="G124" t="inlineStr">
        <is>
          <t>Centros culturales construidos</t>
        </is>
      </c>
      <c r="H124" t="inlineStr">
        <is>
          <t>Son todas aquellas infraestructuras culturales que se construyan en un predio o terreno donde no existen elementos o construcciones previstas. </t>
        </is>
      </c>
      <c r="I124" t="inlineStr">
        <is>
          <t>2024252140116</t>
        </is>
      </c>
      <c r="J124" s="99">
        <v>7015216666.6667</v>
      </c>
      <c r="K124" s="99">
        <v>15216666.6667</v>
      </c>
      <c r="L124" s="99">
        <v>2000000000</v>
      </c>
      <c r="M124" s="99">
        <v>1500000000</v>
      </c>
      <c r="N124" s="99">
        <v>3500000000</v>
      </c>
      <c r="O124" s="99" t="inlineStr">
        <is>
          <t xml:space="preserve"> </t>
        </is>
      </c>
      <c r="P124" s="99" t="inlineStr">
        <is>
          <t xml:space="preserve"> </t>
        </is>
      </c>
      <c r="Q124" s="99" t="inlineStr">
        <is>
          <t xml:space="preserve"> </t>
        </is>
      </c>
      <c r="R124" s="100" t="inlineStr">
        <is>
          <t xml:space="preserve"> </t>
        </is>
      </c>
      <c r="S124" t="inlineStr">
        <is>
          <t>No se encontró ejecución en CUIPO</t>
        </is>
      </c>
      <c r="T124" s="101" t="inlineStr">
        <is>
          <t xml:space="preserve"> </t>
        </is>
      </c>
      <c r="U124" s="101" t="inlineStr">
        <is>
          <t xml:space="preserve"> </t>
        </is>
      </c>
      <c r="V124" s="101" t="inlineStr">
        <is>
          <t xml:space="preserve"> </t>
        </is>
      </c>
      <c r="W124" s="102" t="inlineStr">
        <is>
          <t xml:space="preserve"> </t>
        </is>
      </c>
      <c r="X124" t="inlineStr">
        <is>
          <t>No se encontró ejecución en CUIPO</t>
        </is>
      </c>
    </row>
    <row r="125">
      <c r="A125" t="inlineStr">
        <is>
          <t>IP-164</t>
        </is>
      </c>
      <c r="B125" t="inlineStr">
        <is>
          <t>33</t>
        </is>
      </c>
      <c r="C125" t="inlineStr">
        <is>
          <t>Cultura</t>
        </is>
      </c>
      <c r="D125" t="inlineStr">
        <is>
          <t>3301</t>
        </is>
      </c>
      <c r="E125" t="inlineStr">
        <is>
          <t>Promoción y acceso efectivo a procesos culturales y artísticos</t>
        </is>
      </c>
      <c r="F125" t="inlineStr">
        <is>
          <t>3301073</t>
        </is>
      </c>
      <c r="G125" t="inlineStr">
        <is>
          <t>Servicio de circulación artística y cultural</t>
        </is>
      </c>
      <c r="H125" t="inlineStr">
        <is>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is>
      </c>
      <c r="I125" t="inlineStr">
        <is>
          <t>2024252140144</t>
        </is>
      </c>
      <c r="J125" s="99">
        <v>7506375599</v>
      </c>
      <c r="K125" s="99">
        <v>1810000000</v>
      </c>
      <c r="L125" s="99">
        <v>2096375599</v>
      </c>
      <c r="M125" s="99">
        <v>1800000000</v>
      </c>
      <c r="N125" s="99">
        <v>1800000000</v>
      </c>
      <c r="O125" s="99">
        <v>1904700000</v>
      </c>
      <c r="P125" s="99">
        <v>1401700000</v>
      </c>
      <c r="Q125" s="99">
        <v>1401700000</v>
      </c>
      <c r="R125" s="100">
        <v>0.774419889502762</v>
      </c>
      <c r="S125" t="inlineStr">
        <is>
          <t>Lo obligado está por debajo de lo programado en la vigencia</t>
        </is>
      </c>
      <c r="T125" s="101" t="inlineStr">
        <is>
          <t xml:space="preserve"> </t>
        </is>
      </c>
      <c r="U125" s="101" t="inlineStr">
        <is>
          <t xml:space="preserve"> </t>
        </is>
      </c>
      <c r="V125" s="101" t="inlineStr">
        <is>
          <t xml:space="preserve"> </t>
        </is>
      </c>
      <c r="W125" s="102" t="inlineStr">
        <is>
          <t xml:space="preserve"> </t>
        </is>
      </c>
      <c r="X125" t="inlineStr">
        <is>
          <t>No se encontró ejecución en CUIPO</t>
        </is>
      </c>
    </row>
    <row r="126">
      <c r="A126" t="inlineStr">
        <is>
          <t>IP-165</t>
        </is>
      </c>
      <c r="B126" t="inlineStr">
        <is>
          <t>33</t>
        </is>
      </c>
      <c r="C126" t="inlineStr">
        <is>
          <t>Cultura</t>
        </is>
      </c>
      <c r="D126" t="inlineStr">
        <is>
          <t>3301</t>
        </is>
      </c>
      <c r="E126" t="inlineStr">
        <is>
          <t>Promoción y acceso efectivo a procesos culturales y artísticos</t>
        </is>
      </c>
      <c r="F126" t="inlineStr">
        <is>
          <t>3301070</t>
        </is>
      </c>
      <c r="G126" t="inlineStr">
        <is>
          <t>Documentos de lineamientos técnicos</t>
        </is>
      </c>
      <c r="H126" t="inlineStr">
        <is>
          <t>Corresponde a los lineamientos técnicos para la creación, dotación, organización, administración, funcionamiento, gestión y prestación de servicios en el sector cultural y artístico</t>
        </is>
      </c>
      <c r="I126" t="inlineStr">
        <is>
          <t>2024252140148</t>
        </is>
      </c>
      <c r="J126" s="99">
        <v>464864714.55</v>
      </c>
      <c r="K126" s="99">
        <v>0</v>
      </c>
      <c r="L126" s="99">
        <v>284864714.55</v>
      </c>
      <c r="M126" s="99">
        <v>90000000</v>
      </c>
      <c r="N126" s="99">
        <v>90000000</v>
      </c>
      <c r="O126" s="99" t="inlineStr">
        <is>
          <t xml:space="preserve"> </t>
        </is>
      </c>
      <c r="P126" s="99" t="inlineStr">
        <is>
          <t xml:space="preserve"> </t>
        </is>
      </c>
      <c r="Q126" s="99" t="inlineStr">
        <is>
          <t xml:space="preserve"> </t>
        </is>
      </c>
      <c r="R126" s="100" t="inlineStr">
        <is>
          <t xml:space="preserve"> </t>
        </is>
      </c>
      <c r="S126" t="inlineStr">
        <is>
          <t>No se encontró ejecución en CUIPO</t>
        </is>
      </c>
      <c r="T126" s="101" t="inlineStr">
        <is>
          <t xml:space="preserve"> </t>
        </is>
      </c>
      <c r="U126" s="101" t="inlineStr">
        <is>
          <t xml:space="preserve"> </t>
        </is>
      </c>
      <c r="V126" s="101" t="inlineStr">
        <is>
          <t xml:space="preserve"> </t>
        </is>
      </c>
      <c r="W126" s="102" t="inlineStr">
        <is>
          <t xml:space="preserve"> </t>
        </is>
      </c>
      <c r="X126" t="inlineStr">
        <is>
          <t>No se encontró ejecución en CUIPO</t>
        </is>
      </c>
    </row>
    <row r="127">
      <c r="A127" t="inlineStr">
        <is>
          <t>IP-166</t>
        </is>
      </c>
      <c r="B127" t="inlineStr">
        <is>
          <t>33</t>
        </is>
      </c>
      <c r="C127" t="inlineStr">
        <is>
          <t>Cultura</t>
        </is>
      </c>
      <c r="D127" t="inlineStr">
        <is>
          <t>3301</t>
        </is>
      </c>
      <c r="E127" t="inlineStr">
        <is>
          <t>Promoción y acceso efectivo a procesos culturales y artísticos</t>
        </is>
      </c>
      <c r="F127" t="inlineStr">
        <is>
          <t>3301051</t>
        </is>
      </c>
      <c r="G127" t="inlineStr">
        <is>
          <t>Servicio de educación informal al sector artístico y cultural</t>
        </is>
      </c>
      <c r="H127" t="inlineStr">
        <is>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is>
      </c>
      <c r="I127" t="inlineStr">
        <is>
          <t>2024252140144</t>
        </is>
      </c>
      <c r="J127" s="99">
        <v>16756824280</v>
      </c>
      <c r="K127" s="99">
        <v>622024280</v>
      </c>
      <c r="L127" s="99">
        <v>5284800000</v>
      </c>
      <c r="M127" s="99">
        <v>5250000000</v>
      </c>
      <c r="N127" s="99">
        <v>5600000000</v>
      </c>
      <c r="O127" s="99">
        <v>277520485</v>
      </c>
      <c r="P127" s="99">
        <v>275840485</v>
      </c>
      <c r="Q127" s="99">
        <v>275840485</v>
      </c>
      <c r="R127" s="100">
        <v>0.443456138078726</v>
      </c>
      <c r="S127" t="inlineStr">
        <is>
          <t>Lo obligado está por debajo de lo programado en la vigencia</t>
        </is>
      </c>
      <c r="T127" s="101" t="inlineStr">
        <is>
          <t xml:space="preserve"> </t>
        </is>
      </c>
      <c r="U127" s="101" t="inlineStr">
        <is>
          <t xml:space="preserve"> </t>
        </is>
      </c>
      <c r="V127" s="101" t="inlineStr">
        <is>
          <t xml:space="preserve"> </t>
        </is>
      </c>
      <c r="W127" s="102" t="inlineStr">
        <is>
          <t xml:space="preserve"> </t>
        </is>
      </c>
      <c r="X127" t="inlineStr">
        <is>
          <t>No se encontró ejecución en CUIPO</t>
        </is>
      </c>
    </row>
    <row r="128">
      <c r="A128" t="inlineStr">
        <is>
          <t>IP-167</t>
        </is>
      </c>
      <c r="B128" t="inlineStr">
        <is>
          <t>33</t>
        </is>
      </c>
      <c r="C128" t="inlineStr">
        <is>
          <t>Cultura</t>
        </is>
      </c>
      <c r="D128" t="inlineStr">
        <is>
          <t>3301</t>
        </is>
      </c>
      <c r="E128" t="inlineStr">
        <is>
          <t>Promoción y acceso efectivo a procesos culturales y artísticos</t>
        </is>
      </c>
      <c r="F128" t="inlineStr">
        <is>
          <t>3301052</t>
        </is>
      </c>
      <c r="G128" t="inlineStr">
        <is>
          <t>Servicio de educación formal al sector artístico y cultural</t>
        </is>
      </c>
      <c r="H128" t="inlineStr">
        <is>
          <t xml:space="preserve">Oferta educativa entregada a agentes culturales la cual se imparte en establecimientos educativos aprobados, en una secuencia regular de ciclos lectivos, con sujeción a pautas curriculares progresivas, y conducente a grados y títulos con el fin de fortalecer las capacidades en las disciplinas propias del sector.  </t>
        </is>
      </c>
      <c r="I128" t="inlineStr">
        <is>
          <t>2024252140145</t>
        </is>
      </c>
      <c r="J128" s="99">
        <v>324000000</v>
      </c>
      <c r="K128" s="99">
        <v>58000000</v>
      </c>
      <c r="L128" s="99">
        <v>80000000</v>
      </c>
      <c r="M128" s="99">
        <v>96000000</v>
      </c>
      <c r="N128" s="99">
        <v>90000000</v>
      </c>
      <c r="O128" s="99" t="inlineStr">
        <is>
          <t xml:space="preserve"> </t>
        </is>
      </c>
      <c r="P128" s="99" t="inlineStr">
        <is>
          <t xml:space="preserve"> </t>
        </is>
      </c>
      <c r="Q128" s="99" t="inlineStr">
        <is>
          <t xml:space="preserve"> </t>
        </is>
      </c>
      <c r="R128" s="100" t="inlineStr">
        <is>
          <t xml:space="preserve"> </t>
        </is>
      </c>
      <c r="S128" t="inlineStr">
        <is>
          <t>No se encontró ejecución en CUIPO</t>
        </is>
      </c>
      <c r="T128" s="101" t="inlineStr">
        <is>
          <t xml:space="preserve"> </t>
        </is>
      </c>
      <c r="U128" s="101" t="inlineStr">
        <is>
          <t xml:space="preserve"> </t>
        </is>
      </c>
      <c r="V128" s="101" t="inlineStr">
        <is>
          <t xml:space="preserve"> </t>
        </is>
      </c>
      <c r="W128" s="102" t="inlineStr">
        <is>
          <t xml:space="preserve"> </t>
        </is>
      </c>
      <c r="X128" t="inlineStr">
        <is>
          <t>No se encontró ejecución en CUIPO</t>
        </is>
      </c>
    </row>
    <row r="129">
      <c r="A129" t="inlineStr">
        <is>
          <t>IP-168</t>
        </is>
      </c>
      <c r="B129" t="inlineStr">
        <is>
          <t>33</t>
        </is>
      </c>
      <c r="C129" t="inlineStr">
        <is>
          <t>Cultura</t>
        </is>
      </c>
      <c r="D129" t="inlineStr">
        <is>
          <t>3301</t>
        </is>
      </c>
      <c r="E129" t="inlineStr">
        <is>
          <t>Promoción y acceso efectivo a procesos culturales y artísticos</t>
        </is>
      </c>
      <c r="F129" t="inlineStr">
        <is>
          <t>3301054</t>
        </is>
      </c>
      <c r="G129" t="inlineStr">
        <is>
          <t>Servicio de apoyo financiero al sector artístico y cultural</t>
        </is>
      </c>
      <c r="H129"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129" t="inlineStr">
        <is>
          <t>2024252140145</t>
        </is>
      </c>
      <c r="J129" s="99">
        <v>1738500000</v>
      </c>
      <c r="K129" s="99">
        <v>146900000</v>
      </c>
      <c r="L129" s="99">
        <v>241600000</v>
      </c>
      <c r="M129" s="99">
        <v>600000000</v>
      </c>
      <c r="N129" s="99">
        <v>750000000</v>
      </c>
      <c r="O129" s="99">
        <v>105787082</v>
      </c>
      <c r="P129" s="99">
        <v>105787082</v>
      </c>
      <c r="Q129" s="99">
        <v>105787082</v>
      </c>
      <c r="R129" s="100">
        <v>0.720129897889721</v>
      </c>
      <c r="S129" t="inlineStr">
        <is>
          <t>Lo obligado está por debajo de lo programado en la vigencia</t>
        </is>
      </c>
      <c r="T129" s="101">
        <v>44482324</v>
      </c>
      <c r="U129" s="101">
        <v>44482324</v>
      </c>
      <c r="V129" s="101">
        <v>44482324</v>
      </c>
      <c r="W129" s="102">
        <v>0.184115579470199</v>
      </c>
      <c r="X129" t="inlineStr">
        <is>
          <t>Lo obligado está por debajo de lo programado en la vigencia</t>
        </is>
      </c>
    </row>
    <row r="130">
      <c r="A130" t="inlineStr">
        <is>
          <t>IP-169, IP-171</t>
        </is>
      </c>
      <c r="B130" t="inlineStr">
        <is>
          <t>33</t>
        </is>
      </c>
      <c r="C130" t="inlineStr">
        <is>
          <t>Cultura</t>
        </is>
      </c>
      <c r="D130" t="inlineStr">
        <is>
          <t>3301</t>
        </is>
      </c>
      <c r="E130" t="inlineStr">
        <is>
          <t>Promoción y acceso efectivo a procesos culturales y artísticos</t>
        </is>
      </c>
      <c r="F130" t="inlineStr">
        <is>
          <t>3301053</t>
        </is>
      </c>
      <c r="G130" t="inlineStr">
        <is>
          <t>Servicio de promoción de actividades culturales</t>
        </is>
      </c>
      <c r="H130" t="inlineStr">
        <is>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is>
      </c>
      <c r="I130" t="inlineStr">
        <is>
          <t>2024252140146</t>
        </is>
      </c>
      <c r="J130" s="99">
        <v>15625705276.7</v>
      </c>
      <c r="K130" s="99">
        <v>4840998690.23</v>
      </c>
      <c r="L130" s="99">
        <v>1434706586.47</v>
      </c>
      <c r="M130" s="99">
        <v>4600000000</v>
      </c>
      <c r="N130" s="99">
        <v>4750000000</v>
      </c>
      <c r="O130" s="99">
        <v>4928649113</v>
      </c>
      <c r="P130" s="99">
        <v>4916916450</v>
      </c>
      <c r="Q130" s="99">
        <v>4916916450</v>
      </c>
      <c r="R130" s="100">
        <v>1.01568225166497</v>
      </c>
      <c r="S130" t="inlineStr">
        <is>
          <t>Hubo ejecución por encima de lo programado en SisPT</t>
        </is>
      </c>
      <c r="T130" s="101">
        <v>4664238800</v>
      </c>
      <c r="U130" s="101">
        <v>1674773299</v>
      </c>
      <c r="V130" s="101">
        <v>1674773299</v>
      </c>
      <c r="W130" s="102">
        <v>1.16732808979477</v>
      </c>
      <c r="X130" t="inlineStr">
        <is>
          <t>Hubo ejecución por encima de lo programado en SisPT</t>
        </is>
      </c>
    </row>
    <row r="131">
      <c r="A131" t="inlineStr">
        <is>
          <t>IP-170</t>
        </is>
      </c>
      <c r="B131" t="inlineStr">
        <is>
          <t>33</t>
        </is>
      </c>
      <c r="C131" t="inlineStr">
        <is>
          <t>Cultura</t>
        </is>
      </c>
      <c r="D131" t="inlineStr">
        <is>
          <t>3301</t>
        </is>
      </c>
      <c r="E131" t="inlineStr">
        <is>
          <t>Promoción y acceso efectivo a procesos culturales y artísticos</t>
        </is>
      </c>
      <c r="F131" t="inlineStr">
        <is>
          <t>3301085</t>
        </is>
      </c>
      <c r="G131" t="inlineStr">
        <is>
          <t>Servicios bibliotecarios</t>
        </is>
      </c>
      <c r="H131" t="inlineStr">
        <is>
          <t>Conjunto de actividades desarrolladas en una biblioteca, con el fin de facilitar y promover la disponibilidad y el acceso a la información y a la cultura con estándares de calidad, pertinencia y oportunidad.   </t>
        </is>
      </c>
      <c r="I131" t="inlineStr">
        <is>
          <t>2024252140147</t>
        </is>
      </c>
      <c r="J131" s="99">
        <v>1453078817.696</v>
      </c>
      <c r="K131" s="99">
        <v>168650266.03</v>
      </c>
      <c r="L131" s="99">
        <v>332428551.666</v>
      </c>
      <c r="M131" s="99">
        <v>452000000</v>
      </c>
      <c r="N131" s="99">
        <v>500000000</v>
      </c>
      <c r="O131" s="99">
        <v>15213333</v>
      </c>
      <c r="P131" s="99">
        <v>15213333</v>
      </c>
      <c r="Q131" s="99">
        <v>15213333</v>
      </c>
      <c r="R131" s="100">
        <v>0.0902063978795848</v>
      </c>
      <c r="S131" t="inlineStr">
        <is>
          <t>Lo obligado está por debajo de lo programado en la vigencia</t>
        </is>
      </c>
      <c r="T131" s="101" t="inlineStr">
        <is>
          <t xml:space="preserve"> </t>
        </is>
      </c>
      <c r="U131" s="101" t="inlineStr">
        <is>
          <t xml:space="preserve"> </t>
        </is>
      </c>
      <c r="V131" s="101" t="inlineStr">
        <is>
          <t xml:space="preserve"> </t>
        </is>
      </c>
      <c r="W131" s="102" t="inlineStr">
        <is>
          <t xml:space="preserve"> </t>
        </is>
      </c>
      <c r="X131" t="inlineStr">
        <is>
          <t>No se encontró ejecución en CUIPO</t>
        </is>
      </c>
    </row>
    <row r="132">
      <c r="A132" t="inlineStr">
        <is>
          <t>IP-172</t>
        </is>
      </c>
      <c r="B132" t="inlineStr">
        <is>
          <t>33</t>
        </is>
      </c>
      <c r="C132" t="inlineStr">
        <is>
          <t>Cultura</t>
        </is>
      </c>
      <c r="D132" t="inlineStr">
        <is>
          <t>3301</t>
        </is>
      </c>
      <c r="E132" t="inlineStr">
        <is>
          <t>Promoción y acceso efectivo a procesos culturales y artísticos</t>
        </is>
      </c>
      <c r="F132" t="inlineStr">
        <is>
          <t>3301129</t>
        </is>
      </c>
      <c r="G132" t="inlineStr">
        <is>
          <t>Documentos de planeación</t>
        </is>
      </c>
      <c r="H132"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32" t="inlineStr">
        <is>
          <t>2024252140148</t>
        </is>
      </c>
      <c r="J132" s="99">
        <v>200000000</v>
      </c>
      <c r="K132" s="99">
        <v>0</v>
      </c>
      <c r="L132" s="99">
        <v>100000000</v>
      </c>
      <c r="M132" s="99">
        <v>50000000</v>
      </c>
      <c r="N132" s="99">
        <v>50000000</v>
      </c>
      <c r="O132" s="99" t="inlineStr">
        <is>
          <t xml:space="preserve"> </t>
        </is>
      </c>
      <c r="P132" s="99" t="inlineStr">
        <is>
          <t xml:space="preserve"> </t>
        </is>
      </c>
      <c r="Q132" s="99" t="inlineStr">
        <is>
          <t xml:space="preserve"> </t>
        </is>
      </c>
      <c r="R132" s="100" t="inlineStr">
        <is>
          <t xml:space="preserve"> </t>
        </is>
      </c>
      <c r="S132" t="inlineStr">
        <is>
          <t>No se encontró ejecución en CUIPO</t>
        </is>
      </c>
      <c r="T132" s="101" t="inlineStr">
        <is>
          <t xml:space="preserve"> </t>
        </is>
      </c>
      <c r="U132" s="101" t="inlineStr">
        <is>
          <t xml:space="preserve"> </t>
        </is>
      </c>
      <c r="V132" s="101" t="inlineStr">
        <is>
          <t xml:space="preserve"> </t>
        </is>
      </c>
      <c r="W132" s="102" t="inlineStr">
        <is>
          <t xml:space="preserve"> </t>
        </is>
      </c>
      <c r="X132" t="inlineStr">
        <is>
          <t>No se encontró ejecución en CUIPO</t>
        </is>
      </c>
    </row>
    <row r="133">
      <c r="A133" t="inlineStr">
        <is>
          <t>IP-173, IP-174</t>
        </is>
      </c>
      <c r="B133" t="inlineStr">
        <is>
          <t>33</t>
        </is>
      </c>
      <c r="C133" t="inlineStr">
        <is>
          <t>Cultura</t>
        </is>
      </c>
      <c r="D133" t="inlineStr">
        <is>
          <t>3301</t>
        </is>
      </c>
      <c r="E133" t="inlineStr">
        <is>
          <t>Promoción y acceso efectivo a procesos culturales y artísticos</t>
        </is>
      </c>
      <c r="F133" t="inlineStr">
        <is>
          <t>3301053</t>
        </is>
      </c>
      <c r="G133" t="inlineStr">
        <is>
          <t>Servicio de promoción de actividades culturales</t>
        </is>
      </c>
      <c r="H133" t="inlineStr">
        <is>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is>
      </c>
      <c r="I133" t="inlineStr">
        <is>
          <t>2024252140149</t>
        </is>
      </c>
      <c r="J133" s="99">
        <v>3932220288.126</v>
      </c>
      <c r="K133" s="99">
        <v>1984795058.46</v>
      </c>
      <c r="L133" s="99">
        <v>1017425229.666</v>
      </c>
      <c r="M133" s="99">
        <v>460000000</v>
      </c>
      <c r="N133" s="99">
        <v>470000000</v>
      </c>
      <c r="O133" s="99">
        <v>253505560</v>
      </c>
      <c r="P133" s="99">
        <v>253505560</v>
      </c>
      <c r="Q133" s="99">
        <v>253505560</v>
      </c>
      <c r="R133" s="100">
        <v>0.127723796428985</v>
      </c>
      <c r="S133" t="inlineStr">
        <is>
          <t>Lo obligado está por debajo de lo programado en la vigencia</t>
        </is>
      </c>
      <c r="T133" s="101" t="inlineStr">
        <is>
          <t xml:space="preserve"> </t>
        </is>
      </c>
      <c r="U133" s="101" t="inlineStr">
        <is>
          <t xml:space="preserve"> </t>
        </is>
      </c>
      <c r="V133" s="101" t="inlineStr">
        <is>
          <t xml:space="preserve"> </t>
        </is>
      </c>
      <c r="W133" s="102" t="inlineStr">
        <is>
          <t xml:space="preserve"> </t>
        </is>
      </c>
      <c r="X133" t="inlineStr">
        <is>
          <t>No se encontró ejecución en CUIPO</t>
        </is>
      </c>
    </row>
    <row r="134">
      <c r="A134" t="inlineStr">
        <is>
          <t>IP-175</t>
        </is>
      </c>
      <c r="B134" t="inlineStr">
        <is>
          <t>33</t>
        </is>
      </c>
      <c r="C134" t="inlineStr">
        <is>
          <t>Cultura</t>
        </is>
      </c>
      <c r="D134" t="inlineStr">
        <is>
          <t>3301</t>
        </is>
      </c>
      <c r="E134" t="inlineStr">
        <is>
          <t>Promoción y acceso efectivo a procesos culturales y artísticos</t>
        </is>
      </c>
      <c r="F134" t="inlineStr">
        <is>
          <t>3301074</t>
        </is>
      </c>
      <c r="G134" t="inlineStr">
        <is>
          <t>Servicio de apoyo para la organización y la participación del sector artístico, cultural y la ciudadanía</t>
        </is>
      </c>
      <c r="H134" t="inlineStr">
        <is>
          <t>Generar los mecanismos para la participación de los agentes culturales, artísticos y la ciudadanía en las instancias de participación en cultura (Encuentros Sectoriales, Consejos de Áreas Artísticas y Consejos Nacionales de Cultura) para que hagan parte de los procesos de orientación, construcción y evaluación de políticas y organización sectorial.</t>
        </is>
      </c>
      <c r="I134" t="inlineStr">
        <is>
          <t>2024252140145</t>
        </is>
      </c>
      <c r="J134" s="99">
        <v>120000000</v>
      </c>
      <c r="K134" s="99">
        <v>0</v>
      </c>
      <c r="L134" s="99">
        <v>50000000</v>
      </c>
      <c r="M134" s="99">
        <v>40000000</v>
      </c>
      <c r="N134" s="99">
        <v>30000000</v>
      </c>
      <c r="O134" s="99" t="inlineStr">
        <is>
          <t xml:space="preserve"> </t>
        </is>
      </c>
      <c r="P134" s="99" t="inlineStr">
        <is>
          <t xml:space="preserve"> </t>
        </is>
      </c>
      <c r="Q134" s="99" t="inlineStr">
        <is>
          <t xml:space="preserve"> </t>
        </is>
      </c>
      <c r="R134" s="100" t="inlineStr">
        <is>
          <t xml:space="preserve"> </t>
        </is>
      </c>
      <c r="S134" t="inlineStr">
        <is>
          <t>No se encontró ejecución en CUIPO</t>
        </is>
      </c>
      <c r="T134" s="101" t="inlineStr">
        <is>
          <t xml:space="preserve"> </t>
        </is>
      </c>
      <c r="U134" s="101" t="inlineStr">
        <is>
          <t xml:space="preserve"> </t>
        </is>
      </c>
      <c r="V134" s="101" t="inlineStr">
        <is>
          <t xml:space="preserve"> </t>
        </is>
      </c>
      <c r="W134" s="102" t="inlineStr">
        <is>
          <t xml:space="preserve"> </t>
        </is>
      </c>
      <c r="X134" t="inlineStr">
        <is>
          <t>No se encontró ejecución en CUIPO</t>
        </is>
      </c>
    </row>
    <row r="135">
      <c r="A135" t="inlineStr">
        <is>
          <t>IP-176</t>
        </is>
      </c>
      <c r="B135" t="inlineStr">
        <is>
          <t>33</t>
        </is>
      </c>
      <c r="C135" t="inlineStr">
        <is>
          <t>Cultura</t>
        </is>
      </c>
      <c r="D135" t="inlineStr">
        <is>
          <t>3301</t>
        </is>
      </c>
      <c r="E135" t="inlineStr">
        <is>
          <t>Promoción y acceso efectivo a procesos culturales y artísticos</t>
        </is>
      </c>
      <c r="F135" t="inlineStr">
        <is>
          <t>3301008</t>
        </is>
      </c>
      <c r="G135" t="inlineStr">
        <is>
          <t>Centros musicales adecuados</t>
        </is>
      </c>
      <c r="H135" t="inlineStr">
        <is>
          <t>Cambio del uso de la infraestructura cultural o parte de ella, garantizando la permanencia del inmueble original.</t>
        </is>
      </c>
      <c r="I135" t="inlineStr">
        <is>
          <t/>
        </is>
      </c>
      <c r="J135" s="99">
        <v>100000000</v>
      </c>
      <c r="K135" s="99">
        <v>0</v>
      </c>
      <c r="L135" s="99">
        <v>0</v>
      </c>
      <c r="M135" s="99">
        <v>50000000</v>
      </c>
      <c r="N135" s="99">
        <v>50000000</v>
      </c>
      <c r="O135" s="99" t="inlineStr">
        <is>
          <t xml:space="preserve"> </t>
        </is>
      </c>
      <c r="P135" s="99" t="inlineStr">
        <is>
          <t xml:space="preserve"> </t>
        </is>
      </c>
      <c r="Q135" s="99" t="inlineStr">
        <is>
          <t xml:space="preserve"> </t>
        </is>
      </c>
      <c r="R135" s="100" t="inlineStr">
        <is>
          <t xml:space="preserve"> </t>
        </is>
      </c>
      <c r="S135" t="inlineStr">
        <is>
          <t>Por falta de código BPIN, no se encontró ejecución en CUIPO</t>
        </is>
      </c>
      <c r="T135" s="101" t="inlineStr">
        <is>
          <t xml:space="preserve"> </t>
        </is>
      </c>
      <c r="U135" s="101" t="inlineStr">
        <is>
          <t xml:space="preserve"> </t>
        </is>
      </c>
      <c r="V135" s="101" t="inlineStr">
        <is>
          <t xml:space="preserve"> </t>
        </is>
      </c>
      <c r="W135" s="102" t="inlineStr">
        <is>
          <t xml:space="preserve"> </t>
        </is>
      </c>
      <c r="X135" t="inlineStr">
        <is>
          <t>Por falta de código BPIN, no se encontró ejecución en CUIPO</t>
        </is>
      </c>
    </row>
    <row r="136">
      <c r="A136" t="inlineStr">
        <is>
          <t>IP-177</t>
        </is>
      </c>
      <c r="B136" t="inlineStr">
        <is>
          <t>33</t>
        </is>
      </c>
      <c r="C136" t="inlineStr">
        <is>
          <t>Cultura</t>
        </is>
      </c>
      <c r="D136" t="inlineStr">
        <is>
          <t>3302</t>
        </is>
      </c>
      <c r="E136" t="inlineStr">
        <is>
          <t>Gestión, protección y salvaguardia del patrimonio cultural colombiano</t>
        </is>
      </c>
      <c r="F136" t="inlineStr">
        <is>
          <t>3302022</t>
        </is>
      </c>
      <c r="G136" t="inlineStr">
        <is>
          <t>Servicio de asistencia técnica en asuntos de patrimonio cultural sumergido</t>
        </is>
      </c>
      <c r="H136" t="inlineStr">
        <is>
          <t>Corresponde a la evaluación de las propuestas técnicas presentadas al ICANH para realizar investigaciones en patrimonio sumergido y la realización de un seguimiento permanente sobre las actividades de exploración, intervención, conservación y divulgación de las investigaciones aprobadas de patrimonio cultural sumergido. Emisión de conceptos de carácter técnico de carácter restringido al Ministerio de Cultura</t>
        </is>
      </c>
      <c r="I136" t="inlineStr">
        <is>
          <t>2024252140150</t>
        </is>
      </c>
      <c r="J136" s="99">
        <v>170000000</v>
      </c>
      <c r="K136" s="99">
        <v>0</v>
      </c>
      <c r="L136" s="99">
        <v>100000000</v>
      </c>
      <c r="M136" s="99">
        <v>40000000</v>
      </c>
      <c r="N136" s="99">
        <v>30000000</v>
      </c>
      <c r="O136" s="99" t="inlineStr">
        <is>
          <t xml:space="preserve"> </t>
        </is>
      </c>
      <c r="P136" s="99" t="inlineStr">
        <is>
          <t xml:space="preserve"> </t>
        </is>
      </c>
      <c r="Q136" s="99" t="inlineStr">
        <is>
          <t xml:space="preserve"> </t>
        </is>
      </c>
      <c r="R136" s="100" t="inlineStr">
        <is>
          <t xml:space="preserve"> </t>
        </is>
      </c>
      <c r="S136" t="inlineStr">
        <is>
          <t>No se encontró ejecución en CUIPO</t>
        </is>
      </c>
      <c r="T136" s="101" t="inlineStr">
        <is>
          <t xml:space="preserve"> </t>
        </is>
      </c>
      <c r="U136" s="101" t="inlineStr">
        <is>
          <t xml:space="preserve"> </t>
        </is>
      </c>
      <c r="V136" s="101" t="inlineStr">
        <is>
          <t xml:space="preserve"> </t>
        </is>
      </c>
      <c r="W136" s="102" t="inlineStr">
        <is>
          <t xml:space="preserve"> </t>
        </is>
      </c>
      <c r="X136" t="inlineStr">
        <is>
          <t>No se encontró ejecución en CUIPO</t>
        </is>
      </c>
    </row>
    <row r="137">
      <c r="A137" t="inlineStr">
        <is>
          <t>IP-178</t>
        </is>
      </c>
      <c r="B137" t="inlineStr">
        <is>
          <t>33</t>
        </is>
      </c>
      <c r="C137" t="inlineStr">
        <is>
          <t>Cultura</t>
        </is>
      </c>
      <c r="D137" t="inlineStr">
        <is>
          <t>3302</t>
        </is>
      </c>
      <c r="E137" t="inlineStr">
        <is>
          <t>Gestión, protección y salvaguardia del patrimonio cultural colombiano</t>
        </is>
      </c>
      <c r="F137" t="inlineStr">
        <is>
          <t>3302073</t>
        </is>
      </c>
      <c r="G137" t="inlineStr">
        <is>
          <t>Servicios de restauración del patrimonio cultural material inmueble</t>
        </is>
      </c>
      <c r="H137" t="inlineStr">
        <is>
          <t>Hace referencia a intervenciones de restauración integral de bienes inmuebles de interés cultural con el fin de mantener el buen estado de la infraestructura.</t>
        </is>
      </c>
      <c r="I137" t="inlineStr">
        <is>
          <t>2024252140150</t>
        </is>
      </c>
      <c r="J137" s="99">
        <v>170000000</v>
      </c>
      <c r="K137" s="99">
        <v>30000000</v>
      </c>
      <c r="L137" s="99">
        <v>50000000</v>
      </c>
      <c r="M137" s="99">
        <v>60000000</v>
      </c>
      <c r="N137" s="99">
        <v>30000000</v>
      </c>
      <c r="O137" s="99" t="inlineStr">
        <is>
          <t xml:space="preserve"> </t>
        </is>
      </c>
      <c r="P137" s="99" t="inlineStr">
        <is>
          <t xml:space="preserve"> </t>
        </is>
      </c>
      <c r="Q137" s="99" t="inlineStr">
        <is>
          <t xml:space="preserve"> </t>
        </is>
      </c>
      <c r="R137" s="100" t="inlineStr">
        <is>
          <t xml:space="preserve"> </t>
        </is>
      </c>
      <c r="S137" t="inlineStr">
        <is>
          <t>No se encontró ejecución en CUIPO</t>
        </is>
      </c>
      <c r="T137" s="101" t="inlineStr">
        <is>
          <t xml:space="preserve"> </t>
        </is>
      </c>
      <c r="U137" s="101" t="inlineStr">
        <is>
          <t xml:space="preserve"> </t>
        </is>
      </c>
      <c r="V137" s="101" t="inlineStr">
        <is>
          <t xml:space="preserve"> </t>
        </is>
      </c>
      <c r="W137" s="102" t="inlineStr">
        <is>
          <t xml:space="preserve"> </t>
        </is>
      </c>
      <c r="X137" t="inlineStr">
        <is>
          <t>No se encontró ejecución en CUIPO</t>
        </is>
      </c>
    </row>
    <row r="138">
      <c r="A138" t="inlineStr">
        <is>
          <t>IP-179, IP-180, IP-186</t>
        </is>
      </c>
      <c r="B138" t="inlineStr">
        <is>
          <t>43</t>
        </is>
      </c>
      <c r="C138" t="inlineStr">
        <is>
          <t>Deporte y Recreación</t>
        </is>
      </c>
      <c r="D138" t="inlineStr">
        <is>
          <t>4301</t>
        </is>
      </c>
      <c r="E138" t="inlineStr">
        <is>
          <t>Fomento a la recreación, la actividad física y el deporte para desarrollar entornos de convivencia y paz</t>
        </is>
      </c>
      <c r="F138" t="inlineStr">
        <is>
          <t>4301007</t>
        </is>
      </c>
      <c r="G138" t="inlineStr">
        <is>
          <t>Servicio de Escuelas Deportivas</t>
        </is>
      </c>
      <c r="H138" t="inlineStr">
        <is>
          <t>Corresponde a los procesos de iniciación, fundamentación y perfeccionamiento deportivos a partir de  las clases donde se practica la actividad física, la recreación y/o el deporte.</t>
        </is>
      </c>
      <c r="I138" t="inlineStr">
        <is>
          <t>2024252140087</t>
        </is>
      </c>
      <c r="J138" s="99">
        <v>16159339494</v>
      </c>
      <c r="K138" s="99">
        <v>1808019494</v>
      </c>
      <c r="L138" s="99">
        <v>3167000000</v>
      </c>
      <c r="M138" s="99">
        <v>5243200000</v>
      </c>
      <c r="N138" s="99">
        <v>5941120000</v>
      </c>
      <c r="O138" s="99">
        <v>1648185436</v>
      </c>
      <c r="P138" s="99">
        <v>1648185436</v>
      </c>
      <c r="Q138" s="99">
        <v>1648185436</v>
      </c>
      <c r="R138" s="100">
        <v>0.911597160024869</v>
      </c>
      <c r="S138" t="inlineStr">
        <is>
          <t>Lo obligado está por debajo de lo programado en la vigencia</t>
        </is>
      </c>
      <c r="T138" s="101">
        <v>2849589800</v>
      </c>
      <c r="U138" s="101">
        <v>2849589800</v>
      </c>
      <c r="V138" s="101">
        <v>2849589800</v>
      </c>
      <c r="W138" s="102">
        <v>0.899775749921061</v>
      </c>
      <c r="X138" t="inlineStr">
        <is>
          <t>Lo obligado está por debajo de lo programado en la vigencia</t>
        </is>
      </c>
    </row>
    <row r="139">
      <c r="A139" t="inlineStr">
        <is>
          <t>IP-181, IP-184, IP-185, IP-189, IP-190</t>
        </is>
      </c>
      <c r="B139" t="inlineStr">
        <is>
          <t>43</t>
        </is>
      </c>
      <c r="C139" t="inlineStr">
        <is>
          <t>Deporte y Recreación</t>
        </is>
      </c>
      <c r="D139" t="inlineStr">
        <is>
          <t>4301</t>
        </is>
      </c>
      <c r="E139" t="inlineStr">
        <is>
          <t>Fomento a la recreación, la actividad física y el deporte para desarrollar entornos de convivencia y paz</t>
        </is>
      </c>
      <c r="F139" t="inlineStr">
        <is>
          <t>4301037</t>
        </is>
      </c>
      <c r="G139" t="inlineStr">
        <is>
          <t>Servicio de promoción de la actividad física, la recreación y el deporte</t>
        </is>
      </c>
      <c r="H139"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139" t="inlineStr">
        <is>
          <t>2024252140087</t>
        </is>
      </c>
      <c r="J139" s="99">
        <v>14727654305.38</v>
      </c>
      <c r="K139" s="99">
        <v>2500617152.38</v>
      </c>
      <c r="L139" s="99">
        <v>1783527153</v>
      </c>
      <c r="M139" s="99">
        <v>4973100000</v>
      </c>
      <c r="N139" s="99">
        <v>5470410000</v>
      </c>
      <c r="O139" s="99">
        <v>2506429841</v>
      </c>
      <c r="P139" s="99">
        <v>2506429841</v>
      </c>
      <c r="Q139" s="99">
        <v>2406046403</v>
      </c>
      <c r="R139" s="100">
        <v>1.00232450161932</v>
      </c>
      <c r="S139" t="inlineStr">
        <is>
          <t>Hubo ejecución por encima de lo programado en SisPT</t>
        </is>
      </c>
      <c r="T139" s="101">
        <v>860113297</v>
      </c>
      <c r="U139" s="101">
        <v>860113297</v>
      </c>
      <c r="V139" s="101">
        <v>860113297</v>
      </c>
      <c r="W139" s="102">
        <v>0.482254108412781</v>
      </c>
      <c r="X139" t="inlineStr">
        <is>
          <t>Lo obligado está por debajo de lo programado en la vigencia</t>
        </is>
      </c>
    </row>
    <row r="140">
      <c r="A140" t="inlineStr">
        <is>
          <t>IP-182, IP-183, IP-187, IP-188</t>
        </is>
      </c>
      <c r="B140" t="inlineStr">
        <is>
          <t>43</t>
        </is>
      </c>
      <c r="C140" t="inlineStr">
        <is>
          <t>Deporte y Recreación</t>
        </is>
      </c>
      <c r="D140" t="inlineStr">
        <is>
          <t>4301</t>
        </is>
      </c>
      <c r="E140" t="inlineStr">
        <is>
          <t>Fomento a la recreación, la actividad física y el deporte para desarrollar entornos de convivencia y paz</t>
        </is>
      </c>
      <c r="F140" t="inlineStr">
        <is>
          <t>4301004</t>
        </is>
      </c>
      <c r="G140" t="inlineStr">
        <is>
          <t>Servicio de mantenimiento a la infraestructura deportiva</t>
        </is>
      </c>
      <c r="H140"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140" t="inlineStr">
        <is>
          <t>2024252140087</t>
        </is>
      </c>
      <c r="J140" s="99">
        <v>7904580000</v>
      </c>
      <c r="K140" s="99">
        <v>475700000</v>
      </c>
      <c r="L140" s="99">
        <v>911000000</v>
      </c>
      <c r="M140" s="99">
        <v>3587800000</v>
      </c>
      <c r="N140" s="99">
        <v>2930080000</v>
      </c>
      <c r="O140" s="99">
        <v>1030088000</v>
      </c>
      <c r="P140" s="99">
        <v>1030088000</v>
      </c>
      <c r="Q140" s="99">
        <v>1030088000</v>
      </c>
      <c r="R140" s="100">
        <v>2.16541517763296</v>
      </c>
      <c r="S140" t="inlineStr">
        <is>
          <t>Hubo ejecución por encima de lo programado en SisPT</t>
        </is>
      </c>
      <c r="T140" s="101">
        <v>916169581</v>
      </c>
      <c r="U140" s="101">
        <v>916169581</v>
      </c>
      <c r="V140" s="101">
        <v>916169581</v>
      </c>
      <c r="W140" s="102">
        <v>1.00567462239297</v>
      </c>
      <c r="X140" t="inlineStr">
        <is>
          <t>Hubo ejecución por encima de lo programado en SisPT</t>
        </is>
      </c>
    </row>
    <row r="141">
      <c r="A141" t="inlineStr">
        <is>
          <t>IP-191, IP-192</t>
        </is>
      </c>
      <c r="B141" t="inlineStr">
        <is>
          <t>43</t>
        </is>
      </c>
      <c r="C141" t="inlineStr">
        <is>
          <t>Deporte y Recreación</t>
        </is>
      </c>
      <c r="D141" t="inlineStr">
        <is>
          <t>4302</t>
        </is>
      </c>
      <c r="E141" t="inlineStr">
        <is>
          <t>Formación y preparación de deportistas</t>
        </is>
      </c>
      <c r="F141" t="inlineStr">
        <is>
          <t>4302006</t>
        </is>
      </c>
      <c r="G141" t="inlineStr">
        <is>
          <t>Documentos de planeación</t>
        </is>
      </c>
      <c r="H141" t="inlineStr">
        <is>
          <t>Documentos cuyo objetivo es plasmar una visión de futuro a nivel país, entidad territorial, comunidad, sector, región, entidad o cualquier nivel de desagregación que se requiera. Incluye objetivos, estrategias, metas e indicadores</t>
        </is>
      </c>
      <c r="I141" t="inlineStr">
        <is>
          <t>2024252140088</t>
        </is>
      </c>
      <c r="J141" s="99">
        <v>1765165881.27</v>
      </c>
      <c r="K141" s="99">
        <v>363535881.27</v>
      </c>
      <c r="L141" s="99">
        <v>309000000</v>
      </c>
      <c r="M141" s="99">
        <v>520300000</v>
      </c>
      <c r="N141" s="99">
        <v>572330000</v>
      </c>
      <c r="O141" s="99">
        <v>104355353</v>
      </c>
      <c r="P141" s="99">
        <v>104355353</v>
      </c>
      <c r="Q141" s="99">
        <v>104355353</v>
      </c>
      <c r="R141" s="100">
        <v>0.287056542081728</v>
      </c>
      <c r="S141" t="inlineStr">
        <is>
          <t>Lo obligado está por debajo de lo programado en la vigencia</t>
        </is>
      </c>
      <c r="T141" s="101">
        <v>82000000</v>
      </c>
      <c r="U141" s="101">
        <v>82000000</v>
      </c>
      <c r="V141" s="101">
        <v>82000000</v>
      </c>
      <c r="W141" s="102">
        <v>0.26537216828479</v>
      </c>
      <c r="X141" t="inlineStr">
        <is>
          <t>Lo obligado está por debajo de lo programado en la vigencia</t>
        </is>
      </c>
    </row>
    <row r="142">
      <c r="A142" t="inlineStr">
        <is>
          <t>IP-193</t>
        </is>
      </c>
      <c r="B142" t="inlineStr">
        <is>
          <t>43</t>
        </is>
      </c>
      <c r="C142" t="inlineStr">
        <is>
          <t>Deporte y Recreación</t>
        </is>
      </c>
      <c r="D142" t="inlineStr">
        <is>
          <t>4302</t>
        </is>
      </c>
      <c r="E142" t="inlineStr">
        <is>
          <t>Formación y preparación de deportistas</t>
        </is>
      </c>
      <c r="F142" t="inlineStr">
        <is>
          <t>4302002</t>
        </is>
      </c>
      <c r="G142" t="inlineStr">
        <is>
          <t>Servicio de apoyo financiero a atletas</t>
        </is>
      </c>
      <c r="H142" t="inlineStr">
        <is>
          <t>Corresponde a los estímulos económicos entregados a los deportistas para que éstos tengan una buena preparación y oportunidades para competir.</t>
        </is>
      </c>
      <c r="I142" t="inlineStr">
        <is>
          <t>2024252140088</t>
        </is>
      </c>
      <c r="J142" s="99">
        <v>6862288044</v>
      </c>
      <c r="K142" s="99">
        <v>1278738044</v>
      </c>
      <c r="L142" s="99">
        <v>1645000000</v>
      </c>
      <c r="M142" s="99">
        <v>1875500000</v>
      </c>
      <c r="N142" s="99">
        <v>2063050000</v>
      </c>
      <c r="O142" s="99">
        <v>1252589734</v>
      </c>
      <c r="P142" s="99">
        <v>1252589734</v>
      </c>
      <c r="Q142" s="99">
        <v>1242873734</v>
      </c>
      <c r="R142" s="100">
        <v>0.979551472545381</v>
      </c>
      <c r="S142" t="inlineStr">
        <is>
          <t>Lo obligado está por debajo de lo programado en la vigencia</t>
        </is>
      </c>
      <c r="T142" s="101">
        <v>799699999</v>
      </c>
      <c r="U142" s="101">
        <v>799699999</v>
      </c>
      <c r="V142" s="101">
        <v>799699999</v>
      </c>
      <c r="W142" s="102">
        <v>0.486139817021277</v>
      </c>
      <c r="X142" t="inlineStr">
        <is>
          <t>Lo obligado está por debajo de lo programado en la vigencia</t>
        </is>
      </c>
    </row>
    <row r="143">
      <c r="A143" t="inlineStr">
        <is>
          <t>IP-194, IP-197</t>
        </is>
      </c>
      <c r="B143" t="inlineStr">
        <is>
          <t>43</t>
        </is>
      </c>
      <c r="C143" t="inlineStr">
        <is>
          <t>Deporte y Recreación</t>
        </is>
      </c>
      <c r="D143" t="inlineStr">
        <is>
          <t>4302</t>
        </is>
      </c>
      <c r="E143" t="inlineStr">
        <is>
          <t>Formación y preparación de deportistas</t>
        </is>
      </c>
      <c r="F143" t="inlineStr">
        <is>
          <t>4302046</t>
        </is>
      </c>
      <c r="G143" t="inlineStr">
        <is>
          <t>Unideportivo adecuado</t>
        </is>
      </c>
      <c r="H143" t="inlineStr">
        <is>
          <t>Obras necesarias para adaptar un inmueble o sus espacios o instalaciones a un nuevo uso, garantizando la preservación de sus características. Permiten modernizar las instalaciones, y optimizar y mejorar el uso de los espacios. Enfocadas principalmente en lo correspondiente.</t>
        </is>
      </c>
      <c r="I143" t="inlineStr">
        <is>
          <t>2024252140088</t>
        </is>
      </c>
      <c r="J143" s="99">
        <v>225840000</v>
      </c>
      <c r="K143" s="99">
        <v>18200000</v>
      </c>
      <c r="L143" s="99">
        <v>64000000</v>
      </c>
      <c r="M143" s="99">
        <v>68400000</v>
      </c>
      <c r="N143" s="99">
        <v>75240000</v>
      </c>
      <c r="O143" s="99">
        <v>15500000</v>
      </c>
      <c r="P143" s="99">
        <v>15500000</v>
      </c>
      <c r="Q143" s="99">
        <v>15500000</v>
      </c>
      <c r="R143" s="100">
        <v>0.851648351648352</v>
      </c>
      <c r="S143" t="inlineStr">
        <is>
          <t>Lo obligado está por debajo de lo programado en la vigencia</t>
        </is>
      </c>
      <c r="T143" s="101">
        <v>39800000</v>
      </c>
      <c r="U143" s="101">
        <v>39800000</v>
      </c>
      <c r="V143" s="101">
        <v>39800000</v>
      </c>
      <c r="W143" s="102">
        <v>0.621875</v>
      </c>
      <c r="X143" t="inlineStr">
        <is>
          <t>Lo obligado está por debajo de lo programado en la vigencia</t>
        </is>
      </c>
    </row>
    <row r="144">
      <c r="A144" t="inlineStr">
        <is>
          <t>IP-195</t>
        </is>
      </c>
      <c r="B144" t="inlineStr">
        <is>
          <t>43</t>
        </is>
      </c>
      <c r="C144" t="inlineStr">
        <is>
          <t>Deporte y Recreación</t>
        </is>
      </c>
      <c r="D144" t="inlineStr">
        <is>
          <t>4302</t>
        </is>
      </c>
      <c r="E144" t="inlineStr">
        <is>
          <t>Formación y preparación de deportistas</t>
        </is>
      </c>
      <c r="F144" t="inlineStr">
        <is>
          <t>4302040</t>
        </is>
      </c>
      <c r="G144" t="inlineStr">
        <is>
          <t>Centros de recreación construidos y dotados</t>
        </is>
      </c>
      <c r="H144" t="inlineStr">
        <is>
          <t>Infraestructura construida y dotada con los instrumentos necesarios para la óptima realización del deporte.</t>
        </is>
      </c>
      <c r="I144" t="inlineStr">
        <is>
          <t>2024252140088</t>
        </is>
      </c>
      <c r="J144" s="99">
        <v>164000000</v>
      </c>
      <c r="K144" s="99">
        <v>0</v>
      </c>
      <c r="L144" s="99">
        <v>4000000</v>
      </c>
      <c r="M144" s="99">
        <v>80000000</v>
      </c>
      <c r="N144" s="99">
        <v>80000000</v>
      </c>
      <c r="O144" s="99" t="inlineStr">
        <is>
          <t xml:space="preserve"> </t>
        </is>
      </c>
      <c r="P144" s="99" t="inlineStr">
        <is>
          <t xml:space="preserve"> </t>
        </is>
      </c>
      <c r="Q144" s="99" t="inlineStr">
        <is>
          <t xml:space="preserve"> </t>
        </is>
      </c>
      <c r="R144" s="100" t="inlineStr">
        <is>
          <t xml:space="preserve"> </t>
        </is>
      </c>
      <c r="S144" t="inlineStr">
        <is>
          <t>No se encontró ejecución en CUIPO</t>
        </is>
      </c>
      <c r="T144" s="101" t="inlineStr">
        <is>
          <t xml:space="preserve"> </t>
        </is>
      </c>
      <c r="U144" s="101" t="inlineStr">
        <is>
          <t xml:space="preserve"> </t>
        </is>
      </c>
      <c r="V144" s="101" t="inlineStr">
        <is>
          <t xml:space="preserve"> </t>
        </is>
      </c>
      <c r="W144" s="102" t="inlineStr">
        <is>
          <t xml:space="preserve"> </t>
        </is>
      </c>
      <c r="X144" t="inlineStr">
        <is>
          <t>No se encontró ejecución en CUIPO</t>
        </is>
      </c>
    </row>
    <row r="145">
      <c r="A145" t="inlineStr">
        <is>
          <t>IP-196, IP-199</t>
        </is>
      </c>
      <c r="B145" t="inlineStr">
        <is>
          <t>43</t>
        </is>
      </c>
      <c r="C145" t="inlineStr">
        <is>
          <t>Deporte y Recreación</t>
        </is>
      </c>
      <c r="D145" t="inlineStr">
        <is>
          <t>4302</t>
        </is>
      </c>
      <c r="E145" t="inlineStr">
        <is>
          <t>Formación y preparación de deportistas</t>
        </is>
      </c>
      <c r="F145" t="inlineStr">
        <is>
          <t>4302010</t>
        </is>
      </c>
      <c r="G145" t="inlineStr">
        <is>
          <t>Estadios construidos</t>
        </is>
      </c>
      <c r="H145" t="inlineStr">
        <is>
          <t>Construcción de escenarios con graderías, destinados a la realización de competiciones o espectáculos de carácter deportivo, cultural, artístico o actos cívicos al aire libre Todo estadio contará con servicios complementarios. La capacidad de un estadio no podrá ser inferior a 3.000 espectadores acomodados en tribunas de carácter permanente.</t>
        </is>
      </c>
      <c r="I145" t="inlineStr">
        <is>
          <t>2024252140088</t>
        </is>
      </c>
      <c r="J145" s="99">
        <v>8506000000</v>
      </c>
      <c r="K145" s="99">
        <v>0</v>
      </c>
      <c r="L145" s="99">
        <v>6000000</v>
      </c>
      <c r="M145" s="99">
        <v>8500000000</v>
      </c>
      <c r="N145" s="99">
        <v>0</v>
      </c>
      <c r="O145" s="99" t="inlineStr">
        <is>
          <t xml:space="preserve"> </t>
        </is>
      </c>
      <c r="P145" s="99" t="inlineStr">
        <is>
          <t xml:space="preserve"> </t>
        </is>
      </c>
      <c r="Q145" s="99" t="inlineStr">
        <is>
          <t xml:space="preserve"> </t>
        </is>
      </c>
      <c r="R145" s="100" t="inlineStr">
        <is>
          <t xml:space="preserve"> </t>
        </is>
      </c>
      <c r="S145" t="inlineStr">
        <is>
          <t>No se encontró ejecución en CUIPO</t>
        </is>
      </c>
      <c r="T145" s="101" t="inlineStr">
        <is>
          <t xml:space="preserve"> </t>
        </is>
      </c>
      <c r="U145" s="101" t="inlineStr">
        <is>
          <t xml:space="preserve"> </t>
        </is>
      </c>
      <c r="V145" s="101" t="inlineStr">
        <is>
          <t xml:space="preserve"> </t>
        </is>
      </c>
      <c r="W145" s="102" t="inlineStr">
        <is>
          <t xml:space="preserve"> </t>
        </is>
      </c>
      <c r="X145" t="inlineStr">
        <is>
          <t>No se encontró ejecución en CUIPO</t>
        </is>
      </c>
    </row>
    <row r="146">
      <c r="A146" t="inlineStr">
        <is>
          <t>IP-198</t>
        </is>
      </c>
      <c r="B146" t="inlineStr">
        <is>
          <t>43</t>
        </is>
      </c>
      <c r="C146" t="inlineStr">
        <is>
          <t>Deporte y Recreación</t>
        </is>
      </c>
      <c r="D146" t="inlineStr">
        <is>
          <t>4302</t>
        </is>
      </c>
      <c r="E146" t="inlineStr">
        <is>
          <t>Formación y preparación de deportistas</t>
        </is>
      </c>
      <c r="F146" t="inlineStr">
        <is>
          <t>4302004</t>
        </is>
      </c>
      <c r="G146" t="inlineStr">
        <is>
          <t>Servicio de organización de eventos deportivos de alto rendimiento</t>
        </is>
      </c>
      <c r="H146" t="inlineStr">
        <is>
          <t>Corresponde a la planeación, organización y realización de eventos deportivos con sede en Colombia</t>
        </is>
      </c>
      <c r="I146" t="inlineStr">
        <is>
          <t>2024252140088</t>
        </is>
      </c>
      <c r="J146" s="99">
        <v>1356864006.27</v>
      </c>
      <c r="K146" s="99">
        <v>240464006.27</v>
      </c>
      <c r="L146" s="99">
        <v>100000000</v>
      </c>
      <c r="M146" s="99">
        <v>484000000</v>
      </c>
      <c r="N146" s="99">
        <v>532400000</v>
      </c>
      <c r="O146" s="99">
        <v>80003400</v>
      </c>
      <c r="P146" s="99">
        <v>80003400</v>
      </c>
      <c r="Q146" s="99">
        <v>80003400</v>
      </c>
      <c r="R146" s="100">
        <v>0.332704263066173</v>
      </c>
      <c r="S146" t="inlineStr">
        <is>
          <t>Lo obligado está por debajo de lo programado en la vigencia</t>
        </is>
      </c>
      <c r="T146" s="101">
        <v>92831974</v>
      </c>
      <c r="U146" s="101">
        <v>92831974</v>
      </c>
      <c r="V146" s="101">
        <v>92831974</v>
      </c>
      <c r="W146" s="102">
        <v>0.92831974</v>
      </c>
      <c r="X146" t="inlineStr">
        <is>
          <t>Lo obligado está por debajo de lo programado en la vigencia</t>
        </is>
      </c>
    </row>
    <row r="147">
      <c r="A147" t="inlineStr">
        <is>
          <t>IP-200</t>
        </is>
      </c>
      <c r="B147" t="inlineStr">
        <is>
          <t>43</t>
        </is>
      </c>
      <c r="C147" t="inlineStr">
        <is>
          <t>Deporte y Recreación</t>
        </is>
      </c>
      <c r="D147" t="inlineStr">
        <is>
          <t>4302</t>
        </is>
      </c>
      <c r="E147" t="inlineStr">
        <is>
          <t>Formación y preparación de deportistas</t>
        </is>
      </c>
      <c r="F147" t="inlineStr">
        <is>
          <t>4302024</t>
        </is>
      </c>
      <c r="G147" t="inlineStr">
        <is>
          <t>Coliseos cubiertos construidos</t>
        </is>
      </c>
      <c r="H147" t="inlineStr">
        <is>
          <t>Construcción de una instalación deportiva cerrada y cubierta donde se realizan actividades de carácter deportivo con capacidad superior a 500 personas acomodadas en graderías de carácter permanente Cuenta con cerramiento, zonas de parqueo, servicios de camerinos baterías sanitarias y servicios complementarios Estos escenarios se utilizan para realizar actividades recreativas  culturales o cívicas</t>
        </is>
      </c>
      <c r="I147" t="inlineStr">
        <is>
          <t/>
        </is>
      </c>
      <c r="J147" s="99">
        <v>11391312433</v>
      </c>
      <c r="K147" s="99">
        <v>0</v>
      </c>
      <c r="L147" s="99">
        <v>2590514375</v>
      </c>
      <c r="M147" s="99">
        <v>6313907214</v>
      </c>
      <c r="N147" s="99">
        <v>2486890844</v>
      </c>
      <c r="O147" s="99" t="inlineStr">
        <is>
          <t xml:space="preserve"> </t>
        </is>
      </c>
      <c r="P147" s="99" t="inlineStr">
        <is>
          <t xml:space="preserve"> </t>
        </is>
      </c>
      <c r="Q147" s="99" t="inlineStr">
        <is>
          <t xml:space="preserve"> </t>
        </is>
      </c>
      <c r="R147" s="100" t="inlineStr">
        <is>
          <t xml:space="preserve"> </t>
        </is>
      </c>
      <c r="S147" t="inlineStr">
        <is>
          <t>Por falta de código BPIN, no se encontró ejecución en CUIPO</t>
        </is>
      </c>
      <c r="T147" s="101" t="inlineStr">
        <is>
          <t xml:space="preserve"> </t>
        </is>
      </c>
      <c r="U147" s="101" t="inlineStr">
        <is>
          <t xml:space="preserve"> </t>
        </is>
      </c>
      <c r="V147" s="101" t="inlineStr">
        <is>
          <t xml:space="preserve"> </t>
        </is>
      </c>
      <c r="W147" s="102" t="inlineStr">
        <is>
          <t xml:space="preserve"> </t>
        </is>
      </c>
      <c r="X147" t="inlineStr">
        <is>
          <t>Por falta de código BPIN, no se encontró ejecución en CUIPO</t>
        </is>
      </c>
    </row>
    <row r="148">
      <c r="A148" t="inlineStr">
        <is>
          <t>IP-201</t>
        </is>
      </c>
      <c r="B148" t="inlineStr">
        <is>
          <t>43</t>
        </is>
      </c>
      <c r="C148" t="inlineStr">
        <is>
          <t>Deporte y Recreación</t>
        </is>
      </c>
      <c r="D148" t="inlineStr">
        <is>
          <t>4302</t>
        </is>
      </c>
      <c r="E148" t="inlineStr">
        <is>
          <t>Formación y preparación de deportistas</t>
        </is>
      </c>
      <c r="F148" t="inlineStr">
        <is>
          <t>4302069</t>
        </is>
      </c>
      <c r="G148" t="inlineStr">
        <is>
          <t>Polideportivos mejorados</t>
        </is>
      </c>
      <c r="H148" t="inlineStr">
        <is>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is>
      </c>
      <c r="I148" t="inlineStr">
        <is>
          <t>2024252140117</t>
        </is>
      </c>
      <c r="J148" s="99">
        <v>2219366666.6667</v>
      </c>
      <c r="K148" s="99">
        <v>119366666.6667</v>
      </c>
      <c r="L148" s="99">
        <v>1100000000</v>
      </c>
      <c r="M148" s="99">
        <v>500000000</v>
      </c>
      <c r="N148" s="99">
        <v>500000000</v>
      </c>
      <c r="O148" s="99">
        <v>118666666</v>
      </c>
      <c r="P148" s="99">
        <v>18666666</v>
      </c>
      <c r="Q148" s="99">
        <v>18666666</v>
      </c>
      <c r="R148" s="100">
        <v>0.156380893605095</v>
      </c>
      <c r="S148" t="inlineStr">
        <is>
          <t>Lo obligado está por debajo de lo programado en la vigencia</t>
        </is>
      </c>
      <c r="T148" s="101" t="inlineStr">
        <is>
          <t xml:space="preserve"> </t>
        </is>
      </c>
      <c r="U148" s="101" t="inlineStr">
        <is>
          <t xml:space="preserve"> </t>
        </is>
      </c>
      <c r="V148" s="101" t="inlineStr">
        <is>
          <t xml:space="preserve"> </t>
        </is>
      </c>
      <c r="W148" s="102" t="inlineStr">
        <is>
          <t xml:space="preserve"> </t>
        </is>
      </c>
      <c r="X148" t="inlineStr">
        <is>
          <t>No se encontró ejecución en CUIPO</t>
        </is>
      </c>
    </row>
    <row r="149">
      <c r="A149" t="inlineStr">
        <is>
          <t>IP-202</t>
        </is>
      </c>
      <c r="B149" t="inlineStr">
        <is>
          <t>41</t>
        </is>
      </c>
      <c r="C149" t="inlineStr">
        <is>
          <t xml:space="preserve">Inclusión social y reconciliación </t>
        </is>
      </c>
      <c r="D149" t="inlineStr">
        <is>
          <t>4102</t>
        </is>
      </c>
      <c r="E149" t="inlineStr">
        <is>
          <t>Desarrollo integral de la primera infancia a la juventud, y fortalecimiento de las capacidades de las familias de niñas, niños y adolescentes</t>
        </is>
      </c>
      <c r="F149" t="inlineStr">
        <is>
          <t>4102004</t>
        </is>
      </c>
      <c r="G149" t="inlineStr">
        <is>
          <t>Edificaciones para la atención integral a la primera infancia construidas</t>
        </is>
      </c>
      <c r="H149" t="inlineStr">
        <is>
          <t xml:space="preserve">Construcción de infraestructuras dirigidas  específicamente  a prestar Servicio de atención integral a los niños y niñas en primera infancia.  </t>
        </is>
      </c>
      <c r="I149" t="inlineStr">
        <is>
          <t>2024252140118</t>
        </is>
      </c>
      <c r="J149" s="99">
        <v>14147382500</v>
      </c>
      <c r="K149" s="99">
        <v>0</v>
      </c>
      <c r="L149" s="99">
        <v>1178113500</v>
      </c>
      <c r="M149" s="99">
        <v>9069269000</v>
      </c>
      <c r="N149" s="99">
        <v>3900000000</v>
      </c>
      <c r="O149" s="99" t="inlineStr">
        <is>
          <t xml:space="preserve"> </t>
        </is>
      </c>
      <c r="P149" s="99" t="inlineStr">
        <is>
          <t xml:space="preserve"> </t>
        </is>
      </c>
      <c r="Q149" s="99" t="inlineStr">
        <is>
          <t xml:space="preserve"> </t>
        </is>
      </c>
      <c r="R149" s="100" t="inlineStr">
        <is>
          <t xml:space="preserve"> </t>
        </is>
      </c>
      <c r="S149" t="inlineStr">
        <is>
          <t>No se encontró ejecución en CUIPO</t>
        </is>
      </c>
      <c r="T149" s="101" t="inlineStr">
        <is>
          <t xml:space="preserve"> </t>
        </is>
      </c>
      <c r="U149" s="101" t="inlineStr">
        <is>
          <t xml:space="preserve"> </t>
        </is>
      </c>
      <c r="V149" s="101" t="inlineStr">
        <is>
          <t xml:space="preserve"> </t>
        </is>
      </c>
      <c r="W149" s="102" t="inlineStr">
        <is>
          <t xml:space="preserve"> </t>
        </is>
      </c>
      <c r="X149" t="inlineStr">
        <is>
          <t>No se encontró ejecución en CUIPO</t>
        </is>
      </c>
    </row>
    <row r="150">
      <c r="A150" t="inlineStr">
        <is>
          <t>IP-203</t>
        </is>
      </c>
      <c r="B150" t="inlineStr">
        <is>
          <t>41</t>
        </is>
      </c>
      <c r="C150" t="inlineStr">
        <is>
          <t xml:space="preserve">Inclusión social y reconciliación </t>
        </is>
      </c>
      <c r="D150" t="inlineStr">
        <is>
          <t>4102</t>
        </is>
      </c>
      <c r="E150" t="inlineStr">
        <is>
          <t>Desarrollo integral de la primera infancia a la juventud, y fortalecimiento de las capacidades de las familias de niñas, niños y adolescentes</t>
        </is>
      </c>
      <c r="F150" t="inlineStr">
        <is>
          <t>4102005</t>
        </is>
      </c>
      <c r="G150" t="inlineStr">
        <is>
          <t>Edificaciones de atención a la primera infancia adecuadas</t>
        </is>
      </c>
      <c r="H150" t="inlineStr">
        <is>
          <t xml:space="preserve">Adecuación de infraestructuras dirigidas  específicamente  a prestar Servicio de atención integral a la primera infancia.  </t>
        </is>
      </c>
      <c r="I150" t="inlineStr">
        <is>
          <t>2024252140118</t>
        </is>
      </c>
      <c r="J150" s="99">
        <v>1667982000</v>
      </c>
      <c r="K150" s="99">
        <v>467982000</v>
      </c>
      <c r="L150" s="99">
        <v>0</v>
      </c>
      <c r="M150" s="99">
        <v>600000000</v>
      </c>
      <c r="N150" s="99">
        <v>600000000</v>
      </c>
      <c r="O150" s="99">
        <v>80000000</v>
      </c>
      <c r="P150" s="99">
        <v>14055323</v>
      </c>
      <c r="Q150" s="99">
        <v>14055323</v>
      </c>
      <c r="R150" s="100">
        <v>0.0300338966028608</v>
      </c>
      <c r="S150" t="inlineStr">
        <is>
          <t>Lo obligado está por debajo de lo programado en la vigencia</t>
        </is>
      </c>
      <c r="T150" s="101" t="inlineStr">
        <is>
          <t xml:space="preserve"> </t>
        </is>
      </c>
      <c r="U150" s="101" t="inlineStr">
        <is>
          <t xml:space="preserve"> </t>
        </is>
      </c>
      <c r="V150" s="101" t="inlineStr">
        <is>
          <t xml:space="preserve"> </t>
        </is>
      </c>
      <c r="W150" s="102" t="inlineStr">
        <is>
          <t xml:space="preserve"> </t>
        </is>
      </c>
      <c r="X150" t="inlineStr">
        <is>
          <t>No se encontró ejecución en CUIPO</t>
        </is>
      </c>
    </row>
    <row r="151">
      <c r="A151" t="inlineStr">
        <is>
          <t>IP-204, IP-206, IP-207, IP-208</t>
        </is>
      </c>
      <c r="B151" t="inlineStr">
        <is>
          <t>41</t>
        </is>
      </c>
      <c r="C151" t="inlineStr">
        <is>
          <t xml:space="preserve">Inclusión social y reconciliación </t>
        </is>
      </c>
      <c r="D151" t="inlineStr">
        <is>
          <t>4102</t>
        </is>
      </c>
      <c r="E151" t="inlineStr">
        <is>
          <t>Desarrollo integral de la primera infancia a la juventud, y fortalecimiento de las capacidades de las familias de niñas, niños y adolescentes</t>
        </is>
      </c>
      <c r="F151" t="inlineStr">
        <is>
          <t>4102001</t>
        </is>
      </c>
      <c r="G151" t="inlineStr">
        <is>
          <t>Servicio de atención integral a la primera infancia</t>
        </is>
      </c>
      <c r="H151" t="inlineStr">
        <is>
          <t xml:space="preserve">
Servicio dispuestos para atender a los niños y niñas en primera infancia, con el fin de promover su desarrollo integral a través de la atención en educación inicial, cuidado calificado, salud, nutrición, protección y acompañamiento familiar.
</t>
        </is>
      </c>
      <c r="I151" t="inlineStr">
        <is>
          <t>2024252140075</t>
        </is>
      </c>
      <c r="J151" s="99">
        <v>29206936938.3225</v>
      </c>
      <c r="K151" s="99">
        <v>2524368495.87</v>
      </c>
      <c r="L151" s="99">
        <v>5802061632.07</v>
      </c>
      <c r="M151" s="99">
        <v>9859466302.0672</v>
      </c>
      <c r="N151" s="99">
        <v>11021040508.3153</v>
      </c>
      <c r="O151" s="99">
        <v>934390114</v>
      </c>
      <c r="P151" s="99">
        <v>694381619</v>
      </c>
      <c r="Q151" s="99">
        <v>694381619</v>
      </c>
      <c r="R151" s="100">
        <v>0.275071416925082</v>
      </c>
      <c r="S151" t="inlineStr">
        <is>
          <t>Lo obligado está por debajo de lo programado en la vigencia</t>
        </is>
      </c>
      <c r="T151" s="101">
        <v>5548656454</v>
      </c>
      <c r="U151" s="101">
        <v>2543506022</v>
      </c>
      <c r="V151" s="101">
        <v>2543506022</v>
      </c>
      <c r="W151" s="102">
        <v>0.438379697302966</v>
      </c>
      <c r="X151" t="inlineStr">
        <is>
          <t>Lo obligado está por debajo de lo programado en la vigencia</t>
        </is>
      </c>
    </row>
    <row r="152">
      <c r="A152" t="inlineStr">
        <is>
          <t>IP-205</t>
        </is>
      </c>
      <c r="B152" t="inlineStr">
        <is>
          <t>41</t>
        </is>
      </c>
      <c r="C152" t="inlineStr">
        <is>
          <t xml:space="preserve">Inclusión social y reconciliación </t>
        </is>
      </c>
      <c r="D152" t="inlineStr">
        <is>
          <t>4102</t>
        </is>
      </c>
      <c r="E152" t="inlineStr">
        <is>
          <t>Desarrollo integral de la primera infancia a la juventud, y fortalecimiento de las capacidades de las familias de niñas, niños y adolescentes</t>
        </is>
      </c>
      <c r="F152" t="inlineStr">
        <is>
          <t>4102006</t>
        </is>
      </c>
      <c r="G152" t="inlineStr">
        <is>
          <t>Edificaciones de atención a la primera infancia dotadas</t>
        </is>
      </c>
      <c r="H152" t="inlineStr">
        <is>
          <t xml:space="preserve">Dotación de infraestructuras dirigidas  específicamente  a prestar Servicio de atención integral a la primera infancia.  </t>
        </is>
      </c>
      <c r="I152" t="inlineStr">
        <is>
          <t>2024252140075</t>
        </is>
      </c>
      <c r="J152" s="99">
        <v>1720910000</v>
      </c>
      <c r="K152" s="99">
        <v>200910000</v>
      </c>
      <c r="L152" s="99">
        <v>250000000</v>
      </c>
      <c r="M152" s="99">
        <v>700000000</v>
      </c>
      <c r="N152" s="99">
        <v>570000000</v>
      </c>
      <c r="O152" s="99" t="inlineStr">
        <is>
          <t xml:space="preserve"> </t>
        </is>
      </c>
      <c r="P152" s="99" t="inlineStr">
        <is>
          <t xml:space="preserve"> </t>
        </is>
      </c>
      <c r="Q152" s="99" t="inlineStr">
        <is>
          <t xml:space="preserve"> </t>
        </is>
      </c>
      <c r="R152" s="100" t="inlineStr">
        <is>
          <t xml:space="preserve"> </t>
        </is>
      </c>
      <c r="S152" t="inlineStr">
        <is>
          <t>No se encontró ejecución en CUIPO</t>
        </is>
      </c>
      <c r="T152" s="101" t="inlineStr">
        <is>
          <t xml:space="preserve"> </t>
        </is>
      </c>
      <c r="U152" s="101" t="inlineStr">
        <is>
          <t xml:space="preserve"> </t>
        </is>
      </c>
      <c r="V152" s="101" t="inlineStr">
        <is>
          <t xml:space="preserve"> </t>
        </is>
      </c>
      <c r="W152" s="102" t="inlineStr">
        <is>
          <t xml:space="preserve"> </t>
        </is>
      </c>
      <c r="X152" t="inlineStr">
        <is>
          <t>No se encontró ejecución en CUIPO</t>
        </is>
      </c>
    </row>
    <row r="153">
      <c r="A153" t="inlineStr">
        <is>
          <t>IP-209</t>
        </is>
      </c>
      <c r="B153" t="inlineStr">
        <is>
          <t>41</t>
        </is>
      </c>
      <c r="C153" t="inlineStr">
        <is>
          <t xml:space="preserve">Inclusión social y reconciliación </t>
        </is>
      </c>
      <c r="D153" t="inlineStr">
        <is>
          <t>4104</t>
        </is>
      </c>
      <c r="E153" t="inlineStr">
        <is>
          <t>Atención integral de población en situación permanente de desprotección social y/o familiar</t>
        </is>
      </c>
      <c r="F153" t="inlineStr">
        <is>
          <t>4104001</t>
        </is>
      </c>
      <c r="G153" t="inlineStr">
        <is>
          <t>Centros de protección social para el adulto mayor construidos y dotados</t>
        </is>
      </c>
      <c r="H153" t="inlineStr">
        <is>
          <t>Corresponde a la construcción y dotación de infraestructura destinada al ofrecimiento de servicios de hospedaje, bienestar social y cuidado integral de manera permanente o temporal a los adultos mayores en condicionesde descuido, abandono o víctimas de violencia intrafamiliar.</t>
        </is>
      </c>
      <c r="I153" t="inlineStr">
        <is>
          <t>2024252140120</t>
        </is>
      </c>
      <c r="J153" s="99">
        <v>24609330844.6</v>
      </c>
      <c r="K153" s="99">
        <v>709168494.6</v>
      </c>
      <c r="L153" s="99">
        <v>2400162350</v>
      </c>
      <c r="M153" s="99">
        <v>1030000000</v>
      </c>
      <c r="N153" s="99">
        <v>20470000000</v>
      </c>
      <c r="O153" s="99" t="inlineStr">
        <is>
          <t xml:space="preserve"> </t>
        </is>
      </c>
      <c r="P153" s="99" t="inlineStr">
        <is>
          <t xml:space="preserve"> </t>
        </is>
      </c>
      <c r="Q153" s="99" t="inlineStr">
        <is>
          <t xml:space="preserve"> </t>
        </is>
      </c>
      <c r="R153" s="100" t="inlineStr">
        <is>
          <t xml:space="preserve"> </t>
        </is>
      </c>
      <c r="S153" t="inlineStr">
        <is>
          <t>No se encontró ejecución en CUIPO</t>
        </is>
      </c>
      <c r="T153" s="101" t="inlineStr">
        <is>
          <t xml:space="preserve"> </t>
        </is>
      </c>
      <c r="U153" s="101" t="inlineStr">
        <is>
          <t xml:space="preserve"> </t>
        </is>
      </c>
      <c r="V153" s="101" t="inlineStr">
        <is>
          <t xml:space="preserve"> </t>
        </is>
      </c>
      <c r="W153" s="102" t="inlineStr">
        <is>
          <t xml:space="preserve"> </t>
        </is>
      </c>
      <c r="X153" t="inlineStr">
        <is>
          <t>No se encontró ejecución en CUIPO</t>
        </is>
      </c>
    </row>
    <row r="154">
      <c r="A154" t="inlineStr">
        <is>
          <t>IP-210, IP-211</t>
        </is>
      </c>
      <c r="B154" t="inlineStr">
        <is>
          <t>41</t>
        </is>
      </c>
      <c r="C154" t="inlineStr">
        <is>
          <t xml:space="preserve">Inclusión social y reconciliación </t>
        </is>
      </c>
      <c r="D154" t="inlineStr">
        <is>
          <t>4104</t>
        </is>
      </c>
      <c r="E154" t="inlineStr">
        <is>
          <t>Atención integral de población en situación permanente de desprotección social y/o familiar</t>
        </is>
      </c>
      <c r="F154" t="inlineStr">
        <is>
          <t>4104009</t>
        </is>
      </c>
      <c r="G154" t="inlineStr">
        <is>
          <t>Centros de protección social de día para el adulto mayor adecuados</t>
        </is>
      </c>
      <c r="H154" t="inlineStr">
        <is>
          <t>Corresponde a la adecuación de infraestructura destinada a brindar servicios diurnos para el cuidado, bienestar integral y asistencia social de los adultos mayores en condicionesde descuido, abandono o víctimas de violencia intrafamiliar.</t>
        </is>
      </c>
      <c r="I154" t="inlineStr">
        <is>
          <t>2024252140076</t>
        </is>
      </c>
      <c r="J154" s="99">
        <v>10336444164.2</v>
      </c>
      <c r="K154" s="99">
        <v>762332215</v>
      </c>
      <c r="L154" s="99">
        <v>2424851699.2</v>
      </c>
      <c r="M154" s="99">
        <v>3388275000</v>
      </c>
      <c r="N154" s="99">
        <v>3760985250</v>
      </c>
      <c r="O154" s="99" t="inlineStr">
        <is>
          <t xml:space="preserve"> </t>
        </is>
      </c>
      <c r="P154" s="99" t="inlineStr">
        <is>
          <t xml:space="preserve"> </t>
        </is>
      </c>
      <c r="Q154" s="99" t="inlineStr">
        <is>
          <t xml:space="preserve"> </t>
        </is>
      </c>
      <c r="R154" s="100" t="inlineStr">
        <is>
          <t xml:space="preserve"> </t>
        </is>
      </c>
      <c r="S154" t="inlineStr">
        <is>
          <t>No se encontró ejecución en CUIPO</t>
        </is>
      </c>
      <c r="T154" s="101" t="inlineStr">
        <is>
          <t xml:space="preserve"> </t>
        </is>
      </c>
      <c r="U154" s="101" t="inlineStr">
        <is>
          <t xml:space="preserve"> </t>
        </is>
      </c>
      <c r="V154" s="101" t="inlineStr">
        <is>
          <t xml:space="preserve"> </t>
        </is>
      </c>
      <c r="W154" s="102" t="inlineStr">
        <is>
          <t xml:space="preserve"> </t>
        </is>
      </c>
      <c r="X154" t="inlineStr">
        <is>
          <t>No se encontró ejecución en CUIPO</t>
        </is>
      </c>
    </row>
    <row r="155">
      <c r="A155" t="inlineStr">
        <is>
          <t>IP-212</t>
        </is>
      </c>
      <c r="B155" t="inlineStr">
        <is>
          <t>41</t>
        </is>
      </c>
      <c r="C155" t="inlineStr">
        <is>
          <t xml:space="preserve">Inclusión social y reconciliación </t>
        </is>
      </c>
      <c r="D155" t="inlineStr">
        <is>
          <t>4104</t>
        </is>
      </c>
      <c r="E155" t="inlineStr">
        <is>
          <t>Atención integral de población en situación permanente de desprotección social y/o familiar</t>
        </is>
      </c>
      <c r="F155" t="inlineStr">
        <is>
          <t>4104007</t>
        </is>
      </c>
      <c r="G155" t="inlineStr">
        <is>
          <t>Centros de protección social para el adulto mayor dotados</t>
        </is>
      </c>
      <c r="H155" t="inlineStr">
        <is>
          <t>Corresponde a la dotación destinada al ofrecimiento de servicios de hospedaje, bienestar social y cuidado integral de manera permanente o temporal a los adultos mayores en condicionesde descuido, abandono o víctimas de violencia intrafamiliar.</t>
        </is>
      </c>
      <c r="I155" t="inlineStr">
        <is>
          <t>2024252140076</t>
        </is>
      </c>
      <c r="J155" s="99">
        <v>2270000000</v>
      </c>
      <c r="K155" s="99">
        <v>200000000</v>
      </c>
      <c r="L155" s="99">
        <v>570000000</v>
      </c>
      <c r="M155" s="99">
        <v>600000000</v>
      </c>
      <c r="N155" s="99">
        <v>900000000</v>
      </c>
      <c r="O155" s="99">
        <v>0</v>
      </c>
      <c r="P155" s="99">
        <v>0</v>
      </c>
      <c r="Q155" s="99">
        <v>0</v>
      </c>
      <c r="R155" s="100">
        <v>0</v>
      </c>
      <c r="S155" t="inlineStr">
        <is>
          <t>No se ejecutó en la vigencia</t>
        </is>
      </c>
      <c r="T155" s="101" t="inlineStr">
        <is>
          <t xml:space="preserve"> </t>
        </is>
      </c>
      <c r="U155" s="101" t="inlineStr">
        <is>
          <t xml:space="preserve"> </t>
        </is>
      </c>
      <c r="V155" s="101" t="inlineStr">
        <is>
          <t xml:space="preserve"> </t>
        </is>
      </c>
      <c r="W155" s="102" t="inlineStr">
        <is>
          <t xml:space="preserve"> </t>
        </is>
      </c>
      <c r="X155" t="inlineStr">
        <is>
          <t>No se encontró ejecución en CUIPO</t>
        </is>
      </c>
    </row>
    <row r="156">
      <c r="A156" t="inlineStr">
        <is>
          <t>IP-213, IP-214</t>
        </is>
      </c>
      <c r="B156" t="inlineStr">
        <is>
          <t>41</t>
        </is>
      </c>
      <c r="C156" t="inlineStr">
        <is>
          <t xml:space="preserve">Inclusión social y reconciliación </t>
        </is>
      </c>
      <c r="D156" t="inlineStr">
        <is>
          <t>4104</t>
        </is>
      </c>
      <c r="E156" t="inlineStr">
        <is>
          <t>Atención integral de población en situación permanente de desprotección social y/o familiar</t>
        </is>
      </c>
      <c r="F156" t="inlineStr">
        <is>
          <t>4104008</t>
        </is>
      </c>
      <c r="G156" t="inlineStr">
        <is>
          <t>Servicio de atención y protección integral al adulto mayor</t>
        </is>
      </c>
      <c r="H156" t="inlineStr">
        <is>
          <t>Servicios integrales que incluyen aspectos relacionados con protección a la salud y bienestar social, educación, cultura, recreación, entorno físico y social favorable, productividad para los adultos mayores.</t>
        </is>
      </c>
      <c r="I156" t="inlineStr">
        <is>
          <t>2024252140076</t>
        </is>
      </c>
      <c r="J156" s="99">
        <v>20993547047.29</v>
      </c>
      <c r="K156" s="99">
        <v>1280202462.98</v>
      </c>
      <c r="L156" s="99">
        <v>4764891334.31</v>
      </c>
      <c r="M156" s="99">
        <v>7084575000</v>
      </c>
      <c r="N156" s="99">
        <v>7863878250</v>
      </c>
      <c r="O156" s="99">
        <v>7000000</v>
      </c>
      <c r="P156" s="99">
        <v>7000000</v>
      </c>
      <c r="Q156" s="99">
        <v>7000000</v>
      </c>
      <c r="R156" s="100">
        <v>0.00546788512162811</v>
      </c>
      <c r="S156" t="inlineStr">
        <is>
          <t>Lo obligado está por debajo de lo programado en la vigencia</t>
        </is>
      </c>
      <c r="T156" s="101">
        <v>5735606228</v>
      </c>
      <c r="U156" s="101">
        <v>1590352899</v>
      </c>
      <c r="V156" s="101">
        <v>1590352899</v>
      </c>
      <c r="W156" s="102">
        <v>0.333764778127999</v>
      </c>
      <c r="X156" t="inlineStr">
        <is>
          <t>Lo obligado está por debajo de lo programado en la vigencia</t>
        </is>
      </c>
    </row>
    <row r="157">
      <c r="A157" t="inlineStr">
        <is>
          <t>IP-215</t>
        </is>
      </c>
      <c r="B157" t="inlineStr">
        <is>
          <t>41</t>
        </is>
      </c>
      <c r="C157" t="inlineStr">
        <is>
          <t xml:space="preserve">Inclusión social y reconciliación </t>
        </is>
      </c>
      <c r="D157" t="inlineStr">
        <is>
          <t>4104</t>
        </is>
      </c>
      <c r="E157" t="inlineStr">
        <is>
          <t>Atención integral de población en situación permanente de desprotección social y/o familiar</t>
        </is>
      </c>
      <c r="F157" t="inlineStr">
        <is>
          <t>4104002</t>
        </is>
      </c>
      <c r="G157" t="inlineStr">
        <is>
          <t>Centros de protección social para el adulto mayor adecuados</t>
        </is>
      </c>
      <c r="H157" t="inlineStr">
        <is>
          <t>Corresponde a la adecuación de infraestructura destinada al ofrecimiento de servicios de hospedaje, bienestar social y cuidado integral de manera permanente o temporal a los adultos mayores en condicionesde descuido, abandono o víctimas de violencia intrafamiliar.</t>
        </is>
      </c>
      <c r="I157" t="inlineStr">
        <is>
          <t>2024252140120</t>
        </is>
      </c>
      <c r="J157" s="99">
        <v>2131250000</v>
      </c>
      <c r="K157" s="99">
        <v>621250000</v>
      </c>
      <c r="L157" s="99">
        <v>10000000</v>
      </c>
      <c r="M157" s="99">
        <v>1000000000</v>
      </c>
      <c r="N157" s="99">
        <v>500000000</v>
      </c>
      <c r="O157" s="99">
        <v>91000000</v>
      </c>
      <c r="P157" s="99">
        <v>11000000</v>
      </c>
      <c r="Q157" s="99">
        <v>11000000</v>
      </c>
      <c r="R157" s="100">
        <v>0.0177062374245473</v>
      </c>
      <c r="S157" t="inlineStr">
        <is>
          <t>Lo obligado está por debajo de lo programado en la vigencia</t>
        </is>
      </c>
      <c r="T157" s="101" t="inlineStr">
        <is>
          <t xml:space="preserve"> </t>
        </is>
      </c>
      <c r="U157" s="101" t="inlineStr">
        <is>
          <t xml:space="preserve"> </t>
        </is>
      </c>
      <c r="V157" s="101" t="inlineStr">
        <is>
          <t xml:space="preserve"> </t>
        </is>
      </c>
      <c r="W157" s="102" t="inlineStr">
        <is>
          <t xml:space="preserve"> </t>
        </is>
      </c>
      <c r="X157" t="inlineStr">
        <is>
          <t>No se encontró ejecución en CUIPO</t>
        </is>
      </c>
    </row>
    <row r="158">
      <c r="A158" t="inlineStr">
        <is>
          <t>IP-216, IP-217, IP-220</t>
        </is>
      </c>
      <c r="B158" t="inlineStr">
        <is>
          <t>41</t>
        </is>
      </c>
      <c r="C158" t="inlineStr">
        <is>
          <t xml:space="preserve">Inclusión social y reconciliación </t>
        </is>
      </c>
      <c r="D158" t="inlineStr">
        <is>
          <t>4103</t>
        </is>
      </c>
      <c r="E158" t="inlineStr">
        <is>
          <t>Inclusión social y productiva para la población en situación de vulnerabilidad</t>
        </is>
      </c>
      <c r="F158" t="inlineStr">
        <is>
          <t>4103050</t>
        </is>
      </c>
      <c r="G158" t="inlineStr">
        <is>
          <t>Servicio de acompañamiento familiar y comunitario para la superación de la pobreza</t>
        </is>
      </c>
      <c r="H158" t="inlineStr">
        <is>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is>
      </c>
      <c r="I158" t="inlineStr">
        <is>
          <t>2024252140077</t>
        </is>
      </c>
      <c r="J158" s="99">
        <v>3921196717.99</v>
      </c>
      <c r="K158" s="99">
        <v>439559767.99</v>
      </c>
      <c r="L158" s="99">
        <v>740000000</v>
      </c>
      <c r="M158" s="99">
        <v>1298165000</v>
      </c>
      <c r="N158" s="99">
        <v>1443471950</v>
      </c>
      <c r="O158" s="99">
        <v>297549995</v>
      </c>
      <c r="P158" s="99">
        <v>284349995</v>
      </c>
      <c r="Q158" s="99">
        <v>284349995</v>
      </c>
      <c r="R158" s="100">
        <v>0.6468972269693</v>
      </c>
      <c r="S158" t="inlineStr">
        <is>
          <t>Lo obligado está por debajo de lo programado en la vigencia</t>
        </is>
      </c>
      <c r="T158" s="101">
        <v>2746360573</v>
      </c>
      <c r="U158" s="101">
        <v>817237068</v>
      </c>
      <c r="V158" s="101">
        <v>817237068</v>
      </c>
      <c r="W158" s="102">
        <v>1.10437441621622</v>
      </c>
      <c r="X158" t="inlineStr">
        <is>
          <t>Hubo ejecución por encima de lo programado en SisPT</t>
        </is>
      </c>
    </row>
    <row r="159">
      <c r="A159" t="inlineStr">
        <is>
          <t>IP-218</t>
        </is>
      </c>
      <c r="B159" t="inlineStr">
        <is>
          <t>41</t>
        </is>
      </c>
      <c r="C159" t="inlineStr">
        <is>
          <t xml:space="preserve">Inclusión social y reconciliación </t>
        </is>
      </c>
      <c r="D159" t="inlineStr">
        <is>
          <t>4103</t>
        </is>
      </c>
      <c r="E159" t="inlineStr">
        <is>
          <t>Inclusión social y productiva para la población en situación de vulnerabilidad</t>
        </is>
      </c>
      <c r="F159" t="inlineStr">
        <is>
          <t>4103017</t>
        </is>
      </c>
      <c r="G159" t="inlineStr">
        <is>
          <t>Servicio de entrega de raciones de alimentos</t>
        </is>
      </c>
      <c r="H159" t="inlineStr">
        <is>
          <t>En el marco de seguridad alimentaria se suministran raciones de alimentos para comunidades vulnerables.</t>
        </is>
      </c>
      <c r="I159" t="inlineStr">
        <is>
          <t>2024252140077</t>
        </is>
      </c>
      <c r="J159" s="99">
        <v>8230498840</v>
      </c>
      <c r="K159" s="99">
        <v>13000000</v>
      </c>
      <c r="L159" s="99">
        <v>1978144440</v>
      </c>
      <c r="M159" s="99">
        <v>2957040000</v>
      </c>
      <c r="N159" s="99">
        <v>3282314400</v>
      </c>
      <c r="O159" s="99" t="inlineStr">
        <is>
          <t xml:space="preserve"> </t>
        </is>
      </c>
      <c r="P159" s="99" t="inlineStr">
        <is>
          <t xml:space="preserve"> </t>
        </is>
      </c>
      <c r="Q159" s="99" t="inlineStr">
        <is>
          <t xml:space="preserve"> </t>
        </is>
      </c>
      <c r="R159" s="100" t="inlineStr">
        <is>
          <t xml:space="preserve"> </t>
        </is>
      </c>
      <c r="S159" t="inlineStr">
        <is>
          <t>No se encontró ejecución en CUIPO</t>
        </is>
      </c>
      <c r="T159" s="101" t="inlineStr">
        <is>
          <t xml:space="preserve"> </t>
        </is>
      </c>
      <c r="U159" s="101" t="inlineStr">
        <is>
          <t xml:space="preserve"> </t>
        </is>
      </c>
      <c r="V159" s="101" t="inlineStr">
        <is>
          <t xml:space="preserve"> </t>
        </is>
      </c>
      <c r="W159" s="102" t="inlineStr">
        <is>
          <t xml:space="preserve"> </t>
        </is>
      </c>
      <c r="X159" t="inlineStr">
        <is>
          <t>No se encontró ejecución en CUIPO</t>
        </is>
      </c>
    </row>
    <row r="160">
      <c r="A160" t="inlineStr">
        <is>
          <t>IP-219</t>
        </is>
      </c>
      <c r="B160" t="inlineStr">
        <is>
          <t>41</t>
        </is>
      </c>
      <c r="C160" t="inlineStr">
        <is>
          <t xml:space="preserve">Inclusión social y reconciliación </t>
        </is>
      </c>
      <c r="D160" t="inlineStr">
        <is>
          <t>4103</t>
        </is>
      </c>
      <c r="E160" t="inlineStr">
        <is>
          <t>Inclusión social y productiva para la población en situación de vulnerabilidad</t>
        </is>
      </c>
      <c r="F160" t="inlineStr">
        <is>
          <t>4103067</t>
        </is>
      </c>
      <c r="G160" t="inlineStr">
        <is>
          <t>Documentos de planeación</t>
        </is>
      </c>
      <c r="H160"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60" t="inlineStr">
        <is>
          <t>2024252140077</t>
        </is>
      </c>
      <c r="J160" s="99">
        <v>649959650</v>
      </c>
      <c r="K160" s="99">
        <v>26000000</v>
      </c>
      <c r="L160" s="99">
        <v>234000000</v>
      </c>
      <c r="M160" s="99">
        <v>184815000</v>
      </c>
      <c r="N160" s="99">
        <v>205144650</v>
      </c>
      <c r="O160" s="99" t="inlineStr">
        <is>
          <t xml:space="preserve"> </t>
        </is>
      </c>
      <c r="P160" s="99" t="inlineStr">
        <is>
          <t xml:space="preserve"> </t>
        </is>
      </c>
      <c r="Q160" s="99" t="inlineStr">
        <is>
          <t xml:space="preserve"> </t>
        </is>
      </c>
      <c r="R160" s="100" t="inlineStr">
        <is>
          <t xml:space="preserve"> </t>
        </is>
      </c>
      <c r="S160" t="inlineStr">
        <is>
          <t>No se encontró ejecución en CUIPO</t>
        </is>
      </c>
      <c r="T160" s="101" t="inlineStr">
        <is>
          <t xml:space="preserve"> </t>
        </is>
      </c>
      <c r="U160" s="101" t="inlineStr">
        <is>
          <t xml:space="preserve"> </t>
        </is>
      </c>
      <c r="V160" s="101" t="inlineStr">
        <is>
          <t xml:space="preserve"> </t>
        </is>
      </c>
      <c r="W160" s="102" t="inlineStr">
        <is>
          <t xml:space="preserve"> </t>
        </is>
      </c>
      <c r="X160" t="inlineStr">
        <is>
          <t>No se encontró ejecución en CUIPO</t>
        </is>
      </c>
    </row>
    <row r="161">
      <c r="A161" t="inlineStr">
        <is>
          <t>IP-221</t>
        </is>
      </c>
      <c r="B161" t="inlineStr">
        <is>
          <t>41</t>
        </is>
      </c>
      <c r="C161" t="inlineStr">
        <is>
          <t xml:space="preserve">Inclusión social y reconciliación </t>
        </is>
      </c>
      <c r="D161" t="inlineStr">
        <is>
          <t>4103</t>
        </is>
      </c>
      <c r="E161" t="inlineStr">
        <is>
          <t>Inclusión social y productiva para la población en situación de vulnerabilidad</t>
        </is>
      </c>
      <c r="F161" t="inlineStr">
        <is>
          <t>4103067</t>
        </is>
      </c>
      <c r="G161" t="inlineStr">
        <is>
          <t>Documentos de planeación</t>
        </is>
      </c>
      <c r="H161"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61" t="inlineStr">
        <is>
          <t>2024252140151</t>
        </is>
      </c>
      <c r="J161" s="99">
        <v>175000000</v>
      </c>
      <c r="K161" s="99">
        <v>40000000</v>
      </c>
      <c r="L161" s="99">
        <v>60000000</v>
      </c>
      <c r="M161" s="99">
        <v>40000000</v>
      </c>
      <c r="N161" s="99">
        <v>35000000</v>
      </c>
      <c r="O161" s="99" t="inlineStr">
        <is>
          <t xml:space="preserve"> </t>
        </is>
      </c>
      <c r="P161" s="99" t="inlineStr">
        <is>
          <t xml:space="preserve"> </t>
        </is>
      </c>
      <c r="Q161" s="99" t="inlineStr">
        <is>
          <t xml:space="preserve"> </t>
        </is>
      </c>
      <c r="R161" s="100" t="inlineStr">
        <is>
          <t xml:space="preserve"> </t>
        </is>
      </c>
      <c r="S161" t="inlineStr">
        <is>
          <t>No se encontró ejecución en CUIPO</t>
        </is>
      </c>
      <c r="T161" s="101" t="inlineStr">
        <is>
          <t xml:space="preserve"> </t>
        </is>
      </c>
      <c r="U161" s="101" t="inlineStr">
        <is>
          <t xml:space="preserve"> </t>
        </is>
      </c>
      <c r="V161" s="101" t="inlineStr">
        <is>
          <t xml:space="preserve"> </t>
        </is>
      </c>
      <c r="W161" s="102" t="inlineStr">
        <is>
          <t xml:space="preserve"> </t>
        </is>
      </c>
      <c r="X161" t="inlineStr">
        <is>
          <t>No se encontró ejecución en CUIPO</t>
        </is>
      </c>
    </row>
    <row r="162">
      <c r="A162" t="inlineStr">
        <is>
          <t>IP-222, IP-224</t>
        </is>
      </c>
      <c r="B162" t="inlineStr">
        <is>
          <t>41</t>
        </is>
      </c>
      <c r="C162" t="inlineStr">
        <is>
          <t xml:space="preserve">Inclusión social y reconciliación </t>
        </is>
      </c>
      <c r="D162" t="inlineStr">
        <is>
          <t>4103</t>
        </is>
      </c>
      <c r="E162" t="inlineStr">
        <is>
          <t>Inclusión social y productiva para la población en situación de vulnerabilidad</t>
        </is>
      </c>
      <c r="F162" t="inlineStr">
        <is>
          <t>4103052</t>
        </is>
      </c>
      <c r="G162" t="inlineStr">
        <is>
          <t>Servicio de gestión de oferta social para la población vulnerable</t>
        </is>
      </c>
      <c r="H162" t="inlineStr">
        <is>
          <t>Incluye el desarrollo de acciones encaminadas a generar dinámicas de atención conjunta, articulada y eficiente entre las instituciones del estado hacia la población vulnerable.</t>
        </is>
      </c>
      <c r="I162" t="inlineStr">
        <is>
          <t>2024252140151</t>
        </is>
      </c>
      <c r="J162" s="99">
        <v>716000000</v>
      </c>
      <c r="K162" s="99">
        <v>116000000</v>
      </c>
      <c r="L162" s="99">
        <v>210000000</v>
      </c>
      <c r="M162" s="99">
        <v>210000000</v>
      </c>
      <c r="N162" s="99">
        <v>180000000</v>
      </c>
      <c r="O162" s="99">
        <v>84891521</v>
      </c>
      <c r="P162" s="99">
        <v>37763322</v>
      </c>
      <c r="Q162" s="99">
        <v>37763322</v>
      </c>
      <c r="R162" s="100">
        <v>0.325545879310345</v>
      </c>
      <c r="S162" t="inlineStr">
        <is>
          <t>Lo obligado está por debajo de lo programado en la vigencia</t>
        </is>
      </c>
      <c r="T162" s="101" t="inlineStr">
        <is>
          <t xml:space="preserve"> </t>
        </is>
      </c>
      <c r="U162" s="101" t="inlineStr">
        <is>
          <t xml:space="preserve"> </t>
        </is>
      </c>
      <c r="V162" s="101" t="inlineStr">
        <is>
          <t xml:space="preserve"> </t>
        </is>
      </c>
      <c r="W162" s="102" t="inlineStr">
        <is>
          <t xml:space="preserve"> </t>
        </is>
      </c>
      <c r="X162" t="inlineStr">
        <is>
          <t>No se encontró ejecución en CUIPO</t>
        </is>
      </c>
    </row>
    <row r="163">
      <c r="A163" t="inlineStr">
        <is>
          <t>IP-223</t>
        </is>
      </c>
      <c r="B163" t="inlineStr">
        <is>
          <t>41</t>
        </is>
      </c>
      <c r="C163" t="inlineStr">
        <is>
          <t xml:space="preserve">Inclusión social y reconciliación </t>
        </is>
      </c>
      <c r="D163" t="inlineStr">
        <is>
          <t>4103</t>
        </is>
      </c>
      <c r="E163" t="inlineStr">
        <is>
          <t>Inclusión social y productiva para la población en situación de vulnerabilidad</t>
        </is>
      </c>
      <c r="F163" t="inlineStr">
        <is>
          <t>4103059</t>
        </is>
      </c>
      <c r="G163" t="inlineStr">
        <is>
          <t>Servicio de asistencia técnica para fortalecimiento de unidades productivas colectivas para la generación de ingresos</t>
        </is>
      </c>
      <c r="H163" t="inlineStr">
        <is>
          <t>Corresponde a la formación y acompañamiento dirigidos a fortalecer las capacidades empresariales, organizacionales y productivas, tendientes al fortalecimiento de unidades productivas colectivas.</t>
        </is>
      </c>
      <c r="I163" t="inlineStr">
        <is>
          <t>2024252140151</t>
        </is>
      </c>
      <c r="J163" s="99">
        <v>172000000</v>
      </c>
      <c r="K163" s="99">
        <v>12000000</v>
      </c>
      <c r="L163" s="99">
        <v>40000000</v>
      </c>
      <c r="M163" s="99">
        <v>60000000</v>
      </c>
      <c r="N163" s="99">
        <v>60000000</v>
      </c>
      <c r="O163" s="99" t="inlineStr">
        <is>
          <t xml:space="preserve"> </t>
        </is>
      </c>
      <c r="P163" s="99" t="inlineStr">
        <is>
          <t xml:space="preserve"> </t>
        </is>
      </c>
      <c r="Q163" s="99" t="inlineStr">
        <is>
          <t xml:space="preserve"> </t>
        </is>
      </c>
      <c r="R163" s="100" t="inlineStr">
        <is>
          <t xml:space="preserve"> </t>
        </is>
      </c>
      <c r="S163" t="inlineStr">
        <is>
          <t>No se encontró ejecución en CUIPO</t>
        </is>
      </c>
      <c r="T163" s="101" t="inlineStr">
        <is>
          <t xml:space="preserve"> </t>
        </is>
      </c>
      <c r="U163" s="101" t="inlineStr">
        <is>
          <t xml:space="preserve"> </t>
        </is>
      </c>
      <c r="V163" s="101" t="inlineStr">
        <is>
          <t xml:space="preserve"> </t>
        </is>
      </c>
      <c r="W163" s="102" t="inlineStr">
        <is>
          <t xml:space="preserve"> </t>
        </is>
      </c>
      <c r="X163" t="inlineStr">
        <is>
          <t>No se encontró ejecución en CUIPO</t>
        </is>
      </c>
    </row>
    <row r="164">
      <c r="A164" t="inlineStr">
        <is>
          <t>IP-225</t>
        </is>
      </c>
      <c r="B164" t="inlineStr">
        <is>
          <t>41</t>
        </is>
      </c>
      <c r="C164" t="inlineStr">
        <is>
          <t xml:space="preserve">Inclusión social y reconciliación </t>
        </is>
      </c>
      <c r="D164" t="inlineStr">
        <is>
          <t>4103</t>
        </is>
      </c>
      <c r="E164" t="inlineStr">
        <is>
          <t>Inclusión social y productiva para la población en situación de vulnerabilidad</t>
        </is>
      </c>
      <c r="F164" t="inlineStr">
        <is>
          <t>4103027</t>
        </is>
      </c>
      <c r="G164" t="inlineStr">
        <is>
          <t>Centros comunitarios adecuados</t>
        </is>
      </c>
      <c r="H164" t="inlineStr">
        <is>
          <t xml:space="preserve">Adecuación de infraestructura dispuesta a la comunidad para que pueda desarrollar actividades culturales, sociales y de formación. </t>
        </is>
      </c>
      <c r="I164" t="inlineStr">
        <is>
          <t>2024252140121</t>
        </is>
      </c>
      <c r="J164" s="99">
        <v>215000000</v>
      </c>
      <c r="K164" s="99">
        <v>55000000</v>
      </c>
      <c r="L164" s="99">
        <v>0</v>
      </c>
      <c r="M164" s="99">
        <v>80000000</v>
      </c>
      <c r="N164" s="99">
        <v>80000000</v>
      </c>
      <c r="O164" s="99">
        <v>44530915</v>
      </c>
      <c r="P164" s="99">
        <v>0</v>
      </c>
      <c r="Q164" s="99">
        <v>0</v>
      </c>
      <c r="R164" s="100">
        <v>0</v>
      </c>
      <c r="S164" t="inlineStr">
        <is>
          <t>No se ejecutó en la vigencia</t>
        </is>
      </c>
      <c r="T164" s="101" t="inlineStr">
        <is>
          <t xml:space="preserve"> </t>
        </is>
      </c>
      <c r="U164" s="101" t="inlineStr">
        <is>
          <t xml:space="preserve"> </t>
        </is>
      </c>
      <c r="V164" s="101" t="inlineStr">
        <is>
          <t xml:space="preserve"> </t>
        </is>
      </c>
      <c r="W164" s="102" t="inlineStr">
        <is>
          <t xml:space="preserve"> </t>
        </is>
      </c>
      <c r="X164" t="inlineStr">
        <is>
          <t>No se encontró ejecución en CUIPO</t>
        </is>
      </c>
    </row>
    <row r="165">
      <c r="A165" t="inlineStr">
        <is>
          <t>IP-226</t>
        </is>
      </c>
      <c r="B165" t="inlineStr">
        <is>
          <t>41</t>
        </is>
      </c>
      <c r="C165" t="inlineStr">
        <is>
          <t xml:space="preserve">Inclusión social y reconciliación </t>
        </is>
      </c>
      <c r="D165" t="inlineStr">
        <is>
          <t>4103</t>
        </is>
      </c>
      <c r="E165" t="inlineStr">
        <is>
          <t>Inclusión social y productiva para la población en situación de vulnerabilidad</t>
        </is>
      </c>
      <c r="F165" t="inlineStr">
        <is>
          <t>4103010</t>
        </is>
      </c>
      <c r="G165" t="inlineStr">
        <is>
          <t>Servicio de gestión para la colocación de empleo</t>
        </is>
      </c>
      <c r="H165" t="inlineStr">
        <is>
          <t>Orientados  a conseguir que la población vulnerable tenga una vinculación laboral formal.</t>
        </is>
      </c>
      <c r="I165" t="inlineStr">
        <is>
          <t>2024252140101</t>
        </is>
      </c>
      <c r="J165" s="99">
        <v>760000000</v>
      </c>
      <c r="K165" s="99">
        <v>200000000</v>
      </c>
      <c r="L165" s="99">
        <v>200000000</v>
      </c>
      <c r="M165" s="99">
        <v>180000000</v>
      </c>
      <c r="N165" s="99">
        <v>180000000</v>
      </c>
      <c r="O165" s="99" t="inlineStr">
        <is>
          <t xml:space="preserve"> </t>
        </is>
      </c>
      <c r="P165" s="99" t="inlineStr">
        <is>
          <t xml:space="preserve"> </t>
        </is>
      </c>
      <c r="Q165" s="99" t="inlineStr">
        <is>
          <t xml:space="preserve"> </t>
        </is>
      </c>
      <c r="R165" s="100" t="inlineStr">
        <is>
          <t xml:space="preserve"> </t>
        </is>
      </c>
      <c r="S165" t="inlineStr">
        <is>
          <t>No se encontró ejecución en CUIPO</t>
        </is>
      </c>
      <c r="T165" s="101" t="inlineStr">
        <is>
          <t xml:space="preserve"> </t>
        </is>
      </c>
      <c r="U165" s="101" t="inlineStr">
        <is>
          <t xml:space="preserve"> </t>
        </is>
      </c>
      <c r="V165" s="101" t="inlineStr">
        <is>
          <t xml:space="preserve"> </t>
        </is>
      </c>
      <c r="W165" s="102" t="inlineStr">
        <is>
          <t xml:space="preserve"> </t>
        </is>
      </c>
      <c r="X165" t="inlineStr">
        <is>
          <t>No se encontró ejecución en CUIPO</t>
        </is>
      </c>
    </row>
    <row r="166">
      <c r="A166" t="inlineStr">
        <is>
          <t>IP-227</t>
        </is>
      </c>
      <c r="B166" t="inlineStr">
        <is>
          <t>41</t>
        </is>
      </c>
      <c r="C166" t="inlineStr">
        <is>
          <t xml:space="preserve">Inclusión social y reconciliación </t>
        </is>
      </c>
      <c r="D166" t="inlineStr">
        <is>
          <t>4103</t>
        </is>
      </c>
      <c r="E166" t="inlineStr">
        <is>
          <t>Inclusión social y productiva para la población en situación de vulnerabilidad</t>
        </is>
      </c>
      <c r="F166" t="inlineStr">
        <is>
          <t>4103052</t>
        </is>
      </c>
      <c r="G166" t="inlineStr">
        <is>
          <t>Servicio de gestión de oferta social para la población vulnerable</t>
        </is>
      </c>
      <c r="H166" t="inlineStr">
        <is>
          <t>Incluye el desarrollo de acciones encaminadas a generar dinámicas de atención conjunta, articulada y eficiente entre las instituciones del estado hacia la población vulnerable.</t>
        </is>
      </c>
      <c r="I166" t="inlineStr">
        <is>
          <t>2024252140078</t>
        </is>
      </c>
      <c r="J166" s="99">
        <v>1231764800</v>
      </c>
      <c r="K166" s="99">
        <v>46000000</v>
      </c>
      <c r="L166" s="99">
        <v>255000000</v>
      </c>
      <c r="M166" s="99">
        <v>439040000</v>
      </c>
      <c r="N166" s="99">
        <v>491724800</v>
      </c>
      <c r="O166" s="99">
        <v>27883333</v>
      </c>
      <c r="P166" s="99">
        <v>27883333</v>
      </c>
      <c r="Q166" s="99">
        <v>27883333</v>
      </c>
      <c r="R166" s="100">
        <v>0.606159413043478</v>
      </c>
      <c r="S166" t="inlineStr">
        <is>
          <t>Lo obligado está por debajo de lo programado en la vigencia</t>
        </is>
      </c>
      <c r="T166" s="101">
        <v>156633333</v>
      </c>
      <c r="U166" s="101">
        <v>101816667</v>
      </c>
      <c r="V166" s="101">
        <v>101816667</v>
      </c>
      <c r="W166" s="102">
        <v>0.399281047058824</v>
      </c>
      <c r="X166" t="inlineStr">
        <is>
          <t>Lo obligado está por debajo de lo programado en la vigencia</t>
        </is>
      </c>
    </row>
    <row r="167">
      <c r="A167" t="inlineStr">
        <is>
          <t>IP-228, IP-229, IP-230, IP-231, IP-232, IP-234, IP-235</t>
        </is>
      </c>
      <c r="B167" t="inlineStr">
        <is>
          <t>41</t>
        </is>
      </c>
      <c r="C167" t="inlineStr">
        <is>
          <t xml:space="preserve">Inclusión social y reconciliación </t>
        </is>
      </c>
      <c r="D167" t="inlineStr">
        <is>
          <t>4104</t>
        </is>
      </c>
      <c r="E167" t="inlineStr">
        <is>
          <t>Atención integral de población en situación permanente de desprotección social y/o familiar</t>
        </is>
      </c>
      <c r="F167" t="inlineStr">
        <is>
          <t>4104020</t>
        </is>
      </c>
      <c r="G167" t="inlineStr">
        <is>
          <t>Servicio de atención integral a población en condición de discapacidad</t>
        </is>
      </c>
      <c r="H167" t="inlineStr">
        <is>
          <t>Servicios integrales que incluyen aspectos relacionados con atención en salud, cuidado, alimentación, hospedaje, formación para el trabajo, inclusión productiva, recreación, entre otros, para población en condición de discapacidad.</t>
        </is>
      </c>
      <c r="I167" t="inlineStr">
        <is>
          <t>2024252140079</t>
        </is>
      </c>
      <c r="J167" s="99">
        <v>13447697008</v>
      </c>
      <c r="K167" s="99">
        <v>1329000000</v>
      </c>
      <c r="L167" s="99">
        <v>2915198818</v>
      </c>
      <c r="M167" s="99">
        <v>4363561000</v>
      </c>
      <c r="N167" s="99">
        <v>4839937190</v>
      </c>
      <c r="O167" s="99">
        <v>1171791784</v>
      </c>
      <c r="P167" s="99">
        <v>1103389442</v>
      </c>
      <c r="Q167" s="99">
        <v>1103389442</v>
      </c>
      <c r="R167" s="100">
        <v>0.830240362678706</v>
      </c>
      <c r="S167" t="inlineStr">
        <is>
          <t>Lo obligado está por debajo de lo programado en la vigencia</t>
        </is>
      </c>
      <c r="T167" s="101">
        <v>2182729110</v>
      </c>
      <c r="U167" s="101">
        <v>877330268</v>
      </c>
      <c r="V167" s="101">
        <v>877330268</v>
      </c>
      <c r="W167" s="102">
        <v>0.300950406052202</v>
      </c>
      <c r="X167" t="inlineStr">
        <is>
          <t>Lo obligado está por debajo de lo programado en la vigencia</t>
        </is>
      </c>
    </row>
    <row r="168">
      <c r="A168" t="inlineStr">
        <is>
          <t>IP-233</t>
        </is>
      </c>
      <c r="B168" t="inlineStr">
        <is>
          <t>41</t>
        </is>
      </c>
      <c r="C168" t="inlineStr">
        <is>
          <t xml:space="preserve">Inclusión social y reconciliación </t>
        </is>
      </c>
      <c r="D168" t="inlineStr">
        <is>
          <t>4104</t>
        </is>
      </c>
      <c r="E168" t="inlineStr">
        <is>
          <t>Atención integral de población en situación permanente de desprotección social y/o familiar</t>
        </is>
      </c>
      <c r="F168" t="inlineStr">
        <is>
          <t>4104037</t>
        </is>
      </c>
      <c r="G168" t="inlineStr">
        <is>
          <t>Centros de atención integral para personas con discapacidad adecuados</t>
        </is>
      </c>
      <c r="H168" t="inlineStr">
        <is>
          <t>Corresponde a la adecuación de infraestructura destinada al ofrecimiento de servicios de atención integral para población en condición de discapacidad.</t>
        </is>
      </c>
      <c r="I168" t="inlineStr">
        <is>
          <t>2024252140079</t>
        </is>
      </c>
      <c r="J168" s="99">
        <v>565000000</v>
      </c>
      <c r="K168" s="99">
        <v>150000000</v>
      </c>
      <c r="L168" s="99">
        <v>65000000</v>
      </c>
      <c r="M168" s="99">
        <v>200000000</v>
      </c>
      <c r="N168" s="99">
        <v>150000000</v>
      </c>
      <c r="O168" s="99" t="inlineStr">
        <is>
          <t xml:space="preserve"> </t>
        </is>
      </c>
      <c r="P168" s="99" t="inlineStr">
        <is>
          <t xml:space="preserve"> </t>
        </is>
      </c>
      <c r="Q168" s="99" t="inlineStr">
        <is>
          <t xml:space="preserve"> </t>
        </is>
      </c>
      <c r="R168" s="100" t="inlineStr">
        <is>
          <t xml:space="preserve"> </t>
        </is>
      </c>
      <c r="S168" t="inlineStr">
        <is>
          <t>No se encontró ejecución en CUIPO</t>
        </is>
      </c>
      <c r="T168" s="101" t="inlineStr">
        <is>
          <t xml:space="preserve"> </t>
        </is>
      </c>
      <c r="U168" s="101" t="inlineStr">
        <is>
          <t xml:space="preserve"> </t>
        </is>
      </c>
      <c r="V168" s="101" t="inlineStr">
        <is>
          <t xml:space="preserve"> </t>
        </is>
      </c>
      <c r="W168" s="102" t="inlineStr">
        <is>
          <t xml:space="preserve"> </t>
        </is>
      </c>
      <c r="X168" t="inlineStr">
        <is>
          <t>No se encontró ejecución en CUIPO</t>
        </is>
      </c>
    </row>
    <row r="169">
      <c r="A169" t="inlineStr">
        <is>
          <t>IP-236</t>
        </is>
      </c>
      <c r="B169" t="inlineStr">
        <is>
          <t>41</t>
        </is>
      </c>
      <c r="C169" t="inlineStr">
        <is>
          <t xml:space="preserve">Inclusión social y reconciliación </t>
        </is>
      </c>
      <c r="D169" t="inlineStr">
        <is>
          <t>4101</t>
        </is>
      </c>
      <c r="E169" t="inlineStr">
        <is>
          <t>Atención, asistencia y reparación integral a las víctimas</t>
        </is>
      </c>
      <c r="F169" t="inlineStr">
        <is>
          <t>4101023</t>
        </is>
      </c>
      <c r="G169" t="inlineStr">
        <is>
          <t>Servicio de orientación y comunicación a las víctimas</t>
        </is>
      </c>
      <c r="H169" t="inlineStr">
        <is>
          <t>Servicio desarrollados para brindar atención, comunicación y orientación a las víctimas a través de los diferentes canales que dispone la Unidad para la Atención a las victimas.</t>
        </is>
      </c>
      <c r="I169" t="inlineStr">
        <is>
          <t>2024252140130</t>
        </is>
      </c>
      <c r="J169" s="99">
        <v>2111392000</v>
      </c>
      <c r="K169" s="99">
        <v>115000000</v>
      </c>
      <c r="L169" s="99">
        <v>387000000</v>
      </c>
      <c r="M169" s="99">
        <v>788696000</v>
      </c>
      <c r="N169" s="99">
        <v>820696000</v>
      </c>
      <c r="O169" s="99">
        <v>153185938</v>
      </c>
      <c r="P169" s="99">
        <v>38860902</v>
      </c>
      <c r="Q169" s="99">
        <v>28860902</v>
      </c>
      <c r="R169" s="100">
        <v>0.337920886956522</v>
      </c>
      <c r="S169" t="inlineStr">
        <is>
          <t>Lo obligado está por debajo de lo programado en la vigencia</t>
        </is>
      </c>
      <c r="T169" s="101">
        <v>306057500</v>
      </c>
      <c r="U169" s="101">
        <v>227655092</v>
      </c>
      <c r="V169" s="101">
        <v>227655092</v>
      </c>
      <c r="W169" s="102">
        <v>0.588256051679587</v>
      </c>
      <c r="X169" t="inlineStr">
        <is>
          <t>Lo obligado está por debajo de lo programado en la vigencia</t>
        </is>
      </c>
    </row>
    <row r="170">
      <c r="A170" t="inlineStr">
        <is>
          <t>IP-237</t>
        </is>
      </c>
      <c r="B170" t="inlineStr">
        <is>
          <t>41</t>
        </is>
      </c>
      <c r="C170" t="inlineStr">
        <is>
          <t xml:space="preserve">Inclusión social y reconciliación </t>
        </is>
      </c>
      <c r="D170" t="inlineStr">
        <is>
          <t>4101</t>
        </is>
      </c>
      <c r="E170" t="inlineStr">
        <is>
          <t>Atención, asistencia y reparación integral a las víctimas</t>
        </is>
      </c>
      <c r="F170" t="inlineStr">
        <is>
          <t>4101025</t>
        </is>
      </c>
      <c r="G170" t="inlineStr">
        <is>
          <t>Servicio de ayuda y atención humanitaria</t>
        </is>
      </c>
      <c r="H170" t="inlineStr">
        <is>
          <t>Mediante los cuales se entrega ayuda y atención humanitaria a las víctimas del conflicto armado. La ayuda humanitaria se entrega a las víctimas de otros hechos diferentes al desplazamiento forzado y la atención humanitaria a víctimas de desplazamiento forzado.</t>
        </is>
      </c>
      <c r="I170" t="inlineStr">
        <is>
          <t>2024252140130</t>
        </is>
      </c>
      <c r="J170" s="99">
        <v>138000000</v>
      </c>
      <c r="K170" s="99">
        <v>28000000</v>
      </c>
      <c r="L170" s="99">
        <v>40000000</v>
      </c>
      <c r="M170" s="99">
        <v>35000000</v>
      </c>
      <c r="N170" s="99">
        <v>35000000</v>
      </c>
      <c r="O170" s="99" t="inlineStr">
        <is>
          <t xml:space="preserve"> </t>
        </is>
      </c>
      <c r="P170" s="99" t="inlineStr">
        <is>
          <t xml:space="preserve"> </t>
        </is>
      </c>
      <c r="Q170" s="99" t="inlineStr">
        <is>
          <t xml:space="preserve"> </t>
        </is>
      </c>
      <c r="R170" s="100" t="inlineStr">
        <is>
          <t xml:space="preserve"> </t>
        </is>
      </c>
      <c r="S170" t="inlineStr">
        <is>
          <t>No se encontró ejecución en CUIPO</t>
        </is>
      </c>
      <c r="T170" s="101">
        <v>8612173</v>
      </c>
      <c r="U170" s="101">
        <v>8612173</v>
      </c>
      <c r="V170" s="101">
        <v>8612173</v>
      </c>
      <c r="W170" s="102">
        <v>0.215304325</v>
      </c>
      <c r="X170" t="inlineStr">
        <is>
          <t>Lo obligado está por debajo de lo programado en la vigencia</t>
        </is>
      </c>
    </row>
    <row r="171">
      <c r="A171" t="inlineStr">
        <is>
          <t>IP-238</t>
        </is>
      </c>
      <c r="B171" t="inlineStr">
        <is>
          <t>41</t>
        </is>
      </c>
      <c r="C171" t="inlineStr">
        <is>
          <t xml:space="preserve">Inclusión social y reconciliación </t>
        </is>
      </c>
      <c r="D171" t="inlineStr">
        <is>
          <t>4101</t>
        </is>
      </c>
      <c r="E171" t="inlineStr">
        <is>
          <t>Atención, asistencia y reparación integral a las víctimas</t>
        </is>
      </c>
      <c r="F171" t="inlineStr">
        <is>
          <t>4101038</t>
        </is>
      </c>
      <c r="G171" t="inlineStr">
        <is>
          <t>Servicio de asistencia técnica para la participación de las víctimas</t>
        </is>
      </c>
      <c r="H171" t="inlineStr">
        <is>
          <t>Orientados a generar mecanismos mediante los cuales las víctimas tengan participación conjunta y activa en la determinación de las medidas y programas que se desarrollan en su proceso de atención y reparación.</t>
        </is>
      </c>
      <c r="I171" t="inlineStr">
        <is>
          <t>2024252140130</t>
        </is>
      </c>
      <c r="J171" s="99">
        <v>143000000</v>
      </c>
      <c r="K171" s="99">
        <v>20000000</v>
      </c>
      <c r="L171" s="99">
        <v>65000000</v>
      </c>
      <c r="M171" s="99">
        <v>28000000</v>
      </c>
      <c r="N171" s="99">
        <v>30000000</v>
      </c>
      <c r="O171" s="99" t="inlineStr">
        <is>
          <t xml:space="preserve"> </t>
        </is>
      </c>
      <c r="P171" s="99" t="inlineStr">
        <is>
          <t xml:space="preserve"> </t>
        </is>
      </c>
      <c r="Q171" s="99" t="inlineStr">
        <is>
          <t xml:space="preserve"> </t>
        </is>
      </c>
      <c r="R171" s="100" t="inlineStr">
        <is>
          <t xml:space="preserve"> </t>
        </is>
      </c>
      <c r="S171" t="inlineStr">
        <is>
          <t>No se encontró ejecución en CUIPO</t>
        </is>
      </c>
      <c r="T171" s="101">
        <v>7120800</v>
      </c>
      <c r="U171" s="101">
        <v>7120800</v>
      </c>
      <c r="V171" s="101">
        <v>7120800</v>
      </c>
      <c r="W171" s="102">
        <v>0.109550769230769</v>
      </c>
      <c r="X171" t="inlineStr">
        <is>
          <t>Lo obligado está por debajo de lo programado en la vigencia</t>
        </is>
      </c>
    </row>
    <row r="172">
      <c r="A172" t="inlineStr">
        <is>
          <t>IP-239</t>
        </is>
      </c>
      <c r="B172" t="inlineStr">
        <is>
          <t>45</t>
        </is>
      </c>
      <c r="C172" t="inlineStr">
        <is>
          <t>Gobierno Territorial</t>
        </is>
      </c>
      <c r="D172" t="inlineStr">
        <is>
          <t>4502</t>
        </is>
      </c>
      <c r="E172" t="inlineStr">
        <is>
          <t>Fortalecimiento del buen gobierno para el respeto y garantía de los derechos humanos.</t>
        </is>
      </c>
      <c r="F172" t="inlineStr">
        <is>
          <t>4502022</t>
        </is>
      </c>
      <c r="G172" t="inlineStr">
        <is>
          <t>Servicio de asistencia técnica</t>
        </is>
      </c>
      <c r="H172"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72" t="inlineStr">
        <is>
          <t>2024252140131</t>
        </is>
      </c>
      <c r="J172" s="99">
        <v>764000000</v>
      </c>
      <c r="K172" s="99">
        <v>50000000</v>
      </c>
      <c r="L172" s="99">
        <v>259000000</v>
      </c>
      <c r="M172" s="99">
        <v>220000000</v>
      </c>
      <c r="N172" s="99">
        <v>235000000</v>
      </c>
      <c r="O172" s="99">
        <v>41518000</v>
      </c>
      <c r="P172" s="99">
        <v>20000000</v>
      </c>
      <c r="Q172" s="99">
        <v>0</v>
      </c>
      <c r="R172" s="100">
        <v>0.4</v>
      </c>
      <c r="S172" t="inlineStr">
        <is>
          <t>Lo obligado está por debajo de lo programado en la vigencia</t>
        </is>
      </c>
      <c r="T172" s="101">
        <v>93246000</v>
      </c>
      <c r="U172" s="101">
        <v>25400000</v>
      </c>
      <c r="V172" s="101">
        <v>25400000</v>
      </c>
      <c r="W172" s="102">
        <v>0.0980694980694981</v>
      </c>
      <c r="X172" t="inlineStr">
        <is>
          <t>Lo obligado está por debajo de lo programado en la vigencia</t>
        </is>
      </c>
    </row>
    <row r="173">
      <c r="A173" t="inlineStr">
        <is>
          <t>IP-240</t>
        </is>
      </c>
      <c r="B173" t="inlineStr">
        <is>
          <t>45</t>
        </is>
      </c>
      <c r="C173" t="inlineStr">
        <is>
          <t>Gobierno Territorial</t>
        </is>
      </c>
      <c r="D173" t="inlineStr">
        <is>
          <t>4502</t>
        </is>
      </c>
      <c r="E173" t="inlineStr">
        <is>
          <t>Fortalecimiento del buen gobierno para el respeto y garantía de los derechos humanos.</t>
        </is>
      </c>
      <c r="F173" t="inlineStr">
        <is>
          <t>4502022</t>
        </is>
      </c>
      <c r="G173" t="inlineStr">
        <is>
          <t>Servicio de asistencia técnica</t>
        </is>
      </c>
      <c r="H173"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73" t="inlineStr">
        <is>
          <t>2024252140157</t>
        </is>
      </c>
      <c r="J173" s="99">
        <v>415607500</v>
      </c>
      <c r="K173" s="99">
        <v>180000000</v>
      </c>
      <c r="L173" s="99">
        <v>100000000</v>
      </c>
      <c r="M173" s="99">
        <v>66150000</v>
      </c>
      <c r="N173" s="99">
        <v>69457500</v>
      </c>
      <c r="O173" s="99">
        <v>25000000</v>
      </c>
      <c r="P173" s="99">
        <v>25000000</v>
      </c>
      <c r="Q173" s="99">
        <v>25000000</v>
      </c>
      <c r="R173" s="100">
        <v>0.138888888888889</v>
      </c>
      <c r="S173" t="inlineStr">
        <is>
          <t>Lo obligado está por debajo de lo programado en la vigencia</t>
        </is>
      </c>
      <c r="T173" s="101" t="inlineStr">
        <is>
          <t xml:space="preserve"> </t>
        </is>
      </c>
      <c r="U173" s="101" t="inlineStr">
        <is>
          <t xml:space="preserve"> </t>
        </is>
      </c>
      <c r="V173" s="101" t="inlineStr">
        <is>
          <t xml:space="preserve"> </t>
        </is>
      </c>
      <c r="W173" s="102" t="inlineStr">
        <is>
          <t xml:space="preserve"> </t>
        </is>
      </c>
      <c r="X173" t="inlineStr">
        <is>
          <t>No se encontró ejecución en CUIPO</t>
        </is>
      </c>
    </row>
    <row r="174">
      <c r="A174" t="inlineStr">
        <is>
          <t>IP-241</t>
        </is>
      </c>
      <c r="B174" t="inlineStr">
        <is>
          <t>45</t>
        </is>
      </c>
      <c r="C174" t="inlineStr">
        <is>
          <t>Gobierno Territorial</t>
        </is>
      </c>
      <c r="D174" t="inlineStr">
        <is>
          <t>4502</t>
        </is>
      </c>
      <c r="E174" t="inlineStr">
        <is>
          <t>Fortalecimiento del buen gobierno para el respeto y garantía de los derechos humanos.</t>
        </is>
      </c>
      <c r="F174" t="inlineStr">
        <is>
          <t>4502035</t>
        </is>
      </c>
      <c r="G174" t="inlineStr">
        <is>
          <t>Documentos de planeación</t>
        </is>
      </c>
      <c r="H174" t="inlineStr">
        <is>
          <t>Documentos cuyo objetivo es plasmar una visión de futuro a nivel país, entidad territorial, comunidad, sector, región, entidad o cualquier nivel de desagregación que se requiera. Incluye objetivos, estrategias, metas e indicadores.</t>
        </is>
      </c>
      <c r="I174" t="inlineStr">
        <is>
          <t>2024252140083</t>
        </is>
      </c>
      <c r="J174" s="99">
        <v>681150000</v>
      </c>
      <c r="K174" s="99">
        <v>150000000</v>
      </c>
      <c r="L174" s="99">
        <v>150000000</v>
      </c>
      <c r="M174" s="99">
        <v>181500000</v>
      </c>
      <c r="N174" s="99">
        <v>199650000</v>
      </c>
      <c r="O174" s="99" t="inlineStr">
        <is>
          <t xml:space="preserve"> </t>
        </is>
      </c>
      <c r="P174" s="99" t="inlineStr">
        <is>
          <t xml:space="preserve"> </t>
        </is>
      </c>
      <c r="Q174" s="99" t="inlineStr">
        <is>
          <t xml:space="preserve"> </t>
        </is>
      </c>
      <c r="R174" s="100" t="inlineStr">
        <is>
          <t xml:space="preserve"> </t>
        </is>
      </c>
      <c r="S174" t="inlineStr">
        <is>
          <t>No se encontró ejecución en CUIPO</t>
        </is>
      </c>
      <c r="T174" s="101" t="inlineStr">
        <is>
          <t xml:space="preserve"> </t>
        </is>
      </c>
      <c r="U174" s="101" t="inlineStr">
        <is>
          <t xml:space="preserve"> </t>
        </is>
      </c>
      <c r="V174" s="101" t="inlineStr">
        <is>
          <t xml:space="preserve"> </t>
        </is>
      </c>
      <c r="W174" s="102" t="inlineStr">
        <is>
          <t xml:space="preserve"> </t>
        </is>
      </c>
      <c r="X174" t="inlineStr">
        <is>
          <t>No se encontró ejecución en CUIPO</t>
        </is>
      </c>
    </row>
    <row r="175">
      <c r="A175" t="inlineStr">
        <is>
          <t>IP-242</t>
        </is>
      </c>
      <c r="B175" t="inlineStr">
        <is>
          <t>45</t>
        </is>
      </c>
      <c r="C175" t="inlineStr">
        <is>
          <t>Gobierno Territorial</t>
        </is>
      </c>
      <c r="D175" t="inlineStr">
        <is>
          <t>4502</t>
        </is>
      </c>
      <c r="E175" t="inlineStr">
        <is>
          <t>Fortalecimiento del buen gobierno para el respeto y garantía de los derechos humanos.</t>
        </is>
      </c>
      <c r="F175" t="inlineStr">
        <is>
          <t>4502033</t>
        </is>
      </c>
      <c r="G175" t="inlineStr">
        <is>
          <t>Servicio de integración de la oferta pública</t>
        </is>
      </c>
      <c r="H175" t="inlineStr">
        <is>
          <t>Corresponde al diseño e implementación de espacios que articulen la oferta institucional para que los ciudadanos conozcan sus derechos y deberes y los mecanismos de acceso a la oferta publica.</t>
        </is>
      </c>
      <c r="I175" t="inlineStr">
        <is>
          <t>2024252140074</t>
        </is>
      </c>
      <c r="J175" s="99">
        <v>370305808.82</v>
      </c>
      <c r="K175" s="99">
        <v>10305808.82</v>
      </c>
      <c r="L175" s="99">
        <v>60000000</v>
      </c>
      <c r="M175" s="99">
        <v>100000000</v>
      </c>
      <c r="N175" s="99">
        <v>200000000</v>
      </c>
      <c r="O175" s="99">
        <v>0</v>
      </c>
      <c r="P175" s="99">
        <v>0</v>
      </c>
      <c r="Q175" s="99">
        <v>0</v>
      </c>
      <c r="R175" s="100">
        <v>0</v>
      </c>
      <c r="S175" t="inlineStr">
        <is>
          <t>No se ejecutó en la vigencia</t>
        </is>
      </c>
      <c r="T175" s="101">
        <v>45000000</v>
      </c>
      <c r="U175" s="101">
        <v>15583333</v>
      </c>
      <c r="V175" s="101">
        <v>15583333</v>
      </c>
      <c r="W175" s="102">
        <v>0.259722216666667</v>
      </c>
      <c r="X175" t="inlineStr">
        <is>
          <t>Lo obligado está por debajo de lo programado en la vigencia</t>
        </is>
      </c>
    </row>
    <row r="176">
      <c r="A176" t="inlineStr">
        <is>
          <t>IP-243</t>
        </is>
      </c>
      <c r="B176" t="inlineStr">
        <is>
          <t>45</t>
        </is>
      </c>
      <c r="C176" t="inlineStr">
        <is>
          <t>Gobierno Territorial</t>
        </is>
      </c>
      <c r="D176" t="inlineStr">
        <is>
          <t>4502</t>
        </is>
      </c>
      <c r="E176" t="inlineStr">
        <is>
          <t>Fortalecimiento del buen gobierno para el respeto y garantía de los derechos humanos.</t>
        </is>
      </c>
      <c r="F176" t="inlineStr">
        <is>
          <t>4502001</t>
        </is>
      </c>
      <c r="G176" t="inlineStr">
        <is>
          <t>Servicio de promoción a la participación ciudadana</t>
        </is>
      </c>
      <c r="H176" t="inlineStr">
        <is>
          <t>Corresponde al diseño e implementación de acciones y estrategias que promuevan el ejercicio de la participación ciudadana para el respeto y garantía de los derechos humanos</t>
        </is>
      </c>
      <c r="I176" t="inlineStr">
        <is>
          <t>2024252140168</t>
        </is>
      </c>
      <c r="J176" s="99">
        <v>4210973439.0401</v>
      </c>
      <c r="K176" s="99">
        <v>924999999.04</v>
      </c>
      <c r="L176" s="99">
        <v>15000000</v>
      </c>
      <c r="M176" s="99">
        <v>1542912000.0001</v>
      </c>
      <c r="N176" s="99">
        <v>1728061440</v>
      </c>
      <c r="O176" s="99">
        <v>594274109</v>
      </c>
      <c r="P176" s="99">
        <v>594274109</v>
      </c>
      <c r="Q176" s="99">
        <v>594274109</v>
      </c>
      <c r="R176" s="100">
        <v>0.642458496882984</v>
      </c>
      <c r="S176" t="inlineStr">
        <is>
          <t>Lo obligado está por debajo de lo programado en la vigencia</t>
        </is>
      </c>
      <c r="T176" s="101" t="inlineStr">
        <is>
          <t xml:space="preserve"> </t>
        </is>
      </c>
      <c r="U176" s="101" t="inlineStr">
        <is>
          <t xml:space="preserve"> </t>
        </is>
      </c>
      <c r="V176" s="101" t="inlineStr">
        <is>
          <t xml:space="preserve"> </t>
        </is>
      </c>
      <c r="W176" s="102" t="inlineStr">
        <is>
          <t xml:space="preserve"> </t>
        </is>
      </c>
      <c r="X176" t="inlineStr">
        <is>
          <t>No se encontró ejecución en CUIPO</t>
        </is>
      </c>
    </row>
    <row r="177">
      <c r="A177" t="inlineStr">
        <is>
          <t>IP-244</t>
        </is>
      </c>
      <c r="B177" t="inlineStr">
        <is>
          <t>45</t>
        </is>
      </c>
      <c r="C177" t="inlineStr">
        <is>
          <t>Gobierno Territorial</t>
        </is>
      </c>
      <c r="D177" t="inlineStr">
        <is>
          <t>4599</t>
        </is>
      </c>
      <c r="E177" t="inlineStr">
        <is>
          <t>Fortalecimiento a la gestión y dirección de la administración pública territorial</t>
        </is>
      </c>
      <c r="F177" t="inlineStr">
        <is>
          <t>4599011</t>
        </is>
      </c>
      <c r="G177" t="inlineStr">
        <is>
          <t>Sedes adecuadas</t>
        </is>
      </c>
      <c r="H177" t="inlineStr">
        <is>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is>
      </c>
      <c r="I177" t="inlineStr">
        <is>
          <t/>
        </is>
      </c>
      <c r="J177" s="99">
        <v>2000000000</v>
      </c>
      <c r="K177" s="99">
        <v>0</v>
      </c>
      <c r="L177" s="99">
        <v>0</v>
      </c>
      <c r="M177" s="99">
        <v>0</v>
      </c>
      <c r="N177" s="99">
        <v>2000000000</v>
      </c>
      <c r="O177" s="99" t="inlineStr">
        <is>
          <t xml:space="preserve"> </t>
        </is>
      </c>
      <c r="P177" s="99" t="inlineStr">
        <is>
          <t xml:space="preserve"> </t>
        </is>
      </c>
      <c r="Q177" s="99" t="inlineStr">
        <is>
          <t xml:space="preserve"> </t>
        </is>
      </c>
      <c r="R177" s="100" t="inlineStr">
        <is>
          <t xml:space="preserve"> </t>
        </is>
      </c>
      <c r="S177" t="inlineStr">
        <is>
          <t>Por falta de código BPIN, no se encontró ejecución en CUIPO</t>
        </is>
      </c>
      <c r="T177" s="101" t="inlineStr">
        <is>
          <t xml:space="preserve"> </t>
        </is>
      </c>
      <c r="U177" s="101" t="inlineStr">
        <is>
          <t xml:space="preserve"> </t>
        </is>
      </c>
      <c r="V177" s="101" t="inlineStr">
        <is>
          <t xml:space="preserve"> </t>
        </is>
      </c>
      <c r="W177" s="102" t="inlineStr">
        <is>
          <t xml:space="preserve"> </t>
        </is>
      </c>
      <c r="X177" t="inlineStr">
        <is>
          <t>Por falta de código BPIN, no se encontró ejecución en CUIPO</t>
        </is>
      </c>
    </row>
    <row r="178">
      <c r="A178" t="inlineStr">
        <is>
          <t>IP-245, IP-246</t>
        </is>
      </c>
      <c r="B178" t="inlineStr">
        <is>
          <t>45</t>
        </is>
      </c>
      <c r="C178" t="inlineStr">
        <is>
          <t>Gobierno Territorial</t>
        </is>
      </c>
      <c r="D178" t="inlineStr">
        <is>
          <t>4599</t>
        </is>
      </c>
      <c r="E178" t="inlineStr">
        <is>
          <t>Fortalecimiento a la gestión y dirección de la administración pública territorial</t>
        </is>
      </c>
      <c r="F178" t="inlineStr">
        <is>
          <t>4599006</t>
        </is>
      </c>
      <c r="G178" t="inlineStr">
        <is>
          <t>Estudios de preinversión</t>
        </is>
      </c>
      <c r="H178" t="inlineStr">
        <is>
          <t>Incluye la realización de los estudios requeridos en las fases de pre factibilidad, factibilidad o definitivos.</t>
        </is>
      </c>
      <c r="I178" t="inlineStr">
        <is>
          <t>2024252140119</t>
        </is>
      </c>
      <c r="J178" s="99">
        <v>14422916666.66</v>
      </c>
      <c r="K178" s="99">
        <v>11122916666.66</v>
      </c>
      <c r="L178" s="99">
        <v>1300000000</v>
      </c>
      <c r="M178" s="99">
        <v>1000000000</v>
      </c>
      <c r="N178" s="99">
        <v>1000000000</v>
      </c>
      <c r="O178" s="99">
        <v>64316666</v>
      </c>
      <c r="P178" s="99">
        <v>64316666</v>
      </c>
      <c r="Q178" s="99">
        <v>64316666</v>
      </c>
      <c r="R178" s="100">
        <v>0.00578235618655525</v>
      </c>
      <c r="S178" t="inlineStr">
        <is>
          <t>Lo obligado está por debajo de lo programado en la vigencia</t>
        </is>
      </c>
      <c r="T178" s="101">
        <v>1326709195</v>
      </c>
      <c r="U178" s="101">
        <v>0</v>
      </c>
      <c r="V178" s="101">
        <v>0</v>
      </c>
      <c r="W178" s="102">
        <v>0</v>
      </c>
      <c r="X178" t="inlineStr">
        <is>
          <t>No se ejecutó en la vigencia</t>
        </is>
      </c>
    </row>
    <row r="179">
      <c r="A179" t="inlineStr">
        <is>
          <t>IP-247</t>
        </is>
      </c>
      <c r="B179" t="inlineStr">
        <is>
          <t>45</t>
        </is>
      </c>
      <c r="C179" t="inlineStr">
        <is>
          <t>Gobierno Territorial</t>
        </is>
      </c>
      <c r="D179" t="inlineStr">
        <is>
          <t>4599</t>
        </is>
      </c>
      <c r="E179" t="inlineStr">
        <is>
          <t>Fortalecimiento a la gestión y dirección de la administración pública territorial</t>
        </is>
      </c>
      <c r="F179" t="inlineStr">
        <is>
          <t>4599016</t>
        </is>
      </c>
      <c r="G179" t="inlineStr">
        <is>
          <t>Sedes mantenidas</t>
        </is>
      </c>
      <c r="H179" t="inlineStr">
        <is>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is>
      </c>
      <c r="I179" t="inlineStr">
        <is>
          <t>2024252140119</t>
        </is>
      </c>
      <c r="J179" s="99">
        <v>2098166666.6667</v>
      </c>
      <c r="K179" s="99">
        <v>114166666.6667</v>
      </c>
      <c r="L179" s="99">
        <v>634000000</v>
      </c>
      <c r="M179" s="99">
        <v>650000000</v>
      </c>
      <c r="N179" s="99">
        <v>700000000</v>
      </c>
      <c r="O179" s="99">
        <v>113333333</v>
      </c>
      <c r="P179" s="99">
        <v>113333333</v>
      </c>
      <c r="Q179" s="99">
        <v>113333333</v>
      </c>
      <c r="R179" s="100">
        <v>0.992700727007009</v>
      </c>
      <c r="S179" t="inlineStr">
        <is>
          <t>Lo obligado está por debajo de lo programado en la vigencia</t>
        </is>
      </c>
      <c r="T179" s="101">
        <v>688950000</v>
      </c>
      <c r="U179" s="101">
        <v>484483331</v>
      </c>
      <c r="V179" s="101">
        <v>484483331</v>
      </c>
      <c r="W179" s="102">
        <v>0.764169291798107</v>
      </c>
      <c r="X179" t="inlineStr">
        <is>
          <t>Lo obligado está por debajo de lo programado en la vigencia</t>
        </is>
      </c>
    </row>
    <row r="180">
      <c r="A180" t="inlineStr">
        <is>
          <t>IP-248, IP-249, IP-250</t>
        </is>
      </c>
      <c r="B180" t="inlineStr">
        <is>
          <t>45</t>
        </is>
      </c>
      <c r="C180" t="inlineStr">
        <is>
          <t>Gobierno Territorial</t>
        </is>
      </c>
      <c r="D180" t="inlineStr">
        <is>
          <t>4599</t>
        </is>
      </c>
      <c r="E180" t="inlineStr">
        <is>
          <t>Fortalecimiento a la gestión y dirección de la administración pública territorial</t>
        </is>
      </c>
      <c r="F180" t="inlineStr">
        <is>
          <t>4599032</t>
        </is>
      </c>
      <c r="G180" t="inlineStr">
        <is>
          <t>Documentos de política</t>
        </is>
      </c>
      <c r="H180" t="inlineStr">
        <is>
          <t>Documentos cuyo objetivo es dar una orientación frente a las acciones que el Estado debe realizar en el marco de una tema específico con el fin de suplir necesidades de interés público, materializables en los diferentes instrumentos de planeación y presupuestación.</t>
        </is>
      </c>
      <c r="I180" t="inlineStr">
        <is>
          <t>2024252140132</t>
        </is>
      </c>
      <c r="J180" s="99">
        <v>2953000000</v>
      </c>
      <c r="K180" s="99">
        <v>250000000</v>
      </c>
      <c r="L180" s="99">
        <v>635800000</v>
      </c>
      <c r="M180" s="99">
        <v>1090600000</v>
      </c>
      <c r="N180" s="99">
        <v>976600000</v>
      </c>
      <c r="O180" s="99">
        <v>177946667</v>
      </c>
      <c r="P180" s="99">
        <v>58946667</v>
      </c>
      <c r="Q180" s="99">
        <v>58946667</v>
      </c>
      <c r="R180" s="100">
        <v>0.235786668</v>
      </c>
      <c r="S180" t="inlineStr">
        <is>
          <t>Lo obligado está por debajo de lo programado en la vigencia</t>
        </is>
      </c>
      <c r="T180" s="101">
        <v>310406667</v>
      </c>
      <c r="U180" s="101">
        <v>175159667</v>
      </c>
      <c r="V180" s="101">
        <v>175159667</v>
      </c>
      <c r="W180" s="102">
        <v>0.275494915067631</v>
      </c>
      <c r="X180" t="inlineStr">
        <is>
          <t>Lo obligado está por debajo de lo programado en la vigencia</t>
        </is>
      </c>
    </row>
    <row r="181">
      <c r="A181" t="inlineStr">
        <is>
          <t>IP-251</t>
        </is>
      </c>
      <c r="B181" t="inlineStr">
        <is>
          <t>45</t>
        </is>
      </c>
      <c r="C181" t="inlineStr">
        <is>
          <t>Gobierno Territorial</t>
        </is>
      </c>
      <c r="D181" t="inlineStr">
        <is>
          <t>4599</t>
        </is>
      </c>
      <c r="E181" t="inlineStr">
        <is>
          <t>Fortalecimiento a la gestión y dirección de la administración pública territorial</t>
        </is>
      </c>
      <c r="F181" t="inlineStr">
        <is>
          <t>4599017</t>
        </is>
      </c>
      <c r="G181" t="inlineStr">
        <is>
          <t>Servicio de gestión documental</t>
        </is>
      </c>
      <c r="H181"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181" t="inlineStr">
        <is>
          <t>2024252140133</t>
        </is>
      </c>
      <c r="J181" s="99">
        <v>3530763650</v>
      </c>
      <c r="K181" s="99">
        <v>275000000</v>
      </c>
      <c r="L181" s="99">
        <v>766800000</v>
      </c>
      <c r="M181" s="99">
        <v>1238608000</v>
      </c>
      <c r="N181" s="99">
        <v>1250355650</v>
      </c>
      <c r="O181" s="99">
        <v>226014899</v>
      </c>
      <c r="P181" s="99">
        <v>218914899</v>
      </c>
      <c r="Q181" s="99">
        <v>88914899</v>
      </c>
      <c r="R181" s="100">
        <v>0.796054178181818</v>
      </c>
      <c r="S181" t="inlineStr">
        <is>
          <t>Lo obligado está por debajo de lo programado en la vigencia</t>
        </is>
      </c>
      <c r="T181" s="101">
        <v>543196667</v>
      </c>
      <c r="U181" s="101">
        <v>439056668</v>
      </c>
      <c r="V181" s="101">
        <v>439056668</v>
      </c>
      <c r="W181" s="102">
        <v>0.572583030777256</v>
      </c>
      <c r="X181" t="inlineStr">
        <is>
          <t>Lo obligado está por debajo de lo programado en la vigencia</t>
        </is>
      </c>
    </row>
    <row r="182">
      <c r="A182" t="inlineStr">
        <is>
          <t>IP-252</t>
        </is>
      </c>
      <c r="B182" t="inlineStr">
        <is>
          <t>45</t>
        </is>
      </c>
      <c r="C182" t="inlineStr">
        <is>
          <t>Gobierno Territorial</t>
        </is>
      </c>
      <c r="D182" t="inlineStr">
        <is>
          <t>4599</t>
        </is>
      </c>
      <c r="E182" t="inlineStr">
        <is>
          <t>Fortalecimiento a la gestión y dirección de la administración pública territorial</t>
        </is>
      </c>
      <c r="F182" t="inlineStr">
        <is>
          <t>4599011</t>
        </is>
      </c>
      <c r="G182" t="inlineStr">
        <is>
          <t>Sedes adecuadas</t>
        </is>
      </c>
      <c r="H182" t="inlineStr">
        <is>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is>
      </c>
      <c r="I182" t="inlineStr">
        <is>
          <t>2024252140143</t>
        </is>
      </c>
      <c r="J182" s="99">
        <v>2390600000</v>
      </c>
      <c r="K182" s="99">
        <v>365200000</v>
      </c>
      <c r="L182" s="99">
        <v>510400000</v>
      </c>
      <c r="M182" s="99">
        <v>791000000</v>
      </c>
      <c r="N182" s="99">
        <v>724000000</v>
      </c>
      <c r="O182" s="99">
        <v>282940064</v>
      </c>
      <c r="P182" s="99">
        <v>82356650</v>
      </c>
      <c r="Q182" s="99">
        <v>12356650</v>
      </c>
      <c r="R182" s="100">
        <v>0.225511089813801</v>
      </c>
      <c r="S182" t="inlineStr">
        <is>
          <t>Lo obligado está por debajo de lo programado en la vigencia</t>
        </is>
      </c>
      <c r="T182" s="101">
        <v>395133333</v>
      </c>
      <c r="U182" s="101">
        <v>239923333</v>
      </c>
      <c r="V182" s="101">
        <v>239923333</v>
      </c>
      <c r="W182" s="102">
        <v>0.470069226097179</v>
      </c>
      <c r="X182" t="inlineStr">
        <is>
          <t>Lo obligado está por debajo de lo programado en la vigencia</t>
        </is>
      </c>
    </row>
    <row r="183">
      <c r="A183" t="inlineStr">
        <is>
          <t>IP-253</t>
        </is>
      </c>
      <c r="B183" t="inlineStr">
        <is>
          <t>45</t>
        </is>
      </c>
      <c r="C183" t="inlineStr">
        <is>
          <t>Gobierno Territorial</t>
        </is>
      </c>
      <c r="D183" t="inlineStr">
        <is>
          <t>4599</t>
        </is>
      </c>
      <c r="E183" t="inlineStr">
        <is>
          <t>Fortalecimiento a la gestión y dirección de la administración pública territorial</t>
        </is>
      </c>
      <c r="F183" t="inlineStr">
        <is>
          <t>4599001</t>
        </is>
      </c>
      <c r="G183" t="inlineStr">
        <is>
          <t>Documentos de evaluación</t>
        </is>
      </c>
      <c r="H183" t="inlineStr">
        <is>
          <t>Documentos técnicos en donde se realiza el seguimiento y el análisis de resultados e impactos de una política pública a través de indicadores, índices y tasas y otras herramientas técnicas para la toma de decisiones.</t>
        </is>
      </c>
      <c r="I183" t="inlineStr">
        <is>
          <t>2024252140134</t>
        </is>
      </c>
      <c r="J183" s="99">
        <v>3298832000</v>
      </c>
      <c r="K183" s="99">
        <v>175000000</v>
      </c>
      <c r="L183" s="99">
        <v>648000000</v>
      </c>
      <c r="M183" s="99">
        <v>1184416000</v>
      </c>
      <c r="N183" s="99">
        <v>1291416000</v>
      </c>
      <c r="O183" s="99">
        <v>217885665</v>
      </c>
      <c r="P183" s="99">
        <v>217885665</v>
      </c>
      <c r="Q183" s="99">
        <v>217885665</v>
      </c>
      <c r="R183" s="100">
        <v>1.24506094285714</v>
      </c>
      <c r="S183" t="inlineStr">
        <is>
          <t>Hubo ejecución por encima de lo programado en SisPT</t>
        </is>
      </c>
      <c r="T183" s="101">
        <v>945153333</v>
      </c>
      <c r="U183" s="101">
        <v>613556665</v>
      </c>
      <c r="V183" s="101">
        <v>613556665</v>
      </c>
      <c r="W183" s="102">
        <v>0.946846705246914</v>
      </c>
      <c r="X183" t="inlineStr">
        <is>
          <t>Lo obligado está por debajo de lo programado en la vigencia</t>
        </is>
      </c>
    </row>
    <row r="184">
      <c r="A184" t="inlineStr">
        <is>
          <t>IP-254</t>
        </is>
      </c>
      <c r="B184" t="inlineStr">
        <is>
          <t>45</t>
        </is>
      </c>
      <c r="C184" t="inlineStr">
        <is>
          <t>Gobierno Territorial</t>
        </is>
      </c>
      <c r="D184" t="inlineStr">
        <is>
          <t>4599</t>
        </is>
      </c>
      <c r="E184" t="inlineStr">
        <is>
          <t>Fortalecimiento a la gestión y dirección de la administración pública territorial</t>
        </is>
      </c>
      <c r="F184" t="inlineStr">
        <is>
          <t>4599023</t>
        </is>
      </c>
      <c r="G184" t="inlineStr">
        <is>
          <t>Servicio de Implementación Sistemas de Gestión</t>
        </is>
      </c>
      <c r="H184"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184" t="inlineStr">
        <is>
          <t>2024252140135</t>
        </is>
      </c>
      <c r="J184" s="99">
        <v>1861624010.1721</v>
      </c>
      <c r="K184" s="99">
        <v>531026387</v>
      </c>
      <c r="L184" s="99">
        <v>478597623.1721</v>
      </c>
      <c r="M184" s="99">
        <v>410000000</v>
      </c>
      <c r="N184" s="99">
        <v>442000000</v>
      </c>
      <c r="O184" s="99">
        <v>469926387</v>
      </c>
      <c r="P184" s="99">
        <v>164400000</v>
      </c>
      <c r="Q184" s="99">
        <v>157400000</v>
      </c>
      <c r="R184" s="100">
        <v>0.309589135351197</v>
      </c>
      <c r="S184" t="inlineStr">
        <is>
          <t>Lo obligado está por debajo de lo programado en la vigencia</t>
        </is>
      </c>
      <c r="T184" s="101">
        <v>233600000</v>
      </c>
      <c r="U184" s="101">
        <v>178523333</v>
      </c>
      <c r="V184" s="101">
        <v>178523333</v>
      </c>
      <c r="W184" s="102">
        <v>0.373013413265123</v>
      </c>
      <c r="X184" t="inlineStr">
        <is>
          <t>Lo obligado está por debajo de lo programado en la vigencia</t>
        </is>
      </c>
    </row>
    <row r="185">
      <c r="A185" t="inlineStr">
        <is>
          <t>IP-255</t>
        </is>
      </c>
      <c r="B185" t="inlineStr">
        <is>
          <t>45</t>
        </is>
      </c>
      <c r="C185" t="inlineStr">
        <is>
          <t>Gobierno Territorial</t>
        </is>
      </c>
      <c r="D185" t="inlineStr">
        <is>
          <t>4599</t>
        </is>
      </c>
      <c r="E185" t="inlineStr">
        <is>
          <t>Fortalecimiento a la gestión y dirección de la administración pública territorial</t>
        </is>
      </c>
      <c r="F185" t="inlineStr">
        <is>
          <t>4599023</t>
        </is>
      </c>
      <c r="G185" t="inlineStr">
        <is>
          <t>Servicio de Implementación Sistemas de Gestión</t>
        </is>
      </c>
      <c r="H185"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185" t="inlineStr">
        <is>
          <t>2024252140136</t>
        </is>
      </c>
      <c r="J185" s="99">
        <v>689817674</v>
      </c>
      <c r="K185" s="99">
        <v>93217674</v>
      </c>
      <c r="L185" s="99">
        <v>126600000</v>
      </c>
      <c r="M185" s="99">
        <v>220000000</v>
      </c>
      <c r="N185" s="99">
        <v>250000000</v>
      </c>
      <c r="O185" s="99">
        <v>66147674</v>
      </c>
      <c r="P185" s="99">
        <v>22930000</v>
      </c>
      <c r="Q185" s="99">
        <v>22930000</v>
      </c>
      <c r="R185" s="100">
        <v>0.245983395809683</v>
      </c>
      <c r="S185" t="inlineStr">
        <is>
          <t>Lo obligado está por debajo de lo programado en la vigencia</t>
        </is>
      </c>
      <c r="T185" s="101">
        <v>68000000</v>
      </c>
      <c r="U185" s="101">
        <v>56778334</v>
      </c>
      <c r="V185" s="101">
        <v>56778334</v>
      </c>
      <c r="W185" s="102">
        <v>0.448486050552923</v>
      </c>
      <c r="X185" t="inlineStr">
        <is>
          <t>Lo obligado está por debajo de lo programado en la vigencia</t>
        </is>
      </c>
    </row>
    <row r="186">
      <c r="A186" t="inlineStr">
        <is>
          <t>IP-256</t>
        </is>
      </c>
      <c r="B186" t="inlineStr">
        <is>
          <t>45</t>
        </is>
      </c>
      <c r="C186" t="inlineStr">
        <is>
          <t>Gobierno Territorial</t>
        </is>
      </c>
      <c r="D186" t="inlineStr">
        <is>
          <t>4599</t>
        </is>
      </c>
      <c r="E186" t="inlineStr">
        <is>
          <t>Fortalecimiento a la gestión y dirección de la administración pública territorial</t>
        </is>
      </c>
      <c r="F186" t="inlineStr">
        <is>
          <t>4599005</t>
        </is>
      </c>
      <c r="G186" t="inlineStr">
        <is>
          <t>Documento para la planeación estratégica en TI</t>
        </is>
      </c>
      <c r="H186" t="inlineStr">
        <is>
          <t xml:space="preserve">Consiste en la formulación de documento cuyo objetivo es definir el marco de referencia que alinea la gestión de tecnologías  de la información con las políticas de estado y sectoriales que se definan en la materia. </t>
        </is>
      </c>
      <c r="I186" t="inlineStr">
        <is>
          <t>2024252140137</t>
        </is>
      </c>
      <c r="J186" s="99">
        <v>3355760000</v>
      </c>
      <c r="K186" s="99">
        <v>180400000</v>
      </c>
      <c r="L186" s="99">
        <v>1097200000</v>
      </c>
      <c r="M186" s="99">
        <v>980560000</v>
      </c>
      <c r="N186" s="99">
        <v>1097600000</v>
      </c>
      <c r="O186" s="99">
        <v>146136666</v>
      </c>
      <c r="P186" s="99">
        <v>133136666</v>
      </c>
      <c r="Q186" s="99">
        <v>76136666</v>
      </c>
      <c r="R186" s="100">
        <v>0.738008126385809</v>
      </c>
      <c r="S186" t="inlineStr">
        <is>
          <t>Lo obligado está por debajo de lo programado en la vigencia</t>
        </is>
      </c>
      <c r="T186" s="101">
        <v>723533332</v>
      </c>
      <c r="U186" s="101">
        <v>387066666</v>
      </c>
      <c r="V186" s="101">
        <v>387066666</v>
      </c>
      <c r="W186" s="102">
        <v>0.352776764491433</v>
      </c>
      <c r="X186" t="inlineStr">
        <is>
          <t>Lo obligado está por debajo de lo programado en la vigencia</t>
        </is>
      </c>
    </row>
    <row r="187">
      <c r="A187" t="inlineStr">
        <is>
          <t>IP-257, IP-259</t>
        </is>
      </c>
      <c r="B187" t="inlineStr">
        <is>
          <t>45</t>
        </is>
      </c>
      <c r="C187" t="inlineStr">
        <is>
          <t>Gobierno Territorial</t>
        </is>
      </c>
      <c r="D187" t="inlineStr">
        <is>
          <t>4599</t>
        </is>
      </c>
      <c r="E187" t="inlineStr">
        <is>
          <t>Fortalecimiento a la gestión y dirección de la administración pública territorial</t>
        </is>
      </c>
      <c r="F187" t="inlineStr">
        <is>
          <t>4599019</t>
        </is>
      </c>
      <c r="G187" t="inlineStr">
        <is>
          <t>Documentos de planeación</t>
        </is>
      </c>
      <c r="H187"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87" t="inlineStr">
        <is>
          <t>2024252140100</t>
        </is>
      </c>
      <c r="J187" s="99">
        <v>4313336901.1343</v>
      </c>
      <c r="K187" s="99">
        <v>216000000</v>
      </c>
      <c r="L187" s="99">
        <v>334313526.1343</v>
      </c>
      <c r="M187" s="99">
        <v>1835492500</v>
      </c>
      <c r="N187" s="99">
        <v>1927530875</v>
      </c>
      <c r="O187" s="99">
        <v>928098227</v>
      </c>
      <c r="P187" s="99">
        <v>868898227</v>
      </c>
      <c r="Q187" s="99">
        <v>822266667</v>
      </c>
      <c r="R187" s="100">
        <v>4.02267697685185</v>
      </c>
      <c r="S187" t="inlineStr">
        <is>
          <t>Hubo ejecución por encima de lo programado en SisPT</t>
        </is>
      </c>
      <c r="T187" s="101">
        <v>691636666</v>
      </c>
      <c r="U187" s="101">
        <v>404153336</v>
      </c>
      <c r="V187" s="101">
        <v>404153336</v>
      </c>
      <c r="W187" s="102">
        <v>1.20890512769036</v>
      </c>
      <c r="X187" t="inlineStr">
        <is>
          <t>Hubo ejecución por encima de lo programado en SisPT</t>
        </is>
      </c>
    </row>
    <row r="188">
      <c r="A188" t="inlineStr">
        <is>
          <t>IP-258, IP-261</t>
        </is>
      </c>
      <c r="B188" t="inlineStr">
        <is>
          <t>45</t>
        </is>
      </c>
      <c r="C188" t="inlineStr">
        <is>
          <t>Gobierno Territorial</t>
        </is>
      </c>
      <c r="D188" t="inlineStr">
        <is>
          <t>4599</t>
        </is>
      </c>
      <c r="E188" t="inlineStr">
        <is>
          <t>Fortalecimiento a la gestión y dirección de la administración pública territorial</t>
        </is>
      </c>
      <c r="F188" t="inlineStr">
        <is>
          <t>4599002</t>
        </is>
      </c>
      <c r="G188" t="inlineStr">
        <is>
          <t>Servicio de saneamiento fiscal y financiero</t>
        </is>
      </c>
      <c r="H188"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188" t="inlineStr">
        <is>
          <t>2024252140100</t>
        </is>
      </c>
      <c r="J188" s="99">
        <v>1241134218</v>
      </c>
      <c r="K188" s="99">
        <v>815700000</v>
      </c>
      <c r="L188" s="99">
        <v>25000000</v>
      </c>
      <c r="M188" s="99">
        <v>194858500</v>
      </c>
      <c r="N188" s="99">
        <v>205575718</v>
      </c>
      <c r="O188" s="99" t="inlineStr">
        <is>
          <t xml:space="preserve"> </t>
        </is>
      </c>
      <c r="P188" s="99" t="inlineStr">
        <is>
          <t xml:space="preserve"> </t>
        </is>
      </c>
      <c r="Q188" s="99" t="inlineStr">
        <is>
          <t xml:space="preserve"> </t>
        </is>
      </c>
      <c r="R188" s="100" t="inlineStr">
        <is>
          <t xml:space="preserve"> </t>
        </is>
      </c>
      <c r="S188" t="inlineStr">
        <is>
          <t>No se encontró ejecución en CUIPO</t>
        </is>
      </c>
      <c r="T188" s="101" t="inlineStr">
        <is>
          <t xml:space="preserve"> </t>
        </is>
      </c>
      <c r="U188" s="101" t="inlineStr">
        <is>
          <t xml:space="preserve"> </t>
        </is>
      </c>
      <c r="V188" s="101" t="inlineStr">
        <is>
          <t xml:space="preserve"> </t>
        </is>
      </c>
      <c r="W188" s="102" t="inlineStr">
        <is>
          <t xml:space="preserve"> </t>
        </is>
      </c>
      <c r="X188" t="inlineStr">
        <is>
          <t>No se encontró ejecución en CUIPO</t>
        </is>
      </c>
    </row>
    <row r="189">
      <c r="A189" t="inlineStr">
        <is>
          <t>IP-260</t>
        </is>
      </c>
      <c r="B189" t="inlineStr">
        <is>
          <t>45</t>
        </is>
      </c>
      <c r="C189" t="inlineStr">
        <is>
          <t>Gobierno Territorial</t>
        </is>
      </c>
      <c r="D189" t="inlineStr">
        <is>
          <t>4599</t>
        </is>
      </c>
      <c r="E189" t="inlineStr">
        <is>
          <t>Fortalecimiento a la gestión y dirección de la administración pública territorial</t>
        </is>
      </c>
      <c r="F189" t="inlineStr">
        <is>
          <t>4599030</t>
        </is>
      </c>
      <c r="G189" t="inlineStr">
        <is>
          <t xml:space="preserve">Servicio de educación informal </t>
        </is>
      </c>
      <c r="H189"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189" t="inlineStr">
        <is>
          <t>2024252140100</t>
        </is>
      </c>
      <c r="J189" s="99">
        <v>305482750</v>
      </c>
      <c r="K189" s="99">
        <v>0</v>
      </c>
      <c r="L189" s="99">
        <v>67000000</v>
      </c>
      <c r="M189" s="99">
        <v>116050000</v>
      </c>
      <c r="N189" s="99">
        <v>122432750</v>
      </c>
      <c r="O189" s="99" t="inlineStr">
        <is>
          <t xml:space="preserve"> </t>
        </is>
      </c>
      <c r="P189" s="99" t="inlineStr">
        <is>
          <t xml:space="preserve"> </t>
        </is>
      </c>
      <c r="Q189" s="99" t="inlineStr">
        <is>
          <t xml:space="preserve"> </t>
        </is>
      </c>
      <c r="R189" s="100" t="inlineStr">
        <is>
          <t xml:space="preserve"> </t>
        </is>
      </c>
      <c r="S189" t="inlineStr">
        <is>
          <t>No se encontró ejecución en CUIPO</t>
        </is>
      </c>
      <c r="T189" s="101" t="inlineStr">
        <is>
          <t xml:space="preserve"> </t>
        </is>
      </c>
      <c r="U189" s="101" t="inlineStr">
        <is>
          <t xml:space="preserve"> </t>
        </is>
      </c>
      <c r="V189" s="101" t="inlineStr">
        <is>
          <t xml:space="preserve"> </t>
        </is>
      </c>
      <c r="W189" s="102" t="inlineStr">
        <is>
          <t xml:space="preserve"> </t>
        </is>
      </c>
      <c r="X189" t="inlineStr">
        <is>
          <t>No se encontró ejecución en CUIPO</t>
        </is>
      </c>
    </row>
    <row r="190">
      <c r="A190" t="inlineStr">
        <is>
          <t>IP-262, IP-272</t>
        </is>
      </c>
      <c r="B190" t="inlineStr">
        <is>
          <t>45</t>
        </is>
      </c>
      <c r="C190" t="inlineStr">
        <is>
          <t>Gobierno Territorial</t>
        </is>
      </c>
      <c r="D190" t="inlineStr">
        <is>
          <t>4599</t>
        </is>
      </c>
      <c r="E190" t="inlineStr">
        <is>
          <t>Fortalecimiento a la gestión y dirección de la administración pública territorial</t>
        </is>
      </c>
      <c r="F190" t="inlineStr">
        <is>
          <t>4599018</t>
        </is>
      </c>
      <c r="G190" t="inlineStr">
        <is>
          <t>Documentos de lineamientos técnicos</t>
        </is>
      </c>
      <c r="H190" t="inlineStr">
        <is>
          <t>Documentos cuyo objetivo es describir y explicar instrumentos, estándares, requisitos y condiciones necesarias para llevar a cabo un proceso o actividad.</t>
        </is>
      </c>
      <c r="I190" t="inlineStr">
        <is>
          <t>2024252140102</t>
        </is>
      </c>
      <c r="J190" s="99">
        <v>1020000000</v>
      </c>
      <c r="K190" s="99">
        <v>360000000</v>
      </c>
      <c r="L190" s="99">
        <v>360000000</v>
      </c>
      <c r="M190" s="99">
        <v>0</v>
      </c>
      <c r="N190" s="99">
        <v>300000000</v>
      </c>
      <c r="O190" s="99">
        <v>115798138</v>
      </c>
      <c r="P190" s="99">
        <v>57298138</v>
      </c>
      <c r="Q190" s="99">
        <v>8666667</v>
      </c>
      <c r="R190" s="100">
        <v>0.159161494444444</v>
      </c>
      <c r="S190" t="inlineStr">
        <is>
          <t>Lo obligado está por debajo de lo programado en la vigencia</t>
        </is>
      </c>
      <c r="T190" s="101">
        <v>219699999</v>
      </c>
      <c r="U190" s="101">
        <v>35999999</v>
      </c>
      <c r="V190" s="101">
        <v>35999999</v>
      </c>
      <c r="W190" s="102">
        <v>0.0999999972222222</v>
      </c>
      <c r="X190" t="inlineStr">
        <is>
          <t>Lo obligado está por debajo de lo programado en la vigencia</t>
        </is>
      </c>
    </row>
    <row r="191">
      <c r="A191" t="inlineStr">
        <is>
          <t>IP-263</t>
        </is>
      </c>
      <c r="B191" t="inlineStr">
        <is>
          <t>45</t>
        </is>
      </c>
      <c r="C191" t="inlineStr">
        <is>
          <t>Gobierno Territorial</t>
        </is>
      </c>
      <c r="D191" t="inlineStr">
        <is>
          <t>4599</t>
        </is>
      </c>
      <c r="E191" t="inlineStr">
        <is>
          <t>Fortalecimiento a la gestión y dirección de la administración pública territorial</t>
        </is>
      </c>
      <c r="F191" t="inlineStr">
        <is>
          <t>4599038</t>
        </is>
      </c>
      <c r="G191" t="inlineStr">
        <is>
          <t>Servicio de apoyo financiero para el fortalecimiento del talento humano</t>
        </is>
      </c>
      <c r="H191" t="inlineStr">
        <is>
          <t>Corresponde al apoyo financiero para la realización de programas educativos, dirigidos a servidores públicos con el fin de contribuir a la formación del talento humano orientado al fortalecimiento de la capacidad institucional.</t>
        </is>
      </c>
      <c r="I191" t="inlineStr">
        <is>
          <t>2024252140102</t>
        </is>
      </c>
      <c r="J191" s="99">
        <v>1720000000</v>
      </c>
      <c r="K191" s="99">
        <v>60000000</v>
      </c>
      <c r="L191" s="99">
        <v>60000000</v>
      </c>
      <c r="M191" s="99">
        <v>800000000</v>
      </c>
      <c r="N191" s="99">
        <v>800000000</v>
      </c>
      <c r="O191" s="99" t="inlineStr">
        <is>
          <t xml:space="preserve"> </t>
        </is>
      </c>
      <c r="P191" s="99" t="inlineStr">
        <is>
          <t xml:space="preserve"> </t>
        </is>
      </c>
      <c r="Q191" s="99" t="inlineStr">
        <is>
          <t xml:space="preserve"> </t>
        </is>
      </c>
      <c r="R191" s="100" t="inlineStr">
        <is>
          <t xml:space="preserve"> </t>
        </is>
      </c>
      <c r="S191" t="inlineStr">
        <is>
          <t>No se encontró ejecución en CUIPO</t>
        </is>
      </c>
      <c r="T191" s="101">
        <v>27973411</v>
      </c>
      <c r="U191" s="101">
        <v>27973411</v>
      </c>
      <c r="V191" s="101">
        <v>27973411</v>
      </c>
      <c r="W191" s="102">
        <v>0.466223516666667</v>
      </c>
      <c r="X191" t="inlineStr">
        <is>
          <t>Lo obligado está por debajo de lo programado en la vigencia</t>
        </is>
      </c>
    </row>
    <row r="192">
      <c r="A192" t="inlineStr">
        <is>
          <t>IP-264</t>
        </is>
      </c>
      <c r="B192" t="inlineStr">
        <is>
          <t>45</t>
        </is>
      </c>
      <c r="C192" t="inlineStr">
        <is>
          <t>Gobierno Territorial</t>
        </is>
      </c>
      <c r="D192" t="inlineStr">
        <is>
          <t>4599</t>
        </is>
      </c>
      <c r="E192" t="inlineStr">
        <is>
          <t>Fortalecimiento a la gestión y dirección de la administración pública territorial</t>
        </is>
      </c>
      <c r="F192" t="inlineStr">
        <is>
          <t>4599030</t>
        </is>
      </c>
      <c r="G192" t="inlineStr">
        <is>
          <t xml:space="preserve">Servicio de educación informal </t>
        </is>
      </c>
      <c r="H192"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192" t="inlineStr">
        <is>
          <t>2024252140102</t>
        </is>
      </c>
      <c r="J192" s="99">
        <v>650000000</v>
      </c>
      <c r="K192" s="99">
        <v>125000000</v>
      </c>
      <c r="L192" s="99">
        <v>125000000</v>
      </c>
      <c r="M192" s="99">
        <v>200000000</v>
      </c>
      <c r="N192" s="99">
        <v>200000000</v>
      </c>
      <c r="O192" s="99">
        <v>11236310</v>
      </c>
      <c r="P192" s="99">
        <v>11236310</v>
      </c>
      <c r="Q192" s="99">
        <v>7310460</v>
      </c>
      <c r="R192" s="100">
        <v>0.08989048</v>
      </c>
      <c r="S192" t="inlineStr">
        <is>
          <t>Lo obligado está por debajo de lo programado en la vigencia</t>
        </is>
      </c>
      <c r="T192" s="101" t="inlineStr">
        <is>
          <t xml:space="preserve"> </t>
        </is>
      </c>
      <c r="U192" s="101" t="inlineStr">
        <is>
          <t xml:space="preserve"> </t>
        </is>
      </c>
      <c r="V192" s="101" t="inlineStr">
        <is>
          <t xml:space="preserve"> </t>
        </is>
      </c>
      <c r="W192" s="102" t="inlineStr">
        <is>
          <t xml:space="preserve"> </t>
        </is>
      </c>
      <c r="X192" t="inlineStr">
        <is>
          <t>No se encontró ejecución en CUIPO</t>
        </is>
      </c>
    </row>
    <row r="193">
      <c r="A193" t="inlineStr">
        <is>
          <t>IP-265</t>
        </is>
      </c>
      <c r="B193" t="inlineStr">
        <is>
          <t>45</t>
        </is>
      </c>
      <c r="C193" t="inlineStr">
        <is>
          <t>Gobierno Territorial</t>
        </is>
      </c>
      <c r="D193" t="inlineStr">
        <is>
          <t>4599</t>
        </is>
      </c>
      <c r="E193" t="inlineStr">
        <is>
          <t>Fortalecimiento a la gestión y dirección de la administración pública territorial</t>
        </is>
      </c>
      <c r="F193" t="inlineStr">
        <is>
          <t>4599018</t>
        </is>
      </c>
      <c r="G193" t="inlineStr">
        <is>
          <t>Documentos de lineamientos técnicos</t>
        </is>
      </c>
      <c r="H193" t="inlineStr">
        <is>
          <t>Documentos cuyo objetivo es describir y explicar instrumentos, estándares, requisitos y condiciones necesarias para llevar a cabo un proceso o actividad.</t>
        </is>
      </c>
      <c r="I193" t="inlineStr">
        <is>
          <t>2024252140161</t>
        </is>
      </c>
      <c r="J193" s="99">
        <v>871102430.016</v>
      </c>
      <c r="K193" s="99">
        <v>58000000</v>
      </c>
      <c r="L193" s="99">
        <v>200000000</v>
      </c>
      <c r="M193" s="99">
        <v>300246048</v>
      </c>
      <c r="N193" s="99">
        <v>312856382.016</v>
      </c>
      <c r="O193" s="99">
        <v>64583327</v>
      </c>
      <c r="P193" s="99">
        <v>64583327</v>
      </c>
      <c r="Q193" s="99">
        <v>64583327</v>
      </c>
      <c r="R193" s="100">
        <v>1.11350563793103</v>
      </c>
      <c r="S193" t="inlineStr">
        <is>
          <t>Hubo ejecución por encima de lo programado en SisPT</t>
        </is>
      </c>
      <c r="T193" s="101" t="inlineStr">
        <is>
          <t xml:space="preserve"> </t>
        </is>
      </c>
      <c r="U193" s="101" t="inlineStr">
        <is>
          <t xml:space="preserve"> </t>
        </is>
      </c>
      <c r="V193" s="101" t="inlineStr">
        <is>
          <t xml:space="preserve"> </t>
        </is>
      </c>
      <c r="W193" s="102" t="inlineStr">
        <is>
          <t xml:space="preserve"> </t>
        </is>
      </c>
      <c r="X193" t="inlineStr">
        <is>
          <t>No se encontró ejecución en CUIPO</t>
        </is>
      </c>
    </row>
    <row r="194">
      <c r="A194" t="inlineStr">
        <is>
          <t>IP-266</t>
        </is>
      </c>
      <c r="B194" t="inlineStr">
        <is>
          <t>45</t>
        </is>
      </c>
      <c r="C194" t="inlineStr">
        <is>
          <t>Gobierno Territorial</t>
        </is>
      </c>
      <c r="D194" t="inlineStr">
        <is>
          <t>4599</t>
        </is>
      </c>
      <c r="E194" t="inlineStr">
        <is>
          <t>Fortalecimiento a la gestión y dirección de la administración pública territorial</t>
        </is>
      </c>
      <c r="F194" t="inlineStr">
        <is>
          <t>4599032</t>
        </is>
      </c>
      <c r="G194" t="inlineStr">
        <is>
          <t>Documentos de política</t>
        </is>
      </c>
      <c r="H194" t="inlineStr">
        <is>
          <t>Documentos cuyo objetivo es dar una orientación frente a las acciones que el Estado debe realizar en el marco de una tema específico con el fin de suplir necesidades de interés público, materializables en los diferentes instrumentos de planeación y presupuestación.</t>
        </is>
      </c>
      <c r="I194" t="inlineStr">
        <is>
          <t>2024252140161</t>
        </is>
      </c>
      <c r="J194" s="99">
        <v>679819293.056</v>
      </c>
      <c r="K194" s="99">
        <v>50000000</v>
      </c>
      <c r="L194" s="99">
        <v>150000000</v>
      </c>
      <c r="M194" s="99">
        <v>234975168</v>
      </c>
      <c r="N194" s="99">
        <v>244844125.056</v>
      </c>
      <c r="O194" s="99">
        <v>30200000</v>
      </c>
      <c r="P194" s="99">
        <v>23533333</v>
      </c>
      <c r="Q194" s="99">
        <v>23533333</v>
      </c>
      <c r="R194" s="100">
        <v>0.47066666</v>
      </c>
      <c r="S194" t="inlineStr">
        <is>
          <t>Lo obligado está por debajo de lo programado en la vigencia</t>
        </is>
      </c>
      <c r="T194" s="101">
        <v>166283333</v>
      </c>
      <c r="U194" s="101">
        <v>113050000</v>
      </c>
      <c r="V194" s="101">
        <v>113050000</v>
      </c>
      <c r="W194" s="102">
        <v>0.753666666666667</v>
      </c>
      <c r="X194" t="inlineStr">
        <is>
          <t>Lo obligado está por debajo de lo programado en la vigencia</t>
        </is>
      </c>
    </row>
    <row r="195">
      <c r="A195" t="inlineStr">
        <is>
          <t>IP-267</t>
        </is>
      </c>
      <c r="B195" t="inlineStr">
        <is>
          <t>45</t>
        </is>
      </c>
      <c r="C195" t="inlineStr">
        <is>
          <t>Gobierno Territorial</t>
        </is>
      </c>
      <c r="D195" t="inlineStr">
        <is>
          <t>4599</t>
        </is>
      </c>
      <c r="E195" t="inlineStr">
        <is>
          <t>Fortalecimiento a la gestión y dirección de la administración pública territorial</t>
        </is>
      </c>
      <c r="F195" t="inlineStr">
        <is>
          <t>4599037</t>
        </is>
      </c>
      <c r="G195" t="inlineStr">
        <is>
          <t>Servicio de actualización del Sistema de Gestión</t>
        </is>
      </c>
      <c r="H195" t="inlineStr">
        <is>
          <t>Contempla actividades de apoyo, necesarias para la actualización del sistema de gestión y de desempeño institucional en el marco del Modelo Integrado de Planeación y Gestión – MIPG.</t>
        </is>
      </c>
      <c r="I195" t="inlineStr">
        <is>
          <t>2024252140161</t>
        </is>
      </c>
      <c r="J195" s="99">
        <v>1115400000</v>
      </c>
      <c r="K195" s="99">
        <v>15400000</v>
      </c>
      <c r="L195" s="99">
        <v>100000000</v>
      </c>
      <c r="M195" s="99">
        <v>500000000</v>
      </c>
      <c r="N195" s="99">
        <v>500000000</v>
      </c>
      <c r="O195" s="99" t="inlineStr">
        <is>
          <t xml:space="preserve"> </t>
        </is>
      </c>
      <c r="P195" s="99" t="inlineStr">
        <is>
          <t xml:space="preserve"> </t>
        </is>
      </c>
      <c r="Q195" s="99" t="inlineStr">
        <is>
          <t xml:space="preserve"> </t>
        </is>
      </c>
      <c r="R195" s="100" t="inlineStr">
        <is>
          <t xml:space="preserve"> </t>
        </is>
      </c>
      <c r="S195" t="inlineStr">
        <is>
          <t>No se encontró ejecución en CUIPO</t>
        </is>
      </c>
      <c r="T195" s="101" t="inlineStr">
        <is>
          <t xml:space="preserve"> </t>
        </is>
      </c>
      <c r="U195" s="101" t="inlineStr">
        <is>
          <t xml:space="preserve"> </t>
        </is>
      </c>
      <c r="V195" s="101" t="inlineStr">
        <is>
          <t xml:space="preserve"> </t>
        </is>
      </c>
      <c r="W195" s="102" t="inlineStr">
        <is>
          <t xml:space="preserve"> </t>
        </is>
      </c>
      <c r="X195" t="inlineStr">
        <is>
          <t>No se encontró ejecución en CUIPO</t>
        </is>
      </c>
    </row>
    <row r="196">
      <c r="A196" t="inlineStr">
        <is>
          <t>IP-268</t>
        </is>
      </c>
      <c r="B196" t="inlineStr">
        <is>
          <t>45</t>
        </is>
      </c>
      <c r="C196" t="inlineStr">
        <is>
          <t>Gobierno Territorial</t>
        </is>
      </c>
      <c r="D196" t="inlineStr">
        <is>
          <t>4599</t>
        </is>
      </c>
      <c r="E196" t="inlineStr">
        <is>
          <t>Fortalecimiento a la gestión y dirección de la administración pública territorial</t>
        </is>
      </c>
      <c r="F196" t="inlineStr">
        <is>
          <t>4599023</t>
        </is>
      </c>
      <c r="G196" t="inlineStr">
        <is>
          <t>Servicio de Implementación Sistemas de Gestión</t>
        </is>
      </c>
      <c r="H196"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196" t="inlineStr">
        <is>
          <t>2024252140161</t>
        </is>
      </c>
      <c r="J196" s="99">
        <v>1306600000</v>
      </c>
      <c r="K196" s="99">
        <v>56600000</v>
      </c>
      <c r="L196" s="99">
        <v>250000000</v>
      </c>
      <c r="M196" s="99">
        <v>400000000</v>
      </c>
      <c r="N196" s="99">
        <v>600000000</v>
      </c>
      <c r="O196" s="99">
        <v>50200000</v>
      </c>
      <c r="P196" s="99">
        <v>50200000</v>
      </c>
      <c r="Q196" s="99">
        <v>50200000</v>
      </c>
      <c r="R196" s="100">
        <v>0.886925795053004</v>
      </c>
      <c r="S196" t="inlineStr">
        <is>
          <t>Lo obligado está por debajo de lo programado en la vigencia</t>
        </is>
      </c>
      <c r="T196" s="101">
        <v>300400000</v>
      </c>
      <c r="U196" s="101">
        <v>230900000</v>
      </c>
      <c r="V196" s="101">
        <v>230900000</v>
      </c>
      <c r="W196" s="102">
        <v>0.9236</v>
      </c>
      <c r="X196" t="inlineStr">
        <is>
          <t>Lo obligado está por debajo de lo programado en la vigencia</t>
        </is>
      </c>
    </row>
    <row r="197">
      <c r="A197" t="inlineStr">
        <is>
          <t>IP-269</t>
        </is>
      </c>
      <c r="B197" t="inlineStr">
        <is>
          <t>45</t>
        </is>
      </c>
      <c r="C197" t="inlineStr">
        <is>
          <t>Gobierno Territorial</t>
        </is>
      </c>
      <c r="D197" t="inlineStr">
        <is>
          <t>4599</t>
        </is>
      </c>
      <c r="E197" t="inlineStr">
        <is>
          <t>Fortalecimiento a la gestión y dirección de la administración pública territorial</t>
        </is>
      </c>
      <c r="F197" t="inlineStr">
        <is>
          <t>4599033</t>
        </is>
      </c>
      <c r="G197" t="inlineStr">
        <is>
          <t>Servicio de información para el registro administrativo de SISBEN</t>
        </is>
      </c>
      <c r="H197" t="inlineStr">
        <is>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is>
      </c>
      <c r="I197" t="inlineStr">
        <is>
          <t>2024252140161</t>
        </is>
      </c>
      <c r="J197" s="99">
        <v>1176251599.62</v>
      </c>
      <c r="K197" s="99">
        <v>42999999.62</v>
      </c>
      <c r="L197" s="99">
        <v>140000000</v>
      </c>
      <c r="M197" s="99">
        <v>475240000</v>
      </c>
      <c r="N197" s="99">
        <v>518011600</v>
      </c>
      <c r="O197" s="99">
        <v>25833333</v>
      </c>
      <c r="P197" s="99">
        <v>25249996</v>
      </c>
      <c r="Q197" s="99">
        <v>25249996</v>
      </c>
      <c r="R197" s="100">
        <v>0.587209214491616</v>
      </c>
      <c r="S197" t="inlineStr">
        <is>
          <t>Lo obligado está por debajo de lo programado en la vigencia</t>
        </is>
      </c>
      <c r="T197" s="101">
        <v>151549999</v>
      </c>
      <c r="U197" s="101">
        <v>98933334</v>
      </c>
      <c r="V197" s="101">
        <v>98933334</v>
      </c>
      <c r="W197" s="102">
        <v>0.706666671428571</v>
      </c>
      <c r="X197" t="inlineStr">
        <is>
          <t>Lo obligado está por debajo de lo programado en la vigencia</t>
        </is>
      </c>
    </row>
    <row r="198">
      <c r="A198" t="inlineStr">
        <is>
          <t>IP-270, IP-273</t>
        </is>
      </c>
      <c r="B198" t="inlineStr">
        <is>
          <t>45</t>
        </is>
      </c>
      <c r="C198" t="inlineStr">
        <is>
          <t>Gobierno Territorial</t>
        </is>
      </c>
      <c r="D198" t="inlineStr">
        <is>
          <t>4599</t>
        </is>
      </c>
      <c r="E198" t="inlineStr">
        <is>
          <t>Fortalecimiento a la gestión y dirección de la administración pública territorial</t>
        </is>
      </c>
      <c r="F198" t="inlineStr">
        <is>
          <t>4599019</t>
        </is>
      </c>
      <c r="G198" t="inlineStr">
        <is>
          <t>Documentos de planeación</t>
        </is>
      </c>
      <c r="H198"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98" t="inlineStr">
        <is>
          <t>2024252140161</t>
        </is>
      </c>
      <c r="J198" s="99">
        <v>2675000000</v>
      </c>
      <c r="K198" s="99">
        <v>55000000</v>
      </c>
      <c r="L198" s="99">
        <v>220000000</v>
      </c>
      <c r="M198" s="99">
        <v>1200000000</v>
      </c>
      <c r="N198" s="99">
        <v>1200000000</v>
      </c>
      <c r="O198" s="99">
        <v>43533333</v>
      </c>
      <c r="P198" s="99">
        <v>43533333</v>
      </c>
      <c r="Q198" s="99">
        <v>43533333</v>
      </c>
      <c r="R198" s="100">
        <v>0.791515145454545</v>
      </c>
      <c r="S198" t="inlineStr">
        <is>
          <t>Lo obligado está por debajo de lo programado en la vigencia</t>
        </is>
      </c>
      <c r="T198" s="101">
        <v>257300000</v>
      </c>
      <c r="U198" s="101">
        <v>169016667</v>
      </c>
      <c r="V198" s="101">
        <v>169016667</v>
      </c>
      <c r="W198" s="102">
        <v>0.768257577272727</v>
      </c>
      <c r="X198" t="inlineStr">
        <is>
          <t>Lo obligado está por debajo de lo programado en la vigencia</t>
        </is>
      </c>
    </row>
    <row r="199">
      <c r="A199" t="inlineStr">
        <is>
          <t>IP-271</t>
        </is>
      </c>
      <c r="B199" t="inlineStr">
        <is>
          <t>45</t>
        </is>
      </c>
      <c r="C199" t="inlineStr">
        <is>
          <t>Gobierno Territorial</t>
        </is>
      </c>
      <c r="D199" t="inlineStr">
        <is>
          <t>4599</t>
        </is>
      </c>
      <c r="E199" t="inlineStr">
        <is>
          <t>Fortalecimiento a la gestión y dirección de la administración pública territorial</t>
        </is>
      </c>
      <c r="F199" t="inlineStr">
        <is>
          <t>4599019</t>
        </is>
      </c>
      <c r="G199" t="inlineStr">
        <is>
          <t>Documentos de planeación</t>
        </is>
      </c>
      <c r="H199"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99" t="inlineStr">
        <is>
          <t>2024252140089</t>
        </is>
      </c>
      <c r="J199" s="99">
        <v>697534087</v>
      </c>
      <c r="K199" s="99">
        <v>114744087</v>
      </c>
      <c r="L199" s="99">
        <v>100000000</v>
      </c>
      <c r="M199" s="99">
        <v>229900000</v>
      </c>
      <c r="N199" s="99">
        <v>252890000</v>
      </c>
      <c r="O199" s="99" t="inlineStr">
        <is>
          <t xml:space="preserve"> </t>
        </is>
      </c>
      <c r="P199" s="99" t="inlineStr">
        <is>
          <t xml:space="preserve"> </t>
        </is>
      </c>
      <c r="Q199" s="99" t="inlineStr">
        <is>
          <t xml:space="preserve"> </t>
        </is>
      </c>
      <c r="R199" s="100" t="inlineStr">
        <is>
          <t xml:space="preserve"> </t>
        </is>
      </c>
      <c r="S199" t="inlineStr">
        <is>
          <t>No se encontró ejecución en CUIPO</t>
        </is>
      </c>
      <c r="T199" s="101">
        <v>114744087</v>
      </c>
      <c r="U199" s="101">
        <v>114744087</v>
      </c>
      <c r="V199" s="101">
        <v>114744087</v>
      </c>
      <c r="W199" s="102">
        <v>1.14744087</v>
      </c>
      <c r="X199" t="inlineStr">
        <is>
          <t>Hubo ejecución por encima de lo programado en SisPT</t>
        </is>
      </c>
    </row>
    <row r="200">
      <c r="A200" t="inlineStr">
        <is>
          <t>IP-274, IP-275</t>
        </is>
      </c>
      <c r="B200" t="inlineStr">
        <is>
          <t>45</t>
        </is>
      </c>
      <c r="C200" t="inlineStr">
        <is>
          <t>Gobierno Territorial</t>
        </is>
      </c>
      <c r="D200" t="inlineStr">
        <is>
          <t>4501</t>
        </is>
      </c>
      <c r="E200" t="inlineStr">
        <is>
          <t>Fortalecimiento de la convivencia y la seguridad ciudadana</t>
        </is>
      </c>
      <c r="F200" t="inlineStr">
        <is>
          <t>4501042</t>
        </is>
      </c>
      <c r="G200" t="inlineStr">
        <is>
          <t>Infraestructura para la promoción a la cultura de la legalidad y a la convivencia construida y dotada</t>
        </is>
      </c>
      <c r="H200" t="inlineStr">
        <is>
          <t xml:space="preserve">Incluye la construcción de Infraestructura para la promoción a la cultura de la legalidad y a la convivencia en terrenos no construidos o cuya área esté libre por autorización de demolición total. A su vez, contiene la dotación a la infraestructura construida. </t>
        </is>
      </c>
      <c r="I200" t="inlineStr">
        <is>
          <t>2024252140122</t>
        </is>
      </c>
      <c r="J200" s="99">
        <v>6042623105.14</v>
      </c>
      <c r="K200" s="99">
        <v>32623105.14</v>
      </c>
      <c r="L200" s="99">
        <v>10000000</v>
      </c>
      <c r="M200" s="99">
        <v>6000000000</v>
      </c>
      <c r="N200" s="99">
        <v>0</v>
      </c>
      <c r="O200" s="99">
        <v>0</v>
      </c>
      <c r="P200" s="99">
        <v>0</v>
      </c>
      <c r="Q200" s="99">
        <v>0</v>
      </c>
      <c r="R200" s="100">
        <v>0</v>
      </c>
      <c r="S200" t="inlineStr">
        <is>
          <t>No se ejecutó en la vigencia</t>
        </is>
      </c>
      <c r="T200" s="101" t="inlineStr">
        <is>
          <t xml:space="preserve"> </t>
        </is>
      </c>
      <c r="U200" s="101" t="inlineStr">
        <is>
          <t xml:space="preserve"> </t>
        </is>
      </c>
      <c r="V200" s="101" t="inlineStr">
        <is>
          <t xml:space="preserve"> </t>
        </is>
      </c>
      <c r="W200" s="102" t="inlineStr">
        <is>
          <t xml:space="preserve"> </t>
        </is>
      </c>
      <c r="X200" t="inlineStr">
        <is>
          <t>No se encontró ejecución en CUIPO</t>
        </is>
      </c>
    </row>
    <row r="201">
      <c r="A201" t="inlineStr">
        <is>
          <t>IP-276</t>
        </is>
      </c>
      <c r="B201" t="inlineStr">
        <is>
          <t>45</t>
        </is>
      </c>
      <c r="C201" t="inlineStr">
        <is>
          <t>Gobierno Territorial</t>
        </is>
      </c>
      <c r="D201" t="inlineStr">
        <is>
          <t>4501</t>
        </is>
      </c>
      <c r="E201" t="inlineStr">
        <is>
          <t>Fortalecimiento de la convivencia y la seguridad ciudadana</t>
        </is>
      </c>
      <c r="F201" t="inlineStr">
        <is>
          <t>4501026</t>
        </is>
      </c>
      <c r="G201" t="inlineStr">
        <is>
          <t>Documentos Planeacion</t>
        </is>
      </c>
      <c r="H201" t="inlineStr">
        <is>
          <t>Documentos cuyo objetivo es plasmar una visión de futuro a anivel de entidad territorial, comunidad, sector, región, entidad o cualquier nivel de desagregación que se requiera. Incluye objetivos, estrategias, metas e indicadores.</t>
        </is>
      </c>
      <c r="I201" t="inlineStr">
        <is>
          <t>2024252140138</t>
        </is>
      </c>
      <c r="J201" s="99">
        <v>1258490000</v>
      </c>
      <c r="K201" s="99">
        <v>38000000</v>
      </c>
      <c r="L201" s="99">
        <v>342600000</v>
      </c>
      <c r="M201" s="99">
        <v>403945000</v>
      </c>
      <c r="N201" s="99">
        <v>473945000</v>
      </c>
      <c r="O201" s="99">
        <v>16616666</v>
      </c>
      <c r="P201" s="99">
        <v>16616666</v>
      </c>
      <c r="Q201" s="99">
        <v>16616666</v>
      </c>
      <c r="R201" s="100">
        <v>0.437280684210526</v>
      </c>
      <c r="S201" t="inlineStr">
        <is>
          <t>Lo obligado está por debajo de lo programado en la vigencia</t>
        </is>
      </c>
      <c r="T201" s="101">
        <v>240567381</v>
      </c>
      <c r="U201" s="101">
        <v>64642000</v>
      </c>
      <c r="V201" s="101">
        <v>64642000</v>
      </c>
      <c r="W201" s="102">
        <v>0.188680677174548</v>
      </c>
      <c r="X201" t="inlineStr">
        <is>
          <t>Lo obligado está por debajo de lo programado en la vigencia</t>
        </is>
      </c>
    </row>
    <row r="202">
      <c r="A202" t="inlineStr">
        <is>
          <t>IP-277</t>
        </is>
      </c>
      <c r="B202" t="inlineStr">
        <is>
          <t>45</t>
        </is>
      </c>
      <c r="C202" t="inlineStr">
        <is>
          <t>Gobierno Territorial</t>
        </is>
      </c>
      <c r="D202" t="inlineStr">
        <is>
          <t>4501</t>
        </is>
      </c>
      <c r="E202" t="inlineStr">
        <is>
          <t>Fortalecimiento de la convivencia y la seguridad ciudadana</t>
        </is>
      </c>
      <c r="F202" t="inlineStr">
        <is>
          <t>4501046</t>
        </is>
      </c>
      <c r="G202" t="inlineStr">
        <is>
          <t>Documentos de lineamientos técnicos</t>
        </is>
      </c>
      <c r="H202" t="inlineStr">
        <is>
          <t>Documentos cuyo objetivo es describir y explicar instrumentos, estándares, requisitos y condiciones necesarias para llevar a cabo un proceso o actividad.</t>
        </is>
      </c>
      <c r="I202" t="inlineStr">
        <is>
          <t>2024252140138</t>
        </is>
      </c>
      <c r="J202" s="99">
        <v>1088400000</v>
      </c>
      <c r="K202" s="99">
        <v>58000000</v>
      </c>
      <c r="L202" s="99">
        <v>340400000</v>
      </c>
      <c r="M202" s="99">
        <v>340000000</v>
      </c>
      <c r="N202" s="99">
        <v>350000000</v>
      </c>
      <c r="O202" s="99">
        <v>49000000</v>
      </c>
      <c r="P202" s="99">
        <v>34049333</v>
      </c>
      <c r="Q202" s="99">
        <v>26049333</v>
      </c>
      <c r="R202" s="100">
        <v>0.587057465517241</v>
      </c>
      <c r="S202" t="inlineStr">
        <is>
          <t>Lo obligado está por debajo de lo programado en la vigencia</t>
        </is>
      </c>
      <c r="T202" s="101">
        <v>235200000</v>
      </c>
      <c r="U202" s="101">
        <v>61686667</v>
      </c>
      <c r="V202" s="101">
        <v>61686667</v>
      </c>
      <c r="W202" s="102">
        <v>0.181218175675676</v>
      </c>
      <c r="X202" t="inlineStr">
        <is>
          <t>Lo obligado está por debajo de lo programado en la vigencia</t>
        </is>
      </c>
    </row>
    <row r="203">
      <c r="A203" t="inlineStr">
        <is>
          <t>IP-278</t>
        </is>
      </c>
      <c r="B203" t="inlineStr">
        <is>
          <t>45</t>
        </is>
      </c>
      <c r="C203" t="inlineStr">
        <is>
          <t>Gobierno Territorial</t>
        </is>
      </c>
      <c r="D203" t="inlineStr">
        <is>
          <t>4502</t>
        </is>
      </c>
      <c r="E203" t="inlineStr">
        <is>
          <t>Fortalecimiento del buen gobierno para el respeto y garantía de los derechos humanos.</t>
        </is>
      </c>
      <c r="F203" t="inlineStr">
        <is>
          <t>4502024</t>
        </is>
      </c>
      <c r="G203" t="inlineStr">
        <is>
          <t>Servicio de apoyo para la implementación de medidas en derechos humanos y derecho internacional humanitario</t>
        </is>
      </c>
      <c r="H203" t="inlineStr">
        <is>
          <t xml:space="preserve"> Implementar decisiones de instancias internacionales frente a violaciones de Derechos Humanos para el cumplimiento de las obligaciones que tiene el Estado colombiano.</t>
        </is>
      </c>
      <c r="I203" t="inlineStr">
        <is>
          <t>2024252140139</t>
        </is>
      </c>
      <c r="J203" s="99">
        <v>939392000</v>
      </c>
      <c r="K203" s="99">
        <v>57000000</v>
      </c>
      <c r="L203" s="99">
        <v>213000000</v>
      </c>
      <c r="M203" s="99">
        <v>323696000</v>
      </c>
      <c r="N203" s="99">
        <v>345696000</v>
      </c>
      <c r="O203" s="99" t="inlineStr">
        <is>
          <t xml:space="preserve"> </t>
        </is>
      </c>
      <c r="P203" s="99" t="inlineStr">
        <is>
          <t xml:space="preserve"> </t>
        </is>
      </c>
      <c r="Q203" s="99" t="inlineStr">
        <is>
          <t xml:space="preserve"> </t>
        </is>
      </c>
      <c r="R203" s="100" t="inlineStr">
        <is>
          <t xml:space="preserve"> </t>
        </is>
      </c>
      <c r="S203" t="inlineStr">
        <is>
          <t>No se encontró ejecución en CUIPO</t>
        </is>
      </c>
      <c r="T203" s="101" t="inlineStr">
        <is>
          <t xml:space="preserve"> </t>
        </is>
      </c>
      <c r="U203" s="101" t="inlineStr">
        <is>
          <t xml:space="preserve"> </t>
        </is>
      </c>
      <c r="V203" s="101" t="inlineStr">
        <is>
          <t xml:space="preserve"> </t>
        </is>
      </c>
      <c r="W203" s="102" t="inlineStr">
        <is>
          <t xml:space="preserve"> </t>
        </is>
      </c>
      <c r="X203" t="inlineStr">
        <is>
          <t>No se encontró ejecución en CUIPO</t>
        </is>
      </c>
    </row>
    <row r="204">
      <c r="A204" t="inlineStr">
        <is>
          <t>IP-279, IP-283</t>
        </is>
      </c>
      <c r="B204" t="inlineStr">
        <is>
          <t>45</t>
        </is>
      </c>
      <c r="C204" t="inlineStr">
        <is>
          <t>Gobierno Territorial</t>
        </is>
      </c>
      <c r="D204" t="inlineStr">
        <is>
          <t>4502</t>
        </is>
      </c>
      <c r="E204" t="inlineStr">
        <is>
          <t>Fortalecimiento del buen gobierno para el respeto y garantía de los derechos humanos.</t>
        </is>
      </c>
      <c r="F204" t="inlineStr">
        <is>
          <t>4502001</t>
        </is>
      </c>
      <c r="G204" t="inlineStr">
        <is>
          <t>Servicio de promoción a la participación ciudadana</t>
        </is>
      </c>
      <c r="H204" t="inlineStr">
        <is>
          <t>Corresponde al diseño e implementación de acciones y estrategias que promuevan el ejercicio de la participación ciudadana para el respeto y garantía de los derechos humanos</t>
        </is>
      </c>
      <c r="I204" t="inlineStr">
        <is>
          <t>2024252140157</t>
        </is>
      </c>
      <c r="J204" s="99">
        <v>865831300</v>
      </c>
      <c r="K204" s="99">
        <v>516843560</v>
      </c>
      <c r="L204" s="99">
        <v>150000000</v>
      </c>
      <c r="M204" s="99">
        <v>96286000</v>
      </c>
      <c r="N204" s="99">
        <v>102701740</v>
      </c>
      <c r="O204" s="99">
        <v>16133333</v>
      </c>
      <c r="P204" s="99">
        <v>16133333</v>
      </c>
      <c r="Q204" s="99">
        <v>16133333</v>
      </c>
      <c r="R204" s="100">
        <v>0.0312151185554097</v>
      </c>
      <c r="S204" t="inlineStr">
        <is>
          <t>Lo obligado está por debajo de lo programado en la vigencia</t>
        </is>
      </c>
      <c r="T204" s="101" t="inlineStr">
        <is>
          <t xml:space="preserve"> </t>
        </is>
      </c>
      <c r="U204" s="101" t="inlineStr">
        <is>
          <t xml:space="preserve"> </t>
        </is>
      </c>
      <c r="V204" s="101" t="inlineStr">
        <is>
          <t xml:space="preserve"> </t>
        </is>
      </c>
      <c r="W204" s="102" t="inlineStr">
        <is>
          <t xml:space="preserve"> </t>
        </is>
      </c>
      <c r="X204" t="inlineStr">
        <is>
          <t>No se encontró ejecución en CUIPO</t>
        </is>
      </c>
    </row>
    <row r="205">
      <c r="A205" t="inlineStr">
        <is>
          <t>IP-280</t>
        </is>
      </c>
      <c r="B205" t="inlineStr">
        <is>
          <t>45</t>
        </is>
      </c>
      <c r="C205" t="inlineStr">
        <is>
          <t>Gobierno Territorial</t>
        </is>
      </c>
      <c r="D205" t="inlineStr">
        <is>
          <t>4502</t>
        </is>
      </c>
      <c r="E205" t="inlineStr">
        <is>
          <t>Fortalecimiento del buen gobierno para el respeto y garantía de los derechos humanos.</t>
        </is>
      </c>
      <c r="F205" t="inlineStr">
        <is>
          <t>4502034</t>
        </is>
      </c>
      <c r="G205" t="inlineStr">
        <is>
          <t xml:space="preserve">Servicio de educación informal </t>
        </is>
      </c>
      <c r="H205"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205" t="inlineStr">
        <is>
          <t>2024252140103</t>
        </is>
      </c>
      <c r="J205" s="99">
        <v>653522360</v>
      </c>
      <c r="K205" s="99">
        <v>126761180</v>
      </c>
      <c r="L205" s="99">
        <v>126761180</v>
      </c>
      <c r="M205" s="99">
        <v>200000000</v>
      </c>
      <c r="N205" s="99">
        <v>200000000</v>
      </c>
      <c r="O205" s="99">
        <v>30000000</v>
      </c>
      <c r="P205" s="99">
        <v>0</v>
      </c>
      <c r="Q205" s="99">
        <v>0</v>
      </c>
      <c r="R205" s="100">
        <v>0</v>
      </c>
      <c r="S205" t="inlineStr">
        <is>
          <t>No se ejecutó en la vigencia</t>
        </is>
      </c>
      <c r="T205" s="101" t="inlineStr">
        <is>
          <t xml:space="preserve"> </t>
        </is>
      </c>
      <c r="U205" s="101" t="inlineStr">
        <is>
          <t xml:space="preserve"> </t>
        </is>
      </c>
      <c r="V205" s="101" t="inlineStr">
        <is>
          <t xml:space="preserve"> </t>
        </is>
      </c>
      <c r="W205" s="102" t="inlineStr">
        <is>
          <t xml:space="preserve"> </t>
        </is>
      </c>
      <c r="X205" t="inlineStr">
        <is>
          <t>No se encontró ejecución en CUIPO</t>
        </is>
      </c>
    </row>
    <row r="206">
      <c r="A206" t="inlineStr">
        <is>
          <t>IP-281, IP-282</t>
        </is>
      </c>
      <c r="B206" t="inlineStr">
        <is>
          <t>45</t>
        </is>
      </c>
      <c r="C206" t="inlineStr">
        <is>
          <t>Gobierno Territorial</t>
        </is>
      </c>
      <c r="D206" t="inlineStr">
        <is>
          <t>4502</t>
        </is>
      </c>
      <c r="E206" t="inlineStr">
        <is>
          <t>Fortalecimiento del buen gobierno para el respeto y garantía de los derechos humanos.</t>
        </is>
      </c>
      <c r="F206" t="inlineStr">
        <is>
          <t>4502001</t>
        </is>
      </c>
      <c r="G206" t="inlineStr">
        <is>
          <t>Servicio de promoción a la participación ciudadana</t>
        </is>
      </c>
      <c r="H206" t="inlineStr">
        <is>
          <t>Corresponde al diseño e implementación de acciones y estrategias que promuevan el ejercicio de la participación ciudadana para el respeto y garantía de los derechos humanos</t>
        </is>
      </c>
      <c r="I206" t="inlineStr">
        <is>
          <t>2024252140131</t>
        </is>
      </c>
      <c r="J206" s="99">
        <v>2685090453.5</v>
      </c>
      <c r="K206" s="99">
        <v>416282453.5</v>
      </c>
      <c r="L206" s="99">
        <v>1182200000</v>
      </c>
      <c r="M206" s="99">
        <v>582304000</v>
      </c>
      <c r="N206" s="99">
        <v>504304000</v>
      </c>
      <c r="O206" s="99">
        <v>451181592</v>
      </c>
      <c r="P206" s="99">
        <v>151813332</v>
      </c>
      <c r="Q206" s="99">
        <v>65813332</v>
      </c>
      <c r="R206" s="100">
        <v>0.364688280093458</v>
      </c>
      <c r="S206" t="inlineStr">
        <is>
          <t>Lo obligado está por debajo de lo programado en la vigencia</t>
        </is>
      </c>
      <c r="T206" s="101">
        <v>602499998</v>
      </c>
      <c r="U206" s="101">
        <v>324966666</v>
      </c>
      <c r="V206" s="101">
        <v>324966666</v>
      </c>
      <c r="W206" s="102">
        <v>0.274882985958383</v>
      </c>
      <c r="X206" t="inlineStr">
        <is>
          <t>Lo obligado está por debajo de lo programado en la vigencia</t>
        </is>
      </c>
    </row>
    <row r="207">
      <c r="A207" t="inlineStr">
        <is>
          <t>IP-284, IP-285</t>
        </is>
      </c>
      <c r="B207" t="inlineStr">
        <is>
          <t>39</t>
        </is>
      </c>
      <c r="C207" t="inlineStr">
        <is>
          <t xml:space="preserve">Ciencia, tecnología e innovación
</t>
        </is>
      </c>
      <c r="D207" t="inlineStr">
        <is>
          <t>3906</t>
        </is>
      </c>
      <c r="E207" t="inlineStr">
        <is>
          <t>Fomento a vocaciones y formación, generación, uso y apropiación social del conocimiento de la ciencia, tecnología e innovación</t>
        </is>
      </c>
      <c r="F207" t="inlineStr">
        <is>
          <t>3906011</t>
        </is>
      </c>
      <c r="G207" t="inlineStr">
        <is>
          <t>Servicio de apropiación social del conocimiento</t>
        </is>
      </c>
      <c r="H207" t="inlineStr">
        <is>
          <t>Servicio mediante el cual se realizan actividades que incluyen, entre otras:  estrategias necesarias para la sensibilización, socialización y apropiación social del conocimiento a nivel local, regional y nacional en temáticas especiales por medio de la implementación, seguimiento, acompañamiento y evaluación que promuevan el acceso a la información, fomenten la conciencia pública, la capacitación, la educación, la investigación y la participación.</t>
        </is>
      </c>
      <c r="I207" t="inlineStr">
        <is>
          <t>2024252140095</t>
        </is>
      </c>
      <c r="J207" s="99">
        <v>2232500000</v>
      </c>
      <c r="K207" s="99">
        <v>590000000</v>
      </c>
      <c r="L207" s="99">
        <v>372000000</v>
      </c>
      <c r="M207" s="99">
        <v>605000000</v>
      </c>
      <c r="N207" s="99">
        <v>665500000</v>
      </c>
      <c r="O207" s="99" t="inlineStr">
        <is>
          <t xml:space="preserve"> </t>
        </is>
      </c>
      <c r="P207" s="99" t="inlineStr">
        <is>
          <t xml:space="preserve"> </t>
        </is>
      </c>
      <c r="Q207" s="99" t="inlineStr">
        <is>
          <t xml:space="preserve"> </t>
        </is>
      </c>
      <c r="R207" s="100" t="inlineStr">
        <is>
          <t xml:space="preserve"> </t>
        </is>
      </c>
      <c r="S207" t="inlineStr">
        <is>
          <t>No se encontró ejecución en CUIPO</t>
        </is>
      </c>
      <c r="T207" s="101" t="inlineStr">
        <is>
          <t xml:space="preserve"> </t>
        </is>
      </c>
      <c r="U207" s="101" t="inlineStr">
        <is>
          <t xml:space="preserve"> </t>
        </is>
      </c>
      <c r="V207" s="101" t="inlineStr">
        <is>
          <t xml:space="preserve"> </t>
        </is>
      </c>
      <c r="W207" s="102" t="inlineStr">
        <is>
          <t xml:space="preserve"> </t>
        </is>
      </c>
      <c r="X207" t="inlineStr">
        <is>
          <t>No se encontró ejecución en CUIPO</t>
        </is>
      </c>
    </row>
    <row r="208">
      <c r="A208" t="inlineStr">
        <is>
          <t>IP-286</t>
        </is>
      </c>
      <c r="B208" t="inlineStr">
        <is>
          <t>23</t>
        </is>
      </c>
      <c r="C208" t="inlineStr">
        <is>
          <t>Tecnologías de la información y las comunicaciones</t>
        </is>
      </c>
      <c r="D208" t="inlineStr">
        <is>
          <t>2301</t>
        </is>
      </c>
      <c r="E208" t="inlineStr">
        <is>
          <t>Facilitar el acceso y uso de las Tecnologías de la Información y las Comunicaciones (TIC) en todo el territorio nacional</t>
        </is>
      </c>
      <c r="F208" t="inlineStr">
        <is>
          <t>2301075</t>
        </is>
      </c>
      <c r="G208" t="inlineStr">
        <is>
          <t>Servicio de Información implementado</t>
        </is>
      </c>
      <c r="H208" t="inlineStr">
        <is>
          <t>Corresponde al proceso que asegura la disposición de la información de manera accesible, confiable y oportuna.</t>
        </is>
      </c>
      <c r="I208" t="inlineStr">
        <is>
          <t>2024252140090</t>
        </is>
      </c>
      <c r="J208" s="99">
        <v>163615771</v>
      </c>
      <c r="K208" s="99">
        <v>0</v>
      </c>
      <c r="L208" s="99">
        <v>3615771</v>
      </c>
      <c r="M208" s="99">
        <v>80000000</v>
      </c>
      <c r="N208" s="99">
        <v>80000000</v>
      </c>
      <c r="O208" s="99" t="inlineStr">
        <is>
          <t xml:space="preserve"> </t>
        </is>
      </c>
      <c r="P208" s="99" t="inlineStr">
        <is>
          <t xml:space="preserve"> </t>
        </is>
      </c>
      <c r="Q208" s="99" t="inlineStr">
        <is>
          <t xml:space="preserve"> </t>
        </is>
      </c>
      <c r="R208" s="100" t="inlineStr">
        <is>
          <t xml:space="preserve"> </t>
        </is>
      </c>
      <c r="S208" t="inlineStr">
        <is>
          <t>No se encontró ejecución en CUIPO</t>
        </is>
      </c>
      <c r="T208" s="101" t="inlineStr">
        <is>
          <t xml:space="preserve"> </t>
        </is>
      </c>
      <c r="U208" s="101" t="inlineStr">
        <is>
          <t xml:space="preserve"> </t>
        </is>
      </c>
      <c r="V208" s="101" t="inlineStr">
        <is>
          <t xml:space="preserve"> </t>
        </is>
      </c>
      <c r="W208" s="102" t="inlineStr">
        <is>
          <t xml:space="preserve"> </t>
        </is>
      </c>
      <c r="X208" t="inlineStr">
        <is>
          <t>No se encontró ejecución en CUIPO</t>
        </is>
      </c>
    </row>
    <row r="209">
      <c r="A209" t="inlineStr">
        <is>
          <t>IP-287</t>
        </is>
      </c>
      <c r="B209" t="inlineStr">
        <is>
          <t>23</t>
        </is>
      </c>
      <c r="C209" t="inlineStr">
        <is>
          <t>Tecnologías de la información y las comunicaciones</t>
        </is>
      </c>
      <c r="D209" t="inlineStr">
        <is>
          <t>2301</t>
        </is>
      </c>
      <c r="E209" t="inlineStr">
        <is>
          <t>Facilitar el acceso y uso de las Tecnologías de la Información y las Comunicaciones (TIC) en todo el territorio nacional</t>
        </is>
      </c>
      <c r="F209" t="inlineStr">
        <is>
          <t>2301061</t>
        </is>
      </c>
      <c r="G209" t="inlineStr">
        <is>
          <t>Centro Integrado de Servicios adecuado</t>
        </is>
      </c>
      <c r="H209" t="inlineStr">
        <is>
          <t/>
        </is>
      </c>
      <c r="I209" t="inlineStr">
        <is>
          <t>2024252140140</t>
        </is>
      </c>
      <c r="J209" s="99">
        <v>12050645349.8</v>
      </c>
      <c r="K209" s="99">
        <v>4884999999.8</v>
      </c>
      <c r="L209" s="99">
        <v>50000000</v>
      </c>
      <c r="M209" s="99">
        <v>3404615000</v>
      </c>
      <c r="N209" s="99">
        <v>3711030350</v>
      </c>
      <c r="O209" s="99" t="inlineStr">
        <is>
          <t xml:space="preserve"> </t>
        </is>
      </c>
      <c r="P209" s="99" t="inlineStr">
        <is>
          <t xml:space="preserve"> </t>
        </is>
      </c>
      <c r="Q209" s="99" t="inlineStr">
        <is>
          <t xml:space="preserve"> </t>
        </is>
      </c>
      <c r="R209" s="100" t="inlineStr">
        <is>
          <t xml:space="preserve"> </t>
        </is>
      </c>
      <c r="S209" t="inlineStr">
        <is>
          <t>No se encontró ejecución en CUIPO</t>
        </is>
      </c>
      <c r="T209" s="101" t="inlineStr">
        <is>
          <t xml:space="preserve"> </t>
        </is>
      </c>
      <c r="U209" s="101" t="inlineStr">
        <is>
          <t xml:space="preserve"> </t>
        </is>
      </c>
      <c r="V209" s="101" t="inlineStr">
        <is>
          <t xml:space="preserve"> </t>
        </is>
      </c>
      <c r="W209" s="102" t="inlineStr">
        <is>
          <t xml:space="preserve"> </t>
        </is>
      </c>
      <c r="X209" t="inlineStr">
        <is>
          <t>No se encontró ejecución en CUIPO</t>
        </is>
      </c>
    </row>
    <row r="210">
      <c r="A210" t="inlineStr">
        <is>
          <t>IP-288</t>
        </is>
      </c>
      <c r="B210" t="inlineStr">
        <is>
          <t>23</t>
        </is>
      </c>
      <c r="C210" t="inlineStr">
        <is>
          <t>Tecnologías de la información y las comunicaciones</t>
        </is>
      </c>
      <c r="D210" t="inlineStr">
        <is>
          <t>2301</t>
        </is>
      </c>
      <c r="E210" t="inlineStr">
        <is>
          <t>Facilitar el acceso y uso de las Tecnologías de la Información y las Comunicaciones (TIC) en todo el territorio nacional</t>
        </is>
      </c>
      <c r="F210" t="inlineStr">
        <is>
          <t>2301075</t>
        </is>
      </c>
      <c r="G210" t="inlineStr">
        <is>
          <t>Servicio de Información implementado</t>
        </is>
      </c>
      <c r="H210" t="inlineStr">
        <is>
          <t>Corresponde al proceso que asegura la disposición de la información de manera accesible, confiable y oportuna.</t>
        </is>
      </c>
      <c r="I210" t="inlineStr">
        <is>
          <t>2024252140084</t>
        </is>
      </c>
      <c r="J210" s="99">
        <v>946500000</v>
      </c>
      <c r="K210" s="99">
        <v>142000000</v>
      </c>
      <c r="L210" s="99">
        <v>227000000</v>
      </c>
      <c r="M210" s="99">
        <v>275000000</v>
      </c>
      <c r="N210" s="99">
        <v>302500000</v>
      </c>
      <c r="O210" s="99" t="inlineStr">
        <is>
          <t xml:space="preserve"> </t>
        </is>
      </c>
      <c r="P210" s="99" t="inlineStr">
        <is>
          <t xml:space="preserve"> </t>
        </is>
      </c>
      <c r="Q210" s="99" t="inlineStr">
        <is>
          <t xml:space="preserve"> </t>
        </is>
      </c>
      <c r="R210" s="100" t="inlineStr">
        <is>
          <t xml:space="preserve"> </t>
        </is>
      </c>
      <c r="S210" t="inlineStr">
        <is>
          <t>No se encontró ejecución en CUIPO</t>
        </is>
      </c>
      <c r="T210" s="101">
        <v>122400000</v>
      </c>
      <c r="U210" s="101">
        <v>72066666</v>
      </c>
      <c r="V210" s="101">
        <v>72066666</v>
      </c>
      <c r="W210" s="102">
        <v>0.317474299559471</v>
      </c>
      <c r="X210" t="inlineStr">
        <is>
          <t>Lo obligado está por debajo de lo programado en la vigencia</t>
        </is>
      </c>
    </row>
    <row r="211">
      <c r="A211" t="inlineStr">
        <is>
          <t>IP-289</t>
        </is>
      </c>
      <c r="B211" t="inlineStr">
        <is>
          <t>23</t>
        </is>
      </c>
      <c r="C211" t="inlineStr">
        <is>
          <t>Tecnologías de la información y las comunicaciones</t>
        </is>
      </c>
      <c r="D211" t="inlineStr">
        <is>
          <t>2301</t>
        </is>
      </c>
      <c r="E211" t="inlineStr">
        <is>
          <t>Facilitar el acceso y uso de las Tecnologías de la Información y las Comunicaciones (TIC) en todo el territorio nacional</t>
        </is>
      </c>
      <c r="F211" t="inlineStr">
        <is>
          <t>2301004</t>
        </is>
      </c>
      <c r="G211" t="inlineStr">
        <is>
          <t>Documentos de planeación</t>
        </is>
      </c>
      <c r="H211" t="inlineStr">
        <is>
          <t xml:space="preserve">Documentos que plantean la hoja de ruta  para futuros planes, programas y proyectos en el sector TIC. </t>
        </is>
      </c>
      <c r="I211" t="inlineStr">
        <is>
          <t>2024252140158</t>
        </is>
      </c>
      <c r="J211" s="99">
        <v>987620000</v>
      </c>
      <c r="K211" s="99">
        <v>600000000</v>
      </c>
      <c r="L211" s="99">
        <v>150000000</v>
      </c>
      <c r="M211" s="99">
        <v>237620000</v>
      </c>
      <c r="N211" s="99">
        <v>0</v>
      </c>
      <c r="O211" s="99">
        <v>524922264</v>
      </c>
      <c r="P211" s="99">
        <v>0</v>
      </c>
      <c r="Q211" s="99">
        <v>0</v>
      </c>
      <c r="R211" s="100">
        <v>0</v>
      </c>
      <c r="S211" t="inlineStr">
        <is>
          <t>No se ejecutó en la vigencia</t>
        </is>
      </c>
      <c r="T211" s="101">
        <v>142866667</v>
      </c>
      <c r="U211" s="101">
        <v>94133333</v>
      </c>
      <c r="V211" s="101">
        <v>94133333</v>
      </c>
      <c r="W211" s="102">
        <v>0.627555553333333</v>
      </c>
      <c r="X211" t="inlineStr">
        <is>
          <t>Lo obligado está por debajo de lo programado en la vigencia</t>
        </is>
      </c>
    </row>
    <row r="212">
      <c r="A212" t="inlineStr">
        <is>
          <t>IP-290</t>
        </is>
      </c>
      <c r="B212" t="inlineStr">
        <is>
          <t>23</t>
        </is>
      </c>
      <c r="C212" t="inlineStr">
        <is>
          <t>Tecnologías de la información y las comunicaciones</t>
        </is>
      </c>
      <c r="D212" t="inlineStr">
        <is>
          <t>2301</t>
        </is>
      </c>
      <c r="E212" t="inlineStr">
        <is>
          <t>Facilitar el acceso y uso de las Tecnologías de la Información y las Comunicaciones (TIC) en todo el territorio nacional</t>
        </is>
      </c>
      <c r="F212" t="inlineStr">
        <is>
          <t>2301075</t>
        </is>
      </c>
      <c r="G212" t="inlineStr">
        <is>
          <t>Servicio de Información implementado</t>
        </is>
      </c>
      <c r="H212" t="inlineStr">
        <is>
          <t>Corresponde al proceso que asegura la disposición de la información de manera accesible, confiable y oportuna.</t>
        </is>
      </c>
      <c r="I212" t="inlineStr">
        <is>
          <t>2024252140141</t>
        </is>
      </c>
      <c r="J212" s="99">
        <v>5520520000</v>
      </c>
      <c r="K212" s="99">
        <v>2700000000</v>
      </c>
      <c r="L212" s="99">
        <v>10000000</v>
      </c>
      <c r="M212" s="99">
        <v>1332000000</v>
      </c>
      <c r="N212" s="99">
        <v>1478520000</v>
      </c>
      <c r="O212" s="99" t="inlineStr">
        <is>
          <t xml:space="preserve"> </t>
        </is>
      </c>
      <c r="P212" s="99" t="inlineStr">
        <is>
          <t xml:space="preserve"> </t>
        </is>
      </c>
      <c r="Q212" s="99" t="inlineStr">
        <is>
          <t xml:space="preserve"> </t>
        </is>
      </c>
      <c r="R212" s="100" t="inlineStr">
        <is>
          <t xml:space="preserve"> </t>
        </is>
      </c>
      <c r="S212" t="inlineStr">
        <is>
          <t>No se encontró ejecución en CUIPO</t>
        </is>
      </c>
      <c r="T212" s="101" t="inlineStr">
        <is>
          <t xml:space="preserve"> </t>
        </is>
      </c>
      <c r="U212" s="101" t="inlineStr">
        <is>
          <t xml:space="preserve"> </t>
        </is>
      </c>
      <c r="V212" s="101" t="inlineStr">
        <is>
          <t xml:space="preserve"> </t>
        </is>
      </c>
      <c r="W212" s="102" t="inlineStr">
        <is>
          <t xml:space="preserve"> </t>
        </is>
      </c>
      <c r="X212" t="inlineStr">
        <is>
          <t>No se encontró ejecución en CUIPO</t>
        </is>
      </c>
    </row>
    <row r="213">
      <c r="A213" t="inlineStr">
        <is>
          <t>IP-291</t>
        </is>
      </c>
      <c r="B213" t="inlineStr">
        <is>
          <t>23</t>
        </is>
      </c>
      <c r="C213" t="inlineStr">
        <is>
          <t>Tecnologías de la información y las comunicaciones</t>
        </is>
      </c>
      <c r="D213" t="inlineStr">
        <is>
          <t>2301</t>
        </is>
      </c>
      <c r="E213" t="inlineStr">
        <is>
          <t>Facilitar el acceso y uso de las Tecnologías de la Información y las Comunicaciones (TIC) en todo el territorio nacional</t>
        </is>
      </c>
      <c r="F213" t="inlineStr">
        <is>
          <t>2301031</t>
        </is>
      </c>
      <c r="G213" t="inlineStr">
        <is>
          <t>Servicio de educación informal en uso básico de tecnologías de la información y las comunicaciones</t>
        </is>
      </c>
      <c r="H213" t="inlineStr">
        <is>
          <t>Corresponde a la capacitación en uso y apropiación de tecnologías de la información.</t>
        </is>
      </c>
      <c r="I213" t="inlineStr">
        <is>
          <t>2024252140158</t>
        </is>
      </c>
      <c r="J213" s="99">
        <v>1460000000</v>
      </c>
      <c r="K213" s="99">
        <v>410000000</v>
      </c>
      <c r="L213" s="99">
        <v>250000000</v>
      </c>
      <c r="M213" s="99">
        <v>400000000</v>
      </c>
      <c r="N213" s="99">
        <v>400000000</v>
      </c>
      <c r="O213" s="99">
        <v>261666667</v>
      </c>
      <c r="P213" s="99">
        <v>11666667</v>
      </c>
      <c r="Q213" s="99">
        <v>11666667</v>
      </c>
      <c r="R213" s="100">
        <v>0.0284552853658537</v>
      </c>
      <c r="S213" t="inlineStr">
        <is>
          <t>Lo obligado está por debajo de lo programado en la vigencia</t>
        </is>
      </c>
      <c r="T213" s="101">
        <v>76000000</v>
      </c>
      <c r="U213" s="101">
        <v>42233333</v>
      </c>
      <c r="V213" s="101">
        <v>42233333</v>
      </c>
      <c r="W213" s="102">
        <v>0.168933332</v>
      </c>
      <c r="X213" t="inlineStr">
        <is>
          <t>Lo obligado está por debajo de lo programado en la vigencia</t>
        </is>
      </c>
    </row>
    <row r="214">
      <c r="A214" t="inlineStr">
        <is>
          <t>IP-292</t>
        </is>
      </c>
      <c r="B214" t="inlineStr">
        <is>
          <t>23</t>
        </is>
      </c>
      <c r="C214" t="inlineStr">
        <is>
          <t>Tecnologías de la información y las comunicaciones</t>
        </is>
      </c>
      <c r="D214" t="inlineStr">
        <is>
          <t>2301</t>
        </is>
      </c>
      <c r="E214" t="inlineStr">
        <is>
          <t>Facilitar el acceso y uso de las Tecnologías de la Información y las Comunicaciones (TIC) en todo el territorio nacional</t>
        </is>
      </c>
      <c r="F214" t="inlineStr">
        <is>
          <t>2301079</t>
        </is>
      </c>
      <c r="G214" t="inlineStr">
        <is>
          <t xml:space="preserve"> Servicio de acceso zonas digitales</t>
        </is>
      </c>
      <c r="H214" t="inlineStr">
        <is>
          <t>Corresponde al montaje y puesta en servicio de la zona digital (wifi), medido a través de la cantidad de usuarios (dispositivos a la zona) y la asistencia personalizada y virtual a los mismos.</t>
        </is>
      </c>
      <c r="I214" t="inlineStr">
        <is>
          <t>2024252140160</t>
        </is>
      </c>
      <c r="J214" s="99">
        <v>4103911250</v>
      </c>
      <c r="K214" s="99">
        <v>500000000</v>
      </c>
      <c r="L214" s="99">
        <v>500000000</v>
      </c>
      <c r="M214" s="99">
        <v>1485125000</v>
      </c>
      <c r="N214" s="99">
        <v>1618786250</v>
      </c>
      <c r="O214" s="99" t="inlineStr">
        <is>
          <t xml:space="preserve"> </t>
        </is>
      </c>
      <c r="P214" s="99" t="inlineStr">
        <is>
          <t xml:space="preserve"> </t>
        </is>
      </c>
      <c r="Q214" s="99" t="inlineStr">
        <is>
          <t xml:space="preserve"> </t>
        </is>
      </c>
      <c r="R214" s="100" t="inlineStr">
        <is>
          <t xml:space="preserve"> </t>
        </is>
      </c>
      <c r="S214" t="inlineStr">
        <is>
          <t>No se encontró ejecución en CUIPO</t>
        </is>
      </c>
      <c r="T214" s="101">
        <v>21900000</v>
      </c>
      <c r="U214" s="101">
        <v>9700000</v>
      </c>
      <c r="V214" s="101">
        <v>9700000</v>
      </c>
      <c r="W214" s="102">
        <v>0.0194</v>
      </c>
      <c r="X214" t="inlineStr">
        <is>
          <t>Lo obligado está por debajo de lo programado en la vigencia</t>
        </is>
      </c>
    </row>
    <row r="215">
      <c r="A215" t="inlineStr">
        <is>
          <t>IP-293, IP-294</t>
        </is>
      </c>
      <c r="B215" t="inlineStr">
        <is>
          <t>23</t>
        </is>
      </c>
      <c r="C215" t="inlineStr">
        <is>
          <t>Tecnologías de la información y las comunicaciones</t>
        </is>
      </c>
      <c r="D215" t="inlineStr">
        <is>
          <t>2301</t>
        </is>
      </c>
      <c r="E215" t="inlineStr">
        <is>
          <t>Facilitar el acceso y uso de las Tecnologías de la Información y las Comunicaciones (TIC) en todo el territorio nacional</t>
        </is>
      </c>
      <c r="F215" t="inlineStr">
        <is>
          <t>2301075</t>
        </is>
      </c>
      <c r="G215" t="inlineStr">
        <is>
          <t>Servicio de Información implementado</t>
        </is>
      </c>
      <c r="H215" t="inlineStr">
        <is>
          <t>Corresponde al proceso que asegura la disposición de la información de manera accesible, confiable y oportuna.</t>
        </is>
      </c>
      <c r="I215" t="inlineStr">
        <is>
          <t>2024252140158</t>
        </is>
      </c>
      <c r="J215" s="99">
        <v>4286804000</v>
      </c>
      <c r="K215" s="99">
        <v>2015000000</v>
      </c>
      <c r="L215" s="99">
        <v>105000000</v>
      </c>
      <c r="M215" s="99">
        <v>1035600000</v>
      </c>
      <c r="N215" s="99">
        <v>1131204000</v>
      </c>
      <c r="O215" s="99">
        <v>3334219187</v>
      </c>
      <c r="P215" s="99">
        <v>8400000</v>
      </c>
      <c r="Q215" s="99">
        <v>8400000</v>
      </c>
      <c r="R215" s="100">
        <v>0.00416873449131514</v>
      </c>
      <c r="S215" t="inlineStr">
        <is>
          <t>Lo obligado está por debajo de lo programado en la vigencia</t>
        </is>
      </c>
      <c r="T215" s="101" t="inlineStr">
        <is>
          <t xml:space="preserve"> </t>
        </is>
      </c>
      <c r="U215" s="101" t="inlineStr">
        <is>
          <t xml:space="preserve"> </t>
        </is>
      </c>
      <c r="V215" s="101" t="inlineStr">
        <is>
          <t xml:space="preserve"> </t>
        </is>
      </c>
      <c r="W215" s="102" t="inlineStr">
        <is>
          <t xml:space="preserve"> </t>
        </is>
      </c>
      <c r="X215" t="inlineStr">
        <is>
          <t>No se encontró ejecución en CUIPO</t>
        </is>
      </c>
    </row>
    <row r="216">
      <c r="A216" t="inlineStr">
        <is>
          <t>IP-295, IP-296</t>
        </is>
      </c>
      <c r="B216" t="inlineStr">
        <is>
          <t>45</t>
        </is>
      </c>
      <c r="C216" t="inlineStr">
        <is>
          <t>Gobierno Territorial</t>
        </is>
      </c>
      <c r="D216" t="inlineStr">
        <is>
          <t>4501</t>
        </is>
      </c>
      <c r="E216" t="inlineStr">
        <is>
          <t>Fortalecimiento de la convivencia y la seguridad ciudadana</t>
        </is>
      </c>
      <c r="F216" t="inlineStr">
        <is>
          <t>4501028</t>
        </is>
      </c>
      <c r="G216" t="inlineStr">
        <is>
          <t>Servicio de vigilancia a través de cámaras de seguridad</t>
        </is>
      </c>
      <c r="H216" t="inlineStr">
        <is>
          <t>Incluye la disposición tecnológica de cámaras de seguridad para la implementación de estrategias de convivencia y seguridad ciudadana.</t>
        </is>
      </c>
      <c r="I216" t="inlineStr">
        <is>
          <t>2024252140142</t>
        </is>
      </c>
      <c r="J216" s="99">
        <v>3518150000</v>
      </c>
      <c r="K216" s="99">
        <v>1000000</v>
      </c>
      <c r="L216" s="99">
        <v>100000000</v>
      </c>
      <c r="M216" s="99">
        <v>1635000000</v>
      </c>
      <c r="N216" s="99">
        <v>1782150000</v>
      </c>
      <c r="O216" s="99">
        <v>0</v>
      </c>
      <c r="P216" s="99">
        <v>0</v>
      </c>
      <c r="Q216" s="99">
        <v>0</v>
      </c>
      <c r="R216" s="100">
        <v>0</v>
      </c>
      <c r="S216" t="inlineStr">
        <is>
          <t>No se ejecutó en la vigencia</t>
        </is>
      </c>
      <c r="T216" s="101" t="inlineStr">
        <is>
          <t xml:space="preserve"> </t>
        </is>
      </c>
      <c r="U216" s="101" t="inlineStr">
        <is>
          <t xml:space="preserve"> </t>
        </is>
      </c>
      <c r="V216" s="101" t="inlineStr">
        <is>
          <t xml:space="preserve"> </t>
        </is>
      </c>
      <c r="W216" s="102" t="inlineStr">
        <is>
          <t xml:space="preserve"> </t>
        </is>
      </c>
      <c r="X216" t="inlineStr">
        <is>
          <t>No se encontró ejecución en CUIPO</t>
        </is>
      </c>
    </row>
    <row r="217">
      <c r="A217" t="inlineStr">
        <is>
          <t>IP-297</t>
        </is>
      </c>
      <c r="B217" t="inlineStr">
        <is>
          <t>45</t>
        </is>
      </c>
      <c r="C217" t="inlineStr">
        <is>
          <t>Gobierno Territorial</t>
        </is>
      </c>
      <c r="D217" t="inlineStr">
        <is>
          <t>4501</t>
        </is>
      </c>
      <c r="E217" t="inlineStr">
        <is>
          <t>Fortalecimiento de la convivencia y la seguridad ciudadana</t>
        </is>
      </c>
      <c r="F217" t="inlineStr">
        <is>
          <t>4501032</t>
        </is>
      </c>
      <c r="G217" t="inlineStr">
        <is>
          <t>Servicio de atención de seguridad y emergencias de los Centros de Información Estratégica Policía Seccional</t>
        </is>
      </c>
      <c r="H217" t="inlineStr">
        <is>
          <t>Incluye la instalaciòn y dotación de Centros de Información Estratégica Policial Seccional – CIEPS los cuales son el espacio estratégico del orden operacional de la estación de policía, en el cual se desarrolla el análisis de la información para la planeación, orientación, evaluación y retroalimentación del servicio de policía, dirigido a la solución de las problemáticas que afectan la convivencia y seguridad de la jurisdicción.</t>
        </is>
      </c>
      <c r="I217" t="inlineStr">
        <is>
          <t>2024252140142</t>
        </is>
      </c>
      <c r="J217" s="99">
        <v>5650000000</v>
      </c>
      <c r="K217" s="99">
        <v>2400000000</v>
      </c>
      <c r="L217" s="99">
        <v>50000000</v>
      </c>
      <c r="M217" s="99">
        <v>1600000000</v>
      </c>
      <c r="N217" s="99">
        <v>1600000000</v>
      </c>
      <c r="O217" s="99">
        <v>0</v>
      </c>
      <c r="P217" s="99">
        <v>0</v>
      </c>
      <c r="Q217" s="99">
        <v>0</v>
      </c>
      <c r="R217" s="100">
        <v>0</v>
      </c>
      <c r="S217" t="inlineStr">
        <is>
          <t>No se ejecutó en la vigencia</t>
        </is>
      </c>
      <c r="T217" s="101" t="inlineStr">
        <is>
          <t xml:space="preserve"> </t>
        </is>
      </c>
      <c r="U217" s="101" t="inlineStr">
        <is>
          <t xml:space="preserve"> </t>
        </is>
      </c>
      <c r="V217" s="101" t="inlineStr">
        <is>
          <t xml:space="preserve"> </t>
        </is>
      </c>
      <c r="W217" s="102" t="inlineStr">
        <is>
          <t xml:space="preserve"> </t>
        </is>
      </c>
      <c r="X217" t="inlineStr">
        <is>
          <t>No se encontró ejecución en CUIPO</t>
        </is>
      </c>
    </row>
    <row r="218">
      <c r="A218" t="inlineStr">
        <is>
          <t>IP-298, IP-299, IP-300</t>
        </is>
      </c>
      <c r="B218" t="inlineStr">
        <is>
          <t>23</t>
        </is>
      </c>
      <c r="C218" t="inlineStr">
        <is>
          <t>Tecnologías de la información y las comunicaciones</t>
        </is>
      </c>
      <c r="D218" t="inlineStr">
        <is>
          <t>2302</t>
        </is>
      </c>
      <c r="E218" t="inlineStr">
        <is>
          <t>Fomento del desarrollo de aplicaciones, software y contenidos para impulsar la apropiación de las Tecnologías de la Información y las Comunicaciones (TIC)</t>
        </is>
      </c>
      <c r="F218" t="inlineStr">
        <is>
          <t>2302086</t>
        </is>
      </c>
      <c r="G218" t="inlineStr">
        <is>
          <t>Servicios de Información para la implementación de la Estrategia de Gobierno digital</t>
        </is>
      </c>
      <c r="H218" t="inlineStr">
        <is>
          <t>Son aquellos aplicativos o herramientas y servicios tecnológicos diseñados y desarrollados en el marco de la implementación de la estrategia de Gobierno Digital para que sean gestionadas y mejoradas por las entidades del Estado o por la Industria.</t>
        </is>
      </c>
      <c r="I218" t="inlineStr">
        <is>
          <t>2024252140159</t>
        </is>
      </c>
      <c r="J218" s="99">
        <v>5671236268</v>
      </c>
      <c r="K218" s="99">
        <v>460000000</v>
      </c>
      <c r="L218" s="99">
        <v>735000000</v>
      </c>
      <c r="M218" s="99">
        <v>2324837600</v>
      </c>
      <c r="N218" s="99">
        <v>2151398668</v>
      </c>
      <c r="O218" s="99">
        <v>790000000</v>
      </c>
      <c r="P218" s="99">
        <v>383000000</v>
      </c>
      <c r="Q218" s="99">
        <v>11000000</v>
      </c>
      <c r="R218" s="100">
        <v>0.832608695652174</v>
      </c>
      <c r="S218" t="inlineStr">
        <is>
          <t>Lo obligado está por debajo de lo programado en la vigencia</t>
        </is>
      </c>
      <c r="T218" s="101" t="inlineStr">
        <is>
          <t xml:space="preserve"> </t>
        </is>
      </c>
      <c r="U218" s="101" t="inlineStr">
        <is>
          <t xml:space="preserve"> </t>
        </is>
      </c>
      <c r="V218" s="101" t="inlineStr">
        <is>
          <t xml:space="preserve"> </t>
        </is>
      </c>
      <c r="W218" s="102" t="inlineStr">
        <is>
          <t xml:space="preserve"> </t>
        </is>
      </c>
      <c r="X218" t="inlineStr">
        <is>
          <t>No se encontró ejecución en CUIPO</t>
        </is>
      </c>
    </row>
    <row r="219">
      <c r="A219" t="inlineStr">
        <is>
          <t>IP-301</t>
        </is>
      </c>
      <c r="B219" t="inlineStr">
        <is>
          <t>23</t>
        </is>
      </c>
      <c r="C219" t="inlineStr">
        <is>
          <t>Tecnologías de la información y las comunicaciones</t>
        </is>
      </c>
      <c r="D219" t="inlineStr">
        <is>
          <t>2302</t>
        </is>
      </c>
      <c r="E219" t="inlineStr">
        <is>
          <t>Fomento del desarrollo de aplicaciones, software y contenidos para impulsar la apropiación de las Tecnologías de la Información y las Comunicaciones (TIC)</t>
        </is>
      </c>
      <c r="F219" t="inlineStr">
        <is>
          <t>2302101</t>
        </is>
      </c>
      <c r="G219" t="inlineStr">
        <is>
          <t>Servicios tecnológicos</t>
        </is>
      </c>
      <c r="H219" t="inlineStr">
        <is>
          <t>Corresponde al proceso que asegura la disponibilidad del servicio a través de la infraestructura informática tanto de software como de hardware, uso de tecnologías emergentes (IA, Blockchain, internet de las cosas, bigdata, nube publico-privada y otras) para desarrollar estrategias de ciudades y territorios inteligentes en temas relacionados con las arenas (Movilidad, Agricultura, Seguridad ciudadana, ambiente, servicios públicos, entre otros), Govtech, protección de datos y seguridad de la información.</t>
        </is>
      </c>
      <c r="I219" t="inlineStr">
        <is>
          <t>2024252140159</t>
        </is>
      </c>
      <c r="J219" s="99">
        <v>1792145000</v>
      </c>
      <c r="K219" s="99">
        <v>517000000</v>
      </c>
      <c r="L219" s="99">
        <v>250000000</v>
      </c>
      <c r="M219" s="99">
        <v>480000000</v>
      </c>
      <c r="N219" s="99">
        <v>545145000</v>
      </c>
      <c r="O219" s="99" t="inlineStr">
        <is>
          <t xml:space="preserve"> </t>
        </is>
      </c>
      <c r="P219" s="99" t="inlineStr">
        <is>
          <t xml:space="preserve"> </t>
        </is>
      </c>
      <c r="Q219" s="99" t="inlineStr">
        <is>
          <t xml:space="preserve"> </t>
        </is>
      </c>
      <c r="R219" s="100" t="inlineStr">
        <is>
          <t xml:space="preserve"> </t>
        </is>
      </c>
      <c r="S219" t="inlineStr">
        <is>
          <t>No se encontró ejecución en CUIPO</t>
        </is>
      </c>
      <c r="T219" s="101">
        <v>216492333</v>
      </c>
      <c r="U219" s="101">
        <v>83666667</v>
      </c>
      <c r="V219" s="101">
        <v>83666667</v>
      </c>
      <c r="W219" s="102">
        <v>0.334666668</v>
      </c>
      <c r="X219" t="inlineStr">
        <is>
          <t>Lo obligado está por debajo de lo programado en la vigencia</t>
        </is>
      </c>
    </row>
    <row r="220">
      <c r="A220" t="inlineStr">
        <is>
          <t>IP-305, IP-306, IP-4, IP-5</t>
        </is>
      </c>
      <c r="B220" t="inlineStr">
        <is>
          <t>24</t>
        </is>
      </c>
      <c r="C220" t="inlineStr">
        <is>
          <t>Transporte</t>
        </is>
      </c>
      <c r="D220" t="inlineStr">
        <is>
          <t>2402</t>
        </is>
      </c>
      <c r="E220" t="inlineStr">
        <is>
          <t>Infraestructura red vial regional</t>
        </is>
      </c>
      <c r="F220" t="inlineStr">
        <is>
          <t>2402104</t>
        </is>
      </c>
      <c r="G220" t="inlineStr">
        <is>
          <t>Documentos de planeación</t>
        </is>
      </c>
      <c r="H220" t="inlineStr">
        <is>
          <t>Documentos cuyo objetivo es plasmar una visión de futuro a nivel país, entidad territorial, comunidad, sector, región, entidad o cualquier nivel de desagregación que se requiera. Incluye objetivos, estrategias, metas e indicadores</t>
        </is>
      </c>
      <c r="I220" t="inlineStr">
        <is>
          <t>2024252140096</t>
        </is>
      </c>
      <c r="J220" s="99">
        <v>560000000</v>
      </c>
      <c r="K220" s="99">
        <v>80000000</v>
      </c>
      <c r="L220" s="99">
        <v>80000000</v>
      </c>
      <c r="M220" s="99">
        <v>200000000</v>
      </c>
      <c r="N220" s="99">
        <v>200000000</v>
      </c>
      <c r="O220" s="99" t="inlineStr">
        <is>
          <t xml:space="preserve"> </t>
        </is>
      </c>
      <c r="P220" s="99" t="inlineStr">
        <is>
          <t xml:space="preserve"> </t>
        </is>
      </c>
      <c r="Q220" s="99" t="inlineStr">
        <is>
          <t xml:space="preserve"> </t>
        </is>
      </c>
      <c r="R220" s="100" t="inlineStr">
        <is>
          <t xml:space="preserve"> </t>
        </is>
      </c>
      <c r="S220" t="inlineStr">
        <is>
          <t>No se encontró ejecución en CUIPO</t>
        </is>
      </c>
      <c r="T220" s="101" t="inlineStr">
        <is>
          <t xml:space="preserve"> </t>
        </is>
      </c>
      <c r="U220" s="101" t="inlineStr">
        <is>
          <t xml:space="preserve"> </t>
        </is>
      </c>
      <c r="V220" s="101" t="inlineStr">
        <is>
          <t xml:space="preserve"> </t>
        </is>
      </c>
      <c r="W220" s="102" t="inlineStr">
        <is>
          <t xml:space="preserve"> </t>
        </is>
      </c>
      <c r="X220" t="inlineStr">
        <is>
          <t>No se encontró ejecución en CUIPO</t>
        </is>
      </c>
    </row>
    <row r="221">
      <c r="A221" t="inlineStr">
        <is>
          <t>IP-603, IP-604, IP-608</t>
        </is>
      </c>
      <c r="B221" t="inlineStr">
        <is>
          <t>24</t>
        </is>
      </c>
      <c r="C221" t="inlineStr">
        <is>
          <t>Transporte</t>
        </is>
      </c>
      <c r="D221" t="inlineStr">
        <is>
          <t>2409</t>
        </is>
      </c>
      <c r="E221" t="inlineStr">
        <is>
          <t>Seguridad de transporte</t>
        </is>
      </c>
      <c r="F221" t="inlineStr">
        <is>
          <t>2409063</t>
        </is>
      </c>
      <c r="G221" t="inlineStr">
        <is>
          <t>Servicio de educación informal</t>
        </is>
      </c>
      <c r="H221" t="inlineStr">
        <is>
          <t xml:space="preserve">Incluye el diseño e implementación de todo tipo de campañas y estrategias formativas e informativas visuales, auditivas y audiovisuales para la promoción del transporte seguro, sostenible y eficiente   </t>
        </is>
      </c>
      <c r="I221" t="inlineStr">
        <is>
          <t>2024252140097</t>
        </is>
      </c>
      <c r="J221" s="99">
        <v>6436096430</v>
      </c>
      <c r="K221" s="99">
        <v>1703388215</v>
      </c>
      <c r="L221" s="99">
        <v>1703388215</v>
      </c>
      <c r="M221" s="99">
        <v>1461200000</v>
      </c>
      <c r="N221" s="99">
        <v>1568120000</v>
      </c>
      <c r="O221" s="99" t="inlineStr">
        <is>
          <t xml:space="preserve"> </t>
        </is>
      </c>
      <c r="P221" s="99" t="inlineStr">
        <is>
          <t xml:space="preserve"> </t>
        </is>
      </c>
      <c r="Q221" s="99" t="inlineStr">
        <is>
          <t xml:space="preserve"> </t>
        </is>
      </c>
      <c r="R221" s="100" t="inlineStr">
        <is>
          <t xml:space="preserve"> </t>
        </is>
      </c>
      <c r="S221" t="inlineStr">
        <is>
          <t>No se encontró ejecución en CUIPO</t>
        </is>
      </c>
      <c r="T221" s="101" t="inlineStr">
        <is>
          <t xml:space="preserve"> </t>
        </is>
      </c>
      <c r="U221" s="101" t="inlineStr">
        <is>
          <t xml:space="preserve"> </t>
        </is>
      </c>
      <c r="V221" s="101" t="inlineStr">
        <is>
          <t xml:space="preserve"> </t>
        </is>
      </c>
      <c r="W221" s="102" t="inlineStr">
        <is>
          <t xml:space="preserve"> </t>
        </is>
      </c>
      <c r="X221" t="inlineStr">
        <is>
          <t>No se encontró ejecución en CUIPO</t>
        </is>
      </c>
    </row>
    <row r="222">
      <c r="A222" t="inlineStr">
        <is>
          <t>IP-609</t>
        </is>
      </c>
      <c r="B222" t="inlineStr">
        <is>
          <t>21</t>
        </is>
      </c>
      <c r="C222" t="inlineStr">
        <is>
          <t>Minas y Energía</t>
        </is>
      </c>
      <c r="D222" t="inlineStr">
        <is>
          <t>2102</t>
        </is>
      </c>
      <c r="E222" t="inlineStr">
        <is>
          <t>Consolidación productiva del sector de energía eléctrica</t>
        </is>
      </c>
      <c r="F222" t="inlineStr">
        <is>
          <t>2102024</t>
        </is>
      </c>
      <c r="G222" t="inlineStr">
        <is>
          <t>Servicio de apoyo financiero al consumo del servicio de energía eléctrica del sistema interconectado nacional</t>
        </is>
      </c>
      <c r="H222" t="inlineStr">
        <is>
          <t>Aplicados como una menor tarifa a una cantidad del consumo residencial mensual del servicio público de energía eléctrica distribuida por red física para los usuarios de menores ingresos y para las áreas especiales.</t>
        </is>
      </c>
      <c r="I222" t="inlineStr">
        <is>
          <t>2024252140109</t>
        </is>
      </c>
      <c r="J222" s="99">
        <v>9174320000</v>
      </c>
      <c r="K222" s="99">
        <v>1874320000</v>
      </c>
      <c r="L222" s="99">
        <v>3500000000</v>
      </c>
      <c r="M222" s="99">
        <v>1800000000</v>
      </c>
      <c r="N222" s="99">
        <v>2000000000</v>
      </c>
      <c r="O222" s="99" t="inlineStr">
        <is>
          <t xml:space="preserve"> </t>
        </is>
      </c>
      <c r="P222" s="99" t="inlineStr">
        <is>
          <t xml:space="preserve"> </t>
        </is>
      </c>
      <c r="Q222" s="99" t="inlineStr">
        <is>
          <t xml:space="preserve"> </t>
        </is>
      </c>
      <c r="R222" s="100" t="inlineStr">
        <is>
          <t xml:space="preserve"> </t>
        </is>
      </c>
      <c r="S222" t="inlineStr">
        <is>
          <t>No se encontró ejecución en CUIPO</t>
        </is>
      </c>
      <c r="T222" s="101" t="inlineStr">
        <is>
          <t xml:space="preserve"> </t>
        </is>
      </c>
      <c r="U222" s="101" t="inlineStr">
        <is>
          <t xml:space="preserve"> </t>
        </is>
      </c>
      <c r="V222" s="101" t="inlineStr">
        <is>
          <t xml:space="preserve"> </t>
        </is>
      </c>
      <c r="W222" s="102" t="inlineStr">
        <is>
          <t xml:space="preserve"> </t>
        </is>
      </c>
      <c r="X222" t="inlineStr">
        <is>
          <t>No se encontró ejecución en CUIPO</t>
        </is>
      </c>
    </row>
    <row r="223">
      <c r="J223" s="99"/>
      <c r="K223" s="99"/>
      <c r="L223" s="99"/>
      <c r="M223" s="99"/>
      <c r="N223" s="99"/>
      <c r="O223" s="99"/>
      <c r="P223" s="99"/>
      <c r="Q223" s="99"/>
      <c r="R223" s="100"/>
      <c r="T223" s="101"/>
      <c r="U223" s="101"/>
      <c r="V223" s="101"/>
      <c r="W223"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262"/>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 IP-302</t>
        </is>
      </c>
      <c r="B8" t="inlineStr">
        <is>
          <t>24</t>
        </is>
      </c>
      <c r="C8" t="inlineStr">
        <is>
          <t>Transporte</t>
        </is>
      </c>
      <c r="D8" t="inlineStr">
        <is>
          <t>2402</t>
        </is>
      </c>
      <c r="E8" t="inlineStr">
        <is>
          <t>Infraestructura red vial regional</t>
        </is>
      </c>
      <c r="F8" t="inlineStr">
        <is>
          <t>2402041</t>
        </is>
      </c>
      <c r="G8" t="inlineStr">
        <is>
          <t>Vía terciaria mejorada</t>
        </is>
      </c>
      <c r="H8" t="inlineStr">
        <is>
          <t>240204100</t>
        </is>
      </c>
      <c r="I8" t="inlineStr">
        <is>
          <t>Vía terciaria mejorada</t>
        </is>
      </c>
      <c r="J8" t="inlineStr">
        <is>
          <t>2024252140104</t>
        </is>
      </c>
      <c r="K8" t="inlineStr">
        <is>
          <t>Si</t>
        </is>
      </c>
      <c r="L8" t="inlineStr">
        <is>
          <t>Kilómetros</t>
        </is>
      </c>
      <c r="M8">
        <v>20</v>
      </c>
      <c r="N8">
        <v>2</v>
      </c>
      <c r="O8">
        <v>6</v>
      </c>
      <c r="P8">
        <v>8</v>
      </c>
      <c r="Q8">
        <v>4</v>
      </c>
      <c r="R8" t="inlineStr">
        <is>
          <t xml:space="preserve"> </t>
        </is>
      </c>
      <c r="S8" s="103" t="inlineStr">
        <is>
          <t xml:space="preserve"> </t>
        </is>
      </c>
      <c r="T8" t="inlineStr">
        <is>
          <t>No se encontró ejecución en PIIP</t>
        </is>
      </c>
      <c r="U8" t="inlineStr">
        <is>
          <t xml:space="preserve"> </t>
        </is>
      </c>
      <c r="V8" s="104" t="inlineStr">
        <is>
          <t xml:space="preserve"> </t>
        </is>
      </c>
      <c r="W8" t="inlineStr">
        <is>
          <t>No se encontró ejecución en PIIP</t>
        </is>
      </c>
    </row>
    <row r="9">
      <c r="A9" t="inlineStr">
        <is>
          <t>IP-2, IP-303</t>
        </is>
      </c>
      <c r="B9" t="inlineStr">
        <is>
          <t>24</t>
        </is>
      </c>
      <c r="C9" t="inlineStr">
        <is>
          <t>Transporte</t>
        </is>
      </c>
      <c r="D9" t="inlineStr">
        <is>
          <t>2402</t>
        </is>
      </c>
      <c r="E9" t="inlineStr">
        <is>
          <t>Infraestructura red vial regional</t>
        </is>
      </c>
      <c r="F9" t="inlineStr">
        <is>
          <t>2402105</t>
        </is>
      </c>
      <c r="G9" t="inlineStr">
        <is>
          <t>Documentos de lineamientos técnicos</t>
        </is>
      </c>
      <c r="H9" t="inlineStr">
        <is>
          <t>240210500</t>
        </is>
      </c>
      <c r="I9" t="inlineStr">
        <is>
          <t>Documentos de lineamientos técnicos realizados</t>
        </is>
      </c>
      <c r="J9" t="inlineStr">
        <is>
          <t>2024252140104</t>
        </is>
      </c>
      <c r="K9" t="inlineStr">
        <is>
          <t>Si</t>
        </is>
      </c>
      <c r="L9" t="inlineStr">
        <is>
          <t>Número</t>
        </is>
      </c>
      <c r="M9">
        <v>2</v>
      </c>
      <c r="N9">
        <v>0</v>
      </c>
      <c r="O9">
        <v>2</v>
      </c>
      <c r="P9">
        <v>0</v>
      </c>
      <c r="Q9">
        <v>0</v>
      </c>
      <c r="R9" t="inlineStr">
        <is>
          <t xml:space="preserve"> </t>
        </is>
      </c>
      <c r="S9" s="103" t="inlineStr">
        <is>
          <t xml:space="preserve"> </t>
        </is>
      </c>
      <c r="T9" t="inlineStr">
        <is>
          <t>No se encontró ejecución en PIIP</t>
        </is>
      </c>
      <c r="U9" t="inlineStr">
        <is>
          <t xml:space="preserve"> </t>
        </is>
      </c>
      <c r="V9" s="104" t="inlineStr">
        <is>
          <t xml:space="preserve"> </t>
        </is>
      </c>
      <c r="W9" t="inlineStr">
        <is>
          <t>No se encontró ejecución en PIIP</t>
        </is>
      </c>
    </row>
    <row r="10">
      <c r="A10" t="inlineStr">
        <is>
          <t>IP-3, IP-304</t>
        </is>
      </c>
      <c r="B10" t="inlineStr">
        <is>
          <t>24</t>
        </is>
      </c>
      <c r="C10" t="inlineStr">
        <is>
          <t>Transporte</t>
        </is>
      </c>
      <c r="D10" t="inlineStr">
        <is>
          <t>2402</t>
        </is>
      </c>
      <c r="E10" t="inlineStr">
        <is>
          <t>Infraestructura red vial regional</t>
        </is>
      </c>
      <c r="F10" t="inlineStr">
        <is>
          <t>2402033</t>
        </is>
      </c>
      <c r="G10" t="inlineStr">
        <is>
          <t>Ciclo infraestructura construida en red vial secundaria</t>
        </is>
      </c>
      <c r="H10" t="inlineStr">
        <is>
          <t>240203300</t>
        </is>
      </c>
      <c r="I10" t="inlineStr">
        <is>
          <t>Ciclo infraestructura de la red secundaria construida</t>
        </is>
      </c>
      <c r="J10" t="inlineStr">
        <is>
          <t>2024252140104</t>
        </is>
      </c>
      <c r="K10" t="inlineStr">
        <is>
          <t>Si</t>
        </is>
      </c>
      <c r="L10" t="inlineStr">
        <is>
          <t>Metros lineales</t>
        </is>
      </c>
      <c r="M10">
        <v>10</v>
      </c>
      <c r="N10">
        <v>0</v>
      </c>
      <c r="O10">
        <v>2</v>
      </c>
      <c r="P10">
        <v>6</v>
      </c>
      <c r="Q10">
        <v>2</v>
      </c>
      <c r="R10">
        <v>0</v>
      </c>
      <c r="S10" s="103" t="inlineStr">
        <is>
          <t xml:space="preserve"> </t>
        </is>
      </c>
      <c r="T10" t="inlineStr">
        <is>
          <t>No se programó ni ejecutó en la vigencia</t>
        </is>
      </c>
      <c r="U10" t="inlineStr">
        <is>
          <t xml:space="preserve"> </t>
        </is>
      </c>
      <c r="V10" s="104" t="inlineStr">
        <is>
          <t xml:space="preserve"> </t>
        </is>
      </c>
      <c r="W10" t="inlineStr">
        <is>
          <t>No se encontró ejecución en PIIP</t>
        </is>
      </c>
    </row>
    <row r="11">
      <c r="A11" t="inlineStr">
        <is>
          <t>IP-13, IP-605, IP-606, IP-607, IP-7</t>
        </is>
      </c>
      <c r="B11" t="inlineStr">
        <is>
          <t>24</t>
        </is>
      </c>
      <c r="C11" t="inlineStr">
        <is>
          <t>Transporte</t>
        </is>
      </c>
      <c r="D11" t="inlineStr">
        <is>
          <t>2409</t>
        </is>
      </c>
      <c r="E11" t="inlineStr">
        <is>
          <t>Seguridad de transporte</t>
        </is>
      </c>
      <c r="F11" t="inlineStr">
        <is>
          <t>2409009</t>
        </is>
      </c>
      <c r="G11" t="inlineStr">
        <is>
          <t>Servicio de promoción y difusión para la seguridad de transporte</t>
        </is>
      </c>
      <c r="H11" t="inlineStr">
        <is>
          <t>240900900</t>
        </is>
      </c>
      <c r="I11" t="inlineStr">
        <is>
          <t>Estrategias implementadas</t>
        </is>
      </c>
      <c r="J11" t="inlineStr">
        <is>
          <t>2024252140098</t>
        </is>
      </c>
      <c r="K11" t="inlineStr">
        <is>
          <t>Si</t>
        </is>
      </c>
      <c r="L11" t="inlineStr">
        <is>
          <t>Número</t>
        </is>
      </c>
      <c r="M11">
        <v>5</v>
      </c>
      <c r="N11">
        <v>1.25</v>
      </c>
      <c r="O11">
        <v>1.25</v>
      </c>
      <c r="P11">
        <v>1.25</v>
      </c>
      <c r="Q11">
        <v>1.25</v>
      </c>
      <c r="R11">
        <v>1</v>
      </c>
      <c r="S11" s="103">
        <v>0.8</v>
      </c>
      <c r="T11" t="inlineStr">
        <is>
          <t>Lo ejecutado está por debajo de lo programado en la vigencia</t>
        </is>
      </c>
      <c r="U11">
        <v>145</v>
      </c>
      <c r="V11" s="104">
        <v>116</v>
      </c>
      <c r="W11" t="inlineStr">
        <is>
          <t>Hubo ejecución por encima de lo programado en SisPT</t>
        </is>
      </c>
    </row>
    <row r="12">
      <c r="A12" t="inlineStr">
        <is>
          <t>IP-14</t>
        </is>
      </c>
      <c r="B12" t="inlineStr">
        <is>
          <t>24</t>
        </is>
      </c>
      <c r="C12" t="inlineStr">
        <is>
          <t>Transporte</t>
        </is>
      </c>
      <c r="D12" t="inlineStr">
        <is>
          <t>2409</t>
        </is>
      </c>
      <c r="E12" t="inlineStr">
        <is>
          <t>Seguridad de transporte</t>
        </is>
      </c>
      <c r="F12" t="inlineStr">
        <is>
          <t>2409011</t>
        </is>
      </c>
      <c r="G12" t="inlineStr">
        <is>
          <t>Servicio de control a la seguridad vial</t>
        </is>
      </c>
      <c r="H12" t="inlineStr">
        <is>
          <t>240901100</t>
        </is>
      </c>
      <c r="I12" t="inlineStr">
        <is>
          <t>Organismos de tránsito dotados con implementos para el control del tránsito</t>
        </is>
      </c>
      <c r="J12" t="inlineStr">
        <is>
          <t>2024252140099</t>
        </is>
      </c>
      <c r="K12" t="inlineStr">
        <is>
          <t>Si</t>
        </is>
      </c>
      <c r="L12" t="inlineStr">
        <is>
          <t>Número</t>
        </is>
      </c>
      <c r="M12">
        <v>1</v>
      </c>
      <c r="N12">
        <v>0.25</v>
      </c>
      <c r="O12">
        <v>0.25</v>
      </c>
      <c r="P12">
        <v>0.25</v>
      </c>
      <c r="Q12">
        <v>0.25</v>
      </c>
      <c r="R12">
        <v>0</v>
      </c>
      <c r="S12" s="103">
        <v>0</v>
      </c>
      <c r="T12" t="inlineStr">
        <is>
          <t>No se ejecutó en la vigencia</t>
        </is>
      </c>
      <c r="U12" t="inlineStr">
        <is>
          <t xml:space="preserve"> </t>
        </is>
      </c>
      <c r="V12" s="104" t="inlineStr">
        <is>
          <t xml:space="preserve"> </t>
        </is>
      </c>
      <c r="W12" t="inlineStr">
        <is>
          <t>No se encontró ejecución en PIIP</t>
        </is>
      </c>
    </row>
    <row r="13">
      <c r="A13" t="inlineStr">
        <is>
          <t>IP-15</t>
        </is>
      </c>
      <c r="B13" t="inlineStr">
        <is>
          <t>12</t>
        </is>
      </c>
      <c r="C13" t="inlineStr">
        <is>
          <t>Justicia y del derecho</t>
        </is>
      </c>
      <c r="D13" t="inlineStr">
        <is>
          <t>1202</t>
        </is>
      </c>
      <c r="E13" t="inlineStr">
        <is>
          <t>Promoción al acceso a la justicia</t>
        </is>
      </c>
      <c r="F13" t="inlineStr">
        <is>
          <t>1202001</t>
        </is>
      </c>
      <c r="G13" t="inlineStr">
        <is>
          <t>Casas de Justicia en operación</t>
        </is>
      </c>
      <c r="H13" t="inlineStr">
        <is>
          <t>120200100</t>
        </is>
      </c>
      <c r="I13" t="inlineStr">
        <is>
          <t>Casas de justicia en operación</t>
        </is>
      </c>
      <c r="J13" t="inlineStr">
        <is>
          <t>2024252140105</t>
        </is>
      </c>
      <c r="K13" t="inlineStr">
        <is>
          <t>Si</t>
        </is>
      </c>
      <c r="L13" t="inlineStr">
        <is>
          <t>Número</t>
        </is>
      </c>
      <c r="M13">
        <v>1</v>
      </c>
      <c r="N13">
        <v>0</v>
      </c>
      <c r="O13">
        <v>0</v>
      </c>
      <c r="P13">
        <v>1</v>
      </c>
      <c r="Q13">
        <v>0</v>
      </c>
      <c r="R13" t="inlineStr">
        <is>
          <t xml:space="preserve"> </t>
        </is>
      </c>
      <c r="S13" s="103" t="inlineStr">
        <is>
          <t xml:space="preserve"> </t>
        </is>
      </c>
      <c r="T13" t="inlineStr">
        <is>
          <t>No se encontró ejecución en PIIP</t>
        </is>
      </c>
      <c r="U13" t="inlineStr">
        <is>
          <t xml:space="preserve"> </t>
        </is>
      </c>
      <c r="V13" s="104" t="inlineStr">
        <is>
          <t xml:space="preserve"> </t>
        </is>
      </c>
      <c r="W13" t="inlineStr">
        <is>
          <t>No se encontró ejecución en PIIP</t>
        </is>
      </c>
    </row>
    <row r="14">
      <c r="A14" t="inlineStr">
        <is>
          <t>IP-16</t>
        </is>
      </c>
      <c r="B14" t="inlineStr">
        <is>
          <t>12</t>
        </is>
      </c>
      <c r="C14" t="inlineStr">
        <is>
          <t>Justicia y del derecho</t>
        </is>
      </c>
      <c r="D14" t="inlineStr">
        <is>
          <t>1202</t>
        </is>
      </c>
      <c r="E14" t="inlineStr">
        <is>
          <t>Promoción al acceso a la justicia</t>
        </is>
      </c>
      <c r="F14" t="inlineStr">
        <is>
          <t>1202002</t>
        </is>
      </c>
      <c r="G14" t="inlineStr">
        <is>
          <t>Servicio de justicia a los ciudadanos</t>
        </is>
      </c>
      <c r="H14" t="inlineStr">
        <is>
          <t>120200200</t>
        </is>
      </c>
      <c r="I14" t="inlineStr">
        <is>
          <t>Ciudadanos con servicio de justicia prestado</t>
        </is>
      </c>
      <c r="J14" t="inlineStr">
        <is>
          <t>2024252140123</t>
        </is>
      </c>
      <c r="K14" t="inlineStr">
        <is>
          <t>Si</t>
        </is>
      </c>
      <c r="L14" t="inlineStr">
        <is>
          <t>Número</t>
        </is>
      </c>
      <c r="M14">
        <v>1</v>
      </c>
      <c r="N14">
        <v>0.1</v>
      </c>
      <c r="O14">
        <v>0.2</v>
      </c>
      <c r="P14">
        <v>0.3</v>
      </c>
      <c r="Q14">
        <v>0.4</v>
      </c>
      <c r="R14" t="inlineStr">
        <is>
          <t xml:space="preserve"> </t>
        </is>
      </c>
      <c r="S14" s="103" t="inlineStr">
        <is>
          <t xml:space="preserve"> </t>
        </is>
      </c>
      <c r="T14" t="inlineStr">
        <is>
          <t>No se encontró ejecución en PIIP</t>
        </is>
      </c>
      <c r="U14" t="inlineStr">
        <is>
          <t xml:space="preserve"> </t>
        </is>
      </c>
      <c r="V14" s="104" t="inlineStr">
        <is>
          <t xml:space="preserve"> </t>
        </is>
      </c>
      <c r="W14" t="inlineStr">
        <is>
          <t>No se encontró ejecución en PIIP</t>
        </is>
      </c>
    </row>
    <row r="15">
      <c r="A15" t="inlineStr">
        <is>
          <t>IP-17</t>
        </is>
      </c>
      <c r="B15" t="inlineStr">
        <is>
          <t>12</t>
        </is>
      </c>
      <c r="C15" t="inlineStr">
        <is>
          <t>Justicia y del derecho</t>
        </is>
      </c>
      <c r="D15" t="inlineStr">
        <is>
          <t>1207</t>
        </is>
      </c>
      <c r="E15" t="inlineStr">
        <is>
          <t>Fortalecimiento de la política criminal del Estado colombiano</t>
        </is>
      </c>
      <c r="F15" t="inlineStr">
        <is>
          <t>1207002</t>
        </is>
      </c>
      <c r="G15" t="inlineStr">
        <is>
          <t>Documentos de planeación</t>
        </is>
      </c>
      <c r="H15" t="inlineStr">
        <is>
          <t>120700204</t>
        </is>
      </c>
      <c r="I15" t="inlineStr">
        <is>
          <t>Documento de planeación sobre fortalecimiento para la persecución del crimen organizado y otros fenómenos criminales</t>
        </is>
      </c>
      <c r="J15" t="inlineStr">
        <is>
          <t>2024252140124</t>
        </is>
      </c>
      <c r="K15" t="inlineStr">
        <is>
          <t>Si</t>
        </is>
      </c>
      <c r="L15" t="inlineStr">
        <is>
          <t>Número</t>
        </is>
      </c>
      <c r="M15">
        <v>1</v>
      </c>
      <c r="N15">
        <v>0.25</v>
      </c>
      <c r="O15">
        <v>0.25</v>
      </c>
      <c r="P15">
        <v>0.25</v>
      </c>
      <c r="Q15">
        <v>0.25</v>
      </c>
      <c r="R15" t="inlineStr">
        <is>
          <t xml:space="preserve"> </t>
        </is>
      </c>
      <c r="S15" s="103" t="inlineStr">
        <is>
          <t xml:space="preserve"> </t>
        </is>
      </c>
      <c r="T15" t="inlineStr">
        <is>
          <t>No se encontró ejecución en PIIP</t>
        </is>
      </c>
      <c r="U15" t="inlineStr">
        <is>
          <t xml:space="preserve"> </t>
        </is>
      </c>
      <c r="V15" s="104" t="inlineStr">
        <is>
          <t xml:space="preserve"> </t>
        </is>
      </c>
      <c r="W15" t="inlineStr">
        <is>
          <t>No se encontró ejecución en PIIP</t>
        </is>
      </c>
    </row>
    <row r="16">
      <c r="A16" t="inlineStr">
        <is>
          <t>IP-18</t>
        </is>
      </c>
      <c r="B16" t="inlineStr">
        <is>
          <t>12</t>
        </is>
      </c>
      <c r="C16" t="inlineStr">
        <is>
          <t>Justicia y del derecho</t>
        </is>
      </c>
      <c r="D16" t="inlineStr">
        <is>
          <t>1207</t>
        </is>
      </c>
      <c r="E16" t="inlineStr">
        <is>
          <t>Fortalecimiento de la política criminal del Estado colombiano</t>
        </is>
      </c>
      <c r="F16" t="inlineStr">
        <is>
          <t>1207002</t>
        </is>
      </c>
      <c r="G16" t="inlineStr">
        <is>
          <t>Documentos de planeación</t>
        </is>
      </c>
      <c r="H16" t="inlineStr">
        <is>
          <t>120700200</t>
        </is>
      </c>
      <c r="I16" t="inlineStr">
        <is>
          <t>Documentos de planeación realizados</t>
        </is>
      </c>
      <c r="J16" t="inlineStr">
        <is>
          <t>2024252140124</t>
        </is>
      </c>
      <c r="K16" t="inlineStr">
        <is>
          <t>Si</t>
        </is>
      </c>
      <c r="L16" t="inlineStr">
        <is>
          <t>Número</t>
        </is>
      </c>
      <c r="M16">
        <v>1</v>
      </c>
      <c r="N16">
        <v>0.25</v>
      </c>
      <c r="O16">
        <v>0.25</v>
      </c>
      <c r="P16">
        <v>0.25</v>
      </c>
      <c r="Q16">
        <v>0.25</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IP-19</t>
        </is>
      </c>
      <c r="B17" t="inlineStr">
        <is>
          <t>25</t>
        </is>
      </c>
      <c r="C17" t="inlineStr">
        <is>
          <t>Organismos de Control</t>
        </is>
      </c>
      <c r="D17" t="inlineStr">
        <is>
          <t>2503</t>
        </is>
      </c>
      <c r="E17" t="inlineStr">
        <is>
          <t>Lucha contra la corrupción</t>
        </is>
      </c>
      <c r="F17" t="inlineStr">
        <is>
          <t>2503009</t>
        </is>
      </c>
      <c r="G17" t="inlineStr">
        <is>
          <t>Servicio para fortalecer las capacidades en temas de lucha contra la corrupción</t>
        </is>
      </c>
      <c r="H17" t="inlineStr">
        <is>
          <t>250300901</t>
        </is>
      </c>
      <c r="I17" t="inlineStr">
        <is>
          <t>Talleres realizados</t>
        </is>
      </c>
      <c r="J17" t="inlineStr">
        <is>
          <t>2024252140125</t>
        </is>
      </c>
      <c r="K17" t="inlineStr">
        <is>
          <t>Si</t>
        </is>
      </c>
      <c r="L17" t="inlineStr">
        <is>
          <t>Número</t>
        </is>
      </c>
      <c r="M17">
        <v>1</v>
      </c>
      <c r="N17">
        <v>0</v>
      </c>
      <c r="O17">
        <v>0.4</v>
      </c>
      <c r="P17">
        <v>0.3</v>
      </c>
      <c r="Q17">
        <v>0.3</v>
      </c>
      <c r="R17" t="inlineStr">
        <is>
          <t xml:space="preserve"> </t>
        </is>
      </c>
      <c r="S17" s="103" t="inlineStr">
        <is>
          <t xml:space="preserve"> </t>
        </is>
      </c>
      <c r="T17" t="inlineStr">
        <is>
          <t>No se encontró ejecución en PIIP</t>
        </is>
      </c>
      <c r="U17" t="inlineStr">
        <is>
          <t xml:space="preserve"> </t>
        </is>
      </c>
      <c r="V17" s="104" t="inlineStr">
        <is>
          <t xml:space="preserve"> </t>
        </is>
      </c>
      <c r="W17" t="inlineStr">
        <is>
          <t>No se encontró ejecución en PIIP</t>
        </is>
      </c>
    </row>
    <row r="18">
      <c r="A18" t="inlineStr">
        <is>
          <t>IP-20, IP-21</t>
        </is>
      </c>
      <c r="B18" t="inlineStr">
        <is>
          <t>45</t>
        </is>
      </c>
      <c r="C18" t="inlineStr">
        <is>
          <t>Gobierno Territorial</t>
        </is>
      </c>
      <c r="D18" t="inlineStr">
        <is>
          <t>4501</t>
        </is>
      </c>
      <c r="E18" t="inlineStr">
        <is>
          <t>Fortalecimiento de la convivencia y la seguridad ciudadana</t>
        </is>
      </c>
      <c r="F18" t="inlineStr">
        <is>
          <t>4501001</t>
        </is>
      </c>
      <c r="G18" t="inlineStr">
        <is>
          <t>Servicio de asistencia técnica</t>
        </is>
      </c>
      <c r="H18" t="inlineStr">
        <is>
          <t>450100100</t>
        </is>
      </c>
      <c r="I18" t="inlineStr">
        <is>
          <t>Instancias territoriales asistidas técnicamente</t>
        </is>
      </c>
      <c r="J18" t="inlineStr">
        <is>
          <t>2024252140126</t>
        </is>
      </c>
      <c r="K18" t="inlineStr">
        <is>
          <t>Si</t>
        </is>
      </c>
      <c r="L18" t="inlineStr">
        <is>
          <t>Número</t>
        </is>
      </c>
      <c r="M18">
        <v>102</v>
      </c>
      <c r="N18">
        <v>0.5</v>
      </c>
      <c r="O18">
        <v>0.65</v>
      </c>
      <c r="P18">
        <v>0.85</v>
      </c>
      <c r="Q18">
        <v>1</v>
      </c>
      <c r="R18" t="inlineStr">
        <is>
          <t xml:space="preserve"> </t>
        </is>
      </c>
      <c r="S18" s="103" t="inlineStr">
        <is>
          <t xml:space="preserve"> </t>
        </is>
      </c>
      <c r="T18" t="inlineStr">
        <is>
          <t>No se encontró ejecución en PIIP</t>
        </is>
      </c>
      <c r="U18" t="inlineStr">
        <is>
          <t xml:space="preserve"> </t>
        </is>
      </c>
      <c r="V18" s="104" t="inlineStr">
        <is>
          <t xml:space="preserve"> </t>
        </is>
      </c>
      <c r="W18" t="inlineStr">
        <is>
          <t>No se encontró ejecución en PIIP</t>
        </is>
      </c>
    </row>
    <row r="19">
      <c r="A19" t="inlineStr">
        <is>
          <t>IP-22, IP-23</t>
        </is>
      </c>
      <c r="B19" t="inlineStr">
        <is>
          <t>45</t>
        </is>
      </c>
      <c r="C19" t="inlineStr">
        <is>
          <t>Gobierno Territorial</t>
        </is>
      </c>
      <c r="D19" t="inlineStr">
        <is>
          <t>4501</t>
        </is>
      </c>
      <c r="E19" t="inlineStr">
        <is>
          <t>Fortalecimiento de la convivencia y la seguridad ciudadana</t>
        </is>
      </c>
      <c r="F19" t="inlineStr">
        <is>
          <t>4501048</t>
        </is>
      </c>
      <c r="G19" t="inlineStr">
        <is>
          <t>Servicio de apoyo para el acceso a la justicia policiva</t>
        </is>
      </c>
      <c r="H19" t="inlineStr">
        <is>
          <t>450104800</t>
        </is>
      </c>
      <c r="I19" t="inlineStr">
        <is>
          <t>Estrategias implementadas</t>
        </is>
      </c>
      <c r="J19" t="inlineStr">
        <is>
          <t>2024252140127</t>
        </is>
      </c>
      <c r="K19" t="inlineStr">
        <is>
          <t>Si</t>
        </is>
      </c>
      <c r="L19" t="inlineStr">
        <is>
          <t>Número</t>
        </is>
      </c>
      <c r="M19">
        <v>101</v>
      </c>
      <c r="N19">
        <v>1.25</v>
      </c>
      <c r="O19">
        <v>0.25</v>
      </c>
      <c r="P19">
        <v>0.25</v>
      </c>
      <c r="Q19">
        <v>0.25</v>
      </c>
      <c r="R19" t="inlineStr">
        <is>
          <t xml:space="preserve"> </t>
        </is>
      </c>
      <c r="S19" s="103" t="inlineStr">
        <is>
          <t xml:space="preserve"> </t>
        </is>
      </c>
      <c r="T19" t="inlineStr">
        <is>
          <t>No se encontró ejecución en PIIP</t>
        </is>
      </c>
      <c r="U19" t="inlineStr">
        <is>
          <t xml:space="preserve"> </t>
        </is>
      </c>
      <c r="V19" s="104" t="inlineStr">
        <is>
          <t xml:space="preserve"> </t>
        </is>
      </c>
      <c r="W19" t="inlineStr">
        <is>
          <t>No se encontró ejecución en PIIP</t>
        </is>
      </c>
    </row>
    <row r="20">
      <c r="A20" t="inlineStr">
        <is>
          <t>IP-24</t>
        </is>
      </c>
      <c r="B20" t="inlineStr">
        <is>
          <t>45</t>
        </is>
      </c>
      <c r="C20" t="inlineStr">
        <is>
          <t>Gobierno Territorial</t>
        </is>
      </c>
      <c r="D20" t="inlineStr">
        <is>
          <t>4501</t>
        </is>
      </c>
      <c r="E20" t="inlineStr">
        <is>
          <t>Fortalecimiento de la convivencia y la seguridad ciudadana</t>
        </is>
      </c>
      <c r="F20" t="inlineStr">
        <is>
          <t>4501082</t>
        </is>
      </c>
      <c r="G20" t="inlineStr">
        <is>
          <t>Servicio de apoyo para la atención especializada e interdisciplinaria en las comisarias de familia</t>
        </is>
      </c>
      <c r="H20" t="inlineStr">
        <is>
          <t>450108200</t>
        </is>
      </c>
      <c r="I20" t="inlineStr">
        <is>
          <t>Casos atendidos</t>
        </is>
      </c>
      <c r="J20" t="inlineStr">
        <is>
          <t>2024252140128</t>
        </is>
      </c>
      <c r="K20" t="inlineStr">
        <is>
          <t>Si</t>
        </is>
      </c>
      <c r="L20" t="inlineStr">
        <is>
          <t>Número</t>
        </is>
      </c>
      <c r="M20">
        <v>100</v>
      </c>
      <c r="N20">
        <v>0.25</v>
      </c>
      <c r="O20">
        <v>0.25</v>
      </c>
      <c r="P20">
        <v>0.25</v>
      </c>
      <c r="Q20">
        <v>0.25</v>
      </c>
      <c r="R20" t="inlineStr">
        <is>
          <t xml:space="preserve"> </t>
        </is>
      </c>
      <c r="S20" s="103" t="inlineStr">
        <is>
          <t xml:space="preserve"> </t>
        </is>
      </c>
      <c r="T20" t="inlineStr">
        <is>
          <t>No se encontró ejecución en PIIP</t>
        </is>
      </c>
      <c r="U20" t="inlineStr">
        <is>
          <t xml:space="preserve"> </t>
        </is>
      </c>
      <c r="V20" s="104" t="inlineStr">
        <is>
          <t xml:space="preserve"> </t>
        </is>
      </c>
      <c r="W20" t="inlineStr">
        <is>
          <t>No se encontró ejecución en PIIP</t>
        </is>
      </c>
    </row>
    <row r="21">
      <c r="A21" t="inlineStr">
        <is>
          <t>IP-25</t>
        </is>
      </c>
      <c r="B21" t="inlineStr">
        <is>
          <t>40</t>
        </is>
      </c>
      <c r="C21" t="inlineStr">
        <is>
          <t>Vivienda, ciudad y territorio</t>
        </is>
      </c>
      <c r="D21" t="inlineStr">
        <is>
          <t>4002</t>
        </is>
      </c>
      <c r="E21" t="inlineStr">
        <is>
          <t>Ordenamiento territorial y desarrollo urbano</t>
        </is>
      </c>
      <c r="F21" t="inlineStr">
        <is>
          <t>4002019</t>
        </is>
      </c>
      <c r="G21" t="inlineStr">
        <is>
          <t>Espacio publico construido</t>
        </is>
      </c>
      <c r="H21" t="inlineStr">
        <is>
          <t>400201900</t>
        </is>
      </c>
      <c r="I21" t="inlineStr">
        <is>
          <t>Espacio publico construido</t>
        </is>
      </c>
      <c r="J21" t="inlineStr">
        <is>
          <t>2024252140106</t>
        </is>
      </c>
      <c r="K21" t="inlineStr">
        <is>
          <t>Si</t>
        </is>
      </c>
      <c r="L21" t="inlineStr">
        <is>
          <t>Metros cuadrados</t>
        </is>
      </c>
      <c r="M21">
        <v>10000</v>
      </c>
      <c r="N21">
        <v>0</v>
      </c>
      <c r="O21">
        <v>3000</v>
      </c>
      <c r="P21">
        <v>4000</v>
      </c>
      <c r="Q21">
        <v>3000</v>
      </c>
      <c r="R21">
        <v>0</v>
      </c>
      <c r="S21" s="103" t="inlineStr">
        <is>
          <t xml:space="preserve"> </t>
        </is>
      </c>
      <c r="T21" t="inlineStr">
        <is>
          <t>No se programó ni ejecutó en la vigencia</t>
        </is>
      </c>
      <c r="U21" t="inlineStr">
        <is>
          <t xml:space="preserve"> </t>
        </is>
      </c>
      <c r="V21" s="104" t="inlineStr">
        <is>
          <t xml:space="preserve"> </t>
        </is>
      </c>
      <c r="W21" t="inlineStr">
        <is>
          <t>No se encontró ejecución en PIIP</t>
        </is>
      </c>
    </row>
    <row r="22">
      <c r="A22" t="inlineStr">
        <is>
          <t>IP-26</t>
        </is>
      </c>
      <c r="B22" t="inlineStr">
        <is>
          <t>40</t>
        </is>
      </c>
      <c r="C22" t="inlineStr">
        <is>
          <t>Vivienda, ciudad y territorio</t>
        </is>
      </c>
      <c r="D22" t="inlineStr">
        <is>
          <t>4002</t>
        </is>
      </c>
      <c r="E22" t="inlineStr">
        <is>
          <t>Ordenamiento territorial y desarrollo urbano</t>
        </is>
      </c>
      <c r="F22" t="inlineStr">
        <is>
          <t>4002034</t>
        </is>
      </c>
      <c r="G22" t="inlineStr">
        <is>
          <t>Estudios de pre inversión e inversión</t>
        </is>
      </c>
      <c r="H22" t="inlineStr">
        <is>
          <t>400203400</t>
        </is>
      </c>
      <c r="I22" t="inlineStr">
        <is>
          <t xml:space="preserve">Estudios o diseños realizados </t>
        </is>
      </c>
      <c r="J22" t="inlineStr">
        <is>
          <t/>
        </is>
      </c>
      <c r="K22" t="inlineStr">
        <is>
          <t>Si</t>
        </is>
      </c>
      <c r="L22" t="inlineStr">
        <is>
          <t>Número</t>
        </is>
      </c>
      <c r="M22">
        <v>1</v>
      </c>
      <c r="N22">
        <v>0</v>
      </c>
      <c r="O22">
        <v>0</v>
      </c>
      <c r="P22">
        <v>1</v>
      </c>
      <c r="Q22">
        <v>0</v>
      </c>
      <c r="R22" t="inlineStr">
        <is>
          <t xml:space="preserve"> </t>
        </is>
      </c>
      <c r="S22" s="103" t="inlineStr">
        <is>
          <t xml:space="preserve"> </t>
        </is>
      </c>
      <c r="T22" t="inlineStr">
        <is>
          <t>Por falta de código BPIN, no se encontró ejecución en PIIP</t>
        </is>
      </c>
      <c r="U22" t="inlineStr">
        <is>
          <t xml:space="preserve"> </t>
        </is>
      </c>
      <c r="V22" s="104" t="inlineStr">
        <is>
          <t xml:space="preserve"> </t>
        </is>
      </c>
      <c r="W22" t="inlineStr">
        <is>
          <t>Por falta de código BPIN, no se encontró ejecución en PIIP</t>
        </is>
      </c>
    </row>
    <row r="23">
      <c r="A23" t="inlineStr">
        <is>
          <t>IP-27</t>
        </is>
      </c>
      <c r="B23" t="inlineStr">
        <is>
          <t>40</t>
        </is>
      </c>
      <c r="C23" t="inlineStr">
        <is>
          <t>Vivienda, ciudad y territorio</t>
        </is>
      </c>
      <c r="D23" t="inlineStr">
        <is>
          <t>4002</t>
        </is>
      </c>
      <c r="E23" t="inlineStr">
        <is>
          <t>Ordenamiento territorial y desarrollo urbano</t>
        </is>
      </c>
      <c r="F23" t="inlineStr">
        <is>
          <t>4002021</t>
        </is>
      </c>
      <c r="G23" t="inlineStr">
        <is>
          <t>Parques construidos</t>
        </is>
      </c>
      <c r="H23" t="inlineStr">
        <is>
          <t>400202100</t>
        </is>
      </c>
      <c r="I23" t="inlineStr">
        <is>
          <t>Parques construidos</t>
        </is>
      </c>
      <c r="J23" t="inlineStr">
        <is>
          <t>2024252140X53</t>
        </is>
      </c>
      <c r="K23" t="inlineStr">
        <is>
          <t>Si</t>
        </is>
      </c>
      <c r="L23" t="inlineStr">
        <is>
          <t>Metros cuadrados</t>
        </is>
      </c>
      <c r="M23">
        <v>1</v>
      </c>
      <c r="N23">
        <v>0</v>
      </c>
      <c r="O23">
        <v>1</v>
      </c>
      <c r="P23">
        <v>0</v>
      </c>
      <c r="Q23">
        <v>0</v>
      </c>
      <c r="R23" t="inlineStr">
        <is>
          <t xml:space="preserve"> </t>
        </is>
      </c>
      <c r="S23" s="103" t="inlineStr">
        <is>
          <t xml:space="preserve"> </t>
        </is>
      </c>
      <c r="T23" t="inlineStr">
        <is>
          <t>No se encontró ejecución en PIIP</t>
        </is>
      </c>
      <c r="U23" t="inlineStr">
        <is>
          <t xml:space="preserve"> </t>
        </is>
      </c>
      <c r="V23" s="104" t="inlineStr">
        <is>
          <t xml:space="preserve"> </t>
        </is>
      </c>
      <c r="W23" t="inlineStr">
        <is>
          <t>No se encontró ejecución en PIIP</t>
        </is>
      </c>
    </row>
    <row r="24">
      <c r="A24" t="inlineStr">
        <is>
          <t>IP-28</t>
        </is>
      </c>
      <c r="B24" t="inlineStr">
        <is>
          <t>40</t>
        </is>
      </c>
      <c r="C24" t="inlineStr">
        <is>
          <t>Vivienda, ciudad y territorio</t>
        </is>
      </c>
      <c r="D24" t="inlineStr">
        <is>
          <t>4002</t>
        </is>
      </c>
      <c r="E24" t="inlineStr">
        <is>
          <t>Ordenamiento territorial y desarrollo urbano</t>
        </is>
      </c>
      <c r="F24" t="inlineStr">
        <is>
          <t>4002020</t>
        </is>
      </c>
      <c r="G24" t="inlineStr">
        <is>
          <t>Espacio publico adecuado</t>
        </is>
      </c>
      <c r="H24" t="inlineStr">
        <is>
          <t>400202000</t>
        </is>
      </c>
      <c r="I24" t="inlineStr">
        <is>
          <t>Espacio publico adecuado</t>
        </is>
      </c>
      <c r="J24" t="inlineStr">
        <is>
          <t>2024252140106</t>
        </is>
      </c>
      <c r="K24" t="inlineStr">
        <is>
          <t>Si</t>
        </is>
      </c>
      <c r="L24" t="inlineStr">
        <is>
          <t>Metros cuadrados</t>
        </is>
      </c>
      <c r="M24">
        <v>2000</v>
      </c>
      <c r="N24">
        <v>200</v>
      </c>
      <c r="O24">
        <v>600</v>
      </c>
      <c r="P24">
        <v>600</v>
      </c>
      <c r="Q24">
        <v>600</v>
      </c>
      <c r="R24">
        <v>0</v>
      </c>
      <c r="S24" s="103">
        <v>0</v>
      </c>
      <c r="T24" t="inlineStr">
        <is>
          <t>No se ejecutó en la vigencia</t>
        </is>
      </c>
      <c r="U24" t="inlineStr">
        <is>
          <t xml:space="preserve"> </t>
        </is>
      </c>
      <c r="V24" s="104" t="inlineStr">
        <is>
          <t xml:space="preserve"> </t>
        </is>
      </c>
      <c r="W24" t="inlineStr">
        <is>
          <t>No se encontró ejecución en PIIP</t>
        </is>
      </c>
    </row>
    <row r="25">
      <c r="A25" t="inlineStr">
        <is>
          <t>IP-29</t>
        </is>
      </c>
      <c r="B25" t="inlineStr">
        <is>
          <t>40</t>
        </is>
      </c>
      <c r="C25" t="inlineStr">
        <is>
          <t>Vivienda, ciudad y territorio</t>
        </is>
      </c>
      <c r="D25" t="inlineStr">
        <is>
          <t>4002</t>
        </is>
      </c>
      <c r="E25" t="inlineStr">
        <is>
          <t>Ordenamiento territorial y desarrollo urbano</t>
        </is>
      </c>
      <c r="F25" t="inlineStr">
        <is>
          <t>4002016</t>
        </is>
      </c>
      <c r="G25" t="inlineStr">
        <is>
          <t>Documentos de planeación</t>
        </is>
      </c>
      <c r="H25" t="inlineStr">
        <is>
          <t>400201602</t>
        </is>
      </c>
      <c r="I25" t="inlineStr">
        <is>
          <t>Documentos de planeación de la etapa de alistamiento y diagnóstico del Plan de Ordenamiento Departamental elaborados</t>
        </is>
      </c>
      <c r="J25" t="inlineStr">
        <is>
          <t>2024252140152</t>
        </is>
      </c>
      <c r="K25" t="inlineStr">
        <is>
          <t>Si</t>
        </is>
      </c>
      <c r="L25" t="inlineStr">
        <is>
          <t>Número</t>
        </is>
      </c>
      <c r="M25">
        <v>100</v>
      </c>
      <c r="N25">
        <v>20</v>
      </c>
      <c r="O25">
        <v>50</v>
      </c>
      <c r="P25">
        <v>15</v>
      </c>
      <c r="Q25">
        <v>15</v>
      </c>
      <c r="R25" t="inlineStr">
        <is>
          <t xml:space="preserve"> </t>
        </is>
      </c>
      <c r="S25" s="103" t="inlineStr">
        <is>
          <t xml:space="preserve"> </t>
        </is>
      </c>
      <c r="T25" t="inlineStr">
        <is>
          <t>No se encontró ejecución en PIIP</t>
        </is>
      </c>
      <c r="U25" t="inlineStr">
        <is>
          <t xml:space="preserve"> </t>
        </is>
      </c>
      <c r="V25" s="104" t="inlineStr">
        <is>
          <t xml:space="preserve"> </t>
        </is>
      </c>
      <c r="W25" t="inlineStr">
        <is>
          <t>No se encontró ejecución en PIIP</t>
        </is>
      </c>
    </row>
    <row r="26">
      <c r="A26" t="inlineStr">
        <is>
          <t>IP-30</t>
        </is>
      </c>
      <c r="B26" t="inlineStr">
        <is>
          <t>40</t>
        </is>
      </c>
      <c r="C26" t="inlineStr">
        <is>
          <t>Vivienda, ciudad y territorio</t>
        </is>
      </c>
      <c r="D26" t="inlineStr">
        <is>
          <t>4002</t>
        </is>
      </c>
      <c r="E26" t="inlineStr">
        <is>
          <t>Ordenamiento territorial y desarrollo urbano</t>
        </is>
      </c>
      <c r="F26" t="inlineStr">
        <is>
          <t>4002016</t>
        </is>
      </c>
      <c r="G26" t="inlineStr">
        <is>
          <t>Documentos de planeación</t>
        </is>
      </c>
      <c r="H26" t="inlineStr">
        <is>
          <t>400201600</t>
        </is>
      </c>
      <c r="I26" t="inlineStr">
        <is>
          <t>Documentos de planeación elaborados</t>
        </is>
      </c>
      <c r="J26" t="inlineStr">
        <is>
          <t>2024252140152</t>
        </is>
      </c>
      <c r="K26" t="inlineStr">
        <is>
          <t>No</t>
        </is>
      </c>
      <c r="L26" t="inlineStr">
        <is>
          <t>Número</t>
        </is>
      </c>
      <c r="M26">
        <v>1</v>
      </c>
      <c r="N26">
        <v>1</v>
      </c>
      <c r="O26">
        <v>1</v>
      </c>
      <c r="P26">
        <v>1</v>
      </c>
      <c r="Q26">
        <v>1</v>
      </c>
      <c r="R26">
        <v>1</v>
      </c>
      <c r="S26" s="103">
        <v>1</v>
      </c>
      <c r="T26" t="inlineStr">
        <is>
          <t>Se ejecutó el 100% de lo programado en la vigencia</t>
        </is>
      </c>
      <c r="U26">
        <v>0.41</v>
      </c>
      <c r="V26" s="104">
        <v>0.41</v>
      </c>
      <c r="W26" t="inlineStr">
        <is>
          <t>Lo ejecutado está por debajo de lo programado en la vigencia</t>
        </is>
      </c>
    </row>
    <row r="27">
      <c r="A27" t="inlineStr">
        <is>
          <t>IP-31</t>
        </is>
      </c>
      <c r="B27" t="inlineStr">
        <is>
          <t>04</t>
        </is>
      </c>
      <c r="C27" t="inlineStr">
        <is>
          <t>Información Estadística</t>
        </is>
      </c>
      <c r="D27" t="inlineStr">
        <is>
          <t>0401</t>
        </is>
      </c>
      <c r="E27" t="inlineStr">
        <is>
          <t>Levantamiento y actualización de información estadística de calidad</t>
        </is>
      </c>
      <c r="F27" t="inlineStr">
        <is>
          <t>0401105</t>
        </is>
      </c>
      <c r="G27" t="inlineStr">
        <is>
          <t>Servicio de estratificación socioeconómica</t>
        </is>
      </c>
      <c r="H27" t="inlineStr">
        <is>
          <t>040110500</t>
        </is>
      </c>
      <c r="I27" t="inlineStr">
        <is>
          <t>Predios con estratificación socioeconómica</t>
        </is>
      </c>
      <c r="J27" t="inlineStr">
        <is>
          <t>2024252140058</t>
        </is>
      </c>
      <c r="K27" t="inlineStr">
        <is>
          <t>Si</t>
        </is>
      </c>
      <c r="L27" t="inlineStr">
        <is>
          <t>Número</t>
        </is>
      </c>
      <c r="M27">
        <v>1</v>
      </c>
      <c r="N27">
        <v>0.2</v>
      </c>
      <c r="O27">
        <v>0.3</v>
      </c>
      <c r="P27">
        <v>0.25</v>
      </c>
      <c r="Q27">
        <v>0.25</v>
      </c>
      <c r="R27" t="inlineStr">
        <is>
          <t xml:space="preserve"> </t>
        </is>
      </c>
      <c r="S27" s="103" t="inlineStr">
        <is>
          <t xml:space="preserve"> </t>
        </is>
      </c>
      <c r="T27" t="inlineStr">
        <is>
          <t>No se encontró ejecución en PIIP</t>
        </is>
      </c>
      <c r="U27" t="inlineStr">
        <is>
          <t xml:space="preserve"> </t>
        </is>
      </c>
      <c r="V27" s="104" t="inlineStr">
        <is>
          <t xml:space="preserve"> </t>
        </is>
      </c>
      <c r="W27" t="inlineStr">
        <is>
          <t>No se encontró ejecución en PIIP</t>
        </is>
      </c>
    </row>
    <row r="28">
      <c r="A28" t="inlineStr">
        <is>
          <t>IP-32, IP-33, IP-35</t>
        </is>
      </c>
      <c r="B28" t="inlineStr">
        <is>
          <t>04</t>
        </is>
      </c>
      <c r="C28" t="inlineStr">
        <is>
          <t>Información Estadística</t>
        </is>
      </c>
      <c r="D28" t="inlineStr">
        <is>
          <t>0406</t>
        </is>
      </c>
      <c r="E28" t="inlineStr">
        <is>
          <t>Generación de la información geográfica del territorio nacional</t>
        </is>
      </c>
      <c r="F28" t="inlineStr">
        <is>
          <t>0406001</t>
        </is>
      </c>
      <c r="G28" t="inlineStr">
        <is>
          <t>Servicio de información geográfica, geodésica y cartográfica actualizado</t>
        </is>
      </c>
      <c r="H28" t="inlineStr">
        <is>
          <t>040600100</t>
        </is>
      </c>
      <c r="I28" t="inlineStr">
        <is>
          <t>Sistema de información actualizado</t>
        </is>
      </c>
      <c r="J28" t="inlineStr">
        <is>
          <t>2024252140153</t>
        </is>
      </c>
      <c r="K28" t="inlineStr">
        <is>
          <t>Si</t>
        </is>
      </c>
      <c r="L28" t="inlineStr">
        <is>
          <t>Número</t>
        </is>
      </c>
      <c r="M28">
        <v>3</v>
      </c>
      <c r="N28">
        <v>0.4</v>
      </c>
      <c r="O28">
        <v>0.8</v>
      </c>
      <c r="P28">
        <v>0.9</v>
      </c>
      <c r="Q28">
        <v>0.9</v>
      </c>
      <c r="R28">
        <v>0.45</v>
      </c>
      <c r="S28" s="103">
        <v>1.125</v>
      </c>
      <c r="T28" t="inlineStr">
        <is>
          <t>Hubo ejecución por encima de lo programado en SisPT</t>
        </is>
      </c>
      <c r="U28">
        <v>0.125</v>
      </c>
      <c r="V28" s="104">
        <v>0.15625</v>
      </c>
      <c r="W28" t="inlineStr">
        <is>
          <t>Lo ejecutado está por debajo de lo programado en la vigencia</t>
        </is>
      </c>
    </row>
    <row r="29">
      <c r="A29" t="inlineStr">
        <is>
          <t>IP-34</t>
        </is>
      </c>
      <c r="B29" t="inlineStr">
        <is>
          <t>04</t>
        </is>
      </c>
      <c r="C29" t="inlineStr">
        <is>
          <t>Información Estadística</t>
        </is>
      </c>
      <c r="D29" t="inlineStr">
        <is>
          <t>0406</t>
        </is>
      </c>
      <c r="E29" t="inlineStr">
        <is>
          <t>Generación de la información geográfica del territorio nacional</t>
        </is>
      </c>
      <c r="F29" t="inlineStr">
        <is>
          <t>0406004</t>
        </is>
      </c>
      <c r="G29" t="inlineStr">
        <is>
          <t>Servicio de información catastral actualizado</t>
        </is>
      </c>
      <c r="H29" t="inlineStr">
        <is>
          <t>040600400</t>
        </is>
      </c>
      <c r="I29" t="inlineStr">
        <is>
          <t>Sistema de Información catastral actualizado</t>
        </is>
      </c>
      <c r="J29" t="inlineStr">
        <is>
          <t>2024252140153</t>
        </is>
      </c>
      <c r="K29" t="inlineStr">
        <is>
          <t>Si</t>
        </is>
      </c>
      <c r="L29" t="inlineStr">
        <is>
          <t>Número</t>
        </is>
      </c>
      <c r="M29">
        <v>1</v>
      </c>
      <c r="N29">
        <v>0.1</v>
      </c>
      <c r="O29">
        <v>0.9</v>
      </c>
      <c r="P29">
        <v>0</v>
      </c>
      <c r="Q29">
        <v>0</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IP-36</t>
        </is>
      </c>
      <c r="B30" t="inlineStr">
        <is>
          <t>04</t>
        </is>
      </c>
      <c r="C30" t="inlineStr">
        <is>
          <t>Información Estadística</t>
        </is>
      </c>
      <c r="D30" t="inlineStr">
        <is>
          <t>0406</t>
        </is>
      </c>
      <c r="E30" t="inlineStr">
        <is>
          <t>Generación de la información geográfica del territorio nacional</t>
        </is>
      </c>
      <c r="F30" t="inlineStr">
        <is>
          <t>0406004</t>
        </is>
      </c>
      <c r="G30" t="inlineStr">
        <is>
          <t>Servicio de información catastral actualizado</t>
        </is>
      </c>
      <c r="H30" t="inlineStr">
        <is>
          <t>040600400</t>
        </is>
      </c>
      <c r="I30" t="inlineStr">
        <is>
          <t>Sistema de Información catastral actualizado</t>
        </is>
      </c>
      <c r="J30" t="inlineStr">
        <is>
          <t>2024252140153</t>
        </is>
      </c>
      <c r="K30" t="inlineStr">
        <is>
          <t>No</t>
        </is>
      </c>
      <c r="L30" t="inlineStr">
        <is>
          <t>Número</t>
        </is>
      </c>
      <c r="M30">
        <v>1</v>
      </c>
      <c r="N30">
        <v>1</v>
      </c>
      <c r="O30">
        <v>1</v>
      </c>
      <c r="P30">
        <v>1</v>
      </c>
      <c r="Q30">
        <v>1</v>
      </c>
      <c r="R30">
        <v>0.45</v>
      </c>
      <c r="S30" s="103">
        <v>0.45</v>
      </c>
      <c r="T30" t="inlineStr">
        <is>
          <t>Lo ejecutado está por debajo de lo programado en la vigencia</t>
        </is>
      </c>
      <c r="U30">
        <v>0.125</v>
      </c>
      <c r="V30" s="104">
        <v>0.125</v>
      </c>
      <c r="W30" t="inlineStr">
        <is>
          <t>Lo ejecutado está por debajo de lo programado en la vigencia</t>
        </is>
      </c>
    </row>
    <row r="31">
      <c r="A31" t="inlineStr">
        <is>
          <t>IP-37</t>
        </is>
      </c>
      <c r="B31" t="inlineStr">
        <is>
          <t>40</t>
        </is>
      </c>
      <c r="C31" t="inlineStr">
        <is>
          <t>Vivienda, ciudad y territorio</t>
        </is>
      </c>
      <c r="D31" t="inlineStr">
        <is>
          <t>4001</t>
        </is>
      </c>
      <c r="E31" t="inlineStr">
        <is>
          <t>Acceso a soluciones de vivienda</t>
        </is>
      </c>
      <c r="F31" t="inlineStr">
        <is>
          <t>4001042</t>
        </is>
      </c>
      <c r="G31" t="inlineStr">
        <is>
          <t>Vivienda de Interés Social construidas</t>
        </is>
      </c>
      <c r="H31" t="inlineStr">
        <is>
          <t>400104200</t>
        </is>
      </c>
      <c r="I31" t="inlineStr">
        <is>
          <t>Vivienda de Interés Social construidas</t>
        </is>
      </c>
      <c r="J31" t="inlineStr">
        <is>
          <t>2024252140154</t>
        </is>
      </c>
      <c r="K31" t="inlineStr">
        <is>
          <t>Si</t>
        </is>
      </c>
      <c r="L31" t="inlineStr">
        <is>
          <t>Número</t>
        </is>
      </c>
      <c r="M31">
        <v>1</v>
      </c>
      <c r="N31">
        <v>0.2</v>
      </c>
      <c r="O31">
        <v>0.3</v>
      </c>
      <c r="P31">
        <v>0.25</v>
      </c>
      <c r="Q31">
        <v>0.25</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IP-38</t>
        </is>
      </c>
      <c r="B32" t="inlineStr">
        <is>
          <t>40</t>
        </is>
      </c>
      <c r="C32" t="inlineStr">
        <is>
          <t>Vivienda, ciudad y territorio</t>
        </is>
      </c>
      <c r="D32" t="inlineStr">
        <is>
          <t>4003</t>
        </is>
      </c>
      <c r="E32" t="inlineStr">
        <is>
          <t>Acceso de la población a los servicios de agua potable y saneamiento básico</t>
        </is>
      </c>
      <c r="F32" t="inlineStr">
        <is>
          <t>4003006</t>
        </is>
      </c>
      <c r="G32" t="inlineStr">
        <is>
          <t>Documentos de planeación</t>
        </is>
      </c>
      <c r="H32" t="inlineStr">
        <is>
          <t>400300601</t>
        </is>
      </c>
      <c r="I32" t="inlineStr">
        <is>
          <t>Documentos de planeación en políticas de Agua Potable y Saneamiento Básico elaborados</t>
        </is>
      </c>
      <c r="J32" t="inlineStr">
        <is>
          <t>2024252140169</t>
        </is>
      </c>
      <c r="K32" t="inlineStr">
        <is>
          <t>Si</t>
        </is>
      </c>
      <c r="L32" t="inlineStr">
        <is>
          <t>Número</t>
        </is>
      </c>
      <c r="M32">
        <v>1</v>
      </c>
      <c r="N32">
        <v>0</v>
      </c>
      <c r="O32">
        <v>0</v>
      </c>
      <c r="P32">
        <v>1</v>
      </c>
      <c r="Q32">
        <v>0</v>
      </c>
      <c r="R32" t="inlineStr">
        <is>
          <t xml:space="preserve"> </t>
        </is>
      </c>
      <c r="S32" s="103" t="inlineStr">
        <is>
          <t xml:space="preserve"> </t>
        </is>
      </c>
      <c r="T32" t="inlineStr">
        <is>
          <t>No se encontró ejecución en PIIP</t>
        </is>
      </c>
      <c r="U32" t="inlineStr">
        <is>
          <t xml:space="preserve"> </t>
        </is>
      </c>
      <c r="V32" s="104" t="inlineStr">
        <is>
          <t xml:space="preserve"> </t>
        </is>
      </c>
      <c r="W32" t="inlineStr">
        <is>
          <t>No se encontró ejecución en PIIP</t>
        </is>
      </c>
    </row>
    <row r="33">
      <c r="A33" t="inlineStr">
        <is>
          <t>IP-39</t>
        </is>
      </c>
      <c r="B33" t="inlineStr">
        <is>
          <t>40</t>
        </is>
      </c>
      <c r="C33" t="inlineStr">
        <is>
          <t>Vivienda, ciudad y territorio</t>
        </is>
      </c>
      <c r="D33" t="inlineStr">
        <is>
          <t>4003</t>
        </is>
      </c>
      <c r="E33" t="inlineStr">
        <is>
          <t>Acceso de la población a los servicios de agua potable y saneamiento básico</t>
        </is>
      </c>
      <c r="F33" t="inlineStr">
        <is>
          <t>4003017</t>
        </is>
      </c>
      <c r="G33" t="inlineStr">
        <is>
          <t>Acueductos optimizados</t>
        </is>
      </c>
      <c r="H33" t="inlineStr">
        <is>
          <t>400301700</t>
        </is>
      </c>
      <c r="I33" t="inlineStr">
        <is>
          <t>Acueductos optimizados</t>
        </is>
      </c>
      <c r="J33" t="inlineStr">
        <is>
          <t>2024252140169</t>
        </is>
      </c>
      <c r="K33" t="inlineStr">
        <is>
          <t>Si</t>
        </is>
      </c>
      <c r="L33" t="inlineStr">
        <is>
          <t>Número</t>
        </is>
      </c>
      <c r="M33">
        <v>1</v>
      </c>
      <c r="N33">
        <v>0</v>
      </c>
      <c r="O33">
        <v>0</v>
      </c>
      <c r="P33">
        <v>1</v>
      </c>
      <c r="Q33">
        <v>0</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IP-40</t>
        </is>
      </c>
      <c r="B34" t="inlineStr">
        <is>
          <t>40</t>
        </is>
      </c>
      <c r="C34" t="inlineStr">
        <is>
          <t>Vivienda, ciudad y territorio</t>
        </is>
      </c>
      <c r="D34" t="inlineStr">
        <is>
          <t>4003</t>
        </is>
      </c>
      <c r="E34" t="inlineStr">
        <is>
          <t>Acceso de la población a los servicios de agua potable y saneamiento básico</t>
        </is>
      </c>
      <c r="F34" t="inlineStr">
        <is>
          <t>4003020</t>
        </is>
      </c>
      <c r="G34" t="inlineStr">
        <is>
          <t>Alcantarillados optimizados</t>
        </is>
      </c>
      <c r="H34" t="inlineStr">
        <is>
          <t>400302000</t>
        </is>
      </c>
      <c r="I34" t="inlineStr">
        <is>
          <t>Alcantarillados optimizados</t>
        </is>
      </c>
      <c r="J34" t="inlineStr">
        <is>
          <t>2024252140169</t>
        </is>
      </c>
      <c r="K34" t="inlineStr">
        <is>
          <t>Si</t>
        </is>
      </c>
      <c r="L34" t="inlineStr">
        <is>
          <t>Número</t>
        </is>
      </c>
      <c r="M34">
        <v>1</v>
      </c>
      <c r="N34">
        <v>0</v>
      </c>
      <c r="O34">
        <v>0</v>
      </c>
      <c r="P34">
        <v>1</v>
      </c>
      <c r="Q34">
        <v>0</v>
      </c>
      <c r="R34" t="inlineStr">
        <is>
          <t xml:space="preserve"> </t>
        </is>
      </c>
      <c r="S34" s="103" t="inlineStr">
        <is>
          <t xml:space="preserve"> </t>
        </is>
      </c>
      <c r="T34" t="inlineStr">
        <is>
          <t>No se encontró ejecución en PIIP</t>
        </is>
      </c>
      <c r="U34" t="inlineStr">
        <is>
          <t xml:space="preserve"> </t>
        </is>
      </c>
      <c r="V34" s="104" t="inlineStr">
        <is>
          <t xml:space="preserve"> </t>
        </is>
      </c>
      <c r="W34" t="inlineStr">
        <is>
          <t>No se encontró ejecución en PIIP</t>
        </is>
      </c>
    </row>
    <row r="35">
      <c r="A35" t="inlineStr">
        <is>
          <t>IP-41</t>
        </is>
      </c>
      <c r="B35" t="inlineStr">
        <is>
          <t>40</t>
        </is>
      </c>
      <c r="C35" t="inlineStr">
        <is>
          <t>Vivienda, ciudad y territorio</t>
        </is>
      </c>
      <c r="D35" t="inlineStr">
        <is>
          <t>4003</t>
        </is>
      </c>
      <c r="E35" t="inlineStr">
        <is>
          <t>Acceso de la población a los servicios de agua potable y saneamiento básico</t>
        </is>
      </c>
      <c r="F35" t="inlineStr">
        <is>
          <t>4003041</t>
        </is>
      </c>
      <c r="G35" t="inlineStr">
        <is>
          <t>Servicio de regulación en Agua Potable y Saneamiento Básico</t>
        </is>
      </c>
      <c r="H35" t="inlineStr">
        <is>
          <t>400304101</t>
        </is>
      </c>
      <c r="I35" t="inlineStr">
        <is>
          <t xml:space="preserve">Estudios realizados </t>
        </is>
      </c>
      <c r="J35" t="inlineStr">
        <is>
          <t/>
        </is>
      </c>
      <c r="K35" t="inlineStr">
        <is>
          <t>Si</t>
        </is>
      </c>
      <c r="L35" t="inlineStr">
        <is>
          <t>Número</t>
        </is>
      </c>
      <c r="M35">
        <v>2</v>
      </c>
      <c r="N35">
        <v>0</v>
      </c>
      <c r="O35">
        <v>0</v>
      </c>
      <c r="P35">
        <v>2</v>
      </c>
      <c r="Q35">
        <v>0</v>
      </c>
      <c r="R35" t="inlineStr">
        <is>
          <t xml:space="preserve"> </t>
        </is>
      </c>
      <c r="S35" s="103" t="inlineStr">
        <is>
          <t xml:space="preserve"> </t>
        </is>
      </c>
      <c r="T35" t="inlineStr">
        <is>
          <t>Por falta de código BPIN, no se encontró ejecución en PIIP</t>
        </is>
      </c>
      <c r="U35" t="inlineStr">
        <is>
          <t xml:space="preserve"> </t>
        </is>
      </c>
      <c r="V35" s="104" t="inlineStr">
        <is>
          <t xml:space="preserve"> </t>
        </is>
      </c>
      <c r="W35" t="inlineStr">
        <is>
          <t>Por falta de código BPIN, no se encontró ejecución en PIIP</t>
        </is>
      </c>
    </row>
    <row r="36">
      <c r="A36" t="inlineStr">
        <is>
          <t>IP-42</t>
        </is>
      </c>
      <c r="B36" t="inlineStr">
        <is>
          <t>40</t>
        </is>
      </c>
      <c r="C36" t="inlineStr">
        <is>
          <t>Vivienda, ciudad y territorio</t>
        </is>
      </c>
      <c r="D36" t="inlineStr">
        <is>
          <t>4003</t>
        </is>
      </c>
      <c r="E36" t="inlineStr">
        <is>
          <t>Acceso de la población a los servicios de agua potable y saneamiento básico</t>
        </is>
      </c>
      <c r="F36" t="inlineStr">
        <is>
          <t>4003006</t>
        </is>
      </c>
      <c r="G36" t="inlineStr">
        <is>
          <t>Documentos de planeación</t>
        </is>
      </c>
      <c r="H36" t="inlineStr">
        <is>
          <t>400300600</t>
        </is>
      </c>
      <c r="I36" t="inlineStr">
        <is>
          <t>Documentos de planeación elaborados</t>
        </is>
      </c>
      <c r="J36" t="inlineStr">
        <is>
          <t>2024252140169</t>
        </is>
      </c>
      <c r="K36" t="inlineStr">
        <is>
          <t>Si</t>
        </is>
      </c>
      <c r="L36" t="inlineStr">
        <is>
          <t>Número</t>
        </is>
      </c>
      <c r="M36">
        <v>1</v>
      </c>
      <c r="N36">
        <v>0</v>
      </c>
      <c r="O36">
        <v>0</v>
      </c>
      <c r="P36">
        <v>1</v>
      </c>
      <c r="Q36">
        <v>0</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IP-43</t>
        </is>
      </c>
      <c r="B37" t="inlineStr">
        <is>
          <t>40</t>
        </is>
      </c>
      <c r="C37" t="inlineStr">
        <is>
          <t>Vivienda, ciudad y territorio</t>
        </is>
      </c>
      <c r="D37" t="inlineStr">
        <is>
          <t>4003</t>
        </is>
      </c>
      <c r="E37" t="inlineStr">
        <is>
          <t>Acceso de la población a los servicios de agua potable y saneamiento básico</t>
        </is>
      </c>
      <c r="F37" t="inlineStr">
        <is>
          <t>4003006</t>
        </is>
      </c>
      <c r="G37" t="inlineStr">
        <is>
          <t>Documentos de planeación</t>
        </is>
      </c>
      <c r="H37" t="inlineStr">
        <is>
          <t>400300602</t>
        </is>
      </c>
      <c r="I37" t="inlineStr">
        <is>
          <t>Plan Integral de gestión de residuos sólidos (PGIRS) actualizado</t>
        </is>
      </c>
      <c r="J37" t="inlineStr">
        <is>
          <t>2024252140072</t>
        </is>
      </c>
      <c r="K37" t="inlineStr">
        <is>
          <t>Si</t>
        </is>
      </c>
      <c r="L37" t="inlineStr">
        <is>
          <t>Número</t>
        </is>
      </c>
      <c r="M37">
        <v>1</v>
      </c>
      <c r="N37">
        <v>0.12</v>
      </c>
      <c r="O37">
        <v>0.35</v>
      </c>
      <c r="P37">
        <v>0.35</v>
      </c>
      <c r="Q37">
        <v>0.18</v>
      </c>
      <c r="R37" t="inlineStr">
        <is>
          <t xml:space="preserve"> </t>
        </is>
      </c>
      <c r="S37" s="103" t="inlineStr">
        <is>
          <t xml:space="preserve"> </t>
        </is>
      </c>
      <c r="T37" t="inlineStr">
        <is>
          <t>No se encontró ejecución en PIIP</t>
        </is>
      </c>
      <c r="U37" t="inlineStr">
        <is>
          <t xml:space="preserve"> </t>
        </is>
      </c>
      <c r="V37" s="104" t="inlineStr">
        <is>
          <t xml:space="preserve"> </t>
        </is>
      </c>
      <c r="W37" t="inlineStr">
        <is>
          <t>No se encontró ejecución en PIIP</t>
        </is>
      </c>
    </row>
    <row r="38">
      <c r="A38" t="inlineStr">
        <is>
          <t>IP-44</t>
        </is>
      </c>
      <c r="B38" t="inlineStr">
        <is>
          <t>40</t>
        </is>
      </c>
      <c r="C38" t="inlineStr">
        <is>
          <t>Vivienda, ciudad y territorio</t>
        </is>
      </c>
      <c r="D38" t="inlineStr">
        <is>
          <t>4003</t>
        </is>
      </c>
      <c r="E38" t="inlineStr">
        <is>
          <t>Acceso de la población a los servicios de agua potable y saneamiento básico</t>
        </is>
      </c>
      <c r="F38" t="inlineStr">
        <is>
          <t>4003047</t>
        </is>
      </c>
      <c r="G38" t="inlineStr">
        <is>
          <t>Servicio de apoyo financiero para subsidios al consumo en los servicios públicos domiciliarios</t>
        </is>
      </c>
      <c r="H38" t="inlineStr">
        <is>
          <t>400304700</t>
        </is>
      </c>
      <c r="I38" t="inlineStr">
        <is>
          <t>Usuarios beneficiados con subsidios al consumo</t>
        </is>
      </c>
      <c r="J38" t="inlineStr">
        <is>
          <t>2024252140155</t>
        </is>
      </c>
      <c r="K38" t="inlineStr">
        <is>
          <t>Si</t>
        </is>
      </c>
      <c r="L38" t="inlineStr">
        <is>
          <t>Número</t>
        </is>
      </c>
      <c r="M38">
        <v>100</v>
      </c>
      <c r="N38">
        <v>100</v>
      </c>
      <c r="O38">
        <v>100</v>
      </c>
      <c r="P38">
        <v>100</v>
      </c>
      <c r="Q38">
        <v>100</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IP-45</t>
        </is>
      </c>
      <c r="B39" t="inlineStr">
        <is>
          <t>40</t>
        </is>
      </c>
      <c r="C39" t="inlineStr">
        <is>
          <t>Vivienda, ciudad y territorio</t>
        </is>
      </c>
      <c r="D39" t="inlineStr">
        <is>
          <t>4003</t>
        </is>
      </c>
      <c r="E39" t="inlineStr">
        <is>
          <t>Acceso de la población a los servicios de agua potable y saneamiento básico</t>
        </is>
      </c>
      <c r="F39" t="inlineStr">
        <is>
          <t>4003055</t>
        </is>
      </c>
      <c r="G39" t="inlineStr">
        <is>
          <t>Servicio de asistencia técnica</t>
        </is>
      </c>
      <c r="H39" t="inlineStr">
        <is>
          <t>400305500</t>
        </is>
      </c>
      <c r="I39" t="inlineStr">
        <is>
          <t>Asistencias técnicas realizadas</t>
        </is>
      </c>
      <c r="J39" t="inlineStr">
        <is>
          <t>2024252140155</t>
        </is>
      </c>
      <c r="K39" t="inlineStr">
        <is>
          <t>Si</t>
        </is>
      </c>
      <c r="L39" t="inlineStr">
        <is>
          <t>Número</t>
        </is>
      </c>
      <c r="M39">
        <v>1</v>
      </c>
      <c r="N39">
        <v>0.25</v>
      </c>
      <c r="O39">
        <v>0.25</v>
      </c>
      <c r="P39">
        <v>0.25</v>
      </c>
      <c r="Q39">
        <v>0.25</v>
      </c>
      <c r="R39" t="inlineStr">
        <is>
          <t xml:space="preserve"> </t>
        </is>
      </c>
      <c r="S39" s="103" t="inlineStr">
        <is>
          <t xml:space="preserve"> </t>
        </is>
      </c>
      <c r="T39" t="inlineStr">
        <is>
          <t>No se encontró ejecución en PIIP</t>
        </is>
      </c>
      <c r="U39" t="inlineStr">
        <is>
          <t xml:space="preserve"> </t>
        </is>
      </c>
      <c r="V39" s="104" t="inlineStr">
        <is>
          <t xml:space="preserve"> </t>
        </is>
      </c>
      <c r="W39" t="inlineStr">
        <is>
          <t>No se encontró ejecución en PIIP</t>
        </is>
      </c>
    </row>
    <row r="40">
      <c r="A40" t="inlineStr">
        <is>
          <t>IP-46</t>
        </is>
      </c>
      <c r="B40" t="inlineStr">
        <is>
          <t>21</t>
        </is>
      </c>
      <c r="C40" t="inlineStr">
        <is>
          <t>Minas y Energía</t>
        </is>
      </c>
      <c r="D40" t="inlineStr">
        <is>
          <t>2101</t>
        </is>
      </c>
      <c r="E40" t="inlineStr">
        <is>
          <t>Acceso al servicio público domiciliario de gas combustible</t>
        </is>
      </c>
      <c r="F40" t="inlineStr">
        <is>
          <t>2101002</t>
        </is>
      </c>
      <c r="G40" t="inlineStr">
        <is>
          <t>Estudios de pre inversión</t>
        </is>
      </c>
      <c r="H40" t="inlineStr">
        <is>
          <t>210100200</t>
        </is>
      </c>
      <c r="I40" t="inlineStr">
        <is>
          <t>Estudios de pre inversión realizados</t>
        </is>
      </c>
      <c r="J40" t="inlineStr">
        <is>
          <t>2024252140108</t>
        </is>
      </c>
      <c r="K40" t="inlineStr">
        <is>
          <t>Si</t>
        </is>
      </c>
      <c r="L40" t="inlineStr">
        <is>
          <t>Número</t>
        </is>
      </c>
      <c r="M40">
        <v>1</v>
      </c>
      <c r="N40">
        <v>0</v>
      </c>
      <c r="O40">
        <v>0</v>
      </c>
      <c r="P40">
        <v>1</v>
      </c>
      <c r="Q40">
        <v>0</v>
      </c>
      <c r="R40" t="inlineStr">
        <is>
          <t xml:space="preserve"> </t>
        </is>
      </c>
      <c r="S40" s="103" t="inlineStr">
        <is>
          <t xml:space="preserve"> </t>
        </is>
      </c>
      <c r="T40" t="inlineStr">
        <is>
          <t>No se encontró ejecución en PIIP</t>
        </is>
      </c>
      <c r="U40" t="inlineStr">
        <is>
          <t xml:space="preserve"> </t>
        </is>
      </c>
      <c r="V40" s="104" t="inlineStr">
        <is>
          <t xml:space="preserve"> </t>
        </is>
      </c>
      <c r="W40" t="inlineStr">
        <is>
          <t>No se encontró ejecución en PIIP</t>
        </is>
      </c>
    </row>
    <row r="41">
      <c r="A41" t="inlineStr">
        <is>
          <t>IP-47, IP-48</t>
        </is>
      </c>
      <c r="B41" t="inlineStr">
        <is>
          <t>21</t>
        </is>
      </c>
      <c r="C41" t="inlineStr">
        <is>
          <t>Minas y Energía</t>
        </is>
      </c>
      <c r="D41" t="inlineStr">
        <is>
          <t>2102</t>
        </is>
      </c>
      <c r="E41" t="inlineStr">
        <is>
          <t>Consolidación productiva del sector de energía eléctrica</t>
        </is>
      </c>
      <c r="F41" t="inlineStr">
        <is>
          <t>2102009</t>
        </is>
      </c>
      <c r="G41" t="inlineStr">
        <is>
          <t>Documentos de planeación</t>
        </is>
      </c>
      <c r="H41" t="inlineStr">
        <is>
          <t>210200900</t>
        </is>
      </c>
      <c r="I41" t="inlineStr">
        <is>
          <t>Documentos de planeación realizados</t>
        </is>
      </c>
      <c r="J41" t="inlineStr">
        <is>
          <t>2024252140109</t>
        </is>
      </c>
      <c r="K41" t="inlineStr">
        <is>
          <t>Si</t>
        </is>
      </c>
      <c r="L41" t="inlineStr">
        <is>
          <t>Número</t>
        </is>
      </c>
      <c r="M41">
        <v>2</v>
      </c>
      <c r="N41">
        <v>0</v>
      </c>
      <c r="O41">
        <v>0</v>
      </c>
      <c r="P41">
        <v>2</v>
      </c>
      <c r="Q41">
        <v>0</v>
      </c>
      <c r="R41" t="inlineStr">
        <is>
          <t xml:space="preserve"> </t>
        </is>
      </c>
      <c r="S41" s="103" t="inlineStr">
        <is>
          <t xml:space="preserve"> </t>
        </is>
      </c>
      <c r="T41" t="inlineStr">
        <is>
          <t>No se encontró ejecución en PIIP</t>
        </is>
      </c>
      <c r="U41" t="inlineStr">
        <is>
          <t xml:space="preserve"> </t>
        </is>
      </c>
      <c r="V41" s="104" t="inlineStr">
        <is>
          <t xml:space="preserve"> </t>
        </is>
      </c>
      <c r="W41" t="inlineStr">
        <is>
          <t>No se encontró ejecución en PIIP</t>
        </is>
      </c>
    </row>
    <row r="42">
      <c r="A42" t="inlineStr">
        <is>
          <t>IP-50</t>
        </is>
      </c>
      <c r="B42" t="inlineStr">
        <is>
          <t>21</t>
        </is>
      </c>
      <c r="C42" t="inlineStr">
        <is>
          <t>Minas y Energía</t>
        </is>
      </c>
      <c r="D42" t="inlineStr">
        <is>
          <t>2102</t>
        </is>
      </c>
      <c r="E42" t="inlineStr">
        <is>
          <t>Consolidación productiva del sector de energía eléctrica</t>
        </is>
      </c>
      <c r="F42" t="inlineStr">
        <is>
          <t>2102030</t>
        </is>
      </c>
      <c r="G42" t="inlineStr">
        <is>
          <t>Servicio de asistencia técnica en la estructuración de proyectos energéticos</t>
        </is>
      </c>
      <c r="H42" t="inlineStr">
        <is>
          <t>210203000</t>
        </is>
      </c>
      <c r="I42" t="inlineStr">
        <is>
          <t>Proyectos energéticos estructurados</t>
        </is>
      </c>
      <c r="J42" t="inlineStr">
        <is>
          <t>2024252140059</t>
        </is>
      </c>
      <c r="K42" t="inlineStr">
        <is>
          <t>Si</t>
        </is>
      </c>
      <c r="L42" t="inlineStr">
        <is>
          <t>Número</t>
        </is>
      </c>
      <c r="M42">
        <v>1</v>
      </c>
      <c r="N42">
        <v>0.12</v>
      </c>
      <c r="O42">
        <v>0.35</v>
      </c>
      <c r="P42">
        <v>0.35</v>
      </c>
      <c r="Q42">
        <v>0.18</v>
      </c>
      <c r="R42">
        <v>0</v>
      </c>
      <c r="S42" s="103">
        <v>0</v>
      </c>
      <c r="T42" t="inlineStr">
        <is>
          <t>No se ejecutó en la vigencia</t>
        </is>
      </c>
      <c r="U42" t="inlineStr">
        <is>
          <t xml:space="preserve"> </t>
        </is>
      </c>
      <c r="V42" s="104" t="inlineStr">
        <is>
          <t xml:space="preserve"> </t>
        </is>
      </c>
      <c r="W42" t="inlineStr">
        <is>
          <t>No se encontró ejecución en PIIP</t>
        </is>
      </c>
    </row>
    <row r="43">
      <c r="A43" t="inlineStr">
        <is>
          <t>IP-51</t>
        </is>
      </c>
      <c r="B43" t="inlineStr">
        <is>
          <t>45</t>
        </is>
      </c>
      <c r="C43" t="inlineStr">
        <is>
          <t>Gobierno Territorial</t>
        </is>
      </c>
      <c r="D43" t="inlineStr">
        <is>
          <t>4503</t>
        </is>
      </c>
      <c r="E43" t="inlineStr">
        <is>
          <t>Gestión del riesgo de desastres y emergencias</t>
        </is>
      </c>
      <c r="F43" t="inlineStr">
        <is>
          <t>4503023</t>
        </is>
      </c>
      <c r="G43" t="inlineStr">
        <is>
          <t>Documentos de planeación</t>
        </is>
      </c>
      <c r="H43" t="inlineStr">
        <is>
          <t>450302300</t>
        </is>
      </c>
      <c r="I43" t="inlineStr">
        <is>
          <t>Documentos de planeación elaborados</t>
        </is>
      </c>
      <c r="J43" t="inlineStr">
        <is>
          <t>2024252140156</t>
        </is>
      </c>
      <c r="K43" t="inlineStr">
        <is>
          <t>Si</t>
        </is>
      </c>
      <c r="L43" t="inlineStr">
        <is>
          <t>Número</t>
        </is>
      </c>
      <c r="M43">
        <v>1</v>
      </c>
      <c r="N43">
        <v>0.5</v>
      </c>
      <c r="O43">
        <v>0.5</v>
      </c>
      <c r="P43">
        <v>0</v>
      </c>
      <c r="Q43">
        <v>0</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IP-52</t>
        </is>
      </c>
      <c r="B44" t="inlineStr">
        <is>
          <t>45</t>
        </is>
      </c>
      <c r="C44" t="inlineStr">
        <is>
          <t>Gobierno Territorial</t>
        </is>
      </c>
      <c r="D44" t="inlineStr">
        <is>
          <t>4503</t>
        </is>
      </c>
      <c r="E44" t="inlineStr">
        <is>
          <t>Gestión del riesgo de desastres y emergencias</t>
        </is>
      </c>
      <c r="F44" t="inlineStr">
        <is>
          <t>4503019</t>
        </is>
      </c>
      <c r="G44" t="inlineStr">
        <is>
          <t>"Servicios de información implementados"</t>
        </is>
      </c>
      <c r="H44" t="inlineStr">
        <is>
          <t>450301900</t>
        </is>
      </c>
      <c r="I44" t="inlineStr">
        <is>
          <t>Sistemas de información implementados</t>
        </is>
      </c>
      <c r="J44" t="inlineStr">
        <is>
          <t>2024252140156</t>
        </is>
      </c>
      <c r="K44" t="inlineStr">
        <is>
          <t>Si</t>
        </is>
      </c>
      <c r="L44" t="inlineStr">
        <is>
          <t>Número</t>
        </is>
      </c>
      <c r="M44">
        <v>1</v>
      </c>
      <c r="N44">
        <v>0.25</v>
      </c>
      <c r="O44">
        <v>0.25</v>
      </c>
      <c r="P44">
        <v>0.25</v>
      </c>
      <c r="Q44">
        <v>0.25</v>
      </c>
      <c r="R44" t="inlineStr">
        <is>
          <t xml:space="preserve"> </t>
        </is>
      </c>
      <c r="S44" s="103" t="inlineStr">
        <is>
          <t xml:space="preserve"> </t>
        </is>
      </c>
      <c r="T44" t="inlineStr">
        <is>
          <t>No se encontró ejecución en PIIP</t>
        </is>
      </c>
      <c r="U44" t="inlineStr">
        <is>
          <t xml:space="preserve"> </t>
        </is>
      </c>
      <c r="V44" s="104" t="inlineStr">
        <is>
          <t xml:space="preserve"> </t>
        </is>
      </c>
      <c r="W44" t="inlineStr">
        <is>
          <t>No se encontró ejecución en PIIP</t>
        </is>
      </c>
    </row>
    <row r="45">
      <c r="A45" t="inlineStr">
        <is>
          <t>IP-53</t>
        </is>
      </c>
      <c r="B45" t="inlineStr">
        <is>
          <t>45</t>
        </is>
      </c>
      <c r="C45" t="inlineStr">
        <is>
          <t>Gobierno Territorial</t>
        </is>
      </c>
      <c r="D45" t="inlineStr">
        <is>
          <t>4503</t>
        </is>
      </c>
      <c r="E45" t="inlineStr">
        <is>
          <t>Gestión del riesgo de desastres y emergencias</t>
        </is>
      </c>
      <c r="F45" t="inlineStr">
        <is>
          <t>4503004</t>
        </is>
      </c>
      <c r="G45" t="inlineStr">
        <is>
          <t>Servicio de atención a emergencias y desastres</t>
        </is>
      </c>
      <c r="H45" t="inlineStr">
        <is>
          <t>450300400</t>
        </is>
      </c>
      <c r="I45" t="inlineStr">
        <is>
          <t>Emergencias y desastres atendidas</t>
        </is>
      </c>
      <c r="J45" t="inlineStr">
        <is>
          <t>2024252140156</t>
        </is>
      </c>
      <c r="K45" t="inlineStr">
        <is>
          <t>Si</t>
        </is>
      </c>
      <c r="L45" t="inlineStr">
        <is>
          <t>Número</t>
        </is>
      </c>
      <c r="M45">
        <v>100</v>
      </c>
      <c r="N45">
        <v>100</v>
      </c>
      <c r="O45">
        <v>100</v>
      </c>
      <c r="P45">
        <v>100</v>
      </c>
      <c r="Q45">
        <v>100</v>
      </c>
      <c r="R45" t="inlineStr">
        <is>
          <t xml:space="preserve"> </t>
        </is>
      </c>
      <c r="S45" s="103" t="inlineStr">
        <is>
          <t xml:space="preserve"> </t>
        </is>
      </c>
      <c r="T45" t="inlineStr">
        <is>
          <t>No se encontró ejecución en PIIP</t>
        </is>
      </c>
      <c r="U45" t="inlineStr">
        <is>
          <t xml:space="preserve"> </t>
        </is>
      </c>
      <c r="V45" s="104" t="inlineStr">
        <is>
          <t xml:space="preserve"> </t>
        </is>
      </c>
      <c r="W45" t="inlineStr">
        <is>
          <t>No se encontró ejecución en PIIP</t>
        </is>
      </c>
    </row>
    <row r="46">
      <c r="A46" t="inlineStr">
        <is>
          <t>IP-54</t>
        </is>
      </c>
      <c r="B46" t="inlineStr">
        <is>
          <t>45</t>
        </is>
      </c>
      <c r="C46" t="inlineStr">
        <is>
          <t>Gobierno Territorial</t>
        </is>
      </c>
      <c r="D46" t="inlineStr">
        <is>
          <t>4503</t>
        </is>
      </c>
      <c r="E46" t="inlineStr">
        <is>
          <t>Gestión del riesgo de desastres y emergencias</t>
        </is>
      </c>
      <c r="F46" t="inlineStr">
        <is>
          <t>4503023</t>
        </is>
      </c>
      <c r="G46" t="inlineStr">
        <is>
          <t>Documentos de planeación</t>
        </is>
      </c>
      <c r="H46" t="inlineStr">
        <is>
          <t>450302300</t>
        </is>
      </c>
      <c r="I46" t="inlineStr">
        <is>
          <t>Documentos de planeación elaborados</t>
        </is>
      </c>
      <c r="J46" t="inlineStr">
        <is>
          <t>2024252140156</t>
        </is>
      </c>
      <c r="K46" t="inlineStr">
        <is>
          <t>No</t>
        </is>
      </c>
      <c r="L46" t="inlineStr">
        <is>
          <t>Número</t>
        </is>
      </c>
      <c r="M46">
        <v>1</v>
      </c>
      <c r="N46">
        <v>0.25</v>
      </c>
      <c r="O46">
        <v>0.25</v>
      </c>
      <c r="P46">
        <v>0.25</v>
      </c>
      <c r="Q46">
        <v>0.25</v>
      </c>
      <c r="R46" t="inlineStr">
        <is>
          <t xml:space="preserve"> </t>
        </is>
      </c>
      <c r="S46" s="103" t="inlineStr">
        <is>
          <t xml:space="preserve"> </t>
        </is>
      </c>
      <c r="T46" t="inlineStr">
        <is>
          <t>No se encontró ejecución en PIIP</t>
        </is>
      </c>
      <c r="U46" t="inlineStr">
        <is>
          <t xml:space="preserve"> </t>
        </is>
      </c>
      <c r="V46" s="104" t="inlineStr">
        <is>
          <t xml:space="preserve"> </t>
        </is>
      </c>
      <c r="W46" t="inlineStr">
        <is>
          <t>No se encontró ejecución en PIIP</t>
        </is>
      </c>
    </row>
    <row r="47">
      <c r="A47" t="inlineStr">
        <is>
          <t>IP-55</t>
        </is>
      </c>
      <c r="B47" t="inlineStr">
        <is>
          <t>45</t>
        </is>
      </c>
      <c r="C47" t="inlineStr">
        <is>
          <t>Gobierno Territorial</t>
        </is>
      </c>
      <c r="D47" t="inlineStr">
        <is>
          <t>4503</t>
        </is>
      </c>
      <c r="E47" t="inlineStr">
        <is>
          <t>Gestión del riesgo de desastres y emergencias</t>
        </is>
      </c>
      <c r="F47" t="inlineStr">
        <is>
          <t>4503017</t>
        </is>
      </c>
      <c r="G47" t="inlineStr">
        <is>
          <t>Estudios de riesgo de desastres</t>
        </is>
      </c>
      <c r="H47" t="inlineStr">
        <is>
          <t>450301700</t>
        </is>
      </c>
      <c r="I47" t="inlineStr">
        <is>
          <t>Estudios de riesgo de desastres elaborados</t>
        </is>
      </c>
      <c r="J47" t="inlineStr">
        <is>
          <t>2024252140110</t>
        </is>
      </c>
      <c r="K47" t="inlineStr">
        <is>
          <t>Si</t>
        </is>
      </c>
      <c r="L47" t="inlineStr">
        <is>
          <t>Número</t>
        </is>
      </c>
      <c r="M47">
        <v>1</v>
      </c>
      <c r="N47">
        <v>0</v>
      </c>
      <c r="O47">
        <v>1</v>
      </c>
      <c r="P47">
        <v>0</v>
      </c>
      <c r="Q47">
        <v>0</v>
      </c>
      <c r="R47" t="inlineStr">
        <is>
          <t xml:space="preserve"> </t>
        </is>
      </c>
      <c r="S47" s="103" t="inlineStr">
        <is>
          <t xml:space="preserve"> </t>
        </is>
      </c>
      <c r="T47" t="inlineStr">
        <is>
          <t>No se encontró ejecución en PIIP</t>
        </is>
      </c>
      <c r="U47" t="inlineStr">
        <is>
          <t xml:space="preserve"> </t>
        </is>
      </c>
      <c r="V47" s="104" t="inlineStr">
        <is>
          <t xml:space="preserve"> </t>
        </is>
      </c>
      <c r="W47" t="inlineStr">
        <is>
          <t>No se encontró ejecución en PIIP</t>
        </is>
      </c>
    </row>
    <row r="48">
      <c r="A48" t="inlineStr">
        <is>
          <t>IP-56</t>
        </is>
      </c>
      <c r="B48" t="inlineStr">
        <is>
          <t>45</t>
        </is>
      </c>
      <c r="C48" t="inlineStr">
        <is>
          <t>Gobierno Territorial</t>
        </is>
      </c>
      <c r="D48" t="inlineStr">
        <is>
          <t>4503</t>
        </is>
      </c>
      <c r="E48" t="inlineStr">
        <is>
          <t>Gestión del riesgo de desastres y emergencias</t>
        </is>
      </c>
      <c r="F48" t="inlineStr">
        <is>
          <t>4503016</t>
        </is>
      </c>
      <c r="G48" t="inlineStr">
        <is>
          <t>Servicio de fortalecimiento a las salas de crisis territorial</t>
        </is>
      </c>
      <c r="H48" t="inlineStr">
        <is>
          <t>450301600</t>
        </is>
      </c>
      <c r="I48" t="inlineStr">
        <is>
          <t>Organismos de atención de emergencias fortalecidos</t>
        </is>
      </c>
      <c r="J48" t="inlineStr">
        <is>
          <t>2024252140129</t>
        </is>
      </c>
      <c r="K48" t="inlineStr">
        <is>
          <t>No</t>
        </is>
      </c>
      <c r="L48" t="inlineStr">
        <is>
          <t>Número</t>
        </is>
      </c>
      <c r="M48">
        <v>1</v>
      </c>
      <c r="N48">
        <v>1</v>
      </c>
      <c r="O48">
        <v>1</v>
      </c>
      <c r="P48">
        <v>1</v>
      </c>
      <c r="Q48">
        <v>1</v>
      </c>
      <c r="R48" t="inlineStr">
        <is>
          <t xml:space="preserve"> </t>
        </is>
      </c>
      <c r="S48" s="103" t="inlineStr">
        <is>
          <t xml:space="preserve"> </t>
        </is>
      </c>
      <c r="T48" t="inlineStr">
        <is>
          <t>No se encontró ejecución en PIIP</t>
        </is>
      </c>
      <c r="U48" t="inlineStr">
        <is>
          <t xml:space="preserve"> </t>
        </is>
      </c>
      <c r="V48" s="104" t="inlineStr">
        <is>
          <t xml:space="preserve"> </t>
        </is>
      </c>
      <c r="W48" t="inlineStr">
        <is>
          <t>No se encontró ejecución en PIIP</t>
        </is>
      </c>
    </row>
    <row r="49">
      <c r="A49" t="inlineStr">
        <is>
          <t>IP-57</t>
        </is>
      </c>
      <c r="B49" t="inlineStr">
        <is>
          <t>45</t>
        </is>
      </c>
      <c r="C49" t="inlineStr">
        <is>
          <t>Gobierno Territorial</t>
        </is>
      </c>
      <c r="D49" t="inlineStr">
        <is>
          <t>4503</t>
        </is>
      </c>
      <c r="E49" t="inlineStr">
        <is>
          <t>Gestión del riesgo de desastres y emergencias</t>
        </is>
      </c>
      <c r="F49" t="inlineStr">
        <is>
          <t>4503003</t>
        </is>
      </c>
      <c r="G49" t="inlineStr">
        <is>
          <t>Servicio de asistencia técnica</t>
        </is>
      </c>
      <c r="H49" t="inlineStr">
        <is>
          <t>450300300</t>
        </is>
      </c>
      <c r="I49" t="inlineStr">
        <is>
          <t>Instancias territoriales asistidas</t>
        </is>
      </c>
      <c r="J49" t="inlineStr">
        <is>
          <t>2024252140156</t>
        </is>
      </c>
      <c r="K49" t="inlineStr">
        <is>
          <t>Si</t>
        </is>
      </c>
      <c r="L49" t="inlineStr">
        <is>
          <t>Número</t>
        </is>
      </c>
      <c r="M49">
        <v>1</v>
      </c>
      <c r="N49">
        <v>0.25</v>
      </c>
      <c r="O49">
        <v>0.25</v>
      </c>
      <c r="P49">
        <v>0.25</v>
      </c>
      <c r="Q49">
        <v>0.25</v>
      </c>
      <c r="R49" t="inlineStr">
        <is>
          <t xml:space="preserve"> </t>
        </is>
      </c>
      <c r="S49" s="103" t="inlineStr">
        <is>
          <t xml:space="preserve"> </t>
        </is>
      </c>
      <c r="T49" t="inlineStr">
        <is>
          <t>No se encontró ejecución en PIIP</t>
        </is>
      </c>
      <c r="U49" t="inlineStr">
        <is>
          <t xml:space="preserve"> </t>
        </is>
      </c>
      <c r="V49" s="104" t="inlineStr">
        <is>
          <t xml:space="preserve"> </t>
        </is>
      </c>
      <c r="W49" t="inlineStr">
        <is>
          <t>No se encontró ejecución en PIIP</t>
        </is>
      </c>
    </row>
    <row r="50">
      <c r="A50" t="inlineStr">
        <is>
          <t>IP-58</t>
        </is>
      </c>
      <c r="B50" t="inlineStr">
        <is>
          <t>45</t>
        </is>
      </c>
      <c r="C50" t="inlineStr">
        <is>
          <t>Gobierno Territorial</t>
        </is>
      </c>
      <c r="D50" t="inlineStr">
        <is>
          <t>4503</t>
        </is>
      </c>
      <c r="E50" t="inlineStr">
        <is>
          <t>Gestión del riesgo de desastres y emergencias</t>
        </is>
      </c>
      <c r="F50" t="inlineStr">
        <is>
          <t>4503026</t>
        </is>
      </c>
      <c r="G50" t="inlineStr">
        <is>
          <t>Centros logísticos construidos y dotados</t>
        </is>
      </c>
      <c r="H50" t="inlineStr">
        <is>
          <t>450302600</t>
        </is>
      </c>
      <c r="I50" t="inlineStr">
        <is>
          <t>Centros logísticos para la gestión del riesgo de desastres construidos</t>
        </is>
      </c>
      <c r="J50" t="inlineStr">
        <is>
          <t/>
        </is>
      </c>
      <c r="K50" t="inlineStr">
        <is>
          <t>Si</t>
        </is>
      </c>
      <c r="L50" t="inlineStr">
        <is>
          <t>Número</t>
        </is>
      </c>
      <c r="M50">
        <v>1</v>
      </c>
      <c r="N50">
        <v>0</v>
      </c>
      <c r="O50">
        <v>0</v>
      </c>
      <c r="P50">
        <v>0</v>
      </c>
      <c r="Q50">
        <v>1</v>
      </c>
      <c r="R50" t="inlineStr">
        <is>
          <t xml:space="preserve"> </t>
        </is>
      </c>
      <c r="S50" s="103" t="inlineStr">
        <is>
          <t xml:space="preserve"> </t>
        </is>
      </c>
      <c r="T50" t="inlineStr">
        <is>
          <t>Por falta de código BPIN, no se encontró ejecución en PIIP</t>
        </is>
      </c>
      <c r="U50" t="inlineStr">
        <is>
          <t xml:space="preserve"> </t>
        </is>
      </c>
      <c r="V50" s="104" t="inlineStr">
        <is>
          <t xml:space="preserve"> </t>
        </is>
      </c>
      <c r="W50" t="inlineStr">
        <is>
          <t>Por falta de código BPIN, no se encontró ejecución en PIIP</t>
        </is>
      </c>
    </row>
    <row r="51">
      <c r="A51" t="inlineStr">
        <is>
          <t>IP-59</t>
        </is>
      </c>
      <c r="B51" t="inlineStr">
        <is>
          <t>32</t>
        </is>
      </c>
      <c r="C51" t="inlineStr">
        <is>
          <t>Ambiente y desarrollo sostenible</t>
        </is>
      </c>
      <c r="D51" t="inlineStr">
        <is>
          <t>3201</t>
        </is>
      </c>
      <c r="E51" t="inlineStr">
        <is>
          <t>Fortalecimiento del desempeño ambiental de los sectores productivos</t>
        </is>
      </c>
      <c r="F51" t="inlineStr">
        <is>
          <t>3201002</t>
        </is>
      </c>
      <c r="G51" t="inlineStr">
        <is>
          <t>Documentos de lineamientos técnicos para el fortalecimiento del desempeño ambiental de los sectores productivos</t>
        </is>
      </c>
      <c r="H51" t="inlineStr">
        <is>
          <t>320100200</t>
        </is>
      </c>
      <c r="I51" t="inlineStr">
        <is>
          <t>Documentos de lineamientos técnicos realizados</t>
        </is>
      </c>
      <c r="J51" t="inlineStr">
        <is>
          <t>2024252140060</t>
        </is>
      </c>
      <c r="K51" t="inlineStr">
        <is>
          <t>Si</t>
        </is>
      </c>
      <c r="L51" t="inlineStr">
        <is>
          <t>Número</t>
        </is>
      </c>
      <c r="M51">
        <v>3</v>
      </c>
      <c r="N51">
        <v>0</v>
      </c>
      <c r="O51">
        <v>1</v>
      </c>
      <c r="P51">
        <v>1</v>
      </c>
      <c r="Q51">
        <v>1</v>
      </c>
      <c r="R51" t="inlineStr">
        <is>
          <t xml:space="preserve"> </t>
        </is>
      </c>
      <c r="S51" s="103" t="inlineStr">
        <is>
          <t xml:space="preserve"> </t>
        </is>
      </c>
      <c r="T51" t="inlineStr">
        <is>
          <t>No se encontró ejecución en PIIP</t>
        </is>
      </c>
      <c r="U51" t="inlineStr">
        <is>
          <t xml:space="preserve"> </t>
        </is>
      </c>
      <c r="V51" s="104" t="inlineStr">
        <is>
          <t xml:space="preserve"> </t>
        </is>
      </c>
      <c r="W51" t="inlineStr">
        <is>
          <t>No se encontró ejecución en PIIP</t>
        </is>
      </c>
    </row>
    <row r="52">
      <c r="A52" t="inlineStr">
        <is>
          <t>IP-60</t>
        </is>
      </c>
      <c r="B52" t="inlineStr">
        <is>
          <t>32</t>
        </is>
      </c>
      <c r="C52" t="inlineStr">
        <is>
          <t>Ambiente y desarrollo sostenible</t>
        </is>
      </c>
      <c r="D52" t="inlineStr">
        <is>
          <t>3201</t>
        </is>
      </c>
      <c r="E52" t="inlineStr">
        <is>
          <t>Fortalecimiento del desempeño ambiental de los sectores productivos</t>
        </is>
      </c>
      <c r="F52" t="inlineStr">
        <is>
          <t>3201003</t>
        </is>
      </c>
      <c r="G52" t="inlineStr">
        <is>
          <t>Servicio de asistencia técnica para la consolidación de negocios verdes</t>
        </is>
      </c>
      <c r="H52" t="inlineStr">
        <is>
          <t>320100300</t>
        </is>
      </c>
      <c r="I52" t="inlineStr">
        <is>
          <t xml:space="preserve">Negocios verdes consolidados </t>
        </is>
      </c>
      <c r="J52" t="inlineStr">
        <is>
          <t>2024252140060</t>
        </is>
      </c>
      <c r="K52" t="inlineStr">
        <is>
          <t>Si</t>
        </is>
      </c>
      <c r="L52" t="inlineStr">
        <is>
          <t>Número</t>
        </is>
      </c>
      <c r="M52">
        <v>99</v>
      </c>
      <c r="N52">
        <v>15</v>
      </c>
      <c r="O52">
        <v>28</v>
      </c>
      <c r="P52">
        <v>28</v>
      </c>
      <c r="Q52">
        <v>28</v>
      </c>
      <c r="R52" t="inlineStr">
        <is>
          <t xml:space="preserve"> </t>
        </is>
      </c>
      <c r="S52" s="103" t="inlineStr">
        <is>
          <t xml:space="preserve"> </t>
        </is>
      </c>
      <c r="T52" t="inlineStr">
        <is>
          <t>No se encontró ejecución en PIIP</t>
        </is>
      </c>
      <c r="U52" t="inlineStr">
        <is>
          <t xml:space="preserve"> </t>
        </is>
      </c>
      <c r="V52" s="104" t="inlineStr">
        <is>
          <t xml:space="preserve"> </t>
        </is>
      </c>
      <c r="W52" t="inlineStr">
        <is>
          <t>No se encontró ejecución en PIIP</t>
        </is>
      </c>
    </row>
    <row r="53">
      <c r="A53" t="inlineStr">
        <is>
          <t>IP-61</t>
        </is>
      </c>
      <c r="B53" t="inlineStr">
        <is>
          <t>32</t>
        </is>
      </c>
      <c r="C53" t="inlineStr">
        <is>
          <t>Ambiente y desarrollo sostenible</t>
        </is>
      </c>
      <c r="D53" t="inlineStr">
        <is>
          <t>3201</t>
        </is>
      </c>
      <c r="E53" t="inlineStr">
        <is>
          <t>Fortalecimiento del desempeño ambiental de los sectores productivos</t>
        </is>
      </c>
      <c r="F53" t="inlineStr">
        <is>
          <t>3201021</t>
        </is>
      </c>
      <c r="G53" t="inlineStr">
        <is>
          <t>Documentos de instrumentos técnicos de evaluación y seguimiento ambiental</t>
        </is>
      </c>
      <c r="H53" t="inlineStr">
        <is>
          <t>320102100</t>
        </is>
      </c>
      <c r="I53" t="inlineStr">
        <is>
          <t xml:space="preserve">Documentos de instrumentos técnicos de evaluación y seguimiento ambiental realizados </t>
        </is>
      </c>
      <c r="J53" t="inlineStr">
        <is>
          <t>2024252140060</t>
        </is>
      </c>
      <c r="K53" t="inlineStr">
        <is>
          <t>Si</t>
        </is>
      </c>
      <c r="L53" t="inlineStr">
        <is>
          <t>Número</t>
        </is>
      </c>
      <c r="M53">
        <v>100</v>
      </c>
      <c r="N53">
        <v>100</v>
      </c>
      <c r="O53">
        <v>100</v>
      </c>
      <c r="P53">
        <v>100</v>
      </c>
      <c r="Q53">
        <v>100</v>
      </c>
      <c r="R53" t="inlineStr">
        <is>
          <t xml:space="preserve"> </t>
        </is>
      </c>
      <c r="S53" s="103" t="inlineStr">
        <is>
          <t xml:space="preserve"> </t>
        </is>
      </c>
      <c r="T53" t="inlineStr">
        <is>
          <t>No se encontró ejecución en PIIP</t>
        </is>
      </c>
      <c r="U53" t="inlineStr">
        <is>
          <t xml:space="preserve"> </t>
        </is>
      </c>
      <c r="V53" s="104" t="inlineStr">
        <is>
          <t xml:space="preserve"> </t>
        </is>
      </c>
      <c r="W53" t="inlineStr">
        <is>
          <t>No se encontró ejecución en PIIP</t>
        </is>
      </c>
    </row>
    <row r="54">
      <c r="A54" t="inlineStr">
        <is>
          <t>IP-62, IP-65</t>
        </is>
      </c>
      <c r="B54" t="inlineStr">
        <is>
          <t>32</t>
        </is>
      </c>
      <c r="C54" t="inlineStr">
        <is>
          <t>Ambiente y desarrollo sostenible</t>
        </is>
      </c>
      <c r="D54" t="inlineStr">
        <is>
          <t>3202</t>
        </is>
      </c>
      <c r="E54" t="inlineStr">
        <is>
          <t>Conservación de la biodiversidad y sus servicios ecosistémicos</t>
        </is>
      </c>
      <c r="F54" t="inlineStr">
        <is>
          <t>3202049</t>
        </is>
      </c>
      <c r="G54" t="inlineStr">
        <is>
          <t>Servicio de recuperación de ecosistemas</t>
        </is>
      </c>
      <c r="H54" t="inlineStr">
        <is>
          <t>320204902</t>
        </is>
      </c>
      <c r="I54" t="inlineStr">
        <is>
          <t>Áreas en proceso de recuperación de cobertura vegetal monitoreadas</t>
        </is>
      </c>
      <c r="J54" t="inlineStr">
        <is>
          <t>2024252140061</t>
        </is>
      </c>
      <c r="K54" t="inlineStr">
        <is>
          <t>No</t>
        </is>
      </c>
      <c r="L54" t="inlineStr">
        <is>
          <t>Hectáreas</t>
        </is>
      </c>
      <c r="M54">
        <v>1500</v>
      </c>
      <c r="N54">
        <v>1020</v>
      </c>
      <c r="O54">
        <v>1550</v>
      </c>
      <c r="P54">
        <v>1550</v>
      </c>
      <c r="Q54">
        <v>1130</v>
      </c>
      <c r="R54" t="inlineStr">
        <is>
          <t xml:space="preserve"> </t>
        </is>
      </c>
      <c r="S54" s="103" t="inlineStr">
        <is>
          <t xml:space="preserve"> </t>
        </is>
      </c>
      <c r="T54" t="inlineStr">
        <is>
          <t>No se encontró ejecución en PIIP</t>
        </is>
      </c>
      <c r="U54" t="inlineStr">
        <is>
          <t xml:space="preserve"> </t>
        </is>
      </c>
      <c r="V54" s="104" t="inlineStr">
        <is>
          <t xml:space="preserve"> </t>
        </is>
      </c>
      <c r="W54" t="inlineStr">
        <is>
          <t>No se encontró ejecución en PIIP</t>
        </is>
      </c>
    </row>
    <row r="55">
      <c r="A55" t="inlineStr">
        <is>
          <t>IP-63, IP-64</t>
        </is>
      </c>
      <c r="B55" t="inlineStr">
        <is>
          <t>32</t>
        </is>
      </c>
      <c r="C55" t="inlineStr">
        <is>
          <t>Ambiente y desarrollo sostenible</t>
        </is>
      </c>
      <c r="D55" t="inlineStr">
        <is>
          <t>3202</t>
        </is>
      </c>
      <c r="E55" t="inlineStr">
        <is>
          <t>Conservación de la biodiversidad y sus servicios ecosistémicos</t>
        </is>
      </c>
      <c r="F55" t="inlineStr">
        <is>
          <t>3202043</t>
        </is>
      </c>
      <c r="G55" t="inlineStr">
        <is>
          <t>Servicio apoyo financiero para la implementación de esquemas de pago por Servicio ambientales</t>
        </is>
      </c>
      <c r="H55" t="inlineStr">
        <is>
          <t>320204300</t>
        </is>
      </c>
      <c r="I55" t="inlineStr">
        <is>
          <t>Áreas con esquemas de Pago por Servicios Ambientales implementados</t>
        </is>
      </c>
      <c r="J55" t="inlineStr">
        <is>
          <t>2024252140061</t>
        </is>
      </c>
      <c r="K55" t="inlineStr">
        <is>
          <t>Si</t>
        </is>
      </c>
      <c r="L55" t="inlineStr">
        <is>
          <t>Hectáreas</t>
        </is>
      </c>
      <c r="M55">
        <v>2</v>
      </c>
      <c r="N55">
        <v>0.12</v>
      </c>
      <c r="O55">
        <v>0.75</v>
      </c>
      <c r="P55">
        <v>0.75</v>
      </c>
      <c r="Q55">
        <v>0.38</v>
      </c>
      <c r="R55" t="inlineStr">
        <is>
          <t xml:space="preserve"> </t>
        </is>
      </c>
      <c r="S55" s="103" t="inlineStr">
        <is>
          <t xml:space="preserve"> </t>
        </is>
      </c>
      <c r="T55" t="inlineStr">
        <is>
          <t>No se encontró ejecución en PIIP</t>
        </is>
      </c>
      <c r="U55" t="inlineStr">
        <is>
          <t xml:space="preserve"> </t>
        </is>
      </c>
      <c r="V55" s="104" t="inlineStr">
        <is>
          <t xml:space="preserve"> </t>
        </is>
      </c>
      <c r="W55" t="inlineStr">
        <is>
          <t>No se encontró ejecución en PIIP</t>
        </is>
      </c>
    </row>
    <row r="56">
      <c r="A56" t="inlineStr">
        <is>
          <t>IP-66</t>
        </is>
      </c>
      <c r="B56" t="inlineStr">
        <is>
          <t>32</t>
        </is>
      </c>
      <c r="C56" t="inlineStr">
        <is>
          <t>Ambiente y desarrollo sostenible</t>
        </is>
      </c>
      <c r="D56" t="inlineStr">
        <is>
          <t>3202</t>
        </is>
      </c>
      <c r="E56" t="inlineStr">
        <is>
          <t>Conservación de la biodiversidad y sus servicios ecosistémicos</t>
        </is>
      </c>
      <c r="F56" t="inlineStr">
        <is>
          <t>3202049</t>
        </is>
      </c>
      <c r="G56" t="inlineStr">
        <is>
          <t>Servicio de recuperación de ecosistemas</t>
        </is>
      </c>
      <c r="H56" t="inlineStr">
        <is>
          <t>320204903</t>
        </is>
      </c>
      <c r="I56" t="inlineStr">
        <is>
          <t>Árboles nativos sembrados</t>
        </is>
      </c>
      <c r="J56" t="inlineStr">
        <is>
          <t>2024252140061</t>
        </is>
      </c>
      <c r="K56" t="inlineStr">
        <is>
          <t>Si</t>
        </is>
      </c>
      <c r="L56" t="inlineStr">
        <is>
          <t>Número</t>
        </is>
      </c>
      <c r="M56">
        <v>60000</v>
      </c>
      <c r="N56">
        <v>7200</v>
      </c>
      <c r="O56">
        <v>20000</v>
      </c>
      <c r="P56">
        <v>20000</v>
      </c>
      <c r="Q56">
        <v>12800</v>
      </c>
      <c r="R56" t="inlineStr">
        <is>
          <t xml:space="preserve"> </t>
        </is>
      </c>
      <c r="S56" s="103" t="inlineStr">
        <is>
          <t xml:space="preserve"> </t>
        </is>
      </c>
      <c r="T56" t="inlineStr">
        <is>
          <t>No se encontró ejecución en PIIP</t>
        </is>
      </c>
      <c r="U56" t="inlineStr">
        <is>
          <t xml:space="preserve"> </t>
        </is>
      </c>
      <c r="V56" s="104" t="inlineStr">
        <is>
          <t xml:space="preserve"> </t>
        </is>
      </c>
      <c r="W56" t="inlineStr">
        <is>
          <t>No se encontró ejecución en PIIP</t>
        </is>
      </c>
    </row>
    <row r="57">
      <c r="A57" t="inlineStr">
        <is>
          <t>IP-67</t>
        </is>
      </c>
      <c r="B57" t="inlineStr">
        <is>
          <t>32</t>
        </is>
      </c>
      <c r="C57" t="inlineStr">
        <is>
          <t>Ambiente y desarrollo sostenible</t>
        </is>
      </c>
      <c r="D57" t="inlineStr">
        <is>
          <t>3202</t>
        </is>
      </c>
      <c r="E57" t="inlineStr">
        <is>
          <t>Conservación de la biodiversidad y sus servicios ecosistémicos</t>
        </is>
      </c>
      <c r="F57" t="inlineStr">
        <is>
          <t>3202003</t>
        </is>
      </c>
      <c r="G57" t="inlineStr">
        <is>
          <t>Documentos de política para la conservación de la biodiversidad y sus servicio eco sistémicos</t>
        </is>
      </c>
      <c r="H57" t="inlineStr">
        <is>
          <t>320200300</t>
        </is>
      </c>
      <c r="I57" t="inlineStr">
        <is>
          <t xml:space="preserve">Documentos de política realizados </t>
        </is>
      </c>
      <c r="J57" t="inlineStr">
        <is>
          <t>2024252140061</t>
        </is>
      </c>
      <c r="K57" t="inlineStr">
        <is>
          <t>Si</t>
        </is>
      </c>
      <c r="L57" t="inlineStr">
        <is>
          <t>Número</t>
        </is>
      </c>
      <c r="M57">
        <v>1</v>
      </c>
      <c r="N57">
        <v>0.12</v>
      </c>
      <c r="O57">
        <v>0.35</v>
      </c>
      <c r="P57">
        <v>0.35</v>
      </c>
      <c r="Q57">
        <v>0.18</v>
      </c>
      <c r="R57" t="inlineStr">
        <is>
          <t xml:space="preserve"> </t>
        </is>
      </c>
      <c r="S57" s="103" t="inlineStr">
        <is>
          <t xml:space="preserve"> </t>
        </is>
      </c>
      <c r="T57" t="inlineStr">
        <is>
          <t>No se encontró ejecución en PIIP</t>
        </is>
      </c>
      <c r="U57" t="inlineStr">
        <is>
          <t xml:space="preserve"> </t>
        </is>
      </c>
      <c r="V57" s="104" t="inlineStr">
        <is>
          <t xml:space="preserve"> </t>
        </is>
      </c>
      <c r="W57" t="inlineStr">
        <is>
          <t>No se encontró ejecución en PIIP</t>
        </is>
      </c>
    </row>
    <row r="58">
      <c r="A58" t="inlineStr">
        <is>
          <t>IP-68</t>
        </is>
      </c>
      <c r="B58" t="inlineStr">
        <is>
          <t>32</t>
        </is>
      </c>
      <c r="C58" t="inlineStr">
        <is>
          <t>Ambiente y desarrollo sostenible</t>
        </is>
      </c>
      <c r="D58" t="inlineStr">
        <is>
          <t>3203</t>
        </is>
      </c>
      <c r="E58" t="inlineStr">
        <is>
          <t>Gestión integral del recurso hídrico</t>
        </is>
      </c>
      <c r="F58" t="inlineStr">
        <is>
          <t>3203002</t>
        </is>
      </c>
      <c r="G58" t="inlineStr">
        <is>
          <t>Documentos de planeación para la gestión integral del recurso hídrico</t>
        </is>
      </c>
      <c r="H58" t="inlineStr">
        <is>
          <t>320300211</t>
        </is>
      </c>
      <c r="I58" t="inlineStr">
        <is>
          <t>Documento con plan de manejo de microcuencas formulados</t>
        </is>
      </c>
      <c r="J58" t="inlineStr">
        <is>
          <t>2024252140062</t>
        </is>
      </c>
      <c r="K58" t="inlineStr">
        <is>
          <t>Si</t>
        </is>
      </c>
      <c r="L58" t="inlineStr">
        <is>
          <t>Número</t>
        </is>
      </c>
      <c r="M58">
        <v>5</v>
      </c>
      <c r="N58">
        <v>0.1</v>
      </c>
      <c r="O58">
        <v>1.9</v>
      </c>
      <c r="P58">
        <v>2</v>
      </c>
      <c r="Q58">
        <v>1</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IP-69</t>
        </is>
      </c>
      <c r="B59" t="inlineStr">
        <is>
          <t>32</t>
        </is>
      </c>
      <c r="C59" t="inlineStr">
        <is>
          <t>Ambiente y desarrollo sostenible</t>
        </is>
      </c>
      <c r="D59" t="inlineStr">
        <is>
          <t>3203</t>
        </is>
      </c>
      <c r="E59" t="inlineStr">
        <is>
          <t>Gestión integral del recurso hídrico</t>
        </is>
      </c>
      <c r="F59" t="inlineStr">
        <is>
          <t>3203033</t>
        </is>
      </c>
      <c r="G59" t="inlineStr">
        <is>
          <t>Servicio de asistencia técnica para la promoción del uso eficiente y ahorro del agua</t>
        </is>
      </c>
      <c r="H59" t="inlineStr">
        <is>
          <t>320303300</t>
        </is>
      </c>
      <c r="I59" t="inlineStr">
        <is>
          <t xml:space="preserve">Proyectos para la promoción del uso eficiente y ahorro del agua formulados  </t>
        </is>
      </c>
      <c r="J59" t="inlineStr">
        <is>
          <t>2024252140062</t>
        </is>
      </c>
      <c r="K59" t="inlineStr">
        <is>
          <t>Si</t>
        </is>
      </c>
      <c r="L59" t="inlineStr">
        <is>
          <t>Número</t>
        </is>
      </c>
      <c r="M59">
        <v>4</v>
      </c>
      <c r="N59">
        <v>0.12</v>
      </c>
      <c r="O59">
        <v>1.88</v>
      </c>
      <c r="P59">
        <v>1</v>
      </c>
      <c r="Q59">
        <v>1</v>
      </c>
      <c r="R59" t="inlineStr">
        <is>
          <t xml:space="preserve"> </t>
        </is>
      </c>
      <c r="S59" s="103" t="inlineStr">
        <is>
          <t xml:space="preserve"> </t>
        </is>
      </c>
      <c r="T59" t="inlineStr">
        <is>
          <t>No se encontró ejecución en PIIP</t>
        </is>
      </c>
      <c r="U59" t="inlineStr">
        <is>
          <t xml:space="preserve"> </t>
        </is>
      </c>
      <c r="V59" s="104" t="inlineStr">
        <is>
          <t xml:space="preserve"> </t>
        </is>
      </c>
      <c r="W59" t="inlineStr">
        <is>
          <t>No se encontró ejecución en PIIP</t>
        </is>
      </c>
    </row>
    <row r="60">
      <c r="A60" t="inlineStr">
        <is>
          <t>IP-70</t>
        </is>
      </c>
      <c r="B60" t="inlineStr">
        <is>
          <t>32</t>
        </is>
      </c>
      <c r="C60" t="inlineStr">
        <is>
          <t>Ambiente y desarrollo sostenible</t>
        </is>
      </c>
      <c r="D60" t="inlineStr">
        <is>
          <t>3203</t>
        </is>
      </c>
      <c r="E60" t="inlineStr">
        <is>
          <t>Gestión integral del recurso hídrico</t>
        </is>
      </c>
      <c r="F60" t="inlineStr">
        <is>
          <t>3203002</t>
        </is>
      </c>
      <c r="G60" t="inlineStr">
        <is>
          <t>Documentos de planeación para la gestión integral del recurso hídrico</t>
        </is>
      </c>
      <c r="H60" t="inlineStr">
        <is>
          <t>320300207</t>
        </is>
      </c>
      <c r="I60" t="inlineStr">
        <is>
          <t>Documentos de planeación del plan de ordenación y manejo ambiental de cuenca hidrográfica elaborados</t>
        </is>
      </c>
      <c r="J60" t="inlineStr">
        <is>
          <t>2024252140062</t>
        </is>
      </c>
      <c r="K60" t="inlineStr">
        <is>
          <t>Si</t>
        </is>
      </c>
      <c r="L60" t="inlineStr">
        <is>
          <t>Número</t>
        </is>
      </c>
      <c r="M60">
        <v>1</v>
      </c>
      <c r="N60">
        <v>0.12</v>
      </c>
      <c r="O60">
        <v>0.35</v>
      </c>
      <c r="P60">
        <v>0.35</v>
      </c>
      <c r="Q60">
        <v>0.18</v>
      </c>
      <c r="R60" t="inlineStr">
        <is>
          <t xml:space="preserve"> </t>
        </is>
      </c>
      <c r="S60" s="103" t="inlineStr">
        <is>
          <t xml:space="preserve"> </t>
        </is>
      </c>
      <c r="T60" t="inlineStr">
        <is>
          <t>No se encontró ejecución en PIIP</t>
        </is>
      </c>
      <c r="U60" t="inlineStr">
        <is>
          <t xml:space="preserve"> </t>
        </is>
      </c>
      <c r="V60" s="104" t="inlineStr">
        <is>
          <t xml:space="preserve"> </t>
        </is>
      </c>
      <c r="W60" t="inlineStr">
        <is>
          <t>No se encontró ejecución en PIIP</t>
        </is>
      </c>
    </row>
    <row r="61">
      <c r="A61" t="inlineStr">
        <is>
          <t>IP-71, IP-72, IP-73</t>
        </is>
      </c>
      <c r="B61" t="inlineStr">
        <is>
          <t>32</t>
        </is>
      </c>
      <c r="C61" t="inlineStr">
        <is>
          <t>Ambiente y desarrollo sostenible</t>
        </is>
      </c>
      <c r="D61" t="inlineStr">
        <is>
          <t>3204</t>
        </is>
      </c>
      <c r="E61" t="inlineStr">
        <is>
          <t>Gestión de la información y el conocimiento ambiental</t>
        </is>
      </c>
      <c r="F61" t="inlineStr">
        <is>
          <t>3204055</t>
        </is>
      </c>
      <c r="G61" t="inlineStr">
        <is>
          <t>Servicio de información para la gestión del conocimiento  ambiental implementado </t>
        </is>
      </c>
      <c r="H61" t="inlineStr">
        <is>
          <t>320405500</t>
        </is>
      </c>
      <c r="I61" t="inlineStr">
        <is>
          <t>Sistemas de información implementados</t>
        </is>
      </c>
      <c r="J61" t="inlineStr">
        <is>
          <t>2024252140063</t>
        </is>
      </c>
      <c r="K61" t="inlineStr">
        <is>
          <t>Si</t>
        </is>
      </c>
      <c r="L61" t="inlineStr">
        <is>
          <t>Número</t>
        </is>
      </c>
      <c r="M61">
        <v>3</v>
      </c>
      <c r="N61">
        <v>0.12</v>
      </c>
      <c r="O61">
        <v>1.15</v>
      </c>
      <c r="P61">
        <v>1.15</v>
      </c>
      <c r="Q61">
        <v>0.58</v>
      </c>
      <c r="R61">
        <v>0</v>
      </c>
      <c r="S61" s="103">
        <v>0</v>
      </c>
      <c r="T61" t="inlineStr">
        <is>
          <t>No se ejecutó en la vigencia</t>
        </is>
      </c>
      <c r="U61" t="inlineStr">
        <is>
          <t xml:space="preserve"> </t>
        </is>
      </c>
      <c r="V61" s="104" t="inlineStr">
        <is>
          <t xml:space="preserve"> </t>
        </is>
      </c>
      <c r="W61" t="inlineStr">
        <is>
          <t>No se encontró ejecución en PIIP</t>
        </is>
      </c>
    </row>
    <row r="62">
      <c r="A62" t="inlineStr">
        <is>
          <t>IP-74</t>
        </is>
      </c>
      <c r="B62" t="inlineStr">
        <is>
          <t>32</t>
        </is>
      </c>
      <c r="C62" t="inlineStr">
        <is>
          <t>Ambiente y desarrollo sostenible</t>
        </is>
      </c>
      <c r="D62" t="inlineStr">
        <is>
          <t>3206</t>
        </is>
      </c>
      <c r="E62" t="inlineStr">
        <is>
          <t>Gestión del cambio climático para un desarrollo bajo en carbono y resiliente al clima</t>
        </is>
      </c>
      <c r="F62" t="inlineStr">
        <is>
          <t>3206003</t>
        </is>
      </c>
      <c r="G62" t="inlineStr">
        <is>
          <t>Servicio de apoyo técnico para la implementación de acciones de mitigación y adaptación al cambio climático</t>
        </is>
      </c>
      <c r="H62" t="inlineStr">
        <is>
          <t>320600301</t>
        </is>
      </c>
      <c r="I62" t="inlineStr">
        <is>
          <t>Documentos con las acciones de mitigación y adaptación al cambio climático formulados</t>
        </is>
      </c>
      <c r="J62" t="inlineStr">
        <is>
          <t>2024252140064</t>
        </is>
      </c>
      <c r="K62" t="inlineStr">
        <is>
          <t>Si</t>
        </is>
      </c>
      <c r="L62" t="inlineStr">
        <is>
          <t>Número</t>
        </is>
      </c>
      <c r="M62">
        <v>4</v>
      </c>
      <c r="N62">
        <v>0</v>
      </c>
      <c r="O62">
        <v>2</v>
      </c>
      <c r="P62">
        <v>1</v>
      </c>
      <c r="Q62">
        <v>1</v>
      </c>
      <c r="R62" t="inlineStr">
        <is>
          <t xml:space="preserve"> </t>
        </is>
      </c>
      <c r="S62" s="103" t="inlineStr">
        <is>
          <t xml:space="preserve"> </t>
        </is>
      </c>
      <c r="T62" t="inlineStr">
        <is>
          <t>No se encontró ejecución en PIIP</t>
        </is>
      </c>
      <c r="U62" t="inlineStr">
        <is>
          <t xml:space="preserve"> </t>
        </is>
      </c>
      <c r="V62" s="104" t="inlineStr">
        <is>
          <t xml:space="preserve"> </t>
        </is>
      </c>
      <c r="W62" t="inlineStr">
        <is>
          <t>No se encontró ejecución en PIIP</t>
        </is>
      </c>
    </row>
    <row r="63">
      <c r="A63" t="inlineStr">
        <is>
          <t>IP-75</t>
        </is>
      </c>
      <c r="B63" t="inlineStr">
        <is>
          <t>32</t>
        </is>
      </c>
      <c r="C63" t="inlineStr">
        <is>
          <t>Ambiente y desarrollo sostenible</t>
        </is>
      </c>
      <c r="D63" t="inlineStr">
        <is>
          <t>3206</t>
        </is>
      </c>
      <c r="E63" t="inlineStr">
        <is>
          <t>Gestión del cambio climático para un desarrollo bajo en carbono y resiliente al clima</t>
        </is>
      </c>
      <c r="F63" t="inlineStr">
        <is>
          <t>3206014</t>
        </is>
      </c>
      <c r="G63" t="inlineStr">
        <is>
          <t>Servicio de producción de plántulas en viveros</t>
        </is>
      </c>
      <c r="H63" t="inlineStr">
        <is>
          <t>320601400</t>
        </is>
      </c>
      <c r="I63" t="inlineStr">
        <is>
          <t>Plántulas producidas</t>
        </is>
      </c>
      <c r="J63" t="inlineStr">
        <is>
          <t>2024252140064</t>
        </is>
      </c>
      <c r="K63" t="inlineStr">
        <is>
          <t>No</t>
        </is>
      </c>
      <c r="L63" t="inlineStr">
        <is>
          <t>Número</t>
        </is>
      </c>
      <c r="M63">
        <v>3000</v>
      </c>
      <c r="N63">
        <v>0</v>
      </c>
      <c r="O63">
        <v>3000</v>
      </c>
      <c r="P63">
        <v>3000</v>
      </c>
      <c r="Q63">
        <v>3000</v>
      </c>
      <c r="R63" t="inlineStr">
        <is>
          <t xml:space="preserve"> </t>
        </is>
      </c>
      <c r="S63" s="103" t="inlineStr">
        <is>
          <t xml:space="preserve"> </t>
        </is>
      </c>
      <c r="T63" t="inlineStr">
        <is>
          <t>No se encontró ejecución en PIIP</t>
        </is>
      </c>
      <c r="U63" t="inlineStr">
        <is>
          <t xml:space="preserve"> </t>
        </is>
      </c>
      <c r="V63" s="104" t="inlineStr">
        <is>
          <t xml:space="preserve"> </t>
        </is>
      </c>
      <c r="W63" t="inlineStr">
        <is>
          <t>No se encontró ejecución en PIIP</t>
        </is>
      </c>
    </row>
    <row r="64">
      <c r="A64" t="inlineStr">
        <is>
          <t>IP-76</t>
        </is>
      </c>
      <c r="B64" t="inlineStr">
        <is>
          <t>32</t>
        </is>
      </c>
      <c r="C64" t="inlineStr">
        <is>
          <t>Ambiente y desarrollo sostenible</t>
        </is>
      </c>
      <c r="D64" t="inlineStr">
        <is>
          <t>3206</t>
        </is>
      </c>
      <c r="E64" t="inlineStr">
        <is>
          <t>Gestión del cambio climático para un desarrollo bajo en carbono y resiliente al clima</t>
        </is>
      </c>
      <c r="F64" t="inlineStr">
        <is>
          <t>3206012</t>
        </is>
      </c>
      <c r="G64" t="inlineStr">
        <is>
          <t>Servicio de identificaciónde sitios generadores de gases efecto invernadero</t>
        </is>
      </c>
      <c r="H64" t="inlineStr">
        <is>
          <t>320601200</t>
        </is>
      </c>
      <c r="I64" t="inlineStr">
        <is>
          <t>Inventario de fuentes fijas que presentan combustión incompleta realizado</t>
        </is>
      </c>
      <c r="J64" t="inlineStr">
        <is>
          <t>2024252140064</t>
        </is>
      </c>
      <c r="K64" t="inlineStr">
        <is>
          <t>Si</t>
        </is>
      </c>
      <c r="L64" t="inlineStr">
        <is>
          <t>Número</t>
        </is>
      </c>
      <c r="M64">
        <v>1</v>
      </c>
      <c r="N64">
        <v>0</v>
      </c>
      <c r="O64">
        <v>0.4</v>
      </c>
      <c r="P64">
        <v>0.4</v>
      </c>
      <c r="Q64">
        <v>0.2</v>
      </c>
      <c r="R64" t="inlineStr">
        <is>
          <t xml:space="preserve"> </t>
        </is>
      </c>
      <c r="S64" s="103" t="inlineStr">
        <is>
          <t xml:space="preserve"> </t>
        </is>
      </c>
      <c r="T64" t="inlineStr">
        <is>
          <t>No se encontró ejecución en PIIP</t>
        </is>
      </c>
      <c r="U64" t="inlineStr">
        <is>
          <t xml:space="preserve"> </t>
        </is>
      </c>
      <c r="V64" s="104" t="inlineStr">
        <is>
          <t xml:space="preserve"> </t>
        </is>
      </c>
      <c r="W64" t="inlineStr">
        <is>
          <t>No se encontró ejecución en PIIP</t>
        </is>
      </c>
    </row>
    <row r="65">
      <c r="A65" t="inlineStr">
        <is>
          <t>IP-77</t>
        </is>
      </c>
      <c r="B65" t="inlineStr">
        <is>
          <t>45</t>
        </is>
      </c>
      <c r="C65" t="inlineStr">
        <is>
          <t>Gobierno Territorial</t>
        </is>
      </c>
      <c r="D65" t="inlineStr">
        <is>
          <t>4501</t>
        </is>
      </c>
      <c r="E65" t="inlineStr">
        <is>
          <t>Fortalecimiento de la convivencia y la seguridad ciudadana</t>
        </is>
      </c>
      <c r="F65" t="inlineStr">
        <is>
          <t>4501069</t>
        </is>
      </c>
      <c r="G65" t="inlineStr">
        <is>
          <t>Infraestructura de soporte construida</t>
        </is>
      </c>
      <c r="H65" t="inlineStr">
        <is>
          <t>450106900</t>
        </is>
      </c>
      <c r="I65" t="inlineStr">
        <is>
          <t>Infraestructura de soporte construida</t>
        </is>
      </c>
      <c r="J65" t="inlineStr">
        <is>
          <t/>
        </is>
      </c>
      <c r="K65" t="inlineStr">
        <is>
          <t>Si</t>
        </is>
      </c>
      <c r="L65" t="inlineStr">
        <is>
          <t>Número</t>
        </is>
      </c>
      <c r="M65">
        <v>3</v>
      </c>
      <c r="N65">
        <v>0</v>
      </c>
      <c r="O65">
        <v>1</v>
      </c>
      <c r="P65">
        <v>1</v>
      </c>
      <c r="Q65">
        <v>1</v>
      </c>
      <c r="R65" t="inlineStr">
        <is>
          <t xml:space="preserve"> </t>
        </is>
      </c>
      <c r="S65" s="103" t="inlineStr">
        <is>
          <t xml:space="preserve"> </t>
        </is>
      </c>
      <c r="T65" t="inlineStr">
        <is>
          <t>Por falta de código BPIN, no se encontró ejecución en PIIP</t>
        </is>
      </c>
      <c r="U65" t="inlineStr">
        <is>
          <t xml:space="preserve"> </t>
        </is>
      </c>
      <c r="V65" s="104" t="inlineStr">
        <is>
          <t xml:space="preserve"> </t>
        </is>
      </c>
      <c r="W65" t="inlineStr">
        <is>
          <t>Por falta de código BPIN, no se encontró ejecución en PIIP</t>
        </is>
      </c>
    </row>
    <row r="66">
      <c r="A66" t="inlineStr">
        <is>
          <t>IP-78</t>
        </is>
      </c>
      <c r="B66" t="inlineStr">
        <is>
          <t>45</t>
        </is>
      </c>
      <c r="C66" t="inlineStr">
        <is>
          <t>Gobierno Territorial</t>
        </is>
      </c>
      <c r="D66" t="inlineStr">
        <is>
          <t>4501</t>
        </is>
      </c>
      <c r="E66" t="inlineStr">
        <is>
          <t>Fortalecimiento de la convivencia y la seguridad ciudadana</t>
        </is>
      </c>
      <c r="F66" t="inlineStr">
        <is>
          <t>4501061</t>
        </is>
      </c>
      <c r="G66" t="inlineStr">
        <is>
          <t>Servicio de atención integral a la fauna</t>
        </is>
      </c>
      <c r="H66" t="inlineStr">
        <is>
          <t>450106100</t>
        </is>
      </c>
      <c r="I66" t="inlineStr">
        <is>
          <t>Animales atendidos</t>
        </is>
      </c>
      <c r="J66" t="inlineStr">
        <is>
          <t>2024252140066</t>
        </is>
      </c>
      <c r="K66" t="inlineStr">
        <is>
          <t>No</t>
        </is>
      </c>
      <c r="L66" t="inlineStr">
        <is>
          <t>Número</t>
        </is>
      </c>
      <c r="M66">
        <v>6700</v>
      </c>
      <c r="N66">
        <v>6700</v>
      </c>
      <c r="O66">
        <v>6700</v>
      </c>
      <c r="P66">
        <v>6700</v>
      </c>
      <c r="Q66">
        <v>6700</v>
      </c>
      <c r="R66" t="inlineStr">
        <is>
          <t xml:space="preserve"> </t>
        </is>
      </c>
      <c r="S66" s="103" t="inlineStr">
        <is>
          <t xml:space="preserve"> </t>
        </is>
      </c>
      <c r="T66" t="inlineStr">
        <is>
          <t>No se encontró ejecución en PIIP</t>
        </is>
      </c>
      <c r="U66" t="inlineStr">
        <is>
          <t xml:space="preserve"> </t>
        </is>
      </c>
      <c r="V66" s="104" t="inlineStr">
        <is>
          <t xml:space="preserve"> </t>
        </is>
      </c>
      <c r="W66" t="inlineStr">
        <is>
          <t>No se encontró ejecución en PIIP</t>
        </is>
      </c>
    </row>
    <row r="67">
      <c r="A67" t="inlineStr">
        <is>
          <t>IP-79</t>
        </is>
      </c>
      <c r="B67" t="inlineStr">
        <is>
          <t>45</t>
        </is>
      </c>
      <c r="C67" t="inlineStr">
        <is>
          <t>Gobierno Territorial</t>
        </is>
      </c>
      <c r="D67" t="inlineStr">
        <is>
          <t>4501</t>
        </is>
      </c>
      <c r="E67" t="inlineStr">
        <is>
          <t>Fortalecimiento de la convivencia y la seguridad ciudadana</t>
        </is>
      </c>
      <c r="F67" t="inlineStr">
        <is>
          <t>4501061</t>
        </is>
      </c>
      <c r="G67" t="inlineStr">
        <is>
          <t>Servicio de atención integral a la fauna</t>
        </is>
      </c>
      <c r="H67" t="inlineStr">
        <is>
          <t>450106105</t>
        </is>
      </c>
      <c r="I67" t="inlineStr">
        <is>
          <t>Animales atendidos por presunto maltrato</t>
        </is>
      </c>
      <c r="J67" t="inlineStr">
        <is>
          <t>2024252140066</t>
        </is>
      </c>
      <c r="K67" t="inlineStr">
        <is>
          <t>Si</t>
        </is>
      </c>
      <c r="L67" t="inlineStr">
        <is>
          <t>Número</t>
        </is>
      </c>
      <c r="M67">
        <v>1</v>
      </c>
      <c r="N67">
        <v>100</v>
      </c>
      <c r="O67">
        <v>100</v>
      </c>
      <c r="P67">
        <v>100</v>
      </c>
      <c r="Q67">
        <v>100</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IP-80</t>
        </is>
      </c>
      <c r="B68" t="inlineStr">
        <is>
          <t>45</t>
        </is>
      </c>
      <c r="C68" t="inlineStr">
        <is>
          <t>Gobierno Territorial</t>
        </is>
      </c>
      <c r="D68" t="inlineStr">
        <is>
          <t>4501</t>
        </is>
      </c>
      <c r="E68" t="inlineStr">
        <is>
          <t>Fortalecimiento de la convivencia y la seguridad ciudadana</t>
        </is>
      </c>
      <c r="F68" t="inlineStr">
        <is>
          <t>4501063</t>
        </is>
      </c>
      <c r="G68" t="inlineStr">
        <is>
          <t>Servicio de apoyo financiero para la atención integral de animales</t>
        </is>
      </c>
      <c r="H68" t="inlineStr">
        <is>
          <t>450106300</t>
        </is>
      </c>
      <c r="I68" t="inlineStr">
        <is>
          <t>Prestadores del servicio de atención integral de animales apoyados</t>
        </is>
      </c>
      <c r="J68" t="inlineStr">
        <is>
          <t>2024252140066</t>
        </is>
      </c>
      <c r="K68" t="inlineStr">
        <is>
          <t>No</t>
        </is>
      </c>
      <c r="L68" t="inlineStr">
        <is>
          <t>Número</t>
        </is>
      </c>
      <c r="M68">
        <v>4</v>
      </c>
      <c r="N68">
        <v>4</v>
      </c>
      <c r="O68">
        <v>4</v>
      </c>
      <c r="P68">
        <v>4</v>
      </c>
      <c r="Q68">
        <v>4</v>
      </c>
      <c r="R68" t="inlineStr">
        <is>
          <t xml:space="preserve"> </t>
        </is>
      </c>
      <c r="S68" s="103" t="inlineStr">
        <is>
          <t xml:space="preserve"> </t>
        </is>
      </c>
      <c r="T68" t="inlineStr">
        <is>
          <t>No se encontró ejecución en PIIP</t>
        </is>
      </c>
      <c r="U68" t="inlineStr">
        <is>
          <t xml:space="preserve"> </t>
        </is>
      </c>
      <c r="V68" s="104" t="inlineStr">
        <is>
          <t xml:space="preserve"> </t>
        </is>
      </c>
      <c r="W68" t="inlineStr">
        <is>
          <t>No se encontró ejecución en PIIP</t>
        </is>
      </c>
    </row>
    <row r="69">
      <c r="A69" t="inlineStr">
        <is>
          <t>IP-81</t>
        </is>
      </c>
      <c r="B69" t="inlineStr">
        <is>
          <t>45</t>
        </is>
      </c>
      <c r="C69" t="inlineStr">
        <is>
          <t>Gobierno Territorial</t>
        </is>
      </c>
      <c r="D69" t="inlineStr">
        <is>
          <t>4501</t>
        </is>
      </c>
      <c r="E69" t="inlineStr">
        <is>
          <t>Fortalecimiento de la convivencia y la seguridad ciudadana</t>
        </is>
      </c>
      <c r="F69" t="inlineStr">
        <is>
          <t>4501049</t>
        </is>
      </c>
      <c r="G69" t="inlineStr">
        <is>
          <t>Servicio de educación informal</t>
        </is>
      </c>
      <c r="H69" t="inlineStr">
        <is>
          <t>450104900</t>
        </is>
      </c>
      <c r="I69" t="inlineStr">
        <is>
          <t>Personas capacitadas</t>
        </is>
      </c>
      <c r="J69" t="inlineStr">
        <is>
          <t>2024252140066</t>
        </is>
      </c>
      <c r="K69" t="inlineStr">
        <is>
          <t>Si</t>
        </is>
      </c>
      <c r="L69" t="inlineStr">
        <is>
          <t>Número</t>
        </is>
      </c>
      <c r="M69">
        <v>4000</v>
      </c>
      <c r="N69">
        <v>0</v>
      </c>
      <c r="O69">
        <v>1500</v>
      </c>
      <c r="P69">
        <v>1500</v>
      </c>
      <c r="Q69">
        <v>1000</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IP-82</t>
        </is>
      </c>
      <c r="B70" t="inlineStr">
        <is>
          <t>45</t>
        </is>
      </c>
      <c r="C70" t="inlineStr">
        <is>
          <t>Gobierno Territorial</t>
        </is>
      </c>
      <c r="D70" t="inlineStr">
        <is>
          <t>4501</t>
        </is>
      </c>
      <c r="E70" t="inlineStr">
        <is>
          <t>Fortalecimiento de la convivencia y la seguridad ciudadana</t>
        </is>
      </c>
      <c r="F70" t="inlineStr">
        <is>
          <t>4501061</t>
        </is>
      </c>
      <c r="G70" t="inlineStr">
        <is>
          <t>Servicio de atención integral a la fauna</t>
        </is>
      </c>
      <c r="H70" t="inlineStr">
        <is>
          <t>450106101</t>
        </is>
      </c>
      <c r="I70" t="inlineStr">
        <is>
          <t>Animales entregados en adopción</t>
        </is>
      </c>
      <c r="J70" t="inlineStr">
        <is>
          <t>2024252140066</t>
        </is>
      </c>
      <c r="K70" t="inlineStr">
        <is>
          <t>No</t>
        </is>
      </c>
      <c r="L70" t="inlineStr">
        <is>
          <t>Número</t>
        </is>
      </c>
      <c r="M70">
        <v>130</v>
      </c>
      <c r="N70">
        <v>130</v>
      </c>
      <c r="O70">
        <v>130</v>
      </c>
      <c r="P70">
        <v>130</v>
      </c>
      <c r="Q70">
        <v>130</v>
      </c>
      <c r="R70" t="inlineStr">
        <is>
          <t xml:space="preserve"> </t>
        </is>
      </c>
      <c r="S70" s="103" t="inlineStr">
        <is>
          <t xml:space="preserve"> </t>
        </is>
      </c>
      <c r="T70" t="inlineStr">
        <is>
          <t>No se encontró ejecución en PIIP</t>
        </is>
      </c>
      <c r="U70" t="inlineStr">
        <is>
          <t xml:space="preserve"> </t>
        </is>
      </c>
      <c r="V70" s="104" t="inlineStr">
        <is>
          <t xml:space="preserve"> </t>
        </is>
      </c>
      <c r="W70" t="inlineStr">
        <is>
          <t>No se encontró ejecución en PIIP</t>
        </is>
      </c>
    </row>
    <row r="71">
      <c r="A71" t="inlineStr">
        <is>
          <t>IP-83</t>
        </is>
      </c>
      <c r="B71" t="inlineStr">
        <is>
          <t>45</t>
        </is>
      </c>
      <c r="C71" t="inlineStr">
        <is>
          <t>Gobierno Territorial</t>
        </is>
      </c>
      <c r="D71" t="inlineStr">
        <is>
          <t>4501</t>
        </is>
      </c>
      <c r="E71" t="inlineStr">
        <is>
          <t>Fortalecimiento de la convivencia y la seguridad ciudadana</t>
        </is>
      </c>
      <c r="F71" t="inlineStr">
        <is>
          <t>4501026</t>
        </is>
      </c>
      <c r="G71" t="inlineStr">
        <is>
          <t>Documentos Planeacion</t>
        </is>
      </c>
      <c r="H71" t="inlineStr">
        <is>
          <t>450102601</t>
        </is>
      </c>
      <c r="I71" t="inlineStr">
        <is>
          <t>Documentos de planeación con seguimiento realizados</t>
        </is>
      </c>
      <c r="J71" t="inlineStr">
        <is>
          <t>2024252140066</t>
        </is>
      </c>
      <c r="K71" t="inlineStr">
        <is>
          <t>Si</t>
        </is>
      </c>
      <c r="L71" t="inlineStr">
        <is>
          <t>Número</t>
        </is>
      </c>
      <c r="M71">
        <v>40</v>
      </c>
      <c r="N71">
        <v>0.1</v>
      </c>
      <c r="O71">
        <v>0.1</v>
      </c>
      <c r="P71">
        <v>0.1</v>
      </c>
      <c r="Q71">
        <v>0.1</v>
      </c>
      <c r="R71" t="inlineStr">
        <is>
          <t xml:space="preserve"> </t>
        </is>
      </c>
      <c r="S71" s="103" t="inlineStr">
        <is>
          <t xml:space="preserve"> </t>
        </is>
      </c>
      <c r="T71" t="inlineStr">
        <is>
          <t>No se encontró ejecución en PIIP</t>
        </is>
      </c>
      <c r="U71" t="inlineStr">
        <is>
          <t xml:space="preserve"> </t>
        </is>
      </c>
      <c r="V71" s="104" t="inlineStr">
        <is>
          <t xml:space="preserve"> </t>
        </is>
      </c>
      <c r="W71" t="inlineStr">
        <is>
          <t>No se encontró ejecución en PIIP</t>
        </is>
      </c>
    </row>
    <row r="72">
      <c r="A72" t="inlineStr">
        <is>
          <t>IP-84</t>
        </is>
      </c>
      <c r="B72" t="inlineStr">
        <is>
          <t>45</t>
        </is>
      </c>
      <c r="C72" t="inlineStr">
        <is>
          <t>Gobierno Territorial</t>
        </is>
      </c>
      <c r="D72" t="inlineStr">
        <is>
          <t>4501</t>
        </is>
      </c>
      <c r="E72" t="inlineStr">
        <is>
          <t>Fortalecimiento de la convivencia y la seguridad ciudadana</t>
        </is>
      </c>
      <c r="F72" t="inlineStr">
        <is>
          <t>4501061</t>
        </is>
      </c>
      <c r="G72" t="inlineStr">
        <is>
          <t>Servicio de atención integral a la fauna</t>
        </is>
      </c>
      <c r="H72" t="inlineStr">
        <is>
          <t>450106104</t>
        </is>
      </c>
      <c r="I72" t="inlineStr">
        <is>
          <t>Animales con identificación y registro oficial</t>
        </is>
      </c>
      <c r="J72" t="inlineStr">
        <is>
          <t>2024252140066</t>
        </is>
      </c>
      <c r="K72" t="inlineStr">
        <is>
          <t>Si</t>
        </is>
      </c>
      <c r="L72" t="inlineStr">
        <is>
          <t>Número</t>
        </is>
      </c>
      <c r="M72">
        <v>4000</v>
      </c>
      <c r="N72">
        <v>0</v>
      </c>
      <c r="O72">
        <v>1500</v>
      </c>
      <c r="P72">
        <v>1500</v>
      </c>
      <c r="Q72">
        <v>1000</v>
      </c>
      <c r="R72" t="inlineStr">
        <is>
          <t xml:space="preserve"> </t>
        </is>
      </c>
      <c r="S72" s="103" t="inlineStr">
        <is>
          <t xml:space="preserve"> </t>
        </is>
      </c>
      <c r="T72" t="inlineStr">
        <is>
          <t>No se encontró ejecución en PIIP</t>
        </is>
      </c>
      <c r="U72" t="inlineStr">
        <is>
          <t xml:space="preserve"> </t>
        </is>
      </c>
      <c r="V72" s="104" t="inlineStr">
        <is>
          <t xml:space="preserve"> </t>
        </is>
      </c>
      <c r="W72" t="inlineStr">
        <is>
          <t>No se encontró ejecución en PIIP</t>
        </is>
      </c>
    </row>
    <row r="73">
      <c r="A73" t="inlineStr">
        <is>
          <t>IP-85, IP-86</t>
        </is>
      </c>
      <c r="B73" t="inlineStr">
        <is>
          <t>35</t>
        </is>
      </c>
      <c r="C73" t="inlineStr">
        <is>
          <t>Comercio, industria y turismo</t>
        </is>
      </c>
      <c r="D73" t="inlineStr">
        <is>
          <t>3502</t>
        </is>
      </c>
      <c r="E73" t="inlineStr">
        <is>
          <t>Productividad y competitividad de las empresas colombianas</t>
        </is>
      </c>
      <c r="F73" t="inlineStr">
        <is>
          <t>3502020</t>
        </is>
      </c>
      <c r="G73" t="inlineStr">
        <is>
          <t>Servicio de asistencia técnica y fortalecimiento a las unidades productivas pertenecientes a la red empresarial Red-i y sector detallista</t>
        </is>
      </c>
      <c r="H73" t="inlineStr">
        <is>
          <t>350202000</t>
        </is>
      </c>
      <c r="I73" t="inlineStr">
        <is>
          <t xml:space="preserve">Unidades productivas fortalecidas </t>
        </is>
      </c>
      <c r="J73" t="inlineStr">
        <is>
          <t>2024252140067</t>
        </is>
      </c>
      <c r="K73" t="inlineStr">
        <is>
          <t>No</t>
        </is>
      </c>
      <c r="L73" t="inlineStr">
        <is>
          <t>Número</t>
        </is>
      </c>
      <c r="M73">
        <v>400</v>
      </c>
      <c r="N73">
        <v>250</v>
      </c>
      <c r="O73">
        <v>250</v>
      </c>
      <c r="P73">
        <v>250</v>
      </c>
      <c r="Q73">
        <v>250</v>
      </c>
      <c r="R73" t="inlineStr">
        <is>
          <t xml:space="preserve"> </t>
        </is>
      </c>
      <c r="S73" s="103" t="inlineStr">
        <is>
          <t xml:space="preserve"> </t>
        </is>
      </c>
      <c r="T73" t="inlineStr">
        <is>
          <t>No se encontró ejecución en PIIP</t>
        </is>
      </c>
      <c r="U73" t="inlineStr">
        <is>
          <t xml:space="preserve"> </t>
        </is>
      </c>
      <c r="V73" s="104" t="inlineStr">
        <is>
          <t xml:space="preserve"> </t>
        </is>
      </c>
      <c r="W73" t="inlineStr">
        <is>
          <t>No se encontró ejecución en PIIP</t>
        </is>
      </c>
    </row>
    <row r="74">
      <c r="A74" t="inlineStr">
        <is>
          <t>IP-87, IP-88</t>
        </is>
      </c>
      <c r="B74" t="inlineStr">
        <is>
          <t>35</t>
        </is>
      </c>
      <c r="C74" t="inlineStr">
        <is>
          <t>Comercio, industria y turismo</t>
        </is>
      </c>
      <c r="D74" t="inlineStr">
        <is>
          <t>3502</t>
        </is>
      </c>
      <c r="E74" t="inlineStr">
        <is>
          <t>Productividad y competitividad de las empresas colombianas</t>
        </is>
      </c>
      <c r="F74" t="inlineStr">
        <is>
          <t>3502047</t>
        </is>
      </c>
      <c r="G74" t="inlineStr">
        <is>
          <t>Documentos de planeación</t>
        </is>
      </c>
      <c r="H74" t="inlineStr">
        <is>
          <t>350204700</t>
        </is>
      </c>
      <c r="I74" t="inlineStr">
        <is>
          <t>Documentos de planeación elaborados</t>
        </is>
      </c>
      <c r="J74" t="inlineStr">
        <is>
          <t>2024252140067</t>
        </is>
      </c>
      <c r="K74" t="inlineStr">
        <is>
          <t>Si</t>
        </is>
      </c>
      <c r="L74" t="inlineStr">
        <is>
          <t>Número</t>
        </is>
      </c>
      <c r="M74">
        <v>2</v>
      </c>
      <c r="N74">
        <v>0.2</v>
      </c>
      <c r="O74">
        <v>0.7</v>
      </c>
      <c r="P74">
        <v>0.7</v>
      </c>
      <c r="Q74">
        <v>0.4</v>
      </c>
      <c r="R74" t="inlineStr">
        <is>
          <t xml:space="preserve"> </t>
        </is>
      </c>
      <c r="S74" s="103" t="inlineStr">
        <is>
          <t xml:space="preserve"> </t>
        </is>
      </c>
      <c r="T74" t="inlineStr">
        <is>
          <t>No se encontró ejecución en PIIP</t>
        </is>
      </c>
      <c r="U74" t="inlineStr">
        <is>
          <t xml:space="preserve"> </t>
        </is>
      </c>
      <c r="V74" s="104" t="inlineStr">
        <is>
          <t xml:space="preserve"> </t>
        </is>
      </c>
      <c r="W74" t="inlineStr">
        <is>
          <t>No se encontró ejecución en PIIP</t>
        </is>
      </c>
    </row>
    <row r="75">
      <c r="A75" t="inlineStr">
        <is>
          <t>IP-89</t>
        </is>
      </c>
      <c r="B75" t="inlineStr">
        <is>
          <t>35</t>
        </is>
      </c>
      <c r="C75" t="inlineStr">
        <is>
          <t>Comercio, industria y turismo</t>
        </is>
      </c>
      <c r="D75" t="inlineStr">
        <is>
          <t>3502</t>
        </is>
      </c>
      <c r="E75" t="inlineStr">
        <is>
          <t>Productividad y competitividad de las empresas colombianas</t>
        </is>
      </c>
      <c r="F75" t="inlineStr">
        <is>
          <t>3502021</t>
        </is>
      </c>
      <c r="G75" t="inlineStr">
        <is>
          <t>Servicio de fortalecimiento y desarrollo de unidades productivas para la comercialización de productos agroindustriales</t>
        </is>
      </c>
      <c r="H75" t="inlineStr">
        <is>
          <t>350202101</t>
        </is>
      </c>
      <c r="I75" t="inlineStr">
        <is>
          <t xml:space="preserve">Emprendimientos y/o empresas asociativas generadas </t>
        </is>
      </c>
      <c r="J75" t="inlineStr">
        <is>
          <t>2024252140067</t>
        </is>
      </c>
      <c r="K75" t="inlineStr">
        <is>
          <t>No</t>
        </is>
      </c>
      <c r="L75" t="inlineStr">
        <is>
          <t>Número</t>
        </is>
      </c>
      <c r="M75">
        <v>4</v>
      </c>
      <c r="N75">
        <v>4</v>
      </c>
      <c r="O75">
        <v>4</v>
      </c>
      <c r="P75">
        <v>4</v>
      </c>
      <c r="Q75">
        <v>4</v>
      </c>
      <c r="R75" t="inlineStr">
        <is>
          <t xml:space="preserve"> </t>
        </is>
      </c>
      <c r="S75" s="103" t="inlineStr">
        <is>
          <t xml:space="preserve"> </t>
        </is>
      </c>
      <c r="T75" t="inlineStr">
        <is>
          <t>No se encontró ejecución en PIIP</t>
        </is>
      </c>
      <c r="U75" t="inlineStr">
        <is>
          <t xml:space="preserve"> </t>
        </is>
      </c>
      <c r="V75" s="104" t="inlineStr">
        <is>
          <t xml:space="preserve"> </t>
        </is>
      </c>
      <c r="W75" t="inlineStr">
        <is>
          <t>No se encontró ejecución en PIIP</t>
        </is>
      </c>
    </row>
    <row r="76">
      <c r="A76" t="inlineStr">
        <is>
          <t>IP-90</t>
        </is>
      </c>
      <c r="B76" t="inlineStr">
        <is>
          <t>35</t>
        </is>
      </c>
      <c r="C76" t="inlineStr">
        <is>
          <t>Comercio, industria y turismo</t>
        </is>
      </c>
      <c r="D76" t="inlineStr">
        <is>
          <t>3502</t>
        </is>
      </c>
      <c r="E76" t="inlineStr">
        <is>
          <t>Productividad y competitividad de las empresas colombianas</t>
        </is>
      </c>
      <c r="F76" t="inlineStr">
        <is>
          <t>3502017</t>
        </is>
      </c>
      <c r="G76" t="inlineStr">
        <is>
          <t>Servicio de asistencia técnica para emprendedores y/o empresas en edad temprana</t>
        </is>
      </c>
      <c r="H76" t="inlineStr">
        <is>
          <t>350201703</t>
        </is>
      </c>
      <c r="I76" t="inlineStr">
        <is>
          <t>Empresas en etapa temprana  beneficiadas con  programas de fortalecimiento  para su consolidación.</t>
        </is>
      </c>
      <c r="J76" t="inlineStr">
        <is>
          <t>2024252140067</t>
        </is>
      </c>
      <c r="K76" t="inlineStr">
        <is>
          <t>Si</t>
        </is>
      </c>
      <c r="L76" t="inlineStr">
        <is>
          <t>Número</t>
        </is>
      </c>
      <c r="M76">
        <v>200</v>
      </c>
      <c r="N76">
        <v>50</v>
      </c>
      <c r="O76">
        <v>50</v>
      </c>
      <c r="P76">
        <v>50</v>
      </c>
      <c r="Q76">
        <v>50</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IP-91</t>
        </is>
      </c>
      <c r="B77" t="inlineStr">
        <is>
          <t>35</t>
        </is>
      </c>
      <c r="C77" t="inlineStr">
        <is>
          <t>Comercio, industria y turismo</t>
        </is>
      </c>
      <c r="D77" t="inlineStr">
        <is>
          <t>3502</t>
        </is>
      </c>
      <c r="E77" t="inlineStr">
        <is>
          <t>Productividad y competitividad de las empresas colombianas</t>
        </is>
      </c>
      <c r="F77" t="inlineStr">
        <is>
          <t>3502012</t>
        </is>
      </c>
      <c r="G77" t="inlineStr">
        <is>
          <t>Servicio de apoyo para la modernización y fomento de la innovación empresarial</t>
        </is>
      </c>
      <c r="H77" t="inlineStr">
        <is>
          <t>350201202</t>
        </is>
      </c>
      <c r="I77" t="inlineStr">
        <is>
          <t>Proyectos  para la modernización en las Mipymes cofinanciados</t>
        </is>
      </c>
      <c r="J77" t="inlineStr">
        <is>
          <t>2024252140067</t>
        </is>
      </c>
      <c r="K77" t="inlineStr">
        <is>
          <t>Si</t>
        </is>
      </c>
      <c r="L77" t="inlineStr">
        <is>
          <t>Número</t>
        </is>
      </c>
      <c r="M77">
        <v>1</v>
      </c>
      <c r="N77">
        <v>0.15</v>
      </c>
      <c r="O77">
        <v>0.3</v>
      </c>
      <c r="P77">
        <v>0.3</v>
      </c>
      <c r="Q77">
        <v>0.25</v>
      </c>
      <c r="R77" t="inlineStr">
        <is>
          <t xml:space="preserve"> </t>
        </is>
      </c>
      <c r="S77" s="103" t="inlineStr">
        <is>
          <t xml:space="preserve"> </t>
        </is>
      </c>
      <c r="T77" t="inlineStr">
        <is>
          <t>No se encontró ejecución en PIIP</t>
        </is>
      </c>
      <c r="U77" t="inlineStr">
        <is>
          <t xml:space="preserve"> </t>
        </is>
      </c>
      <c r="V77" s="104" t="inlineStr">
        <is>
          <t xml:space="preserve"> </t>
        </is>
      </c>
      <c r="W77" t="inlineStr">
        <is>
          <t>No se encontró ejecución en PIIP</t>
        </is>
      </c>
    </row>
    <row r="78">
      <c r="A78" t="inlineStr">
        <is>
          <t>IP-92</t>
        </is>
      </c>
      <c r="B78" t="inlineStr">
        <is>
          <t>35</t>
        </is>
      </c>
      <c r="C78" t="inlineStr">
        <is>
          <t>Comercio, industria y turismo</t>
        </is>
      </c>
      <c r="D78" t="inlineStr">
        <is>
          <t>3502</t>
        </is>
      </c>
      <c r="E78" t="inlineStr">
        <is>
          <t>Productividad y competitividad de las empresas colombianas</t>
        </is>
      </c>
      <c r="F78" t="inlineStr">
        <is>
          <t>3502012</t>
        </is>
      </c>
      <c r="G78" t="inlineStr">
        <is>
          <t>Servicio de apoyo para la modernización y fomento de la innovación empresarial</t>
        </is>
      </c>
      <c r="H78" t="inlineStr">
        <is>
          <t>350201204</t>
        </is>
      </c>
      <c r="I78" t="inlineStr">
        <is>
          <t xml:space="preserve">Eventos realizados que fomenten una mentalidad y cultura innovadora </t>
        </is>
      </c>
      <c r="J78" t="inlineStr">
        <is>
          <t>2024252140067</t>
        </is>
      </c>
      <c r="K78" t="inlineStr">
        <is>
          <t>Si</t>
        </is>
      </c>
      <c r="L78" t="inlineStr">
        <is>
          <t>Número</t>
        </is>
      </c>
      <c r="M78">
        <v>1</v>
      </c>
      <c r="N78">
        <v>0.23</v>
      </c>
      <c r="O78">
        <v>0.27</v>
      </c>
      <c r="P78">
        <v>0.25</v>
      </c>
      <c r="Q78">
        <v>0.25</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IP-93</t>
        </is>
      </c>
      <c r="B79" t="inlineStr">
        <is>
          <t>35</t>
        </is>
      </c>
      <c r="C79" t="inlineStr">
        <is>
          <t>Comercio, industria y turismo</t>
        </is>
      </c>
      <c r="D79" t="inlineStr">
        <is>
          <t>3502</t>
        </is>
      </c>
      <c r="E79" t="inlineStr">
        <is>
          <t>Productividad y competitividad de las empresas colombianas</t>
        </is>
      </c>
      <c r="F79" t="inlineStr">
        <is>
          <t>3502019</t>
        </is>
      </c>
      <c r="G79" t="inlineStr">
        <is>
          <t>Servicio de asistencia técnica y acompañamiento productivo y empresarial</t>
        </is>
      </c>
      <c r="H79" t="inlineStr">
        <is>
          <t>350201900</t>
        </is>
      </c>
      <c r="I79" t="inlineStr">
        <is>
          <t>Personas beneficiadas</t>
        </is>
      </c>
      <c r="J79" t="inlineStr">
        <is>
          <t>2024252140067</t>
        </is>
      </c>
      <c r="K79" t="inlineStr">
        <is>
          <t>Si</t>
        </is>
      </c>
      <c r="L79" t="inlineStr">
        <is>
          <t>Número</t>
        </is>
      </c>
      <c r="M79">
        <v>1</v>
      </c>
      <c r="N79">
        <v>0.1</v>
      </c>
      <c r="O79">
        <v>0.27</v>
      </c>
      <c r="P79">
        <v>0.27</v>
      </c>
      <c r="Q79">
        <v>0.36</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IP-94</t>
        </is>
      </c>
      <c r="B80" t="inlineStr">
        <is>
          <t>35</t>
        </is>
      </c>
      <c r="C80" t="inlineStr">
        <is>
          <t>Comercio, industria y turismo</t>
        </is>
      </c>
      <c r="D80" t="inlineStr">
        <is>
          <t>3502</t>
        </is>
      </c>
      <c r="E80" t="inlineStr">
        <is>
          <t>Productividad y competitividad de las empresas colombianas</t>
        </is>
      </c>
      <c r="F80" t="inlineStr">
        <is>
          <t>3502012</t>
        </is>
      </c>
      <c r="G80" t="inlineStr">
        <is>
          <t>Servicio de apoyo para la modernización y fomento de la innovación empresarial</t>
        </is>
      </c>
      <c r="H80" t="inlineStr">
        <is>
          <t>350201208</t>
        </is>
      </c>
      <c r="I80" t="inlineStr">
        <is>
          <t>Mujeres formadas en habilidades y competencias empresariales</t>
        </is>
      </c>
      <c r="J80" t="inlineStr">
        <is>
          <t>2024252140067</t>
        </is>
      </c>
      <c r="K80" t="inlineStr">
        <is>
          <t>Si</t>
        </is>
      </c>
      <c r="L80" t="inlineStr">
        <is>
          <t>Número</t>
        </is>
      </c>
      <c r="M80">
        <v>1</v>
      </c>
      <c r="N80">
        <v>0.15</v>
      </c>
      <c r="O80">
        <v>0.3</v>
      </c>
      <c r="P80">
        <v>0.3</v>
      </c>
      <c r="Q80">
        <v>0.25</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IP-95</t>
        </is>
      </c>
      <c r="B81" t="inlineStr">
        <is>
          <t>35</t>
        </is>
      </c>
      <c r="C81" t="inlineStr">
        <is>
          <t>Comercio, industria y turismo</t>
        </is>
      </c>
      <c r="D81" t="inlineStr">
        <is>
          <t>3502</t>
        </is>
      </c>
      <c r="E81" t="inlineStr">
        <is>
          <t>Productividad y competitividad de las empresas colombianas</t>
        </is>
      </c>
      <c r="F81" t="inlineStr">
        <is>
          <t>3502059</t>
        </is>
      </c>
      <c r="G81" t="inlineStr">
        <is>
          <t>Señalización turística construida</t>
        </is>
      </c>
      <c r="H81" t="inlineStr">
        <is>
          <t>350205900</t>
        </is>
      </c>
      <c r="I81" t="inlineStr">
        <is>
          <t>Señalización realizada</t>
        </is>
      </c>
      <c r="J81" t="inlineStr">
        <is>
          <t>2024252140067</t>
        </is>
      </c>
      <c r="K81" t="inlineStr">
        <is>
          <t>Si</t>
        </is>
      </c>
      <c r="L81" t="inlineStr">
        <is>
          <t>Número</t>
        </is>
      </c>
      <c r="M81">
        <v>1</v>
      </c>
      <c r="N81">
        <v>0</v>
      </c>
      <c r="O81">
        <v>0.4</v>
      </c>
      <c r="P81">
        <v>0.4</v>
      </c>
      <c r="Q81">
        <v>0.2</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IP-96</t>
        </is>
      </c>
      <c r="B82" t="inlineStr">
        <is>
          <t>35</t>
        </is>
      </c>
      <c r="C82" t="inlineStr">
        <is>
          <t>Comercio, industria y turismo</t>
        </is>
      </c>
      <c r="D82" t="inlineStr">
        <is>
          <t>3502</t>
        </is>
      </c>
      <c r="E82" t="inlineStr">
        <is>
          <t>Productividad y competitividad de las empresas colombianas</t>
        </is>
      </c>
      <c r="F82" t="inlineStr">
        <is>
          <t>3502053</t>
        </is>
      </c>
      <c r="G82" t="inlineStr">
        <is>
          <t>Centro turístico construido</t>
        </is>
      </c>
      <c r="H82" t="inlineStr">
        <is>
          <t>350205300</t>
        </is>
      </c>
      <c r="I82" t="inlineStr">
        <is>
          <t>Centro turístico construido</t>
        </is>
      </c>
      <c r="J82" t="inlineStr">
        <is>
          <t/>
        </is>
      </c>
      <c r="K82" t="inlineStr">
        <is>
          <t>Si</t>
        </is>
      </c>
      <c r="L82" t="inlineStr">
        <is>
          <t>Número</t>
        </is>
      </c>
      <c r="M82">
        <v>1</v>
      </c>
      <c r="N82">
        <v>0</v>
      </c>
      <c r="O82">
        <v>0</v>
      </c>
      <c r="P82">
        <v>1</v>
      </c>
      <c r="Q82">
        <v>0</v>
      </c>
      <c r="R82" t="inlineStr">
        <is>
          <t xml:space="preserve"> </t>
        </is>
      </c>
      <c r="S82" s="103" t="inlineStr">
        <is>
          <t xml:space="preserve"> </t>
        </is>
      </c>
      <c r="T82" t="inlineStr">
        <is>
          <t>Por falta de código BPIN, no se encontró ejecución en PIIP</t>
        </is>
      </c>
      <c r="U82" t="inlineStr">
        <is>
          <t xml:space="preserve"> </t>
        </is>
      </c>
      <c r="V82" s="104" t="inlineStr">
        <is>
          <t xml:space="preserve"> </t>
        </is>
      </c>
      <c r="W82" t="inlineStr">
        <is>
          <t>Por falta de código BPIN, no se encontró ejecución en PIIP</t>
        </is>
      </c>
    </row>
    <row r="83">
      <c r="A83" t="inlineStr">
        <is>
          <t>IP-98</t>
        </is>
      </c>
      <c r="B83" t="inlineStr">
        <is>
          <t>35</t>
        </is>
      </c>
      <c r="C83" t="inlineStr">
        <is>
          <t>Comercio, industria y turismo</t>
        </is>
      </c>
      <c r="D83" t="inlineStr">
        <is>
          <t>3502</t>
        </is>
      </c>
      <c r="E83" t="inlineStr">
        <is>
          <t>Productividad y competitividad de las empresas colombianas</t>
        </is>
      </c>
      <c r="F83" t="inlineStr">
        <is>
          <t>3502046</t>
        </is>
      </c>
      <c r="G83" t="inlineStr">
        <is>
          <t>Servicio de promoción turística</t>
        </is>
      </c>
      <c r="H83" t="inlineStr">
        <is>
          <t>350204602</t>
        </is>
      </c>
      <c r="I83" t="inlineStr">
        <is>
          <t>Eventos de promoción realizados</t>
        </is>
      </c>
      <c r="J83" t="inlineStr">
        <is>
          <t>2024252140067</t>
        </is>
      </c>
      <c r="K83" t="inlineStr">
        <is>
          <t>Si</t>
        </is>
      </c>
      <c r="L83" t="inlineStr">
        <is>
          <t>Número</t>
        </is>
      </c>
      <c r="M83">
        <v>10</v>
      </c>
      <c r="N83">
        <v>0</v>
      </c>
      <c r="O83">
        <v>4</v>
      </c>
      <c r="P83">
        <v>4</v>
      </c>
      <c r="Q83">
        <v>2</v>
      </c>
      <c r="R83" t="inlineStr">
        <is>
          <t xml:space="preserve"> </t>
        </is>
      </c>
      <c r="S83" s="103" t="inlineStr">
        <is>
          <t xml:space="preserve"> </t>
        </is>
      </c>
      <c r="T83" t="inlineStr">
        <is>
          <t>No se encontró ejecución en PIIP</t>
        </is>
      </c>
      <c r="U83" t="inlineStr">
        <is>
          <t xml:space="preserve"> </t>
        </is>
      </c>
      <c r="V83" s="104" t="inlineStr">
        <is>
          <t xml:space="preserve"> </t>
        </is>
      </c>
      <c r="W83" t="inlineStr">
        <is>
          <t>No se encontró ejecución en PIIP</t>
        </is>
      </c>
    </row>
    <row r="84">
      <c r="A84" t="inlineStr">
        <is>
          <t>IP-99</t>
        </is>
      </c>
      <c r="B84" t="inlineStr">
        <is>
          <t>35</t>
        </is>
      </c>
      <c r="C84" t="inlineStr">
        <is>
          <t>Comercio, industria y turismo</t>
        </is>
      </c>
      <c r="D84" t="inlineStr">
        <is>
          <t>3502</t>
        </is>
      </c>
      <c r="E84" t="inlineStr">
        <is>
          <t>Productividad y competitividad de las empresas colombianas</t>
        </is>
      </c>
      <c r="F84" t="inlineStr">
        <is>
          <t>3502046</t>
        </is>
      </c>
      <c r="G84" t="inlineStr">
        <is>
          <t>Servicio de promoción turística</t>
        </is>
      </c>
      <c r="H84" t="inlineStr">
        <is>
          <t>350204600</t>
        </is>
      </c>
      <c r="I84" t="inlineStr">
        <is>
          <t>Campañas realizadas</t>
        </is>
      </c>
      <c r="J84" t="inlineStr">
        <is>
          <t>2024252140067</t>
        </is>
      </c>
      <c r="K84" t="inlineStr">
        <is>
          <t>Si</t>
        </is>
      </c>
      <c r="L84" t="inlineStr">
        <is>
          <t>Número</t>
        </is>
      </c>
      <c r="M84">
        <v>4</v>
      </c>
      <c r="N84">
        <v>1</v>
      </c>
      <c r="O84">
        <v>1</v>
      </c>
      <c r="P84">
        <v>1</v>
      </c>
      <c r="Q84">
        <v>1</v>
      </c>
      <c r="R84">
        <v>0</v>
      </c>
      <c r="S84" s="103">
        <v>0</v>
      </c>
      <c r="T84" t="inlineStr">
        <is>
          <t>No se ejecutó en la vigencia</t>
        </is>
      </c>
      <c r="U84">
        <v>39.48</v>
      </c>
      <c r="V84" s="104">
        <v>39.48</v>
      </c>
      <c r="W84" t="inlineStr">
        <is>
          <t>Hubo ejecución por encima de lo programado en SisPT</t>
        </is>
      </c>
    </row>
    <row r="85">
      <c r="A85" t="inlineStr">
        <is>
          <t>IP-100</t>
        </is>
      </c>
      <c r="B85" t="inlineStr">
        <is>
          <t>35</t>
        </is>
      </c>
      <c r="C85" t="inlineStr">
        <is>
          <t>Comercio, industria y turismo</t>
        </is>
      </c>
      <c r="D85" t="inlineStr">
        <is>
          <t>3502</t>
        </is>
      </c>
      <c r="E85" t="inlineStr">
        <is>
          <t>Productividad y competitividad de las empresas colombianas</t>
        </is>
      </c>
      <c r="F85" t="inlineStr">
        <is>
          <t>3502049</t>
        </is>
      </c>
      <c r="G85" t="inlineStr">
        <is>
          <t>Servicio de circuito turístico</t>
        </is>
      </c>
      <c r="H85" t="inlineStr">
        <is>
          <t>350204900</t>
        </is>
      </c>
      <c r="I85" t="inlineStr">
        <is>
          <t>Recorridos realizados</t>
        </is>
      </c>
      <c r="J85" t="inlineStr">
        <is>
          <t>2024252140067</t>
        </is>
      </c>
      <c r="K85" t="inlineStr">
        <is>
          <t>Si</t>
        </is>
      </c>
      <c r="L85" t="inlineStr">
        <is>
          <t>Número</t>
        </is>
      </c>
      <c r="M85">
        <v>30</v>
      </c>
      <c r="N85">
        <v>4</v>
      </c>
      <c r="O85">
        <v>10</v>
      </c>
      <c r="P85">
        <v>10</v>
      </c>
      <c r="Q85">
        <v>6</v>
      </c>
      <c r="R85" t="inlineStr">
        <is>
          <t xml:space="preserve"> </t>
        </is>
      </c>
      <c r="S85" s="103" t="inlineStr">
        <is>
          <t xml:space="preserve"> </t>
        </is>
      </c>
      <c r="T85" t="inlineStr">
        <is>
          <t>No se encontró ejecución en PIIP</t>
        </is>
      </c>
      <c r="U85" t="inlineStr">
        <is>
          <t xml:space="preserve"> </t>
        </is>
      </c>
      <c r="V85" s="104" t="inlineStr">
        <is>
          <t xml:space="preserve"> </t>
        </is>
      </c>
      <c r="W85" t="inlineStr">
        <is>
          <t>No se encontró ejecución en PIIP</t>
        </is>
      </c>
    </row>
    <row r="86">
      <c r="A86" t="inlineStr">
        <is>
          <t>IP-101, IP-97</t>
        </is>
      </c>
      <c r="B86" t="inlineStr">
        <is>
          <t>35</t>
        </is>
      </c>
      <c r="C86" t="inlineStr">
        <is>
          <t>Comercio, industria y turismo</t>
        </is>
      </c>
      <c r="D86" t="inlineStr">
        <is>
          <t>3502</t>
        </is>
      </c>
      <c r="E86" t="inlineStr">
        <is>
          <t>Productividad y competitividad de las empresas colombianas</t>
        </is>
      </c>
      <c r="F86" t="inlineStr">
        <is>
          <t>3502046</t>
        </is>
      </c>
      <c r="G86" t="inlineStr">
        <is>
          <t>Servicio de promoción turística</t>
        </is>
      </c>
      <c r="H86" t="inlineStr">
        <is>
          <t>350204601</t>
        </is>
      </c>
      <c r="I86" t="inlineStr">
        <is>
          <t>Capacitaciones realizadas</t>
        </is>
      </c>
      <c r="J86" t="inlineStr">
        <is>
          <t>2024252140067</t>
        </is>
      </c>
      <c r="K86" t="inlineStr">
        <is>
          <t>Si</t>
        </is>
      </c>
      <c r="L86" t="inlineStr">
        <is>
          <t>Número</t>
        </is>
      </c>
      <c r="M86">
        <v>60</v>
      </c>
      <c r="N86">
        <v>15</v>
      </c>
      <c r="O86">
        <v>35</v>
      </c>
      <c r="P86">
        <v>35</v>
      </c>
      <c r="Q86">
        <v>25</v>
      </c>
      <c r="R86" t="inlineStr">
        <is>
          <t xml:space="preserve"> </t>
        </is>
      </c>
      <c r="S86" s="103" t="inlineStr">
        <is>
          <t xml:space="preserve"> </t>
        </is>
      </c>
      <c r="T86" t="inlineStr">
        <is>
          <t>No se encontró ejecución en PIIP</t>
        </is>
      </c>
      <c r="U86" t="inlineStr">
        <is>
          <t xml:space="preserve"> </t>
        </is>
      </c>
      <c r="V86" s="104" t="inlineStr">
        <is>
          <t xml:space="preserve"> </t>
        </is>
      </c>
      <c r="W86" t="inlineStr">
        <is>
          <t>No se encontró ejecución en PIIP</t>
        </is>
      </c>
    </row>
    <row r="87">
      <c r="A87" t="inlineStr">
        <is>
          <t>IP-102</t>
        </is>
      </c>
      <c r="B87" t="inlineStr">
        <is>
          <t>35</t>
        </is>
      </c>
      <c r="C87" t="inlineStr">
        <is>
          <t>Comercio, industria y turismo</t>
        </is>
      </c>
      <c r="D87" t="inlineStr">
        <is>
          <t>3502</t>
        </is>
      </c>
      <c r="E87" t="inlineStr">
        <is>
          <t>Productividad y competitividad de las empresas colombianas</t>
        </is>
      </c>
      <c r="F87" t="inlineStr">
        <is>
          <t>3502114</t>
        </is>
      </c>
      <c r="G87" t="inlineStr">
        <is>
          <t>Equipamientos turísticos dotados</t>
        </is>
      </c>
      <c r="H87" t="inlineStr">
        <is>
          <t>350211400</t>
        </is>
      </c>
      <c r="I87" t="inlineStr">
        <is>
          <t xml:space="preserve"> Equipamientos dotados</t>
        </is>
      </c>
      <c r="J87" t="inlineStr">
        <is>
          <t>2024252140067</t>
        </is>
      </c>
      <c r="K87" t="inlineStr">
        <is>
          <t>Si</t>
        </is>
      </c>
      <c r="L87" t="inlineStr">
        <is>
          <t>Número</t>
        </is>
      </c>
      <c r="M87">
        <v>1</v>
      </c>
      <c r="N87">
        <v>0</v>
      </c>
      <c r="O87">
        <v>0.4</v>
      </c>
      <c r="P87">
        <v>0.4</v>
      </c>
      <c r="Q87">
        <v>0.2</v>
      </c>
      <c r="R87" t="inlineStr">
        <is>
          <t xml:space="preserve"> </t>
        </is>
      </c>
      <c r="S87" s="103" t="inlineStr">
        <is>
          <t xml:space="preserve"> </t>
        </is>
      </c>
      <c r="T87" t="inlineStr">
        <is>
          <t>No se encontró ejecución en PIIP</t>
        </is>
      </c>
      <c r="U87" t="inlineStr">
        <is>
          <t xml:space="preserve"> </t>
        </is>
      </c>
      <c r="V87" s="104" t="inlineStr">
        <is>
          <t xml:space="preserve"> </t>
        </is>
      </c>
      <c r="W87" t="inlineStr">
        <is>
          <t>No se encontró ejecución en PIIP</t>
        </is>
      </c>
    </row>
    <row r="88">
      <c r="A88" t="inlineStr">
        <is>
          <t>IP-103</t>
        </is>
      </c>
      <c r="B88" t="inlineStr">
        <is>
          <t>35</t>
        </is>
      </c>
      <c r="C88" t="inlineStr">
        <is>
          <t>Comercio, industria y turismo</t>
        </is>
      </c>
      <c r="D88" t="inlineStr">
        <is>
          <t>3502</t>
        </is>
      </c>
      <c r="E88" t="inlineStr">
        <is>
          <t>Productividad y competitividad de las empresas colombianas</t>
        </is>
      </c>
      <c r="F88" t="inlineStr">
        <is>
          <t>3502094</t>
        </is>
      </c>
      <c r="G88" t="inlineStr">
        <is>
          <t>Documentos de investigación sobre turismo</t>
        </is>
      </c>
      <c r="H88" t="inlineStr">
        <is>
          <t>350209400</t>
        </is>
      </c>
      <c r="I88" t="inlineStr">
        <is>
          <t>Documentos sobre medición y análisis de información turística realizados</t>
        </is>
      </c>
      <c r="J88" t="inlineStr">
        <is>
          <t>2024252140067</t>
        </is>
      </c>
      <c r="K88" t="inlineStr">
        <is>
          <t>Si</t>
        </is>
      </c>
      <c r="L88" t="inlineStr">
        <is>
          <t>Número</t>
        </is>
      </c>
      <c r="M88">
        <v>1</v>
      </c>
      <c r="N88">
        <v>0</v>
      </c>
      <c r="O88">
        <v>0.5</v>
      </c>
      <c r="P88">
        <v>0.3</v>
      </c>
      <c r="Q88">
        <v>0.2</v>
      </c>
      <c r="R88" t="inlineStr">
        <is>
          <t xml:space="preserve"> </t>
        </is>
      </c>
      <c r="S88" s="103" t="inlineStr">
        <is>
          <t xml:space="preserve"> </t>
        </is>
      </c>
      <c r="T88" t="inlineStr">
        <is>
          <t>No se encontró ejecución en PIIP</t>
        </is>
      </c>
      <c r="U88" t="inlineStr">
        <is>
          <t xml:space="preserve"> </t>
        </is>
      </c>
      <c r="V88" s="104" t="inlineStr">
        <is>
          <t xml:space="preserve"> </t>
        </is>
      </c>
      <c r="W88" t="inlineStr">
        <is>
          <t>No se encontró ejecución en PIIP</t>
        </is>
      </c>
    </row>
    <row r="89">
      <c r="A89" t="inlineStr">
        <is>
          <t>IP-104</t>
        </is>
      </c>
      <c r="B89" t="inlineStr">
        <is>
          <t>17</t>
        </is>
      </c>
      <c r="C89" t="inlineStr">
        <is>
          <t xml:space="preserve">Agricultura y desarrollo rural
</t>
        </is>
      </c>
      <c r="D89" t="inlineStr">
        <is>
          <t>1702</t>
        </is>
      </c>
      <c r="E89" t="inlineStr">
        <is>
          <t>Inclusión productiva de pequeños productores rurales</t>
        </is>
      </c>
      <c r="F89" t="inlineStr">
        <is>
          <t>1702017</t>
        </is>
      </c>
      <c r="G89" t="inlineStr">
        <is>
          <t>Servicio de apoyo para el fomento organizativo de la Agricultura Campesina, Familiar y Comunitaria</t>
        </is>
      </c>
      <c r="H89" t="inlineStr">
        <is>
          <t>170201701</t>
        </is>
      </c>
      <c r="I89" t="inlineStr">
        <is>
          <t>Estrategias implementadas</t>
        </is>
      </c>
      <c r="J89" t="inlineStr">
        <is>
          <t>2024252140073</t>
        </is>
      </c>
      <c r="K89" t="inlineStr">
        <is>
          <t>Si</t>
        </is>
      </c>
      <c r="L89" t="inlineStr">
        <is>
          <t>Número</t>
        </is>
      </c>
      <c r="M89">
        <v>100</v>
      </c>
      <c r="N89">
        <v>0.25</v>
      </c>
      <c r="O89">
        <v>0.25</v>
      </c>
      <c r="P89">
        <v>0.25</v>
      </c>
      <c r="Q89">
        <v>0.25</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IP-105</t>
        </is>
      </c>
      <c r="B90" t="inlineStr">
        <is>
          <t>17</t>
        </is>
      </c>
      <c r="C90" t="inlineStr">
        <is>
          <t xml:space="preserve">Agricultura y desarrollo rural
</t>
        </is>
      </c>
      <c r="D90" t="inlineStr">
        <is>
          <t>1702</t>
        </is>
      </c>
      <c r="E90" t="inlineStr">
        <is>
          <t>Inclusión productiva de pequeños productores rurales</t>
        </is>
      </c>
      <c r="F90" t="inlineStr">
        <is>
          <t>1702017</t>
        </is>
      </c>
      <c r="G90" t="inlineStr">
        <is>
          <t>Servicio de apoyo para el fomento organizativo de la Agricultura Campesina, Familiar y Comunitaria</t>
        </is>
      </c>
      <c r="H90" t="inlineStr">
        <is>
          <t>170201700</t>
        </is>
      </c>
      <c r="I90" t="inlineStr">
        <is>
          <t>Productores agropecuarios apoyados</t>
        </is>
      </c>
      <c r="J90" t="inlineStr">
        <is>
          <t>2024252140073</t>
        </is>
      </c>
      <c r="K90" t="inlineStr">
        <is>
          <t>Si</t>
        </is>
      </c>
      <c r="L90" t="inlineStr">
        <is>
          <t>Número</t>
        </is>
      </c>
      <c r="M90">
        <v>2</v>
      </c>
      <c r="N90">
        <v>0</v>
      </c>
      <c r="O90">
        <v>1</v>
      </c>
      <c r="P90">
        <v>1</v>
      </c>
      <c r="Q90">
        <v>0</v>
      </c>
      <c r="R90">
        <v>0</v>
      </c>
      <c r="S90" s="103" t="inlineStr">
        <is>
          <t xml:space="preserve"> </t>
        </is>
      </c>
      <c r="T90" t="inlineStr">
        <is>
          <t>No se programó ni ejecutó en la vigencia</t>
        </is>
      </c>
      <c r="U90" t="inlineStr">
        <is>
          <t xml:space="preserve"> </t>
        </is>
      </c>
      <c r="V90" s="104" t="inlineStr">
        <is>
          <t xml:space="preserve"> </t>
        </is>
      </c>
      <c r="W90" t="inlineStr">
        <is>
          <t>No se encontró ejecución en PIIP</t>
        </is>
      </c>
    </row>
    <row r="91">
      <c r="A91" t="inlineStr">
        <is>
          <t>IP-106</t>
        </is>
      </c>
      <c r="B91" t="inlineStr">
        <is>
          <t>17</t>
        </is>
      </c>
      <c r="C91" t="inlineStr">
        <is>
          <t xml:space="preserve">Agricultura y desarrollo rural
</t>
        </is>
      </c>
      <c r="D91" t="inlineStr">
        <is>
          <t>1702</t>
        </is>
      </c>
      <c r="E91" t="inlineStr">
        <is>
          <t>Inclusión productiva de pequeños productores rurales</t>
        </is>
      </c>
      <c r="F91" t="inlineStr">
        <is>
          <t>1702012</t>
        </is>
      </c>
      <c r="G91" t="inlineStr">
        <is>
          <t>Servicio de educación informal en temas administrativos y de gestión financiera a pequeños productores</t>
        </is>
      </c>
      <c r="H91" t="inlineStr">
        <is>
          <t>170201200</t>
        </is>
      </c>
      <c r="I91" t="inlineStr">
        <is>
          <t xml:space="preserve">Formas organizativas capacitadas </t>
        </is>
      </c>
      <c r="J91" t="inlineStr">
        <is>
          <t>2024252140073</t>
        </is>
      </c>
      <c r="K91" t="inlineStr">
        <is>
          <t>Si</t>
        </is>
      </c>
      <c r="L91" t="inlineStr">
        <is>
          <t>Número</t>
        </is>
      </c>
      <c r="M91">
        <v>1</v>
      </c>
      <c r="N91">
        <v>0</v>
      </c>
      <c r="O91">
        <v>0.4</v>
      </c>
      <c r="P91">
        <v>0.4</v>
      </c>
      <c r="Q91">
        <v>0.2</v>
      </c>
      <c r="R91" t="inlineStr">
        <is>
          <t xml:space="preserve"> </t>
        </is>
      </c>
      <c r="S91" s="103" t="inlineStr">
        <is>
          <t xml:space="preserve"> </t>
        </is>
      </c>
      <c r="T91" t="inlineStr">
        <is>
          <t>No se encontró ejecución en PIIP</t>
        </is>
      </c>
      <c r="U91" t="inlineStr">
        <is>
          <t xml:space="preserve"> </t>
        </is>
      </c>
      <c r="V91" s="104" t="inlineStr">
        <is>
          <t xml:space="preserve"> </t>
        </is>
      </c>
      <c r="W91" t="inlineStr">
        <is>
          <t>No se encontró ejecución en PIIP</t>
        </is>
      </c>
    </row>
    <row r="92">
      <c r="A92" t="inlineStr">
        <is>
          <t>IP-107</t>
        </is>
      </c>
      <c r="B92" t="inlineStr">
        <is>
          <t>17</t>
        </is>
      </c>
      <c r="C92" t="inlineStr">
        <is>
          <t xml:space="preserve">Agricultura y desarrollo rural
</t>
        </is>
      </c>
      <c r="D92" t="inlineStr">
        <is>
          <t>1702</t>
        </is>
      </c>
      <c r="E92" t="inlineStr">
        <is>
          <t>Inclusión productiva de pequeños productores rurales</t>
        </is>
      </c>
      <c r="F92" t="inlineStr">
        <is>
          <t>1702014</t>
        </is>
      </c>
      <c r="G92" t="inlineStr">
        <is>
          <t>Servicio de apoyo para el acceso a maquinaria y equipos</t>
        </is>
      </c>
      <c r="H92" t="inlineStr">
        <is>
          <t>170201400</t>
        </is>
      </c>
      <c r="I92" t="inlineStr">
        <is>
          <t>Productores beneficiados con acceso a maquinaria y equipo</t>
        </is>
      </c>
      <c r="J92" t="inlineStr">
        <is>
          <t>2024252140073</t>
        </is>
      </c>
      <c r="K92" t="inlineStr">
        <is>
          <t>Si</t>
        </is>
      </c>
      <c r="L92" t="inlineStr">
        <is>
          <t>Número</t>
        </is>
      </c>
      <c r="M92">
        <v>100</v>
      </c>
      <c r="N92">
        <v>0.25</v>
      </c>
      <c r="O92">
        <v>0.25</v>
      </c>
      <c r="P92">
        <v>0.25</v>
      </c>
      <c r="Q92">
        <v>0.25</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IP-108</t>
        </is>
      </c>
      <c r="B93" t="inlineStr">
        <is>
          <t>17</t>
        </is>
      </c>
      <c r="C93" t="inlineStr">
        <is>
          <t xml:space="preserve">Agricultura y desarrollo rural
</t>
        </is>
      </c>
      <c r="D93" t="inlineStr">
        <is>
          <t>1702</t>
        </is>
      </c>
      <c r="E93" t="inlineStr">
        <is>
          <t>Inclusión productiva de pequeños productores rurales</t>
        </is>
      </c>
      <c r="F93" t="inlineStr">
        <is>
          <t>1702038</t>
        </is>
      </c>
      <c r="G93" t="inlineStr">
        <is>
          <t>Servicio de apoyo a la comercialización</t>
        </is>
      </c>
      <c r="H93" t="inlineStr">
        <is>
          <t>170203808</t>
        </is>
      </c>
      <c r="I93" t="inlineStr">
        <is>
          <t>Eventos comerciales apoyados</t>
        </is>
      </c>
      <c r="J93" t="inlineStr">
        <is>
          <t>2024252140073</t>
        </is>
      </c>
      <c r="K93" t="inlineStr">
        <is>
          <t>Si</t>
        </is>
      </c>
      <c r="L93" t="inlineStr">
        <is>
          <t>Número</t>
        </is>
      </c>
      <c r="M93">
        <v>4</v>
      </c>
      <c r="N93">
        <v>0.25</v>
      </c>
      <c r="O93">
        <v>1.25</v>
      </c>
      <c r="P93">
        <v>1.5</v>
      </c>
      <c r="Q93">
        <v>1</v>
      </c>
      <c r="R93" t="inlineStr">
        <is>
          <t xml:space="preserve"> </t>
        </is>
      </c>
      <c r="S93" s="103" t="inlineStr">
        <is>
          <t xml:space="preserve"> </t>
        </is>
      </c>
      <c r="T93" t="inlineStr">
        <is>
          <t>No se encontró ejecución en PIIP</t>
        </is>
      </c>
      <c r="U93" t="inlineStr">
        <is>
          <t xml:space="preserve"> </t>
        </is>
      </c>
      <c r="V93" s="104" t="inlineStr">
        <is>
          <t xml:space="preserve"> </t>
        </is>
      </c>
      <c r="W93" t="inlineStr">
        <is>
          <t>No se encontró ejecución en PIIP</t>
        </is>
      </c>
    </row>
    <row r="94">
      <c r="A94" t="inlineStr">
        <is>
          <t>IP-109</t>
        </is>
      </c>
      <c r="B94" t="inlineStr">
        <is>
          <t>17</t>
        </is>
      </c>
      <c r="C94" t="inlineStr">
        <is>
          <t xml:space="preserve">Agricultura y desarrollo rural
</t>
        </is>
      </c>
      <c r="D94" t="inlineStr">
        <is>
          <t>1703</t>
        </is>
      </c>
      <c r="E94" t="inlineStr">
        <is>
          <t>Servicios financieros y gestión del riesgo para las actividades agropecuarias y rurales</t>
        </is>
      </c>
      <c r="F94" t="inlineStr">
        <is>
          <t>1703001</t>
        </is>
      </c>
      <c r="G94" t="inlineStr">
        <is>
          <t>Documentos de lineamientos técnicos</t>
        </is>
      </c>
      <c r="H94" t="inlineStr">
        <is>
          <t>170300104</t>
        </is>
      </c>
      <c r="I94" t="inlineStr">
        <is>
          <t>Documentos técnicos de instrumentos financieros de transferencia de riesgos agropecuarios elaborados</t>
        </is>
      </c>
      <c r="J94" t="inlineStr">
        <is>
          <t/>
        </is>
      </c>
      <c r="K94" t="inlineStr">
        <is>
          <t>Si</t>
        </is>
      </c>
      <c r="L94" t="inlineStr">
        <is>
          <t>Número</t>
        </is>
      </c>
      <c r="M94">
        <v>1</v>
      </c>
      <c r="N94">
        <v>0</v>
      </c>
      <c r="O94">
        <v>0.4</v>
      </c>
      <c r="P94">
        <v>0.4</v>
      </c>
      <c r="Q94">
        <v>0.2</v>
      </c>
      <c r="R94" t="inlineStr">
        <is>
          <t xml:space="preserve"> </t>
        </is>
      </c>
      <c r="S94" s="103" t="inlineStr">
        <is>
          <t xml:space="preserve"> </t>
        </is>
      </c>
      <c r="T94" t="inlineStr">
        <is>
          <t>Por falta de código BPIN, no se encontró ejecución en PIIP</t>
        </is>
      </c>
      <c r="U94" t="inlineStr">
        <is>
          <t xml:space="preserve"> </t>
        </is>
      </c>
      <c r="V94" s="104" t="inlineStr">
        <is>
          <t xml:space="preserve"> </t>
        </is>
      </c>
      <c r="W94" t="inlineStr">
        <is>
          <t>Por falta de código BPIN, no se encontró ejecución en PIIP</t>
        </is>
      </c>
    </row>
    <row r="95">
      <c r="A95" t="inlineStr">
        <is>
          <t>IP-110</t>
        </is>
      </c>
      <c r="B95" t="inlineStr">
        <is>
          <t>17</t>
        </is>
      </c>
      <c r="C95" t="inlineStr">
        <is>
          <t xml:space="preserve">Agricultura y desarrollo rural
</t>
        </is>
      </c>
      <c r="D95" t="inlineStr">
        <is>
          <t>1704</t>
        </is>
      </c>
      <c r="E95" t="inlineStr">
        <is>
          <t>Ordenamiento social y uso productivo del territorio rural</t>
        </is>
      </c>
      <c r="F95" t="inlineStr">
        <is>
          <t>1704024</t>
        </is>
      </c>
      <c r="G95" t="inlineStr">
        <is>
          <t>Servicio de gestión de información para la planificación agropecuaria</t>
        </is>
      </c>
      <c r="H95" t="inlineStr">
        <is>
          <t>170402400</t>
        </is>
      </c>
      <c r="I95" t="inlineStr">
        <is>
          <t>Bases de datos producidos</t>
        </is>
      </c>
      <c r="J95" t="inlineStr">
        <is>
          <t/>
        </is>
      </c>
      <c r="K95" t="inlineStr">
        <is>
          <t>Si</t>
        </is>
      </c>
      <c r="L95" t="inlineStr">
        <is>
          <t>Número</t>
        </is>
      </c>
      <c r="M95">
        <v>1</v>
      </c>
      <c r="N95">
        <v>0</v>
      </c>
      <c r="O95">
        <v>0.4</v>
      </c>
      <c r="P95">
        <v>0.4</v>
      </c>
      <c r="Q95">
        <v>0.2</v>
      </c>
      <c r="R95" t="inlineStr">
        <is>
          <t xml:space="preserve"> </t>
        </is>
      </c>
      <c r="S95" s="103" t="inlineStr">
        <is>
          <t xml:space="preserve"> </t>
        </is>
      </c>
      <c r="T95" t="inlineStr">
        <is>
          <t>Por falta de código BPIN, no se encontró ejecución en PIIP</t>
        </is>
      </c>
      <c r="U95" t="inlineStr">
        <is>
          <t xml:space="preserve"> </t>
        </is>
      </c>
      <c r="V95" s="104" t="inlineStr">
        <is>
          <t xml:space="preserve"> </t>
        </is>
      </c>
      <c r="W95" t="inlineStr">
        <is>
          <t>Por falta de código BPIN, no se encontró ejecución en PIIP</t>
        </is>
      </c>
    </row>
    <row r="96">
      <c r="A96" t="inlineStr">
        <is>
          <t>IP-111</t>
        </is>
      </c>
      <c r="B96" t="inlineStr">
        <is>
          <t>17</t>
        </is>
      </c>
      <c r="C96" t="inlineStr">
        <is>
          <t xml:space="preserve">Agricultura y desarrollo rural
</t>
        </is>
      </c>
      <c r="D96" t="inlineStr">
        <is>
          <t>1707</t>
        </is>
      </c>
      <c r="E96" t="inlineStr">
        <is>
          <t>Sanidad agropecuaria e inocuidad agroalimentaria</t>
        </is>
      </c>
      <c r="F96" t="inlineStr">
        <is>
          <t>1707043</t>
        </is>
      </c>
      <c r="G96" t="inlineStr">
        <is>
          <t>Servicios de control de parásitos para especies de interés agropecuario</t>
        </is>
      </c>
      <c r="H96" t="inlineStr">
        <is>
          <t>170704300</t>
        </is>
      </c>
      <c r="I96" t="inlineStr">
        <is>
          <t>Animales atendidos</t>
        </is>
      </c>
      <c r="J96" t="inlineStr">
        <is>
          <t>2024252140071</t>
        </is>
      </c>
      <c r="K96" t="inlineStr">
        <is>
          <t>No</t>
        </is>
      </c>
      <c r="L96" t="inlineStr">
        <is>
          <t>Número</t>
        </is>
      </c>
      <c r="M96">
        <v>1450</v>
      </c>
      <c r="N96">
        <v>1450</v>
      </c>
      <c r="O96">
        <v>1450</v>
      </c>
      <c r="P96">
        <v>1450</v>
      </c>
      <c r="Q96">
        <v>1450</v>
      </c>
      <c r="R96" t="inlineStr">
        <is>
          <t xml:space="preserve"> </t>
        </is>
      </c>
      <c r="S96" s="103" t="inlineStr">
        <is>
          <t xml:space="preserve"> </t>
        </is>
      </c>
      <c r="T96" t="inlineStr">
        <is>
          <t>No se encontró ejecución en PIIP</t>
        </is>
      </c>
      <c r="U96" t="inlineStr">
        <is>
          <t xml:space="preserve"> </t>
        </is>
      </c>
      <c r="V96" s="104" t="inlineStr">
        <is>
          <t xml:space="preserve"> </t>
        </is>
      </c>
      <c r="W96" t="inlineStr">
        <is>
          <t>No se encontró ejecución en PIIP</t>
        </is>
      </c>
    </row>
    <row r="97">
      <c r="A97" t="inlineStr">
        <is>
          <t>IP-112</t>
        </is>
      </c>
      <c r="B97" t="inlineStr">
        <is>
          <t>17</t>
        </is>
      </c>
      <c r="C97" t="inlineStr">
        <is>
          <t xml:space="preserve">Agricultura y desarrollo rural
</t>
        </is>
      </c>
      <c r="D97" t="inlineStr">
        <is>
          <t>1708</t>
        </is>
      </c>
      <c r="E97" t="inlineStr">
        <is>
          <t>Ciencia, tecnología e innovación agropecuaria</t>
        </is>
      </c>
      <c r="F97" t="inlineStr">
        <is>
          <t>1708041</t>
        </is>
      </c>
      <c r="G97" t="inlineStr">
        <is>
          <t>Servicio de extensión agropecuaria</t>
        </is>
      </c>
      <c r="H97" t="inlineStr">
        <is>
          <t>170804101</t>
        </is>
      </c>
      <c r="I97" t="inlineStr">
        <is>
          <t>Municipios beneficiados con el servicio de extensión agropecuaria</t>
        </is>
      </c>
      <c r="J97" t="inlineStr">
        <is>
          <t>2024252140069</t>
        </is>
      </c>
      <c r="K97" t="inlineStr">
        <is>
          <t>Si</t>
        </is>
      </c>
      <c r="L97" t="inlineStr">
        <is>
          <t>Número</t>
        </is>
      </c>
      <c r="M97">
        <v>1</v>
      </c>
      <c r="N97">
        <v>0.25</v>
      </c>
      <c r="O97">
        <v>0.25</v>
      </c>
      <c r="P97">
        <v>0.25</v>
      </c>
      <c r="Q97">
        <v>0.25</v>
      </c>
      <c r="R97" t="inlineStr">
        <is>
          <t xml:space="preserve"> </t>
        </is>
      </c>
      <c r="S97" s="103" t="inlineStr">
        <is>
          <t xml:space="preserve"> </t>
        </is>
      </c>
      <c r="T97" t="inlineStr">
        <is>
          <t>No se encontró ejecución en PIIP</t>
        </is>
      </c>
      <c r="U97" t="inlineStr">
        <is>
          <t xml:space="preserve"> </t>
        </is>
      </c>
      <c r="V97" s="104" t="inlineStr">
        <is>
          <t xml:space="preserve"> </t>
        </is>
      </c>
      <c r="W97" t="inlineStr">
        <is>
          <t>No se encontró ejecución en PIIP</t>
        </is>
      </c>
    </row>
    <row r="98">
      <c r="A98" t="inlineStr">
        <is>
          <t>IP-113</t>
        </is>
      </c>
      <c r="B98" t="inlineStr">
        <is>
          <t>17</t>
        </is>
      </c>
      <c r="C98" t="inlineStr">
        <is>
          <t xml:space="preserve">Agricultura y desarrollo rural
</t>
        </is>
      </c>
      <c r="D98" t="inlineStr">
        <is>
          <t>1708</t>
        </is>
      </c>
      <c r="E98" t="inlineStr">
        <is>
          <t>Ciencia, tecnología e innovación agropecuaria</t>
        </is>
      </c>
      <c r="F98" t="inlineStr">
        <is>
          <t>1708040</t>
        </is>
      </c>
      <c r="G98" t="inlineStr">
        <is>
          <t>Servicio de divulgación de transferencia de tecnología</t>
        </is>
      </c>
      <c r="H98" t="inlineStr">
        <is>
          <t>170804000</t>
        </is>
      </c>
      <c r="I98" t="inlineStr">
        <is>
          <t>Productores beneficiados con transferencia de tecnología</t>
        </is>
      </c>
      <c r="J98" t="inlineStr">
        <is>
          <t>2024252140069</t>
        </is>
      </c>
      <c r="K98" t="inlineStr">
        <is>
          <t>Si</t>
        </is>
      </c>
      <c r="L98" t="inlineStr">
        <is>
          <t>Número</t>
        </is>
      </c>
      <c r="M98">
        <v>1</v>
      </c>
      <c r="N98">
        <v>0.05</v>
      </c>
      <c r="O98">
        <v>0.3</v>
      </c>
      <c r="P98">
        <v>0.35</v>
      </c>
      <c r="Q98">
        <v>0.3</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IP-114</t>
        </is>
      </c>
      <c r="B99" t="inlineStr">
        <is>
          <t>17</t>
        </is>
      </c>
      <c r="C99" t="inlineStr">
        <is>
          <t xml:space="preserve">Agricultura y desarrollo rural
</t>
        </is>
      </c>
      <c r="D99" t="inlineStr">
        <is>
          <t>1708</t>
        </is>
      </c>
      <c r="E99" t="inlineStr">
        <is>
          <t>Ciencia, tecnología e innovación agropecuaria</t>
        </is>
      </c>
      <c r="F99" t="inlineStr">
        <is>
          <t>1708041</t>
        </is>
      </c>
      <c r="G99" t="inlineStr">
        <is>
          <t>Servicio de extensión agropecuaria</t>
        </is>
      </c>
      <c r="H99" t="inlineStr">
        <is>
          <t>170804100</t>
        </is>
      </c>
      <c r="I99" t="inlineStr">
        <is>
          <t>Productores atendidos con servicio de extensión agropecuaria</t>
        </is>
      </c>
      <c r="J99" t="inlineStr">
        <is>
          <t>2024252140069</t>
        </is>
      </c>
      <c r="K99" t="inlineStr">
        <is>
          <t>No</t>
        </is>
      </c>
      <c r="L99" t="inlineStr">
        <is>
          <t>Número</t>
        </is>
      </c>
      <c r="M99">
        <v>100</v>
      </c>
      <c r="N99">
        <v>100</v>
      </c>
      <c r="O99">
        <v>100</v>
      </c>
      <c r="P99">
        <v>100</v>
      </c>
      <c r="Q99">
        <v>100</v>
      </c>
      <c r="R99" t="inlineStr">
        <is>
          <t xml:space="preserve"> </t>
        </is>
      </c>
      <c r="S99" s="103" t="inlineStr">
        <is>
          <t xml:space="preserve"> </t>
        </is>
      </c>
      <c r="T99" t="inlineStr">
        <is>
          <t>No se encontró ejecución en PIIP</t>
        </is>
      </c>
      <c r="U99" t="inlineStr">
        <is>
          <t xml:space="preserve"> </t>
        </is>
      </c>
      <c r="V99" s="104" t="inlineStr">
        <is>
          <t xml:space="preserve"> </t>
        </is>
      </c>
      <c r="W99" t="inlineStr">
        <is>
          <t>No se encontró ejecución en PIIP</t>
        </is>
      </c>
    </row>
    <row r="100">
      <c r="A100" t="inlineStr">
        <is>
          <t>IP-115</t>
        </is>
      </c>
      <c r="B100" t="inlineStr">
        <is>
          <t>17</t>
        </is>
      </c>
      <c r="C100" t="inlineStr">
        <is>
          <t xml:space="preserve">Agricultura y desarrollo rural
</t>
        </is>
      </c>
      <c r="D100" t="inlineStr">
        <is>
          <t>1708</t>
        </is>
      </c>
      <c r="E100" t="inlineStr">
        <is>
          <t>Ciencia, tecnología e innovación agropecuaria</t>
        </is>
      </c>
      <c r="F100" t="inlineStr">
        <is>
          <t>1708039</t>
        </is>
      </c>
      <c r="G100" t="inlineStr">
        <is>
          <t>Servicio de conservación y mantenimiento de especies animales, vegetales y microbiales en bancos de germoplasma</t>
        </is>
      </c>
      <c r="H100" t="inlineStr">
        <is>
          <t>170803900</t>
        </is>
      </c>
      <c r="I100" t="inlineStr">
        <is>
          <t xml:space="preserve">Recursos genéticos Conservados y mantenidos en los bancos </t>
        </is>
      </c>
      <c r="J100" t="inlineStr">
        <is>
          <t>2024252140069</t>
        </is>
      </c>
      <c r="K100" t="inlineStr">
        <is>
          <t>Si</t>
        </is>
      </c>
      <c r="L100" t="inlineStr">
        <is>
          <t>Número</t>
        </is>
      </c>
      <c r="M100">
        <v>2</v>
      </c>
      <c r="N100">
        <v>0.5</v>
      </c>
      <c r="O100">
        <v>0.5</v>
      </c>
      <c r="P100">
        <v>0.5</v>
      </c>
      <c r="Q100">
        <v>0.5</v>
      </c>
      <c r="R100" t="inlineStr">
        <is>
          <t xml:space="preserve"> </t>
        </is>
      </c>
      <c r="S100" s="103" t="inlineStr">
        <is>
          <t xml:space="preserve"> </t>
        </is>
      </c>
      <c r="T100" t="inlineStr">
        <is>
          <t>No se encontró ejecución en PIIP</t>
        </is>
      </c>
      <c r="U100" t="inlineStr">
        <is>
          <t xml:space="preserve"> </t>
        </is>
      </c>
      <c r="V100" s="104" t="inlineStr">
        <is>
          <t xml:space="preserve"> </t>
        </is>
      </c>
      <c r="W100" t="inlineStr">
        <is>
          <t>No se encontró ejecución en PIIP</t>
        </is>
      </c>
    </row>
    <row r="101">
      <c r="A101" t="inlineStr">
        <is>
          <t>IP-116</t>
        </is>
      </c>
      <c r="B101" t="inlineStr">
        <is>
          <t>17</t>
        </is>
      </c>
      <c r="C101" t="inlineStr">
        <is>
          <t xml:space="preserve">Agricultura y desarrollo rural
</t>
        </is>
      </c>
      <c r="D101" t="inlineStr">
        <is>
          <t>1708</t>
        </is>
      </c>
      <c r="E101" t="inlineStr">
        <is>
          <t>Ciencia, tecnología e innovación agropecuaria</t>
        </is>
      </c>
      <c r="F101" t="inlineStr">
        <is>
          <t>1708056</t>
        </is>
      </c>
      <c r="G101" t="inlineStr">
        <is>
          <t>Servicio de implementación de rutas agroecológicas</t>
        </is>
      </c>
      <c r="H101" t="inlineStr">
        <is>
          <t>170805600</t>
        </is>
      </c>
      <c r="I101" t="inlineStr">
        <is>
          <t>Rutas agroecológicas implementadas</t>
        </is>
      </c>
      <c r="J101" t="inlineStr">
        <is>
          <t>2024252140069</t>
        </is>
      </c>
      <c r="K101" t="inlineStr">
        <is>
          <t>Si</t>
        </is>
      </c>
      <c r="L101" t="inlineStr">
        <is>
          <t>Número</t>
        </is>
      </c>
      <c r="M101">
        <v>1</v>
      </c>
      <c r="N101">
        <v>0</v>
      </c>
      <c r="O101">
        <v>0.4</v>
      </c>
      <c r="P101">
        <v>0.4</v>
      </c>
      <c r="Q101">
        <v>0.2</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IP-117</t>
        </is>
      </c>
      <c r="B102" t="inlineStr">
        <is>
          <t>17</t>
        </is>
      </c>
      <c r="C102" t="inlineStr">
        <is>
          <t xml:space="preserve">Agricultura y desarrollo rural
</t>
        </is>
      </c>
      <c r="D102" t="inlineStr">
        <is>
          <t>1709</t>
        </is>
      </c>
      <c r="E102" t="inlineStr">
        <is>
          <t>Infraestructura productiva y comercialización</t>
        </is>
      </c>
      <c r="F102" t="inlineStr">
        <is>
          <t>1709116</t>
        </is>
      </c>
      <c r="G102" t="inlineStr">
        <is>
          <t>Servicio de apoyo financiero para proyectos de adecuación de tierras</t>
        </is>
      </c>
      <c r="H102" t="inlineStr">
        <is>
          <t>170911602</t>
        </is>
      </c>
      <c r="I102" t="inlineStr">
        <is>
          <t>Proyectos de construcción financiados y cofinanciados</t>
        </is>
      </c>
      <c r="J102" t="inlineStr">
        <is>
          <t>2024252140113</t>
        </is>
      </c>
      <c r="K102" t="inlineStr">
        <is>
          <t>Si</t>
        </is>
      </c>
      <c r="L102" t="inlineStr">
        <is>
          <t>Número</t>
        </is>
      </c>
      <c r="M102">
        <v>3</v>
      </c>
      <c r="N102">
        <v>0</v>
      </c>
      <c r="O102">
        <v>1</v>
      </c>
      <c r="P102">
        <v>1</v>
      </c>
      <c r="Q102">
        <v>1</v>
      </c>
      <c r="R102" t="inlineStr">
        <is>
          <t xml:space="preserve"> </t>
        </is>
      </c>
      <c r="S102" s="103" t="inlineStr">
        <is>
          <t xml:space="preserve"> </t>
        </is>
      </c>
      <c r="T102" t="inlineStr">
        <is>
          <t>No se encontró ejecución en PIIP</t>
        </is>
      </c>
      <c r="U102" t="inlineStr">
        <is>
          <t xml:space="preserve"> </t>
        </is>
      </c>
      <c r="V102" s="104" t="inlineStr">
        <is>
          <t xml:space="preserve"> </t>
        </is>
      </c>
      <c r="W102" t="inlineStr">
        <is>
          <t>No se encontró ejecución en PIIP</t>
        </is>
      </c>
    </row>
    <row r="103">
      <c r="A103" t="inlineStr">
        <is>
          <t>IP-118</t>
        </is>
      </c>
      <c r="B103" t="inlineStr">
        <is>
          <t>17</t>
        </is>
      </c>
      <c r="C103" t="inlineStr">
        <is>
          <t xml:space="preserve">Agricultura y desarrollo rural
</t>
        </is>
      </c>
      <c r="D103" t="inlineStr">
        <is>
          <t>1709</t>
        </is>
      </c>
      <c r="E103" t="inlineStr">
        <is>
          <t>Infraestructura productiva y comercialización</t>
        </is>
      </c>
      <c r="F103" t="inlineStr">
        <is>
          <t>1709081</t>
        </is>
      </c>
      <c r="G103" t="inlineStr">
        <is>
          <t>Plaza de mercado construidas</t>
        </is>
      </c>
      <c r="H103" t="inlineStr">
        <is>
          <t>170908100</t>
        </is>
      </c>
      <c r="I103" t="inlineStr">
        <is>
          <t>Plazas de mercado construidas</t>
        </is>
      </c>
      <c r="J103" t="inlineStr">
        <is>
          <t>2024252140113</t>
        </is>
      </c>
      <c r="K103" t="inlineStr">
        <is>
          <t>Si</t>
        </is>
      </c>
      <c r="L103" t="inlineStr">
        <is>
          <t>Número</t>
        </is>
      </c>
      <c r="M103">
        <v>1</v>
      </c>
      <c r="N103">
        <v>0</v>
      </c>
      <c r="O103">
        <v>0</v>
      </c>
      <c r="P103">
        <v>0</v>
      </c>
      <c r="Q103">
        <v>1</v>
      </c>
      <c r="R103" t="inlineStr">
        <is>
          <t xml:space="preserve"> </t>
        </is>
      </c>
      <c r="S103" s="103" t="inlineStr">
        <is>
          <t xml:space="preserve"> </t>
        </is>
      </c>
      <c r="T103" t="inlineStr">
        <is>
          <t>No se encontró ejecución en PIIP</t>
        </is>
      </c>
      <c r="U103" t="inlineStr">
        <is>
          <t xml:space="preserve"> </t>
        </is>
      </c>
      <c r="V103" s="104" t="inlineStr">
        <is>
          <t xml:space="preserve"> </t>
        </is>
      </c>
      <c r="W103" t="inlineStr">
        <is>
          <t>No se encontró ejecución en PIIP</t>
        </is>
      </c>
    </row>
    <row r="104">
      <c r="A104" t="inlineStr">
        <is>
          <t>IP-119</t>
        </is>
      </c>
      <c r="B104" t="inlineStr">
        <is>
          <t>19</t>
        </is>
      </c>
      <c r="C104" t="inlineStr">
        <is>
          <t>Salud y protección social</t>
        </is>
      </c>
      <c r="D104" t="inlineStr">
        <is>
          <t>1903</t>
        </is>
      </c>
      <c r="E104" t="inlineStr">
        <is>
          <t>Inspección, vigilancia y control</t>
        </is>
      </c>
      <c r="F104" t="inlineStr">
        <is>
          <t>1903011</t>
        </is>
      </c>
      <c r="G104" t="inlineStr">
        <is>
          <t>Servicio de inspección, vigilancia y control</t>
        </is>
      </c>
      <c r="H104" t="inlineStr">
        <is>
          <t>190301101</t>
        </is>
      </c>
      <c r="I104" t="inlineStr">
        <is>
          <t xml:space="preserve">Informes de los resultados obtenidos en la vigilancia sanitaria </t>
        </is>
      </c>
      <c r="J104" t="inlineStr">
        <is>
          <t>2024252140080</t>
        </is>
      </c>
      <c r="K104" t="inlineStr">
        <is>
          <t>No</t>
        </is>
      </c>
      <c r="L104" t="inlineStr">
        <is>
          <t>Número</t>
        </is>
      </c>
      <c r="M104">
        <v>1</v>
      </c>
      <c r="N104">
        <v>1</v>
      </c>
      <c r="O104">
        <v>1</v>
      </c>
      <c r="P104">
        <v>1</v>
      </c>
      <c r="Q104">
        <v>1</v>
      </c>
      <c r="R104" t="inlineStr">
        <is>
          <t xml:space="preserve"> </t>
        </is>
      </c>
      <c r="S104" s="103" t="inlineStr">
        <is>
          <t xml:space="preserve"> </t>
        </is>
      </c>
      <c r="T104" t="inlineStr">
        <is>
          <t>No se encontró ejecución en PIIP</t>
        </is>
      </c>
      <c r="U104" t="inlineStr">
        <is>
          <t xml:space="preserve"> </t>
        </is>
      </c>
      <c r="V104" s="104" t="inlineStr">
        <is>
          <t xml:space="preserve"> </t>
        </is>
      </c>
      <c r="W104" t="inlineStr">
        <is>
          <t>No se encontró ejecución en PIIP</t>
        </is>
      </c>
    </row>
    <row r="105">
      <c r="A105" t="inlineStr">
        <is>
          <t>IP-120</t>
        </is>
      </c>
      <c r="B105" t="inlineStr">
        <is>
          <t>19</t>
        </is>
      </c>
      <c r="C105" t="inlineStr">
        <is>
          <t>Salud y protección social</t>
        </is>
      </c>
      <c r="D105" t="inlineStr">
        <is>
          <t>1903</t>
        </is>
      </c>
      <c r="E105" t="inlineStr">
        <is>
          <t>Inspección, vigilancia y control</t>
        </is>
      </c>
      <c r="F105" t="inlineStr">
        <is>
          <t>1903025</t>
        </is>
      </c>
      <c r="G105" t="inlineStr">
        <is>
          <t>Servicio de implementación de estrategias para el fortalecimiento del control social en salud</t>
        </is>
      </c>
      <c r="H105" t="inlineStr">
        <is>
          <t>190302500</t>
        </is>
      </c>
      <c r="I105" t="inlineStr">
        <is>
          <t>estrategias para el fortalecimiento del control social en salud implementadas</t>
        </is>
      </c>
      <c r="J105" t="inlineStr">
        <is>
          <t>2024252140080</t>
        </is>
      </c>
      <c r="K105" t="inlineStr">
        <is>
          <t>No</t>
        </is>
      </c>
      <c r="L105" t="inlineStr">
        <is>
          <t>Número</t>
        </is>
      </c>
      <c r="M105">
        <v>1</v>
      </c>
      <c r="N105">
        <v>1</v>
      </c>
      <c r="O105">
        <v>1</v>
      </c>
      <c r="P105">
        <v>1</v>
      </c>
      <c r="Q105">
        <v>1</v>
      </c>
      <c r="R105" t="inlineStr">
        <is>
          <t xml:space="preserve"> </t>
        </is>
      </c>
      <c r="S105" s="103" t="inlineStr">
        <is>
          <t xml:space="preserve"> </t>
        </is>
      </c>
      <c r="T105" t="inlineStr">
        <is>
          <t>No se encontró ejecución en PIIP</t>
        </is>
      </c>
      <c r="U105" t="inlineStr">
        <is>
          <t xml:space="preserve"> </t>
        </is>
      </c>
      <c r="V105" s="104" t="inlineStr">
        <is>
          <t xml:space="preserve"> </t>
        </is>
      </c>
      <c r="W105" t="inlineStr">
        <is>
          <t>No se encontró ejecución en PIIP</t>
        </is>
      </c>
    </row>
    <row r="106">
      <c r="A106" t="inlineStr">
        <is>
          <t>IP-121</t>
        </is>
      </c>
      <c r="B106" t="inlineStr">
        <is>
          <t>19</t>
        </is>
      </c>
      <c r="C106" t="inlineStr">
        <is>
          <t>Salud y protección social</t>
        </is>
      </c>
      <c r="D106" t="inlineStr">
        <is>
          <t>1903</t>
        </is>
      </c>
      <c r="E106" t="inlineStr">
        <is>
          <t>Inspección, vigilancia y control</t>
        </is>
      </c>
      <c r="F106" t="inlineStr">
        <is>
          <t>1903057</t>
        </is>
      </c>
      <c r="G106" t="inlineStr">
        <is>
          <t>Servicio de promoción, prevención, vigilancia y control de vectores y zoonosis</t>
        </is>
      </c>
      <c r="H106" t="inlineStr">
        <is>
          <t>190305700</t>
        </is>
      </c>
      <c r="I106" t="inlineStr">
        <is>
          <t>Municipios con acciones de promoción, prevención, vigilancia  y control de vectores y zoonosis realizadas</t>
        </is>
      </c>
      <c r="J106" t="inlineStr">
        <is>
          <t>2024252140080</t>
        </is>
      </c>
      <c r="K106" t="inlineStr">
        <is>
          <t>No</t>
        </is>
      </c>
      <c r="L106" t="inlineStr">
        <is>
          <t>Número</t>
        </is>
      </c>
      <c r="M106">
        <v>1</v>
      </c>
      <c r="N106">
        <v>1</v>
      </c>
      <c r="O106">
        <v>1</v>
      </c>
      <c r="P106">
        <v>1</v>
      </c>
      <c r="Q106">
        <v>1</v>
      </c>
      <c r="R106">
        <v>0</v>
      </c>
      <c r="S106" s="103">
        <v>0</v>
      </c>
      <c r="T106" t="inlineStr">
        <is>
          <t>No se ejecutó en la vigencia</t>
        </is>
      </c>
      <c r="U106">
        <v>2002</v>
      </c>
      <c r="V106" s="104">
        <v>2002</v>
      </c>
      <c r="W106" t="inlineStr">
        <is>
          <t>Hubo ejecución por encima de lo programado en SisPT</t>
        </is>
      </c>
    </row>
    <row r="107">
      <c r="A107" t="inlineStr">
        <is>
          <t>IP-122, IP-123</t>
        </is>
      </c>
      <c r="B107" t="inlineStr">
        <is>
          <t>19</t>
        </is>
      </c>
      <c r="C107" t="inlineStr">
        <is>
          <t>Salud y protección social</t>
        </is>
      </c>
      <c r="D107" t="inlineStr">
        <is>
          <t>1905</t>
        </is>
      </c>
      <c r="E107" t="inlineStr">
        <is>
          <t>Salud pública</t>
        </is>
      </c>
      <c r="F107" t="inlineStr">
        <is>
          <t>1905054</t>
        </is>
      </c>
      <c r="G107" t="inlineStr">
        <is>
          <t>Servicio de promoción de la salud</t>
        </is>
      </c>
      <c r="H107" t="inlineStr">
        <is>
          <t>190505404</t>
        </is>
      </c>
      <c r="I107" t="inlineStr">
        <is>
          <t>Estrategias de promoción de la salud en temas de salud mental y convivencia social pacifica implementadas</t>
        </is>
      </c>
      <c r="J107" t="inlineStr">
        <is>
          <t>2024252140081</t>
        </is>
      </c>
      <c r="K107" t="inlineStr">
        <is>
          <t>No</t>
        </is>
      </c>
      <c r="L107" t="inlineStr">
        <is>
          <t>Número</t>
        </is>
      </c>
      <c r="M107">
        <v>2</v>
      </c>
      <c r="N107">
        <v>2</v>
      </c>
      <c r="O107">
        <v>2</v>
      </c>
      <c r="P107">
        <v>2</v>
      </c>
      <c r="Q107">
        <v>2</v>
      </c>
      <c r="R107" t="inlineStr">
        <is>
          <t xml:space="preserve"> </t>
        </is>
      </c>
      <c r="S107" s="103" t="inlineStr">
        <is>
          <t xml:space="preserve"> </t>
        </is>
      </c>
      <c r="T107" t="inlineStr">
        <is>
          <t>No se encontró ejecución en PIIP</t>
        </is>
      </c>
      <c r="U107" t="inlineStr">
        <is>
          <t xml:space="preserve"> </t>
        </is>
      </c>
      <c r="V107" s="104" t="inlineStr">
        <is>
          <t xml:space="preserve"> </t>
        </is>
      </c>
      <c r="W107" t="inlineStr">
        <is>
          <t>No se encontró ejecución en PIIP</t>
        </is>
      </c>
    </row>
    <row r="108">
      <c r="A108" t="inlineStr">
        <is>
          <t>IP-124</t>
        </is>
      </c>
      <c r="B108" t="inlineStr">
        <is>
          <t>19</t>
        </is>
      </c>
      <c r="C108" t="inlineStr">
        <is>
          <t>Salud y protección social</t>
        </is>
      </c>
      <c r="D108" t="inlineStr">
        <is>
          <t>1905</t>
        </is>
      </c>
      <c r="E108" t="inlineStr">
        <is>
          <t>Salud pública</t>
        </is>
      </c>
      <c r="F108" t="inlineStr">
        <is>
          <t>1905054</t>
        </is>
      </c>
      <c r="G108" t="inlineStr">
        <is>
          <t>Servicio de promoción de la salud</t>
        </is>
      </c>
      <c r="H108" t="inlineStr">
        <is>
          <t>190505409</t>
        </is>
      </c>
      <c r="I108" t="inlineStr">
        <is>
          <t>Estrategias de promoción de la salud para enfermedades emergentes, reemergentes y desatendidas implementadas</t>
        </is>
      </c>
      <c r="J108" t="inlineStr">
        <is>
          <t>2024252140081</t>
        </is>
      </c>
      <c r="K108" t="inlineStr">
        <is>
          <t>No</t>
        </is>
      </c>
      <c r="L108" t="inlineStr">
        <is>
          <t>Número</t>
        </is>
      </c>
      <c r="M108">
        <v>1</v>
      </c>
      <c r="N108">
        <v>1</v>
      </c>
      <c r="O108">
        <v>1</v>
      </c>
      <c r="P108">
        <v>1</v>
      </c>
      <c r="Q108">
        <v>1</v>
      </c>
      <c r="R108" t="inlineStr">
        <is>
          <t xml:space="preserve"> </t>
        </is>
      </c>
      <c r="S108" s="103" t="inlineStr">
        <is>
          <t xml:space="preserve"> </t>
        </is>
      </c>
      <c r="T108" t="inlineStr">
        <is>
          <t>No se encontró ejecución en PIIP</t>
        </is>
      </c>
      <c r="U108" t="inlineStr">
        <is>
          <t xml:space="preserve"> </t>
        </is>
      </c>
      <c r="V108" s="104" t="inlineStr">
        <is>
          <t xml:space="preserve"> </t>
        </is>
      </c>
      <c r="W108" t="inlineStr">
        <is>
          <t>No se encontró ejecución en PIIP</t>
        </is>
      </c>
    </row>
    <row r="109">
      <c r="A109" t="inlineStr">
        <is>
          <t>IP-125</t>
        </is>
      </c>
      <c r="B109" t="inlineStr">
        <is>
          <t>19</t>
        </is>
      </c>
      <c r="C109" t="inlineStr">
        <is>
          <t>Salud y protección social</t>
        </is>
      </c>
      <c r="D109" t="inlineStr">
        <is>
          <t>1905</t>
        </is>
      </c>
      <c r="E109" t="inlineStr">
        <is>
          <t>Salud pública</t>
        </is>
      </c>
      <c r="F109" t="inlineStr">
        <is>
          <t>1905054</t>
        </is>
      </c>
      <c r="G109" t="inlineStr">
        <is>
          <t>Servicio de promoción de la salud</t>
        </is>
      </c>
      <c r="H109" t="inlineStr">
        <is>
          <t>190505408</t>
        </is>
      </c>
      <c r="I109" t="inlineStr">
        <is>
          <t>Estrategias de promoción de la salud en situaciones prevalentes de origen laboral implementadas</t>
        </is>
      </c>
      <c r="J109" t="inlineStr">
        <is>
          <t>2024252140081</t>
        </is>
      </c>
      <c r="K109" t="inlineStr">
        <is>
          <t>No</t>
        </is>
      </c>
      <c r="L109" t="inlineStr">
        <is>
          <t>Número</t>
        </is>
      </c>
      <c r="M109">
        <v>1</v>
      </c>
      <c r="N109">
        <v>1</v>
      </c>
      <c r="O109">
        <v>1</v>
      </c>
      <c r="P109">
        <v>1</v>
      </c>
      <c r="Q109">
        <v>1</v>
      </c>
      <c r="R109" t="inlineStr">
        <is>
          <t xml:space="preserve"> </t>
        </is>
      </c>
      <c r="S109" s="103" t="inlineStr">
        <is>
          <t xml:space="preserve"> </t>
        </is>
      </c>
      <c r="T109" t="inlineStr">
        <is>
          <t>No se encontró ejecución en PIIP</t>
        </is>
      </c>
      <c r="U109" t="inlineStr">
        <is>
          <t xml:space="preserve"> </t>
        </is>
      </c>
      <c r="V109" s="104" t="inlineStr">
        <is>
          <t xml:space="preserve"> </t>
        </is>
      </c>
      <c r="W109" t="inlineStr">
        <is>
          <t>No se encontró ejecución en PIIP</t>
        </is>
      </c>
    </row>
    <row r="110">
      <c r="A110" t="inlineStr">
        <is>
          <t>IP-126</t>
        </is>
      </c>
      <c r="B110" t="inlineStr">
        <is>
          <t>19</t>
        </is>
      </c>
      <c r="C110" t="inlineStr">
        <is>
          <t>Salud y protección social</t>
        </is>
      </c>
      <c r="D110" t="inlineStr">
        <is>
          <t>1905</t>
        </is>
      </c>
      <c r="E110" t="inlineStr">
        <is>
          <t>Salud pública</t>
        </is>
      </c>
      <c r="F110" t="inlineStr">
        <is>
          <t>1905040</t>
        </is>
      </c>
      <c r="G110" t="inlineStr">
        <is>
          <t>Servicio de certificación de discapacidad para las personas con discapacidad</t>
        </is>
      </c>
      <c r="H110" t="inlineStr">
        <is>
          <t>190504002</t>
        </is>
      </c>
      <c r="I110" t="inlineStr">
        <is>
          <t>Valoraciones multidisciplinarias realizadas</t>
        </is>
      </c>
      <c r="J110" t="inlineStr">
        <is>
          <t>2024252140081</t>
        </is>
      </c>
      <c r="K110" t="inlineStr">
        <is>
          <t>No</t>
        </is>
      </c>
      <c r="L110" t="inlineStr">
        <is>
          <t>Número</t>
        </is>
      </c>
      <c r="M110">
        <v>4</v>
      </c>
      <c r="N110">
        <v>4</v>
      </c>
      <c r="O110">
        <v>4</v>
      </c>
      <c r="P110">
        <v>4</v>
      </c>
      <c r="Q110">
        <v>4</v>
      </c>
      <c r="R110" t="inlineStr">
        <is>
          <t xml:space="preserve"> </t>
        </is>
      </c>
      <c r="S110" s="103" t="inlineStr">
        <is>
          <t xml:space="preserve"> </t>
        </is>
      </c>
      <c r="T110" t="inlineStr">
        <is>
          <t>No se encontró ejecución en PIIP</t>
        </is>
      </c>
      <c r="U110" t="inlineStr">
        <is>
          <t xml:space="preserve"> </t>
        </is>
      </c>
      <c r="V110" s="104" t="inlineStr">
        <is>
          <t xml:space="preserve"> </t>
        </is>
      </c>
      <c r="W110" t="inlineStr">
        <is>
          <t>No se encontró ejecución en PIIP</t>
        </is>
      </c>
    </row>
    <row r="111">
      <c r="A111" t="inlineStr">
        <is>
          <t>IP-127</t>
        </is>
      </c>
      <c r="B111" t="inlineStr">
        <is>
          <t>19</t>
        </is>
      </c>
      <c r="C111" t="inlineStr">
        <is>
          <t>Salud y protección social</t>
        </is>
      </c>
      <c r="D111" t="inlineStr">
        <is>
          <t>1905</t>
        </is>
      </c>
      <c r="E111" t="inlineStr">
        <is>
          <t>Salud pública</t>
        </is>
      </c>
      <c r="F111" t="inlineStr">
        <is>
          <t>1905023</t>
        </is>
      </c>
      <c r="G111" t="inlineStr">
        <is>
          <t>Servicio de gestión del riesgo para abordar condiciones crónicas prevalentes</t>
        </is>
      </c>
      <c r="H111" t="inlineStr">
        <is>
          <t>190502302</t>
        </is>
      </c>
      <c r="I111" t="inlineStr">
        <is>
          <t>Estrategias de gestión para abordar condiciones crónicas prevalentes implementadas</t>
        </is>
      </c>
      <c r="J111" t="inlineStr">
        <is>
          <t>2024252140081</t>
        </is>
      </c>
      <c r="K111" t="inlineStr">
        <is>
          <t>Si</t>
        </is>
      </c>
      <c r="L111" t="inlineStr">
        <is>
          <t>Número</t>
        </is>
      </c>
      <c r="M111">
        <v>1</v>
      </c>
      <c r="N111">
        <v>0</v>
      </c>
      <c r="O111">
        <v>0.5</v>
      </c>
      <c r="P111">
        <v>0.25</v>
      </c>
      <c r="Q111">
        <v>0.25</v>
      </c>
      <c r="R111" t="inlineStr">
        <is>
          <t xml:space="preserve"> </t>
        </is>
      </c>
      <c r="S111" s="103" t="inlineStr">
        <is>
          <t xml:space="preserve"> </t>
        </is>
      </c>
      <c r="T111" t="inlineStr">
        <is>
          <t>No se encontró ejecución en PIIP</t>
        </is>
      </c>
      <c r="U111" t="inlineStr">
        <is>
          <t xml:space="preserve"> </t>
        </is>
      </c>
      <c r="V111" s="104" t="inlineStr">
        <is>
          <t xml:space="preserve"> </t>
        </is>
      </c>
      <c r="W111" t="inlineStr">
        <is>
          <t>No se encontró ejecución en PIIP</t>
        </is>
      </c>
    </row>
    <row r="112">
      <c r="A112" t="inlineStr">
        <is>
          <t>IP-128</t>
        </is>
      </c>
      <c r="B112" t="inlineStr">
        <is>
          <t>19</t>
        </is>
      </c>
      <c r="C112" t="inlineStr">
        <is>
          <t>Salud y protección social</t>
        </is>
      </c>
      <c r="D112" t="inlineStr">
        <is>
          <t>1905</t>
        </is>
      </c>
      <c r="E112" t="inlineStr">
        <is>
          <t>Salud pública</t>
        </is>
      </c>
      <c r="F112" t="inlineStr">
        <is>
          <t>1905052</t>
        </is>
      </c>
      <c r="G112" t="inlineStr">
        <is>
          <t>Servicios de información implementados</t>
        </is>
      </c>
      <c r="H112" t="inlineStr">
        <is>
          <t>190505200</t>
        </is>
      </c>
      <c r="I112" t="inlineStr">
        <is>
          <t>Sistemas de información implementados</t>
        </is>
      </c>
      <c r="J112" t="inlineStr">
        <is>
          <t>2024252140081</t>
        </is>
      </c>
      <c r="K112" t="inlineStr">
        <is>
          <t>Si</t>
        </is>
      </c>
      <c r="L112" t="inlineStr">
        <is>
          <t>Número</t>
        </is>
      </c>
      <c r="M112">
        <v>100</v>
      </c>
      <c r="N112">
        <v>1</v>
      </c>
      <c r="O112">
        <v>1</v>
      </c>
      <c r="P112">
        <v>1</v>
      </c>
      <c r="Q112">
        <v>1</v>
      </c>
      <c r="R112" t="inlineStr">
        <is>
          <t xml:space="preserve"> </t>
        </is>
      </c>
      <c r="S112" s="103" t="inlineStr">
        <is>
          <t xml:space="preserve"> </t>
        </is>
      </c>
      <c r="T112" t="inlineStr">
        <is>
          <t>No se encontró ejecución en PIIP</t>
        </is>
      </c>
      <c r="U112" t="inlineStr">
        <is>
          <t xml:space="preserve"> </t>
        </is>
      </c>
      <c r="V112" s="104" t="inlineStr">
        <is>
          <t xml:space="preserve"> </t>
        </is>
      </c>
      <c r="W112" t="inlineStr">
        <is>
          <t>No se encontró ejecución en PIIP</t>
        </is>
      </c>
    </row>
    <row r="113">
      <c r="A113" t="inlineStr">
        <is>
          <t>IP-129</t>
        </is>
      </c>
      <c r="B113" t="inlineStr">
        <is>
          <t>19</t>
        </is>
      </c>
      <c r="C113" t="inlineStr">
        <is>
          <t>Salud y protección social</t>
        </is>
      </c>
      <c r="D113" t="inlineStr">
        <is>
          <t>1905</t>
        </is>
      </c>
      <c r="E113" t="inlineStr">
        <is>
          <t>Salud pública</t>
        </is>
      </c>
      <c r="F113" t="inlineStr">
        <is>
          <t>1905049</t>
        </is>
      </c>
      <c r="G113" t="inlineStr">
        <is>
          <t>Servicio de promoción de la participación social en salud</t>
        </is>
      </c>
      <c r="H113" t="inlineStr">
        <is>
          <t>190504900</t>
        </is>
      </c>
      <c r="I113" t="inlineStr">
        <is>
          <t>Estrategias de promoción de la participación social en salud implementadas</t>
        </is>
      </c>
      <c r="J113" t="inlineStr">
        <is>
          <t>2024252140081</t>
        </is>
      </c>
      <c r="K113" t="inlineStr">
        <is>
          <t>Si</t>
        </is>
      </c>
      <c r="L113" t="inlineStr">
        <is>
          <t>Número</t>
        </is>
      </c>
      <c r="M113">
        <v>1</v>
      </c>
      <c r="N113">
        <v>0.25</v>
      </c>
      <c r="O113">
        <v>0.25</v>
      </c>
      <c r="P113">
        <v>0.25</v>
      </c>
      <c r="Q113">
        <v>0.25</v>
      </c>
      <c r="R113" t="inlineStr">
        <is>
          <t xml:space="preserve"> </t>
        </is>
      </c>
      <c r="S113" s="103" t="inlineStr">
        <is>
          <t xml:space="preserve"> </t>
        </is>
      </c>
      <c r="T113" t="inlineStr">
        <is>
          <t>No se encontró ejecución en PIIP</t>
        </is>
      </c>
      <c r="U113" t="inlineStr">
        <is>
          <t xml:space="preserve"> </t>
        </is>
      </c>
      <c r="V113" s="104" t="inlineStr">
        <is>
          <t xml:space="preserve"> </t>
        </is>
      </c>
      <c r="W113" t="inlineStr">
        <is>
          <t>No se encontró ejecución en PIIP</t>
        </is>
      </c>
    </row>
    <row r="114">
      <c r="A114" t="inlineStr">
        <is>
          <t>IP-130</t>
        </is>
      </c>
      <c r="B114" t="inlineStr">
        <is>
          <t>19</t>
        </is>
      </c>
      <c r="C114" t="inlineStr">
        <is>
          <t>Salud y protección social</t>
        </is>
      </c>
      <c r="D114" t="inlineStr">
        <is>
          <t>1905</t>
        </is>
      </c>
      <c r="E114" t="inlineStr">
        <is>
          <t>Salud pública</t>
        </is>
      </c>
      <c r="F114" t="inlineStr">
        <is>
          <t>1905015</t>
        </is>
      </c>
      <c r="G114" t="inlineStr">
        <is>
          <t>Documentos de planeación</t>
        </is>
      </c>
      <c r="H114" t="inlineStr">
        <is>
          <t>190501505</t>
        </is>
      </c>
      <c r="I114" t="inlineStr">
        <is>
          <t>Planes estratégicos elaborados</t>
        </is>
      </c>
      <c r="J114" t="inlineStr">
        <is>
          <t>2024252140081</t>
        </is>
      </c>
      <c r="K114" t="inlineStr">
        <is>
          <t>Si</t>
        </is>
      </c>
      <c r="L114" t="inlineStr">
        <is>
          <t>Número</t>
        </is>
      </c>
      <c r="M114">
        <v>1</v>
      </c>
      <c r="N114">
        <v>0.25</v>
      </c>
      <c r="O114">
        <v>0.25</v>
      </c>
      <c r="P114">
        <v>0.25</v>
      </c>
      <c r="Q114">
        <v>0.25</v>
      </c>
      <c r="R114" t="inlineStr">
        <is>
          <t xml:space="preserve"> </t>
        </is>
      </c>
      <c r="S114" s="103" t="inlineStr">
        <is>
          <t xml:space="preserve"> </t>
        </is>
      </c>
      <c r="T114" t="inlineStr">
        <is>
          <t>No se encontró ejecución en PIIP</t>
        </is>
      </c>
      <c r="U114" t="inlineStr">
        <is>
          <t xml:space="preserve"> </t>
        </is>
      </c>
      <c r="V114" s="104" t="inlineStr">
        <is>
          <t xml:space="preserve"> </t>
        </is>
      </c>
      <c r="W114" t="inlineStr">
        <is>
          <t>No se encontró ejecución en PIIP</t>
        </is>
      </c>
    </row>
    <row r="115">
      <c r="A115" t="inlineStr">
        <is>
          <t>IP-131</t>
        </is>
      </c>
      <c r="B115" t="inlineStr">
        <is>
          <t>19</t>
        </is>
      </c>
      <c r="C115" t="inlineStr">
        <is>
          <t>Salud y protección social</t>
        </is>
      </c>
      <c r="D115" t="inlineStr">
        <is>
          <t>1905</t>
        </is>
      </c>
      <c r="E115" t="inlineStr">
        <is>
          <t>Salud pública</t>
        </is>
      </c>
      <c r="F115" t="inlineStr">
        <is>
          <t>1905015</t>
        </is>
      </c>
      <c r="G115" t="inlineStr">
        <is>
          <t>Documentos de planeación</t>
        </is>
      </c>
      <c r="H115" t="inlineStr">
        <is>
          <t>190501506</t>
        </is>
      </c>
      <c r="I115" t="inlineStr">
        <is>
          <t>Documentos de planeación con seguimiento realizados</t>
        </is>
      </c>
      <c r="J115" t="inlineStr">
        <is>
          <t>2024252140081</t>
        </is>
      </c>
      <c r="K115" t="inlineStr">
        <is>
          <t>No</t>
        </is>
      </c>
      <c r="L115" t="inlineStr">
        <is>
          <t>Número</t>
        </is>
      </c>
      <c r="M115">
        <v>1</v>
      </c>
      <c r="N115">
        <v>1</v>
      </c>
      <c r="O115">
        <v>1</v>
      </c>
      <c r="P115">
        <v>1</v>
      </c>
      <c r="Q115">
        <v>1</v>
      </c>
      <c r="R115" t="inlineStr">
        <is>
          <t xml:space="preserve"> </t>
        </is>
      </c>
      <c r="S115" s="103" t="inlineStr">
        <is>
          <t xml:space="preserve"> </t>
        </is>
      </c>
      <c r="T115" t="inlineStr">
        <is>
          <t>No se encontró ejecución en PIIP</t>
        </is>
      </c>
      <c r="U115" t="inlineStr">
        <is>
          <t xml:space="preserve"> </t>
        </is>
      </c>
      <c r="V115" s="104" t="inlineStr">
        <is>
          <t xml:space="preserve"> </t>
        </is>
      </c>
      <c r="W115" t="inlineStr">
        <is>
          <t>No se encontró ejecución en PIIP</t>
        </is>
      </c>
    </row>
    <row r="116">
      <c r="A116" t="inlineStr">
        <is>
          <t>IP-132</t>
        </is>
      </c>
      <c r="B116" t="inlineStr">
        <is>
          <t>19</t>
        </is>
      </c>
      <c r="C116" t="inlineStr">
        <is>
          <t>Salud y protección social</t>
        </is>
      </c>
      <c r="D116" t="inlineStr">
        <is>
          <t>1905</t>
        </is>
      </c>
      <c r="E116" t="inlineStr">
        <is>
          <t>Salud pública</t>
        </is>
      </c>
      <c r="F116" t="inlineStr">
        <is>
          <t>1905015</t>
        </is>
      </c>
      <c r="G116" t="inlineStr">
        <is>
          <t>Documentos de planeación</t>
        </is>
      </c>
      <c r="H116" t="inlineStr">
        <is>
          <t>190501502</t>
        </is>
      </c>
      <c r="I116" t="inlineStr">
        <is>
          <t>Documentos de planeación en salud pública para atención de emergencias y desastres elaborados</t>
        </is>
      </c>
      <c r="J116" t="inlineStr">
        <is>
          <t>2024252140081</t>
        </is>
      </c>
      <c r="K116" t="inlineStr">
        <is>
          <t>No</t>
        </is>
      </c>
      <c r="L116" t="inlineStr">
        <is>
          <t>Número</t>
        </is>
      </c>
      <c r="M116">
        <v>1</v>
      </c>
      <c r="N116">
        <v>1</v>
      </c>
      <c r="O116">
        <v>1</v>
      </c>
      <c r="P116">
        <v>1</v>
      </c>
      <c r="Q116">
        <v>1</v>
      </c>
      <c r="R116" t="inlineStr">
        <is>
          <t xml:space="preserve"> </t>
        </is>
      </c>
      <c r="S116" s="103" t="inlineStr">
        <is>
          <t xml:space="preserve"> </t>
        </is>
      </c>
      <c r="T116" t="inlineStr">
        <is>
          <t>No se encontró ejecución en PIIP</t>
        </is>
      </c>
      <c r="U116" t="inlineStr">
        <is>
          <t xml:space="preserve"> </t>
        </is>
      </c>
      <c r="V116" s="104" t="inlineStr">
        <is>
          <t xml:space="preserve"> </t>
        </is>
      </c>
      <c r="W116" t="inlineStr">
        <is>
          <t>No se encontró ejecución en PIIP</t>
        </is>
      </c>
    </row>
    <row r="117">
      <c r="A117" t="inlineStr">
        <is>
          <t>IP-133</t>
        </is>
      </c>
      <c r="B117" t="inlineStr">
        <is>
          <t>19</t>
        </is>
      </c>
      <c r="C117" t="inlineStr">
        <is>
          <t>Salud y protección social</t>
        </is>
      </c>
      <c r="D117" t="inlineStr">
        <is>
          <t>1905</t>
        </is>
      </c>
      <c r="E117" t="inlineStr">
        <is>
          <t>Salud pública</t>
        </is>
      </c>
      <c r="F117" t="inlineStr">
        <is>
          <t>1905015</t>
        </is>
      </c>
      <c r="G117" t="inlineStr">
        <is>
          <t>Documentos de planeación</t>
        </is>
      </c>
      <c r="H117" t="inlineStr">
        <is>
          <t>190501505</t>
        </is>
      </c>
      <c r="I117" t="inlineStr">
        <is>
          <t>Planes estratégicos elaborados</t>
        </is>
      </c>
      <c r="J117" t="inlineStr">
        <is>
          <t>2024252140081</t>
        </is>
      </c>
      <c r="K117" t="inlineStr">
        <is>
          <t>No</t>
        </is>
      </c>
      <c r="L117" t="inlineStr">
        <is>
          <t>Número</t>
        </is>
      </c>
      <c r="M117">
        <v>1</v>
      </c>
      <c r="N117">
        <v>1</v>
      </c>
      <c r="O117">
        <v>1</v>
      </c>
      <c r="P117">
        <v>1</v>
      </c>
      <c r="Q117">
        <v>1</v>
      </c>
      <c r="R117" t="inlineStr">
        <is>
          <t xml:space="preserve"> </t>
        </is>
      </c>
      <c r="S117" s="103" t="inlineStr">
        <is>
          <t xml:space="preserve"> </t>
        </is>
      </c>
      <c r="T117" t="inlineStr">
        <is>
          <t>No se encontró ejecución en PIIP</t>
        </is>
      </c>
      <c r="U117" t="inlineStr">
        <is>
          <t xml:space="preserve"> </t>
        </is>
      </c>
      <c r="V117" s="104" t="inlineStr">
        <is>
          <t xml:space="preserve"> </t>
        </is>
      </c>
      <c r="W117" t="inlineStr">
        <is>
          <t>No se encontró ejecución en PIIP</t>
        </is>
      </c>
    </row>
    <row r="118">
      <c r="A118" t="inlineStr">
        <is>
          <t>IP-134, IP-135</t>
        </is>
      </c>
      <c r="B118" t="inlineStr">
        <is>
          <t>19</t>
        </is>
      </c>
      <c r="C118" t="inlineStr">
        <is>
          <t>Salud y protección social</t>
        </is>
      </c>
      <c r="D118" t="inlineStr">
        <is>
          <t>1906</t>
        </is>
      </c>
      <c r="E118" t="inlineStr">
        <is>
          <t>Aseguramiento y prestación integral de servicios de salud</t>
        </is>
      </c>
      <c r="F118" t="inlineStr">
        <is>
          <t>1906001</t>
        </is>
      </c>
      <c r="G118" t="inlineStr">
        <is>
          <t>Hospitales de primer nivel de atención adecuados</t>
        </is>
      </c>
      <c r="H118" t="inlineStr">
        <is>
          <t>190600100</t>
        </is>
      </c>
      <c r="I118" t="inlineStr">
        <is>
          <t>Hospitales de primer nivel de atención adecuados</t>
        </is>
      </c>
      <c r="J118" t="inlineStr">
        <is>
          <t>2024252140114</t>
        </is>
      </c>
      <c r="K118" t="inlineStr">
        <is>
          <t>Si</t>
        </is>
      </c>
      <c r="L118" t="inlineStr">
        <is>
          <t>Número</t>
        </is>
      </c>
      <c r="M118">
        <v>2</v>
      </c>
      <c r="N118">
        <v>1</v>
      </c>
      <c r="O118">
        <v>1</v>
      </c>
      <c r="P118">
        <v>2</v>
      </c>
      <c r="Q118">
        <v>1</v>
      </c>
      <c r="R118" t="inlineStr">
        <is>
          <t xml:space="preserve"> </t>
        </is>
      </c>
      <c r="S118" s="103" t="inlineStr">
        <is>
          <t xml:space="preserve"> </t>
        </is>
      </c>
      <c r="T118" t="inlineStr">
        <is>
          <t>No se encontró ejecución en PIIP</t>
        </is>
      </c>
      <c r="U118" t="inlineStr">
        <is>
          <t xml:space="preserve"> </t>
        </is>
      </c>
      <c r="V118" s="104" t="inlineStr">
        <is>
          <t xml:space="preserve"> </t>
        </is>
      </c>
      <c r="W118" t="inlineStr">
        <is>
          <t>No se encontró ejecución en PIIP</t>
        </is>
      </c>
    </row>
    <row r="119">
      <c r="A119" t="inlineStr">
        <is>
          <t>IP-136</t>
        </is>
      </c>
      <c r="B119" t="inlineStr">
        <is>
          <t>19</t>
        </is>
      </c>
      <c r="C119" t="inlineStr">
        <is>
          <t>Salud y protección social</t>
        </is>
      </c>
      <c r="D119" t="inlineStr">
        <is>
          <t>1906</t>
        </is>
      </c>
      <c r="E119" t="inlineStr">
        <is>
          <t>Aseguramiento y prestación integral de servicios de salud</t>
        </is>
      </c>
      <c r="F119" t="inlineStr">
        <is>
          <t>1906030</t>
        </is>
      </c>
      <c r="G119" t="inlineStr">
        <is>
          <t>Hospitales de primer nivel de atención construidos y dotados</t>
        </is>
      </c>
      <c r="H119" t="inlineStr">
        <is>
          <t>190603000</t>
        </is>
      </c>
      <c r="I119" t="inlineStr">
        <is>
          <t>Hospitales de primer nivel de atención construidos y dotados</t>
        </is>
      </c>
      <c r="J119" t="inlineStr">
        <is>
          <t>2024252140085</t>
        </is>
      </c>
      <c r="K119" t="inlineStr">
        <is>
          <t>No</t>
        </is>
      </c>
      <c r="L119" t="inlineStr">
        <is>
          <t>Número</t>
        </is>
      </c>
      <c r="M119">
        <v>1</v>
      </c>
      <c r="N119">
        <v>1</v>
      </c>
      <c r="O119">
        <v>1</v>
      </c>
      <c r="P119">
        <v>1</v>
      </c>
      <c r="Q119">
        <v>1</v>
      </c>
      <c r="R119" t="inlineStr">
        <is>
          <t xml:space="preserve"> </t>
        </is>
      </c>
      <c r="S119" s="103" t="inlineStr">
        <is>
          <t xml:space="preserve"> </t>
        </is>
      </c>
      <c r="T119" t="inlineStr">
        <is>
          <t>No se encontró ejecución en PIIP</t>
        </is>
      </c>
      <c r="U119" t="inlineStr">
        <is>
          <t xml:space="preserve"> </t>
        </is>
      </c>
      <c r="V119" s="104" t="inlineStr">
        <is>
          <t xml:space="preserve"> </t>
        </is>
      </c>
      <c r="W119" t="inlineStr">
        <is>
          <t>No se encontró ejecución en PIIP</t>
        </is>
      </c>
    </row>
    <row r="120">
      <c r="A120" t="inlineStr">
        <is>
          <t>IP-137</t>
        </is>
      </c>
      <c r="B120" t="inlineStr">
        <is>
          <t>19</t>
        </is>
      </c>
      <c r="C120" t="inlineStr">
        <is>
          <t>Salud y protección social</t>
        </is>
      </c>
      <c r="D120" t="inlineStr">
        <is>
          <t>1906</t>
        </is>
      </c>
      <c r="E120" t="inlineStr">
        <is>
          <t>Aseguramiento y prestación integral de servicios de salud</t>
        </is>
      </c>
      <c r="F120" t="inlineStr">
        <is>
          <t>1906044</t>
        </is>
      </c>
      <c r="G120" t="inlineStr">
        <is>
          <t>Servicio de afiliaciones al régimen subsidiado del Sistema General de Seguridad Social</t>
        </is>
      </c>
      <c r="H120" t="inlineStr">
        <is>
          <t>190604400</t>
        </is>
      </c>
      <c r="I120" t="inlineStr">
        <is>
          <t>Personas afiliadas al régimen subsidiado</t>
        </is>
      </c>
      <c r="J120" t="inlineStr">
        <is>
          <t>2024252140082</t>
        </is>
      </c>
      <c r="K120" t="inlineStr">
        <is>
          <t>No</t>
        </is>
      </c>
      <c r="L120" t="inlineStr">
        <is>
          <t>Número</t>
        </is>
      </c>
      <c r="M120">
        <v>1</v>
      </c>
      <c r="N120">
        <v>1</v>
      </c>
      <c r="O120">
        <v>1</v>
      </c>
      <c r="P120">
        <v>1</v>
      </c>
      <c r="Q120">
        <v>1</v>
      </c>
      <c r="R120">
        <v>6706</v>
      </c>
      <c r="S120" s="103">
        <v>6706</v>
      </c>
      <c r="T120" t="inlineStr">
        <is>
          <t>Hubo ejecución por encima de lo programado en SisPT</t>
        </is>
      </c>
      <c r="U120">
        <v>27494</v>
      </c>
      <c r="V120" s="104">
        <v>27494</v>
      </c>
      <c r="W120" t="inlineStr">
        <is>
          <t>Hubo ejecución por encima de lo programado en SisPT</t>
        </is>
      </c>
    </row>
    <row r="121">
      <c r="A121" t="inlineStr">
        <is>
          <t>IP-138</t>
        </is>
      </c>
      <c r="B121" t="inlineStr">
        <is>
          <t>19</t>
        </is>
      </c>
      <c r="C121" t="inlineStr">
        <is>
          <t>Salud y protección social</t>
        </is>
      </c>
      <c r="D121" t="inlineStr">
        <is>
          <t>1906</t>
        </is>
      </c>
      <c r="E121" t="inlineStr">
        <is>
          <t>Aseguramiento y prestación integral de servicios de salud</t>
        </is>
      </c>
      <c r="F121" t="inlineStr">
        <is>
          <t>1906022</t>
        </is>
      </c>
      <c r="G121" t="inlineStr">
        <is>
          <t>Servicio de apoyo a la prestación del servicio de transporte de pacientes</t>
        </is>
      </c>
      <c r="H121" t="inlineStr">
        <is>
          <t>190602203</t>
        </is>
      </c>
      <c r="I121" t="inlineStr">
        <is>
          <t>Ambulancias TAB (Transporte Asistencial Básico) disponibles</t>
        </is>
      </c>
      <c r="J121" t="inlineStr">
        <is>
          <t>2024252140086</t>
        </is>
      </c>
      <c r="K121" t="inlineStr">
        <is>
          <t>Si</t>
        </is>
      </c>
      <c r="L121" t="inlineStr">
        <is>
          <t>Número</t>
        </is>
      </c>
      <c r="M121">
        <v>1</v>
      </c>
      <c r="N121">
        <v>0.25</v>
      </c>
      <c r="O121">
        <v>0.25</v>
      </c>
      <c r="P121">
        <v>0.25</v>
      </c>
      <c r="Q121">
        <v>0.25</v>
      </c>
      <c r="R121" t="inlineStr">
        <is>
          <t xml:space="preserve"> </t>
        </is>
      </c>
      <c r="S121" s="103" t="inlineStr">
        <is>
          <t xml:space="preserve"> </t>
        </is>
      </c>
      <c r="T121" t="inlineStr">
        <is>
          <t>No se encontró ejecución en PIIP</t>
        </is>
      </c>
      <c r="U121" t="inlineStr">
        <is>
          <t xml:space="preserve"> </t>
        </is>
      </c>
      <c r="V121" s="104" t="inlineStr">
        <is>
          <t xml:space="preserve"> </t>
        </is>
      </c>
      <c r="W121" t="inlineStr">
        <is>
          <t>No se encontró ejecución en PIIP</t>
        </is>
      </c>
    </row>
    <row r="122">
      <c r="A122" t="inlineStr">
        <is>
          <t>IP-139</t>
        </is>
      </c>
      <c r="B122" t="inlineStr">
        <is>
          <t>19</t>
        </is>
      </c>
      <c r="C122" t="inlineStr">
        <is>
          <t>Salud y protección social</t>
        </is>
      </c>
      <c r="D122" t="inlineStr">
        <is>
          <t>1906</t>
        </is>
      </c>
      <c r="E122" t="inlineStr">
        <is>
          <t>Aseguramiento y prestación integral de servicios de salud</t>
        </is>
      </c>
      <c r="F122" t="inlineStr">
        <is>
          <t>1906029</t>
        </is>
      </c>
      <c r="G122" t="inlineStr">
        <is>
          <t>Servicio de asistencia técnica a Instituciones Prestadoras de Servicios de Salud</t>
        </is>
      </c>
      <c r="H122" t="inlineStr">
        <is>
          <t>190602900</t>
        </is>
      </c>
      <c r="I122" t="inlineStr">
        <is>
          <t>Instituciones Prestadoras de Servicios de Salud asistidas técnicamente</t>
        </is>
      </c>
      <c r="J122" t="inlineStr">
        <is>
          <t>2024252140082</t>
        </is>
      </c>
      <c r="K122" t="inlineStr">
        <is>
          <t>No</t>
        </is>
      </c>
      <c r="L122" t="inlineStr">
        <is>
          <t>Número</t>
        </is>
      </c>
      <c r="M122">
        <v>100</v>
      </c>
      <c r="N122">
        <v>1</v>
      </c>
      <c r="O122">
        <v>1</v>
      </c>
      <c r="P122">
        <v>1</v>
      </c>
      <c r="Q122">
        <v>1</v>
      </c>
      <c r="R122" t="inlineStr">
        <is>
          <t xml:space="preserve"> </t>
        </is>
      </c>
      <c r="S122" s="103" t="inlineStr">
        <is>
          <t xml:space="preserve"> </t>
        </is>
      </c>
      <c r="T122" t="inlineStr">
        <is>
          <t>No se encontró ejecución en PIIP</t>
        </is>
      </c>
      <c r="U122" t="inlineStr">
        <is>
          <t xml:space="preserve"> </t>
        </is>
      </c>
      <c r="V122" s="104" t="inlineStr">
        <is>
          <t xml:space="preserve"> </t>
        </is>
      </c>
      <c r="W122" t="inlineStr">
        <is>
          <t>No se encontró ejecución en PIIP</t>
        </is>
      </c>
    </row>
    <row r="123">
      <c r="A123" t="inlineStr">
        <is>
          <t>IP-140</t>
        </is>
      </c>
      <c r="B123" t="inlineStr">
        <is>
          <t>22</t>
        </is>
      </c>
      <c r="C123" t="inlineStr">
        <is>
          <t>Educación</t>
        </is>
      </c>
      <c r="D123" t="inlineStr">
        <is>
          <t>2201</t>
        </is>
      </c>
      <c r="E123" t="inlineStr">
        <is>
          <t>Calidad, cobertura y fortalecimiento de la educación inicial, prescolar, básica y media</t>
        </is>
      </c>
      <c r="F123" t="inlineStr">
        <is>
          <t>2201051</t>
        </is>
      </c>
      <c r="G123" t="inlineStr">
        <is>
          <t>Infraestructura educativa construida</t>
        </is>
      </c>
      <c r="H123" t="inlineStr">
        <is>
          <t>220105100</t>
        </is>
      </c>
      <c r="I123" t="inlineStr">
        <is>
          <t xml:space="preserve">Sedes educativas nuevas construidas </t>
        </is>
      </c>
      <c r="J123" t="inlineStr">
        <is>
          <t>2024252140091</t>
        </is>
      </c>
      <c r="K123" t="inlineStr">
        <is>
          <t>Si</t>
        </is>
      </c>
      <c r="L123" t="inlineStr">
        <is>
          <t>Número</t>
        </is>
      </c>
      <c r="M123">
        <v>1</v>
      </c>
      <c r="N123">
        <v>0</v>
      </c>
      <c r="O123">
        <v>0</v>
      </c>
      <c r="P123">
        <v>1</v>
      </c>
      <c r="Q123">
        <v>0</v>
      </c>
      <c r="R123" t="inlineStr">
        <is>
          <t xml:space="preserve"> </t>
        </is>
      </c>
      <c r="S123" s="103" t="inlineStr">
        <is>
          <t xml:space="preserve"> </t>
        </is>
      </c>
      <c r="T123" t="inlineStr">
        <is>
          <t>No se encontró ejecución en PIIP</t>
        </is>
      </c>
      <c r="U123" t="inlineStr">
        <is>
          <t xml:space="preserve"> </t>
        </is>
      </c>
      <c r="V123" s="104" t="inlineStr">
        <is>
          <t xml:space="preserve"> </t>
        </is>
      </c>
      <c r="W123" t="inlineStr">
        <is>
          <t>No se encontró ejecución en PIIP</t>
        </is>
      </c>
    </row>
    <row r="124">
      <c r="A124" t="inlineStr">
        <is>
          <t>IP-141</t>
        </is>
      </c>
      <c r="B124" t="inlineStr">
        <is>
          <t>22</t>
        </is>
      </c>
      <c r="C124" t="inlineStr">
        <is>
          <t>Educación</t>
        </is>
      </c>
      <c r="D124" t="inlineStr">
        <is>
          <t>2201</t>
        </is>
      </c>
      <c r="E124" t="inlineStr">
        <is>
          <t>Calidad, cobertura y fortalecimiento de la educación inicial, prescolar, básica y media</t>
        </is>
      </c>
      <c r="F124" t="inlineStr">
        <is>
          <t>2201036</t>
        </is>
      </c>
      <c r="G124" t="inlineStr">
        <is>
          <t>Servicio de desarrollo de contenidos educativos para la educación inicial, preescolar, básica y media</t>
        </is>
      </c>
      <c r="H124" t="inlineStr">
        <is>
          <t>220103600</t>
        </is>
      </c>
      <c r="I124" t="inlineStr">
        <is>
          <t xml:space="preserve">Contenidos educativos para la educación inicial, preescolar, básica y media producidos </t>
        </is>
      </c>
      <c r="J124" t="inlineStr">
        <is>
          <t>2024252140091</t>
        </is>
      </c>
      <c r="K124" t="inlineStr">
        <is>
          <t>No</t>
        </is>
      </c>
      <c r="L124" t="inlineStr">
        <is>
          <t>Número</t>
        </is>
      </c>
      <c r="M124">
        <v>1</v>
      </c>
      <c r="N124">
        <v>1</v>
      </c>
      <c r="O124">
        <v>1</v>
      </c>
      <c r="P124">
        <v>1</v>
      </c>
      <c r="Q124">
        <v>1</v>
      </c>
      <c r="R124">
        <v>1</v>
      </c>
      <c r="S124" s="103">
        <v>1</v>
      </c>
      <c r="T124" t="inlineStr">
        <is>
          <t>Se ejecutó el 100% de lo programado en la vigencia</t>
        </is>
      </c>
      <c r="U124">
        <v>50.7</v>
      </c>
      <c r="V124" s="104">
        <v>50.7</v>
      </c>
      <c r="W124" t="inlineStr">
        <is>
          <t>Hubo ejecución por encima de lo programado en SisPT</t>
        </is>
      </c>
    </row>
    <row r="125">
      <c r="A125" t="inlineStr">
        <is>
          <t>IP-142</t>
        </is>
      </c>
      <c r="B125" t="inlineStr">
        <is>
          <t>22</t>
        </is>
      </c>
      <c r="C125" t="inlineStr">
        <is>
          <t>Educación</t>
        </is>
      </c>
      <c r="D125" t="inlineStr">
        <is>
          <t>2201</t>
        </is>
      </c>
      <c r="E125" t="inlineStr">
        <is>
          <t>Calidad, cobertura y fortalecimiento de la educación inicial, prescolar, básica y media</t>
        </is>
      </c>
      <c r="F125" t="inlineStr">
        <is>
          <t>2201062</t>
        </is>
      </c>
      <c r="G125" t="inlineStr">
        <is>
          <t>Infraestructura educativa mantenida</t>
        </is>
      </c>
      <c r="H125" t="inlineStr">
        <is>
          <t>220106200</t>
        </is>
      </c>
      <c r="I125" t="inlineStr">
        <is>
          <t>Sedes mantenidas</t>
        </is>
      </c>
      <c r="J125" t="inlineStr">
        <is>
          <t>2024252140115</t>
        </is>
      </c>
      <c r="K125" t="inlineStr">
        <is>
          <t>Si</t>
        </is>
      </c>
      <c r="L125" t="inlineStr">
        <is>
          <t>Número</t>
        </is>
      </c>
      <c r="M125">
        <v>100</v>
      </c>
      <c r="N125">
        <v>20</v>
      </c>
      <c r="O125">
        <v>30</v>
      </c>
      <c r="P125">
        <v>30</v>
      </c>
      <c r="Q125">
        <v>20</v>
      </c>
      <c r="R125" t="inlineStr">
        <is>
          <t xml:space="preserve"> </t>
        </is>
      </c>
      <c r="S125" s="103" t="inlineStr">
        <is>
          <t xml:space="preserve"> </t>
        </is>
      </c>
      <c r="T125" t="inlineStr">
        <is>
          <t>No se encontró ejecución en PIIP</t>
        </is>
      </c>
      <c r="U125" t="inlineStr">
        <is>
          <t xml:space="preserve"> </t>
        </is>
      </c>
      <c r="V125" s="104" t="inlineStr">
        <is>
          <t xml:space="preserve"> </t>
        </is>
      </c>
      <c r="W125" t="inlineStr">
        <is>
          <t>No se encontró ejecución en PIIP</t>
        </is>
      </c>
    </row>
    <row r="126">
      <c r="A126" t="inlineStr">
        <is>
          <t>IP-143</t>
        </is>
      </c>
      <c r="B126" t="inlineStr">
        <is>
          <t>22</t>
        </is>
      </c>
      <c r="C126" t="inlineStr">
        <is>
          <t>Educación</t>
        </is>
      </c>
      <c r="D126" t="inlineStr">
        <is>
          <t>2201</t>
        </is>
      </c>
      <c r="E126" t="inlineStr">
        <is>
          <t>Calidad, cobertura y fortalecimiento de la educación inicial, prescolar, básica y media</t>
        </is>
      </c>
      <c r="F126" t="inlineStr">
        <is>
          <t>2201069</t>
        </is>
      </c>
      <c r="G126" t="inlineStr">
        <is>
          <t>Infraestructura educativa dotada</t>
        </is>
      </c>
      <c r="H126" t="inlineStr">
        <is>
          <t>220106900</t>
        </is>
      </c>
      <c r="I126" t="inlineStr">
        <is>
          <t>Sedes dotadas</t>
        </is>
      </c>
      <c r="J126" t="inlineStr">
        <is>
          <t>2024252140092</t>
        </is>
      </c>
      <c r="K126" t="inlineStr">
        <is>
          <t>Si</t>
        </is>
      </c>
      <c r="L126" t="inlineStr">
        <is>
          <t>Número</t>
        </is>
      </c>
      <c r="M126">
        <v>10</v>
      </c>
      <c r="N126">
        <v>0</v>
      </c>
      <c r="O126">
        <v>4</v>
      </c>
      <c r="P126">
        <v>3</v>
      </c>
      <c r="Q126">
        <v>3</v>
      </c>
      <c r="R126" t="inlineStr">
        <is>
          <t xml:space="preserve"> </t>
        </is>
      </c>
      <c r="S126" s="103" t="inlineStr">
        <is>
          <t xml:space="preserve"> </t>
        </is>
      </c>
      <c r="T126" t="inlineStr">
        <is>
          <t>No se encontró ejecución en PIIP</t>
        </is>
      </c>
      <c r="U126" t="inlineStr">
        <is>
          <t xml:space="preserve"> </t>
        </is>
      </c>
      <c r="V126" s="104" t="inlineStr">
        <is>
          <t xml:space="preserve"> </t>
        </is>
      </c>
      <c r="W126" t="inlineStr">
        <is>
          <t>No se encontró ejecución en PIIP</t>
        </is>
      </c>
    </row>
    <row r="127">
      <c r="A127" t="inlineStr">
        <is>
          <t>IP-144</t>
        </is>
      </c>
      <c r="B127" t="inlineStr">
        <is>
          <t>22</t>
        </is>
      </c>
      <c r="C127" t="inlineStr">
        <is>
          <t>Educación</t>
        </is>
      </c>
      <c r="D127" t="inlineStr">
        <is>
          <t>2201</t>
        </is>
      </c>
      <c r="E127" t="inlineStr">
        <is>
          <t>Calidad, cobertura y fortalecimiento de la educación inicial, prescolar, básica y media</t>
        </is>
      </c>
      <c r="F127" t="inlineStr">
        <is>
          <t>2201017</t>
        </is>
      </c>
      <c r="G127" t="inlineStr">
        <is>
          <t>Servicio de fomento para el acceso a la educación inicial, preescolar, básica y media.</t>
        </is>
      </c>
      <c r="H127" t="inlineStr">
        <is>
          <t>220101700</t>
        </is>
      </c>
      <c r="I127" t="inlineStr">
        <is>
          <t xml:space="preserve">Personas beneficiadas con estrategias de fomento para el acceso a la educación inicial, preescolar, básica y media. </t>
        </is>
      </c>
      <c r="J127" t="inlineStr">
        <is>
          <t>2024252140092</t>
        </is>
      </c>
      <c r="K127" t="inlineStr">
        <is>
          <t>No</t>
        </is>
      </c>
      <c r="L127" t="inlineStr">
        <is>
          <t>Número</t>
        </is>
      </c>
      <c r="M127">
        <v>100</v>
      </c>
      <c r="N127">
        <v>1</v>
      </c>
      <c r="O127">
        <v>1</v>
      </c>
      <c r="P127">
        <v>1</v>
      </c>
      <c r="Q127">
        <v>1</v>
      </c>
      <c r="R127">
        <v>0</v>
      </c>
      <c r="S127" s="103">
        <v>0</v>
      </c>
      <c r="T127" t="inlineStr">
        <is>
          <t>No se ejecutó en la vigencia</t>
        </is>
      </c>
      <c r="U127">
        <v>200</v>
      </c>
      <c r="V127" s="104">
        <v>200</v>
      </c>
      <c r="W127" t="inlineStr">
        <is>
          <t>Hubo ejecución por encima de lo programado en SisPT</t>
        </is>
      </c>
    </row>
    <row r="128">
      <c r="A128" t="inlineStr">
        <is>
          <t>IP-145</t>
        </is>
      </c>
      <c r="B128" t="inlineStr">
        <is>
          <t>22</t>
        </is>
      </c>
      <c r="C128" t="inlineStr">
        <is>
          <t>Educación</t>
        </is>
      </c>
      <c r="D128" t="inlineStr">
        <is>
          <t>2201</t>
        </is>
      </c>
      <c r="E128" t="inlineStr">
        <is>
          <t>Calidad, cobertura y fortalecimiento de la educación inicial, prescolar, básica y media</t>
        </is>
      </c>
      <c r="F128" t="inlineStr">
        <is>
          <t>2201028</t>
        </is>
      </c>
      <c r="G128" t="inlineStr">
        <is>
          <t>Servicio de apoyo a la permanencia con alimentación escolar</t>
        </is>
      </c>
      <c r="H128" t="inlineStr">
        <is>
          <t>220102801</t>
        </is>
      </c>
      <c r="I128" t="inlineStr">
        <is>
          <t>Beneficiarios de la alimentación escolar</t>
        </is>
      </c>
      <c r="J128" t="inlineStr">
        <is>
          <t>2024252140092</t>
        </is>
      </c>
      <c r="K128" t="inlineStr">
        <is>
          <t>No</t>
        </is>
      </c>
      <c r="L128" t="inlineStr">
        <is>
          <t>Número</t>
        </is>
      </c>
      <c r="M128">
        <v>100</v>
      </c>
      <c r="N128">
        <v>1</v>
      </c>
      <c r="O128">
        <v>1</v>
      </c>
      <c r="P128">
        <v>1</v>
      </c>
      <c r="Q128">
        <v>1</v>
      </c>
      <c r="R128" t="inlineStr">
        <is>
          <t xml:space="preserve"> </t>
        </is>
      </c>
      <c r="S128" s="103" t="inlineStr">
        <is>
          <t xml:space="preserve"> </t>
        </is>
      </c>
      <c r="T128" t="inlineStr">
        <is>
          <t>No se encontró ejecución en PIIP</t>
        </is>
      </c>
      <c r="U128" t="inlineStr">
        <is>
          <t xml:space="preserve"> </t>
        </is>
      </c>
      <c r="V128" s="104" t="inlineStr">
        <is>
          <t xml:space="preserve"> </t>
        </is>
      </c>
      <c r="W128" t="inlineStr">
        <is>
          <t>No se encontró ejecución en PIIP</t>
        </is>
      </c>
    </row>
    <row r="129">
      <c r="A129" t="inlineStr">
        <is>
          <t>IP-146</t>
        </is>
      </c>
      <c r="B129" t="inlineStr">
        <is>
          <t>22</t>
        </is>
      </c>
      <c r="C129" t="inlineStr">
        <is>
          <t>Educación</t>
        </is>
      </c>
      <c r="D129" t="inlineStr">
        <is>
          <t>2201</t>
        </is>
      </c>
      <c r="E129" t="inlineStr">
        <is>
          <t>Calidad, cobertura y fortalecimiento de la educación inicial, prescolar, básica y media</t>
        </is>
      </c>
      <c r="F129" t="inlineStr">
        <is>
          <t>2201029</t>
        </is>
      </c>
      <c r="G129" t="inlineStr">
        <is>
          <t>Servicio de apoyo a la permanencia con transporte escolar</t>
        </is>
      </c>
      <c r="H129" t="inlineStr">
        <is>
          <t>220102900</t>
        </is>
      </c>
      <c r="I129" t="inlineStr">
        <is>
          <t>Beneficiarios de transporte escolar</t>
        </is>
      </c>
      <c r="J129" t="inlineStr">
        <is>
          <t>2024252140092</t>
        </is>
      </c>
      <c r="K129" t="inlineStr">
        <is>
          <t>No</t>
        </is>
      </c>
      <c r="L129" t="inlineStr">
        <is>
          <t>Número</t>
        </is>
      </c>
      <c r="M129">
        <v>100</v>
      </c>
      <c r="N129">
        <v>1</v>
      </c>
      <c r="O129">
        <v>1</v>
      </c>
      <c r="P129">
        <v>1</v>
      </c>
      <c r="Q129">
        <v>1</v>
      </c>
      <c r="R129">
        <v>750</v>
      </c>
      <c r="S129" s="103">
        <v>750</v>
      </c>
      <c r="T129" t="inlineStr">
        <is>
          <t>Hubo ejecución por encima de lo programado en SisPT</t>
        </is>
      </c>
      <c r="U129">
        <v>4060</v>
      </c>
      <c r="V129" s="104">
        <v>4060</v>
      </c>
      <c r="W129" t="inlineStr">
        <is>
          <t>Hubo ejecución por encima de lo programado en SisPT</t>
        </is>
      </c>
    </row>
    <row r="130">
      <c r="A130" t="inlineStr">
        <is>
          <t>IP-147</t>
        </is>
      </c>
      <c r="B130" t="inlineStr">
        <is>
          <t>22</t>
        </is>
      </c>
      <c r="C130" t="inlineStr">
        <is>
          <t>Educación</t>
        </is>
      </c>
      <c r="D130" t="inlineStr">
        <is>
          <t>2201</t>
        </is>
      </c>
      <c r="E130" t="inlineStr">
        <is>
          <t>Calidad, cobertura y fortalecimiento de la educación inicial, prescolar, básica y media</t>
        </is>
      </c>
      <c r="F130" t="inlineStr">
        <is>
          <t>2201026</t>
        </is>
      </c>
      <c r="G130" t="inlineStr">
        <is>
          <t>Servicio de acondicionamiento de ambientes de aprendizaje</t>
        </is>
      </c>
      <c r="H130" t="inlineStr">
        <is>
          <t>220102600</t>
        </is>
      </c>
      <c r="I130" t="inlineStr">
        <is>
          <t>Ambientes de aprendizaje en funcionamiento</t>
        </is>
      </c>
      <c r="J130" t="inlineStr">
        <is>
          <t>2024252140092</t>
        </is>
      </c>
      <c r="K130" t="inlineStr">
        <is>
          <t>Si</t>
        </is>
      </c>
      <c r="L130" t="inlineStr">
        <is>
          <t>Número</t>
        </is>
      </c>
      <c r="M130">
        <v>1</v>
      </c>
      <c r="N130">
        <v>0.25</v>
      </c>
      <c r="O130">
        <v>0.25</v>
      </c>
      <c r="P130">
        <v>0.25</v>
      </c>
      <c r="Q130">
        <v>0.25</v>
      </c>
      <c r="R130" t="inlineStr">
        <is>
          <t xml:space="preserve"> </t>
        </is>
      </c>
      <c r="S130" s="103" t="inlineStr">
        <is>
          <t xml:space="preserve"> </t>
        </is>
      </c>
      <c r="T130" t="inlineStr">
        <is>
          <t>No se encontró ejecución en PIIP</t>
        </is>
      </c>
      <c r="U130" t="inlineStr">
        <is>
          <t xml:space="preserve"> </t>
        </is>
      </c>
      <c r="V130" s="104" t="inlineStr">
        <is>
          <t xml:space="preserve"> </t>
        </is>
      </c>
      <c r="W130" t="inlineStr">
        <is>
          <t>No se encontró ejecución en PIIP</t>
        </is>
      </c>
    </row>
    <row r="131">
      <c r="A131" t="inlineStr">
        <is>
          <t>IP-148</t>
        </is>
      </c>
      <c r="B131" t="inlineStr">
        <is>
          <t>22</t>
        </is>
      </c>
      <c r="C131" t="inlineStr">
        <is>
          <t>Educación</t>
        </is>
      </c>
      <c r="D131" t="inlineStr">
        <is>
          <t>2201</t>
        </is>
      </c>
      <c r="E131" t="inlineStr">
        <is>
          <t>Calidad, cobertura y fortalecimiento de la educación inicial, prescolar, básica y media</t>
        </is>
      </c>
      <c r="F131" t="inlineStr">
        <is>
          <t>2201030</t>
        </is>
      </c>
      <c r="G131" t="inlineStr">
        <is>
          <t>Servicio educación formal por modelos educativos flexibles</t>
        </is>
      </c>
      <c r="H131" t="inlineStr">
        <is>
          <t>220103000</t>
        </is>
      </c>
      <c r="I131" t="inlineStr">
        <is>
          <t>Beneficiarios atendidos con modelos educativos flexibles</t>
        </is>
      </c>
      <c r="J131" t="inlineStr">
        <is>
          <t>2024252140093</t>
        </is>
      </c>
      <c r="K131" t="inlineStr">
        <is>
          <t>No</t>
        </is>
      </c>
      <c r="L131" t="inlineStr">
        <is>
          <t>Número</t>
        </is>
      </c>
      <c r="M131">
        <v>1</v>
      </c>
      <c r="N131">
        <v>1</v>
      </c>
      <c r="O131">
        <v>1</v>
      </c>
      <c r="P131">
        <v>1</v>
      </c>
      <c r="Q131">
        <v>1</v>
      </c>
      <c r="R131">
        <v>100</v>
      </c>
      <c r="S131" s="103">
        <v>100</v>
      </c>
      <c r="T131" t="inlineStr">
        <is>
          <t>Hubo ejecución por encima de lo programado en SisPT</t>
        </is>
      </c>
      <c r="U131">
        <v>70</v>
      </c>
      <c r="V131" s="104">
        <v>70</v>
      </c>
      <c r="W131" t="inlineStr">
        <is>
          <t>Hubo ejecución por encima de lo programado en SisPT</t>
        </is>
      </c>
    </row>
    <row r="132">
      <c r="A132" t="inlineStr">
        <is>
          <t>IP-149, IP-152</t>
        </is>
      </c>
      <c r="B132" t="inlineStr">
        <is>
          <t>22</t>
        </is>
      </c>
      <c r="C132" t="inlineStr">
        <is>
          <t>Educación</t>
        </is>
      </c>
      <c r="D132" t="inlineStr">
        <is>
          <t>2201</t>
        </is>
      </c>
      <c r="E132" t="inlineStr">
        <is>
          <t>Calidad, cobertura y fortalecimiento de la educación inicial, prescolar, básica y media</t>
        </is>
      </c>
      <c r="F132" t="inlineStr">
        <is>
          <t>2201033</t>
        </is>
      </c>
      <c r="G132" t="inlineStr">
        <is>
          <t>Servicio de fomento para la permanencia en programas de educación formal</t>
        </is>
      </c>
      <c r="H132" t="inlineStr">
        <is>
          <t>220103304</t>
        </is>
      </c>
      <c r="I132" t="inlineStr">
        <is>
          <t>Estrategias implementadas</t>
        </is>
      </c>
      <c r="J132" t="inlineStr">
        <is>
          <t>2024252140093</t>
        </is>
      </c>
      <c r="K132" t="inlineStr">
        <is>
          <t>Si</t>
        </is>
      </c>
      <c r="L132" t="inlineStr">
        <is>
          <t>Número</t>
        </is>
      </c>
      <c r="M132">
        <v>2</v>
      </c>
      <c r="N132">
        <v>0.5</v>
      </c>
      <c r="O132">
        <v>0.5</v>
      </c>
      <c r="P132">
        <v>0.5</v>
      </c>
      <c r="Q132">
        <v>0.5</v>
      </c>
      <c r="R132" t="inlineStr">
        <is>
          <t xml:space="preserve"> </t>
        </is>
      </c>
      <c r="S132" s="103" t="inlineStr">
        <is>
          <t xml:space="preserve"> </t>
        </is>
      </c>
      <c r="T132" t="inlineStr">
        <is>
          <t>No se encontró ejecución en PIIP</t>
        </is>
      </c>
      <c r="U132" t="inlineStr">
        <is>
          <t xml:space="preserve"> </t>
        </is>
      </c>
      <c r="V132" s="104" t="inlineStr">
        <is>
          <t xml:space="preserve"> </t>
        </is>
      </c>
      <c r="W132" t="inlineStr">
        <is>
          <t>No se encontró ejecución en PIIP</t>
        </is>
      </c>
    </row>
    <row r="133">
      <c r="A133" t="inlineStr">
        <is>
          <t>IP-150</t>
        </is>
      </c>
      <c r="B133" t="inlineStr">
        <is>
          <t>22</t>
        </is>
      </c>
      <c r="C133" t="inlineStr">
        <is>
          <t>Educación</t>
        </is>
      </c>
      <c r="D133" t="inlineStr">
        <is>
          <t>2201</t>
        </is>
      </c>
      <c r="E133" t="inlineStr">
        <is>
          <t>Calidad, cobertura y fortalecimiento de la educación inicial, prescolar, básica y media</t>
        </is>
      </c>
      <c r="F133" t="inlineStr">
        <is>
          <t>2201034</t>
        </is>
      </c>
      <c r="G133" t="inlineStr">
        <is>
          <t>Servicio educativos de promoción del bilingüismo</t>
        </is>
      </c>
      <c r="H133" t="inlineStr">
        <is>
          <t>220103400</t>
        </is>
      </c>
      <c r="I133" t="inlineStr">
        <is>
          <t>Estudiantes beneficiados con estrategias de promoción del bilingüismo</t>
        </is>
      </c>
      <c r="J133" t="inlineStr">
        <is>
          <t>2024252140093</t>
        </is>
      </c>
      <c r="K133" t="inlineStr">
        <is>
          <t>Si</t>
        </is>
      </c>
      <c r="L133" t="inlineStr">
        <is>
          <t>Número</t>
        </is>
      </c>
      <c r="M133">
        <v>1</v>
      </c>
      <c r="N133">
        <v>0.25</v>
      </c>
      <c r="O133">
        <v>0.25</v>
      </c>
      <c r="P133">
        <v>0.25</v>
      </c>
      <c r="Q133">
        <v>0.25</v>
      </c>
      <c r="R133" t="inlineStr">
        <is>
          <t xml:space="preserve"> </t>
        </is>
      </c>
      <c r="S133" s="103" t="inlineStr">
        <is>
          <t xml:space="preserve"> </t>
        </is>
      </c>
      <c r="T133" t="inlineStr">
        <is>
          <t>No se encontró ejecución en PIIP</t>
        </is>
      </c>
      <c r="U133" t="inlineStr">
        <is>
          <t xml:space="preserve"> </t>
        </is>
      </c>
      <c r="V133" s="104" t="inlineStr">
        <is>
          <t xml:space="preserve"> </t>
        </is>
      </c>
      <c r="W133" t="inlineStr">
        <is>
          <t>No se encontró ejecución en PIIP</t>
        </is>
      </c>
    </row>
    <row r="134">
      <c r="A134" t="inlineStr">
        <is>
          <t>IP-151</t>
        </is>
      </c>
      <c r="B134" t="inlineStr">
        <is>
          <t>22</t>
        </is>
      </c>
      <c r="C134" t="inlineStr">
        <is>
          <t>Educación</t>
        </is>
      </c>
      <c r="D134" t="inlineStr">
        <is>
          <t>2201</t>
        </is>
      </c>
      <c r="E134" t="inlineStr">
        <is>
          <t>Calidad, cobertura y fortalecimiento de la educación inicial, prescolar, básica y media</t>
        </is>
      </c>
      <c r="F134" t="inlineStr">
        <is>
          <t>2201048</t>
        </is>
      </c>
      <c r="G134" t="inlineStr">
        <is>
          <t>Servicios de información en materia educativa</t>
        </is>
      </c>
      <c r="H134" t="inlineStr">
        <is>
          <t>220104800</t>
        </is>
      </c>
      <c r="I134" t="inlineStr">
        <is>
          <t>Documentos elaborados</t>
        </is>
      </c>
      <c r="J134" t="inlineStr">
        <is>
          <t>2024252140093</t>
        </is>
      </c>
      <c r="K134" t="inlineStr">
        <is>
          <t>Si</t>
        </is>
      </c>
      <c r="L134" t="inlineStr">
        <is>
          <t>Número</t>
        </is>
      </c>
      <c r="M134">
        <v>1</v>
      </c>
      <c r="N134">
        <v>0.1</v>
      </c>
      <c r="O134">
        <v>0.3</v>
      </c>
      <c r="P134">
        <v>0.3</v>
      </c>
      <c r="Q134">
        <v>0.3</v>
      </c>
      <c r="R134" t="inlineStr">
        <is>
          <t xml:space="preserve"> </t>
        </is>
      </c>
      <c r="S134" s="103" t="inlineStr">
        <is>
          <t xml:space="preserve"> </t>
        </is>
      </c>
      <c r="T134" t="inlineStr">
        <is>
          <t>No se encontró ejecución en PIIP</t>
        </is>
      </c>
      <c r="U134" t="inlineStr">
        <is>
          <t xml:space="preserve"> </t>
        </is>
      </c>
      <c r="V134" s="104" t="inlineStr">
        <is>
          <t xml:space="preserve"> </t>
        </is>
      </c>
      <c r="W134" t="inlineStr">
        <is>
          <t>No se encontró ejecución en PIIP</t>
        </is>
      </c>
    </row>
    <row r="135">
      <c r="A135" t="inlineStr">
        <is>
          <t>IP-153</t>
        </is>
      </c>
      <c r="B135" t="inlineStr">
        <is>
          <t>22</t>
        </is>
      </c>
      <c r="C135" t="inlineStr">
        <is>
          <t>Educación</t>
        </is>
      </c>
      <c r="D135" t="inlineStr">
        <is>
          <t>2201</t>
        </is>
      </c>
      <c r="E135" t="inlineStr">
        <is>
          <t>Calidad, cobertura y fortalecimiento de la educación inicial, prescolar, básica y media</t>
        </is>
      </c>
      <c r="F135" t="inlineStr">
        <is>
          <t>2201086</t>
        </is>
      </c>
      <c r="G135" t="inlineStr">
        <is>
          <t>Servicio de atención psicosocial a estudiantes</t>
        </is>
      </c>
      <c r="H135" t="inlineStr">
        <is>
          <t>220108600</t>
        </is>
      </c>
      <c r="I135" t="inlineStr">
        <is>
          <t>Alumnos atendidos</t>
        </is>
      </c>
      <c r="J135" t="inlineStr">
        <is>
          <t>2024252140091</t>
        </is>
      </c>
      <c r="K135" t="inlineStr">
        <is>
          <t>Si</t>
        </is>
      </c>
      <c r="L135" t="inlineStr">
        <is>
          <t>Número</t>
        </is>
      </c>
      <c r="M135">
        <v>1</v>
      </c>
      <c r="N135">
        <v>0.25</v>
      </c>
      <c r="O135">
        <v>0.25</v>
      </c>
      <c r="P135">
        <v>0.25</v>
      </c>
      <c r="Q135">
        <v>0.25</v>
      </c>
      <c r="R135" t="inlineStr">
        <is>
          <t xml:space="preserve"> </t>
        </is>
      </c>
      <c r="S135" s="103" t="inlineStr">
        <is>
          <t xml:space="preserve"> </t>
        </is>
      </c>
      <c r="T135" t="inlineStr">
        <is>
          <t>No se encontró ejecución en PIIP</t>
        </is>
      </c>
      <c r="U135" t="inlineStr">
        <is>
          <t xml:space="preserve"> </t>
        </is>
      </c>
      <c r="V135" s="104" t="inlineStr">
        <is>
          <t xml:space="preserve"> </t>
        </is>
      </c>
      <c r="W135" t="inlineStr">
        <is>
          <t>No se encontró ejecución en PIIP</t>
        </is>
      </c>
    </row>
    <row r="136">
      <c r="A136" t="inlineStr">
        <is>
          <t>IP-154</t>
        </is>
      </c>
      <c r="B136" t="inlineStr">
        <is>
          <t>22</t>
        </is>
      </c>
      <c r="C136" t="inlineStr">
        <is>
          <t>Educación</t>
        </is>
      </c>
      <c r="D136" t="inlineStr">
        <is>
          <t>2201</t>
        </is>
      </c>
      <c r="E136" t="inlineStr">
        <is>
          <t>Calidad, cobertura y fortalecimiento de la educación inicial, prescolar, básica y media</t>
        </is>
      </c>
      <c r="F136" t="inlineStr">
        <is>
          <t>2201080</t>
        </is>
      </c>
      <c r="G136" t="inlineStr">
        <is>
          <t>Servicio de fomento a las instancias de participación del sector educación</t>
        </is>
      </c>
      <c r="H136" t="inlineStr">
        <is>
          <t>220108000</t>
        </is>
      </c>
      <c r="I136" t="inlineStr">
        <is>
          <t>Estrategias de fomento implementadas</t>
        </is>
      </c>
      <c r="J136" t="inlineStr">
        <is>
          <t>2024252140091</t>
        </is>
      </c>
      <c r="K136" t="inlineStr">
        <is>
          <t>No</t>
        </is>
      </c>
      <c r="L136" t="inlineStr">
        <is>
          <t>Número</t>
        </is>
      </c>
      <c r="M136">
        <v>1</v>
      </c>
      <c r="N136">
        <v>1</v>
      </c>
      <c r="O136">
        <v>1</v>
      </c>
      <c r="P136">
        <v>1</v>
      </c>
      <c r="Q136">
        <v>1</v>
      </c>
      <c r="R136">
        <v>1</v>
      </c>
      <c r="S136" s="103">
        <v>1</v>
      </c>
      <c r="T136" t="inlineStr">
        <is>
          <t>Se ejecutó el 100% de lo programado en la vigencia</t>
        </is>
      </c>
      <c r="U136">
        <v>100.62</v>
      </c>
      <c r="V136" s="104">
        <v>100.62</v>
      </c>
      <c r="W136" t="inlineStr">
        <is>
          <t>Hubo ejecución por encima de lo programado en SisPT</t>
        </is>
      </c>
    </row>
    <row r="137">
      <c r="A137" t="inlineStr">
        <is>
          <t>IP-155</t>
        </is>
      </c>
      <c r="B137" t="inlineStr">
        <is>
          <t>22</t>
        </is>
      </c>
      <c r="C137" t="inlineStr">
        <is>
          <t>Educación</t>
        </is>
      </c>
      <c r="D137" t="inlineStr">
        <is>
          <t>2202</t>
        </is>
      </c>
      <c r="E137" t="inlineStr">
        <is>
          <t>Calidad y fomento de la educación superior</t>
        </is>
      </c>
      <c r="F137" t="inlineStr">
        <is>
          <t>2202071</t>
        </is>
      </c>
      <c r="G137" t="inlineStr">
        <is>
          <t>Sedes de instituciones de educación superior  construidas</t>
        </is>
      </c>
      <c r="H137" t="inlineStr">
        <is>
          <t>220207100</t>
        </is>
      </c>
      <c r="I137" t="inlineStr">
        <is>
          <t>Sedes  de instituciones de educación  superior  construidas</t>
        </is>
      </c>
      <c r="J137" t="inlineStr">
        <is>
          <t/>
        </is>
      </c>
      <c r="K137" t="inlineStr">
        <is>
          <t>Si</t>
        </is>
      </c>
      <c r="L137" t="inlineStr">
        <is>
          <t>Número</t>
        </is>
      </c>
      <c r="M137">
        <v>1</v>
      </c>
      <c r="N137">
        <v>0</v>
      </c>
      <c r="O137">
        <v>0</v>
      </c>
      <c r="P137">
        <v>1</v>
      </c>
      <c r="Q137">
        <v>0</v>
      </c>
      <c r="R137" t="inlineStr">
        <is>
          <t xml:space="preserve"> </t>
        </is>
      </c>
      <c r="S137" s="103" t="inlineStr">
        <is>
          <t xml:space="preserve"> </t>
        </is>
      </c>
      <c r="T137" t="inlineStr">
        <is>
          <t>Por falta de código BPIN, no se encontró ejecución en PIIP</t>
        </is>
      </c>
      <c r="U137" t="inlineStr">
        <is>
          <t xml:space="preserve"> </t>
        </is>
      </c>
      <c r="V137" s="104" t="inlineStr">
        <is>
          <t xml:space="preserve"> </t>
        </is>
      </c>
      <c r="W137" t="inlineStr">
        <is>
          <t>Por falta de código BPIN, no se encontró ejecución en PIIP</t>
        </is>
      </c>
    </row>
    <row r="138">
      <c r="A138" t="inlineStr">
        <is>
          <t>IP-156</t>
        </is>
      </c>
      <c r="B138" t="inlineStr">
        <is>
          <t>22</t>
        </is>
      </c>
      <c r="C138" t="inlineStr">
        <is>
          <t>Educación</t>
        </is>
      </c>
      <c r="D138" t="inlineStr">
        <is>
          <t>2202</t>
        </is>
      </c>
      <c r="E138" t="inlineStr">
        <is>
          <t>Calidad y fomento de la educación superior</t>
        </is>
      </c>
      <c r="F138" t="inlineStr">
        <is>
          <t>2202062</t>
        </is>
      </c>
      <c r="G138" t="inlineStr">
        <is>
          <t xml:space="preserve">Servicio de fomento para el acceso a la educación superior </t>
        </is>
      </c>
      <c r="H138" t="inlineStr">
        <is>
          <t>220206208</t>
        </is>
      </c>
      <c r="I138" t="inlineStr">
        <is>
          <t xml:space="preserve"> Estrategias de fomento para el acceso a la educación superior implementadas</t>
        </is>
      </c>
      <c r="J138" t="inlineStr">
        <is>
          <t>2024252140094</t>
        </is>
      </c>
      <c r="K138" t="inlineStr">
        <is>
          <t>Si</t>
        </is>
      </c>
      <c r="L138" t="inlineStr">
        <is>
          <t>Número</t>
        </is>
      </c>
      <c r="M138">
        <v>1</v>
      </c>
      <c r="N138">
        <v>0.25</v>
      </c>
      <c r="O138">
        <v>0.25</v>
      </c>
      <c r="P138">
        <v>0.25</v>
      </c>
      <c r="Q138">
        <v>0.25</v>
      </c>
      <c r="R138" t="inlineStr">
        <is>
          <t xml:space="preserve"> </t>
        </is>
      </c>
      <c r="S138" s="103" t="inlineStr">
        <is>
          <t xml:space="preserve"> </t>
        </is>
      </c>
      <c r="T138" t="inlineStr">
        <is>
          <t>No se encontró ejecución en PIIP</t>
        </is>
      </c>
      <c r="U138" t="inlineStr">
        <is>
          <t xml:space="preserve"> </t>
        </is>
      </c>
      <c r="V138" s="104" t="inlineStr">
        <is>
          <t xml:space="preserve"> </t>
        </is>
      </c>
      <c r="W138" t="inlineStr">
        <is>
          <t>No se encontró ejecución en PIIP</t>
        </is>
      </c>
    </row>
    <row r="139">
      <c r="A139" t="inlineStr">
        <is>
          <t>IP-157</t>
        </is>
      </c>
      <c r="B139" t="inlineStr">
        <is>
          <t>22</t>
        </is>
      </c>
      <c r="C139" t="inlineStr">
        <is>
          <t>Educación</t>
        </is>
      </c>
      <c r="D139" t="inlineStr">
        <is>
          <t>2201</t>
        </is>
      </c>
      <c r="E139" t="inlineStr">
        <is>
          <t>Calidad, cobertura y fortalecimiento de la educación inicial, prescolar, básica y media</t>
        </is>
      </c>
      <c r="F139" t="inlineStr">
        <is>
          <t>2201085</t>
        </is>
      </c>
      <c r="G139" t="inlineStr">
        <is>
          <t>Servicio de orientación socio ocupacional</t>
        </is>
      </c>
      <c r="H139" t="inlineStr">
        <is>
          <t>220108500</t>
        </is>
      </c>
      <c r="I139" t="inlineStr">
        <is>
          <t>Estudiantes vinculados a procesos de orientación socio ocupacional</t>
        </is>
      </c>
      <c r="J139" t="inlineStr">
        <is>
          <t>2024252140094</t>
        </is>
      </c>
      <c r="K139" t="inlineStr">
        <is>
          <t>Si</t>
        </is>
      </c>
      <c r="L139" t="inlineStr">
        <is>
          <t>Número</t>
        </is>
      </c>
      <c r="M139">
        <v>1</v>
      </c>
      <c r="N139">
        <v>1</v>
      </c>
      <c r="O139">
        <v>1</v>
      </c>
      <c r="P139">
        <v>1</v>
      </c>
      <c r="Q139">
        <v>1</v>
      </c>
      <c r="R139" t="inlineStr">
        <is>
          <t xml:space="preserve"> </t>
        </is>
      </c>
      <c r="S139" s="103" t="inlineStr">
        <is>
          <t xml:space="preserve"> </t>
        </is>
      </c>
      <c r="T139" t="inlineStr">
        <is>
          <t>No se encontró ejecución en PIIP</t>
        </is>
      </c>
      <c r="U139" t="inlineStr">
        <is>
          <t xml:space="preserve"> </t>
        </is>
      </c>
      <c r="V139" s="104" t="inlineStr">
        <is>
          <t xml:space="preserve"> </t>
        </is>
      </c>
      <c r="W139" t="inlineStr">
        <is>
          <t>No se encontró ejecución en PIIP</t>
        </is>
      </c>
    </row>
    <row r="140">
      <c r="A140" t="inlineStr">
        <is>
          <t>IP-158</t>
        </is>
      </c>
      <c r="B140" t="inlineStr">
        <is>
          <t>22</t>
        </is>
      </c>
      <c r="C140" t="inlineStr">
        <is>
          <t>Educación</t>
        </is>
      </c>
      <c r="D140" t="inlineStr">
        <is>
          <t>2202</t>
        </is>
      </c>
      <c r="E140" t="inlineStr">
        <is>
          <t>Calidad y fomento de la educación superior</t>
        </is>
      </c>
      <c r="F140" t="inlineStr">
        <is>
          <t>2202063</t>
        </is>
      </c>
      <c r="G140" t="inlineStr">
        <is>
          <t>Servicio de apoyo financiero para el acceso a la educación superior</t>
        </is>
      </c>
      <c r="H140" t="inlineStr">
        <is>
          <t>220206300</t>
        </is>
      </c>
      <c r="I140" t="inlineStr">
        <is>
          <t xml:space="preserve">Beneficiarios de estrategias o programas de  apoyo financiero para el acceso a la educación superior  </t>
        </is>
      </c>
      <c r="J140" t="inlineStr">
        <is>
          <t>2024252140094</t>
        </is>
      </c>
      <c r="K140" t="inlineStr">
        <is>
          <t>Si</t>
        </is>
      </c>
      <c r="L140" t="inlineStr">
        <is>
          <t>Número</t>
        </is>
      </c>
      <c r="M140">
        <v>1</v>
      </c>
      <c r="N140">
        <v>0.25</v>
      </c>
      <c r="O140">
        <v>0.25</v>
      </c>
      <c r="P140">
        <v>0.25</v>
      </c>
      <c r="Q140">
        <v>0.25</v>
      </c>
      <c r="R140" t="inlineStr">
        <is>
          <t xml:space="preserve"> </t>
        </is>
      </c>
      <c r="S140" s="103" t="inlineStr">
        <is>
          <t xml:space="preserve"> </t>
        </is>
      </c>
      <c r="T140" t="inlineStr">
        <is>
          <t>No se encontró ejecución en PIIP</t>
        </is>
      </c>
      <c r="U140" t="inlineStr">
        <is>
          <t xml:space="preserve"> </t>
        </is>
      </c>
      <c r="V140" s="104" t="inlineStr">
        <is>
          <t xml:space="preserve"> </t>
        </is>
      </c>
      <c r="W140" t="inlineStr">
        <is>
          <t>No se encontró ejecución en PIIP</t>
        </is>
      </c>
    </row>
    <row r="141">
      <c r="A141" t="inlineStr">
        <is>
          <t>IP-159</t>
        </is>
      </c>
      <c r="B141" t="inlineStr">
        <is>
          <t>33</t>
        </is>
      </c>
      <c r="C141" t="inlineStr">
        <is>
          <t>Cultura</t>
        </is>
      </c>
      <c r="D141" t="inlineStr">
        <is>
          <t>3301</t>
        </is>
      </c>
      <c r="E141" t="inlineStr">
        <is>
          <t>Promoción y acceso efectivo a procesos culturales y artísticos</t>
        </is>
      </c>
      <c r="F141" t="inlineStr">
        <is>
          <t>3301089</t>
        </is>
      </c>
      <c r="G141" t="inlineStr">
        <is>
          <t>Centros culturales ampliados</t>
        </is>
      </c>
      <c r="H141" t="inlineStr">
        <is>
          <t>330108900</t>
        </is>
      </c>
      <c r="I141" t="inlineStr">
        <is>
          <t>Centros culturales ampliados</t>
        </is>
      </c>
      <c r="J141" t="inlineStr">
        <is>
          <t>2024252140116</t>
        </is>
      </c>
      <c r="K141" t="inlineStr">
        <is>
          <t>Si</t>
        </is>
      </c>
      <c r="L141" t="inlineStr">
        <is>
          <t>Número</t>
        </is>
      </c>
      <c r="M141">
        <v>1</v>
      </c>
      <c r="N141">
        <v>0</v>
      </c>
      <c r="O141">
        <v>0</v>
      </c>
      <c r="P141">
        <v>1</v>
      </c>
      <c r="Q141">
        <v>0</v>
      </c>
      <c r="R141">
        <v>0</v>
      </c>
      <c r="S141" s="103" t="inlineStr">
        <is>
          <t xml:space="preserve"> </t>
        </is>
      </c>
      <c r="T141" t="inlineStr">
        <is>
          <t>No se programó ni ejecutó en la vigencia</t>
        </is>
      </c>
      <c r="U141" t="inlineStr">
        <is>
          <t xml:space="preserve"> </t>
        </is>
      </c>
      <c r="V141" s="104" t="inlineStr">
        <is>
          <t xml:space="preserve"> </t>
        </is>
      </c>
      <c r="W141" t="inlineStr">
        <is>
          <t>No se encontró ejecución en PIIP</t>
        </is>
      </c>
    </row>
    <row r="142">
      <c r="A142" t="inlineStr">
        <is>
          <t>IP-160</t>
        </is>
      </c>
      <c r="B142" t="inlineStr">
        <is>
          <t>33</t>
        </is>
      </c>
      <c r="C142" t="inlineStr">
        <is>
          <t>Cultura</t>
        </is>
      </c>
      <c r="D142" t="inlineStr">
        <is>
          <t>3301</t>
        </is>
      </c>
      <c r="E142" t="inlineStr">
        <is>
          <t>Promoción y acceso efectivo a procesos culturales y artísticos</t>
        </is>
      </c>
      <c r="F142" t="inlineStr">
        <is>
          <t>3301090</t>
        </is>
      </c>
      <c r="G142" t="inlineStr">
        <is>
          <t>Centros culturales adecuados</t>
        </is>
      </c>
      <c r="H142" t="inlineStr">
        <is>
          <t>330109000</t>
        </is>
      </c>
      <c r="I142" t="inlineStr">
        <is>
          <t>Centros culturales adecuados</t>
        </is>
      </c>
      <c r="J142" t="inlineStr">
        <is>
          <t>2024252140116</t>
        </is>
      </c>
      <c r="K142" t="inlineStr">
        <is>
          <t>Si</t>
        </is>
      </c>
      <c r="L142" t="inlineStr">
        <is>
          <t>Número</t>
        </is>
      </c>
      <c r="M142">
        <v>100</v>
      </c>
      <c r="N142">
        <v>20</v>
      </c>
      <c r="O142">
        <v>30</v>
      </c>
      <c r="P142">
        <v>30</v>
      </c>
      <c r="Q142">
        <v>20</v>
      </c>
      <c r="R142" t="inlineStr">
        <is>
          <t xml:space="preserve"> </t>
        </is>
      </c>
      <c r="S142" s="103" t="inlineStr">
        <is>
          <t xml:space="preserve"> </t>
        </is>
      </c>
      <c r="T142" t="inlineStr">
        <is>
          <t>No se encontró ejecución en PIIP</t>
        </is>
      </c>
      <c r="U142" t="inlineStr">
        <is>
          <t xml:space="preserve"> </t>
        </is>
      </c>
      <c r="V142" s="104" t="inlineStr">
        <is>
          <t xml:space="preserve"> </t>
        </is>
      </c>
      <c r="W142" t="inlineStr">
        <is>
          <t>No se encontró ejecución en PIIP</t>
        </is>
      </c>
    </row>
    <row r="143">
      <c r="A143" t="inlineStr">
        <is>
          <t>IP-161</t>
        </is>
      </c>
      <c r="B143" t="inlineStr">
        <is>
          <t>33</t>
        </is>
      </c>
      <c r="C143" t="inlineStr">
        <is>
          <t>Cultura</t>
        </is>
      </c>
      <c r="D143" t="inlineStr">
        <is>
          <t>3301</t>
        </is>
      </c>
      <c r="E143" t="inlineStr">
        <is>
          <t>Promoción y acceso efectivo a procesos culturales y artísticos</t>
        </is>
      </c>
      <c r="F143" t="inlineStr">
        <is>
          <t>3301001</t>
        </is>
      </c>
      <c r="G143" t="inlineStr">
        <is>
          <t>Bibliotecas construidas</t>
        </is>
      </c>
      <c r="H143" t="inlineStr">
        <is>
          <t>330100100</t>
        </is>
      </c>
      <c r="I143" t="inlineStr">
        <is>
          <t>Bibliotecas construidas</t>
        </is>
      </c>
      <c r="J143" t="inlineStr">
        <is>
          <t/>
        </is>
      </c>
      <c r="K143" t="inlineStr">
        <is>
          <t>Si</t>
        </is>
      </c>
      <c r="L143" t="inlineStr">
        <is>
          <t>Número</t>
        </is>
      </c>
      <c r="M143">
        <v>1</v>
      </c>
      <c r="N143">
        <v>0</v>
      </c>
      <c r="O143">
        <v>0</v>
      </c>
      <c r="P143">
        <v>1</v>
      </c>
      <c r="Q143">
        <v>0</v>
      </c>
      <c r="R143" t="inlineStr">
        <is>
          <t xml:space="preserve"> </t>
        </is>
      </c>
      <c r="S143" s="103" t="inlineStr">
        <is>
          <t xml:space="preserve"> </t>
        </is>
      </c>
      <c r="T143" t="inlineStr">
        <is>
          <t>Por falta de código BPIN, no se encontró ejecución en PIIP</t>
        </is>
      </c>
      <c r="U143" t="inlineStr">
        <is>
          <t xml:space="preserve"> </t>
        </is>
      </c>
      <c r="V143" s="104" t="inlineStr">
        <is>
          <t xml:space="preserve"> </t>
        </is>
      </c>
      <c r="W143" t="inlineStr">
        <is>
          <t>Por falta de código BPIN, no se encontró ejecución en PIIP</t>
        </is>
      </c>
    </row>
    <row r="144">
      <c r="A144" t="inlineStr">
        <is>
          <t>IP-162</t>
        </is>
      </c>
      <c r="B144" t="inlineStr">
        <is>
          <t>33</t>
        </is>
      </c>
      <c r="C144" t="inlineStr">
        <is>
          <t>Cultura</t>
        </is>
      </c>
      <c r="D144" t="inlineStr">
        <is>
          <t>3301</t>
        </is>
      </c>
      <c r="E144" t="inlineStr">
        <is>
          <t>Promoción y acceso efectivo a procesos culturales y artísticos</t>
        </is>
      </c>
      <c r="F144" t="inlineStr">
        <is>
          <t>3301127</t>
        </is>
      </c>
      <c r="G144" t="inlineStr">
        <is>
          <t>Infraestructuras culturales dotadas</t>
        </is>
      </c>
      <c r="H144" t="inlineStr">
        <is>
          <t>330112700</t>
        </is>
      </c>
      <c r="I144" t="inlineStr">
        <is>
          <t>Infraestructuras culturales dotadas</t>
        </is>
      </c>
      <c r="J144" t="inlineStr">
        <is>
          <t>2024252140144</t>
        </is>
      </c>
      <c r="K144" t="inlineStr">
        <is>
          <t>No</t>
        </is>
      </c>
      <c r="L144" t="inlineStr">
        <is>
          <t>Número</t>
        </is>
      </c>
      <c r="M144">
        <v>1</v>
      </c>
      <c r="N144">
        <v>1</v>
      </c>
      <c r="O144">
        <v>1</v>
      </c>
      <c r="P144">
        <v>1</v>
      </c>
      <c r="Q144">
        <v>1</v>
      </c>
      <c r="R144" t="inlineStr">
        <is>
          <t xml:space="preserve"> </t>
        </is>
      </c>
      <c r="S144" s="103" t="inlineStr">
        <is>
          <t xml:space="preserve"> </t>
        </is>
      </c>
      <c r="T144" t="inlineStr">
        <is>
          <t>No se encontró ejecución en PIIP</t>
        </is>
      </c>
      <c r="U144" t="inlineStr">
        <is>
          <t xml:space="preserve"> </t>
        </is>
      </c>
      <c r="V144" s="104" t="inlineStr">
        <is>
          <t xml:space="preserve"> </t>
        </is>
      </c>
      <c r="W144" t="inlineStr">
        <is>
          <t>No se encontró ejecución en PIIP</t>
        </is>
      </c>
    </row>
    <row r="145">
      <c r="A145" t="inlineStr">
        <is>
          <t>IP-163</t>
        </is>
      </c>
      <c r="B145" t="inlineStr">
        <is>
          <t>33</t>
        </is>
      </c>
      <c r="C145" t="inlineStr">
        <is>
          <t>Cultura</t>
        </is>
      </c>
      <c r="D145" t="inlineStr">
        <is>
          <t>3301</t>
        </is>
      </c>
      <c r="E145" t="inlineStr">
        <is>
          <t>Promoción y acceso efectivo a procesos culturales y artísticos</t>
        </is>
      </c>
      <c r="F145" t="inlineStr">
        <is>
          <t>3301088</t>
        </is>
      </c>
      <c r="G145" t="inlineStr">
        <is>
          <t>Centros culturales construidos</t>
        </is>
      </c>
      <c r="H145" t="inlineStr">
        <is>
          <t>330108800</t>
        </is>
      </c>
      <c r="I145" t="inlineStr">
        <is>
          <t>Centros culturales construidos</t>
        </is>
      </c>
      <c r="J145" t="inlineStr">
        <is>
          <t>2024252140116</t>
        </is>
      </c>
      <c r="K145" t="inlineStr">
        <is>
          <t>Si</t>
        </is>
      </c>
      <c r="L145" t="inlineStr">
        <is>
          <t>Número</t>
        </is>
      </c>
      <c r="M145">
        <v>1</v>
      </c>
      <c r="N145">
        <v>0</v>
      </c>
      <c r="O145">
        <v>0</v>
      </c>
      <c r="P145">
        <v>1</v>
      </c>
      <c r="Q145">
        <v>0</v>
      </c>
      <c r="R145" t="inlineStr">
        <is>
          <t xml:space="preserve"> </t>
        </is>
      </c>
      <c r="S145" s="103" t="inlineStr">
        <is>
          <t xml:space="preserve"> </t>
        </is>
      </c>
      <c r="T145" t="inlineStr">
        <is>
          <t>No se encontró ejecución en PIIP</t>
        </is>
      </c>
      <c r="U145" t="inlineStr">
        <is>
          <t xml:space="preserve"> </t>
        </is>
      </c>
      <c r="V145" s="104" t="inlineStr">
        <is>
          <t xml:space="preserve"> </t>
        </is>
      </c>
      <c r="W145" t="inlineStr">
        <is>
          <t>No se encontró ejecución en PIIP</t>
        </is>
      </c>
    </row>
    <row r="146">
      <c r="A146" t="inlineStr">
        <is>
          <t>IP-164</t>
        </is>
      </c>
      <c r="B146" t="inlineStr">
        <is>
          <t>33</t>
        </is>
      </c>
      <c r="C146" t="inlineStr">
        <is>
          <t>Cultura</t>
        </is>
      </c>
      <c r="D146" t="inlineStr">
        <is>
          <t>3301</t>
        </is>
      </c>
      <c r="E146" t="inlineStr">
        <is>
          <t>Promoción y acceso efectivo a procesos culturales y artísticos</t>
        </is>
      </c>
      <c r="F146" t="inlineStr">
        <is>
          <t>3301073</t>
        </is>
      </c>
      <c r="G146" t="inlineStr">
        <is>
          <t>Servicio de circulación artística y cultural</t>
        </is>
      </c>
      <c r="H146" t="inlineStr">
        <is>
          <t>330107300</t>
        </is>
      </c>
      <c r="I146" t="inlineStr">
        <is>
          <t>Contenidos culturales  en circulación</t>
        </is>
      </c>
      <c r="J146" t="inlineStr">
        <is>
          <t>2024252140144</t>
        </is>
      </c>
      <c r="K146" t="inlineStr">
        <is>
          <t>Si</t>
        </is>
      </c>
      <c r="L146" t="inlineStr">
        <is>
          <t>Número</t>
        </is>
      </c>
      <c r="M146">
        <v>1</v>
      </c>
      <c r="N146">
        <v>1</v>
      </c>
      <c r="O146">
        <v>1</v>
      </c>
      <c r="P146">
        <v>1</v>
      </c>
      <c r="Q146">
        <v>1</v>
      </c>
      <c r="R146" t="inlineStr">
        <is>
          <t xml:space="preserve"> </t>
        </is>
      </c>
      <c r="S146" s="103" t="inlineStr">
        <is>
          <t xml:space="preserve"> </t>
        </is>
      </c>
      <c r="T146" t="inlineStr">
        <is>
          <t>No se encontró ejecución en PIIP</t>
        </is>
      </c>
      <c r="U146" t="inlineStr">
        <is>
          <t xml:space="preserve"> </t>
        </is>
      </c>
      <c r="V146" s="104" t="inlineStr">
        <is>
          <t xml:space="preserve"> </t>
        </is>
      </c>
      <c r="W146" t="inlineStr">
        <is>
          <t>No se encontró ejecución en PIIP</t>
        </is>
      </c>
    </row>
    <row r="147">
      <c r="A147" t="inlineStr">
        <is>
          <t>IP-165</t>
        </is>
      </c>
      <c r="B147" t="inlineStr">
        <is>
          <t>33</t>
        </is>
      </c>
      <c r="C147" t="inlineStr">
        <is>
          <t>Cultura</t>
        </is>
      </c>
      <c r="D147" t="inlineStr">
        <is>
          <t>3301</t>
        </is>
      </c>
      <c r="E147" t="inlineStr">
        <is>
          <t>Promoción y acceso efectivo a procesos culturales y artísticos</t>
        </is>
      </c>
      <c r="F147" t="inlineStr">
        <is>
          <t>3301070</t>
        </is>
      </c>
      <c r="G147" t="inlineStr">
        <is>
          <t>Documentos de lineamientos técnicos</t>
        </is>
      </c>
      <c r="H147" t="inlineStr">
        <is>
          <t>330107003</t>
        </is>
      </c>
      <c r="I147" t="inlineStr">
        <is>
          <t>Documentos de lineamientos técnicos sobre la educación artística y cultural realizados</t>
        </is>
      </c>
      <c r="J147" t="inlineStr">
        <is>
          <t>2024252140148</t>
        </is>
      </c>
      <c r="K147" t="inlineStr">
        <is>
          <t>Si</t>
        </is>
      </c>
      <c r="L147" t="inlineStr">
        <is>
          <t>Número</t>
        </is>
      </c>
      <c r="M147">
        <v>1</v>
      </c>
      <c r="N147">
        <v>35</v>
      </c>
      <c r="O147">
        <v>115</v>
      </c>
      <c r="P147">
        <v>120</v>
      </c>
      <c r="Q147">
        <v>130</v>
      </c>
      <c r="R147" t="inlineStr">
        <is>
          <t xml:space="preserve"> </t>
        </is>
      </c>
      <c r="S147" s="103" t="inlineStr">
        <is>
          <t xml:space="preserve"> </t>
        </is>
      </c>
      <c r="T147" t="inlineStr">
        <is>
          <t>No se encontró ejecución en PIIP</t>
        </is>
      </c>
      <c r="U147" t="inlineStr">
        <is>
          <t xml:space="preserve"> </t>
        </is>
      </c>
      <c r="V147" s="104" t="inlineStr">
        <is>
          <t xml:space="preserve"> </t>
        </is>
      </c>
      <c r="W147" t="inlineStr">
        <is>
          <t>No se encontró ejecución en PIIP</t>
        </is>
      </c>
    </row>
    <row r="148">
      <c r="A148" t="inlineStr">
        <is>
          <t>IP-166</t>
        </is>
      </c>
      <c r="B148" t="inlineStr">
        <is>
          <t>33</t>
        </is>
      </c>
      <c r="C148" t="inlineStr">
        <is>
          <t>Cultura</t>
        </is>
      </c>
      <c r="D148" t="inlineStr">
        <is>
          <t>3301</t>
        </is>
      </c>
      <c r="E148" t="inlineStr">
        <is>
          <t>Promoción y acceso efectivo a procesos culturales y artísticos</t>
        </is>
      </c>
      <c r="F148" t="inlineStr">
        <is>
          <t>3301051</t>
        </is>
      </c>
      <c r="G148" t="inlineStr">
        <is>
          <t>Servicio de educación informal al sector artístico y cultural</t>
        </is>
      </c>
      <c r="H148" t="inlineStr">
        <is>
          <t>330105110</t>
        </is>
      </c>
      <c r="I148" t="inlineStr">
        <is>
          <t>Capacitaciones de educación informal realizadas</t>
        </is>
      </c>
      <c r="J148" t="inlineStr">
        <is>
          <t>2024252140144</t>
        </is>
      </c>
      <c r="K148" t="inlineStr">
        <is>
          <t>No</t>
        </is>
      </c>
      <c r="L148" t="inlineStr">
        <is>
          <t>Número</t>
        </is>
      </c>
      <c r="M148">
        <v>130</v>
      </c>
      <c r="N148">
        <v>0</v>
      </c>
      <c r="O148">
        <v>0.3</v>
      </c>
      <c r="P148">
        <v>0.3</v>
      </c>
      <c r="Q148">
        <v>0.4</v>
      </c>
      <c r="R148">
        <v>18200</v>
      </c>
      <c r="S148" s="103" t="inlineStr">
        <is>
          <t xml:space="preserve"> </t>
        </is>
      </c>
      <c r="T148" t="inlineStr">
        <is>
          <t>Se ejecutó un producto no programado en la vigencia</t>
        </is>
      </c>
      <c r="U148" t="inlineStr">
        <is>
          <t xml:space="preserve"> </t>
        </is>
      </c>
      <c r="V148" s="104" t="inlineStr">
        <is>
          <t xml:space="preserve"> </t>
        </is>
      </c>
      <c r="W148" t="inlineStr">
        <is>
          <t>No se encontró ejecución en PIIP</t>
        </is>
      </c>
    </row>
    <row r="149">
      <c r="A149" t="inlineStr">
        <is>
          <t>IP-167</t>
        </is>
      </c>
      <c r="B149" t="inlineStr">
        <is>
          <t>33</t>
        </is>
      </c>
      <c r="C149" t="inlineStr">
        <is>
          <t>Cultura</t>
        </is>
      </c>
      <c r="D149" t="inlineStr">
        <is>
          <t>3301</t>
        </is>
      </c>
      <c r="E149" t="inlineStr">
        <is>
          <t>Promoción y acceso efectivo a procesos culturales y artísticos</t>
        </is>
      </c>
      <c r="F149" t="inlineStr">
        <is>
          <t>3301052</t>
        </is>
      </c>
      <c r="G149" t="inlineStr">
        <is>
          <t>Servicio de educación formal al sector artístico y cultural</t>
        </is>
      </c>
      <c r="H149" t="inlineStr">
        <is>
          <t>330105200</t>
        </is>
      </c>
      <c r="I149" t="inlineStr">
        <is>
          <t>Personas capacitadas</t>
        </is>
      </c>
      <c r="J149" t="inlineStr">
        <is>
          <t>2024252140145</t>
        </is>
      </c>
      <c r="K149" t="inlineStr">
        <is>
          <t>Si</t>
        </is>
      </c>
      <c r="L149" t="inlineStr">
        <is>
          <t>Número</t>
        </is>
      </c>
      <c r="M149">
        <v>150</v>
      </c>
      <c r="N149">
        <v>130</v>
      </c>
      <c r="O149">
        <v>130</v>
      </c>
      <c r="P149">
        <v>130</v>
      </c>
      <c r="Q149">
        <v>130</v>
      </c>
      <c r="R149" t="inlineStr">
        <is>
          <t xml:space="preserve"> </t>
        </is>
      </c>
      <c r="S149" s="103" t="inlineStr">
        <is>
          <t xml:space="preserve"> </t>
        </is>
      </c>
      <c r="T149" t="inlineStr">
        <is>
          <t>No se encontró ejecución en PIIP</t>
        </is>
      </c>
      <c r="U149" t="inlineStr">
        <is>
          <t xml:space="preserve"> </t>
        </is>
      </c>
      <c r="V149" s="104" t="inlineStr">
        <is>
          <t xml:space="preserve"> </t>
        </is>
      </c>
      <c r="W149" t="inlineStr">
        <is>
          <t>No se encontró ejecución en PIIP</t>
        </is>
      </c>
    </row>
    <row r="150">
      <c r="A150" t="inlineStr">
        <is>
          <t>IP-168</t>
        </is>
      </c>
      <c r="B150" t="inlineStr">
        <is>
          <t>33</t>
        </is>
      </c>
      <c r="C150" t="inlineStr">
        <is>
          <t>Cultura</t>
        </is>
      </c>
      <c r="D150" t="inlineStr">
        <is>
          <t>3301</t>
        </is>
      </c>
      <c r="E150" t="inlineStr">
        <is>
          <t>Promoción y acceso efectivo a procesos culturales y artísticos</t>
        </is>
      </c>
      <c r="F150" t="inlineStr">
        <is>
          <t>3301054</t>
        </is>
      </c>
      <c r="G150" t="inlineStr">
        <is>
          <t>Servicio de apoyo financiero al sector artístico y cultural</t>
        </is>
      </c>
      <c r="H150" t="inlineStr">
        <is>
          <t>330105400</t>
        </is>
      </c>
      <c r="I150" t="inlineStr">
        <is>
          <t>Estímulos otorgados</t>
        </is>
      </c>
      <c r="J150" t="inlineStr">
        <is>
          <t>2024252140145</t>
        </is>
      </c>
      <c r="K150" t="inlineStr">
        <is>
          <t>Si</t>
        </is>
      </c>
      <c r="L150" t="inlineStr">
        <is>
          <t>Número</t>
        </is>
      </c>
      <c r="M150">
        <v>100</v>
      </c>
      <c r="N150">
        <v>20</v>
      </c>
      <c r="O150">
        <v>40</v>
      </c>
      <c r="P150">
        <v>40</v>
      </c>
      <c r="Q150">
        <v>50</v>
      </c>
      <c r="R150" t="inlineStr">
        <is>
          <t xml:space="preserve"> </t>
        </is>
      </c>
      <c r="S150" s="103" t="inlineStr">
        <is>
          <t xml:space="preserve"> </t>
        </is>
      </c>
      <c r="T150" t="inlineStr">
        <is>
          <t>No se encontró ejecución en PIIP</t>
        </is>
      </c>
      <c r="U150" t="inlineStr">
        <is>
          <t xml:space="preserve"> </t>
        </is>
      </c>
      <c r="V150" s="104" t="inlineStr">
        <is>
          <t xml:space="preserve"> </t>
        </is>
      </c>
      <c r="W150" t="inlineStr">
        <is>
          <t>No se encontró ejecución en PIIP</t>
        </is>
      </c>
    </row>
    <row r="151">
      <c r="A151" t="inlineStr">
        <is>
          <t>IP-169</t>
        </is>
      </c>
      <c r="B151" t="inlineStr">
        <is>
          <t>33</t>
        </is>
      </c>
      <c r="C151" t="inlineStr">
        <is>
          <t>Cultura</t>
        </is>
      </c>
      <c r="D151" t="inlineStr">
        <is>
          <t>3301</t>
        </is>
      </c>
      <c r="E151" t="inlineStr">
        <is>
          <t>Promoción y acceso efectivo a procesos culturales y artísticos</t>
        </is>
      </c>
      <c r="F151" t="inlineStr">
        <is>
          <t>3301053</t>
        </is>
      </c>
      <c r="G151" t="inlineStr">
        <is>
          <t>Servicio de promoción de actividades culturales</t>
        </is>
      </c>
      <c r="H151" t="inlineStr">
        <is>
          <t>330105300</t>
        </is>
      </c>
      <c r="I151" t="inlineStr">
        <is>
          <t>Eventos de promoción de actividades culturales realizados</t>
        </is>
      </c>
      <c r="J151" t="inlineStr">
        <is>
          <t>2024252140146</t>
        </is>
      </c>
      <c r="K151" t="inlineStr">
        <is>
          <t>No</t>
        </is>
      </c>
      <c r="L151" t="inlineStr">
        <is>
          <t>Número</t>
        </is>
      </c>
      <c r="M151">
        <v>21</v>
      </c>
      <c r="N151">
        <v>25</v>
      </c>
      <c r="O151">
        <v>25</v>
      </c>
      <c r="P151">
        <v>25</v>
      </c>
      <c r="Q151">
        <v>25</v>
      </c>
      <c r="R151">
        <v>22</v>
      </c>
      <c r="S151" s="103">
        <v>0.88</v>
      </c>
      <c r="T151" t="inlineStr">
        <is>
          <t>Lo ejecutado está por debajo de lo programado en la vigencia</t>
        </is>
      </c>
      <c r="U151" t="inlineStr">
        <is>
          <t xml:space="preserve"> </t>
        </is>
      </c>
      <c r="V151" s="104" t="inlineStr">
        <is>
          <t xml:space="preserve"> </t>
        </is>
      </c>
      <c r="W151" t="inlineStr">
        <is>
          <t>No se encontró ejecución en PIIP</t>
        </is>
      </c>
    </row>
    <row r="152">
      <c r="A152" t="inlineStr">
        <is>
          <t>IP-170</t>
        </is>
      </c>
      <c r="B152" t="inlineStr">
        <is>
          <t>33</t>
        </is>
      </c>
      <c r="C152" t="inlineStr">
        <is>
          <t>Cultura</t>
        </is>
      </c>
      <c r="D152" t="inlineStr">
        <is>
          <t>3301</t>
        </is>
      </c>
      <c r="E152" t="inlineStr">
        <is>
          <t>Promoción y acceso efectivo a procesos culturales y artísticos</t>
        </is>
      </c>
      <c r="F152" t="inlineStr">
        <is>
          <t>3301085</t>
        </is>
      </c>
      <c r="G152" t="inlineStr">
        <is>
          <t>Servicios bibliotecarios</t>
        </is>
      </c>
      <c r="H152" t="inlineStr">
        <is>
          <t>330108500</t>
        </is>
      </c>
      <c r="I152" t="inlineStr">
        <is>
          <t>Usuarios atendidos</t>
        </is>
      </c>
      <c r="J152" t="inlineStr">
        <is>
          <t>2024252140147</t>
        </is>
      </c>
      <c r="K152" t="inlineStr">
        <is>
          <t>No</t>
        </is>
      </c>
      <c r="L152" t="inlineStr">
        <is>
          <t>Número</t>
        </is>
      </c>
      <c r="M152">
        <v>3000</v>
      </c>
      <c r="N152">
        <v>21</v>
      </c>
      <c r="O152">
        <v>21</v>
      </c>
      <c r="P152">
        <v>21</v>
      </c>
      <c r="Q152">
        <v>21</v>
      </c>
      <c r="R152">
        <v>3000</v>
      </c>
      <c r="S152" s="103">
        <v>142.857142857143</v>
      </c>
      <c r="T152" t="inlineStr">
        <is>
          <t>Hubo ejecución por encima de lo programado en SisPT</t>
        </is>
      </c>
      <c r="U152" t="inlineStr">
        <is>
          <t xml:space="preserve"> </t>
        </is>
      </c>
      <c r="V152" s="104" t="inlineStr">
        <is>
          <t xml:space="preserve"> </t>
        </is>
      </c>
      <c r="W152" t="inlineStr">
        <is>
          <t>No se encontró ejecución en PIIP</t>
        </is>
      </c>
    </row>
    <row r="153">
      <c r="A153" t="inlineStr">
        <is>
          <t>IP-171</t>
        </is>
      </c>
      <c r="B153" t="inlineStr">
        <is>
          <t>33</t>
        </is>
      </c>
      <c r="C153" t="inlineStr">
        <is>
          <t>Cultura</t>
        </is>
      </c>
      <c r="D153" t="inlineStr">
        <is>
          <t>3301</t>
        </is>
      </c>
      <c r="E153" t="inlineStr">
        <is>
          <t>Promoción y acceso efectivo a procesos culturales y artísticos</t>
        </is>
      </c>
      <c r="F153" t="inlineStr">
        <is>
          <t>3301053</t>
        </is>
      </c>
      <c r="G153" t="inlineStr">
        <is>
          <t>Servicio de promoción de actividades culturales</t>
        </is>
      </c>
      <c r="H153" t="inlineStr">
        <is>
          <t>330105301</t>
        </is>
      </c>
      <c r="I153" t="inlineStr">
        <is>
          <t>Actividades culturales para la promoción de la cultura realizadas</t>
        </is>
      </c>
      <c r="J153" t="inlineStr">
        <is>
          <t>2024252140146</t>
        </is>
      </c>
      <c r="K153" t="inlineStr">
        <is>
          <t>Si</t>
        </is>
      </c>
      <c r="L153" t="inlineStr">
        <is>
          <t>Número</t>
        </is>
      </c>
      <c r="M153">
        <v>1</v>
      </c>
      <c r="N153">
        <v>3000</v>
      </c>
      <c r="O153">
        <v>3000</v>
      </c>
      <c r="P153">
        <v>3000</v>
      </c>
      <c r="Q153">
        <v>3000</v>
      </c>
      <c r="R153" t="inlineStr">
        <is>
          <t xml:space="preserve"> </t>
        </is>
      </c>
      <c r="S153" s="103" t="inlineStr">
        <is>
          <t xml:space="preserve"> </t>
        </is>
      </c>
      <c r="T153" t="inlineStr">
        <is>
          <t>No se encontró ejecución en PIIP</t>
        </is>
      </c>
      <c r="U153" t="inlineStr">
        <is>
          <t xml:space="preserve"> </t>
        </is>
      </c>
      <c r="V153" s="104" t="inlineStr">
        <is>
          <t xml:space="preserve"> </t>
        </is>
      </c>
      <c r="W153" t="inlineStr">
        <is>
          <t>No se encontró ejecución en PIIP</t>
        </is>
      </c>
    </row>
    <row r="154">
      <c r="A154" t="inlineStr">
        <is>
          <t>IP-172</t>
        </is>
      </c>
      <c r="B154" t="inlineStr">
        <is>
          <t>33</t>
        </is>
      </c>
      <c r="C154" t="inlineStr">
        <is>
          <t>Cultura</t>
        </is>
      </c>
      <c r="D154" t="inlineStr">
        <is>
          <t>3301</t>
        </is>
      </c>
      <c r="E154" t="inlineStr">
        <is>
          <t>Promoción y acceso efectivo a procesos culturales y artísticos</t>
        </is>
      </c>
      <c r="F154" t="inlineStr">
        <is>
          <t>3301129</t>
        </is>
      </c>
      <c r="G154" t="inlineStr">
        <is>
          <t>Documentos de planeación</t>
        </is>
      </c>
      <c r="H154" t="inlineStr">
        <is>
          <t>330112900</t>
        </is>
      </c>
      <c r="I154" t="inlineStr">
        <is>
          <t>Documentos de planeación realizados</t>
        </is>
      </c>
      <c r="J154" t="inlineStr">
        <is>
          <t>2024252140148</t>
        </is>
      </c>
      <c r="K154" t="inlineStr">
        <is>
          <t>Si</t>
        </is>
      </c>
      <c r="L154" t="inlineStr">
        <is>
          <t>Número</t>
        </is>
      </c>
      <c r="M154">
        <v>1</v>
      </c>
      <c r="N154">
        <v>0.25</v>
      </c>
      <c r="O154">
        <v>0.25</v>
      </c>
      <c r="P154">
        <v>0.25</v>
      </c>
      <c r="Q154">
        <v>0.25</v>
      </c>
      <c r="R154" t="inlineStr">
        <is>
          <t xml:space="preserve"> </t>
        </is>
      </c>
      <c r="S154" s="103" t="inlineStr">
        <is>
          <t xml:space="preserve"> </t>
        </is>
      </c>
      <c r="T154" t="inlineStr">
        <is>
          <t>No se encontró ejecución en PIIP</t>
        </is>
      </c>
      <c r="U154" t="inlineStr">
        <is>
          <t xml:space="preserve"> </t>
        </is>
      </c>
      <c r="V154" s="104" t="inlineStr">
        <is>
          <t xml:space="preserve"> </t>
        </is>
      </c>
      <c r="W154" t="inlineStr">
        <is>
          <t>No se encontró ejecución en PIIP</t>
        </is>
      </c>
    </row>
    <row r="155">
      <c r="A155" t="inlineStr">
        <is>
          <t>IP-173</t>
        </is>
      </c>
      <c r="B155" t="inlineStr">
        <is>
          <t>33</t>
        </is>
      </c>
      <c r="C155" t="inlineStr">
        <is>
          <t>Cultura</t>
        </is>
      </c>
      <c r="D155" t="inlineStr">
        <is>
          <t>3301</t>
        </is>
      </c>
      <c r="E155" t="inlineStr">
        <is>
          <t>Promoción y acceso efectivo a procesos culturales y artísticos</t>
        </is>
      </c>
      <c r="F155" t="inlineStr">
        <is>
          <t>3301053</t>
        </is>
      </c>
      <c r="G155" t="inlineStr">
        <is>
          <t>Servicio de promoción de actividades culturales</t>
        </is>
      </c>
      <c r="H155" t="inlineStr">
        <is>
          <t>330105301</t>
        </is>
      </c>
      <c r="I155" t="inlineStr">
        <is>
          <t>Actividades culturales para la promoción de la cultura realizadas</t>
        </is>
      </c>
      <c r="J155" t="inlineStr">
        <is>
          <t>2024252140149</t>
        </is>
      </c>
      <c r="K155" t="inlineStr">
        <is>
          <t>No</t>
        </is>
      </c>
      <c r="L155" t="inlineStr">
        <is>
          <t>Número</t>
        </is>
      </c>
      <c r="M155">
        <v>1</v>
      </c>
      <c r="N155">
        <v>0</v>
      </c>
      <c r="O155">
        <v>0.333</v>
      </c>
      <c r="P155">
        <v>0.333</v>
      </c>
      <c r="Q155">
        <v>0.334</v>
      </c>
      <c r="R155" t="inlineStr">
        <is>
          <t xml:space="preserve"> </t>
        </is>
      </c>
      <c r="S155" s="103" t="inlineStr">
        <is>
          <t xml:space="preserve"> </t>
        </is>
      </c>
      <c r="T155" t="inlineStr">
        <is>
          <t>No se encontró ejecución en PIIP</t>
        </is>
      </c>
      <c r="U155" t="inlineStr">
        <is>
          <t xml:space="preserve"> </t>
        </is>
      </c>
      <c r="V155" s="104" t="inlineStr">
        <is>
          <t xml:space="preserve"> </t>
        </is>
      </c>
      <c r="W155" t="inlineStr">
        <is>
          <t>No se encontró ejecución en PIIP</t>
        </is>
      </c>
    </row>
    <row r="156">
      <c r="A156" t="inlineStr">
        <is>
          <t>IP-174</t>
        </is>
      </c>
      <c r="B156" t="inlineStr">
        <is>
          <t>33</t>
        </is>
      </c>
      <c r="C156" t="inlineStr">
        <is>
          <t>Cultura</t>
        </is>
      </c>
      <c r="D156" t="inlineStr">
        <is>
          <t>3301</t>
        </is>
      </c>
      <c r="E156" t="inlineStr">
        <is>
          <t>Promoción y acceso efectivo a procesos culturales y artísticos</t>
        </is>
      </c>
      <c r="F156" t="inlineStr">
        <is>
          <t>3301053</t>
        </is>
      </c>
      <c r="G156" t="inlineStr">
        <is>
          <t>Servicio de promoción de actividades culturales</t>
        </is>
      </c>
      <c r="H156" t="inlineStr">
        <is>
          <t>330105300</t>
        </is>
      </c>
      <c r="I156" t="inlineStr">
        <is>
          <t>Eventos de promoción de actividades culturales realizados</t>
        </is>
      </c>
      <c r="J156" t="inlineStr">
        <is>
          <t>2024252140149</t>
        </is>
      </c>
      <c r="K156" t="inlineStr">
        <is>
          <t>Si</t>
        </is>
      </c>
      <c r="L156" t="inlineStr">
        <is>
          <t>Número</t>
        </is>
      </c>
      <c r="M156">
        <v>1</v>
      </c>
      <c r="N156">
        <v>1</v>
      </c>
      <c r="O156">
        <v>1</v>
      </c>
      <c r="P156">
        <v>1</v>
      </c>
      <c r="Q156">
        <v>1</v>
      </c>
      <c r="R156" t="inlineStr">
        <is>
          <t xml:space="preserve"> </t>
        </is>
      </c>
      <c r="S156" s="103" t="inlineStr">
        <is>
          <t xml:space="preserve"> </t>
        </is>
      </c>
      <c r="T156" t="inlineStr">
        <is>
          <t>No se encontró ejecución en PIIP</t>
        </is>
      </c>
      <c r="U156" t="inlineStr">
        <is>
          <t xml:space="preserve"> </t>
        </is>
      </c>
      <c r="V156" s="104" t="inlineStr">
        <is>
          <t xml:space="preserve"> </t>
        </is>
      </c>
      <c r="W156" t="inlineStr">
        <is>
          <t>No se encontró ejecución en PIIP</t>
        </is>
      </c>
    </row>
    <row r="157">
      <c r="A157" t="inlineStr">
        <is>
          <t>IP-175</t>
        </is>
      </c>
      <c r="B157" t="inlineStr">
        <is>
          <t>33</t>
        </is>
      </c>
      <c r="C157" t="inlineStr">
        <is>
          <t>Cultura</t>
        </is>
      </c>
      <c r="D157" t="inlineStr">
        <is>
          <t>3301</t>
        </is>
      </c>
      <c r="E157" t="inlineStr">
        <is>
          <t>Promoción y acceso efectivo a procesos culturales y artísticos</t>
        </is>
      </c>
      <c r="F157" t="inlineStr">
        <is>
          <t>3301074</t>
        </is>
      </c>
      <c r="G157" t="inlineStr">
        <is>
          <t>Servicio de apoyo para la organización y la participación del sector artístico, cultural y la ciudadanía</t>
        </is>
      </c>
      <c r="H157" t="inlineStr">
        <is>
          <t>330107408</t>
        </is>
      </c>
      <c r="I157" t="inlineStr">
        <is>
          <t>Consejos apoyados</t>
        </is>
      </c>
      <c r="J157" t="inlineStr">
        <is>
          <t>2024252140145</t>
        </is>
      </c>
      <c r="K157" t="inlineStr">
        <is>
          <t>No</t>
        </is>
      </c>
      <c r="L157" t="inlineStr">
        <is>
          <t>Número</t>
        </is>
      </c>
      <c r="M157">
        <v>1</v>
      </c>
      <c r="N157">
        <v>0.25</v>
      </c>
      <c r="O157">
        <v>0.25</v>
      </c>
      <c r="P157">
        <v>0.25</v>
      </c>
      <c r="Q157">
        <v>0.25</v>
      </c>
      <c r="R157" t="inlineStr">
        <is>
          <t xml:space="preserve"> </t>
        </is>
      </c>
      <c r="S157" s="103" t="inlineStr">
        <is>
          <t xml:space="preserve"> </t>
        </is>
      </c>
      <c r="T157" t="inlineStr">
        <is>
          <t>No se encontró ejecución en PIIP</t>
        </is>
      </c>
      <c r="U157" t="inlineStr">
        <is>
          <t xml:space="preserve"> </t>
        </is>
      </c>
      <c r="V157" s="104" t="inlineStr">
        <is>
          <t xml:space="preserve"> </t>
        </is>
      </c>
      <c r="W157" t="inlineStr">
        <is>
          <t>No se encontró ejecución en PIIP</t>
        </is>
      </c>
    </row>
    <row r="158">
      <c r="A158" t="inlineStr">
        <is>
          <t>IP-176</t>
        </is>
      </c>
      <c r="B158" t="inlineStr">
        <is>
          <t>33</t>
        </is>
      </c>
      <c r="C158" t="inlineStr">
        <is>
          <t>Cultura</t>
        </is>
      </c>
      <c r="D158" t="inlineStr">
        <is>
          <t>3301</t>
        </is>
      </c>
      <c r="E158" t="inlineStr">
        <is>
          <t>Promoción y acceso efectivo a procesos culturales y artísticos</t>
        </is>
      </c>
      <c r="F158" t="inlineStr">
        <is>
          <t>3301008</t>
        </is>
      </c>
      <c r="G158" t="inlineStr">
        <is>
          <t>Centros musicales adecuados</t>
        </is>
      </c>
      <c r="H158" t="inlineStr">
        <is>
          <t>330100800</t>
        </is>
      </c>
      <c r="I158" t="inlineStr">
        <is>
          <t>Centros musicales adecuados</t>
        </is>
      </c>
      <c r="J158" t="inlineStr">
        <is>
          <t/>
        </is>
      </c>
      <c r="K158" t="inlineStr">
        <is>
          <t>Si</t>
        </is>
      </c>
      <c r="L158" t="inlineStr">
        <is>
          <t>Número</t>
        </is>
      </c>
      <c r="M158">
        <v>1</v>
      </c>
      <c r="N158">
        <v>1</v>
      </c>
      <c r="O158">
        <v>1</v>
      </c>
      <c r="P158">
        <v>1</v>
      </c>
      <c r="Q158">
        <v>1</v>
      </c>
      <c r="R158" t="inlineStr">
        <is>
          <t xml:space="preserve"> </t>
        </is>
      </c>
      <c r="S158" s="103" t="inlineStr">
        <is>
          <t xml:space="preserve"> </t>
        </is>
      </c>
      <c r="T158" t="inlineStr">
        <is>
          <t>Por falta de código BPIN, no se encontró ejecución en PIIP</t>
        </is>
      </c>
      <c r="U158" t="inlineStr">
        <is>
          <t xml:space="preserve"> </t>
        </is>
      </c>
      <c r="V158" s="104" t="inlineStr">
        <is>
          <t xml:space="preserve"> </t>
        </is>
      </c>
      <c r="W158" t="inlineStr">
        <is>
          <t>Por falta de código BPIN, no se encontró ejecución en PIIP</t>
        </is>
      </c>
    </row>
    <row r="159">
      <c r="A159" t="inlineStr">
        <is>
          <t>IP-177</t>
        </is>
      </c>
      <c r="B159" t="inlineStr">
        <is>
          <t>33</t>
        </is>
      </c>
      <c r="C159" t="inlineStr">
        <is>
          <t>Cultura</t>
        </is>
      </c>
      <c r="D159" t="inlineStr">
        <is>
          <t>3302</t>
        </is>
      </c>
      <c r="E159" t="inlineStr">
        <is>
          <t>Gestión, protección y salvaguardia del patrimonio cultural colombiano</t>
        </is>
      </c>
      <c r="F159" t="inlineStr">
        <is>
          <t>3302022</t>
        </is>
      </c>
      <c r="G159" t="inlineStr">
        <is>
          <t>Servicio de asistencia técnica en asuntos de patrimonio cultural sumergido</t>
        </is>
      </c>
      <c r="H159" t="inlineStr">
        <is>
          <t>330202201</t>
        </is>
      </c>
      <c r="I159" t="inlineStr">
        <is>
          <t>Planes de manejo ejecutados</t>
        </is>
      </c>
      <c r="J159" t="inlineStr">
        <is>
          <t>2024252140150</t>
        </is>
      </c>
      <c r="K159" t="inlineStr">
        <is>
          <t>Si</t>
        </is>
      </c>
      <c r="L159" t="inlineStr">
        <is>
          <t>Número</t>
        </is>
      </c>
      <c r="M159">
        <v>1</v>
      </c>
      <c r="N159">
        <v>0</v>
      </c>
      <c r="O159">
        <v>0.333</v>
      </c>
      <c r="P159">
        <v>0.333</v>
      </c>
      <c r="Q159">
        <v>0.334</v>
      </c>
      <c r="R159" t="inlineStr">
        <is>
          <t xml:space="preserve"> </t>
        </is>
      </c>
      <c r="S159" s="103" t="inlineStr">
        <is>
          <t xml:space="preserve"> </t>
        </is>
      </c>
      <c r="T159" t="inlineStr">
        <is>
          <t>No se encontró ejecución en PIIP</t>
        </is>
      </c>
      <c r="U159" t="inlineStr">
        <is>
          <t xml:space="preserve"> </t>
        </is>
      </c>
      <c r="V159" s="104" t="inlineStr">
        <is>
          <t xml:space="preserve"> </t>
        </is>
      </c>
      <c r="W159" t="inlineStr">
        <is>
          <t>No se encontró ejecución en PIIP</t>
        </is>
      </c>
    </row>
    <row r="160">
      <c r="A160" t="inlineStr">
        <is>
          <t>IP-178</t>
        </is>
      </c>
      <c r="B160" t="inlineStr">
        <is>
          <t>33</t>
        </is>
      </c>
      <c r="C160" t="inlineStr">
        <is>
          <t>Cultura</t>
        </is>
      </c>
      <c r="D160" t="inlineStr">
        <is>
          <t>3302</t>
        </is>
      </c>
      <c r="E160" t="inlineStr">
        <is>
          <t>Gestión, protección y salvaguardia del patrimonio cultural colombiano</t>
        </is>
      </c>
      <c r="F160" t="inlineStr">
        <is>
          <t>3302073</t>
        </is>
      </c>
      <c r="G160" t="inlineStr">
        <is>
          <t>Servicios de restauración del patrimonio cultural material inmueble</t>
        </is>
      </c>
      <c r="H160" t="inlineStr">
        <is>
          <t>330207300</t>
        </is>
      </c>
      <c r="I160" t="inlineStr">
        <is>
          <t>Restauraciones realizadas</t>
        </is>
      </c>
      <c r="J160" t="inlineStr">
        <is>
          <t>2024252140150</t>
        </is>
      </c>
      <c r="K160" t="inlineStr">
        <is>
          <t>Si</t>
        </is>
      </c>
      <c r="L160" t="inlineStr">
        <is>
          <t>Número</t>
        </is>
      </c>
      <c r="M160">
        <v>4</v>
      </c>
      <c r="N160">
        <v>0.25</v>
      </c>
      <c r="O160">
        <v>0.25</v>
      </c>
      <c r="P160">
        <v>0.25</v>
      </c>
      <c r="Q160">
        <v>0.25</v>
      </c>
      <c r="R160" t="inlineStr">
        <is>
          <t xml:space="preserve"> </t>
        </is>
      </c>
      <c r="S160" s="103" t="inlineStr">
        <is>
          <t xml:space="preserve"> </t>
        </is>
      </c>
      <c r="T160" t="inlineStr">
        <is>
          <t>No se encontró ejecución en PIIP</t>
        </is>
      </c>
      <c r="U160" t="inlineStr">
        <is>
          <t xml:space="preserve"> </t>
        </is>
      </c>
      <c r="V160" s="104" t="inlineStr">
        <is>
          <t xml:space="preserve"> </t>
        </is>
      </c>
      <c r="W160" t="inlineStr">
        <is>
          <t>No se encontró ejecución en PIIP</t>
        </is>
      </c>
    </row>
    <row r="161">
      <c r="A161" t="inlineStr">
        <is>
          <t>IP-179</t>
        </is>
      </c>
      <c r="B161" t="inlineStr">
        <is>
          <t>43</t>
        </is>
      </c>
      <c r="C161" t="inlineStr">
        <is>
          <t>Deporte y Recreación</t>
        </is>
      </c>
      <c r="D161" t="inlineStr">
        <is>
          <t>4301</t>
        </is>
      </c>
      <c r="E161" t="inlineStr">
        <is>
          <t>Fomento a la recreación, la actividad física y el deporte para desarrollar entornos de convivencia y paz</t>
        </is>
      </c>
      <c r="F161" t="inlineStr">
        <is>
          <t>4301007</t>
        </is>
      </c>
      <c r="G161" t="inlineStr">
        <is>
          <t>Servicio de Escuelas Deportivas</t>
        </is>
      </c>
      <c r="H161" t="inlineStr">
        <is>
          <t>430100700</t>
        </is>
      </c>
      <c r="I161" t="inlineStr">
        <is>
          <t>Niños, niñas, adolescentes y jóvenes inscritos en Escuelas Deportivas</t>
        </is>
      </c>
      <c r="J161" t="inlineStr">
        <is>
          <t>2024252140087</t>
        </is>
      </c>
      <c r="K161" t="inlineStr">
        <is>
          <t>Si</t>
        </is>
      </c>
      <c r="L161" t="inlineStr">
        <is>
          <t>Número</t>
        </is>
      </c>
      <c r="M161">
        <v>6000</v>
      </c>
      <c r="N161">
        <v>1500</v>
      </c>
      <c r="O161">
        <v>1500</v>
      </c>
      <c r="P161">
        <v>1500</v>
      </c>
      <c r="Q161">
        <v>1500</v>
      </c>
      <c r="R161" t="inlineStr">
        <is>
          <t xml:space="preserve"> </t>
        </is>
      </c>
      <c r="S161" s="103" t="inlineStr">
        <is>
          <t xml:space="preserve"> </t>
        </is>
      </c>
      <c r="T161" t="inlineStr">
        <is>
          <t>No se encontró ejecución en PIIP</t>
        </is>
      </c>
      <c r="U161" t="inlineStr">
        <is>
          <t xml:space="preserve"> </t>
        </is>
      </c>
      <c r="V161" s="104" t="inlineStr">
        <is>
          <t xml:space="preserve"> </t>
        </is>
      </c>
      <c r="W161" t="inlineStr">
        <is>
          <t>No se encontró ejecución en PIIP</t>
        </is>
      </c>
    </row>
    <row r="162">
      <c r="A162" t="inlineStr">
        <is>
          <t>IP-180</t>
        </is>
      </c>
      <c r="B162" t="inlineStr">
        <is>
          <t>43</t>
        </is>
      </c>
      <c r="C162" t="inlineStr">
        <is>
          <t>Deporte y Recreación</t>
        </is>
      </c>
      <c r="D162" t="inlineStr">
        <is>
          <t>4301</t>
        </is>
      </c>
      <c r="E162" t="inlineStr">
        <is>
          <t>Fomento a la recreación, la actividad física y el deporte para desarrollar entornos de convivencia y paz</t>
        </is>
      </c>
      <c r="F162" t="inlineStr">
        <is>
          <t>4301007</t>
        </is>
      </c>
      <c r="G162" t="inlineStr">
        <is>
          <t>Servicio de Escuelas Deportivas</t>
        </is>
      </c>
      <c r="H162" t="inlineStr">
        <is>
          <t>430100701</t>
        </is>
      </c>
      <c r="I162" t="inlineStr">
        <is>
          <t>Municipios con Escuelas Deportivas</t>
        </is>
      </c>
      <c r="J162" t="inlineStr">
        <is>
          <t>2024252140087</t>
        </is>
      </c>
      <c r="K162" t="inlineStr">
        <is>
          <t>No</t>
        </is>
      </c>
      <c r="L162" t="inlineStr">
        <is>
          <t>Número</t>
        </is>
      </c>
      <c r="M162">
        <v>1</v>
      </c>
      <c r="N162">
        <v>1</v>
      </c>
      <c r="O162">
        <v>1</v>
      </c>
      <c r="P162">
        <v>1</v>
      </c>
      <c r="Q162">
        <v>1</v>
      </c>
      <c r="R162" t="inlineStr">
        <is>
          <t xml:space="preserve"> </t>
        </is>
      </c>
      <c r="S162" s="103" t="inlineStr">
        <is>
          <t xml:space="preserve"> </t>
        </is>
      </c>
      <c r="T162" t="inlineStr">
        <is>
          <t>No se encontró ejecución en PIIP</t>
        </is>
      </c>
      <c r="U162" t="inlineStr">
        <is>
          <t xml:space="preserve"> </t>
        </is>
      </c>
      <c r="V162" s="104" t="inlineStr">
        <is>
          <t xml:space="preserve"> </t>
        </is>
      </c>
      <c r="W162" t="inlineStr">
        <is>
          <t>No se encontró ejecución en PIIP</t>
        </is>
      </c>
    </row>
    <row r="163">
      <c r="A163" t="inlineStr">
        <is>
          <t>IP-181</t>
        </is>
      </c>
      <c r="B163" t="inlineStr">
        <is>
          <t>43</t>
        </is>
      </c>
      <c r="C163" t="inlineStr">
        <is>
          <t>Deporte y Recreación</t>
        </is>
      </c>
      <c r="D163" t="inlineStr">
        <is>
          <t>4301</t>
        </is>
      </c>
      <c r="E163" t="inlineStr">
        <is>
          <t>Fomento a la recreación, la actividad física y el deporte para desarrollar entornos de convivencia y paz</t>
        </is>
      </c>
      <c r="F163" t="inlineStr">
        <is>
          <t>4301037</t>
        </is>
      </c>
      <c r="G163" t="inlineStr">
        <is>
          <t>Servicio de promoción de la actividad física, la recreación y el deporte</t>
        </is>
      </c>
      <c r="H163" t="inlineStr">
        <is>
          <t>430103704</t>
        </is>
      </c>
      <c r="I163" t="inlineStr">
        <is>
          <t>Municipios implementando  programas de recreación, actividad física y deporte social comunitario</t>
        </is>
      </c>
      <c r="J163" t="inlineStr">
        <is>
          <t>2024252140087</t>
        </is>
      </c>
      <c r="K163" t="inlineStr">
        <is>
          <t>Si</t>
        </is>
      </c>
      <c r="L163" t="inlineStr">
        <is>
          <t>Número</t>
        </is>
      </c>
      <c r="M163">
        <v>1</v>
      </c>
      <c r="N163">
        <v>0.25</v>
      </c>
      <c r="O163">
        <v>0.25</v>
      </c>
      <c r="P163">
        <v>0.25</v>
      </c>
      <c r="Q163">
        <v>0.25</v>
      </c>
      <c r="R163" t="inlineStr">
        <is>
          <t xml:space="preserve"> </t>
        </is>
      </c>
      <c r="S163" s="103" t="inlineStr">
        <is>
          <t xml:space="preserve"> </t>
        </is>
      </c>
      <c r="T163" t="inlineStr">
        <is>
          <t>No se encontró ejecución en PIIP</t>
        </is>
      </c>
      <c r="U163" t="inlineStr">
        <is>
          <t xml:space="preserve"> </t>
        </is>
      </c>
      <c r="V163" s="104" t="inlineStr">
        <is>
          <t xml:space="preserve"> </t>
        </is>
      </c>
      <c r="W163" t="inlineStr">
        <is>
          <t>No se encontró ejecución en PIIP</t>
        </is>
      </c>
    </row>
    <row r="164">
      <c r="A164" t="inlineStr">
        <is>
          <t>IP-182</t>
        </is>
      </c>
      <c r="B164" t="inlineStr">
        <is>
          <t>43</t>
        </is>
      </c>
      <c r="C164" t="inlineStr">
        <is>
          <t>Deporte y Recreación</t>
        </is>
      </c>
      <c r="D164" t="inlineStr">
        <is>
          <t>4301</t>
        </is>
      </c>
      <c r="E164" t="inlineStr">
        <is>
          <t>Fomento a la recreación, la actividad física y el deporte para desarrollar entornos de convivencia y paz</t>
        </is>
      </c>
      <c r="F164" t="inlineStr">
        <is>
          <t>4301004</t>
        </is>
      </c>
      <c r="G164" t="inlineStr">
        <is>
          <t>Servicio de mantenimiento a la infraestructura deportiva</t>
        </is>
      </c>
      <c r="H164" t="inlineStr">
        <is>
          <t>430100400</t>
        </is>
      </c>
      <c r="I164" t="inlineStr">
        <is>
          <t>Infraestructura deportiva mantenida</t>
        </is>
      </c>
      <c r="J164" t="inlineStr">
        <is>
          <t>2024252140087</t>
        </is>
      </c>
      <c r="K164" t="inlineStr">
        <is>
          <t>Si</t>
        </is>
      </c>
      <c r="L164" t="inlineStr">
        <is>
          <t>Número</t>
        </is>
      </c>
      <c r="M164">
        <v>100</v>
      </c>
      <c r="N164">
        <v>25</v>
      </c>
      <c r="O164">
        <v>25</v>
      </c>
      <c r="P164">
        <v>25</v>
      </c>
      <c r="Q164">
        <v>25</v>
      </c>
      <c r="R164" t="inlineStr">
        <is>
          <t xml:space="preserve"> </t>
        </is>
      </c>
      <c r="S164" s="103" t="inlineStr">
        <is>
          <t xml:space="preserve"> </t>
        </is>
      </c>
      <c r="T164" t="inlineStr">
        <is>
          <t>No se encontró ejecución en PIIP</t>
        </is>
      </c>
      <c r="U164" t="inlineStr">
        <is>
          <t xml:space="preserve"> </t>
        </is>
      </c>
      <c r="V164" s="104" t="inlineStr">
        <is>
          <t xml:space="preserve"> </t>
        </is>
      </c>
      <c r="W164" t="inlineStr">
        <is>
          <t>No se encontró ejecución en PIIP</t>
        </is>
      </c>
    </row>
    <row r="165">
      <c r="A165" t="inlineStr">
        <is>
          <t>IP-183, IP-187, IP-188</t>
        </is>
      </c>
      <c r="B165" t="inlineStr">
        <is>
          <t>43</t>
        </is>
      </c>
      <c r="C165" t="inlineStr">
        <is>
          <t>Deporte y Recreación</t>
        </is>
      </c>
      <c r="D165" t="inlineStr">
        <is>
          <t>4301</t>
        </is>
      </c>
      <c r="E165" t="inlineStr">
        <is>
          <t>Fomento a la recreación, la actividad física y el deporte para desarrollar entornos de convivencia y paz</t>
        </is>
      </c>
      <c r="F165" t="inlineStr">
        <is>
          <t>4301004</t>
        </is>
      </c>
      <c r="G165" t="inlineStr">
        <is>
          <t>Servicio de mantenimiento a la infraestructura deportiva</t>
        </is>
      </c>
      <c r="H165" t="inlineStr">
        <is>
          <t>430100401</t>
        </is>
      </c>
      <c r="I165" t="inlineStr">
        <is>
          <t>Intervenciones realizadas a infraestructura deportiva</t>
        </is>
      </c>
      <c r="J165" t="inlineStr">
        <is>
          <t>2024252140087</t>
        </is>
      </c>
      <c r="K165" t="inlineStr">
        <is>
          <t>Si</t>
        </is>
      </c>
      <c r="L165" t="inlineStr">
        <is>
          <t>Número</t>
        </is>
      </c>
      <c r="M165">
        <v>5</v>
      </c>
      <c r="N165">
        <v>0</v>
      </c>
      <c r="O165">
        <v>1.68</v>
      </c>
      <c r="P165">
        <v>1.66</v>
      </c>
      <c r="Q165">
        <v>0.66</v>
      </c>
      <c r="R165" t="inlineStr">
        <is>
          <t xml:space="preserve"> </t>
        </is>
      </c>
      <c r="S165" s="103" t="inlineStr">
        <is>
          <t xml:space="preserve"> </t>
        </is>
      </c>
      <c r="T165" t="inlineStr">
        <is>
          <t>No se encontró ejecución en PIIP</t>
        </is>
      </c>
      <c r="U165" t="inlineStr">
        <is>
          <t xml:space="preserve"> </t>
        </is>
      </c>
      <c r="V165" s="104" t="inlineStr">
        <is>
          <t xml:space="preserve"> </t>
        </is>
      </c>
      <c r="W165" t="inlineStr">
        <is>
          <t>No se encontró ejecución en PIIP</t>
        </is>
      </c>
    </row>
    <row r="166">
      <c r="A166" t="inlineStr">
        <is>
          <t>IP-184</t>
        </is>
      </c>
      <c r="B166" t="inlineStr">
        <is>
          <t>43</t>
        </is>
      </c>
      <c r="C166" t="inlineStr">
        <is>
          <t>Deporte y Recreación</t>
        </is>
      </c>
      <c r="D166" t="inlineStr">
        <is>
          <t>4301</t>
        </is>
      </c>
      <c r="E166" t="inlineStr">
        <is>
          <t>Fomento a la recreación, la actividad física y el deporte para desarrollar entornos de convivencia y paz</t>
        </is>
      </c>
      <c r="F166" t="inlineStr">
        <is>
          <t>4301037</t>
        </is>
      </c>
      <c r="G166" t="inlineStr">
        <is>
          <t>Servicio de promoción de la actividad física, la recreación y el deporte</t>
        </is>
      </c>
      <c r="H166" t="inlineStr">
        <is>
          <t>430103700</t>
        </is>
      </c>
      <c r="I166" t="inlineStr">
        <is>
          <t>Personas que acceden a servicios deportivos, recreativos y de actividad física</t>
        </is>
      </c>
      <c r="J166" t="inlineStr">
        <is>
          <t>2024252140087</t>
        </is>
      </c>
      <c r="K166" t="inlineStr">
        <is>
          <t>No</t>
        </is>
      </c>
      <c r="L166" t="inlineStr">
        <is>
          <t>Número</t>
        </is>
      </c>
      <c r="M166">
        <v>100</v>
      </c>
      <c r="N166">
        <v>100</v>
      </c>
      <c r="O166">
        <v>100</v>
      </c>
      <c r="P166">
        <v>100</v>
      </c>
      <c r="Q166">
        <v>100</v>
      </c>
      <c r="R166">
        <v>1000</v>
      </c>
      <c r="S166" s="103">
        <v>10</v>
      </c>
      <c r="T166" t="inlineStr">
        <is>
          <t>Hubo ejecución por encima de lo programado en SisPT</t>
        </is>
      </c>
      <c r="U166" t="inlineStr">
        <is>
          <t xml:space="preserve"> </t>
        </is>
      </c>
      <c r="V166" s="104" t="inlineStr">
        <is>
          <t xml:space="preserve"> </t>
        </is>
      </c>
      <c r="W166" t="inlineStr">
        <is>
          <t>No se encontró ejecución en PIIP</t>
        </is>
      </c>
    </row>
    <row r="167">
      <c r="A167" t="inlineStr">
        <is>
          <t>IP-185</t>
        </is>
      </c>
      <c r="B167" t="inlineStr">
        <is>
          <t>43</t>
        </is>
      </c>
      <c r="C167" t="inlineStr">
        <is>
          <t>Deporte y Recreación</t>
        </is>
      </c>
      <c r="D167" t="inlineStr">
        <is>
          <t>4301</t>
        </is>
      </c>
      <c r="E167" t="inlineStr">
        <is>
          <t>Fomento a la recreación, la actividad física y el deporte para desarrollar entornos de convivencia y paz</t>
        </is>
      </c>
      <c r="F167" t="inlineStr">
        <is>
          <t>4301037</t>
        </is>
      </c>
      <c r="G167" t="inlineStr">
        <is>
          <t>Servicio de promoción de la actividad física, la recreación y el deporte</t>
        </is>
      </c>
      <c r="H167" t="inlineStr">
        <is>
          <t>430103704</t>
        </is>
      </c>
      <c r="I167" t="inlineStr">
        <is>
          <t>Municipios implementando  programas de recreación, actividad física y deporte social comunitario</t>
        </is>
      </c>
      <c r="J167" t="inlineStr">
        <is>
          <t>2024252140087</t>
        </is>
      </c>
      <c r="K167" t="inlineStr">
        <is>
          <t>No</t>
        </is>
      </c>
      <c r="L167" t="inlineStr">
        <is>
          <t>Número</t>
        </is>
      </c>
      <c r="M167">
        <v>1</v>
      </c>
      <c r="N167">
        <v>0</v>
      </c>
      <c r="O167">
        <v>1</v>
      </c>
      <c r="P167">
        <v>1</v>
      </c>
      <c r="Q167">
        <v>1</v>
      </c>
      <c r="R167" t="inlineStr">
        <is>
          <t xml:space="preserve"> </t>
        </is>
      </c>
      <c r="S167" s="103" t="inlineStr">
        <is>
          <t xml:space="preserve"> </t>
        </is>
      </c>
      <c r="T167" t="inlineStr">
        <is>
          <t>No se encontró ejecución en PIIP</t>
        </is>
      </c>
      <c r="U167" t="inlineStr">
        <is>
          <t xml:space="preserve"> </t>
        </is>
      </c>
      <c r="V167" s="104" t="inlineStr">
        <is>
          <t xml:space="preserve"> </t>
        </is>
      </c>
      <c r="W167" t="inlineStr">
        <is>
          <t>No se encontró ejecución en PIIP</t>
        </is>
      </c>
    </row>
    <row r="168">
      <c r="A168" t="inlineStr">
        <is>
          <t>IP-186</t>
        </is>
      </c>
      <c r="B168" t="inlineStr">
        <is>
          <t>43</t>
        </is>
      </c>
      <c r="C168" t="inlineStr">
        <is>
          <t>Deporte y Recreación</t>
        </is>
      </c>
      <c r="D168" t="inlineStr">
        <is>
          <t>4301</t>
        </is>
      </c>
      <c r="E168" t="inlineStr">
        <is>
          <t>Fomento a la recreación, la actividad física y el deporte para desarrollar entornos de convivencia y paz</t>
        </is>
      </c>
      <c r="F168" t="inlineStr">
        <is>
          <t>4301007</t>
        </is>
      </c>
      <c r="G168" t="inlineStr">
        <is>
          <t>Servicio de Escuelas Deportivas</t>
        </is>
      </c>
      <c r="H168" t="inlineStr">
        <is>
          <t>430100702</t>
        </is>
      </c>
      <c r="I168" t="inlineStr">
        <is>
          <t>Escuelas deportivas implementadas</t>
        </is>
      </c>
      <c r="J168" t="inlineStr">
        <is>
          <t>2024252140087</t>
        </is>
      </c>
      <c r="K168" t="inlineStr">
        <is>
          <t>No</t>
        </is>
      </c>
      <c r="L168" t="inlineStr">
        <is>
          <t>Número</t>
        </is>
      </c>
      <c r="M168">
        <v>5</v>
      </c>
      <c r="N168">
        <v>5</v>
      </c>
      <c r="O168">
        <v>5</v>
      </c>
      <c r="P168">
        <v>5</v>
      </c>
      <c r="Q168">
        <v>5</v>
      </c>
      <c r="R168" t="inlineStr">
        <is>
          <t xml:space="preserve"> </t>
        </is>
      </c>
      <c r="S168" s="103" t="inlineStr">
        <is>
          <t xml:space="preserve"> </t>
        </is>
      </c>
      <c r="T168" t="inlineStr">
        <is>
          <t>No se encontró ejecución en PIIP</t>
        </is>
      </c>
      <c r="U168" t="inlineStr">
        <is>
          <t xml:space="preserve"> </t>
        </is>
      </c>
      <c r="V168" s="104" t="inlineStr">
        <is>
          <t xml:space="preserve"> </t>
        </is>
      </c>
      <c r="W168" t="inlineStr">
        <is>
          <t>No se encontró ejecución en PIIP</t>
        </is>
      </c>
    </row>
    <row r="169">
      <c r="A169" t="inlineStr">
        <is>
          <t>IP-189, IP-190</t>
        </is>
      </c>
      <c r="B169" t="inlineStr">
        <is>
          <t>43</t>
        </is>
      </c>
      <c r="C169" t="inlineStr">
        <is>
          <t>Deporte y Recreación</t>
        </is>
      </c>
      <c r="D169" t="inlineStr">
        <is>
          <t>4301</t>
        </is>
      </c>
      <c r="E169" t="inlineStr">
        <is>
          <t>Fomento a la recreación, la actividad física y el deporte para desarrollar entornos de convivencia y paz</t>
        </is>
      </c>
      <c r="F169" t="inlineStr">
        <is>
          <t>4301037</t>
        </is>
      </c>
      <c r="G169" t="inlineStr">
        <is>
          <t>Servicio de promoción de la actividad física, la recreación y el deporte</t>
        </is>
      </c>
      <c r="H169" t="inlineStr">
        <is>
          <t>430103707</t>
        </is>
      </c>
      <c r="I169" t="inlineStr">
        <is>
          <t>Programas recreativos, deportivos y de actividad física realizados</t>
        </is>
      </c>
      <c r="J169" t="inlineStr">
        <is>
          <t>2024252140087</t>
        </is>
      </c>
      <c r="K169" t="inlineStr">
        <is>
          <t>No</t>
        </is>
      </c>
      <c r="L169" t="inlineStr">
        <is>
          <t>Número</t>
        </is>
      </c>
      <c r="M169">
        <v>2</v>
      </c>
      <c r="N169">
        <v>3</v>
      </c>
      <c r="O169">
        <v>3</v>
      </c>
      <c r="P169">
        <v>3</v>
      </c>
      <c r="Q169">
        <v>3</v>
      </c>
      <c r="R169" t="inlineStr">
        <is>
          <t xml:space="preserve"> </t>
        </is>
      </c>
      <c r="S169" s="103" t="inlineStr">
        <is>
          <t xml:space="preserve"> </t>
        </is>
      </c>
      <c r="T169" t="inlineStr">
        <is>
          <t>No se encontró ejecución en PIIP</t>
        </is>
      </c>
      <c r="U169" t="inlineStr">
        <is>
          <t xml:space="preserve"> </t>
        </is>
      </c>
      <c r="V169" s="104" t="inlineStr">
        <is>
          <t xml:space="preserve"> </t>
        </is>
      </c>
      <c r="W169" t="inlineStr">
        <is>
          <t>No se encontró ejecución en PIIP</t>
        </is>
      </c>
    </row>
    <row r="170">
      <c r="A170" t="inlineStr">
        <is>
          <t>IP-191, IP-192</t>
        </is>
      </c>
      <c r="B170" t="inlineStr">
        <is>
          <t>43</t>
        </is>
      </c>
      <c r="C170" t="inlineStr">
        <is>
          <t>Deporte y Recreación</t>
        </is>
      </c>
      <c r="D170" t="inlineStr">
        <is>
          <t>4302</t>
        </is>
      </c>
      <c r="E170" t="inlineStr">
        <is>
          <t>Formación y preparación de deportistas</t>
        </is>
      </c>
      <c r="F170" t="inlineStr">
        <is>
          <t>4302006</t>
        </is>
      </c>
      <c r="G170" t="inlineStr">
        <is>
          <t>Documentos de planeación</t>
        </is>
      </c>
      <c r="H170" t="inlineStr">
        <is>
          <t>430200600</t>
        </is>
      </c>
      <c r="I170" t="inlineStr">
        <is>
          <t>Documentos de planeación realizados</t>
        </is>
      </c>
      <c r="J170" t="inlineStr">
        <is>
          <t>2024252140088</t>
        </is>
      </c>
      <c r="K170" t="inlineStr">
        <is>
          <t>Si</t>
        </is>
      </c>
      <c r="L170" t="inlineStr">
        <is>
          <t>Número</t>
        </is>
      </c>
      <c r="M170">
        <v>2</v>
      </c>
      <c r="N170">
        <v>1.25</v>
      </c>
      <c r="O170">
        <v>1.25</v>
      </c>
      <c r="P170">
        <v>1.25</v>
      </c>
      <c r="Q170">
        <v>1.25</v>
      </c>
      <c r="R170" t="inlineStr">
        <is>
          <t xml:space="preserve"> </t>
        </is>
      </c>
      <c r="S170" s="103" t="inlineStr">
        <is>
          <t xml:space="preserve"> </t>
        </is>
      </c>
      <c r="T170" t="inlineStr">
        <is>
          <t>No se encontró ejecución en PIIP</t>
        </is>
      </c>
      <c r="U170" t="inlineStr">
        <is>
          <t xml:space="preserve"> </t>
        </is>
      </c>
      <c r="V170" s="104" t="inlineStr">
        <is>
          <t xml:space="preserve"> </t>
        </is>
      </c>
      <c r="W170" t="inlineStr">
        <is>
          <t>No se encontró ejecución en PIIP</t>
        </is>
      </c>
    </row>
    <row r="171">
      <c r="A171" t="inlineStr">
        <is>
          <t>IP-193</t>
        </is>
      </c>
      <c r="B171" t="inlineStr">
        <is>
          <t>43</t>
        </is>
      </c>
      <c r="C171" t="inlineStr">
        <is>
          <t>Deporte y Recreación</t>
        </is>
      </c>
      <c r="D171" t="inlineStr">
        <is>
          <t>4302</t>
        </is>
      </c>
      <c r="E171" t="inlineStr">
        <is>
          <t>Formación y preparación de deportistas</t>
        </is>
      </c>
      <c r="F171" t="inlineStr">
        <is>
          <t>4302002</t>
        </is>
      </c>
      <c r="G171" t="inlineStr">
        <is>
          <t>Servicio de apoyo financiero a atletas</t>
        </is>
      </c>
      <c r="H171" t="inlineStr">
        <is>
          <t>430200200</t>
        </is>
      </c>
      <c r="I171" t="inlineStr">
        <is>
          <t>Estímulos entregados</t>
        </is>
      </c>
      <c r="J171" t="inlineStr">
        <is>
          <t>2024252140088</t>
        </is>
      </c>
      <c r="K171" t="inlineStr">
        <is>
          <t>No</t>
        </is>
      </c>
      <c r="L171" t="inlineStr">
        <is>
          <t>Número</t>
        </is>
      </c>
      <c r="M171">
        <v>60</v>
      </c>
      <c r="N171">
        <v>60</v>
      </c>
      <c r="O171">
        <v>60</v>
      </c>
      <c r="P171">
        <v>60</v>
      </c>
      <c r="Q171">
        <v>60</v>
      </c>
      <c r="R171">
        <v>60</v>
      </c>
      <c r="S171" s="103">
        <v>1</v>
      </c>
      <c r="T171" t="inlineStr">
        <is>
          <t>Se ejecutó el 100% de lo programado en la vigencia</t>
        </is>
      </c>
      <c r="U171" t="inlineStr">
        <is>
          <t xml:space="preserve"> </t>
        </is>
      </c>
      <c r="V171" s="104" t="inlineStr">
        <is>
          <t xml:space="preserve"> </t>
        </is>
      </c>
      <c r="W171" t="inlineStr">
        <is>
          <t>No se encontró ejecución en PIIP</t>
        </is>
      </c>
    </row>
    <row r="172">
      <c r="A172" t="inlineStr">
        <is>
          <t>IP-194</t>
        </is>
      </c>
      <c r="B172" t="inlineStr">
        <is>
          <t>43</t>
        </is>
      </c>
      <c r="C172" t="inlineStr">
        <is>
          <t>Deporte y Recreación</t>
        </is>
      </c>
      <c r="D172" t="inlineStr">
        <is>
          <t>4302</t>
        </is>
      </c>
      <c r="E172" t="inlineStr">
        <is>
          <t>Formación y preparación de deportistas</t>
        </is>
      </c>
      <c r="F172" t="inlineStr">
        <is>
          <t>4302046</t>
        </is>
      </c>
      <c r="G172" t="inlineStr">
        <is>
          <t>Unideportivo adecuado</t>
        </is>
      </c>
      <c r="H172" t="inlineStr">
        <is>
          <t>430204600</t>
        </is>
      </c>
      <c r="I172" t="inlineStr">
        <is>
          <t>Unideportivos adecuados</t>
        </is>
      </c>
      <c r="J172" t="inlineStr">
        <is>
          <t>2024252140088</t>
        </is>
      </c>
      <c r="K172" t="inlineStr">
        <is>
          <t>No</t>
        </is>
      </c>
      <c r="L172" t="inlineStr">
        <is>
          <t>Número</t>
        </is>
      </c>
      <c r="M172">
        <v>100</v>
      </c>
      <c r="N172">
        <v>100</v>
      </c>
      <c r="O172">
        <v>100</v>
      </c>
      <c r="P172">
        <v>100</v>
      </c>
      <c r="Q172">
        <v>100</v>
      </c>
      <c r="R172">
        <v>0</v>
      </c>
      <c r="S172" s="103">
        <v>0</v>
      </c>
      <c r="T172" t="inlineStr">
        <is>
          <t>No se ejecutó en la vigencia</t>
        </is>
      </c>
      <c r="U172" t="inlineStr">
        <is>
          <t xml:space="preserve"> </t>
        </is>
      </c>
      <c r="V172" s="104" t="inlineStr">
        <is>
          <t xml:space="preserve"> </t>
        </is>
      </c>
      <c r="W172" t="inlineStr">
        <is>
          <t>No se encontró ejecución en PIIP</t>
        </is>
      </c>
    </row>
    <row r="173">
      <c r="A173" t="inlineStr">
        <is>
          <t>IP-195</t>
        </is>
      </c>
      <c r="B173" t="inlineStr">
        <is>
          <t>43</t>
        </is>
      </c>
      <c r="C173" t="inlineStr">
        <is>
          <t>Deporte y Recreación</t>
        </is>
      </c>
      <c r="D173" t="inlineStr">
        <is>
          <t>4302</t>
        </is>
      </c>
      <c r="E173" t="inlineStr">
        <is>
          <t>Formación y preparación de deportistas</t>
        </is>
      </c>
      <c r="F173" t="inlineStr">
        <is>
          <t>4302040</t>
        </is>
      </c>
      <c r="G173" t="inlineStr">
        <is>
          <t>Centros de recreación construidos y dotados</t>
        </is>
      </c>
      <c r="H173" t="inlineStr">
        <is>
          <t>430204000</t>
        </is>
      </c>
      <c r="I173" t="inlineStr">
        <is>
          <t>Centros de recreación construidos y dotados</t>
        </is>
      </c>
      <c r="J173" t="inlineStr">
        <is>
          <t>2024252140088</t>
        </is>
      </c>
      <c r="K173" t="inlineStr">
        <is>
          <t>Si</t>
        </is>
      </c>
      <c r="L173" t="inlineStr">
        <is>
          <t>Número</t>
        </is>
      </c>
      <c r="M173">
        <v>1</v>
      </c>
      <c r="N173">
        <v>0</v>
      </c>
      <c r="O173">
        <v>1</v>
      </c>
      <c r="P173">
        <v>0</v>
      </c>
      <c r="Q173">
        <v>0</v>
      </c>
      <c r="R173" t="inlineStr">
        <is>
          <t xml:space="preserve"> </t>
        </is>
      </c>
      <c r="S173" s="103" t="inlineStr">
        <is>
          <t xml:space="preserve"> </t>
        </is>
      </c>
      <c r="T173" t="inlineStr">
        <is>
          <t>No se encontró ejecución en PIIP</t>
        </is>
      </c>
      <c r="U173" t="inlineStr">
        <is>
          <t xml:space="preserve"> </t>
        </is>
      </c>
      <c r="V173" s="104" t="inlineStr">
        <is>
          <t xml:space="preserve"> </t>
        </is>
      </c>
      <c r="W173" t="inlineStr">
        <is>
          <t>No se encontró ejecución en PIIP</t>
        </is>
      </c>
    </row>
    <row r="174">
      <c r="A174" t="inlineStr">
        <is>
          <t>IP-196, IP-199</t>
        </is>
      </c>
      <c r="B174" t="inlineStr">
        <is>
          <t>43</t>
        </is>
      </c>
      <c r="C174" t="inlineStr">
        <is>
          <t>Deporte y Recreación</t>
        </is>
      </c>
      <c r="D174" t="inlineStr">
        <is>
          <t>4302</t>
        </is>
      </c>
      <c r="E174" t="inlineStr">
        <is>
          <t>Formación y preparación de deportistas</t>
        </is>
      </c>
      <c r="F174" t="inlineStr">
        <is>
          <t>4302010</t>
        </is>
      </c>
      <c r="G174" t="inlineStr">
        <is>
          <t>Estadios construidos</t>
        </is>
      </c>
      <c r="H174" t="inlineStr">
        <is>
          <t>430201000</t>
        </is>
      </c>
      <c r="I174" t="inlineStr">
        <is>
          <t>Estadios construidos</t>
        </is>
      </c>
      <c r="J174" t="inlineStr">
        <is>
          <t>2024252140088</t>
        </is>
      </c>
      <c r="K174" t="inlineStr">
        <is>
          <t>Si</t>
        </is>
      </c>
      <c r="L174" t="inlineStr">
        <is>
          <t>Número</t>
        </is>
      </c>
      <c r="M174">
        <v>3</v>
      </c>
      <c r="N174">
        <v>0</v>
      </c>
      <c r="O174">
        <v>1.3333</v>
      </c>
      <c r="P174">
        <v>0.3333</v>
      </c>
      <c r="Q174">
        <v>1.3333</v>
      </c>
      <c r="R174" t="inlineStr">
        <is>
          <t xml:space="preserve"> </t>
        </is>
      </c>
      <c r="S174" s="103" t="inlineStr">
        <is>
          <t xml:space="preserve"> </t>
        </is>
      </c>
      <c r="T174" t="inlineStr">
        <is>
          <t>No se encontró ejecución en PIIP</t>
        </is>
      </c>
      <c r="U174" t="inlineStr">
        <is>
          <t xml:space="preserve"> </t>
        </is>
      </c>
      <c r="V174" s="104" t="inlineStr">
        <is>
          <t xml:space="preserve"> </t>
        </is>
      </c>
      <c r="W174" t="inlineStr">
        <is>
          <t>No se encontró ejecución en PIIP</t>
        </is>
      </c>
    </row>
    <row r="175">
      <c r="A175" t="inlineStr">
        <is>
          <t>IP-197</t>
        </is>
      </c>
      <c r="B175" t="inlineStr">
        <is>
          <t>43</t>
        </is>
      </c>
      <c r="C175" t="inlineStr">
        <is>
          <t>Deporte y Recreación</t>
        </is>
      </c>
      <c r="D175" t="inlineStr">
        <is>
          <t>4302</t>
        </is>
      </c>
      <c r="E175" t="inlineStr">
        <is>
          <t>Formación y preparación de deportistas</t>
        </is>
      </c>
      <c r="F175" t="inlineStr">
        <is>
          <t>4302046</t>
        </is>
      </c>
      <c r="G175" t="inlineStr">
        <is>
          <t>Unideportivo adecuado</t>
        </is>
      </c>
      <c r="H175" t="inlineStr">
        <is>
          <t>430204600</t>
        </is>
      </c>
      <c r="I175" t="inlineStr">
        <is>
          <t>Unideportivos adecuados</t>
        </is>
      </c>
      <c r="J175" t="inlineStr">
        <is>
          <t>2024252140088</t>
        </is>
      </c>
      <c r="K175" t="inlineStr">
        <is>
          <t>Si</t>
        </is>
      </c>
      <c r="L175" t="inlineStr">
        <is>
          <t>Número</t>
        </is>
      </c>
      <c r="M175">
        <v>1</v>
      </c>
      <c r="N175">
        <v>0</v>
      </c>
      <c r="O175">
        <v>0.3333</v>
      </c>
      <c r="P175">
        <v>0.3333</v>
      </c>
      <c r="Q175">
        <v>0.3333</v>
      </c>
      <c r="R175" t="inlineStr">
        <is>
          <t xml:space="preserve"> </t>
        </is>
      </c>
      <c r="S175" s="103" t="inlineStr">
        <is>
          <t xml:space="preserve"> </t>
        </is>
      </c>
      <c r="T175" t="inlineStr">
        <is>
          <t>No se encontró ejecución en PIIP</t>
        </is>
      </c>
      <c r="U175" t="inlineStr">
        <is>
          <t xml:space="preserve"> </t>
        </is>
      </c>
      <c r="V175" s="104" t="inlineStr">
        <is>
          <t xml:space="preserve"> </t>
        </is>
      </c>
      <c r="W175" t="inlineStr">
        <is>
          <t>No se encontró ejecución en PIIP</t>
        </is>
      </c>
    </row>
    <row r="176">
      <c r="A176" t="inlineStr">
        <is>
          <t>IP-198</t>
        </is>
      </c>
      <c r="B176" t="inlineStr">
        <is>
          <t>43</t>
        </is>
      </c>
      <c r="C176" t="inlineStr">
        <is>
          <t>Deporte y Recreación</t>
        </is>
      </c>
      <c r="D176" t="inlineStr">
        <is>
          <t>4302</t>
        </is>
      </c>
      <c r="E176" t="inlineStr">
        <is>
          <t>Formación y preparación de deportistas</t>
        </is>
      </c>
      <c r="F176" t="inlineStr">
        <is>
          <t>4302004</t>
        </is>
      </c>
      <c r="G176" t="inlineStr">
        <is>
          <t>Servicio de organización de eventos deportivos de alto rendimiento</t>
        </is>
      </c>
      <c r="H176" t="inlineStr">
        <is>
          <t>430200401</t>
        </is>
      </c>
      <c r="I176" t="inlineStr">
        <is>
          <t>Eventos deportivos de alto rendimiento con sede en Colombia realizados</t>
        </is>
      </c>
      <c r="J176" t="inlineStr">
        <is>
          <t>2024252140088</t>
        </is>
      </c>
      <c r="K176" t="inlineStr">
        <is>
          <t>No</t>
        </is>
      </c>
      <c r="L176" t="inlineStr">
        <is>
          <t>Número</t>
        </is>
      </c>
      <c r="M176">
        <v>1</v>
      </c>
      <c r="N176">
        <v>1</v>
      </c>
      <c r="O176">
        <v>1</v>
      </c>
      <c r="P176">
        <v>1</v>
      </c>
      <c r="Q176">
        <v>1</v>
      </c>
      <c r="R176" t="inlineStr">
        <is>
          <t xml:space="preserve"> </t>
        </is>
      </c>
      <c r="S176" s="103" t="inlineStr">
        <is>
          <t xml:space="preserve"> </t>
        </is>
      </c>
      <c r="T176" t="inlineStr">
        <is>
          <t>No se encontró ejecución en PIIP</t>
        </is>
      </c>
      <c r="U176" t="inlineStr">
        <is>
          <t xml:space="preserve"> </t>
        </is>
      </c>
      <c r="V176" s="104" t="inlineStr">
        <is>
          <t xml:space="preserve"> </t>
        </is>
      </c>
      <c r="W176" t="inlineStr">
        <is>
          <t>No se encontró ejecución en PIIP</t>
        </is>
      </c>
    </row>
    <row r="177">
      <c r="A177" t="inlineStr">
        <is>
          <t>IP-200</t>
        </is>
      </c>
      <c r="B177" t="inlineStr">
        <is>
          <t>43</t>
        </is>
      </c>
      <c r="C177" t="inlineStr">
        <is>
          <t>Deporte y Recreación</t>
        </is>
      </c>
      <c r="D177" t="inlineStr">
        <is>
          <t>4302</t>
        </is>
      </c>
      <c r="E177" t="inlineStr">
        <is>
          <t>Formación y preparación de deportistas</t>
        </is>
      </c>
      <c r="F177" t="inlineStr">
        <is>
          <t>4302024</t>
        </is>
      </c>
      <c r="G177" t="inlineStr">
        <is>
          <t>Coliseos cubiertos construidos</t>
        </is>
      </c>
      <c r="H177" t="inlineStr">
        <is>
          <t>430202400</t>
        </is>
      </c>
      <c r="I177" t="inlineStr">
        <is>
          <t>Coliseos construidos</t>
        </is>
      </c>
      <c r="J177" t="inlineStr">
        <is>
          <t/>
        </is>
      </c>
      <c r="K177" t="inlineStr">
        <is>
          <t>Si</t>
        </is>
      </c>
      <c r="L177" t="inlineStr">
        <is>
          <t>Número</t>
        </is>
      </c>
      <c r="M177">
        <v>1</v>
      </c>
      <c r="N177">
        <v>0</v>
      </c>
      <c r="O177">
        <v>0</v>
      </c>
      <c r="P177">
        <v>1</v>
      </c>
      <c r="Q177">
        <v>0</v>
      </c>
      <c r="R177" t="inlineStr">
        <is>
          <t xml:space="preserve"> </t>
        </is>
      </c>
      <c r="S177" s="103" t="inlineStr">
        <is>
          <t xml:space="preserve"> </t>
        </is>
      </c>
      <c r="T177" t="inlineStr">
        <is>
          <t>Por falta de código BPIN, no se encontró ejecución en PIIP</t>
        </is>
      </c>
      <c r="U177" t="inlineStr">
        <is>
          <t xml:space="preserve"> </t>
        </is>
      </c>
      <c r="V177" s="104" t="inlineStr">
        <is>
          <t xml:space="preserve"> </t>
        </is>
      </c>
      <c r="W177" t="inlineStr">
        <is>
          <t>Por falta de código BPIN, no se encontró ejecución en PIIP</t>
        </is>
      </c>
    </row>
    <row r="178">
      <c r="A178" t="inlineStr">
        <is>
          <t>IP-201</t>
        </is>
      </c>
      <c r="B178" t="inlineStr">
        <is>
          <t>43</t>
        </is>
      </c>
      <c r="C178" t="inlineStr">
        <is>
          <t>Deporte y Recreación</t>
        </is>
      </c>
      <c r="D178" t="inlineStr">
        <is>
          <t>4302</t>
        </is>
      </c>
      <c r="E178" t="inlineStr">
        <is>
          <t>Formación y preparación de deportistas</t>
        </is>
      </c>
      <c r="F178" t="inlineStr">
        <is>
          <t>4302069</t>
        </is>
      </c>
      <c r="G178" t="inlineStr">
        <is>
          <t>Polideportivos mejorados</t>
        </is>
      </c>
      <c r="H178" t="inlineStr">
        <is>
          <t>430206900</t>
        </is>
      </c>
      <c r="I178" t="inlineStr">
        <is>
          <t>Polideportivos mejorados</t>
        </is>
      </c>
      <c r="J178" t="inlineStr">
        <is>
          <t>2024252140117</t>
        </is>
      </c>
      <c r="K178" t="inlineStr">
        <is>
          <t>No</t>
        </is>
      </c>
      <c r="L178" t="inlineStr">
        <is>
          <t>Número</t>
        </is>
      </c>
      <c r="M178">
        <v>1</v>
      </c>
      <c r="N178">
        <v>0</v>
      </c>
      <c r="O178">
        <v>1</v>
      </c>
      <c r="P178">
        <v>0</v>
      </c>
      <c r="Q178">
        <v>0</v>
      </c>
      <c r="R178" t="inlineStr">
        <is>
          <t xml:space="preserve"> </t>
        </is>
      </c>
      <c r="S178" s="103" t="inlineStr">
        <is>
          <t xml:space="preserve"> </t>
        </is>
      </c>
      <c r="T178" t="inlineStr">
        <is>
          <t>No se encontró ejecución en PIIP</t>
        </is>
      </c>
      <c r="U178" t="inlineStr">
        <is>
          <t xml:space="preserve"> </t>
        </is>
      </c>
      <c r="V178" s="104" t="inlineStr">
        <is>
          <t xml:space="preserve"> </t>
        </is>
      </c>
      <c r="W178" t="inlineStr">
        <is>
          <t>No se encontró ejecución en PIIP</t>
        </is>
      </c>
    </row>
    <row r="179">
      <c r="A179" t="inlineStr">
        <is>
          <t>IP-202</t>
        </is>
      </c>
      <c r="B179" t="inlineStr">
        <is>
          <t>41</t>
        </is>
      </c>
      <c r="C179" t="inlineStr">
        <is>
          <t xml:space="preserve">Inclusión social y reconciliación </t>
        </is>
      </c>
      <c r="D179" t="inlineStr">
        <is>
          <t>4102</t>
        </is>
      </c>
      <c r="E179" t="inlineStr">
        <is>
          <t>Desarrollo integral de la primera infancia a la juventud, y fortalecimiento de las capacidades de las familias de niñas, niños y adolescentes</t>
        </is>
      </c>
      <c r="F179" t="inlineStr">
        <is>
          <t>4102004</t>
        </is>
      </c>
      <c r="G179" t="inlineStr">
        <is>
          <t>Edificaciones para la atención integral a la primera infancia construidas</t>
        </is>
      </c>
      <c r="H179" t="inlineStr">
        <is>
          <t>410200400</t>
        </is>
      </c>
      <c r="I179" t="inlineStr">
        <is>
          <t>Edificaciones de atención integral a la primera infancia construidas</t>
        </is>
      </c>
      <c r="J179" t="inlineStr">
        <is>
          <t>2024252140118</t>
        </is>
      </c>
      <c r="K179" t="inlineStr">
        <is>
          <t>Si</t>
        </is>
      </c>
      <c r="L179" t="inlineStr">
        <is>
          <t>Número</t>
        </is>
      </c>
      <c r="M179">
        <v>2</v>
      </c>
      <c r="N179">
        <v>0</v>
      </c>
      <c r="O179">
        <v>0</v>
      </c>
      <c r="P179">
        <v>1</v>
      </c>
      <c r="Q179">
        <v>1</v>
      </c>
      <c r="R179" t="inlineStr">
        <is>
          <t xml:space="preserve"> </t>
        </is>
      </c>
      <c r="S179" s="103" t="inlineStr">
        <is>
          <t xml:space="preserve"> </t>
        </is>
      </c>
      <c r="T179" t="inlineStr">
        <is>
          <t>No se encontró ejecución en PIIP</t>
        </is>
      </c>
      <c r="U179" t="inlineStr">
        <is>
          <t xml:space="preserve"> </t>
        </is>
      </c>
      <c r="V179" s="104" t="inlineStr">
        <is>
          <t xml:space="preserve"> </t>
        </is>
      </c>
      <c r="W179" t="inlineStr">
        <is>
          <t>No se encontró ejecución en PIIP</t>
        </is>
      </c>
    </row>
    <row r="180">
      <c r="A180" t="inlineStr">
        <is>
          <t>IP-203</t>
        </is>
      </c>
      <c r="B180" t="inlineStr">
        <is>
          <t>41</t>
        </is>
      </c>
      <c r="C180" t="inlineStr">
        <is>
          <t xml:space="preserve">Inclusión social y reconciliación </t>
        </is>
      </c>
      <c r="D180" t="inlineStr">
        <is>
          <t>4102</t>
        </is>
      </c>
      <c r="E180" t="inlineStr">
        <is>
          <t>Desarrollo integral de la primera infancia a la juventud, y fortalecimiento de las capacidades de las familias de niñas, niños y adolescentes</t>
        </is>
      </c>
      <c r="F180" t="inlineStr">
        <is>
          <t>4102005</t>
        </is>
      </c>
      <c r="G180" t="inlineStr">
        <is>
          <t>Edificaciones de atención a la primera infancia adecuadas</t>
        </is>
      </c>
      <c r="H180" t="inlineStr">
        <is>
          <t>410200500</t>
        </is>
      </c>
      <c r="I180" t="inlineStr">
        <is>
          <t>Edificaciones de atención a la primera infancia adecuadas</t>
        </is>
      </c>
      <c r="J180" t="inlineStr">
        <is>
          <t>2024252140118</t>
        </is>
      </c>
      <c r="K180" t="inlineStr">
        <is>
          <t>Si</t>
        </is>
      </c>
      <c r="L180" t="inlineStr">
        <is>
          <t>Número</t>
        </is>
      </c>
      <c r="M180">
        <v>100</v>
      </c>
      <c r="N180">
        <v>20</v>
      </c>
      <c r="O180">
        <v>30</v>
      </c>
      <c r="P180">
        <v>30</v>
      </c>
      <c r="Q180">
        <v>20</v>
      </c>
      <c r="R180" t="inlineStr">
        <is>
          <t xml:space="preserve"> </t>
        </is>
      </c>
      <c r="S180" s="103" t="inlineStr">
        <is>
          <t xml:space="preserve"> </t>
        </is>
      </c>
      <c r="T180" t="inlineStr">
        <is>
          <t>No se encontró ejecución en PIIP</t>
        </is>
      </c>
      <c r="U180" t="inlineStr">
        <is>
          <t xml:space="preserve"> </t>
        </is>
      </c>
      <c r="V180" s="104" t="inlineStr">
        <is>
          <t xml:space="preserve"> </t>
        </is>
      </c>
      <c r="W180" t="inlineStr">
        <is>
          <t>No se encontró ejecución en PIIP</t>
        </is>
      </c>
    </row>
    <row r="181">
      <c r="A181" t="inlineStr">
        <is>
          <t>IP-204, IP-206, IP-207, IP-208</t>
        </is>
      </c>
      <c r="B181" t="inlineStr">
        <is>
          <t>41</t>
        </is>
      </c>
      <c r="C181" t="inlineStr">
        <is>
          <t xml:space="preserve">Inclusión social y reconciliación </t>
        </is>
      </c>
      <c r="D181" t="inlineStr">
        <is>
          <t>4102</t>
        </is>
      </c>
      <c r="E181" t="inlineStr">
        <is>
          <t>Desarrollo integral de la primera infancia a la juventud, y fortalecimiento de las capacidades de las familias de niñas, niños y adolescentes</t>
        </is>
      </c>
      <c r="F181" t="inlineStr">
        <is>
          <t>4102001</t>
        </is>
      </c>
      <c r="G181" t="inlineStr">
        <is>
          <t>Servicio de atención integral a la primera infancia</t>
        </is>
      </c>
      <c r="H181" t="inlineStr">
        <is>
          <t>410200105</t>
        </is>
      </c>
      <c r="I181" t="inlineStr">
        <is>
          <t>Estrategias para la atención integral a la primera infancia implementadas</t>
        </is>
      </c>
      <c r="J181" t="inlineStr">
        <is>
          <t>2024252140075</t>
        </is>
      </c>
      <c r="K181" t="inlineStr">
        <is>
          <t>No</t>
        </is>
      </c>
      <c r="L181" t="inlineStr">
        <is>
          <t>Número</t>
        </is>
      </c>
      <c r="M181">
        <v>4</v>
      </c>
      <c r="N181">
        <v>7</v>
      </c>
      <c r="O181">
        <v>7</v>
      </c>
      <c r="P181">
        <v>7</v>
      </c>
      <c r="Q181">
        <v>7</v>
      </c>
      <c r="R181" t="inlineStr">
        <is>
          <t xml:space="preserve"> </t>
        </is>
      </c>
      <c r="S181" s="103" t="inlineStr">
        <is>
          <t xml:space="preserve"> </t>
        </is>
      </c>
      <c r="T181" t="inlineStr">
        <is>
          <t>No se encontró ejecución en PIIP</t>
        </is>
      </c>
      <c r="U181" t="inlineStr">
        <is>
          <t xml:space="preserve"> </t>
        </is>
      </c>
      <c r="V181" s="104" t="inlineStr">
        <is>
          <t xml:space="preserve"> </t>
        </is>
      </c>
      <c r="W181" t="inlineStr">
        <is>
          <t>No se encontró ejecución en PIIP</t>
        </is>
      </c>
    </row>
    <row r="182">
      <c r="A182" t="inlineStr">
        <is>
          <t>IP-205</t>
        </is>
      </c>
      <c r="B182" t="inlineStr">
        <is>
          <t>41</t>
        </is>
      </c>
      <c r="C182" t="inlineStr">
        <is>
          <t xml:space="preserve">Inclusión social y reconciliación </t>
        </is>
      </c>
      <c r="D182" t="inlineStr">
        <is>
          <t>4102</t>
        </is>
      </c>
      <c r="E182" t="inlineStr">
        <is>
          <t>Desarrollo integral de la primera infancia a la juventud, y fortalecimiento de las capacidades de las familias de niñas, niños y adolescentes</t>
        </is>
      </c>
      <c r="F182" t="inlineStr">
        <is>
          <t>4102006</t>
        </is>
      </c>
      <c r="G182" t="inlineStr">
        <is>
          <t>Edificaciones de atención a la primera infancia dotadas</t>
        </is>
      </c>
      <c r="H182" t="inlineStr">
        <is>
          <t>410200600</t>
        </is>
      </c>
      <c r="I182" t="inlineStr">
        <is>
          <t>Edificaciones  de atención a la primera infancia dotadas</t>
        </is>
      </c>
      <c r="J182" t="inlineStr">
        <is>
          <t>2024252140075</t>
        </is>
      </c>
      <c r="K182" t="inlineStr">
        <is>
          <t>No</t>
        </is>
      </c>
      <c r="L182" t="inlineStr">
        <is>
          <t>Número</t>
        </is>
      </c>
      <c r="M182">
        <v>1</v>
      </c>
      <c r="N182">
        <v>1</v>
      </c>
      <c r="O182">
        <v>1</v>
      </c>
      <c r="P182">
        <v>1</v>
      </c>
      <c r="Q182">
        <v>1</v>
      </c>
      <c r="R182" t="inlineStr">
        <is>
          <t xml:space="preserve"> </t>
        </is>
      </c>
      <c r="S182" s="103" t="inlineStr">
        <is>
          <t xml:space="preserve"> </t>
        </is>
      </c>
      <c r="T182" t="inlineStr">
        <is>
          <t>No se encontró ejecución en PIIP</t>
        </is>
      </c>
      <c r="U182" t="inlineStr">
        <is>
          <t xml:space="preserve"> </t>
        </is>
      </c>
      <c r="V182" s="104" t="inlineStr">
        <is>
          <t xml:space="preserve"> </t>
        </is>
      </c>
      <c r="W182" t="inlineStr">
        <is>
          <t>No se encontró ejecución en PIIP</t>
        </is>
      </c>
    </row>
    <row r="183">
      <c r="A183" t="inlineStr">
        <is>
          <t>IP-209</t>
        </is>
      </c>
      <c r="B183" t="inlineStr">
        <is>
          <t>41</t>
        </is>
      </c>
      <c r="C183" t="inlineStr">
        <is>
          <t xml:space="preserve">Inclusión social y reconciliación </t>
        </is>
      </c>
      <c r="D183" t="inlineStr">
        <is>
          <t>4104</t>
        </is>
      </c>
      <c r="E183" t="inlineStr">
        <is>
          <t>Atención integral de población en situación permanente de desprotección social y/o familiar</t>
        </is>
      </c>
      <c r="F183" t="inlineStr">
        <is>
          <t>4104001</t>
        </is>
      </c>
      <c r="G183" t="inlineStr">
        <is>
          <t>Centros de protección social para el adulto mayor construidos y dotados</t>
        </is>
      </c>
      <c r="H183" t="inlineStr">
        <is>
          <t>410400100</t>
        </is>
      </c>
      <c r="I183" t="inlineStr">
        <is>
          <t>Centros de protección social para el adulto mayor construidos y dotados</t>
        </is>
      </c>
      <c r="J183" t="inlineStr">
        <is>
          <t>2024252140120</t>
        </is>
      </c>
      <c r="K183" t="inlineStr">
        <is>
          <t>Si</t>
        </is>
      </c>
      <c r="L183" t="inlineStr">
        <is>
          <t>Número</t>
        </is>
      </c>
      <c r="M183">
        <v>1</v>
      </c>
      <c r="N183">
        <v>0</v>
      </c>
      <c r="O183">
        <v>0</v>
      </c>
      <c r="P183">
        <v>1</v>
      </c>
      <c r="Q183">
        <v>0</v>
      </c>
      <c r="R183" t="inlineStr">
        <is>
          <t xml:space="preserve"> </t>
        </is>
      </c>
      <c r="S183" s="103" t="inlineStr">
        <is>
          <t xml:space="preserve"> </t>
        </is>
      </c>
      <c r="T183" t="inlineStr">
        <is>
          <t>No se encontró ejecución en PIIP</t>
        </is>
      </c>
      <c r="U183" t="inlineStr">
        <is>
          <t xml:space="preserve"> </t>
        </is>
      </c>
      <c r="V183" s="104" t="inlineStr">
        <is>
          <t xml:space="preserve"> </t>
        </is>
      </c>
      <c r="W183" t="inlineStr">
        <is>
          <t>No se encontró ejecución en PIIP</t>
        </is>
      </c>
    </row>
    <row r="184">
      <c r="A184" t="inlineStr">
        <is>
          <t>IP-210, IP-211</t>
        </is>
      </c>
      <c r="B184" t="inlineStr">
        <is>
          <t>41</t>
        </is>
      </c>
      <c r="C184" t="inlineStr">
        <is>
          <t xml:space="preserve">Inclusión social y reconciliación </t>
        </is>
      </c>
      <c r="D184" t="inlineStr">
        <is>
          <t>4104</t>
        </is>
      </c>
      <c r="E184" t="inlineStr">
        <is>
          <t>Atención integral de población en situación permanente de desprotección social y/o familiar</t>
        </is>
      </c>
      <c r="F184" t="inlineStr">
        <is>
          <t>4104009</t>
        </is>
      </c>
      <c r="G184" t="inlineStr">
        <is>
          <t>Centros de protección social de día para el adulto mayor adecuados</t>
        </is>
      </c>
      <c r="H184" t="inlineStr">
        <is>
          <t>410400900</t>
        </is>
      </c>
      <c r="I184" t="inlineStr">
        <is>
          <t>Centros de día para el adulto mayor adecuados</t>
        </is>
      </c>
      <c r="J184" t="inlineStr">
        <is>
          <t>2024252140076</t>
        </is>
      </c>
      <c r="K184" t="inlineStr">
        <is>
          <t>No</t>
        </is>
      </c>
      <c r="L184" t="inlineStr">
        <is>
          <t>Número</t>
        </is>
      </c>
      <c r="M184">
        <v>2</v>
      </c>
      <c r="N184">
        <v>2</v>
      </c>
      <c r="O184">
        <v>2</v>
      </c>
      <c r="P184">
        <v>2</v>
      </c>
      <c r="Q184">
        <v>2</v>
      </c>
      <c r="R184" t="inlineStr">
        <is>
          <t xml:space="preserve"> </t>
        </is>
      </c>
      <c r="S184" s="103" t="inlineStr">
        <is>
          <t xml:space="preserve"> </t>
        </is>
      </c>
      <c r="T184" t="inlineStr">
        <is>
          <t>No se encontró ejecución en PIIP</t>
        </is>
      </c>
      <c r="U184" t="inlineStr">
        <is>
          <t xml:space="preserve"> </t>
        </is>
      </c>
      <c r="V184" s="104" t="inlineStr">
        <is>
          <t xml:space="preserve"> </t>
        </is>
      </c>
      <c r="W184" t="inlineStr">
        <is>
          <t>No se encontró ejecución en PIIP</t>
        </is>
      </c>
    </row>
    <row r="185">
      <c r="A185" t="inlineStr">
        <is>
          <t>IP-212</t>
        </is>
      </c>
      <c r="B185" t="inlineStr">
        <is>
          <t>41</t>
        </is>
      </c>
      <c r="C185" t="inlineStr">
        <is>
          <t xml:space="preserve">Inclusión social y reconciliación </t>
        </is>
      </c>
      <c r="D185" t="inlineStr">
        <is>
          <t>4104</t>
        </is>
      </c>
      <c r="E185" t="inlineStr">
        <is>
          <t>Atención integral de población en situación permanente de desprotección social y/o familiar</t>
        </is>
      </c>
      <c r="F185" t="inlineStr">
        <is>
          <t>4104007</t>
        </is>
      </c>
      <c r="G185" t="inlineStr">
        <is>
          <t>Centros de protección social para el adulto mayor dotados</t>
        </is>
      </c>
      <c r="H185" t="inlineStr">
        <is>
          <t>410400700</t>
        </is>
      </c>
      <c r="I185" t="inlineStr">
        <is>
          <t>Centros de protección social para el adulto mayor dotados</t>
        </is>
      </c>
      <c r="J185" t="inlineStr">
        <is>
          <t>2024252140076</t>
        </is>
      </c>
      <c r="K185" t="inlineStr">
        <is>
          <t>No</t>
        </is>
      </c>
      <c r="L185" t="inlineStr">
        <is>
          <t>Número</t>
        </is>
      </c>
      <c r="M185">
        <v>1</v>
      </c>
      <c r="N185">
        <v>1</v>
      </c>
      <c r="O185">
        <v>1</v>
      </c>
      <c r="P185">
        <v>1</v>
      </c>
      <c r="Q185">
        <v>1</v>
      </c>
      <c r="R185" t="inlineStr">
        <is>
          <t xml:space="preserve"> </t>
        </is>
      </c>
      <c r="S185" s="103" t="inlineStr">
        <is>
          <t xml:space="preserve"> </t>
        </is>
      </c>
      <c r="T185" t="inlineStr">
        <is>
          <t>No se encontró ejecución en PIIP</t>
        </is>
      </c>
      <c r="U185" t="inlineStr">
        <is>
          <t xml:space="preserve"> </t>
        </is>
      </c>
      <c r="V185" s="104" t="inlineStr">
        <is>
          <t xml:space="preserve"> </t>
        </is>
      </c>
      <c r="W185" t="inlineStr">
        <is>
          <t>No se encontró ejecución en PIIP</t>
        </is>
      </c>
    </row>
    <row r="186">
      <c r="A186" t="inlineStr">
        <is>
          <t>IP-213, IP-214</t>
        </is>
      </c>
      <c r="B186" t="inlineStr">
        <is>
          <t>41</t>
        </is>
      </c>
      <c r="C186" t="inlineStr">
        <is>
          <t xml:space="preserve">Inclusión social y reconciliación </t>
        </is>
      </c>
      <c r="D186" t="inlineStr">
        <is>
          <t>4104</t>
        </is>
      </c>
      <c r="E186" t="inlineStr">
        <is>
          <t>Atención integral de población en situación permanente de desprotección social y/o familiar</t>
        </is>
      </c>
      <c r="F186" t="inlineStr">
        <is>
          <t>4104008</t>
        </is>
      </c>
      <c r="G186" t="inlineStr">
        <is>
          <t>Servicio de atención y protección integral al adulto mayor</t>
        </is>
      </c>
      <c r="H186" t="inlineStr">
        <is>
          <t>410400800</t>
        </is>
      </c>
      <c r="I186" t="inlineStr">
        <is>
          <t>Adultos mayores atendidos con servicios integrales</t>
        </is>
      </c>
      <c r="J186" t="inlineStr">
        <is>
          <t>2024252140076</t>
        </is>
      </c>
      <c r="K186" t="inlineStr">
        <is>
          <t>No</t>
        </is>
      </c>
      <c r="L186" t="inlineStr">
        <is>
          <t>Número</t>
        </is>
      </c>
      <c r="M186">
        <v>2</v>
      </c>
      <c r="N186">
        <v>2</v>
      </c>
      <c r="O186">
        <v>2</v>
      </c>
      <c r="P186">
        <v>2</v>
      </c>
      <c r="Q186">
        <v>2</v>
      </c>
      <c r="R186">
        <v>0</v>
      </c>
      <c r="S186" s="103">
        <v>0</v>
      </c>
      <c r="T186" t="inlineStr">
        <is>
          <t>No se ejecutó en la vigencia</t>
        </is>
      </c>
      <c r="U186" t="inlineStr">
        <is>
          <t xml:space="preserve"> </t>
        </is>
      </c>
      <c r="V186" s="104" t="inlineStr">
        <is>
          <t xml:space="preserve"> </t>
        </is>
      </c>
      <c r="W186" t="inlineStr">
        <is>
          <t>No se encontró ejecución en PIIP</t>
        </is>
      </c>
    </row>
    <row r="187">
      <c r="A187" t="inlineStr">
        <is>
          <t>IP-215</t>
        </is>
      </c>
      <c r="B187" t="inlineStr">
        <is>
          <t>41</t>
        </is>
      </c>
      <c r="C187" t="inlineStr">
        <is>
          <t xml:space="preserve">Inclusión social y reconciliación </t>
        </is>
      </c>
      <c r="D187" t="inlineStr">
        <is>
          <t>4104</t>
        </is>
      </c>
      <c r="E187" t="inlineStr">
        <is>
          <t>Atención integral de población en situación permanente de desprotección social y/o familiar</t>
        </is>
      </c>
      <c r="F187" t="inlineStr">
        <is>
          <t>4104002</t>
        </is>
      </c>
      <c r="G187" t="inlineStr">
        <is>
          <t>Centros de protección social para el adulto mayor adecuados</t>
        </is>
      </c>
      <c r="H187" t="inlineStr">
        <is>
          <t>410400200</t>
        </is>
      </c>
      <c r="I187" t="inlineStr">
        <is>
          <t>Centros de protección social para el adulto mayor adecuados</t>
        </is>
      </c>
      <c r="J187" t="inlineStr">
        <is>
          <t>2024252140120</t>
        </is>
      </c>
      <c r="K187" t="inlineStr">
        <is>
          <t>Si</t>
        </is>
      </c>
      <c r="L187" t="inlineStr">
        <is>
          <t>Número</t>
        </is>
      </c>
      <c r="M187">
        <v>3</v>
      </c>
      <c r="N187">
        <v>0</v>
      </c>
      <c r="O187">
        <v>1</v>
      </c>
      <c r="P187">
        <v>1</v>
      </c>
      <c r="Q187">
        <v>1</v>
      </c>
      <c r="R187" t="inlineStr">
        <is>
          <t xml:space="preserve"> </t>
        </is>
      </c>
      <c r="S187" s="103" t="inlineStr">
        <is>
          <t xml:space="preserve"> </t>
        </is>
      </c>
      <c r="T187" t="inlineStr">
        <is>
          <t>No se encontró ejecución en PIIP</t>
        </is>
      </c>
      <c r="U187" t="inlineStr">
        <is>
          <t xml:space="preserve"> </t>
        </is>
      </c>
      <c r="V187" s="104" t="inlineStr">
        <is>
          <t xml:space="preserve"> </t>
        </is>
      </c>
      <c r="W187" t="inlineStr">
        <is>
          <t>No se encontró ejecución en PIIP</t>
        </is>
      </c>
    </row>
    <row r="188">
      <c r="A188" t="inlineStr">
        <is>
          <t>IP-216</t>
        </is>
      </c>
      <c r="B188" t="inlineStr">
        <is>
          <t>41</t>
        </is>
      </c>
      <c r="C188" t="inlineStr">
        <is>
          <t xml:space="preserve">Inclusión social y reconciliación </t>
        </is>
      </c>
      <c r="D188" t="inlineStr">
        <is>
          <t>4103</t>
        </is>
      </c>
      <c r="E188" t="inlineStr">
        <is>
          <t>Inclusión social y productiva para la población en situación de vulnerabilidad</t>
        </is>
      </c>
      <c r="F188" t="inlineStr">
        <is>
          <t>4103050</t>
        </is>
      </c>
      <c r="G188" t="inlineStr">
        <is>
          <t>Servicio de acompañamiento familiar y comunitario para la superación de la pobreza</t>
        </is>
      </c>
      <c r="H188" t="inlineStr">
        <is>
          <t>410305012</t>
        </is>
      </c>
      <c r="I188" t="inlineStr">
        <is>
          <t>Madres y padres cabeza de hogar atendidos</t>
        </is>
      </c>
      <c r="J188" t="inlineStr">
        <is>
          <t>2024252140077</t>
        </is>
      </c>
      <c r="K188" t="inlineStr">
        <is>
          <t>No</t>
        </is>
      </c>
      <c r="L188" t="inlineStr">
        <is>
          <t>Número</t>
        </is>
      </c>
      <c r="M188">
        <v>1</v>
      </c>
      <c r="N188">
        <v>1</v>
      </c>
      <c r="O188">
        <v>1</v>
      </c>
      <c r="P188">
        <v>1</v>
      </c>
      <c r="Q188">
        <v>1</v>
      </c>
      <c r="R188" t="inlineStr">
        <is>
          <t xml:space="preserve"> </t>
        </is>
      </c>
      <c r="S188" s="103" t="inlineStr">
        <is>
          <t xml:space="preserve"> </t>
        </is>
      </c>
      <c r="T188" t="inlineStr">
        <is>
          <t>No se encontró ejecución en PIIP</t>
        </is>
      </c>
      <c r="U188" t="inlineStr">
        <is>
          <t xml:space="preserve"> </t>
        </is>
      </c>
      <c r="V188" s="104" t="inlineStr">
        <is>
          <t xml:space="preserve"> </t>
        </is>
      </c>
      <c r="W188" t="inlineStr">
        <is>
          <t>No se encontró ejecución en PIIP</t>
        </is>
      </c>
    </row>
    <row r="189">
      <c r="A189" t="inlineStr">
        <is>
          <t>IP-217</t>
        </is>
      </c>
      <c r="B189" t="inlineStr">
        <is>
          <t>41</t>
        </is>
      </c>
      <c r="C189" t="inlineStr">
        <is>
          <t xml:space="preserve">Inclusión social y reconciliación </t>
        </is>
      </c>
      <c r="D189" t="inlineStr">
        <is>
          <t>4103</t>
        </is>
      </c>
      <c r="E189" t="inlineStr">
        <is>
          <t>Inclusión social y productiva para la población en situación de vulnerabilidad</t>
        </is>
      </c>
      <c r="F189" t="inlineStr">
        <is>
          <t>4103050</t>
        </is>
      </c>
      <c r="G189" t="inlineStr">
        <is>
          <t>Servicio de acompañamiento familiar y comunitario para la superación de la pobreza</t>
        </is>
      </c>
      <c r="H189" t="inlineStr">
        <is>
          <t>410305009</t>
        </is>
      </c>
      <c r="I189" t="inlineStr">
        <is>
          <t>Iniciativas de fortalecimiento comunitario apoyadas</t>
        </is>
      </c>
      <c r="J189" t="inlineStr">
        <is>
          <t>2024252140077</t>
        </is>
      </c>
      <c r="K189" t="inlineStr">
        <is>
          <t>No</t>
        </is>
      </c>
      <c r="L189" t="inlineStr">
        <is>
          <t>Número</t>
        </is>
      </c>
      <c r="M189">
        <v>3</v>
      </c>
      <c r="N189">
        <v>3</v>
      </c>
      <c r="O189">
        <v>3</v>
      </c>
      <c r="P189">
        <v>3</v>
      </c>
      <c r="Q189">
        <v>3</v>
      </c>
      <c r="R189" t="inlineStr">
        <is>
          <t xml:space="preserve"> </t>
        </is>
      </c>
      <c r="S189" s="103" t="inlineStr">
        <is>
          <t xml:space="preserve"> </t>
        </is>
      </c>
      <c r="T189" t="inlineStr">
        <is>
          <t>No se encontró ejecución en PIIP</t>
        </is>
      </c>
      <c r="U189" t="inlineStr">
        <is>
          <t xml:space="preserve"> </t>
        </is>
      </c>
      <c r="V189" s="104" t="inlineStr">
        <is>
          <t xml:space="preserve"> </t>
        </is>
      </c>
      <c r="W189" t="inlineStr">
        <is>
          <t>No se encontró ejecución en PIIP</t>
        </is>
      </c>
    </row>
    <row r="190">
      <c r="A190" t="inlineStr">
        <is>
          <t>IP-218</t>
        </is>
      </c>
      <c r="B190" t="inlineStr">
        <is>
          <t>41</t>
        </is>
      </c>
      <c r="C190" t="inlineStr">
        <is>
          <t xml:space="preserve">Inclusión social y reconciliación </t>
        </is>
      </c>
      <c r="D190" t="inlineStr">
        <is>
          <t>4103</t>
        </is>
      </c>
      <c r="E190" t="inlineStr">
        <is>
          <t>Inclusión social y productiva para la población en situación de vulnerabilidad</t>
        </is>
      </c>
      <c r="F190" t="inlineStr">
        <is>
          <t>4103017</t>
        </is>
      </c>
      <c r="G190" t="inlineStr">
        <is>
          <t>Servicio de entrega de raciones de alimentos</t>
        </is>
      </c>
      <c r="H190" t="inlineStr">
        <is>
          <t>410301700</t>
        </is>
      </c>
      <c r="I190" t="inlineStr">
        <is>
          <t>Personas beneficiadas con raciones de alimentos</t>
        </is>
      </c>
      <c r="J190" t="inlineStr">
        <is>
          <t>2024252140077</t>
        </is>
      </c>
      <c r="K190" t="inlineStr">
        <is>
          <t>No</t>
        </is>
      </c>
      <c r="L190" t="inlineStr">
        <is>
          <t>Número</t>
        </is>
      </c>
      <c r="M190">
        <v>1</v>
      </c>
      <c r="N190">
        <v>1</v>
      </c>
      <c r="O190">
        <v>1</v>
      </c>
      <c r="P190">
        <v>1</v>
      </c>
      <c r="Q190">
        <v>1</v>
      </c>
      <c r="R190" t="inlineStr">
        <is>
          <t xml:space="preserve"> </t>
        </is>
      </c>
      <c r="S190" s="103" t="inlineStr">
        <is>
          <t xml:space="preserve"> </t>
        </is>
      </c>
      <c r="T190" t="inlineStr">
        <is>
          <t>No se encontró ejecución en PIIP</t>
        </is>
      </c>
      <c r="U190" t="inlineStr">
        <is>
          <t xml:space="preserve"> </t>
        </is>
      </c>
      <c r="V190" s="104" t="inlineStr">
        <is>
          <t xml:space="preserve"> </t>
        </is>
      </c>
      <c r="W190" t="inlineStr">
        <is>
          <t>No se encontró ejecución en PIIP</t>
        </is>
      </c>
    </row>
    <row r="191">
      <c r="A191" t="inlineStr">
        <is>
          <t>IP-219</t>
        </is>
      </c>
      <c r="B191" t="inlineStr">
        <is>
          <t>41</t>
        </is>
      </c>
      <c r="C191" t="inlineStr">
        <is>
          <t xml:space="preserve">Inclusión social y reconciliación </t>
        </is>
      </c>
      <c r="D191" t="inlineStr">
        <is>
          <t>4103</t>
        </is>
      </c>
      <c r="E191" t="inlineStr">
        <is>
          <t>Inclusión social y productiva para la población en situación de vulnerabilidad</t>
        </is>
      </c>
      <c r="F191" t="inlineStr">
        <is>
          <t>4103067</t>
        </is>
      </c>
      <c r="G191" t="inlineStr">
        <is>
          <t>Documentos de planeación</t>
        </is>
      </c>
      <c r="H191" t="inlineStr">
        <is>
          <t>410306701</t>
        </is>
      </c>
      <c r="I191" t="inlineStr">
        <is>
          <t>Documentos de planeación con seguimiento realizados</t>
        </is>
      </c>
      <c r="J191" t="inlineStr">
        <is>
          <t>2024252140077</t>
        </is>
      </c>
      <c r="K191" t="inlineStr">
        <is>
          <t>Si</t>
        </is>
      </c>
      <c r="L191" t="inlineStr">
        <is>
          <t>Número</t>
        </is>
      </c>
      <c r="M191">
        <v>1</v>
      </c>
      <c r="N191">
        <v>0.25</v>
      </c>
      <c r="O191">
        <v>0.25</v>
      </c>
      <c r="P191">
        <v>0.25</v>
      </c>
      <c r="Q191">
        <v>0.25</v>
      </c>
      <c r="R191" t="inlineStr">
        <is>
          <t xml:space="preserve"> </t>
        </is>
      </c>
      <c r="S191" s="103" t="inlineStr">
        <is>
          <t xml:space="preserve"> </t>
        </is>
      </c>
      <c r="T191" t="inlineStr">
        <is>
          <t>No se encontró ejecución en PIIP</t>
        </is>
      </c>
      <c r="U191" t="inlineStr">
        <is>
          <t xml:space="preserve"> </t>
        </is>
      </c>
      <c r="V191" s="104" t="inlineStr">
        <is>
          <t xml:space="preserve"> </t>
        </is>
      </c>
      <c r="W191" t="inlineStr">
        <is>
          <t>No se encontró ejecución en PIIP</t>
        </is>
      </c>
    </row>
    <row r="192">
      <c r="A192" t="inlineStr">
        <is>
          <t>IP-220</t>
        </is>
      </c>
      <c r="B192" t="inlineStr">
        <is>
          <t>41</t>
        </is>
      </c>
      <c r="C192" t="inlineStr">
        <is>
          <t xml:space="preserve">Inclusión social y reconciliación </t>
        </is>
      </c>
      <c r="D192" t="inlineStr">
        <is>
          <t>4103</t>
        </is>
      </c>
      <c r="E192" t="inlineStr">
        <is>
          <t>Inclusión social y productiva para la población en situación de vulnerabilidad</t>
        </is>
      </c>
      <c r="F192" t="inlineStr">
        <is>
          <t>4103050</t>
        </is>
      </c>
      <c r="G192" t="inlineStr">
        <is>
          <t>Servicio de acompañamiento familiar y comunitario para la superación de la pobreza</t>
        </is>
      </c>
      <c r="H192" t="inlineStr">
        <is>
          <t>410305009</t>
        </is>
      </c>
      <c r="I192" t="inlineStr">
        <is>
          <t>Iniciativas de fortalecimiento comunitario apoyadas</t>
        </is>
      </c>
      <c r="J192" t="inlineStr">
        <is>
          <t>2024252140077</t>
        </is>
      </c>
      <c r="K192" t="inlineStr">
        <is>
          <t>Si</t>
        </is>
      </c>
      <c r="L192" t="inlineStr">
        <is>
          <t>Número</t>
        </is>
      </c>
      <c r="M192">
        <v>1</v>
      </c>
      <c r="N192">
        <v>0.25</v>
      </c>
      <c r="O192">
        <v>0.25</v>
      </c>
      <c r="P192">
        <v>0.25</v>
      </c>
      <c r="Q192">
        <v>0.25</v>
      </c>
      <c r="R192" t="inlineStr">
        <is>
          <t xml:space="preserve"> </t>
        </is>
      </c>
      <c r="S192" s="103" t="inlineStr">
        <is>
          <t xml:space="preserve"> </t>
        </is>
      </c>
      <c r="T192" t="inlineStr">
        <is>
          <t>No se encontró ejecución en PIIP</t>
        </is>
      </c>
      <c r="U192" t="inlineStr">
        <is>
          <t xml:space="preserve"> </t>
        </is>
      </c>
      <c r="V192" s="104" t="inlineStr">
        <is>
          <t xml:space="preserve"> </t>
        </is>
      </c>
      <c r="W192" t="inlineStr">
        <is>
          <t>No se encontró ejecución en PIIP</t>
        </is>
      </c>
    </row>
    <row r="193">
      <c r="A193" t="inlineStr">
        <is>
          <t>IP-221</t>
        </is>
      </c>
      <c r="B193" t="inlineStr">
        <is>
          <t>41</t>
        </is>
      </c>
      <c r="C193" t="inlineStr">
        <is>
          <t xml:space="preserve">Inclusión social y reconciliación </t>
        </is>
      </c>
      <c r="D193" t="inlineStr">
        <is>
          <t>4103</t>
        </is>
      </c>
      <c r="E193" t="inlineStr">
        <is>
          <t>Inclusión social y productiva para la población en situación de vulnerabilidad</t>
        </is>
      </c>
      <c r="F193" t="inlineStr">
        <is>
          <t>4103067</t>
        </is>
      </c>
      <c r="G193" t="inlineStr">
        <is>
          <t>Documentos de planeación</t>
        </is>
      </c>
      <c r="H193" t="inlineStr">
        <is>
          <t>410306700</t>
        </is>
      </c>
      <c r="I193" t="inlineStr">
        <is>
          <t>Documentos de planeación realizados</t>
        </is>
      </c>
      <c r="J193" t="inlineStr">
        <is>
          <t>2024252140151</t>
        </is>
      </c>
      <c r="K193" t="inlineStr">
        <is>
          <t>Si</t>
        </is>
      </c>
      <c r="L193" t="inlineStr">
        <is>
          <t>Número</t>
        </is>
      </c>
      <c r="M193">
        <v>1</v>
      </c>
      <c r="N193">
        <v>0</v>
      </c>
      <c r="O193">
        <v>0.333</v>
      </c>
      <c r="P193">
        <v>0.333</v>
      </c>
      <c r="Q193">
        <v>0.334</v>
      </c>
      <c r="R193" t="inlineStr">
        <is>
          <t xml:space="preserve"> </t>
        </is>
      </c>
      <c r="S193" s="103" t="inlineStr">
        <is>
          <t xml:space="preserve"> </t>
        </is>
      </c>
      <c r="T193" t="inlineStr">
        <is>
          <t>No se encontró ejecución en PIIP</t>
        </is>
      </c>
      <c r="U193" t="inlineStr">
        <is>
          <t xml:space="preserve"> </t>
        </is>
      </c>
      <c r="V193" s="104" t="inlineStr">
        <is>
          <t xml:space="preserve"> </t>
        </is>
      </c>
      <c r="W193" t="inlineStr">
        <is>
          <t>No se encontró ejecución en PIIP</t>
        </is>
      </c>
    </row>
    <row r="194">
      <c r="A194" t="inlineStr">
        <is>
          <t>IP-222, IP-224</t>
        </is>
      </c>
      <c r="B194" t="inlineStr">
        <is>
          <t>41</t>
        </is>
      </c>
      <c r="C194" t="inlineStr">
        <is>
          <t xml:space="preserve">Inclusión social y reconciliación </t>
        </is>
      </c>
      <c r="D194" t="inlineStr">
        <is>
          <t>4103</t>
        </is>
      </c>
      <c r="E194" t="inlineStr">
        <is>
          <t>Inclusión social y productiva para la población en situación de vulnerabilidad</t>
        </is>
      </c>
      <c r="F194" t="inlineStr">
        <is>
          <t>4103052</t>
        </is>
      </c>
      <c r="G194" t="inlineStr">
        <is>
          <t>Servicio de gestión de oferta social para la población vulnerable</t>
        </is>
      </c>
      <c r="H194" t="inlineStr">
        <is>
          <t>410305202</t>
        </is>
      </c>
      <c r="I194" t="inlineStr">
        <is>
          <t>Mecanismos de articulación implementados para la gestión de oferta social</t>
        </is>
      </c>
      <c r="J194" t="inlineStr">
        <is>
          <t>2024252140151</t>
        </is>
      </c>
      <c r="K194" t="inlineStr">
        <is>
          <t>Si</t>
        </is>
      </c>
      <c r="L194" t="inlineStr">
        <is>
          <t>Número</t>
        </is>
      </c>
      <c r="M194">
        <v>2</v>
      </c>
      <c r="N194">
        <v>0.5</v>
      </c>
      <c r="O194">
        <v>0.5</v>
      </c>
      <c r="P194">
        <v>0.5</v>
      </c>
      <c r="Q194">
        <v>0.5</v>
      </c>
      <c r="R194" t="inlineStr">
        <is>
          <t xml:space="preserve"> </t>
        </is>
      </c>
      <c r="S194" s="103" t="inlineStr">
        <is>
          <t xml:space="preserve"> </t>
        </is>
      </c>
      <c r="T194" t="inlineStr">
        <is>
          <t>No se encontró ejecución en PIIP</t>
        </is>
      </c>
      <c r="U194" t="inlineStr">
        <is>
          <t xml:space="preserve"> </t>
        </is>
      </c>
      <c r="V194" s="104" t="inlineStr">
        <is>
          <t xml:space="preserve"> </t>
        </is>
      </c>
      <c r="W194" t="inlineStr">
        <is>
          <t>No se encontró ejecución en PIIP</t>
        </is>
      </c>
    </row>
    <row r="195">
      <c r="A195" t="inlineStr">
        <is>
          <t>IP-223</t>
        </is>
      </c>
      <c r="B195" t="inlineStr">
        <is>
          <t>41</t>
        </is>
      </c>
      <c r="C195" t="inlineStr">
        <is>
          <t xml:space="preserve">Inclusión social y reconciliación </t>
        </is>
      </c>
      <c r="D195" t="inlineStr">
        <is>
          <t>4103</t>
        </is>
      </c>
      <c r="E195" t="inlineStr">
        <is>
          <t>Inclusión social y productiva para la población en situación de vulnerabilidad</t>
        </is>
      </c>
      <c r="F195" t="inlineStr">
        <is>
          <t>4103059</t>
        </is>
      </c>
      <c r="G195" t="inlineStr">
        <is>
          <t>Servicio de asistencia técnica para fortalecimiento de unidades productivas colectivas para la generación de ingresos</t>
        </is>
      </c>
      <c r="H195" t="inlineStr">
        <is>
          <t>410305900</t>
        </is>
      </c>
      <c r="I195" t="inlineStr">
        <is>
          <t>Unidades productivas colectivas con asistencia técnica</t>
        </is>
      </c>
      <c r="J195" t="inlineStr">
        <is>
          <t>2024252140151</t>
        </is>
      </c>
      <c r="K195" t="inlineStr">
        <is>
          <t>Si</t>
        </is>
      </c>
      <c r="L195" t="inlineStr">
        <is>
          <t>Número</t>
        </is>
      </c>
      <c r="M195">
        <v>1</v>
      </c>
      <c r="N195">
        <v>0</v>
      </c>
      <c r="O195">
        <v>2</v>
      </c>
      <c r="P195">
        <v>3</v>
      </c>
      <c r="Q195">
        <v>3</v>
      </c>
      <c r="R195" t="inlineStr">
        <is>
          <t xml:space="preserve"> </t>
        </is>
      </c>
      <c r="S195" s="103" t="inlineStr">
        <is>
          <t xml:space="preserve"> </t>
        </is>
      </c>
      <c r="T195" t="inlineStr">
        <is>
          <t>No se encontró ejecución en PIIP</t>
        </is>
      </c>
      <c r="U195" t="inlineStr">
        <is>
          <t xml:space="preserve"> </t>
        </is>
      </c>
      <c r="V195" s="104" t="inlineStr">
        <is>
          <t xml:space="preserve"> </t>
        </is>
      </c>
      <c r="W195" t="inlineStr">
        <is>
          <t>No se encontró ejecución en PIIP</t>
        </is>
      </c>
    </row>
    <row r="196">
      <c r="A196" t="inlineStr">
        <is>
          <t>IP-225</t>
        </is>
      </c>
      <c r="B196" t="inlineStr">
        <is>
          <t>41</t>
        </is>
      </c>
      <c r="C196" t="inlineStr">
        <is>
          <t xml:space="preserve">Inclusión social y reconciliación </t>
        </is>
      </c>
      <c r="D196" t="inlineStr">
        <is>
          <t>4103</t>
        </is>
      </c>
      <c r="E196" t="inlineStr">
        <is>
          <t>Inclusión social y productiva para la población en situación de vulnerabilidad</t>
        </is>
      </c>
      <c r="F196" t="inlineStr">
        <is>
          <t>4103027</t>
        </is>
      </c>
      <c r="G196" t="inlineStr">
        <is>
          <t>Centros comunitarios adecuados</t>
        </is>
      </c>
      <c r="H196" t="inlineStr">
        <is>
          <t>410302700</t>
        </is>
      </c>
      <c r="I196" t="inlineStr">
        <is>
          <t>Centros comunitarios adecuados</t>
        </is>
      </c>
      <c r="J196" t="inlineStr">
        <is>
          <t>2024252140121</t>
        </is>
      </c>
      <c r="K196" t="inlineStr">
        <is>
          <t>Si</t>
        </is>
      </c>
      <c r="L196" t="inlineStr">
        <is>
          <t>Número</t>
        </is>
      </c>
      <c r="M196">
        <v>1</v>
      </c>
      <c r="N196">
        <v>0</v>
      </c>
      <c r="O196">
        <v>0</v>
      </c>
      <c r="P196">
        <v>1</v>
      </c>
      <c r="Q196">
        <v>0</v>
      </c>
      <c r="R196">
        <v>0</v>
      </c>
      <c r="S196" s="103" t="inlineStr">
        <is>
          <t xml:space="preserve"> </t>
        </is>
      </c>
      <c r="T196" t="inlineStr">
        <is>
          <t>No se programó ni ejecutó en la vigencia</t>
        </is>
      </c>
      <c r="U196" t="inlineStr">
        <is>
          <t xml:space="preserve"> </t>
        </is>
      </c>
      <c r="V196" s="104" t="inlineStr">
        <is>
          <t xml:space="preserve"> </t>
        </is>
      </c>
      <c r="W196" t="inlineStr">
        <is>
          <t>No se encontró ejecución en PIIP</t>
        </is>
      </c>
    </row>
    <row r="197">
      <c r="A197" t="inlineStr">
        <is>
          <t>IP-226</t>
        </is>
      </c>
      <c r="B197" t="inlineStr">
        <is>
          <t>41</t>
        </is>
      </c>
      <c r="C197" t="inlineStr">
        <is>
          <t xml:space="preserve">Inclusión social y reconciliación </t>
        </is>
      </c>
      <c r="D197" t="inlineStr">
        <is>
          <t>4103</t>
        </is>
      </c>
      <c r="E197" t="inlineStr">
        <is>
          <t>Inclusión social y productiva para la población en situación de vulnerabilidad</t>
        </is>
      </c>
      <c r="F197" t="inlineStr">
        <is>
          <t>4103010</t>
        </is>
      </c>
      <c r="G197" t="inlineStr">
        <is>
          <t>Servicio de gestión para la colocación de empleo</t>
        </is>
      </c>
      <c r="H197" t="inlineStr">
        <is>
          <t>410301000</t>
        </is>
      </c>
      <c r="I197" t="inlineStr">
        <is>
          <t>Personas vinculadas a empleo formal para población vulnerable</t>
        </is>
      </c>
      <c r="J197" t="inlineStr">
        <is>
          <t>2024252140101</t>
        </is>
      </c>
      <c r="K197" t="inlineStr">
        <is>
          <t>Si</t>
        </is>
      </c>
      <c r="L197" t="inlineStr">
        <is>
          <t>Número</t>
        </is>
      </c>
      <c r="M197">
        <v>250</v>
      </c>
      <c r="N197">
        <v>22</v>
      </c>
      <c r="O197">
        <v>76</v>
      </c>
      <c r="P197">
        <v>76</v>
      </c>
      <c r="Q197">
        <v>76</v>
      </c>
      <c r="R197" t="inlineStr">
        <is>
          <t xml:space="preserve"> </t>
        </is>
      </c>
      <c r="S197" s="103" t="inlineStr">
        <is>
          <t xml:space="preserve"> </t>
        </is>
      </c>
      <c r="T197" t="inlineStr">
        <is>
          <t>No se encontró ejecución en PIIP</t>
        </is>
      </c>
      <c r="U197" t="inlineStr">
        <is>
          <t xml:space="preserve"> </t>
        </is>
      </c>
      <c r="V197" s="104" t="inlineStr">
        <is>
          <t xml:space="preserve"> </t>
        </is>
      </c>
      <c r="W197" t="inlineStr">
        <is>
          <t>No se encontró ejecución en PIIP</t>
        </is>
      </c>
    </row>
    <row r="198">
      <c r="A198" t="inlineStr">
        <is>
          <t>IP-227</t>
        </is>
      </c>
      <c r="B198" t="inlineStr">
        <is>
          <t>41</t>
        </is>
      </c>
      <c r="C198" t="inlineStr">
        <is>
          <t xml:space="preserve">Inclusión social y reconciliación </t>
        </is>
      </c>
      <c r="D198" t="inlineStr">
        <is>
          <t>4103</t>
        </is>
      </c>
      <c r="E198" t="inlineStr">
        <is>
          <t>Inclusión social y productiva para la población en situación de vulnerabilidad</t>
        </is>
      </c>
      <c r="F198" t="inlineStr">
        <is>
          <t>4103052</t>
        </is>
      </c>
      <c r="G198" t="inlineStr">
        <is>
          <t>Servicio de gestión de oferta social para la población vulnerable</t>
        </is>
      </c>
      <c r="H198" t="inlineStr">
        <is>
          <t>410305202</t>
        </is>
      </c>
      <c r="I198" t="inlineStr">
        <is>
          <t>Mecanismos de articulación implementados para la gestión de oferta social</t>
        </is>
      </c>
      <c r="J198" t="inlineStr">
        <is>
          <t>2024252140078</t>
        </is>
      </c>
      <c r="K198" t="inlineStr">
        <is>
          <t>No</t>
        </is>
      </c>
      <c r="L198" t="inlineStr">
        <is>
          <t>Número</t>
        </is>
      </c>
      <c r="M198">
        <v>1</v>
      </c>
      <c r="N198">
        <v>1</v>
      </c>
      <c r="O198">
        <v>1</v>
      </c>
      <c r="P198">
        <v>1</v>
      </c>
      <c r="Q198">
        <v>1</v>
      </c>
      <c r="R198" t="inlineStr">
        <is>
          <t xml:space="preserve"> </t>
        </is>
      </c>
      <c r="S198" s="103" t="inlineStr">
        <is>
          <t xml:space="preserve"> </t>
        </is>
      </c>
      <c r="T198" t="inlineStr">
        <is>
          <t>No se encontró ejecución en PIIP</t>
        </is>
      </c>
      <c r="U198" t="inlineStr">
        <is>
          <t xml:space="preserve"> </t>
        </is>
      </c>
      <c r="V198" s="104" t="inlineStr">
        <is>
          <t xml:space="preserve"> </t>
        </is>
      </c>
      <c r="W198" t="inlineStr">
        <is>
          <t>No se encontró ejecución en PIIP</t>
        </is>
      </c>
    </row>
    <row r="199">
      <c r="A199" t="inlineStr">
        <is>
          <t>IP-228, IP-229, IP-230, IP-231, IP-232, IP-234, IP-235</t>
        </is>
      </c>
      <c r="B199" t="inlineStr">
        <is>
          <t>41</t>
        </is>
      </c>
      <c r="C199" t="inlineStr">
        <is>
          <t xml:space="preserve">Inclusión social y reconciliación </t>
        </is>
      </c>
      <c r="D199" t="inlineStr">
        <is>
          <t>4104</t>
        </is>
      </c>
      <c r="E199" t="inlineStr">
        <is>
          <t>Atención integral de población en situación permanente de desprotección social y/o familiar</t>
        </is>
      </c>
      <c r="F199" t="inlineStr">
        <is>
          <t>4104020</t>
        </is>
      </c>
      <c r="G199" t="inlineStr">
        <is>
          <t>Servicio de atención integral a población en condición de discapacidad</t>
        </is>
      </c>
      <c r="H199" t="inlineStr">
        <is>
          <t>410402000</t>
        </is>
      </c>
      <c r="I199" t="inlineStr">
        <is>
          <t>Personas con discapacidad atendidas con servicios integrales</t>
        </is>
      </c>
      <c r="J199" t="inlineStr">
        <is>
          <t>2024252140079</t>
        </is>
      </c>
      <c r="K199" t="inlineStr">
        <is>
          <t>No</t>
        </is>
      </c>
      <c r="L199" t="inlineStr">
        <is>
          <t>Número</t>
        </is>
      </c>
      <c r="M199">
        <v>7</v>
      </c>
      <c r="N199">
        <v>10</v>
      </c>
      <c r="O199">
        <v>10</v>
      </c>
      <c r="P199">
        <v>10</v>
      </c>
      <c r="Q199">
        <v>10</v>
      </c>
      <c r="R199" t="inlineStr">
        <is>
          <t xml:space="preserve"> </t>
        </is>
      </c>
      <c r="S199" s="103" t="inlineStr">
        <is>
          <t xml:space="preserve"> </t>
        </is>
      </c>
      <c r="T199" t="inlineStr">
        <is>
          <t>No se encontró ejecución en PIIP</t>
        </is>
      </c>
      <c r="U199" t="inlineStr">
        <is>
          <t xml:space="preserve"> </t>
        </is>
      </c>
      <c r="V199" s="104" t="inlineStr">
        <is>
          <t xml:space="preserve"> </t>
        </is>
      </c>
      <c r="W199" t="inlineStr">
        <is>
          <t>No se encontró ejecución en PIIP</t>
        </is>
      </c>
    </row>
    <row r="200">
      <c r="A200" t="inlineStr">
        <is>
          <t>IP-233</t>
        </is>
      </c>
      <c r="B200" t="inlineStr">
        <is>
          <t>41</t>
        </is>
      </c>
      <c r="C200" t="inlineStr">
        <is>
          <t xml:space="preserve">Inclusión social y reconciliación </t>
        </is>
      </c>
      <c r="D200" t="inlineStr">
        <is>
          <t>4104</t>
        </is>
      </c>
      <c r="E200" t="inlineStr">
        <is>
          <t>Atención integral de población en situación permanente de desprotección social y/o familiar</t>
        </is>
      </c>
      <c r="F200" t="inlineStr">
        <is>
          <t>4104037</t>
        </is>
      </c>
      <c r="G200" t="inlineStr">
        <is>
          <t>Centros de atención integral para personas con discapacidad adecuados</t>
        </is>
      </c>
      <c r="H200" t="inlineStr">
        <is>
          <t>410403700</t>
        </is>
      </c>
      <c r="I200" t="inlineStr">
        <is>
          <t>Centros de atención integral para personas con discapacidad adecuados</t>
        </is>
      </c>
      <c r="J200" t="inlineStr">
        <is>
          <t>2024252140079</t>
        </is>
      </c>
      <c r="K200" t="inlineStr">
        <is>
          <t>No</t>
        </is>
      </c>
      <c r="L200" t="inlineStr">
        <is>
          <t>Número</t>
        </is>
      </c>
      <c r="M200">
        <v>1</v>
      </c>
      <c r="N200">
        <v>1</v>
      </c>
      <c r="O200">
        <v>1</v>
      </c>
      <c r="P200">
        <v>1</v>
      </c>
      <c r="Q200">
        <v>1</v>
      </c>
      <c r="R200">
        <v>0</v>
      </c>
      <c r="S200" s="103">
        <v>0</v>
      </c>
      <c r="T200" t="inlineStr">
        <is>
          <t>No se ejecutó en la vigencia</t>
        </is>
      </c>
      <c r="U200" t="inlineStr">
        <is>
          <t xml:space="preserve"> </t>
        </is>
      </c>
      <c r="V200" s="104" t="inlineStr">
        <is>
          <t xml:space="preserve"> </t>
        </is>
      </c>
      <c r="W200" t="inlineStr">
        <is>
          <t>No se encontró ejecución en PIIP</t>
        </is>
      </c>
    </row>
    <row r="201">
      <c r="A201" t="inlineStr">
        <is>
          <t>IP-236</t>
        </is>
      </c>
      <c r="B201" t="inlineStr">
        <is>
          <t>41</t>
        </is>
      </c>
      <c r="C201" t="inlineStr">
        <is>
          <t xml:space="preserve">Inclusión social y reconciliación </t>
        </is>
      </c>
      <c r="D201" t="inlineStr">
        <is>
          <t>4101</t>
        </is>
      </c>
      <c r="E201" t="inlineStr">
        <is>
          <t>Atención, asistencia y reparación integral a las víctimas</t>
        </is>
      </c>
      <c r="F201" t="inlineStr">
        <is>
          <t>4101023</t>
        </is>
      </c>
      <c r="G201" t="inlineStr">
        <is>
          <t>Servicio de orientación y comunicación a las víctimas</t>
        </is>
      </c>
      <c r="H201" t="inlineStr">
        <is>
          <t>410102306</t>
        </is>
      </c>
      <c r="I201" t="inlineStr">
        <is>
          <t>Víctimas atendidas</t>
        </is>
      </c>
      <c r="J201" t="inlineStr">
        <is>
          <t>2024252140130</t>
        </is>
      </c>
      <c r="K201" t="inlineStr">
        <is>
          <t>Si</t>
        </is>
      </c>
      <c r="L201" t="inlineStr">
        <is>
          <t>Número</t>
        </is>
      </c>
      <c r="M201">
        <v>100</v>
      </c>
      <c r="N201">
        <v>0.25</v>
      </c>
      <c r="O201">
        <v>0.25</v>
      </c>
      <c r="P201">
        <v>0.25</v>
      </c>
      <c r="Q201">
        <v>0.25</v>
      </c>
      <c r="R201" t="inlineStr">
        <is>
          <t xml:space="preserve"> </t>
        </is>
      </c>
      <c r="S201" s="103" t="inlineStr">
        <is>
          <t xml:space="preserve"> </t>
        </is>
      </c>
      <c r="T201" t="inlineStr">
        <is>
          <t>No se encontró ejecución en PIIP</t>
        </is>
      </c>
      <c r="U201" t="inlineStr">
        <is>
          <t xml:space="preserve"> </t>
        </is>
      </c>
      <c r="V201" s="104" t="inlineStr">
        <is>
          <t xml:space="preserve"> </t>
        </is>
      </c>
      <c r="W201" t="inlineStr">
        <is>
          <t>No se encontró ejecución en PIIP</t>
        </is>
      </c>
    </row>
    <row r="202">
      <c r="A202" t="inlineStr">
        <is>
          <t>IP-237</t>
        </is>
      </c>
      <c r="B202" t="inlineStr">
        <is>
          <t>41</t>
        </is>
      </c>
      <c r="C202" t="inlineStr">
        <is>
          <t xml:space="preserve">Inclusión social y reconciliación </t>
        </is>
      </c>
      <c r="D202" t="inlineStr">
        <is>
          <t>4101</t>
        </is>
      </c>
      <c r="E202" t="inlineStr">
        <is>
          <t>Atención, asistencia y reparación integral a las víctimas</t>
        </is>
      </c>
      <c r="F202" t="inlineStr">
        <is>
          <t>4101025</t>
        </is>
      </c>
      <c r="G202" t="inlineStr">
        <is>
          <t>Servicio de ayuda y atención humanitaria</t>
        </is>
      </c>
      <c r="H202" t="inlineStr">
        <is>
          <t>410102511</t>
        </is>
      </c>
      <c r="I202" t="inlineStr">
        <is>
          <t>Personas víctimas con ayuda humanitaria</t>
        </is>
      </c>
      <c r="J202" t="inlineStr">
        <is>
          <t>2024252140130</t>
        </is>
      </c>
      <c r="K202" t="inlineStr">
        <is>
          <t>Si</t>
        </is>
      </c>
      <c r="L202" t="inlineStr">
        <is>
          <t>Número</t>
        </is>
      </c>
      <c r="M202">
        <v>100</v>
      </c>
      <c r="N202">
        <v>0.25</v>
      </c>
      <c r="O202">
        <v>0.25</v>
      </c>
      <c r="P202">
        <v>0.25</v>
      </c>
      <c r="Q202">
        <v>0.25</v>
      </c>
      <c r="R202" t="inlineStr">
        <is>
          <t xml:space="preserve"> </t>
        </is>
      </c>
      <c r="S202" s="103" t="inlineStr">
        <is>
          <t xml:space="preserve"> </t>
        </is>
      </c>
      <c r="T202" t="inlineStr">
        <is>
          <t>No se encontró ejecución en PIIP</t>
        </is>
      </c>
      <c r="U202" t="inlineStr">
        <is>
          <t xml:space="preserve"> </t>
        </is>
      </c>
      <c r="V202" s="104" t="inlineStr">
        <is>
          <t xml:space="preserve"> </t>
        </is>
      </c>
      <c r="W202" t="inlineStr">
        <is>
          <t>No se encontró ejecución en PIIP</t>
        </is>
      </c>
    </row>
    <row r="203">
      <c r="A203" t="inlineStr">
        <is>
          <t>IP-238</t>
        </is>
      </c>
      <c r="B203" t="inlineStr">
        <is>
          <t>41</t>
        </is>
      </c>
      <c r="C203" t="inlineStr">
        <is>
          <t xml:space="preserve">Inclusión social y reconciliación </t>
        </is>
      </c>
      <c r="D203" t="inlineStr">
        <is>
          <t>4101</t>
        </is>
      </c>
      <c r="E203" t="inlineStr">
        <is>
          <t>Atención, asistencia y reparación integral a las víctimas</t>
        </is>
      </c>
      <c r="F203" t="inlineStr">
        <is>
          <t>4101038</t>
        </is>
      </c>
      <c r="G203" t="inlineStr">
        <is>
          <t>Servicio de asistencia técnica para la participación de las víctimas</t>
        </is>
      </c>
      <c r="H203" t="inlineStr">
        <is>
          <t>410103800</t>
        </is>
      </c>
      <c r="I203" t="inlineStr">
        <is>
          <t>Eventos de participación realizados</t>
        </is>
      </c>
      <c r="J203" t="inlineStr">
        <is>
          <t>2024252140130</t>
        </is>
      </c>
      <c r="K203" t="inlineStr">
        <is>
          <t>Si</t>
        </is>
      </c>
      <c r="L203" t="inlineStr">
        <is>
          <t>Número</t>
        </is>
      </c>
      <c r="M203">
        <v>1</v>
      </c>
      <c r="N203">
        <v>0.25</v>
      </c>
      <c r="O203">
        <v>0.25</v>
      </c>
      <c r="P203">
        <v>0.25</v>
      </c>
      <c r="Q203">
        <v>0.25</v>
      </c>
      <c r="R203" t="inlineStr">
        <is>
          <t xml:space="preserve"> </t>
        </is>
      </c>
      <c r="S203" s="103" t="inlineStr">
        <is>
          <t xml:space="preserve"> </t>
        </is>
      </c>
      <c r="T203" t="inlineStr">
        <is>
          <t>No se encontró ejecución en PIIP</t>
        </is>
      </c>
      <c r="U203" t="inlineStr">
        <is>
          <t xml:space="preserve"> </t>
        </is>
      </c>
      <c r="V203" s="104" t="inlineStr">
        <is>
          <t xml:space="preserve"> </t>
        </is>
      </c>
      <c r="W203" t="inlineStr">
        <is>
          <t>No se encontró ejecución en PIIP</t>
        </is>
      </c>
    </row>
    <row r="204">
      <c r="A204" t="inlineStr">
        <is>
          <t>IP-239</t>
        </is>
      </c>
      <c r="B204" t="inlineStr">
        <is>
          <t>45</t>
        </is>
      </c>
      <c r="C204" t="inlineStr">
        <is>
          <t>Gobierno Territorial</t>
        </is>
      </c>
      <c r="D204" t="inlineStr">
        <is>
          <t>4502</t>
        </is>
      </c>
      <c r="E204" t="inlineStr">
        <is>
          <t>Fortalecimiento del buen gobierno para el respeto y garantía de los derechos humanos.</t>
        </is>
      </c>
      <c r="F204" t="inlineStr">
        <is>
          <t>4502022</t>
        </is>
      </c>
      <c r="G204" t="inlineStr">
        <is>
          <t>Servicio de asistencia técnica</t>
        </is>
      </c>
      <c r="H204" t="inlineStr">
        <is>
          <t>450202201</t>
        </is>
      </c>
      <c r="I204" t="inlineStr">
        <is>
          <t>Grupos étnicos asistidos técnicamente</t>
        </is>
      </c>
      <c r="J204" t="inlineStr">
        <is>
          <t>2024252140131</t>
        </is>
      </c>
      <c r="K204" t="inlineStr">
        <is>
          <t>Si</t>
        </is>
      </c>
      <c r="L204" t="inlineStr">
        <is>
          <t>Número</t>
        </is>
      </c>
      <c r="M204">
        <v>1</v>
      </c>
      <c r="N204">
        <v>0.25</v>
      </c>
      <c r="O204">
        <v>0.25</v>
      </c>
      <c r="P204">
        <v>0.25</v>
      </c>
      <c r="Q204">
        <v>0.25</v>
      </c>
      <c r="R204" t="inlineStr">
        <is>
          <t xml:space="preserve"> </t>
        </is>
      </c>
      <c r="S204" s="103" t="inlineStr">
        <is>
          <t xml:space="preserve"> </t>
        </is>
      </c>
      <c r="T204" t="inlineStr">
        <is>
          <t>No se encontró ejecución en PIIP</t>
        </is>
      </c>
      <c r="U204" t="inlineStr">
        <is>
          <t xml:space="preserve"> </t>
        </is>
      </c>
      <c r="V204" s="104" t="inlineStr">
        <is>
          <t xml:space="preserve"> </t>
        </is>
      </c>
      <c r="W204" t="inlineStr">
        <is>
          <t>No se encontró ejecución en PIIP</t>
        </is>
      </c>
    </row>
    <row r="205">
      <c r="A205" t="inlineStr">
        <is>
          <t>IP-240</t>
        </is>
      </c>
      <c r="B205" t="inlineStr">
        <is>
          <t>45</t>
        </is>
      </c>
      <c r="C205" t="inlineStr">
        <is>
          <t>Gobierno Territorial</t>
        </is>
      </c>
      <c r="D205" t="inlineStr">
        <is>
          <t>4502</t>
        </is>
      </c>
      <c r="E205" t="inlineStr">
        <is>
          <t>Fortalecimiento del buen gobierno para el respeto y garantía de los derechos humanos.</t>
        </is>
      </c>
      <c r="F205" t="inlineStr">
        <is>
          <t>4502022</t>
        </is>
      </c>
      <c r="G205" t="inlineStr">
        <is>
          <t>Servicio de asistencia técnica</t>
        </is>
      </c>
      <c r="H205" t="inlineStr">
        <is>
          <t>450202200</t>
        </is>
      </c>
      <c r="I205" t="inlineStr">
        <is>
          <t>Instancias territoriales de coordinación institucional asistidas y apoyadas</t>
        </is>
      </c>
      <c r="J205" t="inlineStr">
        <is>
          <t>2024252140157</t>
        </is>
      </c>
      <c r="K205" t="inlineStr">
        <is>
          <t>No</t>
        </is>
      </c>
      <c r="L205" t="inlineStr">
        <is>
          <t>Número</t>
        </is>
      </c>
      <c r="M205">
        <v>1</v>
      </c>
      <c r="N205">
        <v>0.25</v>
      </c>
      <c r="O205">
        <v>0.25</v>
      </c>
      <c r="P205">
        <v>0.25</v>
      </c>
      <c r="Q205">
        <v>0.25</v>
      </c>
      <c r="R205">
        <v>0.2</v>
      </c>
      <c r="S205" s="103">
        <v>0.8</v>
      </c>
      <c r="T205" t="inlineStr">
        <is>
          <t>Lo ejecutado está por debajo de lo programado en la vigencia</t>
        </is>
      </c>
      <c r="U205" t="inlineStr">
        <is>
          <t xml:space="preserve"> </t>
        </is>
      </c>
      <c r="V205" s="104" t="inlineStr">
        <is>
          <t xml:space="preserve"> </t>
        </is>
      </c>
      <c r="W205" t="inlineStr">
        <is>
          <t>No se encontró ejecución en PIIP</t>
        </is>
      </c>
    </row>
    <row r="206">
      <c r="A206" t="inlineStr">
        <is>
          <t>IP-241</t>
        </is>
      </c>
      <c r="B206" t="inlineStr">
        <is>
          <t>45</t>
        </is>
      </c>
      <c r="C206" t="inlineStr">
        <is>
          <t>Gobierno Territorial</t>
        </is>
      </c>
      <c r="D206" t="inlineStr">
        <is>
          <t>4502</t>
        </is>
      </c>
      <c r="E206" t="inlineStr">
        <is>
          <t>Fortalecimiento del buen gobierno para el respeto y garantía de los derechos humanos.</t>
        </is>
      </c>
      <c r="F206" t="inlineStr">
        <is>
          <t>4502035</t>
        </is>
      </c>
      <c r="G206" t="inlineStr">
        <is>
          <t>Documentos de planeación</t>
        </is>
      </c>
      <c r="H206" t="inlineStr">
        <is>
          <t>450203501</t>
        </is>
      </c>
      <c r="I206" t="inlineStr">
        <is>
          <t>Planes estratégicos elaborados</t>
        </is>
      </c>
      <c r="J206" t="inlineStr">
        <is>
          <t>2024252140083</t>
        </is>
      </c>
      <c r="K206" t="inlineStr">
        <is>
          <t>No</t>
        </is>
      </c>
      <c r="L206" t="inlineStr">
        <is>
          <t>Número</t>
        </is>
      </c>
      <c r="M206">
        <v>1</v>
      </c>
      <c r="N206">
        <v>1</v>
      </c>
      <c r="O206">
        <v>1</v>
      </c>
      <c r="P206">
        <v>1</v>
      </c>
      <c r="Q206">
        <v>1</v>
      </c>
      <c r="R206" t="inlineStr">
        <is>
          <t xml:space="preserve"> </t>
        </is>
      </c>
      <c r="S206" s="103" t="inlineStr">
        <is>
          <t xml:space="preserve"> </t>
        </is>
      </c>
      <c r="T206" t="inlineStr">
        <is>
          <t>No se encontró ejecución en PIIP</t>
        </is>
      </c>
      <c r="U206" t="inlineStr">
        <is>
          <t xml:space="preserve"> </t>
        </is>
      </c>
      <c r="V206" s="104" t="inlineStr">
        <is>
          <t xml:space="preserve"> </t>
        </is>
      </c>
      <c r="W206" t="inlineStr">
        <is>
          <t>No se encontró ejecución en PIIP</t>
        </is>
      </c>
    </row>
    <row r="207">
      <c r="A207" t="inlineStr">
        <is>
          <t>IP-242</t>
        </is>
      </c>
      <c r="B207" t="inlineStr">
        <is>
          <t>45</t>
        </is>
      </c>
      <c r="C207" t="inlineStr">
        <is>
          <t>Gobierno Territorial</t>
        </is>
      </c>
      <c r="D207" t="inlineStr">
        <is>
          <t>4502</t>
        </is>
      </c>
      <c r="E207" t="inlineStr">
        <is>
          <t>Fortalecimiento del buen gobierno para el respeto y garantía de los derechos humanos.</t>
        </is>
      </c>
      <c r="F207" t="inlineStr">
        <is>
          <t>4502033</t>
        </is>
      </c>
      <c r="G207" t="inlineStr">
        <is>
          <t>Servicio de integración de la oferta pública</t>
        </is>
      </c>
      <c r="H207" t="inlineStr">
        <is>
          <t>450203300</t>
        </is>
      </c>
      <c r="I207" t="inlineStr">
        <is>
          <t>Espacios de integración de oferta pública generados</t>
        </is>
      </c>
      <c r="J207" t="inlineStr">
        <is>
          <t>2024252140074</t>
        </is>
      </c>
      <c r="K207" t="inlineStr">
        <is>
          <t>Si</t>
        </is>
      </c>
      <c r="L207" t="inlineStr">
        <is>
          <t>Número</t>
        </is>
      </c>
      <c r="M207">
        <v>1</v>
      </c>
      <c r="N207">
        <v>0.05</v>
      </c>
      <c r="O207">
        <v>0.4</v>
      </c>
      <c r="P207">
        <v>0.4</v>
      </c>
      <c r="Q207">
        <v>0.15</v>
      </c>
      <c r="R207">
        <v>0</v>
      </c>
      <c r="S207" s="103">
        <v>0</v>
      </c>
      <c r="T207" t="inlineStr">
        <is>
          <t>No se ejecutó en la vigencia</t>
        </is>
      </c>
      <c r="U207" t="inlineStr">
        <is>
          <t xml:space="preserve"> </t>
        </is>
      </c>
      <c r="V207" s="104" t="inlineStr">
        <is>
          <t xml:space="preserve"> </t>
        </is>
      </c>
      <c r="W207" t="inlineStr">
        <is>
          <t>No se encontró ejecución en PIIP</t>
        </is>
      </c>
    </row>
    <row r="208">
      <c r="A208" t="inlineStr">
        <is>
          <t>IP-243</t>
        </is>
      </c>
      <c r="B208" t="inlineStr">
        <is>
          <t>45</t>
        </is>
      </c>
      <c r="C208" t="inlineStr">
        <is>
          <t>Gobierno Territorial</t>
        </is>
      </c>
      <c r="D208" t="inlineStr">
        <is>
          <t>4502</t>
        </is>
      </c>
      <c r="E208" t="inlineStr">
        <is>
          <t>Fortalecimiento del buen gobierno para el respeto y garantía de los derechos humanos.</t>
        </is>
      </c>
      <c r="F208" t="inlineStr">
        <is>
          <t>4502001</t>
        </is>
      </c>
      <c r="G208" t="inlineStr">
        <is>
          <t>Servicio de promoción a la participación ciudadana</t>
        </is>
      </c>
      <c r="H208" t="inlineStr">
        <is>
          <t>450200100</t>
        </is>
      </c>
      <c r="I208" t="inlineStr">
        <is>
          <t>Espacios de participación promovidos</t>
        </is>
      </c>
      <c r="J208" t="inlineStr">
        <is>
          <t>2024252140168</t>
        </is>
      </c>
      <c r="K208" t="inlineStr">
        <is>
          <t>No</t>
        </is>
      </c>
      <c r="L208" t="inlineStr">
        <is>
          <t>Número</t>
        </is>
      </c>
      <c r="M208">
        <v>3</v>
      </c>
      <c r="N208">
        <v>3</v>
      </c>
      <c r="O208">
        <v>3</v>
      </c>
      <c r="P208">
        <v>3</v>
      </c>
      <c r="Q208">
        <v>3</v>
      </c>
      <c r="R208">
        <v>0</v>
      </c>
      <c r="S208" s="103">
        <v>0</v>
      </c>
      <c r="T208" t="inlineStr">
        <is>
          <t>No se ejecutó en la vigencia</t>
        </is>
      </c>
      <c r="U208" t="inlineStr">
        <is>
          <t xml:space="preserve"> </t>
        </is>
      </c>
      <c r="V208" s="104" t="inlineStr">
        <is>
          <t xml:space="preserve"> </t>
        </is>
      </c>
      <c r="W208" t="inlineStr">
        <is>
          <t>No se encontró ejecución en PIIP</t>
        </is>
      </c>
    </row>
    <row r="209">
      <c r="A209" t="inlineStr">
        <is>
          <t>IP-244</t>
        </is>
      </c>
      <c r="B209" t="inlineStr">
        <is>
          <t>45</t>
        </is>
      </c>
      <c r="C209" t="inlineStr">
        <is>
          <t>Gobierno Territorial</t>
        </is>
      </c>
      <c r="D209" t="inlineStr">
        <is>
          <t>4599</t>
        </is>
      </c>
      <c r="E209" t="inlineStr">
        <is>
          <t>Fortalecimiento a la gestión y dirección de la administración pública territorial</t>
        </is>
      </c>
      <c r="F209" t="inlineStr">
        <is>
          <t>4599011</t>
        </is>
      </c>
      <c r="G209" t="inlineStr">
        <is>
          <t>Sedes adecuadas</t>
        </is>
      </c>
      <c r="H209" t="inlineStr">
        <is>
          <t>459901100</t>
        </is>
      </c>
      <c r="I209" t="inlineStr">
        <is>
          <t>Sedes adecuadas</t>
        </is>
      </c>
      <c r="J209" t="inlineStr">
        <is>
          <t/>
        </is>
      </c>
      <c r="K209" t="inlineStr">
        <is>
          <t>Si</t>
        </is>
      </c>
      <c r="L209" t="inlineStr">
        <is>
          <t>Número</t>
        </is>
      </c>
      <c r="M209">
        <v>1</v>
      </c>
      <c r="N209">
        <v>0</v>
      </c>
      <c r="O209">
        <v>0</v>
      </c>
      <c r="P209">
        <v>1</v>
      </c>
      <c r="Q209">
        <v>0</v>
      </c>
      <c r="R209" t="inlineStr">
        <is>
          <t xml:space="preserve"> </t>
        </is>
      </c>
      <c r="S209" s="103" t="inlineStr">
        <is>
          <t xml:space="preserve"> </t>
        </is>
      </c>
      <c r="T209" t="inlineStr">
        <is>
          <t>Por falta de código BPIN, no se encontró ejecución en PIIP</t>
        </is>
      </c>
      <c r="U209" t="inlineStr">
        <is>
          <t xml:space="preserve"> </t>
        </is>
      </c>
      <c r="V209" s="104" t="inlineStr">
        <is>
          <t xml:space="preserve"> </t>
        </is>
      </c>
      <c r="W209" t="inlineStr">
        <is>
          <t>Por falta de código BPIN, no se encontró ejecución en PIIP</t>
        </is>
      </c>
    </row>
    <row r="210">
      <c r="A210" t="inlineStr">
        <is>
          <t>IP-245, IP-246</t>
        </is>
      </c>
      <c r="B210" t="inlineStr">
        <is>
          <t>45</t>
        </is>
      </c>
      <c r="C210" t="inlineStr">
        <is>
          <t>Gobierno Territorial</t>
        </is>
      </c>
      <c r="D210" t="inlineStr">
        <is>
          <t>4599</t>
        </is>
      </c>
      <c r="E210" t="inlineStr">
        <is>
          <t>Fortalecimiento a la gestión y dirección de la administración pública territorial</t>
        </is>
      </c>
      <c r="F210" t="inlineStr">
        <is>
          <t>4599006</t>
        </is>
      </c>
      <c r="G210" t="inlineStr">
        <is>
          <t>Estudios de preinversión</t>
        </is>
      </c>
      <c r="H210" t="inlineStr">
        <is>
          <t>459900600</t>
        </is>
      </c>
      <c r="I210" t="inlineStr">
        <is>
          <t>Estudios de preinversión elaborados</t>
        </is>
      </c>
      <c r="J210" t="inlineStr">
        <is>
          <t>2024252140119</t>
        </is>
      </c>
      <c r="K210" t="inlineStr">
        <is>
          <t>Si</t>
        </is>
      </c>
      <c r="L210" t="inlineStr">
        <is>
          <t>Número</t>
        </is>
      </c>
      <c r="M210">
        <v>6</v>
      </c>
      <c r="N210">
        <v>0</v>
      </c>
      <c r="O210">
        <v>1</v>
      </c>
      <c r="P210">
        <v>2</v>
      </c>
      <c r="Q210">
        <v>1</v>
      </c>
      <c r="R210" t="inlineStr">
        <is>
          <t xml:space="preserve"> </t>
        </is>
      </c>
      <c r="S210" s="103" t="inlineStr">
        <is>
          <t xml:space="preserve"> </t>
        </is>
      </c>
      <c r="T210" t="inlineStr">
        <is>
          <t>No se encontró ejecución en PIIP</t>
        </is>
      </c>
      <c r="U210" t="inlineStr">
        <is>
          <t xml:space="preserve"> </t>
        </is>
      </c>
      <c r="V210" s="104" t="inlineStr">
        <is>
          <t xml:space="preserve"> </t>
        </is>
      </c>
      <c r="W210" t="inlineStr">
        <is>
          <t>No se encontró ejecución en PIIP</t>
        </is>
      </c>
    </row>
    <row r="211">
      <c r="A211" t="inlineStr">
        <is>
          <t>IP-247</t>
        </is>
      </c>
      <c r="B211" t="inlineStr">
        <is>
          <t>45</t>
        </is>
      </c>
      <c r="C211" t="inlineStr">
        <is>
          <t>Gobierno Territorial</t>
        </is>
      </c>
      <c r="D211" t="inlineStr">
        <is>
          <t>4599</t>
        </is>
      </c>
      <c r="E211" t="inlineStr">
        <is>
          <t>Fortalecimiento a la gestión y dirección de la administración pública territorial</t>
        </is>
      </c>
      <c r="F211" t="inlineStr">
        <is>
          <t>4599016</t>
        </is>
      </c>
      <c r="G211" t="inlineStr">
        <is>
          <t>Sedes mantenidas</t>
        </is>
      </c>
      <c r="H211" t="inlineStr">
        <is>
          <t>459901600</t>
        </is>
      </c>
      <c r="I211" t="inlineStr">
        <is>
          <t>Sedes mantenidas</t>
        </is>
      </c>
      <c r="J211" t="inlineStr">
        <is>
          <t>2024252140119</t>
        </is>
      </c>
      <c r="K211" t="inlineStr">
        <is>
          <t>Si</t>
        </is>
      </c>
      <c r="L211" t="inlineStr">
        <is>
          <t>Número</t>
        </is>
      </c>
      <c r="M211">
        <v>100</v>
      </c>
      <c r="N211">
        <v>0</v>
      </c>
      <c r="O211">
        <v>30</v>
      </c>
      <c r="P211">
        <v>40</v>
      </c>
      <c r="Q211">
        <v>30</v>
      </c>
      <c r="R211" t="inlineStr">
        <is>
          <t xml:space="preserve"> </t>
        </is>
      </c>
      <c r="S211" s="103" t="inlineStr">
        <is>
          <t xml:space="preserve"> </t>
        </is>
      </c>
      <c r="T211" t="inlineStr">
        <is>
          <t>No se encontró ejecución en PIIP</t>
        </is>
      </c>
      <c r="U211" t="inlineStr">
        <is>
          <t xml:space="preserve"> </t>
        </is>
      </c>
      <c r="V211" s="104" t="inlineStr">
        <is>
          <t xml:space="preserve"> </t>
        </is>
      </c>
      <c r="W211" t="inlineStr">
        <is>
          <t>No se encontró ejecución en PIIP</t>
        </is>
      </c>
    </row>
    <row r="212">
      <c r="A212" t="inlineStr">
        <is>
          <t>IP-248, IP-249, IP-250</t>
        </is>
      </c>
      <c r="B212" t="inlineStr">
        <is>
          <t>45</t>
        </is>
      </c>
      <c r="C212" t="inlineStr">
        <is>
          <t>Gobierno Territorial</t>
        </is>
      </c>
      <c r="D212" t="inlineStr">
        <is>
          <t>4599</t>
        </is>
      </c>
      <c r="E212" t="inlineStr">
        <is>
          <t>Fortalecimiento a la gestión y dirección de la administración pública territorial</t>
        </is>
      </c>
      <c r="F212" t="inlineStr">
        <is>
          <t>4599032</t>
        </is>
      </c>
      <c r="G212" t="inlineStr">
        <is>
          <t>Documentos de política</t>
        </is>
      </c>
      <c r="H212" t="inlineStr">
        <is>
          <t>459903200</t>
        </is>
      </c>
      <c r="I212" t="inlineStr">
        <is>
          <t>Documentos de política elaborados</t>
        </is>
      </c>
      <c r="J212" t="inlineStr">
        <is>
          <t>2024252140132</t>
        </is>
      </c>
      <c r="K212" t="inlineStr">
        <is>
          <t>Si</t>
        </is>
      </c>
      <c r="L212" t="inlineStr">
        <is>
          <t>Número</t>
        </is>
      </c>
      <c r="M212">
        <v>3</v>
      </c>
      <c r="N212">
        <v>1.4</v>
      </c>
      <c r="O212">
        <v>0.45</v>
      </c>
      <c r="P212">
        <v>0.45</v>
      </c>
      <c r="Q212">
        <v>0.7</v>
      </c>
      <c r="R212" t="inlineStr">
        <is>
          <t xml:space="preserve"> </t>
        </is>
      </c>
      <c r="S212" s="103" t="inlineStr">
        <is>
          <t xml:space="preserve"> </t>
        </is>
      </c>
      <c r="T212" t="inlineStr">
        <is>
          <t>No se encontró ejecución en PIIP</t>
        </is>
      </c>
      <c r="U212" t="inlineStr">
        <is>
          <t xml:space="preserve"> </t>
        </is>
      </c>
      <c r="V212" s="104" t="inlineStr">
        <is>
          <t xml:space="preserve"> </t>
        </is>
      </c>
      <c r="W212" t="inlineStr">
        <is>
          <t>No se encontró ejecución en PIIP</t>
        </is>
      </c>
    </row>
    <row r="213">
      <c r="A213" t="inlineStr">
        <is>
          <t>IP-251</t>
        </is>
      </c>
      <c r="B213" t="inlineStr">
        <is>
          <t>45</t>
        </is>
      </c>
      <c r="C213" t="inlineStr">
        <is>
          <t>Gobierno Territorial</t>
        </is>
      </c>
      <c r="D213" t="inlineStr">
        <is>
          <t>4599</t>
        </is>
      </c>
      <c r="E213" t="inlineStr">
        <is>
          <t>Fortalecimiento a la gestión y dirección de la administración pública territorial</t>
        </is>
      </c>
      <c r="F213" t="inlineStr">
        <is>
          <t>4599017</t>
        </is>
      </c>
      <c r="G213" t="inlineStr">
        <is>
          <t>Servicio de gestión documental</t>
        </is>
      </c>
      <c r="H213" t="inlineStr">
        <is>
          <t>459901700</t>
        </is>
      </c>
      <c r="I213" t="inlineStr">
        <is>
          <t>Sistema de gestión documental implementado</t>
        </is>
      </c>
      <c r="J213" t="inlineStr">
        <is>
          <t>2024252140133</t>
        </is>
      </c>
      <c r="K213" t="inlineStr">
        <is>
          <t>Si</t>
        </is>
      </c>
      <c r="L213" t="inlineStr">
        <is>
          <t>Número</t>
        </is>
      </c>
      <c r="M213">
        <v>1</v>
      </c>
      <c r="N213">
        <v>0.25</v>
      </c>
      <c r="O213">
        <v>0.25</v>
      </c>
      <c r="P213">
        <v>0.25</v>
      </c>
      <c r="Q213">
        <v>0.25</v>
      </c>
      <c r="R213">
        <v>25</v>
      </c>
      <c r="S213" s="103">
        <v>100</v>
      </c>
      <c r="T213" t="inlineStr">
        <is>
          <t>Hubo ejecución por encima de lo programado en SisPT</t>
        </is>
      </c>
      <c r="U213" t="inlineStr">
        <is>
          <t xml:space="preserve"> </t>
        </is>
      </c>
      <c r="V213" s="104" t="inlineStr">
        <is>
          <t xml:space="preserve"> </t>
        </is>
      </c>
      <c r="W213" t="inlineStr">
        <is>
          <t>No se encontró ejecución en PIIP</t>
        </is>
      </c>
    </row>
    <row r="214">
      <c r="A214" t="inlineStr">
        <is>
          <t>IP-252</t>
        </is>
      </c>
      <c r="B214" t="inlineStr">
        <is>
          <t>45</t>
        </is>
      </c>
      <c r="C214" t="inlineStr">
        <is>
          <t>Gobierno Territorial</t>
        </is>
      </c>
      <c r="D214" t="inlineStr">
        <is>
          <t>4599</t>
        </is>
      </c>
      <c r="E214" t="inlineStr">
        <is>
          <t>Fortalecimiento a la gestión y dirección de la administración pública territorial</t>
        </is>
      </c>
      <c r="F214" t="inlineStr">
        <is>
          <t>4599011</t>
        </is>
      </c>
      <c r="G214" t="inlineStr">
        <is>
          <t>Sedes adecuadas</t>
        </is>
      </c>
      <c r="H214" t="inlineStr">
        <is>
          <t>459901101</t>
        </is>
      </c>
      <c r="I214" t="inlineStr">
        <is>
          <t>Áreas físicas adecuadas</t>
        </is>
      </c>
      <c r="J214" t="inlineStr">
        <is>
          <t>2024252140143</t>
        </is>
      </c>
      <c r="K214" t="inlineStr">
        <is>
          <t>Si</t>
        </is>
      </c>
      <c r="L214" t="inlineStr">
        <is>
          <t>Metros cuadrados</t>
        </is>
      </c>
      <c r="M214">
        <v>1</v>
      </c>
      <c r="N214">
        <v>0.25</v>
      </c>
      <c r="O214">
        <v>0.25</v>
      </c>
      <c r="P214">
        <v>0.25</v>
      </c>
      <c r="Q214">
        <v>0.25</v>
      </c>
      <c r="R214" t="inlineStr">
        <is>
          <t xml:space="preserve"> </t>
        </is>
      </c>
      <c r="S214" s="103" t="inlineStr">
        <is>
          <t xml:space="preserve"> </t>
        </is>
      </c>
      <c r="T214" t="inlineStr">
        <is>
          <t>No se encontró ejecución en PIIP</t>
        </is>
      </c>
      <c r="U214" t="inlineStr">
        <is>
          <t xml:space="preserve"> </t>
        </is>
      </c>
      <c r="V214" s="104" t="inlineStr">
        <is>
          <t xml:space="preserve"> </t>
        </is>
      </c>
      <c r="W214" t="inlineStr">
        <is>
          <t>No se encontró ejecución en PIIP</t>
        </is>
      </c>
    </row>
    <row r="215">
      <c r="A215" t="inlineStr">
        <is>
          <t>IP-253</t>
        </is>
      </c>
      <c r="B215" t="inlineStr">
        <is>
          <t>45</t>
        </is>
      </c>
      <c r="C215" t="inlineStr">
        <is>
          <t>Gobierno Territorial</t>
        </is>
      </c>
      <c r="D215" t="inlineStr">
        <is>
          <t>4599</t>
        </is>
      </c>
      <c r="E215" t="inlineStr">
        <is>
          <t>Fortalecimiento a la gestión y dirección de la administración pública territorial</t>
        </is>
      </c>
      <c r="F215" t="inlineStr">
        <is>
          <t>4599001</t>
        </is>
      </c>
      <c r="G215" t="inlineStr">
        <is>
          <t>Documentos de evaluación</t>
        </is>
      </c>
      <c r="H215" t="inlineStr">
        <is>
          <t>459900100</t>
        </is>
      </c>
      <c r="I215" t="inlineStr">
        <is>
          <t>Documentos de evaluación elaborados</t>
        </is>
      </c>
      <c r="J215" t="inlineStr">
        <is>
          <t>2024252140134</t>
        </is>
      </c>
      <c r="K215" t="inlineStr">
        <is>
          <t>Si</t>
        </is>
      </c>
      <c r="L215" t="inlineStr">
        <is>
          <t>Número</t>
        </is>
      </c>
      <c r="M215">
        <v>1</v>
      </c>
      <c r="N215">
        <v>0.25</v>
      </c>
      <c r="O215">
        <v>0.25</v>
      </c>
      <c r="P215">
        <v>0.25</v>
      </c>
      <c r="Q215">
        <v>0.25</v>
      </c>
      <c r="R215">
        <v>25</v>
      </c>
      <c r="S215" s="103">
        <v>100</v>
      </c>
      <c r="T215" t="inlineStr">
        <is>
          <t>Hubo ejecución por encima de lo programado en SisPT</t>
        </is>
      </c>
      <c r="U215" t="inlineStr">
        <is>
          <t xml:space="preserve"> </t>
        </is>
      </c>
      <c r="V215" s="104" t="inlineStr">
        <is>
          <t xml:space="preserve"> </t>
        </is>
      </c>
      <c r="W215" t="inlineStr">
        <is>
          <t>No se encontró ejecución en PIIP</t>
        </is>
      </c>
    </row>
    <row r="216">
      <c r="A216" t="inlineStr">
        <is>
          <t>IP-254</t>
        </is>
      </c>
      <c r="B216" t="inlineStr">
        <is>
          <t>45</t>
        </is>
      </c>
      <c r="C216" t="inlineStr">
        <is>
          <t>Gobierno Territorial</t>
        </is>
      </c>
      <c r="D216" t="inlineStr">
        <is>
          <t>4599</t>
        </is>
      </c>
      <c r="E216" t="inlineStr">
        <is>
          <t>Fortalecimiento a la gestión y dirección de la administración pública territorial</t>
        </is>
      </c>
      <c r="F216" t="inlineStr">
        <is>
          <t>4599023</t>
        </is>
      </c>
      <c r="G216" t="inlineStr">
        <is>
          <t>Servicio de Implementación Sistemas de Gestión</t>
        </is>
      </c>
      <c r="H216" t="inlineStr">
        <is>
          <t>459902300</t>
        </is>
      </c>
      <c r="I216" t="inlineStr">
        <is>
          <t>Sistema de Gestión implementado</t>
        </is>
      </c>
      <c r="J216" t="inlineStr">
        <is>
          <t>2024252140135</t>
        </is>
      </c>
      <c r="K216" t="inlineStr">
        <is>
          <t>Si</t>
        </is>
      </c>
      <c r="L216" t="inlineStr">
        <is>
          <t>Número</t>
        </is>
      </c>
      <c r="M216">
        <v>1</v>
      </c>
      <c r="N216">
        <v>0.1</v>
      </c>
      <c r="O216">
        <v>0.3</v>
      </c>
      <c r="P216">
        <v>0.3</v>
      </c>
      <c r="Q216">
        <v>0.3</v>
      </c>
      <c r="R216" t="inlineStr">
        <is>
          <t xml:space="preserve"> </t>
        </is>
      </c>
      <c r="S216" s="103" t="inlineStr">
        <is>
          <t xml:space="preserve"> </t>
        </is>
      </c>
      <c r="T216" t="inlineStr">
        <is>
          <t>No se encontró ejecución en PIIP</t>
        </is>
      </c>
      <c r="U216" t="inlineStr">
        <is>
          <t xml:space="preserve"> </t>
        </is>
      </c>
      <c r="V216" s="104" t="inlineStr">
        <is>
          <t xml:space="preserve"> </t>
        </is>
      </c>
      <c r="W216" t="inlineStr">
        <is>
          <t>No se encontró ejecución en PIIP</t>
        </is>
      </c>
    </row>
    <row r="217">
      <c r="A217" t="inlineStr">
        <is>
          <t>IP-255</t>
        </is>
      </c>
      <c r="B217" t="inlineStr">
        <is>
          <t>45</t>
        </is>
      </c>
      <c r="C217" t="inlineStr">
        <is>
          <t>Gobierno Territorial</t>
        </is>
      </c>
      <c r="D217" t="inlineStr">
        <is>
          <t>4599</t>
        </is>
      </c>
      <c r="E217" t="inlineStr">
        <is>
          <t>Fortalecimiento a la gestión y dirección de la administración pública territorial</t>
        </is>
      </c>
      <c r="F217" t="inlineStr">
        <is>
          <t>4599023</t>
        </is>
      </c>
      <c r="G217" t="inlineStr">
        <is>
          <t>Servicio de Implementación Sistemas de Gestión</t>
        </is>
      </c>
      <c r="H217" t="inlineStr">
        <is>
          <t>459902301</t>
        </is>
      </c>
      <c r="I217" t="inlineStr">
        <is>
          <t>Metodologías aplicadas</t>
        </is>
      </c>
      <c r="J217" t="inlineStr">
        <is>
          <t>2024252140136</t>
        </is>
      </c>
      <c r="K217" t="inlineStr">
        <is>
          <t>Si</t>
        </is>
      </c>
      <c r="L217" t="inlineStr">
        <is>
          <t>Número</t>
        </is>
      </c>
      <c r="M217">
        <v>1</v>
      </c>
      <c r="N217">
        <v>0.1</v>
      </c>
      <c r="O217">
        <v>0.3</v>
      </c>
      <c r="P217">
        <v>0.3</v>
      </c>
      <c r="Q217">
        <v>0.3</v>
      </c>
      <c r="R217" t="inlineStr">
        <is>
          <t xml:space="preserve"> </t>
        </is>
      </c>
      <c r="S217" s="103" t="inlineStr">
        <is>
          <t xml:space="preserve"> </t>
        </is>
      </c>
      <c r="T217" t="inlineStr">
        <is>
          <t>No se encontró ejecución en PIIP</t>
        </is>
      </c>
      <c r="U217" t="inlineStr">
        <is>
          <t xml:space="preserve"> </t>
        </is>
      </c>
      <c r="V217" s="104" t="inlineStr">
        <is>
          <t xml:space="preserve"> </t>
        </is>
      </c>
      <c r="W217" t="inlineStr">
        <is>
          <t>No se encontró ejecución en PIIP</t>
        </is>
      </c>
    </row>
    <row r="218">
      <c r="A218" t="inlineStr">
        <is>
          <t>IP-256</t>
        </is>
      </c>
      <c r="B218" t="inlineStr">
        <is>
          <t>45</t>
        </is>
      </c>
      <c r="C218" t="inlineStr">
        <is>
          <t>Gobierno Territorial</t>
        </is>
      </c>
      <c r="D218" t="inlineStr">
        <is>
          <t>4599</t>
        </is>
      </c>
      <c r="E218" t="inlineStr">
        <is>
          <t>Fortalecimiento a la gestión y dirección de la administración pública territorial</t>
        </is>
      </c>
      <c r="F218" t="inlineStr">
        <is>
          <t>4599005</t>
        </is>
      </c>
      <c r="G218" t="inlineStr">
        <is>
          <t>Documento para la planeación estratégica en TI</t>
        </is>
      </c>
      <c r="H218" t="inlineStr">
        <is>
          <t>459900500</t>
        </is>
      </c>
      <c r="I218" t="inlineStr">
        <is>
          <t xml:space="preserve">Documentos para la planeación estratégica en TI </t>
        </is>
      </c>
      <c r="J218" t="inlineStr">
        <is>
          <t>2024252140137</t>
        </is>
      </c>
      <c r="K218" t="inlineStr">
        <is>
          <t>Si</t>
        </is>
      </c>
      <c r="L218" t="inlineStr">
        <is>
          <t>Número</t>
        </is>
      </c>
      <c r="M218">
        <v>100</v>
      </c>
      <c r="N218">
        <v>0.15</v>
      </c>
      <c r="O218">
        <v>0.2</v>
      </c>
      <c r="P218">
        <v>0.3</v>
      </c>
      <c r="Q218">
        <v>0.35</v>
      </c>
      <c r="R218" t="inlineStr">
        <is>
          <t xml:space="preserve"> </t>
        </is>
      </c>
      <c r="S218" s="103" t="inlineStr">
        <is>
          <t xml:space="preserve"> </t>
        </is>
      </c>
      <c r="T218" t="inlineStr">
        <is>
          <t>No se encontró ejecución en PIIP</t>
        </is>
      </c>
      <c r="U218" t="inlineStr">
        <is>
          <t xml:space="preserve"> </t>
        </is>
      </c>
      <c r="V218" s="104" t="inlineStr">
        <is>
          <t xml:space="preserve"> </t>
        </is>
      </c>
      <c r="W218" t="inlineStr">
        <is>
          <t>No se encontró ejecución en PIIP</t>
        </is>
      </c>
    </row>
    <row r="219">
      <c r="A219" t="inlineStr">
        <is>
          <t>IP-257</t>
        </is>
      </c>
      <c r="B219" t="inlineStr">
        <is>
          <t>45</t>
        </is>
      </c>
      <c r="C219" t="inlineStr">
        <is>
          <t>Gobierno Territorial</t>
        </is>
      </c>
      <c r="D219" t="inlineStr">
        <is>
          <t>4599</t>
        </is>
      </c>
      <c r="E219" t="inlineStr">
        <is>
          <t>Fortalecimiento a la gestión y dirección de la administración pública territorial</t>
        </is>
      </c>
      <c r="F219" t="inlineStr">
        <is>
          <t>4599019</t>
        </is>
      </c>
      <c r="G219" t="inlineStr">
        <is>
          <t>Documentos de planeación</t>
        </is>
      </c>
      <c r="H219" t="inlineStr">
        <is>
          <t>459901902</t>
        </is>
      </c>
      <c r="I219" t="inlineStr">
        <is>
          <t>Documentos de planeación con seguimiento realizado</t>
        </is>
      </c>
      <c r="J219" t="inlineStr">
        <is>
          <t>2024252140100</t>
        </is>
      </c>
      <c r="K219" t="inlineStr">
        <is>
          <t>Si</t>
        </is>
      </c>
      <c r="L219" t="inlineStr">
        <is>
          <t>Número</t>
        </is>
      </c>
      <c r="M219">
        <v>1</v>
      </c>
      <c r="N219">
        <v>1</v>
      </c>
      <c r="O219">
        <v>1</v>
      </c>
      <c r="P219">
        <v>1</v>
      </c>
      <c r="Q219">
        <v>1</v>
      </c>
      <c r="R219" t="inlineStr">
        <is>
          <t xml:space="preserve"> </t>
        </is>
      </c>
      <c r="S219" s="103" t="inlineStr">
        <is>
          <t xml:space="preserve"> </t>
        </is>
      </c>
      <c r="T219" t="inlineStr">
        <is>
          <t>No se encontró ejecución en PIIP</t>
        </is>
      </c>
      <c r="U219" t="inlineStr">
        <is>
          <t xml:space="preserve"> </t>
        </is>
      </c>
      <c r="V219" s="104" t="inlineStr">
        <is>
          <t xml:space="preserve"> </t>
        </is>
      </c>
      <c r="W219" t="inlineStr">
        <is>
          <t>No se encontró ejecución en PIIP</t>
        </is>
      </c>
    </row>
    <row r="220">
      <c r="A220" t="inlineStr">
        <is>
          <t>IP-258</t>
        </is>
      </c>
      <c r="B220" t="inlineStr">
        <is>
          <t>45</t>
        </is>
      </c>
      <c r="C220" t="inlineStr">
        <is>
          <t>Gobierno Territorial</t>
        </is>
      </c>
      <c r="D220" t="inlineStr">
        <is>
          <t>4599</t>
        </is>
      </c>
      <c r="E220" t="inlineStr">
        <is>
          <t>Fortalecimiento a la gestión y dirección de la administración pública territorial</t>
        </is>
      </c>
      <c r="F220" t="inlineStr">
        <is>
          <t>4599002</t>
        </is>
      </c>
      <c r="G220" t="inlineStr">
        <is>
          <t>Servicio de saneamiento fiscal y financiero</t>
        </is>
      </c>
      <c r="H220" t="inlineStr">
        <is>
          <t>459900200</t>
        </is>
      </c>
      <c r="I220" t="inlineStr">
        <is>
          <t>Programa de sanemiento fiscal y financiero ejecutado</t>
        </is>
      </c>
      <c r="J220" t="inlineStr">
        <is>
          <t>2024252140100</t>
        </is>
      </c>
      <c r="K220" t="inlineStr">
        <is>
          <t>Si</t>
        </is>
      </c>
      <c r="L220" t="inlineStr">
        <is>
          <t>Porcentaje</t>
        </is>
      </c>
      <c r="M220">
        <v>1</v>
      </c>
      <c r="N220">
        <v>1</v>
      </c>
      <c r="O220">
        <v>1</v>
      </c>
      <c r="P220">
        <v>1</v>
      </c>
      <c r="Q220">
        <v>1</v>
      </c>
      <c r="R220" t="inlineStr">
        <is>
          <t xml:space="preserve"> </t>
        </is>
      </c>
      <c r="S220" s="103" t="inlineStr">
        <is>
          <t xml:space="preserve"> </t>
        </is>
      </c>
      <c r="T220" t="inlineStr">
        <is>
          <t>No se encontró ejecución en PIIP</t>
        </is>
      </c>
      <c r="U220" t="inlineStr">
        <is>
          <t xml:space="preserve"> </t>
        </is>
      </c>
      <c r="V220" s="104" t="inlineStr">
        <is>
          <t xml:space="preserve"> </t>
        </is>
      </c>
      <c r="W220" t="inlineStr">
        <is>
          <t>No se encontró ejecución en PIIP</t>
        </is>
      </c>
    </row>
    <row r="221">
      <c r="A221" t="inlineStr">
        <is>
          <t>IP-259</t>
        </is>
      </c>
      <c r="B221" t="inlineStr">
        <is>
          <t>45</t>
        </is>
      </c>
      <c r="C221" t="inlineStr">
        <is>
          <t>Gobierno Territorial</t>
        </is>
      </c>
      <c r="D221" t="inlineStr">
        <is>
          <t>4599</t>
        </is>
      </c>
      <c r="E221" t="inlineStr">
        <is>
          <t>Fortalecimiento a la gestión y dirección de la administración pública territorial</t>
        </is>
      </c>
      <c r="F221" t="inlineStr">
        <is>
          <t>4599019</t>
        </is>
      </c>
      <c r="G221" t="inlineStr">
        <is>
          <t>Documentos de planeación</t>
        </is>
      </c>
      <c r="H221" t="inlineStr">
        <is>
          <t>459901901</t>
        </is>
      </c>
      <c r="I221" t="inlineStr">
        <is>
          <t>Planes estratégicos elaborados</t>
        </is>
      </c>
      <c r="J221" t="inlineStr">
        <is>
          <t>2024252140100</t>
        </is>
      </c>
      <c r="K221" t="inlineStr">
        <is>
          <t>Si</t>
        </is>
      </c>
      <c r="L221" t="inlineStr">
        <is>
          <t>Número</t>
        </is>
      </c>
      <c r="M221">
        <v>1</v>
      </c>
      <c r="N221">
        <v>0</v>
      </c>
      <c r="O221">
        <v>0.33</v>
      </c>
      <c r="P221">
        <v>0.33</v>
      </c>
      <c r="Q221">
        <v>0.34</v>
      </c>
      <c r="R221" t="inlineStr">
        <is>
          <t xml:space="preserve"> </t>
        </is>
      </c>
      <c r="S221" s="103" t="inlineStr">
        <is>
          <t xml:space="preserve"> </t>
        </is>
      </c>
      <c r="T221" t="inlineStr">
        <is>
          <t>No se encontró ejecución en PIIP</t>
        </is>
      </c>
      <c r="U221" t="inlineStr">
        <is>
          <t xml:space="preserve"> </t>
        </is>
      </c>
      <c r="V221" s="104" t="inlineStr">
        <is>
          <t xml:space="preserve"> </t>
        </is>
      </c>
      <c r="W221" t="inlineStr">
        <is>
          <t>No se encontró ejecución en PIIP</t>
        </is>
      </c>
    </row>
    <row r="222">
      <c r="A222" t="inlineStr">
        <is>
          <t>IP-260</t>
        </is>
      </c>
      <c r="B222" t="inlineStr">
        <is>
          <t>45</t>
        </is>
      </c>
      <c r="C222" t="inlineStr">
        <is>
          <t>Gobierno Territorial</t>
        </is>
      </c>
      <c r="D222" t="inlineStr">
        <is>
          <t>4599</t>
        </is>
      </c>
      <c r="E222" t="inlineStr">
        <is>
          <t>Fortalecimiento a la gestión y dirección de la administración pública territorial</t>
        </is>
      </c>
      <c r="F222" t="inlineStr">
        <is>
          <t>4599030</t>
        </is>
      </c>
      <c r="G222" t="inlineStr">
        <is>
          <t xml:space="preserve">Servicio de educación informal </t>
        </is>
      </c>
      <c r="H222" t="inlineStr">
        <is>
          <t>459903002</t>
        </is>
      </c>
      <c r="I222" t="inlineStr">
        <is>
          <t>Campañas de gestión tributaria realizadas</t>
        </is>
      </c>
      <c r="J222" t="inlineStr">
        <is>
          <t>2024252140100</t>
        </is>
      </c>
      <c r="K222" t="inlineStr">
        <is>
          <t>No</t>
        </is>
      </c>
      <c r="L222" t="inlineStr">
        <is>
          <t>Número</t>
        </is>
      </c>
      <c r="M222">
        <v>4</v>
      </c>
      <c r="N222">
        <v>0</v>
      </c>
      <c r="O222">
        <v>1</v>
      </c>
      <c r="P222">
        <v>2</v>
      </c>
      <c r="Q222">
        <v>1</v>
      </c>
      <c r="R222" t="inlineStr">
        <is>
          <t xml:space="preserve"> </t>
        </is>
      </c>
      <c r="S222" s="103" t="inlineStr">
        <is>
          <t xml:space="preserve"> </t>
        </is>
      </c>
      <c r="T222" t="inlineStr">
        <is>
          <t>No se encontró ejecución en PIIP</t>
        </is>
      </c>
      <c r="U222" t="inlineStr">
        <is>
          <t xml:space="preserve"> </t>
        </is>
      </c>
      <c r="V222" s="104" t="inlineStr">
        <is>
          <t xml:space="preserve"> </t>
        </is>
      </c>
      <c r="W222" t="inlineStr">
        <is>
          <t>No se encontró ejecución en PIIP</t>
        </is>
      </c>
    </row>
    <row r="223">
      <c r="A223" t="inlineStr">
        <is>
          <t>IP-261</t>
        </is>
      </c>
      <c r="B223" t="inlineStr">
        <is>
          <t>45</t>
        </is>
      </c>
      <c r="C223" t="inlineStr">
        <is>
          <t>Gobierno Territorial</t>
        </is>
      </c>
      <c r="D223" t="inlineStr">
        <is>
          <t>4599</t>
        </is>
      </c>
      <c r="E223" t="inlineStr">
        <is>
          <t>Fortalecimiento a la gestión y dirección de la administración pública territorial</t>
        </is>
      </c>
      <c r="F223" t="inlineStr">
        <is>
          <t>4599002</t>
        </is>
      </c>
      <c r="G223" t="inlineStr">
        <is>
          <t>Servicio de saneamiento fiscal y financiero</t>
        </is>
      </c>
      <c r="H223" t="inlineStr">
        <is>
          <t>459900201</t>
        </is>
      </c>
      <c r="I223" t="inlineStr">
        <is>
          <t>Estrategia para el mejoramiento del Índice de Desempeño Fiscal ejecutada</t>
        </is>
      </c>
      <c r="J223" t="inlineStr">
        <is>
          <t>2024252140100</t>
        </is>
      </c>
      <c r="K223" t="inlineStr">
        <is>
          <t>Si</t>
        </is>
      </c>
      <c r="L223" t="inlineStr">
        <is>
          <t>Número</t>
        </is>
      </c>
      <c r="M223">
        <v>1</v>
      </c>
      <c r="N223">
        <v>0.25</v>
      </c>
      <c r="O223">
        <v>0.25</v>
      </c>
      <c r="P223">
        <v>0.25</v>
      </c>
      <c r="Q223">
        <v>0.25</v>
      </c>
      <c r="R223" t="inlineStr">
        <is>
          <t xml:space="preserve"> </t>
        </is>
      </c>
      <c r="S223" s="103" t="inlineStr">
        <is>
          <t xml:space="preserve"> </t>
        </is>
      </c>
      <c r="T223" t="inlineStr">
        <is>
          <t>No se encontró ejecución en PIIP</t>
        </is>
      </c>
      <c r="U223" t="inlineStr">
        <is>
          <t xml:space="preserve"> </t>
        </is>
      </c>
      <c r="V223" s="104" t="inlineStr">
        <is>
          <t xml:space="preserve"> </t>
        </is>
      </c>
      <c r="W223" t="inlineStr">
        <is>
          <t>No se encontró ejecución en PIIP</t>
        </is>
      </c>
    </row>
    <row r="224">
      <c r="A224" t="inlineStr">
        <is>
          <t>IP-262, IP-272</t>
        </is>
      </c>
      <c r="B224" t="inlineStr">
        <is>
          <t>45</t>
        </is>
      </c>
      <c r="C224" t="inlineStr">
        <is>
          <t>Gobierno Territorial</t>
        </is>
      </c>
      <c r="D224" t="inlineStr">
        <is>
          <t>4599</t>
        </is>
      </c>
      <c r="E224" t="inlineStr">
        <is>
          <t>Fortalecimiento a la gestión y dirección de la administración pública territorial</t>
        </is>
      </c>
      <c r="F224" t="inlineStr">
        <is>
          <t>4599018</t>
        </is>
      </c>
      <c r="G224" t="inlineStr">
        <is>
          <t>Documentos de lineamientos técnicos</t>
        </is>
      </c>
      <c r="H224" t="inlineStr">
        <is>
          <t>459901800</t>
        </is>
      </c>
      <c r="I224" t="inlineStr">
        <is>
          <t>Documentos de lineamientos técnicos realizados</t>
        </is>
      </c>
      <c r="J224" t="inlineStr">
        <is>
          <t>2024252140102</t>
        </is>
      </c>
      <c r="K224" t="inlineStr">
        <is>
          <t>Si</t>
        </is>
      </c>
      <c r="L224" t="inlineStr">
        <is>
          <t>Número</t>
        </is>
      </c>
      <c r="M224">
        <v>2</v>
      </c>
      <c r="N224">
        <v>0.58</v>
      </c>
      <c r="O224">
        <v>0.58</v>
      </c>
      <c r="P224">
        <v>0.58</v>
      </c>
      <c r="Q224">
        <v>0.26</v>
      </c>
      <c r="R224" t="inlineStr">
        <is>
          <t xml:space="preserve"> </t>
        </is>
      </c>
      <c r="S224" s="103" t="inlineStr">
        <is>
          <t xml:space="preserve"> </t>
        </is>
      </c>
      <c r="T224" t="inlineStr">
        <is>
          <t>No se encontró ejecución en PIIP</t>
        </is>
      </c>
      <c r="U224" t="inlineStr">
        <is>
          <t xml:space="preserve"> </t>
        </is>
      </c>
      <c r="V224" s="104" t="inlineStr">
        <is>
          <t xml:space="preserve"> </t>
        </is>
      </c>
      <c r="W224" t="inlineStr">
        <is>
          <t>No se encontró ejecución en PIIP</t>
        </is>
      </c>
    </row>
    <row r="225">
      <c r="A225" t="inlineStr">
        <is>
          <t>IP-263</t>
        </is>
      </c>
      <c r="B225" t="inlineStr">
        <is>
          <t>45</t>
        </is>
      </c>
      <c r="C225" t="inlineStr">
        <is>
          <t>Gobierno Territorial</t>
        </is>
      </c>
      <c r="D225" t="inlineStr">
        <is>
          <t>4599</t>
        </is>
      </c>
      <c r="E225" t="inlineStr">
        <is>
          <t>Fortalecimiento a la gestión y dirección de la administración pública territorial</t>
        </is>
      </c>
      <c r="F225" t="inlineStr">
        <is>
          <t>4599038</t>
        </is>
      </c>
      <c r="G225" t="inlineStr">
        <is>
          <t>Servicio de apoyo financiero para el fortalecimiento del talento humano</t>
        </is>
      </c>
      <c r="H225" t="inlineStr">
        <is>
          <t>459903800</t>
        </is>
      </c>
      <c r="I225" t="inlineStr">
        <is>
          <t>Funcionarios apoyados</t>
        </is>
      </c>
      <c r="J225" t="inlineStr">
        <is>
          <t>2024252140102</t>
        </is>
      </c>
      <c r="K225" t="inlineStr">
        <is>
          <t>Si</t>
        </is>
      </c>
      <c r="L225" t="inlineStr">
        <is>
          <t>Número</t>
        </is>
      </c>
      <c r="M225">
        <v>100</v>
      </c>
      <c r="N225">
        <v>0.25</v>
      </c>
      <c r="O225">
        <v>0.25</v>
      </c>
      <c r="P225">
        <v>0.25</v>
      </c>
      <c r="Q225">
        <v>0.25</v>
      </c>
      <c r="R225" t="inlineStr">
        <is>
          <t xml:space="preserve"> </t>
        </is>
      </c>
      <c r="S225" s="103" t="inlineStr">
        <is>
          <t xml:space="preserve"> </t>
        </is>
      </c>
      <c r="T225" t="inlineStr">
        <is>
          <t>No se encontró ejecución en PIIP</t>
        </is>
      </c>
      <c r="U225" t="inlineStr">
        <is>
          <t xml:space="preserve"> </t>
        </is>
      </c>
      <c r="V225" s="104" t="inlineStr">
        <is>
          <t xml:space="preserve"> </t>
        </is>
      </c>
      <c r="W225" t="inlineStr">
        <is>
          <t>No se encontró ejecución en PIIP</t>
        </is>
      </c>
    </row>
    <row r="226">
      <c r="A226" t="inlineStr">
        <is>
          <t>IP-264</t>
        </is>
      </c>
      <c r="B226" t="inlineStr">
        <is>
          <t>45</t>
        </is>
      </c>
      <c r="C226" t="inlineStr">
        <is>
          <t>Gobierno Territorial</t>
        </is>
      </c>
      <c r="D226" t="inlineStr">
        <is>
          <t>4599</t>
        </is>
      </c>
      <c r="E226" t="inlineStr">
        <is>
          <t>Fortalecimiento a la gestión y dirección de la administración pública territorial</t>
        </is>
      </c>
      <c r="F226" t="inlineStr">
        <is>
          <t>4599030</t>
        </is>
      </c>
      <c r="G226" t="inlineStr">
        <is>
          <t xml:space="preserve">Servicio de educación informal </t>
        </is>
      </c>
      <c r="H226" t="inlineStr">
        <is>
          <t>459903000</t>
        </is>
      </c>
      <c r="I226" t="inlineStr">
        <is>
          <t>Personas capacitadas</t>
        </is>
      </c>
      <c r="J226" t="inlineStr">
        <is>
          <t>2024252140102</t>
        </is>
      </c>
      <c r="K226" t="inlineStr">
        <is>
          <t>Si</t>
        </is>
      </c>
      <c r="L226" t="inlineStr">
        <is>
          <t>Número</t>
        </is>
      </c>
      <c r="M226">
        <v>100</v>
      </c>
      <c r="N226">
        <v>0.25</v>
      </c>
      <c r="O226">
        <v>0.25</v>
      </c>
      <c r="P226">
        <v>0.25</v>
      </c>
      <c r="Q226">
        <v>0.25</v>
      </c>
      <c r="R226" t="inlineStr">
        <is>
          <t xml:space="preserve"> </t>
        </is>
      </c>
      <c r="S226" s="103" t="inlineStr">
        <is>
          <t xml:space="preserve"> </t>
        </is>
      </c>
      <c r="T226" t="inlineStr">
        <is>
          <t>No se encontró ejecución en PIIP</t>
        </is>
      </c>
      <c r="U226" t="inlineStr">
        <is>
          <t xml:space="preserve"> </t>
        </is>
      </c>
      <c r="V226" s="104" t="inlineStr">
        <is>
          <t xml:space="preserve"> </t>
        </is>
      </c>
      <c r="W226" t="inlineStr">
        <is>
          <t>No se encontró ejecución en PIIP</t>
        </is>
      </c>
    </row>
    <row r="227">
      <c r="A227" t="inlineStr">
        <is>
          <t>IP-265</t>
        </is>
      </c>
      <c r="B227" t="inlineStr">
        <is>
          <t>45</t>
        </is>
      </c>
      <c r="C227" t="inlineStr">
        <is>
          <t>Gobierno Territorial</t>
        </is>
      </c>
      <c r="D227" t="inlineStr">
        <is>
          <t>4599</t>
        </is>
      </c>
      <c r="E227" t="inlineStr">
        <is>
          <t>Fortalecimiento a la gestión y dirección de la administración pública territorial</t>
        </is>
      </c>
      <c r="F227" t="inlineStr">
        <is>
          <t>4599018</t>
        </is>
      </c>
      <c r="G227" t="inlineStr">
        <is>
          <t>Documentos de lineamientos técnicos</t>
        </is>
      </c>
      <c r="H227" t="inlineStr">
        <is>
          <t>459901800</t>
        </is>
      </c>
      <c r="I227" t="inlineStr">
        <is>
          <t>Documentos de lineamientos técnicos realizados</t>
        </is>
      </c>
      <c r="J227" t="inlineStr">
        <is>
          <t>2024252140161</t>
        </is>
      </c>
      <c r="K227" t="inlineStr">
        <is>
          <t>Si</t>
        </is>
      </c>
      <c r="L227" t="inlineStr">
        <is>
          <t>Número</t>
        </is>
      </c>
      <c r="M227">
        <v>1</v>
      </c>
      <c r="N227">
        <v>0.25</v>
      </c>
      <c r="O227">
        <v>0.25</v>
      </c>
      <c r="P227">
        <v>0.25</v>
      </c>
      <c r="Q227">
        <v>0.25</v>
      </c>
      <c r="R227" t="inlineStr">
        <is>
          <t xml:space="preserve"> </t>
        </is>
      </c>
      <c r="S227" s="103" t="inlineStr">
        <is>
          <t xml:space="preserve"> </t>
        </is>
      </c>
      <c r="T227" t="inlineStr">
        <is>
          <t>No se encontró ejecución en PIIP</t>
        </is>
      </c>
      <c r="U227" t="inlineStr">
        <is>
          <t xml:space="preserve"> </t>
        </is>
      </c>
      <c r="V227" s="104" t="inlineStr">
        <is>
          <t xml:space="preserve"> </t>
        </is>
      </c>
      <c r="W227" t="inlineStr">
        <is>
          <t>No se encontró ejecución en PIIP</t>
        </is>
      </c>
    </row>
    <row r="228">
      <c r="A228" t="inlineStr">
        <is>
          <t>IP-266</t>
        </is>
      </c>
      <c r="B228" t="inlineStr">
        <is>
          <t>45</t>
        </is>
      </c>
      <c r="C228" t="inlineStr">
        <is>
          <t>Gobierno Territorial</t>
        </is>
      </c>
      <c r="D228" t="inlineStr">
        <is>
          <t>4599</t>
        </is>
      </c>
      <c r="E228" t="inlineStr">
        <is>
          <t>Fortalecimiento a la gestión y dirección de la administración pública territorial</t>
        </is>
      </c>
      <c r="F228" t="inlineStr">
        <is>
          <t>4599032</t>
        </is>
      </c>
      <c r="G228" t="inlineStr">
        <is>
          <t>Documentos de política</t>
        </is>
      </c>
      <c r="H228" t="inlineStr">
        <is>
          <t>459903200</t>
        </is>
      </c>
      <c r="I228" t="inlineStr">
        <is>
          <t>Documentos de política elaborados</t>
        </is>
      </c>
      <c r="J228" t="inlineStr">
        <is>
          <t>2024252140161</t>
        </is>
      </c>
      <c r="K228" t="inlineStr">
        <is>
          <t>No</t>
        </is>
      </c>
      <c r="L228" t="inlineStr">
        <is>
          <t>Número</t>
        </is>
      </c>
      <c r="M228">
        <v>1</v>
      </c>
      <c r="N228">
        <v>1</v>
      </c>
      <c r="O228">
        <v>1</v>
      </c>
      <c r="P228">
        <v>1</v>
      </c>
      <c r="Q228">
        <v>1</v>
      </c>
      <c r="R228" t="inlineStr">
        <is>
          <t xml:space="preserve"> </t>
        </is>
      </c>
      <c r="S228" s="103" t="inlineStr">
        <is>
          <t xml:space="preserve"> </t>
        </is>
      </c>
      <c r="T228" t="inlineStr">
        <is>
          <t>No se encontró ejecución en PIIP</t>
        </is>
      </c>
      <c r="U228" t="inlineStr">
        <is>
          <t xml:space="preserve"> </t>
        </is>
      </c>
      <c r="V228" s="104" t="inlineStr">
        <is>
          <t xml:space="preserve"> </t>
        </is>
      </c>
      <c r="W228" t="inlineStr">
        <is>
          <t>No se encontró ejecución en PIIP</t>
        </is>
      </c>
    </row>
    <row r="229">
      <c r="A229" t="inlineStr">
        <is>
          <t>IP-267</t>
        </is>
      </c>
      <c r="B229" t="inlineStr">
        <is>
          <t>45</t>
        </is>
      </c>
      <c r="C229" t="inlineStr">
        <is>
          <t>Gobierno Territorial</t>
        </is>
      </c>
      <c r="D229" t="inlineStr">
        <is>
          <t>4599</t>
        </is>
      </c>
      <c r="E229" t="inlineStr">
        <is>
          <t>Fortalecimiento a la gestión y dirección de la administración pública territorial</t>
        </is>
      </c>
      <c r="F229" t="inlineStr">
        <is>
          <t>4599037</t>
        </is>
      </c>
      <c r="G229" t="inlineStr">
        <is>
          <t>Servicio de actualización del Sistema de Gestión</t>
        </is>
      </c>
      <c r="H229" t="inlineStr">
        <is>
          <t>459903700</t>
        </is>
      </c>
      <c r="I229" t="inlineStr">
        <is>
          <t>Sistema de gestión actualizado</t>
        </is>
      </c>
      <c r="J229" t="inlineStr">
        <is>
          <t>2024252140161</t>
        </is>
      </c>
      <c r="K229" t="inlineStr">
        <is>
          <t>Si</t>
        </is>
      </c>
      <c r="L229" t="inlineStr">
        <is>
          <t>Número</t>
        </is>
      </c>
      <c r="M229">
        <v>1</v>
      </c>
      <c r="N229">
        <v>0.25</v>
      </c>
      <c r="O229">
        <v>0.25</v>
      </c>
      <c r="P229">
        <v>0.25</v>
      </c>
      <c r="Q229">
        <v>0.25</v>
      </c>
      <c r="R229" t="inlineStr">
        <is>
          <t xml:space="preserve"> </t>
        </is>
      </c>
      <c r="S229" s="103" t="inlineStr">
        <is>
          <t xml:space="preserve"> </t>
        </is>
      </c>
      <c r="T229" t="inlineStr">
        <is>
          <t>No se encontró ejecución en PIIP</t>
        </is>
      </c>
      <c r="U229" t="inlineStr">
        <is>
          <t xml:space="preserve"> </t>
        </is>
      </c>
      <c r="V229" s="104" t="inlineStr">
        <is>
          <t xml:space="preserve"> </t>
        </is>
      </c>
      <c r="W229" t="inlineStr">
        <is>
          <t>No se encontró ejecución en PIIP</t>
        </is>
      </c>
    </row>
    <row r="230">
      <c r="A230" t="inlineStr">
        <is>
          <t>IP-268</t>
        </is>
      </c>
      <c r="B230" t="inlineStr">
        <is>
          <t>45</t>
        </is>
      </c>
      <c r="C230" t="inlineStr">
        <is>
          <t>Gobierno Territorial</t>
        </is>
      </c>
      <c r="D230" t="inlineStr">
        <is>
          <t>4599</t>
        </is>
      </c>
      <c r="E230" t="inlineStr">
        <is>
          <t>Fortalecimiento a la gestión y dirección de la administración pública territorial</t>
        </is>
      </c>
      <c r="F230" t="inlineStr">
        <is>
          <t>4599023</t>
        </is>
      </c>
      <c r="G230" t="inlineStr">
        <is>
          <t>Servicio de Implementación Sistemas de Gestión</t>
        </is>
      </c>
      <c r="H230" t="inlineStr">
        <is>
          <t>459902303</t>
        </is>
      </c>
      <c r="I230" t="inlineStr">
        <is>
          <t>Sistema de Gestión certificado</t>
        </is>
      </c>
      <c r="J230" t="inlineStr">
        <is>
          <t>2024252140161</t>
        </is>
      </c>
      <c r="K230" t="inlineStr">
        <is>
          <t>Si</t>
        </is>
      </c>
      <c r="L230" t="inlineStr">
        <is>
          <t>Número</t>
        </is>
      </c>
      <c r="M230">
        <v>1</v>
      </c>
      <c r="N230">
        <v>0.25</v>
      </c>
      <c r="O230">
        <v>0.25</v>
      </c>
      <c r="P230">
        <v>0.25</v>
      </c>
      <c r="Q230">
        <v>0.25</v>
      </c>
      <c r="R230" t="inlineStr">
        <is>
          <t xml:space="preserve"> </t>
        </is>
      </c>
      <c r="S230" s="103" t="inlineStr">
        <is>
          <t xml:space="preserve"> </t>
        </is>
      </c>
      <c r="T230" t="inlineStr">
        <is>
          <t>No se encontró ejecución en PIIP</t>
        </is>
      </c>
      <c r="U230" t="inlineStr">
        <is>
          <t xml:space="preserve"> </t>
        </is>
      </c>
      <c r="V230" s="104" t="inlineStr">
        <is>
          <t xml:space="preserve"> </t>
        </is>
      </c>
      <c r="W230" t="inlineStr">
        <is>
          <t>No se encontró ejecución en PIIP</t>
        </is>
      </c>
    </row>
    <row r="231">
      <c r="A231" t="inlineStr">
        <is>
          <t>IP-269</t>
        </is>
      </c>
      <c r="B231" t="inlineStr">
        <is>
          <t>45</t>
        </is>
      </c>
      <c r="C231" t="inlineStr">
        <is>
          <t>Gobierno Territorial</t>
        </is>
      </c>
      <c r="D231" t="inlineStr">
        <is>
          <t>4599</t>
        </is>
      </c>
      <c r="E231" t="inlineStr">
        <is>
          <t>Fortalecimiento a la gestión y dirección de la administración pública territorial</t>
        </is>
      </c>
      <c r="F231" t="inlineStr">
        <is>
          <t>4599033</t>
        </is>
      </c>
      <c r="G231" t="inlineStr">
        <is>
          <t>Servicio de información para el registro administrativo de SISBEN</t>
        </is>
      </c>
      <c r="H231" t="inlineStr">
        <is>
          <t>459903300</t>
        </is>
      </c>
      <c r="I231" t="inlineStr">
        <is>
          <t>Hogares que realizaron la encuesta</t>
        </is>
      </c>
      <c r="J231" t="inlineStr">
        <is>
          <t>2024252140161</t>
        </is>
      </c>
      <c r="K231" t="inlineStr">
        <is>
          <t>Si</t>
        </is>
      </c>
      <c r="L231" t="inlineStr">
        <is>
          <t>Número</t>
        </is>
      </c>
      <c r="M231">
        <v>1</v>
      </c>
      <c r="N231">
        <v>0.25</v>
      </c>
      <c r="O231">
        <v>0.25</v>
      </c>
      <c r="P231">
        <v>0.25</v>
      </c>
      <c r="Q231">
        <v>0.25</v>
      </c>
      <c r="R231" t="inlineStr">
        <is>
          <t xml:space="preserve"> </t>
        </is>
      </c>
      <c r="S231" s="103" t="inlineStr">
        <is>
          <t xml:space="preserve"> </t>
        </is>
      </c>
      <c r="T231" t="inlineStr">
        <is>
          <t>No se encontró ejecución en PIIP</t>
        </is>
      </c>
      <c r="U231" t="inlineStr">
        <is>
          <t xml:space="preserve"> </t>
        </is>
      </c>
      <c r="V231" s="104" t="inlineStr">
        <is>
          <t xml:space="preserve"> </t>
        </is>
      </c>
      <c r="W231" t="inlineStr">
        <is>
          <t>No se encontró ejecución en PIIP</t>
        </is>
      </c>
    </row>
    <row r="232">
      <c r="A232" t="inlineStr">
        <is>
          <t>IP-270</t>
        </is>
      </c>
      <c r="B232" t="inlineStr">
        <is>
          <t>45</t>
        </is>
      </c>
      <c r="C232" t="inlineStr">
        <is>
          <t>Gobierno Territorial</t>
        </is>
      </c>
      <c r="D232" t="inlineStr">
        <is>
          <t>4599</t>
        </is>
      </c>
      <c r="E232" t="inlineStr">
        <is>
          <t>Fortalecimiento a la gestión y dirección de la administración pública territorial</t>
        </is>
      </c>
      <c r="F232" t="inlineStr">
        <is>
          <t>4599019</t>
        </is>
      </c>
      <c r="G232" t="inlineStr">
        <is>
          <t>Documentos de planeación</t>
        </is>
      </c>
      <c r="H232" t="inlineStr">
        <is>
          <t>459901902</t>
        </is>
      </c>
      <c r="I232" t="inlineStr">
        <is>
          <t>Documentos de planeación con seguimiento realizado</t>
        </is>
      </c>
      <c r="J232" t="inlineStr">
        <is>
          <t>2024252140161</t>
        </is>
      </c>
      <c r="K232" t="inlineStr">
        <is>
          <t>No</t>
        </is>
      </c>
      <c r="L232" t="inlineStr">
        <is>
          <t>Número</t>
        </is>
      </c>
      <c r="M232">
        <v>1</v>
      </c>
      <c r="N232">
        <v>1</v>
      </c>
      <c r="O232">
        <v>1</v>
      </c>
      <c r="P232">
        <v>1</v>
      </c>
      <c r="Q232">
        <v>1</v>
      </c>
      <c r="R232" t="inlineStr">
        <is>
          <t xml:space="preserve"> </t>
        </is>
      </c>
      <c r="S232" s="103" t="inlineStr">
        <is>
          <t xml:space="preserve"> </t>
        </is>
      </c>
      <c r="T232" t="inlineStr">
        <is>
          <t>No se encontró ejecución en PIIP</t>
        </is>
      </c>
      <c r="U232" t="inlineStr">
        <is>
          <t xml:space="preserve"> </t>
        </is>
      </c>
      <c r="V232" s="104" t="inlineStr">
        <is>
          <t xml:space="preserve"> </t>
        </is>
      </c>
      <c r="W232" t="inlineStr">
        <is>
          <t>No se encontró ejecución en PIIP</t>
        </is>
      </c>
    </row>
    <row r="233">
      <c r="A233" t="inlineStr">
        <is>
          <t>IP-271</t>
        </is>
      </c>
      <c r="B233" t="inlineStr">
        <is>
          <t>45</t>
        </is>
      </c>
      <c r="C233" t="inlineStr">
        <is>
          <t>Gobierno Territorial</t>
        </is>
      </c>
      <c r="D233" t="inlineStr">
        <is>
          <t>4599</t>
        </is>
      </c>
      <c r="E233" t="inlineStr">
        <is>
          <t>Fortalecimiento a la gestión y dirección de la administración pública territorial</t>
        </is>
      </c>
      <c r="F233" t="inlineStr">
        <is>
          <t>4599019</t>
        </is>
      </c>
      <c r="G233" t="inlineStr">
        <is>
          <t>Documentos de planeación</t>
        </is>
      </c>
      <c r="H233" t="inlineStr">
        <is>
          <t>459901901</t>
        </is>
      </c>
      <c r="I233" t="inlineStr">
        <is>
          <t>Planes estratégicos elaborados</t>
        </is>
      </c>
      <c r="J233" t="inlineStr">
        <is>
          <t>2024252140089</t>
        </is>
      </c>
      <c r="K233" t="inlineStr">
        <is>
          <t>No</t>
        </is>
      </c>
      <c r="L233" t="inlineStr">
        <is>
          <t>Número</t>
        </is>
      </c>
      <c r="M233">
        <v>1</v>
      </c>
      <c r="N233">
        <v>1</v>
      </c>
      <c r="O233">
        <v>1</v>
      </c>
      <c r="P233">
        <v>1</v>
      </c>
      <c r="Q233">
        <v>1</v>
      </c>
      <c r="R233" t="inlineStr">
        <is>
          <t xml:space="preserve"> </t>
        </is>
      </c>
      <c r="S233" s="103" t="inlineStr">
        <is>
          <t xml:space="preserve"> </t>
        </is>
      </c>
      <c r="T233" t="inlineStr">
        <is>
          <t>No se encontró ejecución en PIIP</t>
        </is>
      </c>
      <c r="U233" t="inlineStr">
        <is>
          <t xml:space="preserve"> </t>
        </is>
      </c>
      <c r="V233" s="104" t="inlineStr">
        <is>
          <t xml:space="preserve"> </t>
        </is>
      </c>
      <c r="W233" t="inlineStr">
        <is>
          <t>No se encontró ejecución en PIIP</t>
        </is>
      </c>
    </row>
    <row r="234">
      <c r="A234" t="inlineStr">
        <is>
          <t>IP-273</t>
        </is>
      </c>
      <c r="B234" t="inlineStr">
        <is>
          <t>45</t>
        </is>
      </c>
      <c r="C234" t="inlineStr">
        <is>
          <t>Gobierno Territorial</t>
        </is>
      </c>
      <c r="D234" t="inlineStr">
        <is>
          <t>4599</t>
        </is>
      </c>
      <c r="E234" t="inlineStr">
        <is>
          <t>Fortalecimiento a la gestión y dirección de la administración pública territorial</t>
        </is>
      </c>
      <c r="F234" t="inlineStr">
        <is>
          <t>4599019</t>
        </is>
      </c>
      <c r="G234" t="inlineStr">
        <is>
          <t>Documentos de planeación</t>
        </is>
      </c>
      <c r="H234" t="inlineStr">
        <is>
          <t>459901902</t>
        </is>
      </c>
      <c r="I234" t="inlineStr">
        <is>
          <t>Documentos de planeación con seguimiento realizado</t>
        </is>
      </c>
      <c r="J234" t="inlineStr">
        <is>
          <t>2024252140161</t>
        </is>
      </c>
      <c r="K234" t="inlineStr">
        <is>
          <t>Si</t>
        </is>
      </c>
      <c r="L234" t="inlineStr">
        <is>
          <t>Número</t>
        </is>
      </c>
      <c r="M234">
        <v>1</v>
      </c>
      <c r="N234">
        <v>0.25</v>
      </c>
      <c r="O234">
        <v>0.25</v>
      </c>
      <c r="P234">
        <v>0.25</v>
      </c>
      <c r="Q234">
        <v>0.25</v>
      </c>
      <c r="R234" t="inlineStr">
        <is>
          <t xml:space="preserve"> </t>
        </is>
      </c>
      <c r="S234" s="103" t="inlineStr">
        <is>
          <t xml:space="preserve"> </t>
        </is>
      </c>
      <c r="T234" t="inlineStr">
        <is>
          <t>No se encontró ejecución en PIIP</t>
        </is>
      </c>
      <c r="U234" t="inlineStr">
        <is>
          <t xml:space="preserve"> </t>
        </is>
      </c>
      <c r="V234" s="104" t="inlineStr">
        <is>
          <t xml:space="preserve"> </t>
        </is>
      </c>
      <c r="W234" t="inlineStr">
        <is>
          <t>No se encontró ejecución en PIIP</t>
        </is>
      </c>
    </row>
    <row r="235">
      <c r="A235" t="inlineStr">
        <is>
          <t>IP-274, IP-275</t>
        </is>
      </c>
      <c r="B235" t="inlineStr">
        <is>
          <t>45</t>
        </is>
      </c>
      <c r="C235" t="inlineStr">
        <is>
          <t>Gobierno Territorial</t>
        </is>
      </c>
      <c r="D235" t="inlineStr">
        <is>
          <t>4501</t>
        </is>
      </c>
      <c r="E235" t="inlineStr">
        <is>
          <t>Fortalecimiento de la convivencia y la seguridad ciudadana</t>
        </is>
      </c>
      <c r="F235" t="inlineStr">
        <is>
          <t>4501042</t>
        </is>
      </c>
      <c r="G235" t="inlineStr">
        <is>
          <t>Infraestructura para la promoción a la cultura de la legalidad y a la convivencia construida y dotada</t>
        </is>
      </c>
      <c r="H235" t="inlineStr">
        <is>
          <t>450104200</t>
        </is>
      </c>
      <c r="I235" t="inlineStr">
        <is>
          <t>Infraestructura para la promoción a la cultura de la legalidad y a la convivencia construida y dotada</t>
        </is>
      </c>
      <c r="J235" t="inlineStr">
        <is>
          <t>2024252140122</t>
        </is>
      </c>
      <c r="K235" t="inlineStr">
        <is>
          <t>Si</t>
        </is>
      </c>
      <c r="L235" t="inlineStr">
        <is>
          <t>Número</t>
        </is>
      </c>
      <c r="M235">
        <v>2</v>
      </c>
      <c r="N235">
        <v>0</v>
      </c>
      <c r="O235">
        <v>0</v>
      </c>
      <c r="P235">
        <v>2</v>
      </c>
      <c r="Q235">
        <v>0</v>
      </c>
      <c r="R235">
        <v>0</v>
      </c>
      <c r="S235" s="103" t="inlineStr">
        <is>
          <t xml:space="preserve"> </t>
        </is>
      </c>
      <c r="T235" t="inlineStr">
        <is>
          <t>No se programó ni ejecutó en la vigencia</t>
        </is>
      </c>
      <c r="U235" t="inlineStr">
        <is>
          <t xml:space="preserve"> </t>
        </is>
      </c>
      <c r="V235" s="104" t="inlineStr">
        <is>
          <t xml:space="preserve"> </t>
        </is>
      </c>
      <c r="W235" t="inlineStr">
        <is>
          <t>No se encontró ejecución en PIIP</t>
        </is>
      </c>
    </row>
    <row r="236">
      <c r="A236" t="inlineStr">
        <is>
          <t>IP-276</t>
        </is>
      </c>
      <c r="B236" t="inlineStr">
        <is>
          <t>45</t>
        </is>
      </c>
      <c r="C236" t="inlineStr">
        <is>
          <t>Gobierno Territorial</t>
        </is>
      </c>
      <c r="D236" t="inlineStr">
        <is>
          <t>4501</t>
        </is>
      </c>
      <c r="E236" t="inlineStr">
        <is>
          <t>Fortalecimiento de la convivencia y la seguridad ciudadana</t>
        </is>
      </c>
      <c r="F236" t="inlineStr">
        <is>
          <t>4501026</t>
        </is>
      </c>
      <c r="G236" t="inlineStr">
        <is>
          <t>Documentos Planeacion</t>
        </is>
      </c>
      <c r="H236" t="inlineStr">
        <is>
          <t>450102601</t>
        </is>
      </c>
      <c r="I236" t="inlineStr">
        <is>
          <t>Documentos de planeación con seguimiento realizados</t>
        </is>
      </c>
      <c r="J236" t="inlineStr">
        <is>
          <t>2024252140138</t>
        </is>
      </c>
      <c r="K236" t="inlineStr">
        <is>
          <t>Si</t>
        </is>
      </c>
      <c r="L236" t="inlineStr">
        <is>
          <t>Número</t>
        </is>
      </c>
      <c r="M236">
        <v>1</v>
      </c>
      <c r="N236">
        <v>0.2</v>
      </c>
      <c r="O236">
        <v>0.25</v>
      </c>
      <c r="P236">
        <v>0.25</v>
      </c>
      <c r="Q236">
        <v>0.3</v>
      </c>
      <c r="R236" t="inlineStr">
        <is>
          <t xml:space="preserve"> </t>
        </is>
      </c>
      <c r="S236" s="103" t="inlineStr">
        <is>
          <t xml:space="preserve"> </t>
        </is>
      </c>
      <c r="T236" t="inlineStr">
        <is>
          <t>No se encontró ejecución en PIIP</t>
        </is>
      </c>
      <c r="U236" t="inlineStr">
        <is>
          <t xml:space="preserve"> </t>
        </is>
      </c>
      <c r="V236" s="104" t="inlineStr">
        <is>
          <t xml:space="preserve"> </t>
        </is>
      </c>
      <c r="W236" t="inlineStr">
        <is>
          <t>No se encontró ejecución en PIIP</t>
        </is>
      </c>
    </row>
    <row r="237">
      <c r="A237" t="inlineStr">
        <is>
          <t>IP-277</t>
        </is>
      </c>
      <c r="B237" t="inlineStr">
        <is>
          <t>45</t>
        </is>
      </c>
      <c r="C237" t="inlineStr">
        <is>
          <t>Gobierno Territorial</t>
        </is>
      </c>
      <c r="D237" t="inlineStr">
        <is>
          <t>4501</t>
        </is>
      </c>
      <c r="E237" t="inlineStr">
        <is>
          <t>Fortalecimiento de la convivencia y la seguridad ciudadana</t>
        </is>
      </c>
      <c r="F237" t="inlineStr">
        <is>
          <t>4501046</t>
        </is>
      </c>
      <c r="G237" t="inlineStr">
        <is>
          <t>Documentos de lineamientos técnicos</t>
        </is>
      </c>
      <c r="H237" t="inlineStr">
        <is>
          <t>450104600</t>
        </is>
      </c>
      <c r="I237" t="inlineStr">
        <is>
          <t>Documentos de lineamientos técnicos realizados</t>
        </is>
      </c>
      <c r="J237" t="inlineStr">
        <is>
          <t>2024252140138</t>
        </is>
      </c>
      <c r="K237" t="inlineStr">
        <is>
          <t>Si</t>
        </is>
      </c>
      <c r="L237" t="inlineStr">
        <is>
          <t>Número</t>
        </is>
      </c>
      <c r="M237">
        <v>1</v>
      </c>
      <c r="N237">
        <v>0.25</v>
      </c>
      <c r="O237">
        <v>0.25</v>
      </c>
      <c r="P237">
        <v>0.25</v>
      </c>
      <c r="Q237">
        <v>0.25</v>
      </c>
      <c r="R237" t="inlineStr">
        <is>
          <t xml:space="preserve"> </t>
        </is>
      </c>
      <c r="S237" s="103" t="inlineStr">
        <is>
          <t xml:space="preserve"> </t>
        </is>
      </c>
      <c r="T237" t="inlineStr">
        <is>
          <t>No se encontró ejecución en PIIP</t>
        </is>
      </c>
      <c r="U237" t="inlineStr">
        <is>
          <t xml:space="preserve"> </t>
        </is>
      </c>
      <c r="V237" s="104" t="inlineStr">
        <is>
          <t xml:space="preserve"> </t>
        </is>
      </c>
      <c r="W237" t="inlineStr">
        <is>
          <t>No se encontró ejecución en PIIP</t>
        </is>
      </c>
    </row>
    <row r="238">
      <c r="A238" t="inlineStr">
        <is>
          <t>IP-278</t>
        </is>
      </c>
      <c r="B238" t="inlineStr">
        <is>
          <t>45</t>
        </is>
      </c>
      <c r="C238" t="inlineStr">
        <is>
          <t>Gobierno Territorial</t>
        </is>
      </c>
      <c r="D238" t="inlineStr">
        <is>
          <t>4502</t>
        </is>
      </c>
      <c r="E238" t="inlineStr">
        <is>
          <t>Fortalecimiento del buen gobierno para el respeto y garantía de los derechos humanos.</t>
        </is>
      </c>
      <c r="F238" t="inlineStr">
        <is>
          <t>4502024</t>
        </is>
      </c>
      <c r="G238" t="inlineStr">
        <is>
          <t>Servicio de apoyo para la implementación de medidas en derechos humanos y derecho internacional humanitario</t>
        </is>
      </c>
      <c r="H238" t="inlineStr">
        <is>
          <t>450202400</t>
        </is>
      </c>
      <c r="I238" t="inlineStr">
        <is>
          <t>Medidas implementadas en cumplimiento de las obligaciones internacionales en materia de Derechos Humanos y Derecho Internacional Humanitario</t>
        </is>
      </c>
      <c r="J238" t="inlineStr">
        <is>
          <t>2024252140139</t>
        </is>
      </c>
      <c r="K238" t="inlineStr">
        <is>
          <t>Si</t>
        </is>
      </c>
      <c r="L238" t="inlineStr">
        <is>
          <t>Número</t>
        </is>
      </c>
      <c r="M238">
        <v>1</v>
      </c>
      <c r="N238">
        <v>0.25</v>
      </c>
      <c r="O238">
        <v>0.25</v>
      </c>
      <c r="P238">
        <v>0.25</v>
      </c>
      <c r="Q238">
        <v>0.25</v>
      </c>
      <c r="R238" t="inlineStr">
        <is>
          <t xml:space="preserve"> </t>
        </is>
      </c>
      <c r="S238" s="103" t="inlineStr">
        <is>
          <t xml:space="preserve"> </t>
        </is>
      </c>
      <c r="T238" t="inlineStr">
        <is>
          <t>No se encontró ejecución en PIIP</t>
        </is>
      </c>
      <c r="U238" t="inlineStr">
        <is>
          <t xml:space="preserve"> </t>
        </is>
      </c>
      <c r="V238" s="104" t="inlineStr">
        <is>
          <t xml:space="preserve"> </t>
        </is>
      </c>
      <c r="W238" t="inlineStr">
        <is>
          <t>No se encontró ejecución en PIIP</t>
        </is>
      </c>
    </row>
    <row r="239">
      <c r="A239" t="inlineStr">
        <is>
          <t>IP-279</t>
        </is>
      </c>
      <c r="B239" t="inlineStr">
        <is>
          <t>45</t>
        </is>
      </c>
      <c r="C239" t="inlineStr">
        <is>
          <t>Gobierno Territorial</t>
        </is>
      </c>
      <c r="D239" t="inlineStr">
        <is>
          <t>4502</t>
        </is>
      </c>
      <c r="E239" t="inlineStr">
        <is>
          <t>Fortalecimiento del buen gobierno para el respeto y garantía de los derechos humanos.</t>
        </is>
      </c>
      <c r="F239" t="inlineStr">
        <is>
          <t>4502001</t>
        </is>
      </c>
      <c r="G239" t="inlineStr">
        <is>
          <t>Servicio de promoción a la participación ciudadana</t>
        </is>
      </c>
      <c r="H239" t="inlineStr">
        <is>
          <t>450200110</t>
        </is>
      </c>
      <c r="I239" t="inlineStr">
        <is>
          <t>Instancias formales y no formales de participación fortalecidas</t>
        </is>
      </c>
      <c r="J239" t="inlineStr">
        <is>
          <t>2024252140157</t>
        </is>
      </c>
      <c r="K239" t="inlineStr">
        <is>
          <t>Si</t>
        </is>
      </c>
      <c r="L239" t="inlineStr">
        <is>
          <t>Número</t>
        </is>
      </c>
      <c r="M239">
        <v>1</v>
      </c>
      <c r="N239">
        <v>0.25</v>
      </c>
      <c r="O239">
        <v>0.25</v>
      </c>
      <c r="P239">
        <v>0.25</v>
      </c>
      <c r="Q239">
        <v>0.25</v>
      </c>
      <c r="R239" t="inlineStr">
        <is>
          <t xml:space="preserve"> </t>
        </is>
      </c>
      <c r="S239" s="103" t="inlineStr">
        <is>
          <t xml:space="preserve"> </t>
        </is>
      </c>
      <c r="T239" t="inlineStr">
        <is>
          <t>No se encontró ejecución en PIIP</t>
        </is>
      </c>
      <c r="U239" t="inlineStr">
        <is>
          <t xml:space="preserve"> </t>
        </is>
      </c>
      <c r="V239" s="104" t="inlineStr">
        <is>
          <t xml:space="preserve"> </t>
        </is>
      </c>
      <c r="W239" t="inlineStr">
        <is>
          <t>No se encontró ejecución en PIIP</t>
        </is>
      </c>
    </row>
    <row r="240">
      <c r="A240" t="inlineStr">
        <is>
          <t>IP-280</t>
        </is>
      </c>
      <c r="B240" t="inlineStr">
        <is>
          <t>45</t>
        </is>
      </c>
      <c r="C240" t="inlineStr">
        <is>
          <t>Gobierno Territorial</t>
        </is>
      </c>
      <c r="D240" t="inlineStr">
        <is>
          <t>4502</t>
        </is>
      </c>
      <c r="E240" t="inlineStr">
        <is>
          <t>Fortalecimiento del buen gobierno para el respeto y garantía de los derechos humanos.</t>
        </is>
      </c>
      <c r="F240" t="inlineStr">
        <is>
          <t>4502034</t>
        </is>
      </c>
      <c r="G240" t="inlineStr">
        <is>
          <t xml:space="preserve">Servicio de educación informal </t>
        </is>
      </c>
      <c r="H240" t="inlineStr">
        <is>
          <t>450203402</t>
        </is>
      </c>
      <c r="I240" t="inlineStr">
        <is>
          <t>Funcionarios capacitados</t>
        </is>
      </c>
      <c r="J240" t="inlineStr">
        <is>
          <t>2024252140103</t>
        </is>
      </c>
      <c r="K240" t="inlineStr">
        <is>
          <t>Si</t>
        </is>
      </c>
      <c r="L240" t="inlineStr">
        <is>
          <t>Número</t>
        </is>
      </c>
      <c r="M240">
        <v>100</v>
      </c>
      <c r="N240">
        <v>0.25</v>
      </c>
      <c r="O240">
        <v>0.25</v>
      </c>
      <c r="P240">
        <v>0.25</v>
      </c>
      <c r="Q240">
        <v>0.25</v>
      </c>
      <c r="R240" t="inlineStr">
        <is>
          <t xml:space="preserve"> </t>
        </is>
      </c>
      <c r="S240" s="103" t="inlineStr">
        <is>
          <t xml:space="preserve"> </t>
        </is>
      </c>
      <c r="T240" t="inlineStr">
        <is>
          <t>No se encontró ejecución en PIIP</t>
        </is>
      </c>
      <c r="U240" t="inlineStr">
        <is>
          <t xml:space="preserve"> </t>
        </is>
      </c>
      <c r="V240" s="104" t="inlineStr">
        <is>
          <t xml:space="preserve"> </t>
        </is>
      </c>
      <c r="W240" t="inlineStr">
        <is>
          <t>No se encontró ejecución en PIIP</t>
        </is>
      </c>
    </row>
    <row r="241">
      <c r="A241" t="inlineStr">
        <is>
          <t>IP-281</t>
        </is>
      </c>
      <c r="B241" t="inlineStr">
        <is>
          <t>45</t>
        </is>
      </c>
      <c r="C241" t="inlineStr">
        <is>
          <t>Gobierno Territorial</t>
        </is>
      </c>
      <c r="D241" t="inlineStr">
        <is>
          <t>4502</t>
        </is>
      </c>
      <c r="E241" t="inlineStr">
        <is>
          <t>Fortalecimiento del buen gobierno para el respeto y garantía de los derechos humanos.</t>
        </is>
      </c>
      <c r="F241" t="inlineStr">
        <is>
          <t>4502001</t>
        </is>
      </c>
      <c r="G241" t="inlineStr">
        <is>
          <t>Servicio de promoción a la participación ciudadana</t>
        </is>
      </c>
      <c r="H241" t="inlineStr">
        <is>
          <t>450200113</t>
        </is>
      </c>
      <c r="I241" t="inlineStr">
        <is>
          <t>Estrategias de promoción a la participación ciudadana implementadas</t>
        </is>
      </c>
      <c r="J241" t="inlineStr">
        <is>
          <t>2024252140131</t>
        </is>
      </c>
      <c r="K241" t="inlineStr">
        <is>
          <t>Si</t>
        </is>
      </c>
      <c r="L241" t="inlineStr">
        <is>
          <t>Número</t>
        </is>
      </c>
      <c r="M241">
        <v>1</v>
      </c>
      <c r="N241">
        <v>0.1</v>
      </c>
      <c r="O241">
        <v>0.2</v>
      </c>
      <c r="P241">
        <v>0.3</v>
      </c>
      <c r="Q241">
        <v>0.4</v>
      </c>
      <c r="R241" t="inlineStr">
        <is>
          <t xml:space="preserve"> </t>
        </is>
      </c>
      <c r="S241" s="103" t="inlineStr">
        <is>
          <t xml:space="preserve"> </t>
        </is>
      </c>
      <c r="T241" t="inlineStr">
        <is>
          <t>No se encontró ejecución en PIIP</t>
        </is>
      </c>
      <c r="U241" t="inlineStr">
        <is>
          <t xml:space="preserve"> </t>
        </is>
      </c>
      <c r="V241" s="104" t="inlineStr">
        <is>
          <t xml:space="preserve"> </t>
        </is>
      </c>
      <c r="W241" t="inlineStr">
        <is>
          <t>No se encontró ejecución en PIIP</t>
        </is>
      </c>
    </row>
    <row r="242">
      <c r="A242" t="inlineStr">
        <is>
          <t>IP-282</t>
        </is>
      </c>
      <c r="B242" t="inlineStr">
        <is>
          <t>45</t>
        </is>
      </c>
      <c r="C242" t="inlineStr">
        <is>
          <t>Gobierno Territorial</t>
        </is>
      </c>
      <c r="D242" t="inlineStr">
        <is>
          <t>4502</t>
        </is>
      </c>
      <c r="E242" t="inlineStr">
        <is>
          <t>Fortalecimiento del buen gobierno para el respeto y garantía de los derechos humanos.</t>
        </is>
      </c>
      <c r="F242" t="inlineStr">
        <is>
          <t>4502001</t>
        </is>
      </c>
      <c r="G242" t="inlineStr">
        <is>
          <t>Servicio de promoción a la participación ciudadana</t>
        </is>
      </c>
      <c r="H242" t="inlineStr">
        <is>
          <t>450200100</t>
        </is>
      </c>
      <c r="I242" t="inlineStr">
        <is>
          <t>Espacios de participación promovidos</t>
        </is>
      </c>
      <c r="J242" t="inlineStr">
        <is>
          <t>2024252140131</t>
        </is>
      </c>
      <c r="K242" t="inlineStr">
        <is>
          <t>Si</t>
        </is>
      </c>
      <c r="L242" t="inlineStr">
        <is>
          <t>Número</t>
        </is>
      </c>
      <c r="M242">
        <v>1</v>
      </c>
      <c r="N242">
        <v>1</v>
      </c>
      <c r="O242">
        <v>1</v>
      </c>
      <c r="P242">
        <v>1</v>
      </c>
      <c r="Q242">
        <v>2</v>
      </c>
      <c r="R242" t="inlineStr">
        <is>
          <t xml:space="preserve"> </t>
        </is>
      </c>
      <c r="S242" s="103" t="inlineStr">
        <is>
          <t xml:space="preserve"> </t>
        </is>
      </c>
      <c r="T242" t="inlineStr">
        <is>
          <t>No se encontró ejecución en PIIP</t>
        </is>
      </c>
      <c r="U242" t="inlineStr">
        <is>
          <t xml:space="preserve"> </t>
        </is>
      </c>
      <c r="V242" s="104" t="inlineStr">
        <is>
          <t xml:space="preserve"> </t>
        </is>
      </c>
      <c r="W242" t="inlineStr">
        <is>
          <t>No se encontró ejecución en PIIP</t>
        </is>
      </c>
    </row>
    <row r="243">
      <c r="A243" t="inlineStr">
        <is>
          <t>IP-283</t>
        </is>
      </c>
      <c r="B243" t="inlineStr">
        <is>
          <t>45</t>
        </is>
      </c>
      <c r="C243" t="inlineStr">
        <is>
          <t>Gobierno Territorial</t>
        </is>
      </c>
      <c r="D243" t="inlineStr">
        <is>
          <t>4502</t>
        </is>
      </c>
      <c r="E243" t="inlineStr">
        <is>
          <t>Fortalecimiento del buen gobierno para el respeto y garantía de los derechos humanos.</t>
        </is>
      </c>
      <c r="F243" t="inlineStr">
        <is>
          <t>4502001</t>
        </is>
      </c>
      <c r="G243" t="inlineStr">
        <is>
          <t>Servicio de promoción a la participación ciudadana</t>
        </is>
      </c>
      <c r="H243" t="inlineStr">
        <is>
          <t>450200101</t>
        </is>
      </c>
      <c r="I243" t="inlineStr">
        <is>
          <t>Rendicion de cuentas realizadas</t>
        </is>
      </c>
      <c r="J243" t="inlineStr">
        <is>
          <t>2024252140157</t>
        </is>
      </c>
      <c r="K243" t="inlineStr">
        <is>
          <t>No</t>
        </is>
      </c>
      <c r="L243" t="inlineStr">
        <is>
          <t>Número</t>
        </is>
      </c>
      <c r="M243">
        <v>1</v>
      </c>
      <c r="N243">
        <v>1</v>
      </c>
      <c r="O243">
        <v>1</v>
      </c>
      <c r="P243">
        <v>1</v>
      </c>
      <c r="Q243">
        <v>1</v>
      </c>
      <c r="R243" t="inlineStr">
        <is>
          <t xml:space="preserve"> </t>
        </is>
      </c>
      <c r="S243" s="103" t="inlineStr">
        <is>
          <t xml:space="preserve"> </t>
        </is>
      </c>
      <c r="T243" t="inlineStr">
        <is>
          <t>No se encontró ejecución en PIIP</t>
        </is>
      </c>
      <c r="U243" t="inlineStr">
        <is>
          <t xml:space="preserve"> </t>
        </is>
      </c>
      <c r="V243" s="104" t="inlineStr">
        <is>
          <t xml:space="preserve"> </t>
        </is>
      </c>
      <c r="W243" t="inlineStr">
        <is>
          <t>No se encontró ejecución en PIIP</t>
        </is>
      </c>
    </row>
    <row r="244">
      <c r="A244" t="inlineStr">
        <is>
          <t>IP-284, IP-285</t>
        </is>
      </c>
      <c r="B244" t="inlineStr">
        <is>
          <t>39</t>
        </is>
      </c>
      <c r="C244" t="inlineStr">
        <is>
          <t xml:space="preserve">Ciencia, tecnología e innovación
</t>
        </is>
      </c>
      <c r="D244" t="inlineStr">
        <is>
          <t>3906</t>
        </is>
      </c>
      <c r="E244" t="inlineStr">
        <is>
          <t>Fomento a vocaciones y formación, generación, uso y apropiación social del conocimiento de la ciencia, tecnología e innovación</t>
        </is>
      </c>
      <c r="F244" t="inlineStr">
        <is>
          <t>3906011</t>
        </is>
      </c>
      <c r="G244" t="inlineStr">
        <is>
          <t>Servicio de apropiación social del conocimiento</t>
        </is>
      </c>
      <c r="H244" t="inlineStr">
        <is>
          <t>390601100</t>
        </is>
      </c>
      <c r="I244" t="inlineStr">
        <is>
          <t>Estrategias de apropiación realizadas</t>
        </is>
      </c>
      <c r="J244" t="inlineStr">
        <is>
          <t>2024252140095</t>
        </is>
      </c>
      <c r="K244" t="inlineStr">
        <is>
          <t>No</t>
        </is>
      </c>
      <c r="L244" t="inlineStr">
        <is>
          <t>Número</t>
        </is>
      </c>
      <c r="M244">
        <v>200</v>
      </c>
      <c r="N244">
        <v>1.25</v>
      </c>
      <c r="O244">
        <v>1.25</v>
      </c>
      <c r="P244">
        <v>1.25</v>
      </c>
      <c r="Q244">
        <v>1.25</v>
      </c>
      <c r="R244">
        <v>1</v>
      </c>
      <c r="S244" s="103">
        <v>0.8</v>
      </c>
      <c r="T244" t="inlineStr">
        <is>
          <t>Lo ejecutado está por debajo de lo programado en la vigencia</t>
        </is>
      </c>
      <c r="U244">
        <v>0.7</v>
      </c>
      <c r="V244" s="104">
        <v>0.56</v>
      </c>
      <c r="W244" t="inlineStr">
        <is>
          <t>Lo ejecutado está por debajo de lo programado en la vigencia</t>
        </is>
      </c>
    </row>
    <row r="245">
      <c r="A245" t="inlineStr">
        <is>
          <t>IP-286</t>
        </is>
      </c>
      <c r="B245" t="inlineStr">
        <is>
          <t>23</t>
        </is>
      </c>
      <c r="C245" t="inlineStr">
        <is>
          <t>Tecnologías de la información y las comunicaciones</t>
        </is>
      </c>
      <c r="D245" t="inlineStr">
        <is>
          <t>2301</t>
        </is>
      </c>
      <c r="E245" t="inlineStr">
        <is>
          <t>Facilitar el acceso y uso de las Tecnologías de la Información y las Comunicaciones (TIC) en todo el territorio nacional</t>
        </is>
      </c>
      <c r="F245" t="inlineStr">
        <is>
          <t>2301075</t>
        </is>
      </c>
      <c r="G245" t="inlineStr">
        <is>
          <t>Servicio de Información implementado</t>
        </is>
      </c>
      <c r="H245" t="inlineStr">
        <is>
          <t>230107500</t>
        </is>
      </c>
      <c r="I245" t="inlineStr">
        <is>
          <t>Sistemas de información implementados</t>
        </is>
      </c>
      <c r="J245" t="inlineStr">
        <is>
          <t>2024252140090</t>
        </is>
      </c>
      <c r="K245" t="inlineStr">
        <is>
          <t>Si</t>
        </is>
      </c>
      <c r="L245" t="inlineStr">
        <is>
          <t>Número</t>
        </is>
      </c>
      <c r="M245">
        <v>1</v>
      </c>
      <c r="N245">
        <v>0</v>
      </c>
      <c r="O245">
        <v>0.34</v>
      </c>
      <c r="P245">
        <v>0.33</v>
      </c>
      <c r="Q245">
        <v>0.33</v>
      </c>
      <c r="R245" t="inlineStr">
        <is>
          <t xml:space="preserve"> </t>
        </is>
      </c>
      <c r="S245" s="103" t="inlineStr">
        <is>
          <t xml:space="preserve"> </t>
        </is>
      </c>
      <c r="T245" t="inlineStr">
        <is>
          <t>No se encontró ejecución en PIIP</t>
        </is>
      </c>
      <c r="U245" t="inlineStr">
        <is>
          <t xml:space="preserve"> </t>
        </is>
      </c>
      <c r="V245" s="104" t="inlineStr">
        <is>
          <t xml:space="preserve"> </t>
        </is>
      </c>
      <c r="W245" t="inlineStr">
        <is>
          <t>No se encontró ejecución en PIIP</t>
        </is>
      </c>
    </row>
    <row r="246">
      <c r="A246" t="inlineStr">
        <is>
          <t>IP-287</t>
        </is>
      </c>
      <c r="B246" t="inlineStr">
        <is>
          <t>23</t>
        </is>
      </c>
      <c r="C246" t="inlineStr">
        <is>
          <t>Tecnologías de la información y las comunicaciones</t>
        </is>
      </c>
      <c r="D246" t="inlineStr">
        <is>
          <t>2301</t>
        </is>
      </c>
      <c r="E246" t="inlineStr">
        <is>
          <t>Facilitar el acceso y uso de las Tecnologías de la Información y las Comunicaciones (TIC) en todo el territorio nacional</t>
        </is>
      </c>
      <c r="F246" t="inlineStr">
        <is>
          <t>2301061</t>
        </is>
      </c>
      <c r="G246" t="inlineStr">
        <is>
          <t>Centro Integrado de Servicios adecuado</t>
        </is>
      </c>
      <c r="H246" t="inlineStr">
        <is>
          <t>230106100</t>
        </is>
      </c>
      <c r="I246" t="inlineStr">
        <is>
          <t>Centro Integrado de Servicios adecuado</t>
        </is>
      </c>
      <c r="J246" t="inlineStr">
        <is>
          <t>2024252140140</t>
        </is>
      </c>
      <c r="K246" t="inlineStr">
        <is>
          <t>Si</t>
        </is>
      </c>
      <c r="L246" t="inlineStr">
        <is>
          <t>Número</t>
        </is>
      </c>
      <c r="M246">
        <v>1</v>
      </c>
      <c r="N246">
        <v>0.5</v>
      </c>
      <c r="O246">
        <v>0.5</v>
      </c>
      <c r="P246">
        <v>0.5</v>
      </c>
      <c r="Q246">
        <v>0.5</v>
      </c>
      <c r="R246" t="inlineStr">
        <is>
          <t xml:space="preserve"> </t>
        </is>
      </c>
      <c r="S246" s="103" t="inlineStr">
        <is>
          <t xml:space="preserve"> </t>
        </is>
      </c>
      <c r="T246" t="inlineStr">
        <is>
          <t>No se encontró ejecución en PIIP</t>
        </is>
      </c>
      <c r="U246" t="inlineStr">
        <is>
          <t xml:space="preserve"> </t>
        </is>
      </c>
      <c r="V246" s="104" t="inlineStr">
        <is>
          <t xml:space="preserve"> </t>
        </is>
      </c>
      <c r="W246" t="inlineStr">
        <is>
          <t>No se encontró ejecución en PIIP</t>
        </is>
      </c>
    </row>
    <row r="247">
      <c r="A247" t="inlineStr">
        <is>
          <t>IP-288</t>
        </is>
      </c>
      <c r="B247" t="inlineStr">
        <is>
          <t>23</t>
        </is>
      </c>
      <c r="C247" t="inlineStr">
        <is>
          <t>Tecnologías de la información y las comunicaciones</t>
        </is>
      </c>
      <c r="D247" t="inlineStr">
        <is>
          <t>2301</t>
        </is>
      </c>
      <c r="E247" t="inlineStr">
        <is>
          <t>Facilitar el acceso y uso de las Tecnologías de la Información y las Comunicaciones (TIC) en todo el territorio nacional</t>
        </is>
      </c>
      <c r="F247" t="inlineStr">
        <is>
          <t>2301075</t>
        </is>
      </c>
      <c r="G247" t="inlineStr">
        <is>
          <t>Servicio de Información implementado</t>
        </is>
      </c>
      <c r="H247" t="inlineStr">
        <is>
          <t>230107500</t>
        </is>
      </c>
      <c r="I247" t="inlineStr">
        <is>
          <t>Sistemas de información implementados</t>
        </is>
      </c>
      <c r="J247" t="inlineStr">
        <is>
          <t>2024252140084</t>
        </is>
      </c>
      <c r="K247" t="inlineStr">
        <is>
          <t>Si</t>
        </is>
      </c>
      <c r="L247" t="inlineStr">
        <is>
          <t>Número</t>
        </is>
      </c>
      <c r="M247">
        <v>1</v>
      </c>
      <c r="N247">
        <v>0.25</v>
      </c>
      <c r="O247">
        <v>0.25</v>
      </c>
      <c r="P247">
        <v>0.25</v>
      </c>
      <c r="Q247">
        <v>0.25</v>
      </c>
      <c r="R247" t="inlineStr">
        <is>
          <t xml:space="preserve"> </t>
        </is>
      </c>
      <c r="S247" s="103" t="inlineStr">
        <is>
          <t xml:space="preserve"> </t>
        </is>
      </c>
      <c r="T247" t="inlineStr">
        <is>
          <t>No se encontró ejecución en PIIP</t>
        </is>
      </c>
      <c r="U247" t="inlineStr">
        <is>
          <t xml:space="preserve"> </t>
        </is>
      </c>
      <c r="V247" s="104" t="inlineStr">
        <is>
          <t xml:space="preserve"> </t>
        </is>
      </c>
      <c r="W247" t="inlineStr">
        <is>
          <t>No se encontró ejecución en PIIP</t>
        </is>
      </c>
    </row>
    <row r="248">
      <c r="A248" t="inlineStr">
        <is>
          <t>IP-289</t>
        </is>
      </c>
      <c r="B248" t="inlineStr">
        <is>
          <t>23</t>
        </is>
      </c>
      <c r="C248" t="inlineStr">
        <is>
          <t>Tecnologías de la información y las comunicaciones</t>
        </is>
      </c>
      <c r="D248" t="inlineStr">
        <is>
          <t>2301</t>
        </is>
      </c>
      <c r="E248" t="inlineStr">
        <is>
          <t>Facilitar el acceso y uso de las Tecnologías de la Información y las Comunicaciones (TIC) en todo el territorio nacional</t>
        </is>
      </c>
      <c r="F248" t="inlineStr">
        <is>
          <t>2301004</t>
        </is>
      </c>
      <c r="G248" t="inlineStr">
        <is>
          <t>Documentos de planeación</t>
        </is>
      </c>
      <c r="H248" t="inlineStr">
        <is>
          <t>230100400</t>
        </is>
      </c>
      <c r="I248" t="inlineStr">
        <is>
          <t>Documentos de planeación elaborados</t>
        </is>
      </c>
      <c r="J248" t="inlineStr">
        <is>
          <t>2024252140158</t>
        </is>
      </c>
      <c r="K248" t="inlineStr">
        <is>
          <t>Si</t>
        </is>
      </c>
      <c r="L248" t="inlineStr">
        <is>
          <t>Número</t>
        </is>
      </c>
      <c r="M248">
        <v>3</v>
      </c>
      <c r="N248">
        <v>3</v>
      </c>
      <c r="O248">
        <v>0</v>
      </c>
      <c r="P248">
        <v>0</v>
      </c>
      <c r="Q248">
        <v>0</v>
      </c>
      <c r="R248" t="inlineStr">
        <is>
          <t xml:space="preserve"> </t>
        </is>
      </c>
      <c r="S248" s="103" t="inlineStr">
        <is>
          <t xml:space="preserve"> </t>
        </is>
      </c>
      <c r="T248" t="inlineStr">
        <is>
          <t>No se encontró ejecución en PIIP</t>
        </is>
      </c>
      <c r="U248" t="inlineStr">
        <is>
          <t xml:space="preserve"> </t>
        </is>
      </c>
      <c r="V248" s="104" t="inlineStr">
        <is>
          <t xml:space="preserve"> </t>
        </is>
      </c>
      <c r="W248" t="inlineStr">
        <is>
          <t>No se encontró ejecución en PIIP</t>
        </is>
      </c>
    </row>
    <row r="249">
      <c r="A249" t="inlineStr">
        <is>
          <t>IP-290</t>
        </is>
      </c>
      <c r="B249" t="inlineStr">
        <is>
          <t>23</t>
        </is>
      </c>
      <c r="C249" t="inlineStr">
        <is>
          <t>Tecnologías de la información y las comunicaciones</t>
        </is>
      </c>
      <c r="D249" t="inlineStr">
        <is>
          <t>2301</t>
        </is>
      </c>
      <c r="E249" t="inlineStr">
        <is>
          <t>Facilitar el acceso y uso de las Tecnologías de la Información y las Comunicaciones (TIC) en todo el territorio nacional</t>
        </is>
      </c>
      <c r="F249" t="inlineStr">
        <is>
          <t>2301075</t>
        </is>
      </c>
      <c r="G249" t="inlineStr">
        <is>
          <t>Servicio de Información implementado</t>
        </is>
      </c>
      <c r="H249" t="inlineStr">
        <is>
          <t>230107500</t>
        </is>
      </c>
      <c r="I249" t="inlineStr">
        <is>
          <t>Sistemas de información implementados</t>
        </is>
      </c>
      <c r="J249" t="inlineStr">
        <is>
          <t>2024252140141</t>
        </is>
      </c>
      <c r="K249" t="inlineStr">
        <is>
          <t>Si</t>
        </is>
      </c>
      <c r="L249" t="inlineStr">
        <is>
          <t>Número</t>
        </is>
      </c>
      <c r="M249">
        <v>1</v>
      </c>
      <c r="N249">
        <v>0.25</v>
      </c>
      <c r="O249">
        <v>0.25</v>
      </c>
      <c r="P249">
        <v>0.25</v>
      </c>
      <c r="Q249">
        <v>0.25</v>
      </c>
      <c r="R249" t="inlineStr">
        <is>
          <t xml:space="preserve"> </t>
        </is>
      </c>
      <c r="S249" s="103" t="inlineStr">
        <is>
          <t xml:space="preserve"> </t>
        </is>
      </c>
      <c r="T249" t="inlineStr">
        <is>
          <t>No se encontró ejecución en PIIP</t>
        </is>
      </c>
      <c r="U249" t="inlineStr">
        <is>
          <t xml:space="preserve"> </t>
        </is>
      </c>
      <c r="V249" s="104" t="inlineStr">
        <is>
          <t xml:space="preserve"> </t>
        </is>
      </c>
      <c r="W249" t="inlineStr">
        <is>
          <t>No se encontró ejecución en PIIP</t>
        </is>
      </c>
    </row>
    <row r="250">
      <c r="A250" t="inlineStr">
        <is>
          <t>IP-291</t>
        </is>
      </c>
      <c r="B250" t="inlineStr">
        <is>
          <t>23</t>
        </is>
      </c>
      <c r="C250" t="inlineStr">
        <is>
          <t>Tecnologías de la información y las comunicaciones</t>
        </is>
      </c>
      <c r="D250" t="inlineStr">
        <is>
          <t>2301</t>
        </is>
      </c>
      <c r="E250" t="inlineStr">
        <is>
          <t>Facilitar el acceso y uso de las Tecnologías de la Información y las Comunicaciones (TIC) en todo el territorio nacional</t>
        </is>
      </c>
      <c r="F250" t="inlineStr">
        <is>
          <t>2301031</t>
        </is>
      </c>
      <c r="G250" t="inlineStr">
        <is>
          <t>Servicio de educación informal en uso básico de tecnologías de la información y las comunicaciones</t>
        </is>
      </c>
      <c r="H250" t="inlineStr">
        <is>
          <t>230103100</t>
        </is>
      </c>
      <c r="I250" t="inlineStr">
        <is>
          <t>Personas de la comunidad capacitadas en uso básico de tecnologías de la información y las comunicaciones.</t>
        </is>
      </c>
      <c r="J250" t="inlineStr">
        <is>
          <t>2024252140158</t>
        </is>
      </c>
      <c r="K250" t="inlineStr">
        <is>
          <t>No</t>
        </is>
      </c>
      <c r="L250" t="inlineStr">
        <is>
          <t>Número</t>
        </is>
      </c>
      <c r="M250">
        <v>100</v>
      </c>
      <c r="N250">
        <v>25</v>
      </c>
      <c r="O250">
        <v>25</v>
      </c>
      <c r="P250">
        <v>25</v>
      </c>
      <c r="Q250">
        <v>25</v>
      </c>
      <c r="R250" t="inlineStr">
        <is>
          <t xml:space="preserve"> </t>
        </is>
      </c>
      <c r="S250" s="103" t="inlineStr">
        <is>
          <t xml:space="preserve"> </t>
        </is>
      </c>
      <c r="T250" t="inlineStr">
        <is>
          <t>No se encontró ejecución en PIIP</t>
        </is>
      </c>
      <c r="U250" t="inlineStr">
        <is>
          <t xml:space="preserve"> </t>
        </is>
      </c>
      <c r="V250" s="104" t="inlineStr">
        <is>
          <t xml:space="preserve"> </t>
        </is>
      </c>
      <c r="W250" t="inlineStr">
        <is>
          <t>No se encontró ejecución en PIIP</t>
        </is>
      </c>
    </row>
    <row r="251">
      <c r="A251" t="inlineStr">
        <is>
          <t>IP-292</t>
        </is>
      </c>
      <c r="B251" t="inlineStr">
        <is>
          <t>23</t>
        </is>
      </c>
      <c r="C251" t="inlineStr">
        <is>
          <t>Tecnologías de la información y las comunicaciones</t>
        </is>
      </c>
      <c r="D251" t="inlineStr">
        <is>
          <t>2301</t>
        </is>
      </c>
      <c r="E251" t="inlineStr">
        <is>
          <t>Facilitar el acceso y uso de las Tecnologías de la Información y las Comunicaciones (TIC) en todo el territorio nacional</t>
        </is>
      </c>
      <c r="F251" t="inlineStr">
        <is>
          <t>2301079</t>
        </is>
      </c>
      <c r="G251" t="inlineStr">
        <is>
          <t xml:space="preserve"> Servicio de acceso zonas digitales</t>
        </is>
      </c>
      <c r="H251" t="inlineStr">
        <is>
          <t>230107900</t>
        </is>
      </c>
      <c r="I251" t="inlineStr">
        <is>
          <t>Zonas digitales instaladas</t>
        </is>
      </c>
      <c r="J251" t="inlineStr">
        <is>
          <t>2024252140160</t>
        </is>
      </c>
      <c r="K251" t="inlineStr">
        <is>
          <t>Si</t>
        </is>
      </c>
      <c r="L251" t="inlineStr">
        <is>
          <t>Número</t>
        </is>
      </c>
      <c r="M251">
        <v>10</v>
      </c>
      <c r="N251">
        <v>0</v>
      </c>
      <c r="O251">
        <v>4</v>
      </c>
      <c r="P251">
        <v>3</v>
      </c>
      <c r="Q251">
        <v>3</v>
      </c>
      <c r="R251">
        <v>0</v>
      </c>
      <c r="S251" s="103" t="inlineStr">
        <is>
          <t xml:space="preserve"> </t>
        </is>
      </c>
      <c r="T251" t="inlineStr">
        <is>
          <t>No se programó ni ejecutó en la vigencia</t>
        </is>
      </c>
      <c r="U251" t="inlineStr">
        <is>
          <t xml:space="preserve"> </t>
        </is>
      </c>
      <c r="V251" s="104" t="inlineStr">
        <is>
          <t xml:space="preserve"> </t>
        </is>
      </c>
      <c r="W251" t="inlineStr">
        <is>
          <t>No se encontró ejecución en PIIP</t>
        </is>
      </c>
    </row>
    <row r="252">
      <c r="A252" t="inlineStr">
        <is>
          <t>IP-293, IP-294</t>
        </is>
      </c>
      <c r="B252" t="inlineStr">
        <is>
          <t>23</t>
        </is>
      </c>
      <c r="C252" t="inlineStr">
        <is>
          <t>Tecnologías de la información y las comunicaciones</t>
        </is>
      </c>
      <c r="D252" t="inlineStr">
        <is>
          <t>2301</t>
        </is>
      </c>
      <c r="E252" t="inlineStr">
        <is>
          <t>Facilitar el acceso y uso de las Tecnologías de la Información y las Comunicaciones (TIC) en todo el territorio nacional</t>
        </is>
      </c>
      <c r="F252" t="inlineStr">
        <is>
          <t>2301075</t>
        </is>
      </c>
      <c r="G252" t="inlineStr">
        <is>
          <t>Servicio de Información implementado</t>
        </is>
      </c>
      <c r="H252" t="inlineStr">
        <is>
          <t>230107500</t>
        </is>
      </c>
      <c r="I252" t="inlineStr">
        <is>
          <t>Sistemas de información implementados</t>
        </is>
      </c>
      <c r="J252" t="inlineStr">
        <is>
          <t>2024252140158</t>
        </is>
      </c>
      <c r="K252" t="inlineStr">
        <is>
          <t>Si</t>
        </is>
      </c>
      <c r="L252" t="inlineStr">
        <is>
          <t>Número</t>
        </is>
      </c>
      <c r="M252">
        <v>2</v>
      </c>
      <c r="N252">
        <v>0.5</v>
      </c>
      <c r="O252">
        <v>1</v>
      </c>
      <c r="P252">
        <v>0.25</v>
      </c>
      <c r="Q252">
        <v>0.25</v>
      </c>
      <c r="R252" t="inlineStr">
        <is>
          <t xml:space="preserve"> </t>
        </is>
      </c>
      <c r="S252" s="103" t="inlineStr">
        <is>
          <t xml:space="preserve"> </t>
        </is>
      </c>
      <c r="T252" t="inlineStr">
        <is>
          <t>No se encontró ejecución en PIIP</t>
        </is>
      </c>
      <c r="U252" t="inlineStr">
        <is>
          <t xml:space="preserve"> </t>
        </is>
      </c>
      <c r="V252" s="104" t="inlineStr">
        <is>
          <t xml:space="preserve"> </t>
        </is>
      </c>
      <c r="W252" t="inlineStr">
        <is>
          <t>No se encontró ejecución en PIIP</t>
        </is>
      </c>
    </row>
    <row r="253">
      <c r="A253" t="inlineStr">
        <is>
          <t>IP-295</t>
        </is>
      </c>
      <c r="B253" t="inlineStr">
        <is>
          <t>45</t>
        </is>
      </c>
      <c r="C253" t="inlineStr">
        <is>
          <t>Gobierno Territorial</t>
        </is>
      </c>
      <c r="D253" t="inlineStr">
        <is>
          <t>4501</t>
        </is>
      </c>
      <c r="E253" t="inlineStr">
        <is>
          <t>Fortalecimiento de la convivencia y la seguridad ciudadana</t>
        </is>
      </c>
      <c r="F253" t="inlineStr">
        <is>
          <t>4501028</t>
        </is>
      </c>
      <c r="G253" t="inlineStr">
        <is>
          <t>Servicio de vigilancia a través de cámaras de seguridad</t>
        </is>
      </c>
      <c r="H253" t="inlineStr">
        <is>
          <t>450102800</t>
        </is>
      </c>
      <c r="I253" t="inlineStr">
        <is>
          <t>Cámaras de seguridad instaladas</t>
        </is>
      </c>
      <c r="J253" t="inlineStr">
        <is>
          <t>2024252140142</t>
        </is>
      </c>
      <c r="K253" t="inlineStr">
        <is>
          <t>Si</t>
        </is>
      </c>
      <c r="L253" t="inlineStr">
        <is>
          <t>Número</t>
        </is>
      </c>
      <c r="M253">
        <v>1</v>
      </c>
      <c r="N253">
        <v>1</v>
      </c>
      <c r="O253">
        <v>0</v>
      </c>
      <c r="P253">
        <v>0</v>
      </c>
      <c r="Q253">
        <v>0</v>
      </c>
      <c r="R253" t="inlineStr">
        <is>
          <t xml:space="preserve"> </t>
        </is>
      </c>
      <c r="S253" s="103" t="inlineStr">
        <is>
          <t xml:space="preserve"> </t>
        </is>
      </c>
      <c r="T253" t="inlineStr">
        <is>
          <t>No se encontró ejecución en PIIP</t>
        </is>
      </c>
      <c r="U253" t="inlineStr">
        <is>
          <t xml:space="preserve"> </t>
        </is>
      </c>
      <c r="V253" s="104" t="inlineStr">
        <is>
          <t xml:space="preserve"> </t>
        </is>
      </c>
      <c r="W253" t="inlineStr">
        <is>
          <t>No se encontró ejecución en PIIP</t>
        </is>
      </c>
    </row>
    <row r="254">
      <c r="A254" t="inlineStr">
        <is>
          <t>IP-296</t>
        </is>
      </c>
      <c r="B254" t="inlineStr">
        <is>
          <t>45</t>
        </is>
      </c>
      <c r="C254" t="inlineStr">
        <is>
          <t>Gobierno Territorial</t>
        </is>
      </c>
      <c r="D254" t="inlineStr">
        <is>
          <t>4501</t>
        </is>
      </c>
      <c r="E254" t="inlineStr">
        <is>
          <t>Fortalecimiento de la convivencia y la seguridad ciudadana</t>
        </is>
      </c>
      <c r="F254" t="inlineStr">
        <is>
          <t>4501028</t>
        </is>
      </c>
      <c r="G254" t="inlineStr">
        <is>
          <t>Servicio de vigilancia a través de cámaras de seguridad</t>
        </is>
      </c>
      <c r="H254" t="inlineStr">
        <is>
          <t>450102801</t>
        </is>
      </c>
      <c r="I254" t="inlineStr">
        <is>
          <t>Cámaras de seguridad mantenidas</t>
        </is>
      </c>
      <c r="J254" t="inlineStr">
        <is>
          <t>2024252140142</t>
        </is>
      </c>
      <c r="K254" t="inlineStr">
        <is>
          <t>Si</t>
        </is>
      </c>
      <c r="L254" t="inlineStr">
        <is>
          <t>Número</t>
        </is>
      </c>
      <c r="M254">
        <v>1</v>
      </c>
      <c r="N254">
        <v>0</v>
      </c>
      <c r="O254">
        <v>1</v>
      </c>
      <c r="P254">
        <v>0</v>
      </c>
      <c r="Q254">
        <v>0</v>
      </c>
      <c r="R254" t="inlineStr">
        <is>
          <t xml:space="preserve"> </t>
        </is>
      </c>
      <c r="S254" s="103" t="inlineStr">
        <is>
          <t xml:space="preserve"> </t>
        </is>
      </c>
      <c r="T254" t="inlineStr">
        <is>
          <t>No se encontró ejecución en PIIP</t>
        </is>
      </c>
      <c r="U254" t="inlineStr">
        <is>
          <t xml:space="preserve"> </t>
        </is>
      </c>
      <c r="V254" s="104" t="inlineStr">
        <is>
          <t xml:space="preserve"> </t>
        </is>
      </c>
      <c r="W254" t="inlineStr">
        <is>
          <t>No se encontró ejecución en PIIP</t>
        </is>
      </c>
    </row>
    <row r="255">
      <c r="A255" t="inlineStr">
        <is>
          <t>IP-297</t>
        </is>
      </c>
      <c r="B255" t="inlineStr">
        <is>
          <t>45</t>
        </is>
      </c>
      <c r="C255" t="inlineStr">
        <is>
          <t>Gobierno Territorial</t>
        </is>
      </c>
      <c r="D255" t="inlineStr">
        <is>
          <t>4501</t>
        </is>
      </c>
      <c r="E255" t="inlineStr">
        <is>
          <t>Fortalecimiento de la convivencia y la seguridad ciudadana</t>
        </is>
      </c>
      <c r="F255" t="inlineStr">
        <is>
          <t>4501032</t>
        </is>
      </c>
      <c r="G255" t="inlineStr">
        <is>
          <t>Servicio de atención de seguridad y emergencias de los Centros de Información Estratégica Policía Seccional</t>
        </is>
      </c>
      <c r="H255" t="inlineStr">
        <is>
          <t>450103200</t>
        </is>
      </c>
      <c r="I255" t="inlineStr">
        <is>
          <t>Centros de Información Estratégica Policía Seccional instalados y dotados</t>
        </is>
      </c>
      <c r="J255" t="inlineStr">
        <is>
          <t>2024252140142</t>
        </is>
      </c>
      <c r="K255" t="inlineStr">
        <is>
          <t>Si</t>
        </is>
      </c>
      <c r="L255" t="inlineStr">
        <is>
          <t>Número</t>
        </is>
      </c>
      <c r="M255">
        <v>1</v>
      </c>
      <c r="N255">
        <v>0</v>
      </c>
      <c r="O255">
        <v>1</v>
      </c>
      <c r="P255">
        <v>0</v>
      </c>
      <c r="Q255">
        <v>0</v>
      </c>
      <c r="R255" t="inlineStr">
        <is>
          <t xml:space="preserve"> </t>
        </is>
      </c>
      <c r="S255" s="103" t="inlineStr">
        <is>
          <t xml:space="preserve"> </t>
        </is>
      </c>
      <c r="T255" t="inlineStr">
        <is>
          <t>No se encontró ejecución en PIIP</t>
        </is>
      </c>
      <c r="U255" t="inlineStr">
        <is>
          <t xml:space="preserve"> </t>
        </is>
      </c>
      <c r="V255" s="104" t="inlineStr">
        <is>
          <t xml:space="preserve"> </t>
        </is>
      </c>
      <c r="W255" t="inlineStr">
        <is>
          <t>No se encontró ejecución en PIIP</t>
        </is>
      </c>
    </row>
    <row r="256">
      <c r="A256" t="inlineStr">
        <is>
          <t>IP-298, IP-299, IP-300</t>
        </is>
      </c>
      <c r="B256" t="inlineStr">
        <is>
          <t>23</t>
        </is>
      </c>
      <c r="C256" t="inlineStr">
        <is>
          <t>Tecnologías de la información y las comunicaciones</t>
        </is>
      </c>
      <c r="D256" t="inlineStr">
        <is>
          <t>2302</t>
        </is>
      </c>
      <c r="E256" t="inlineStr">
        <is>
          <t>Fomento del desarrollo de aplicaciones, software y contenidos para impulsar la apropiación de las Tecnologías de la Información y las Comunicaciones (TIC)</t>
        </is>
      </c>
      <c r="F256" t="inlineStr">
        <is>
          <t>2302086</t>
        </is>
      </c>
      <c r="G256" t="inlineStr">
        <is>
          <t>Servicios de Información para la implementación de la Estrategia de Gobierno digital</t>
        </is>
      </c>
      <c r="H256" t="inlineStr">
        <is>
          <t>230208604</t>
        </is>
      </c>
      <c r="I256" t="inlineStr">
        <is>
          <t>Herramientas tecnológicas de Gobierno digital  implementadas</t>
        </is>
      </c>
      <c r="J256" t="inlineStr">
        <is>
          <t>2024252140159</t>
        </is>
      </c>
      <c r="K256" t="inlineStr">
        <is>
          <t>Si</t>
        </is>
      </c>
      <c r="L256" t="inlineStr">
        <is>
          <t>Número</t>
        </is>
      </c>
      <c r="M256">
        <v>3</v>
      </c>
      <c r="N256">
        <v>1</v>
      </c>
      <c r="O256">
        <v>1.3333</v>
      </c>
      <c r="P256">
        <v>0.3333</v>
      </c>
      <c r="Q256">
        <v>0.3333</v>
      </c>
      <c r="R256" t="inlineStr">
        <is>
          <t xml:space="preserve"> </t>
        </is>
      </c>
      <c r="S256" s="103" t="inlineStr">
        <is>
          <t xml:space="preserve"> </t>
        </is>
      </c>
      <c r="T256" t="inlineStr">
        <is>
          <t>No se encontró ejecución en PIIP</t>
        </is>
      </c>
      <c r="U256" t="inlineStr">
        <is>
          <t xml:space="preserve"> </t>
        </is>
      </c>
      <c r="V256" s="104" t="inlineStr">
        <is>
          <t xml:space="preserve"> </t>
        </is>
      </c>
      <c r="W256" t="inlineStr">
        <is>
          <t>No se encontró ejecución en PIIP</t>
        </is>
      </c>
    </row>
    <row r="257">
      <c r="A257" t="inlineStr">
        <is>
          <t>IP-301</t>
        </is>
      </c>
      <c r="B257" t="inlineStr">
        <is>
          <t>23</t>
        </is>
      </c>
      <c r="C257" t="inlineStr">
        <is>
          <t>Tecnologías de la información y las comunicaciones</t>
        </is>
      </c>
      <c r="D257" t="inlineStr">
        <is>
          <t>2302</t>
        </is>
      </c>
      <c r="E257" t="inlineStr">
        <is>
          <t>Fomento del desarrollo de aplicaciones, software y contenidos para impulsar la apropiación de las Tecnologías de la Información y las Comunicaciones (TIC)</t>
        </is>
      </c>
      <c r="F257" t="inlineStr">
        <is>
          <t>2302101</t>
        </is>
      </c>
      <c r="G257" t="inlineStr">
        <is>
          <t>Servicios tecnológicos</t>
        </is>
      </c>
      <c r="H257" t="inlineStr">
        <is>
          <t>230210101</t>
        </is>
      </c>
      <c r="I257" t="inlineStr">
        <is>
          <t>Servicios tecnologicos implementados para la proteccion de la seguridad de la información.</t>
        </is>
      </c>
      <c r="J257" t="inlineStr">
        <is>
          <t>2024252140159</t>
        </is>
      </c>
      <c r="K257" t="inlineStr">
        <is>
          <t>Si</t>
        </is>
      </c>
      <c r="L257" t="inlineStr">
        <is>
          <t>Número</t>
        </is>
      </c>
      <c r="M257">
        <v>90</v>
      </c>
      <c r="N257">
        <v>0.9</v>
      </c>
      <c r="O257">
        <v>0</v>
      </c>
      <c r="P257">
        <v>0</v>
      </c>
      <c r="Q257">
        <v>0</v>
      </c>
      <c r="R257" t="inlineStr">
        <is>
          <t xml:space="preserve"> </t>
        </is>
      </c>
      <c r="S257" s="103" t="inlineStr">
        <is>
          <t xml:space="preserve"> </t>
        </is>
      </c>
      <c r="T257" t="inlineStr">
        <is>
          <t>No se encontró ejecución en PIIP</t>
        </is>
      </c>
      <c r="U257" t="inlineStr">
        <is>
          <t xml:space="preserve"> </t>
        </is>
      </c>
      <c r="V257" s="104" t="inlineStr">
        <is>
          <t xml:space="preserve"> </t>
        </is>
      </c>
      <c r="W257" t="inlineStr">
        <is>
          <t>No se encontró ejecución en PIIP</t>
        </is>
      </c>
    </row>
    <row r="258">
      <c r="A258" t="inlineStr">
        <is>
          <t>IP-305, IP-306, IP-4, IP-5</t>
        </is>
      </c>
      <c r="B258" t="inlineStr">
        <is>
          <t>24</t>
        </is>
      </c>
      <c r="C258" t="inlineStr">
        <is>
          <t>Transporte</t>
        </is>
      </c>
      <c r="D258" t="inlineStr">
        <is>
          <t>2402</t>
        </is>
      </c>
      <c r="E258" t="inlineStr">
        <is>
          <t>Infraestructura red vial regional</t>
        </is>
      </c>
      <c r="F258" t="inlineStr">
        <is>
          <t>2402104</t>
        </is>
      </c>
      <c r="G258" t="inlineStr">
        <is>
          <t>Documentos de planeación</t>
        </is>
      </c>
      <c r="H258" t="inlineStr">
        <is>
          <t>240210400</t>
        </is>
      </c>
      <c r="I258" t="inlineStr">
        <is>
          <t>Documentos de planeación realizados</t>
        </is>
      </c>
      <c r="J258" t="inlineStr">
        <is>
          <t>2024252140096</t>
        </is>
      </c>
      <c r="K258" t="inlineStr">
        <is>
          <t>Si</t>
        </is>
      </c>
      <c r="L258" t="inlineStr">
        <is>
          <t>Número</t>
        </is>
      </c>
      <c r="M258">
        <v>4</v>
      </c>
      <c r="N258">
        <v>0</v>
      </c>
      <c r="O258">
        <v>1.32</v>
      </c>
      <c r="P258">
        <v>1.32</v>
      </c>
      <c r="Q258">
        <v>1.36</v>
      </c>
      <c r="R258">
        <v>0</v>
      </c>
      <c r="S258" s="103" t="inlineStr">
        <is>
          <t xml:space="preserve"> </t>
        </is>
      </c>
      <c r="T258" t="inlineStr">
        <is>
          <t>No se programó ni ejecutó en la vigencia</t>
        </is>
      </c>
      <c r="U258" t="inlineStr">
        <is>
          <t xml:space="preserve"> </t>
        </is>
      </c>
      <c r="V258" s="104" t="inlineStr">
        <is>
          <t xml:space="preserve"> </t>
        </is>
      </c>
      <c r="W258" t="inlineStr">
        <is>
          <t>No se encontró ejecución en PIIP</t>
        </is>
      </c>
    </row>
    <row r="259">
      <c r="A259" t="inlineStr">
        <is>
          <t>IP-603</t>
        </is>
      </c>
      <c r="B259" t="inlineStr">
        <is>
          <t>24</t>
        </is>
      </c>
      <c r="C259" t="inlineStr">
        <is>
          <t>Transporte</t>
        </is>
      </c>
      <c r="D259" t="inlineStr">
        <is>
          <t>2409</t>
        </is>
      </c>
      <c r="E259" t="inlineStr">
        <is>
          <t>Seguridad de transporte</t>
        </is>
      </c>
      <c r="F259" t="inlineStr">
        <is>
          <t>2409063</t>
        </is>
      </c>
      <c r="G259" t="inlineStr">
        <is>
          <t>Servicio de educación informal</t>
        </is>
      </c>
      <c r="H259" t="inlineStr">
        <is>
          <t>240906300</t>
        </is>
      </c>
      <c r="I259" t="inlineStr">
        <is>
          <t>Estrategias implementadas</t>
        </is>
      </c>
      <c r="J259" t="inlineStr">
        <is>
          <t>2024252140097</t>
        </is>
      </c>
      <c r="K259" t="inlineStr">
        <is>
          <t>Si</t>
        </is>
      </c>
      <c r="L259" t="inlineStr">
        <is>
          <t>Número</t>
        </is>
      </c>
      <c r="M259">
        <v>1</v>
      </c>
      <c r="N259">
        <v>0.25</v>
      </c>
      <c r="O259">
        <v>0.25</v>
      </c>
      <c r="P259">
        <v>0.25</v>
      </c>
      <c r="Q259">
        <v>0.25</v>
      </c>
      <c r="R259">
        <v>0</v>
      </c>
      <c r="S259" s="103">
        <v>0</v>
      </c>
      <c r="T259" t="inlineStr">
        <is>
          <t>No se ejecutó en la vigencia</t>
        </is>
      </c>
      <c r="U259">
        <v>0</v>
      </c>
      <c r="V259" s="104">
        <v>0</v>
      </c>
      <c r="W259" t="inlineStr">
        <is>
          <t>No se ejecutó en la vigencia</t>
        </is>
      </c>
    </row>
    <row r="260">
      <c r="A260" t="inlineStr">
        <is>
          <t>IP-604, IP-608</t>
        </is>
      </c>
      <c r="B260" t="inlineStr">
        <is>
          <t>24</t>
        </is>
      </c>
      <c r="C260" t="inlineStr">
        <is>
          <t>Transporte</t>
        </is>
      </c>
      <c r="D260" t="inlineStr">
        <is>
          <t>2409</t>
        </is>
      </c>
      <c r="E260" t="inlineStr">
        <is>
          <t>Seguridad de transporte</t>
        </is>
      </c>
      <c r="F260" t="inlineStr">
        <is>
          <t>2409063</t>
        </is>
      </c>
      <c r="G260" t="inlineStr">
        <is>
          <t>Servicio de educación informal</t>
        </is>
      </c>
      <c r="H260" t="inlineStr">
        <is>
          <t>240906301</t>
        </is>
      </c>
      <c r="I260" t="inlineStr">
        <is>
          <t>Estrategias pedagógicas implementadas</t>
        </is>
      </c>
      <c r="J260" t="inlineStr">
        <is>
          <t>2024252140097</t>
        </is>
      </c>
      <c r="K260" t="inlineStr">
        <is>
          <t>Si</t>
        </is>
      </c>
      <c r="L260" t="inlineStr">
        <is>
          <t>Número</t>
        </is>
      </c>
      <c r="M260">
        <v>20</v>
      </c>
      <c r="N260">
        <v>5</v>
      </c>
      <c r="O260">
        <v>5</v>
      </c>
      <c r="P260">
        <v>5</v>
      </c>
      <c r="Q260">
        <v>5</v>
      </c>
      <c r="R260" t="inlineStr">
        <is>
          <t xml:space="preserve"> </t>
        </is>
      </c>
      <c r="S260" s="103" t="inlineStr">
        <is>
          <t xml:space="preserve"> </t>
        </is>
      </c>
      <c r="T260" t="inlineStr">
        <is>
          <t>No se encontró ejecución en PIIP</t>
        </is>
      </c>
      <c r="U260" t="inlineStr">
        <is>
          <t xml:space="preserve"> </t>
        </is>
      </c>
      <c r="V260" s="104" t="inlineStr">
        <is>
          <t xml:space="preserve"> </t>
        </is>
      </c>
      <c r="W260" t="inlineStr">
        <is>
          <t>No se encontró ejecución en PIIP</t>
        </is>
      </c>
    </row>
    <row r="261">
      <c r="A261" t="inlineStr">
        <is>
          <t>IP-609</t>
        </is>
      </c>
      <c r="B261" t="inlineStr">
        <is>
          <t>21</t>
        </is>
      </c>
      <c r="C261" t="inlineStr">
        <is>
          <t>Minas y Energía</t>
        </is>
      </c>
      <c r="D261" t="inlineStr">
        <is>
          <t>2102</t>
        </is>
      </c>
      <c r="E261" t="inlineStr">
        <is>
          <t>Consolidación productiva del sector de energía eléctrica</t>
        </is>
      </c>
      <c r="F261" t="inlineStr">
        <is>
          <t>2102024</t>
        </is>
      </c>
      <c r="G261" t="inlineStr">
        <is>
          <t>Servicio de apoyo financiero al consumo del servicio de energía eléctrica del sistema interconectado nacional</t>
        </is>
      </c>
      <c r="H261" t="inlineStr">
        <is>
          <t>210202401</t>
        </is>
      </c>
      <c r="I261" t="inlineStr">
        <is>
          <t>Recursos otorgados mediante subsidios</t>
        </is>
      </c>
      <c r="J261" t="inlineStr">
        <is>
          <t>2024252140109</t>
        </is>
      </c>
      <c r="K261" t="inlineStr">
        <is>
          <t>No</t>
        </is>
      </c>
      <c r="L261" t="inlineStr">
        <is>
          <t>Pesos</t>
        </is>
      </c>
      <c r="M261">
        <v>12</v>
      </c>
      <c r="N261">
        <v>12</v>
      </c>
      <c r="O261">
        <v>12</v>
      </c>
      <c r="P261">
        <v>12</v>
      </c>
      <c r="Q261">
        <v>12</v>
      </c>
      <c r="R261" t="inlineStr">
        <is>
          <t xml:space="preserve"> </t>
        </is>
      </c>
      <c r="S261" s="103" t="inlineStr">
        <is>
          <t xml:space="preserve"> </t>
        </is>
      </c>
      <c r="T261" t="inlineStr">
        <is>
          <t>No se encontró ejecución en PIIP</t>
        </is>
      </c>
      <c r="U261" t="inlineStr">
        <is>
          <t xml:space="preserve"> </t>
        </is>
      </c>
      <c r="V261" s="104" t="inlineStr">
        <is>
          <t xml:space="preserve"> </t>
        </is>
      </c>
      <c r="W261" t="inlineStr">
        <is>
          <t>No se encontró ejecución en PIIP</t>
        </is>
      </c>
    </row>
    <row r="262">
      <c r="S262" s="103"/>
      <c r="V262"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