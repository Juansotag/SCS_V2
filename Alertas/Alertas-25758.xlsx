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harts/chart2.xml" ContentType="application/vnd.openxmlformats-officedocument.drawingml.chart+xml"/>
  <Override PartName="/xl/charts/colors2.xml" ContentType="application/vnd.ms-office.chartcolorstyle+xml"/>
  <Override PartName="/xl/charts/style2.xml" ContentType="application/vnd.ms-office.chartstyle+xml"/>
  <Override PartName="/xl/charts/chart3.xml" ContentType="application/vnd.openxmlformats-officedocument.drawingml.chart+xml"/>
  <Override PartName="/xl/charts/colors3.xml" ContentType="application/vnd.ms-office.chartcolorstyle+xml"/>
  <Override PartName="/xl/charts/style3.xml" ContentType="application/vnd.ms-office.chartstyle+xml"/>
  <Override PartName="/xl/charts/chart4.xml" ContentType="application/vnd.openxmlformats-officedocument.drawingml.chart+xml"/>
  <Override PartName="/xl/charts/colors4.xml" ContentType="application/vnd.ms-office.chartcolorstyle+xml"/>
  <Override PartName="/xl/charts/style4.xml" ContentType="application/vnd.ms-office.chartstyle+xml"/>
  <Override PartName="/xl/charts/chart5.xml" ContentType="application/vnd.openxmlformats-officedocument.drawingml.chart+xml"/>
  <Override PartName="/xl/charts/colors5.xml" ContentType="application/vnd.ms-office.chartcolorstyle+xml"/>
  <Override PartName="/xl/charts/style5.xml" ContentType="application/vnd.ms-office.chartstyle+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laneacionnacional-my.sharepoint.com/personal/gegallegos_dnp_gov_co/Documents/"/>
    </mc:Choice>
  </mc:AlternateContent>
  <xr:revisionPtr revIDLastSave="2545" documentId="8_{3E500AA4-C9A2-4767-9875-2B272A2641EF}" xr6:coauthVersionLast="47" xr6:coauthVersionMax="47" xr10:uidLastSave="{A7CE8F52-050E-4401-930F-797FAE297FD3}"/>
  <bookViews>
    <workbookView xWindow="-120" yWindow="-120" windowWidth="20730" windowHeight="11040" tabRatio="761" xr2:uid="{1F7B78CE-1503-42E0-8A42-FC800A1FFC3D}"/>
  </bookViews>
  <sheets>
    <sheet name="Resumen" sheetId="1" state="visible" r:id="rId1"/>
    <sheet name="Detalle seguimiento financiero" sheetId="11" state="visible" r:id="rId2"/>
    <sheet name="Detalle seguimiento físico" sheetId="3" state="visible" r:id="rId3"/>
  </sheets>
  <definedNames>
    <definedName name="nombreslineasest">Resumen!$P$7:INDEX(Resumen!$P$7:$P$75,COUNT(Resumen!$P$7:$P$75))</definedName>
    <definedName name="valoreslineasest">Resumen!$V$7:INDEX(Resumen!$V$7:$V$75,COUNT(Resumen!$V$7:$V$75))</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<sst xmlns="http://schemas.openxmlformats.org/spreadsheetml/2006/main" count="135" uniqueCount="135">
  <si>
    <t>Recursos propios</t>
  </si>
  <si>
    <t>Otros</t>
  </si>
  <si>
    <t>SGP APSB</t>
  </si>
  <si>
    <t>Crédito</t>
  </si>
  <si>
    <t>En el módulo de Presupuesto Ordinario del SisPT, la entidad territorial presenta la siguiente programación financiera de su Plan Indicativo:</t>
  </si>
  <si>
    <t xml:space="preserve">Seleccione una vigencia: </t>
  </si>
  <si>
    <t>Total Cuatrienio</t>
  </si>
  <si>
    <t>Ambiente y desarrollo sostenible</t>
  </si>
  <si>
    <t>Comercio, industria y turismo</t>
  </si>
  <si>
    <t>Cultura</t>
  </si>
  <si>
    <t>Educación</t>
  </si>
  <si>
    <t xml:space="preserve">Inclusión social y reconciliación </t>
  </si>
  <si>
    <t>Justicia y del derecho</t>
  </si>
  <si>
    <t>Salud y protección social</t>
  </si>
  <si>
    <t>Tecnologías de la información y las comunicaciones</t>
  </si>
  <si>
    <t>Trabajo</t>
  </si>
  <si>
    <t>Transporte</t>
  </si>
  <si>
    <t>Vivienda, ciudad y territorio</t>
  </si>
  <si>
    <t>SGP educación</t>
  </si>
  <si>
    <t>SGP salud</t>
  </si>
  <si>
    <t>SGP deporte</t>
  </si>
  <si>
    <t>SGP cultura</t>
  </si>
  <si>
    <t>SGP libre inversión</t>
  </si>
  <si>
    <t>SGP libre destinación</t>
  </si>
  <si>
    <t>SGP alimentación escolar</t>
  </si>
  <si>
    <t>SGP municipios Rio Magdalena</t>
  </si>
  <si>
    <t>Transf. capital - Cof. departamento</t>
  </si>
  <si>
    <t>Transf. capital - Cof. Nación</t>
  </si>
  <si>
    <t>1. Fin de la pobreza</t>
  </si>
  <si>
    <t>2. Hambre cero</t>
  </si>
  <si>
    <t>3. Salud y bienestar</t>
  </si>
  <si>
    <t>4. Educación de calidad</t>
  </si>
  <si>
    <t>5. Igualdad de género</t>
  </si>
  <si>
    <t>6. Agua limpia y saneamiento</t>
  </si>
  <si>
    <t>7. Energía asequible y no contaminante</t>
  </si>
  <si>
    <t>8. Trabajo decente y crecimiento económico</t>
  </si>
  <si>
    <t>9. Industria, innovación e infraestructura</t>
  </si>
  <si>
    <t>10. Reducción de las desigualdades</t>
  </si>
  <si>
    <t>11. Ciudades y comunidades sostenibles</t>
  </si>
  <si>
    <t>12. Producción y consumo responsables</t>
  </si>
  <si>
    <t>13. Acción por el clima</t>
  </si>
  <si>
    <t>14. Vida submarina</t>
  </si>
  <si>
    <t>15. Vida de ecosistemas terrestres</t>
  </si>
  <si>
    <t>16. Paz, justicia e instituciones sólidas</t>
  </si>
  <si>
    <t>17. Alianzas para lograr los objetivos</t>
  </si>
  <si>
    <t>Sector (MGA)</t>
  </si>
  <si>
    <t>Programa (MGA)</t>
  </si>
  <si>
    <t>Producto (MGA)</t>
  </si>
  <si>
    <t>Acumulativo</t>
  </si>
  <si>
    <t>Informe generado con información de SisPT al:</t>
  </si>
  <si>
    <t>2024</t>
  </si>
  <si>
    <t>2025</t>
  </si>
  <si>
    <t>2026</t>
  </si>
  <si>
    <t>2027</t>
  </si>
  <si>
    <t>Nombre Plan de Desarrollo</t>
  </si>
  <si>
    <t>Consecutivos IP (SisPT)</t>
  </si>
  <si>
    <t>Código Sector (MGA)</t>
  </si>
  <si>
    <t>Código Programa (MGA)</t>
  </si>
  <si>
    <t>Código Producto (MGA)</t>
  </si>
  <si>
    <t>Descripción del Producto (MGA)</t>
  </si>
  <si>
    <t>Códigos BPIN Asociados</t>
  </si>
  <si>
    <t>Programado 2024 (SisPT)</t>
  </si>
  <si>
    <t>Programado 2025 (SisPT)</t>
  </si>
  <si>
    <t>Programado 2026 (SisPT)</t>
  </si>
  <si>
    <t>Programado 2027 (SisPT)</t>
  </si>
  <si>
    <t>Compromisos 2024 (CUIPO)</t>
  </si>
  <si>
    <t>Obligaciones 2024 (CUIPO)</t>
  </si>
  <si>
    <t>Pagos 2024 (CUIPO)</t>
  </si>
  <si>
    <t>Ejecución CUIPO 2024</t>
  </si>
  <si>
    <t>Obligaciones como % de lo programado (2024)</t>
  </si>
  <si>
    <t>Código Indicador Producto (MGA)</t>
  </si>
  <si>
    <t>Indicador Producto (MGA)</t>
  </si>
  <si>
    <t>Unidad de Medida</t>
  </si>
  <si>
    <t>Meta del Cuatrenio (SisPT)</t>
  </si>
  <si>
    <t>Avance físico 2024 (%)</t>
  </si>
  <si>
    <t>Ejecución PIIP 2024</t>
  </si>
  <si>
    <t>No tienen BPIN</t>
  </si>
  <si>
    <t>BPIN no encontrado en PIIP</t>
  </si>
  <si>
    <t>BPIN e IP hallados, pero modo de acumulación no fue encontrado en PIIP</t>
  </si>
  <si>
    <t>onlySisPT</t>
  </si>
  <si>
    <t>merged</t>
  </si>
  <si>
    <t>onlyCUIPO</t>
  </si>
  <si>
    <t>Universo SisPT:</t>
  </si>
  <si>
    <t>Universo CUIPO:</t>
  </si>
  <si>
    <t>NA</t>
  </si>
  <si>
    <t xml:space="preserve">Agricultura y desarrollo rural
</t>
  </si>
  <si>
    <t xml:space="preserve">Ciencia, tecnología e innovación
</t>
  </si>
  <si>
    <t>BPIN encontrado, pero no el indicador de producto (IP)</t>
  </si>
  <si>
    <t>Universo PIIP:</t>
  </si>
  <si>
    <t>onlyPIIP</t>
  </si>
  <si>
    <r>
      <rPr>
        <b/>
        <sz val="10"/>
        <color theme="1" tint="0.34998626667073579"/>
        <rFont val="Verdana Pro"/>
        <family val="2"/>
      </rPr>
      <t>Notas:</t>
    </r>
    <r>
      <rPr>
        <sz val="10"/>
        <color theme="1" tint="0.34998626667073579"/>
        <rFont val="Verdana Pro"/>
        <family val="2"/>
      </rPr>
      <t xml:space="preserve"> Si un rubro en SisPT o en CUIPO no tiene información en el campo de BPIN, </t>
    </r>
    <r>
      <rPr>
        <b/>
        <sz val="10"/>
        <color theme="1" tint="0.34998626667073579"/>
        <rFont val="Verdana Pro"/>
        <family val="2"/>
      </rPr>
      <t>no</t>
    </r>
    <r>
      <rPr>
        <sz val="10"/>
        <color theme="1" tint="0.34998626667073579"/>
        <rFont val="Verdana Pro"/>
        <family val="2"/>
      </rPr>
      <t xml:space="preserve"> se cruza la información entre plataformas. Información de CUIPO con códigos BPIN como "xxxx", "NO APLICA", "N/A" etc., se dejaron tal como aparecen en CUIPO.</t>
    </r>
  </si>
  <si>
    <t>BPIN e IP hallados, pero no tienen modo de acumulación</t>
  </si>
  <si>
    <t>BPIN, IP y modo de acumulación encontrados (hay seguimiento físico)</t>
  </si>
  <si>
    <t>Los anteriores diagramas de Venn pueden unificarse en uno solo si la información de PIIP también se agrega a nivel de producto y no de indicador de producto. Esto implica que los números del diagrama con PIIP cambian ligeramente, pero de todas maneras es útil acceder a esta vista integrada de los tres sistemas y su nivel agregado de coincidencias.</t>
  </si>
  <si>
    <t>Universo de combinaciones BPIN-Producto existentes entre las tres plataformas:</t>
  </si>
  <si>
    <t>Combinaciones BPIN-Producto halladas en la triple intersección:</t>
  </si>
  <si>
    <t>Porcentaje de coincidencia entre las tres plataformas:</t>
  </si>
  <si>
    <t>1iCUIPO</t>
  </si>
  <si>
    <t>2iPIIP</t>
  </si>
  <si>
    <t>3iSISPT</t>
  </si>
  <si>
    <t>4CUIPOPIIP</t>
  </si>
  <si>
    <t>5CUIPOSISPT</t>
  </si>
  <si>
    <t>6PIIPSISPT</t>
  </si>
  <si>
    <t>7TRIPLE</t>
  </si>
  <si>
    <t>.</t>
  </si>
  <si>
    <t>Resumen de la Programación Financiera (Presupuesto Ordinario) en SisPT</t>
  </si>
  <si>
    <t>Avance Físico Ejecutado Acumulado (PIIP)</t>
  </si>
  <si>
    <t>Detalle Seguimiento Financiero Preliminar</t>
  </si>
  <si>
    <r>
      <t xml:space="preserve">Por ejemplo, la columna "Obligaciones como % de lo programado (2024)" se calcula como la razón entre el monto total obligado en 2024 traído de CUIPO, y la programación financiera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</si>
  <si>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Programación Cuatrienio SisPT</t>
  </si>
  <si>
    <t>Defensa y policía</t>
  </si>
  <si>
    <t>Deporte y recreación</t>
  </si>
  <si>
    <t>Gobierno territorial</t>
  </si>
  <si>
    <t>Información estadística</t>
  </si>
  <si>
    <t>Minas y energía</t>
  </si>
  <si>
    <t>Organismos de control</t>
  </si>
  <si>
    <t>Detalle Seguimiento Físico Preliminar</t>
  </si>
  <si>
    <t>Esta tabla contrasta la información de Plan Indicativo - Presupuesto Ordinario de SisPT con la ejecución reportada en PIIP. El seguimiento físico es condicional a que el BPIN, el código de indicador de producto, y tipo de acumulación, correspondan en ambas plataformas. En caso de tener indicadores de producto y proyectos duplicados con nombre personalizado diferente en SisPT, este seguimiento agrega los montos ya que nos es imposible identificar cada rubro en PIIP. Utilice el consecutivo de SisPT para poder rastrear los rubros en el formato de Plan Indicativo.</t>
  </si>
  <si>
    <t>Esta tabla contrasta la información de Plan Indicativo - Presupuesto Ordinario de SisPT con la ejecución reportada en CUIPO. El seguimiento financiero es condicional a tener código BPIN y código de producto en ambas plataformas. En caso de tener productos y proyectos duplicados con nombre personalizado diferente en SisPT, este seguimiento agrega los montos ya que nos es imposible identificar cada rubro en CUIPO. Utilice el consecutivo de SisPT para poder rastrear los rubros en el formato de Plan Indicativo.</t>
  </si>
  <si>
    <r>
      <t xml:space="preserve">Por ejemplo, la columna "Avance físico 2024 (%)" se calcula como la razón entre la ejecución física acumulada de 2024 traída de PIIP, y la programación física de 2024 de SisPT. Los valores superiores al 100% se resaltan en </t>
    </r>
    <r>
      <rPr>
        <b/>
        <sz val="11"/>
        <color rgb="FFE399DC"/>
        <rFont val="Verdana"/>
        <family val="2"/>
      </rPr>
      <t>rosado</t>
    </r>
    <r>
      <rPr>
        <sz val="11"/>
        <color theme="1"/>
        <rFont val="Verdana"/>
        <family val="2"/>
      </rPr>
      <t xml:space="preserve"> para facilitar su revisión, validación, y eventual corrección.</t>
    </r>
  </si>
  <si>
    <t>Obligaciones como % de lo programado (2025)</t>
  </si>
  <si>
    <t>Compromisos 2025 (CUIPO)</t>
  </si>
  <si>
    <t>Obligaciones 2025 (CUIPO)</t>
  </si>
  <si>
    <t>Pagos 2025 (CUIPO)</t>
  </si>
  <si>
    <t>Programación financiera SisPT</t>
  </si>
  <si>
    <t>Explicación del valor 2024</t>
  </si>
  <si>
    <t>Explicación del valor 2025</t>
  </si>
  <si>
    <t>Nombre Entidad Territorial</t>
  </si>
  <si>
    <t>En esta hoja encontrará un resumen de la información de programación cargada en SisPT, y un resumen del cruce de información con las plataformas PIIP y CUIPO. En la hoja "Seguimiento al Plan" encontrará el cálculo de avance físico del Plan por vigencia. Finalmente, las hojas de Detalle seguimiento financiero y Detalle seguimiento físico contienen valores a nivel de indicador de producto, para poder entender de dónde proviene el total que calculamos cada vigencia.</t>
  </si>
  <si>
    <t>En la hoja "Detalle seguimiento financiero" encontrará la información detallada de las combinaciones que cruzaron con CUIPO, y las combinaciones que no cruzaron aparecerán sin datos de compromisos, obligaciones ni pagos.</t>
  </si>
  <si>
    <t>En la hoja "Detalle seguimiento físico" encontrará la información detallada de las combinaciones que cruzaron con PIIP, y las combinaciones que no cruzaron aparecerán sin datos de ejecución física en la vigencia respectiva.</t>
  </si>
  <si>
    <t>Las columnas "Explicación" buscan dar contexto al cálculo de obligaciones como % de lo programado, para cada vigencia.</t>
  </si>
  <si>
    <t>Las columnas "Explicación" buscan dar contexto al cálculo de avance físico (%) para cada vigencia.</t>
  </si>
  <si>
    <t>Programación física SisPT</t>
  </si>
  <si>
    <t>(Dar clic en Habilitar Edición)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</si>
</sst>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00000"/>
    <numFmt numFmtId="165" formatCode="0.0%"/>
    <numFmt numFmtId="166" formatCode="#,##0"/>
    <numFmt numFmtId="167" formatCode="0%"/>
    <numFmt numFmtId="168" formatCode="#,##0"/>
    <numFmt numFmtId="169" formatCode="0%"/>
    <numFmt numFmtId="170" formatCode="0%"/>
    <numFmt numFmtId="171" formatCode="0%"/>
  </numFmts>
  <fonts count="27">
    <font>
      <sz val="11"/>
      <color theme="1"/>
      <name val="Calibri"/>
      <family val="2"/>
      <scheme val="minor"/>
    </font>
    <font>
      <sz val="11"/>
      <color theme="1"/>
      <name val="Calibri"/>
      <family val="2"/>
      <scheme val="minor"/>
    </font>
    <font>
      <sz val="11"/>
      <name val="Calibri"/>
      <family val="2"/>
      <scheme val="minor"/>
    </font>
    <font>
      <b/>
      <sz val="18"/>
      <color rgb="FF3C8C7B"/>
      <name val="Segoe UI"/>
      <family val="2"/>
      <scheme val="major"/>
    </font>
    <font>
      <sz val="11"/>
      <color theme="1"/>
      <name val="Segoe UI"/>
      <family val="2"/>
      <scheme val="major"/>
    </font>
    <font>
      <b/>
      <sz val="16"/>
      <name val="Segoe UI"/>
      <family val="2"/>
      <scheme val="major"/>
    </font>
    <font>
      <sz val="11"/>
      <color theme="8" tint="0.39997558519241921"/>
      <name val="Calibri"/>
      <family val="2"/>
      <scheme val="minor"/>
    </font>
    <font>
      <b/>
      <sz val="11"/>
      <color theme="1"/>
      <name val="Segoe UI"/>
      <family val="2"/>
      <scheme val="major"/>
    </font>
    <font>
      <b/>
      <sz val="11"/>
      <color theme="0"/>
      <name val="Segoe UI"/>
      <family val="2"/>
      <scheme val="major"/>
    </font>
    <font>
      <sz val="11"/>
      <color theme="0"/>
      <name val="Calibri"/>
      <family val="2"/>
      <scheme val="minor"/>
    </font>
    <font>
      <b/>
      <i/>
      <sz val="16"/>
      <color rgb="FF295D52"/>
      <name val="Segoe UI"/>
      <family val="2"/>
      <scheme val="major"/>
    </font>
    <font>
      <b/>
      <sz val="12"/>
      <color rgb="FF3C8C7B"/>
      <name val="Segoe UI"/>
      <family val="2"/>
      <scheme val="major"/>
    </font>
    <font>
      <sz val="11"/>
      <color theme="1"/>
      <name val="Verdana"/>
      <family val="2"/>
    </font>
    <font>
      <sz val="11"/>
      <color theme="1"/>
      <name val="Verdana Pro"/>
      <family val="2"/>
    </font>
    <font>
      <sz val="10"/>
      <color theme="1" tint="0.34998626667073579"/>
      <name val="Verdana Pro"/>
      <family val="2"/>
    </font>
    <font>
      <b/>
      <sz val="11"/>
      <color theme="1"/>
      <name val="Verdana Pro"/>
      <family val="2"/>
    </font>
    <font>
      <b/>
      <sz val="11"/>
      <name val="Verdana Pro"/>
      <family val="2"/>
    </font>
    <font>
      <sz val="10"/>
      <color theme="1"/>
      <name val="Verdana Pro"/>
      <family val="2"/>
    </font>
    <font>
      <b/>
      <sz val="11"/>
      <color rgb="FF3C8C7B"/>
      <name val="Verdana"/>
      <family val="2"/>
    </font>
    <font>
      <b/>
      <sz val="11"/>
      <color rgb="FFAFA927"/>
      <name val="Verdana"/>
      <family val="2"/>
    </font>
    <font>
      <b/>
      <sz val="11"/>
      <color rgb="FF786256"/>
      <name val="Verdana"/>
      <family val="2"/>
    </font>
    <font>
      <b/>
      <sz val="10"/>
      <color theme="1" tint="0.34998626667073579"/>
      <name val="Verdana Pro"/>
      <family val="2"/>
    </font>
    <font>
      <sz val="11"/>
      <name val="Verdana Pro"/>
      <family val="2"/>
    </font>
    <font>
      <sz val="11"/>
      <color rgb="FFFF0000"/>
      <name val="Calibri"/>
      <family val="2"/>
      <scheme val="minor"/>
    </font>
    <font>
      <b/>
      <sz val="11"/>
      <color rgb="FFE399DC"/>
      <name val="Verdana"/>
      <family val="2"/>
    </font>
    <font>
      <sz val="11"/>
      <color rgb="FFE399DC"/>
      <name val="Segoe UI"/>
      <family val="2"/>
      <scheme val="major"/>
    </font>
    <font>
      <sz val="11"/>
      <color rgb="FFFF0000"/>
      <name val="Verdana Pro"/>
      <family val="2"/>
    </font>
  </fonts>
  <fills count="21">
    <fill>
      <patternFill patternType="none"/>
    </fill>
    <fill>
      <patternFill patternType="gray125"/>
    </fill>
    <fill>
      <patternFill patternType="solid">
        <fgColor theme="0"/>
        <bgColor indexed="64"/>
      </patternFill>
    </fill>
    <fill>
      <patternFill patternType="solid">
        <fgColor rgb="FFEBFBF6"/>
        <bgColor indexed="64"/>
      </patternFill>
    </fill>
    <fill>
      <patternFill patternType="solid">
        <fgColor rgb="FFFDF7D7"/>
        <bgColor indexed="64"/>
      </patternFill>
    </fill>
    <fill>
      <patternFill patternType="solid">
        <fgColor rgb="FFE2F2EF"/>
        <bgColor indexed="64"/>
      </patternFill>
    </fill>
    <fill>
      <patternFill patternType="solid">
        <fgColor rgb="FFF2FADA"/>
        <bgColor indexed="64"/>
      </patternFill>
    </fill>
    <fill>
      <patternFill patternType="solid">
        <fgColor theme="3" tint="0.249977111117893"/>
        <bgColor indexed="64"/>
      </patternFill>
    </fill>
    <fill>
      <patternFill patternType="solid">
        <fgColor rgb="FFE68297"/>
        <bgColor indexed="64"/>
      </patternFill>
    </fill>
    <fill>
      <patternFill patternType="solid">
        <fgColor rgb="FFF8A39A"/>
        <bgColor indexed="64"/>
      </patternFill>
    </fill>
    <fill>
      <patternFill patternType="solid">
        <fgColor rgb="FFADEC9E"/>
        <bgColor indexed="64"/>
      </patternFill>
    </fill>
    <fill>
      <patternFill patternType="solid">
        <fgColor rgb="FFA8A831"/>
        <bgColor indexed="64"/>
      </patternFill>
    </fill>
    <fill>
      <patternFill patternType="solid">
        <fgColor rgb="FFA65CC4"/>
        <bgColor indexed="64"/>
      </patternFill>
    </fill>
    <fill>
      <patternFill patternType="solid">
        <fgColor rgb="FFD165AA"/>
        <bgColor indexed="64"/>
      </patternFill>
    </fill>
    <fill>
      <patternFill patternType="solid">
        <fgColor rgb="FFFFBD97"/>
        <bgColor indexed="64"/>
      </patternFill>
    </fill>
    <fill>
      <patternFill patternType="solid">
        <fgColor rgb="FF215C98"/>
        <bgColor indexed="64"/>
      </patternFill>
    </fill>
    <fill>
      <patternFill patternType="solid">
        <fgColor theme="5" tint="0.59999389629810485"/>
        <bgColor indexed="64"/>
      </patternFill>
    </fill>
    <fill>
      <patternFill patternType="solid">
        <fgColor rgb="FFF7F7AF"/>
        <bgColor indexed="64"/>
      </patternFill>
    </fill>
    <fill>
      <patternFill patternType="solid">
        <fgColor rgb="FFDAE9F9"/>
        <bgColor indexed="64"/>
      </patternFill>
    </fill>
    <fill>
      <patternFill patternType="solid">
        <fgColor rgb="FFBAD7F4"/>
        <bgColor indexed="64"/>
      </patternFill>
    </fill>
    <fill>
      <patternFill patternType="solid">
        <fgColor rgb="FF9FC5EB"/>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3C8C7B"/>
      </left>
      <right style="thin">
        <color rgb="FF3C8C7B"/>
      </right>
      <top style="thin">
        <color rgb="FF3C8C7B"/>
      </top>
      <bottom style="thin">
        <color rgb="FF3C8C7B"/>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105">
    <xf numFmtId="0" fontId="0" fillId="0" borderId="0" xfId="0"/>
    <xf numFmtId="0" fontId="0" fillId="2" borderId="0" xfId="0" applyFill="1"/>
    <xf numFmtId="0" fontId="0" fillId="2" borderId="0" xfId="0" applyFill="1" applyAlignment="1">
      <alignment horizontal="left"/>
    </xf>
    <xf numFmtId="0" fontId="2" fillId="2" borderId="0" xfId="0" applyFont="1" applyFill="1"/>
    <xf numFmtId="0" fontId="4" fillId="2" borderId="0" xfId="0" applyFont="1" applyFill="1"/>
    <xf numFmtId="164" fontId="0" fillId="2" borderId="0" xfId="0" applyNumberFormat="1" applyFill="1"/>
    <xf numFmtId="0" fontId="6" fillId="2" borderId="0" xfId="0" applyFont="1" applyFill="1"/>
    <xf numFmtId="1" fontId="0" fillId="3" borderId="0" xfId="0" applyNumberFormat="1" applyFill="1"/>
    <xf numFmtId="3" fontId="0" fillId="3" borderId="0" xfId="0" applyNumberFormat="1" applyFill="1"/>
    <xf numFmtId="0" fontId="9" fillId="2" borderId="0" xfId="0" applyFont="1" applyFill="1"/>
    <xf numFmtId="0" fontId="0" fillId="2" borderId="0" xfId="0" applyFill="1" applyAlignment="1">
      <alignment horizontal="left" wrapText="1"/>
    </xf>
    <xf numFmtId="0" fontId="11" fillId="5" borderId="0" xfId="0" applyFont="1" applyFill="1"/>
    <xf numFmtId="0" fontId="0" fillId="5" borderId="0" xfId="0" applyFill="1"/>
    <xf numFmtId="3" fontId="9" fillId="2" borderId="0" xfId="0" applyNumberFormat="1" applyFont="1" applyFill="1"/>
    <xf numFmtId="1" fontId="9" fillId="2" borderId="0" xfId="0" applyNumberFormat="1" applyFont="1" applyFill="1"/>
    <xf numFmtId="0" fontId="0" fillId="2" borderId="0" xfId="0" applyFill="1" applyAlignment="1">
      <alignment horizontal="left" vertical="center" wrapText="1"/>
    </xf>
    <xf numFmtId="0" fontId="7" fillId="6" borderId="0" xfId="0" applyFont="1" applyFill="1" applyAlignment="1">
      <alignment horizontal="center" vertical="center" wrapText="1"/>
    </xf>
    <xf numFmtId="0" fontId="9" fillId="2" borderId="0" xfId="0" applyFont="1" applyFill="1" applyAlignment="1">
      <alignment horizontal="left" vertical="center"/>
    </xf>
    <xf numFmtId="3" fontId="4" fillId="2" borderId="0" xfId="0" applyNumberFormat="1" applyFont="1" applyFill="1"/>
    <xf numFmtId="9" fontId="4" fillId="2" borderId="0" xfId="1" applyFont="1" applyFill="1" applyAlignment="1">
      <alignment horizontal="center" vertical="center"/>
    </xf>
    <xf numFmtId="0" fontId="4" fillId="0" borderId="0" xfId="0" applyFont="1"/>
    <xf numFmtId="0" fontId="13" fillId="12" borderId="0" xfId="0" applyFont="1" applyFill="1" applyAlignment="1">
      <alignment vertical="center"/>
    </xf>
    <xf numFmtId="0" fontId="13" fillId="2" borderId="0" xfId="0" applyFont="1" applyFill="1" applyAlignment="1">
      <alignment horizontal="left" vertical="center"/>
    </xf>
    <xf numFmtId="0" fontId="13" fillId="13" borderId="0" xfId="0" applyFont="1" applyFill="1" applyAlignment="1">
      <alignment vertical="center"/>
    </xf>
    <xf numFmtId="0" fontId="13" fillId="8" borderId="0" xfId="0" applyFont="1" applyFill="1" applyAlignment="1">
      <alignment vertical="center"/>
    </xf>
    <xf numFmtId="0" fontId="13" fillId="9" borderId="0" xfId="0" applyFont="1" applyFill="1" applyAlignment="1">
      <alignment vertical="center"/>
    </xf>
    <xf numFmtId="0" fontId="13" fillId="14" borderId="0" xfId="0" applyFont="1" applyFill="1" applyAlignment="1">
      <alignment vertical="center"/>
    </xf>
    <xf numFmtId="0" fontId="13" fillId="10" borderId="0" xfId="0" applyFont="1" applyFill="1" applyAlignment="1">
      <alignment vertical="center"/>
    </xf>
    <xf numFmtId="0" fontId="13" fillId="2" borderId="0" xfId="0" applyFont="1" applyFill="1"/>
    <xf numFmtId="0" fontId="15" fillId="2" borderId="0" xfId="0" applyFont="1" applyFill="1"/>
    <xf numFmtId="0" fontId="13" fillId="2" borderId="0" xfId="0" applyFont="1" applyFill="1" applyAlignment="1">
      <alignment horizontal="right"/>
    </xf>
    <xf numFmtId="0" fontId="3" fillId="2" borderId="0" xfId="0" applyFont="1" applyFill="1" applyAlignment="1">
      <alignment horizontal="left" vertical="center" indent="2"/>
    </xf>
    <xf numFmtId="0" fontId="12" fillId="2" borderId="0" xfId="0" applyFont="1" applyFill="1"/>
    <xf numFmtId="0" fontId="12" fillId="2" borderId="0" xfId="0" applyFont="1" applyFill="1" applyAlignment="1">
      <alignment horizontal="left" wrapText="1"/>
    </xf>
    <xf numFmtId="0" fontId="12" fillId="2" borderId="0" xfId="0" applyFont="1" applyFill="1" applyAlignment="1">
      <alignment horizontal="left"/>
    </xf>
    <xf numFmtId="0" fontId="22" fillId="2" borderId="0" xfId="0" applyFont="1" applyFill="1"/>
    <xf numFmtId="0" fontId="2" fillId="2" borderId="0" xfId="0" applyFont="1" applyFill="1" applyAlignment="1">
      <alignment vertical="center" wrapText="1"/>
    </xf>
    <xf numFmtId="3" fontId="0" fillId="0" borderId="0" xfId="0" applyNumberFormat="1"/>
    <xf numFmtId="9" fontId="0" fillId="0" borderId="0" xfId="1" applyFont="1" applyAlignment="1">
      <alignment horizontal="center" vertical="center"/>
    </xf>
    <xf numFmtId="0" fontId="18" fillId="2" borderId="0" xfId="0" applyFont="1" applyFill="1" applyAlignment="1">
      <alignment horizontal="center" vertical="center"/>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0" fillId="4" borderId="0" xfId="0" applyFill="1"/>
    <xf numFmtId="0" fontId="23" fillId="2" borderId="0" xfId="0" applyFont="1" applyFill="1"/>
    <xf numFmtId="0" fontId="18" fillId="2" borderId="0" xfId="0" applyFont="1" applyFill="1" applyAlignment="1">
      <alignment vertical="center"/>
    </xf>
    <xf numFmtId="0" fontId="13" fillId="2" borderId="0" xfId="0" applyFont="1" applyFill="1" applyAlignment="1">
      <alignment horizontal="center"/>
    </xf>
    <xf numFmtId="0" fontId="12" fillId="2" borderId="0" xfId="0" applyFont="1" applyFill="1" applyAlignment="1">
      <alignment vertical="center" wrapText="1"/>
    </xf>
    <xf numFmtId="0" fontId="4" fillId="2" borderId="0" xfId="0" applyFont="1" applyFill="1" applyAlignment="1">
      <alignment horizontal="center" vertical="center"/>
    </xf>
    <xf numFmtId="0" fontId="0" fillId="0" borderId="0" xfId="0" applyAlignment="1">
      <alignment horizontal="center" vertical="center"/>
    </xf>
    <xf numFmtId="0" fontId="7" fillId="2" borderId="0" xfId="0" applyFont="1" applyFill="1"/>
    <xf numFmtId="0" fontId="0" fillId="16" borderId="4" xfId="0" applyFill="1" applyBorder="1"/>
    <xf numFmtId="3" fontId="7" fillId="6" borderId="0" xfId="0" applyNumberFormat="1" applyFont="1" applyFill="1" applyAlignment="1">
      <alignment horizontal="center" vertical="center" wrapText="1"/>
    </xf>
    <xf numFmtId="3" fontId="7" fillId="6" borderId="7" xfId="0" applyNumberFormat="1" applyFont="1" applyFill="1" applyBorder="1" applyAlignment="1">
      <alignment horizontal="center" vertical="center" wrapText="1"/>
    </xf>
    <xf numFmtId="0" fontId="25" fillId="2" borderId="0" xfId="0" applyFont="1" applyFill="1"/>
    <xf numFmtId="0" fontId="7" fillId="6" borderId="7" xfId="0" applyFont="1" applyFill="1" applyBorder="1" applyAlignment="1">
      <alignment horizontal="center" vertical="center" wrapText="1"/>
    </xf>
    <xf numFmtId="0" fontId="0" fillId="17" borderId="0" xfId="0" applyFill="1"/>
    <xf numFmtId="0" fontId="26" fillId="2" borderId="0" xfId="0" applyFont="1" applyFill="1" applyAlignment="1">
      <alignment vertical="center" wrapText="1"/>
    </xf>
    <xf numFmtId="0" fontId="7" fillId="18" borderId="8" xfId="0" applyFont="1" applyFill="1" applyBorder="1" applyAlignment="1">
      <alignment horizontal="center" vertical="center" wrapText="1"/>
    </xf>
    <xf numFmtId="3" fontId="7" fillId="18" borderId="0" xfId="0" applyNumberFormat="1" applyFont="1" applyFill="1" applyAlignment="1">
      <alignment horizontal="center" vertical="center" wrapText="1"/>
    </xf>
    <xf numFmtId="3" fontId="7" fillId="18" borderId="8" xfId="0" applyNumberFormat="1" applyFont="1" applyFill="1" applyBorder="1" applyAlignment="1">
      <alignment horizontal="center" vertical="center" wrapText="1"/>
    </xf>
    <xf numFmtId="3" fontId="7" fillId="6" borderId="9" xfId="0" applyNumberFormat="1" applyFont="1" applyFill="1" applyBorder="1" applyAlignment="1">
      <alignment horizontal="center" vertical="center" wrapText="1"/>
    </xf>
    <xf numFmtId="0" fontId="7" fillId="6" borderId="8" xfId="0" applyFont="1" applyFill="1" applyBorder="1" applyAlignment="1">
      <alignment horizontal="center" vertical="center" wrapText="1"/>
    </xf>
    <xf numFmtId="0" fontId="23" fillId="2" borderId="0" xfId="0" applyFont="1" applyFill="1" applyAlignment="1">
      <alignment horizontal="left" vertical="center"/>
    </xf>
    <xf numFmtId="0" fontId="23" fillId="2" borderId="0" xfId="0" applyFont="1" applyFill="1" applyAlignment="1">
      <alignment horizontal="left" wrapText="1"/>
    </xf>
    <xf numFmtId="9" fontId="7" fillId="19" borderId="0" xfId="1" applyFont="1" applyFill="1" applyBorder="1" applyAlignment="1">
      <alignment horizontal="center" vertical="center" wrapText="1"/>
    </xf>
    <xf numFmtId="0" fontId="7" fillId="19" borderId="0" xfId="0" applyFont="1" applyFill="1" applyAlignment="1">
      <alignment horizontal="center" vertical="center" wrapText="1"/>
    </xf>
    <xf numFmtId="0" fontId="7" fillId="20" borderId="7" xfId="0" applyFont="1" applyFill="1" applyBorder="1" applyAlignment="1">
      <alignment horizontal="center" vertical="center" wrapText="1"/>
    </xf>
    <xf numFmtId="9" fontId="7" fillId="20" borderId="7" xfId="1" applyFont="1" applyFill="1" applyBorder="1" applyAlignment="1">
      <alignment horizontal="center" vertical="center" wrapText="1"/>
    </xf>
    <xf numFmtId="0" fontId="12" fillId="2" borderId="0" xfId="0" applyFont="1" applyFill="1" applyAlignment="1">
      <alignment horizontal="center" vertical="top" wrapText="1"/>
    </xf>
    <xf numFmtId="0" fontId="14" fillId="2" borderId="0" xfId="0" applyFont="1" applyFill="1" applyAlignment="1">
      <alignment horizontal="left" vertical="center" wrapText="1"/>
    </xf>
    <xf numFmtId="0" fontId="13" fillId="2" borderId="0" xfId="0" applyFont="1" applyFill="1" applyAlignment="1">
      <alignment horizontal="left" vertical="center" wrapText="1"/>
    </xf>
    <xf numFmtId="0" fontId="18" fillId="2" borderId="0" xfId="0" applyFont="1" applyFill="1" applyAlignment="1">
      <alignment horizontal="center" vertical="center"/>
    </xf>
    <xf numFmtId="0" fontId="12" fillId="2" borderId="0" xfId="0" applyFont="1" applyFill="1" applyAlignment="1">
      <alignment horizontal="center" vertical="center" wrapText="1"/>
    </xf>
    <xf numFmtId="0" fontId="19" fillId="2" borderId="0" xfId="0" applyFont="1" applyFill="1" applyAlignment="1">
      <alignment horizontal="center" vertical="center"/>
    </xf>
    <xf numFmtId="0" fontId="20" fillId="2" borderId="0" xfId="0" applyFont="1" applyFill="1" applyAlignment="1">
      <alignment horizontal="center" vertical="center"/>
    </xf>
    <xf numFmtId="0" fontId="22" fillId="2" borderId="0" xfId="0" applyFont="1" applyFill="1" applyAlignment="1">
      <alignment horizontal="left" vertical="center" wrapText="1"/>
    </xf>
    <xf numFmtId="0" fontId="16" fillId="2" borderId="0" xfId="0" applyFont="1" applyFill="1" applyAlignment="1">
      <alignment horizontal="left" vertical="center"/>
    </xf>
    <xf numFmtId="0" fontId="17" fillId="2" borderId="0" xfId="0" applyFont="1" applyFill="1" applyAlignment="1">
      <alignment horizontal="left" vertical="center" wrapText="1" indent="1"/>
    </xf>
    <xf numFmtId="0" fontId="10" fillId="2" borderId="0" xfId="0" applyFont="1" applyFill="1" applyAlignment="1">
      <alignment horizontal="center" vertical="center" wrapText="1"/>
    </xf>
    <xf numFmtId="0" fontId="5" fillId="2" borderId="0" xfId="0" applyFont="1" applyFill="1" applyAlignment="1">
      <alignment horizontal="center"/>
    </xf>
    <xf numFmtId="0" fontId="3" fillId="2" borderId="0" xfId="0" applyFont="1" applyFill="1" applyAlignment="1">
      <alignment horizontal="center" vertical="center" wrapText="1"/>
    </xf>
    <xf numFmtId="0" fontId="13" fillId="2" borderId="0" xfId="0" applyFont="1" applyFill="1" applyAlignment="1">
      <alignment horizontal="right"/>
    </xf>
    <xf numFmtId="0" fontId="13" fillId="3" borderId="1" xfId="0" applyFont="1" applyFill="1" applyBorder="1" applyAlignment="1" applyProtection="1">
      <alignment horizontal="left"/>
      <protection locked="0"/>
    </xf>
    <xf numFmtId="0" fontId="13" fillId="3" borderId="2" xfId="0" applyFont="1" applyFill="1" applyBorder="1" applyAlignment="1" applyProtection="1">
      <alignment horizontal="left"/>
      <protection locked="0"/>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165" fontId="13" fillId="2" borderId="5" xfId="1" applyNumberFormat="1" applyFont="1" applyFill="1" applyBorder="1" applyAlignment="1">
      <alignment horizontal="center" vertical="center"/>
    </xf>
    <xf numFmtId="165" fontId="13" fillId="2" borderId="6" xfId="1" applyNumberFormat="1" applyFont="1" applyFill="1" applyBorder="1" applyAlignment="1">
      <alignment horizontal="center" vertical="center"/>
    </xf>
    <xf numFmtId="0" fontId="8" fillId="7" borderId="1"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2"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2" xfId="0" applyFont="1" applyFill="1" applyBorder="1" applyAlignment="1">
      <alignment horizontal="center" vertical="center"/>
    </xf>
    <xf numFmtId="0" fontId="12" fillId="2" borderId="0" xfId="0" applyFont="1" applyFill="1" applyAlignment="1">
      <alignment horizontal="left" vertical="center" wrapText="1" indent="2"/>
    </xf>
    <xf numFmtId="0" fontId="12" fillId="2" borderId="0" xfId="0" applyFont="1" applyFill="1" applyAlignment="1">
      <alignment horizontal="left" vertical="center" indent="2"/>
    </xf>
    <xf numFmtId="0" fontId="8" fillId="15" borderId="1"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2" xfId="0" applyFont="1" applyFill="1" applyBorder="1" applyAlignment="1">
      <alignment horizontal="center" vertical="center"/>
    </xf>
    <xf applyNumberFormat="1" borderId="0" fillId="0" fontId="0" numFmtId="166" xfId="0"/>
    <xf applyNumberFormat="1" borderId="0" fillId="0" fontId="0" numFmtId="167" xfId="0"/>
    <xf applyNumberFormat="1" borderId="0" fillId="0" fontId="0" numFmtId="168" xfId="0"/>
    <xf applyNumberFormat="1" borderId="0" fillId="0" fontId="0" numFmtId="169" xfId="0"/>
    <xf applyNumberFormat="1" borderId="0" fillId="0" fontId="0" numFmtId="170" xfId="0"/>
    <xf applyNumberFormat="1" borderId="0" fillId="0" fontId="0" numFmtId="171" xfId="0"/>
  </cellXfs>
  <cellStyles count="2">
    <cellStyle name="Normal" xfId="0" builtinId="0"/>
    <cellStyle name="Porcentaje" xfId="1" builtinId="5"/>
  </cellStyles>
  <dxfs count="4">
    <dxf>
      <fill>
        <patternFill>
          <bgColor rgb="FFE399DC"/>
        </patternFill>
      </fill>
    </dxf>
    <dxf>
      <fill>
        <patternFill>
          <bgColor rgb="FFE399DC"/>
        </patternFill>
      </fill>
    </dxf>
    <dxf>
      <fill>
        <patternFill>
          <bgColor rgb="FFE399DC"/>
        </patternFill>
      </fill>
    </dxf>
    <dxf>
      <fill>
        <patternFill>
          <bgColor rgb="FFE399DC"/>
        </patternFill>
      </fill>
    </dxf>
  </dxfs>
  <colors>
    <mruColors>
      <color rgb="FFBAD7F4"/>
      <color rgb="FF9FC5EB"/>
      <color rgb="FFDAE9F9"/>
      <color rgb="FF000000"/>
      <color rgb="FFFEBFBA"/>
      <color rgb="FFFFFA9F"/>
      <color rgb="FF3A3A3A"/>
      <color rgb="FF9BF5C4"/>
      <color rgb="FF00DA63"/>
      <color rgb="FFFFF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_rels/chart1.xml.rels><?xml version="1.0" encoding="UTF-8" standalone="yes"?><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Sector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285211219379314"/>
          <c:y val="8.7741223811904287E-2"/>
          <c:w val="0.66819877250944681"/>
          <c:h val="0.83957062058195309"/>
        </c:manualLayout>
      </c:layout>
      <c:barChart>
        <c:barDir val="bar"/>
        <c:grouping val="clustered"/>
        <c:varyColors val="0"/>
        <c:ser>
          <c:idx val="0"/>
          <c:order val="0"/>
          <c:spPr>
            <a:solidFill>
              <a:srgbClr val="60B99A"/>
            </a:solidFill>
            <a:ln>
              <a:noFill/>
            </a:ln>
            <a:effectLst/>
          </c:spPr>
          <c:invertIfNegative val="0"/>
          <c:dLbls>
            <c:dLbl>
              <c:idx val="0"/>
              <c:tx>
                <c:rich>
                  <a:bodyPr/>
                  <a:lstStyle/>
                  <a:p>
                    <a:fld id="{86708646-06F0-44BF-B40F-8187AA71B70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F2B-459C-AC47-38F1A835D05B}"/>
                </c:ext>
              </c:extLst>
            </c:dLbl>
            <c:dLbl>
              <c:idx val="1"/>
              <c:tx>
                <c:rich>
                  <a:bodyPr/>
                  <a:lstStyle/>
                  <a:p>
                    <a:fld id="{2C7022E3-3026-45EE-BBAA-C1490968329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2B-459C-AC47-38F1A835D05B}"/>
                </c:ext>
              </c:extLst>
            </c:dLbl>
            <c:dLbl>
              <c:idx val="2"/>
              <c:tx>
                <c:rich>
                  <a:bodyPr/>
                  <a:lstStyle/>
                  <a:p>
                    <a:fld id="{78AA829D-06C3-44E9-A13E-C43AE53F1AC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2B-459C-AC47-38F1A835D05B}"/>
                </c:ext>
              </c:extLst>
            </c:dLbl>
            <c:dLbl>
              <c:idx val="3"/>
              <c:tx>
                <c:rich>
                  <a:bodyPr/>
                  <a:lstStyle/>
                  <a:p>
                    <a:fld id="{D7D10F66-7E09-4EED-955D-B625B5DB552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2B-459C-AC47-38F1A835D05B}"/>
                </c:ext>
              </c:extLst>
            </c:dLbl>
            <c:dLbl>
              <c:idx val="4"/>
              <c:tx>
                <c:rich>
                  <a:bodyPr/>
                  <a:lstStyle/>
                  <a:p>
                    <a:fld id="{C8A54928-30D5-44DC-BD36-028F3AE9CD1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2B-459C-AC47-38F1A835D05B}"/>
                </c:ext>
              </c:extLst>
            </c:dLbl>
            <c:dLbl>
              <c:idx val="5"/>
              <c:tx>
                <c:rich>
                  <a:bodyPr/>
                  <a:lstStyle/>
                  <a:p>
                    <a:fld id="{97172F8E-1965-4A90-9198-0988BC6E696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2B-459C-AC47-38F1A835D05B}"/>
                </c:ext>
              </c:extLst>
            </c:dLbl>
            <c:dLbl>
              <c:idx val="6"/>
              <c:tx>
                <c:rich>
                  <a:bodyPr/>
                  <a:lstStyle/>
                  <a:p>
                    <a:fld id="{49611170-3CBD-425A-A8EC-D314CB7C08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2B-459C-AC47-38F1A835D05B}"/>
                </c:ext>
              </c:extLst>
            </c:dLbl>
            <c:dLbl>
              <c:idx val="7"/>
              <c:tx>
                <c:rich>
                  <a:bodyPr/>
                  <a:lstStyle/>
                  <a:p>
                    <a:fld id="{F109D7FC-81F2-4199-BD85-F88BDFB7278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2B-459C-AC47-38F1A835D05B}"/>
                </c:ext>
              </c:extLst>
            </c:dLbl>
            <c:dLbl>
              <c:idx val="8"/>
              <c:tx>
                <c:rich>
                  <a:bodyPr/>
                  <a:lstStyle/>
                  <a:p>
                    <a:fld id="{E02D7E04-CD3E-4E75-82C0-2F3E4DFC147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2B-459C-AC47-38F1A835D05B}"/>
                </c:ext>
              </c:extLst>
            </c:dLbl>
            <c:dLbl>
              <c:idx val="9"/>
              <c:tx>
                <c:rich>
                  <a:bodyPr/>
                  <a:lstStyle/>
                  <a:p>
                    <a:fld id="{AF052F5F-396D-4EEE-999B-B986DD033C2B}"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2B-459C-AC47-38F1A835D05B}"/>
                </c:ext>
              </c:extLst>
            </c:dLbl>
            <c:dLbl>
              <c:idx val="10"/>
              <c:tx>
                <c:rich>
                  <a:bodyPr/>
                  <a:lstStyle/>
                  <a:p>
                    <a:fld id="{D5E2608F-9C10-499B-B8BA-E305709532B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2B-459C-AC47-38F1A835D05B}"/>
                </c:ext>
              </c:extLst>
            </c:dLbl>
            <c:dLbl>
              <c:idx val="11"/>
              <c:tx>
                <c:rich>
                  <a:bodyPr/>
                  <a:lstStyle/>
                  <a:p>
                    <a:fld id="{39E62150-EF8F-4D6B-844D-9C62C347D3B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2B-459C-AC47-38F1A835D05B}"/>
                </c:ext>
              </c:extLst>
            </c:dLbl>
            <c:dLbl>
              <c:idx val="12"/>
              <c:tx>
                <c:rich>
                  <a:bodyPr/>
                  <a:lstStyle/>
                  <a:p>
                    <a:fld id="{264EBC48-1D27-4E15-8F61-8E11FCE406C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2B-459C-AC47-38F1A835D05B}"/>
                </c:ext>
              </c:extLst>
            </c:dLbl>
            <c:dLbl>
              <c:idx val="13"/>
              <c:tx>
                <c:rich>
                  <a:bodyPr/>
                  <a:lstStyle/>
                  <a:p>
                    <a:fld id="{AD24E199-D8D9-4065-BBCE-418B024AA63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2B-459C-AC47-38F1A835D05B}"/>
                </c:ext>
              </c:extLst>
            </c:dLbl>
            <c:dLbl>
              <c:idx val="14"/>
              <c:tx>
                <c:rich>
                  <a:bodyPr/>
                  <a:lstStyle/>
                  <a:p>
                    <a:fld id="{02388BC9-250E-4D3A-B0F9-19857A5FF0D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2B-459C-AC47-38F1A835D05B}"/>
                </c:ext>
              </c:extLst>
            </c:dLbl>
            <c:dLbl>
              <c:idx val="15"/>
              <c:tx>
                <c:rich>
                  <a:bodyPr/>
                  <a:lstStyle/>
                  <a:p>
                    <a:fld id="{24F79D1B-D92E-41AB-A845-0C3F366CF11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2B-459C-AC47-38F1A835D05B}"/>
                </c:ext>
              </c:extLst>
            </c:dLbl>
            <c:dLbl>
              <c:idx val="16"/>
              <c:tx>
                <c:rich>
                  <a:bodyPr/>
                  <a:lstStyle/>
                  <a:p>
                    <a:fld id="{C5DCE0FB-86E1-467A-9A09-53027ACFD2A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2B-459C-AC47-38F1A835D05B}"/>
                </c:ext>
              </c:extLst>
            </c:dLbl>
            <c:dLbl>
              <c:idx val="17"/>
              <c:tx>
                <c:rich>
                  <a:bodyPr/>
                  <a:lstStyle/>
                  <a:p>
                    <a:fld id="{2B424381-83F0-4D59-BEFC-C48692F2295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5C1-4C7A-88EA-67AAE2953991}"/>
                </c:ext>
              </c:extLst>
            </c:dLbl>
            <c:dLbl>
              <c:idx val="18"/>
              <c:tx>
                <c:rich>
                  <a:bodyPr/>
                  <a:lstStyle/>
                  <a:p>
                    <a:fld id="{CD61F6A7-3480-4FDE-99C1-7161DF8A22F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5C1-4C7A-88EA-67AAE295399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Resumen!$B$24:$B$42</c:f>
              <c:strCache>
                <c:ptCount val="19"/>
                <c:pt idx="0">
                  <c:v>Agricultura y desarrollo rural
</c:v>
                </c:pt>
                <c:pt idx="1">
                  <c:v>Ambiente y desarrollo sostenible</c:v>
                </c:pt>
                <c:pt idx="2">
                  <c:v>Ciencia, tecnología e innovación
</c:v>
                </c:pt>
                <c:pt idx="3">
                  <c:v>Comercio, industria y turismo</c:v>
                </c:pt>
                <c:pt idx="4">
                  <c:v>Cultura</c:v>
                </c:pt>
                <c:pt idx="5">
                  <c:v>Defensa y policía</c:v>
                </c:pt>
                <c:pt idx="6">
                  <c:v>Deporte y recreación</c:v>
                </c:pt>
                <c:pt idx="7">
                  <c:v>Educación</c:v>
                </c:pt>
                <c:pt idx="8">
                  <c:v>Gobierno territorial</c:v>
                </c:pt>
                <c:pt idx="9">
                  <c:v>Inclusión social y reconciliación </c:v>
                </c:pt>
                <c:pt idx="10">
                  <c:v>Información estadística</c:v>
                </c:pt>
                <c:pt idx="11">
                  <c:v>Justicia y del derecho</c:v>
                </c:pt>
                <c:pt idx="12">
                  <c:v>Minas y energía</c:v>
                </c:pt>
                <c:pt idx="13">
                  <c:v>Organismos de control</c:v>
                </c:pt>
                <c:pt idx="14">
                  <c:v>Salud y protección social</c:v>
                </c:pt>
                <c:pt idx="15">
                  <c:v>Tecnologías de la información y las comunicaciones</c:v>
                </c:pt>
                <c:pt idx="16">
                  <c:v>Trabajo</c:v>
                </c:pt>
                <c:pt idx="17">
                  <c:v>Transporte</c:v>
                </c:pt>
                <c:pt idx="18">
                  <c:v>Vivienda, ciudad y territorio</c:v>
                </c:pt>
              </c:strCache>
            </c:strRef>
          </c:cat>
          <c:val>
            <c:numRef>
              <c:f>Resumen!$H$24:$H$42</c:f>
              <c:numCache>
                <c:formatCode>#,##0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5="http://schemas.microsoft.com/office/drawing/2012/chart" uri="{02D57815-91ED-43cb-92C2-25804820EDAC}">
              <c15:datalabelsRange>
                <c15:f>Resumen!$I$24:$I$42</c15:f>
                <c15:dlblRangeCache>
                  <c:ptCount val="19"/>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pt idx="17">
                    <c:v>#¡DIV/0!</c:v>
                  </c:pt>
                  <c:pt idx="18">
                    <c:v>#¡DIV/0!</c:v>
                  </c:pt>
                </c15:dlblRangeCache>
              </c15:datalabelsRange>
            </c:ext>
            <c:ext xmlns:c16="http://schemas.microsoft.com/office/drawing/2014/chart" uri="{C3380CC4-5D6E-409C-BE32-E72D297353CC}">
              <c16:uniqueId val="{00000000-D22C-4ED8-BDA6-0A0B48D78EAC}"/>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Fuente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813606656108496"/>
          <c:y val="0.11659932659932661"/>
          <c:w val="0.66195950718624774"/>
          <c:h val="0.81071263819295314"/>
        </c:manualLayout>
      </c:layout>
      <c:barChart>
        <c:barDir val="bar"/>
        <c:grouping val="clustered"/>
        <c:varyColors val="0"/>
        <c:ser>
          <c:idx val="0"/>
          <c:order val="0"/>
          <c:spPr>
            <a:solidFill>
              <a:srgbClr val="60B99A"/>
            </a:solidFill>
            <a:ln>
              <a:noFill/>
            </a:ln>
            <a:effectLst/>
          </c:spPr>
          <c:invertIfNegative val="0"/>
          <c:dLbls>
            <c:dLbl>
              <c:idx val="0"/>
              <c:tx>
                <c:rich>
                  <a:bodyPr/>
                  <a:lstStyle/>
                  <a:p>
                    <a:fld id="{AF31F109-E2A0-474B-B3A5-3A9A5DB496FC}"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617-4F11-BAC5-7BA1F1DD7D9F}"/>
                </c:ext>
              </c:extLst>
            </c:dLbl>
            <c:dLbl>
              <c:idx val="1"/>
              <c:tx>
                <c:rich>
                  <a:bodyPr/>
                  <a:lstStyle/>
                  <a:p>
                    <a:fld id="{060257C4-140B-42A8-A2D9-38EFBC2E755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617-4F11-BAC5-7BA1F1DD7D9F}"/>
                </c:ext>
              </c:extLst>
            </c:dLbl>
            <c:dLbl>
              <c:idx val="2"/>
              <c:tx>
                <c:rich>
                  <a:bodyPr/>
                  <a:lstStyle/>
                  <a:p>
                    <a:fld id="{7C94BC16-5003-41C8-B7A4-4542297968E4}"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17-4F11-BAC5-7BA1F1DD7D9F}"/>
                </c:ext>
              </c:extLst>
            </c:dLbl>
            <c:dLbl>
              <c:idx val="3"/>
              <c:tx>
                <c:rich>
                  <a:bodyPr/>
                  <a:lstStyle/>
                  <a:p>
                    <a:fld id="{E6150B31-7895-4C1C-8C69-A84BDDD5300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17-4F11-BAC5-7BA1F1DD7D9F}"/>
                </c:ext>
              </c:extLst>
            </c:dLbl>
            <c:dLbl>
              <c:idx val="4"/>
              <c:tx>
                <c:rich>
                  <a:bodyPr/>
                  <a:lstStyle/>
                  <a:p>
                    <a:fld id="{C19A5466-F034-47EE-941A-5F0A3869D00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17-4F11-BAC5-7BA1F1DD7D9F}"/>
                </c:ext>
              </c:extLst>
            </c:dLbl>
            <c:dLbl>
              <c:idx val="5"/>
              <c:tx>
                <c:rich>
                  <a:bodyPr/>
                  <a:lstStyle/>
                  <a:p>
                    <a:fld id="{5947835D-2CD4-4DFF-BC64-45F77FD0F88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17-4F11-BAC5-7BA1F1DD7D9F}"/>
                </c:ext>
              </c:extLst>
            </c:dLbl>
            <c:dLbl>
              <c:idx val="6"/>
              <c:tx>
                <c:rich>
                  <a:bodyPr/>
                  <a:lstStyle/>
                  <a:p>
                    <a:fld id="{52049E1F-F3E6-430C-AD4C-7504BB5ABB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17-4F11-BAC5-7BA1F1DD7D9F}"/>
                </c:ext>
              </c:extLst>
            </c:dLbl>
            <c:dLbl>
              <c:idx val="7"/>
              <c:tx>
                <c:rich>
                  <a:bodyPr/>
                  <a:lstStyle/>
                  <a:p>
                    <a:fld id="{EFD07103-F02D-40DF-92C7-414533F835F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17-4F11-BAC5-7BA1F1DD7D9F}"/>
                </c:ext>
              </c:extLst>
            </c:dLbl>
            <c:dLbl>
              <c:idx val="8"/>
              <c:tx>
                <c:rich>
                  <a:bodyPr/>
                  <a:lstStyle/>
                  <a:p>
                    <a:fld id="{8D9C4F3B-D655-4FC5-A40C-231B90085D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17-4F11-BAC5-7BA1F1DD7D9F}"/>
                </c:ext>
              </c:extLst>
            </c:dLbl>
            <c:dLbl>
              <c:idx val="9"/>
              <c:tx>
                <c:rich>
                  <a:bodyPr/>
                  <a:lstStyle/>
                  <a:p>
                    <a:fld id="{5C0CDC46-A759-4ED3-A91F-E795A25EAC58}"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17-4F11-BAC5-7BA1F1DD7D9F}"/>
                </c:ext>
              </c:extLst>
            </c:dLbl>
            <c:dLbl>
              <c:idx val="10"/>
              <c:tx>
                <c:rich>
                  <a:bodyPr/>
                  <a:lstStyle/>
                  <a:p>
                    <a:fld id="{1DA2A256-7981-40DD-B0CD-1B491907602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17-4F11-BAC5-7BA1F1DD7D9F}"/>
                </c:ext>
              </c:extLst>
            </c:dLbl>
            <c:dLbl>
              <c:idx val="11"/>
              <c:tx>
                <c:rich>
                  <a:bodyPr/>
                  <a:lstStyle/>
                  <a:p>
                    <a:fld id="{52AFE0E4-2604-44D2-A878-1E251E0083B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17-4F11-BAC5-7BA1F1DD7D9F}"/>
                </c:ext>
              </c:extLst>
            </c:dLbl>
            <c:dLbl>
              <c:idx val="12"/>
              <c:tx>
                <c:rich>
                  <a:bodyPr/>
                  <a:lstStyle/>
                  <a:p>
                    <a:fld id="{AEFD0834-552C-445A-84EF-D2E10976A9C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17-4F11-BAC5-7BA1F1DD7D9F}"/>
                </c:ext>
              </c:extLst>
            </c:dLbl>
            <c:dLbl>
              <c:idx val="13"/>
              <c:tx>
                <c:rich>
                  <a:bodyPr/>
                  <a:lstStyle/>
                  <a:p>
                    <a:fld id="{25901E1D-616C-4851-B06C-C50099DBE46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17-4F11-BAC5-7BA1F1DD7D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Resumen!$B$43:$B$56</c:f>
              <c:strCache>
                <c:ptCount val="14"/>
                <c:pt idx="0">
                  <c:v>Recursos propios</c:v>
                </c:pt>
                <c:pt idx="1">
                  <c:v>SGP educación</c:v>
                </c:pt>
                <c:pt idx="2">
                  <c:v>SGP salud</c:v>
                </c:pt>
                <c:pt idx="3">
                  <c:v>SGP deporte</c:v>
                </c:pt>
                <c:pt idx="4">
                  <c:v>SGP cultura</c:v>
                </c:pt>
                <c:pt idx="5">
                  <c:v>SGP libre inversión</c:v>
                </c:pt>
                <c:pt idx="6">
                  <c:v>SGP libre destinación</c:v>
                </c:pt>
                <c:pt idx="7">
                  <c:v>SGP alimentación escolar</c:v>
                </c:pt>
                <c:pt idx="8">
                  <c:v>SGP municipios Rio Magdalena</c:v>
                </c:pt>
                <c:pt idx="9">
                  <c:v>SGP APSB</c:v>
                </c:pt>
                <c:pt idx="10">
                  <c:v>Crédito</c:v>
                </c:pt>
                <c:pt idx="11">
                  <c:v>Transf. capital - Cof. departamento</c:v>
                </c:pt>
                <c:pt idx="12">
                  <c:v>Transf. capital - Cof. Nación</c:v>
                </c:pt>
                <c:pt idx="13">
                  <c:v>Otros</c:v>
                </c:pt>
              </c:strCache>
            </c:strRef>
          </c:cat>
          <c:val>
            <c:numRef>
              <c:f>Resumen!$H$43:$H$56</c:f>
              <c:numCache>
                <c:formatCode>#,##0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5="http://schemas.microsoft.com/office/drawing/2012/chart" uri="{02D57815-91ED-43cb-92C2-25804820EDAC}">
              <c15:datalabelsRange>
                <c15:f>Resumen!$I$43:$I$56</c15:f>
                <c15:dlblRangeCache>
                  <c:ptCount val="14"/>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15:dlblRangeCache>
              </c15:datalabelsRange>
            </c:ext>
            <c:ext xmlns:c16="http://schemas.microsoft.com/office/drawing/2014/chart" uri="{C3380CC4-5D6E-409C-BE32-E72D297353CC}">
              <c16:uniqueId val="{00000000-2975-4577-BF15-5AE863F38509}"/>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ODS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30024638334349618"/>
          <c:y val="0.11659932659932661"/>
          <c:w val="0.64307378244386126"/>
          <c:h val="0.81071263819295314"/>
        </c:manualLayout>
      </c:layout>
      <c:barChart>
        <c:barDir val="bar"/>
        <c:grouping val="clustered"/>
        <c:varyColors val="0"/>
        <c:ser>
          <c:idx val="0"/>
          <c:order val="0"/>
          <c:spPr>
            <a:solidFill>
              <a:srgbClr val="E5243B"/>
            </a:solidFill>
            <a:ln>
              <a:noFill/>
            </a:ln>
            <a:effectLst/>
          </c:spPr>
          <c:invertIfNegative val="0"/>
          <c:dPt>
            <c:idx val="1"/>
            <c:invertIfNegative val="0"/>
            <c:bubble3D val="0"/>
            <c:spPr>
              <a:solidFill>
                <a:srgbClr val="DDA83A"/>
              </a:solidFill>
              <a:ln>
                <a:noFill/>
              </a:ln>
              <a:effectLst/>
            </c:spPr>
            <c:extLst>
              <c:ext xmlns:c16="http://schemas.microsoft.com/office/drawing/2014/chart" uri="{C3380CC4-5D6E-409C-BE32-E72D297353CC}">
                <c16:uniqueId val="{00000001-53F3-4BB8-BEDE-49888A2550F4}"/>
              </c:ext>
            </c:extLst>
          </c:dPt>
          <c:dPt>
            <c:idx val="2"/>
            <c:invertIfNegative val="0"/>
            <c:bubble3D val="0"/>
            <c:spPr>
              <a:solidFill>
                <a:srgbClr val="4C9F38"/>
              </a:solidFill>
              <a:ln>
                <a:noFill/>
              </a:ln>
              <a:effectLst/>
            </c:spPr>
            <c:extLst>
              <c:ext xmlns:c16="http://schemas.microsoft.com/office/drawing/2014/chart" uri="{C3380CC4-5D6E-409C-BE32-E72D297353CC}">
                <c16:uniqueId val="{00000002-53F3-4BB8-BEDE-49888A2550F4}"/>
              </c:ext>
            </c:extLst>
          </c:dPt>
          <c:dPt>
            <c:idx val="3"/>
            <c:invertIfNegative val="0"/>
            <c:bubble3D val="0"/>
            <c:spPr>
              <a:solidFill>
                <a:srgbClr val="C5192D"/>
              </a:solidFill>
              <a:ln>
                <a:noFill/>
              </a:ln>
              <a:effectLst/>
            </c:spPr>
            <c:extLst>
              <c:ext xmlns:c16="http://schemas.microsoft.com/office/drawing/2014/chart" uri="{C3380CC4-5D6E-409C-BE32-E72D297353CC}">
                <c16:uniqueId val="{00000003-53F3-4BB8-BEDE-49888A2550F4}"/>
              </c:ext>
            </c:extLst>
          </c:dPt>
          <c:dPt>
            <c:idx val="4"/>
            <c:invertIfNegative val="0"/>
            <c:bubble3D val="0"/>
            <c:spPr>
              <a:solidFill>
                <a:srgbClr val="FF3A21"/>
              </a:solidFill>
              <a:ln>
                <a:noFill/>
              </a:ln>
              <a:effectLst/>
            </c:spPr>
            <c:extLst>
              <c:ext xmlns:c16="http://schemas.microsoft.com/office/drawing/2014/chart" uri="{C3380CC4-5D6E-409C-BE32-E72D297353CC}">
                <c16:uniqueId val="{00000004-53F3-4BB8-BEDE-49888A2550F4}"/>
              </c:ext>
            </c:extLst>
          </c:dPt>
          <c:dPt>
            <c:idx val="5"/>
            <c:invertIfNegative val="0"/>
            <c:bubble3D val="0"/>
            <c:spPr>
              <a:solidFill>
                <a:srgbClr val="26BDE2"/>
              </a:solidFill>
              <a:ln>
                <a:noFill/>
              </a:ln>
              <a:effectLst/>
            </c:spPr>
            <c:extLst>
              <c:ext xmlns:c16="http://schemas.microsoft.com/office/drawing/2014/chart" uri="{C3380CC4-5D6E-409C-BE32-E72D297353CC}">
                <c16:uniqueId val="{00000005-53F3-4BB8-BEDE-49888A2550F4}"/>
              </c:ext>
            </c:extLst>
          </c:dPt>
          <c:dPt>
            <c:idx val="6"/>
            <c:invertIfNegative val="0"/>
            <c:bubble3D val="0"/>
            <c:spPr>
              <a:solidFill>
                <a:srgbClr val="FCC30B"/>
              </a:solidFill>
              <a:ln>
                <a:noFill/>
              </a:ln>
              <a:effectLst/>
            </c:spPr>
            <c:extLst>
              <c:ext xmlns:c16="http://schemas.microsoft.com/office/drawing/2014/chart" uri="{C3380CC4-5D6E-409C-BE32-E72D297353CC}">
                <c16:uniqueId val="{00000006-53F3-4BB8-BEDE-49888A2550F4}"/>
              </c:ext>
            </c:extLst>
          </c:dPt>
          <c:dPt>
            <c:idx val="7"/>
            <c:invertIfNegative val="0"/>
            <c:bubble3D val="0"/>
            <c:spPr>
              <a:solidFill>
                <a:srgbClr val="A21942"/>
              </a:solidFill>
              <a:ln>
                <a:noFill/>
              </a:ln>
              <a:effectLst/>
            </c:spPr>
            <c:extLst>
              <c:ext xmlns:c16="http://schemas.microsoft.com/office/drawing/2014/chart" uri="{C3380CC4-5D6E-409C-BE32-E72D297353CC}">
                <c16:uniqueId val="{00000007-53F3-4BB8-BEDE-49888A2550F4}"/>
              </c:ext>
            </c:extLst>
          </c:dPt>
          <c:dPt>
            <c:idx val="8"/>
            <c:invertIfNegative val="0"/>
            <c:bubble3D val="0"/>
            <c:spPr>
              <a:solidFill>
                <a:srgbClr val="FD6925"/>
              </a:solidFill>
              <a:ln>
                <a:noFill/>
              </a:ln>
              <a:effectLst/>
            </c:spPr>
            <c:extLst>
              <c:ext xmlns:c16="http://schemas.microsoft.com/office/drawing/2014/chart" uri="{C3380CC4-5D6E-409C-BE32-E72D297353CC}">
                <c16:uniqueId val="{00000008-53F3-4BB8-BEDE-49888A2550F4}"/>
              </c:ext>
            </c:extLst>
          </c:dPt>
          <c:dPt>
            <c:idx val="9"/>
            <c:invertIfNegative val="0"/>
            <c:bubble3D val="0"/>
            <c:spPr>
              <a:solidFill>
                <a:srgbClr val="DD1367"/>
              </a:solidFill>
              <a:ln>
                <a:noFill/>
              </a:ln>
              <a:effectLst/>
            </c:spPr>
            <c:extLst>
              <c:ext xmlns:c16="http://schemas.microsoft.com/office/drawing/2014/chart" uri="{C3380CC4-5D6E-409C-BE32-E72D297353CC}">
                <c16:uniqueId val="{00000009-53F3-4BB8-BEDE-49888A2550F4}"/>
              </c:ext>
            </c:extLst>
          </c:dPt>
          <c:dPt>
            <c:idx val="10"/>
            <c:invertIfNegative val="0"/>
            <c:bubble3D val="0"/>
            <c:spPr>
              <a:solidFill>
                <a:srgbClr val="FD9D24"/>
              </a:solidFill>
              <a:ln>
                <a:noFill/>
              </a:ln>
              <a:effectLst/>
            </c:spPr>
            <c:extLst>
              <c:ext xmlns:c16="http://schemas.microsoft.com/office/drawing/2014/chart" uri="{C3380CC4-5D6E-409C-BE32-E72D297353CC}">
                <c16:uniqueId val="{0000000A-53F3-4BB8-BEDE-49888A2550F4}"/>
              </c:ext>
            </c:extLst>
          </c:dPt>
          <c:dPt>
            <c:idx val="11"/>
            <c:invertIfNegative val="0"/>
            <c:bubble3D val="0"/>
            <c:spPr>
              <a:solidFill>
                <a:srgbClr val="BF8B2E"/>
              </a:solidFill>
              <a:ln>
                <a:noFill/>
              </a:ln>
              <a:effectLst/>
            </c:spPr>
            <c:extLst>
              <c:ext xmlns:c16="http://schemas.microsoft.com/office/drawing/2014/chart" uri="{C3380CC4-5D6E-409C-BE32-E72D297353CC}">
                <c16:uniqueId val="{0000000B-53F3-4BB8-BEDE-49888A2550F4}"/>
              </c:ext>
            </c:extLst>
          </c:dPt>
          <c:dPt>
            <c:idx val="12"/>
            <c:invertIfNegative val="0"/>
            <c:bubble3D val="0"/>
            <c:spPr>
              <a:solidFill>
                <a:srgbClr val="3F7E44"/>
              </a:solidFill>
              <a:ln>
                <a:noFill/>
              </a:ln>
              <a:effectLst/>
            </c:spPr>
            <c:extLst>
              <c:ext xmlns:c16="http://schemas.microsoft.com/office/drawing/2014/chart" uri="{C3380CC4-5D6E-409C-BE32-E72D297353CC}">
                <c16:uniqueId val="{0000000C-53F3-4BB8-BEDE-49888A2550F4}"/>
              </c:ext>
            </c:extLst>
          </c:dPt>
          <c:dPt>
            <c:idx val="13"/>
            <c:invertIfNegative val="0"/>
            <c:bubble3D val="0"/>
            <c:spPr>
              <a:solidFill>
                <a:srgbClr val="0A97D9"/>
              </a:solidFill>
              <a:ln>
                <a:noFill/>
              </a:ln>
              <a:effectLst/>
            </c:spPr>
            <c:extLst>
              <c:ext xmlns:c16="http://schemas.microsoft.com/office/drawing/2014/chart" uri="{C3380CC4-5D6E-409C-BE32-E72D297353CC}">
                <c16:uniqueId val="{0000000D-53F3-4BB8-BEDE-49888A2550F4}"/>
              </c:ext>
            </c:extLst>
          </c:dPt>
          <c:dPt>
            <c:idx val="14"/>
            <c:invertIfNegative val="0"/>
            <c:bubble3D val="0"/>
            <c:spPr>
              <a:solidFill>
                <a:srgbClr val="56C02B"/>
              </a:solidFill>
              <a:ln>
                <a:noFill/>
              </a:ln>
              <a:effectLst/>
            </c:spPr>
            <c:extLst>
              <c:ext xmlns:c16="http://schemas.microsoft.com/office/drawing/2014/chart" uri="{C3380CC4-5D6E-409C-BE32-E72D297353CC}">
                <c16:uniqueId val="{0000000E-53F3-4BB8-BEDE-49888A2550F4}"/>
              </c:ext>
            </c:extLst>
          </c:dPt>
          <c:dPt>
            <c:idx val="15"/>
            <c:invertIfNegative val="0"/>
            <c:bubble3D val="0"/>
            <c:spPr>
              <a:solidFill>
                <a:srgbClr val="00689D"/>
              </a:solidFill>
              <a:ln>
                <a:noFill/>
              </a:ln>
              <a:effectLst/>
            </c:spPr>
            <c:extLst>
              <c:ext xmlns:c16="http://schemas.microsoft.com/office/drawing/2014/chart" uri="{C3380CC4-5D6E-409C-BE32-E72D297353CC}">
                <c16:uniqueId val="{0000000F-53F3-4BB8-BEDE-49888A2550F4}"/>
              </c:ext>
            </c:extLst>
          </c:dPt>
          <c:dPt>
            <c:idx val="16"/>
            <c:invertIfNegative val="0"/>
            <c:bubble3D val="0"/>
            <c:spPr>
              <a:solidFill>
                <a:srgbClr val="19486A"/>
              </a:solidFill>
              <a:ln>
                <a:noFill/>
              </a:ln>
              <a:effectLst/>
            </c:spPr>
            <c:extLst>
              <c:ext xmlns:c16="http://schemas.microsoft.com/office/drawing/2014/chart" uri="{C3380CC4-5D6E-409C-BE32-E72D297353CC}">
                <c16:uniqueId val="{00000010-53F3-4BB8-BEDE-49888A2550F4}"/>
              </c:ext>
            </c:extLst>
          </c:dPt>
          <c:dLbls>
            <c:dLbl>
              <c:idx val="0"/>
              <c:tx>
                <c:rich>
                  <a:bodyPr/>
                  <a:lstStyle/>
                  <a:p>
                    <a:fld id="{95F31C71-4B0F-44BE-A7A2-79BFF34C705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BBC-46F3-A28A-52E739701722}"/>
                </c:ext>
              </c:extLst>
            </c:dLbl>
            <c:dLbl>
              <c:idx val="1"/>
              <c:tx>
                <c:rich>
                  <a:bodyPr/>
                  <a:lstStyle/>
                  <a:p>
                    <a:fld id="{4543A26A-DD93-4AE9-B989-8EA46ECEE43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F3-4BB8-BEDE-49888A2550F4}"/>
                </c:ext>
              </c:extLst>
            </c:dLbl>
            <c:dLbl>
              <c:idx val="2"/>
              <c:tx>
                <c:rich>
                  <a:bodyPr/>
                  <a:lstStyle/>
                  <a:p>
                    <a:fld id="{87A535A8-5761-43E1-B6E0-9EA25E7B8F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F3-4BB8-BEDE-49888A2550F4}"/>
                </c:ext>
              </c:extLst>
            </c:dLbl>
            <c:dLbl>
              <c:idx val="3"/>
              <c:tx>
                <c:rich>
                  <a:bodyPr/>
                  <a:lstStyle/>
                  <a:p>
                    <a:fld id="{B9C2BA72-5580-45B0-8CE4-7E2D896CE423}"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F3-4BB8-BEDE-49888A2550F4}"/>
                </c:ext>
              </c:extLst>
            </c:dLbl>
            <c:dLbl>
              <c:idx val="4"/>
              <c:tx>
                <c:rich>
                  <a:bodyPr/>
                  <a:lstStyle/>
                  <a:p>
                    <a:fld id="{D9951E17-7184-41F5-8859-B856DFC73890}"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F3-4BB8-BEDE-49888A2550F4}"/>
                </c:ext>
              </c:extLst>
            </c:dLbl>
            <c:dLbl>
              <c:idx val="5"/>
              <c:tx>
                <c:rich>
                  <a:bodyPr/>
                  <a:lstStyle/>
                  <a:p>
                    <a:fld id="{0791B2CB-C2DC-4BCB-9A09-90D145631DB1}"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F3-4BB8-BEDE-49888A2550F4}"/>
                </c:ext>
              </c:extLst>
            </c:dLbl>
            <c:dLbl>
              <c:idx val="6"/>
              <c:tx>
                <c:rich>
                  <a:bodyPr/>
                  <a:lstStyle/>
                  <a:p>
                    <a:fld id="{7F6CE039-90F7-471C-9102-3B58031251D7}"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F3-4BB8-BEDE-49888A2550F4}"/>
                </c:ext>
              </c:extLst>
            </c:dLbl>
            <c:dLbl>
              <c:idx val="7"/>
              <c:tx>
                <c:rich>
                  <a:bodyPr/>
                  <a:lstStyle/>
                  <a:p>
                    <a:fld id="{E1E466B3-A6F8-46A9-8271-B2855043A5A5}"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F3-4BB8-BEDE-49888A2550F4}"/>
                </c:ext>
              </c:extLst>
            </c:dLbl>
            <c:dLbl>
              <c:idx val="8"/>
              <c:tx>
                <c:rich>
                  <a:bodyPr/>
                  <a:lstStyle/>
                  <a:p>
                    <a:fld id="{27836B91-7814-48CE-8062-A6EF713AC21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F3-4BB8-BEDE-49888A2550F4}"/>
                </c:ext>
              </c:extLst>
            </c:dLbl>
            <c:dLbl>
              <c:idx val="9"/>
              <c:tx>
                <c:rich>
                  <a:bodyPr/>
                  <a:lstStyle/>
                  <a:p>
                    <a:fld id="{2183AA1C-B8ED-4273-BBAC-88BDCAE4EC8E}"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F3-4BB8-BEDE-49888A2550F4}"/>
                </c:ext>
              </c:extLst>
            </c:dLbl>
            <c:dLbl>
              <c:idx val="10"/>
              <c:tx>
                <c:rich>
                  <a:bodyPr/>
                  <a:lstStyle/>
                  <a:p>
                    <a:fld id="{381D3F61-5D17-48B1-8110-EDB4FC3A8F5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F3-4BB8-BEDE-49888A2550F4}"/>
                </c:ext>
              </c:extLst>
            </c:dLbl>
            <c:dLbl>
              <c:idx val="11"/>
              <c:tx>
                <c:rich>
                  <a:bodyPr/>
                  <a:lstStyle/>
                  <a:p>
                    <a:fld id="{E2C84284-2FA7-4373-85D0-589B521ADF6D}"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F3-4BB8-BEDE-49888A2550F4}"/>
                </c:ext>
              </c:extLst>
            </c:dLbl>
            <c:dLbl>
              <c:idx val="12"/>
              <c:tx>
                <c:rich>
                  <a:bodyPr/>
                  <a:lstStyle/>
                  <a:p>
                    <a:fld id="{236AD458-E866-4359-8F6D-A09CD15AD8EA}"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F3-4BB8-BEDE-49888A2550F4}"/>
                </c:ext>
              </c:extLst>
            </c:dLbl>
            <c:dLbl>
              <c:idx val="13"/>
              <c:tx>
                <c:rich>
                  <a:bodyPr/>
                  <a:lstStyle/>
                  <a:p>
                    <a:fld id="{E89234FE-5B6A-4C7D-B29E-452F182B50B2}"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F3-4BB8-BEDE-49888A2550F4}"/>
                </c:ext>
              </c:extLst>
            </c:dLbl>
            <c:dLbl>
              <c:idx val="14"/>
              <c:tx>
                <c:rich>
                  <a:bodyPr/>
                  <a:lstStyle/>
                  <a:p>
                    <a:fld id="{64806DC4-E469-4B7B-9803-714270098FA6}"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F3-4BB8-BEDE-49888A2550F4}"/>
                </c:ext>
              </c:extLst>
            </c:dLbl>
            <c:dLbl>
              <c:idx val="15"/>
              <c:tx>
                <c:rich>
                  <a:bodyPr/>
                  <a:lstStyle/>
                  <a:p>
                    <a:fld id="{621E1A9D-54EA-4323-A6BB-446764CDD87F}"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3F3-4BB8-BEDE-49888A2550F4}"/>
                </c:ext>
              </c:extLst>
            </c:dLbl>
            <c:dLbl>
              <c:idx val="16"/>
              <c:tx>
                <c:rich>
                  <a:bodyPr/>
                  <a:lstStyle/>
                  <a:p>
                    <a:fld id="{B76DF89F-72E3-4BA4-8D08-089348A02189}" type="CELLRANGE">
                      <a:rPr lang="es-CO"/>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3F3-4BB8-BEDE-49888A2550F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Resumen!$B$57:$B$73</c:f>
              <c:strCache>
                <c:ptCount val="17"/>
                <c:pt idx="0">
                  <c:v>1. Fin de la pobreza</c:v>
                </c:pt>
                <c:pt idx="1">
                  <c:v>2. Hambre cero</c:v>
                </c:pt>
                <c:pt idx="2">
                  <c:v>3. Salud y bienestar</c:v>
                </c:pt>
                <c:pt idx="3">
                  <c:v>4. Educación de calidad</c:v>
                </c:pt>
                <c:pt idx="4">
                  <c:v>5. Igualdad de género</c:v>
                </c:pt>
                <c:pt idx="5">
                  <c:v>6. Agua limpia y saneamiento</c:v>
                </c:pt>
                <c:pt idx="6">
                  <c:v>7. Energía asequible y no contaminante</c:v>
                </c:pt>
                <c:pt idx="7">
                  <c:v>8. Trabajo decente y crecimiento económico</c:v>
                </c:pt>
                <c:pt idx="8">
                  <c:v>9. Industria, innovación e infraestructura</c:v>
                </c:pt>
                <c:pt idx="9">
                  <c:v>10. Reducción de las desigualdades</c:v>
                </c:pt>
                <c:pt idx="10">
                  <c:v>11. Ciudades y comunidades sostenibles</c:v>
                </c:pt>
                <c:pt idx="11">
                  <c:v>12. Producción y consumo responsables</c:v>
                </c:pt>
                <c:pt idx="12">
                  <c:v>13. Acción por el clima</c:v>
                </c:pt>
                <c:pt idx="13">
                  <c:v>14. Vida submarina</c:v>
                </c:pt>
                <c:pt idx="14">
                  <c:v>15. Vida de ecosistemas terrestres</c:v>
                </c:pt>
                <c:pt idx="15">
                  <c:v>16. Paz, justicia e instituciones sólidas</c:v>
                </c:pt>
                <c:pt idx="16">
                  <c:v>17. Alianzas para lograr los objetivos</c:v>
                </c:pt>
              </c:strCache>
            </c:strRef>
          </c:cat>
          <c:val>
            <c:numRef>
              <c:f>Resumen!$H$57:$H$73</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5="http://schemas.microsoft.com/office/drawing/2012/chart" uri="{02D57815-91ED-43cb-92C2-25804820EDAC}">
              <c15:datalabelsRange>
                <c15:f>Resumen!$I$57:$I$73</c15:f>
                <c15:dlblRangeCache>
                  <c:ptCount val="17"/>
                  <c:pt idx="0">
                    <c:v>#¡DIV/0!</c:v>
                  </c:pt>
                  <c:pt idx="1">
                    <c:v>#¡DIV/0!</c:v>
                  </c:pt>
                  <c:pt idx="2">
                    <c:v>#¡DIV/0!</c:v>
                  </c:pt>
                  <c:pt idx="3">
                    <c:v>#¡DIV/0!</c:v>
                  </c:pt>
                  <c:pt idx="4">
                    <c:v>#¡DIV/0!</c:v>
                  </c:pt>
                  <c:pt idx="5">
                    <c:v>#¡DIV/0!</c:v>
                  </c:pt>
                  <c:pt idx="6">
                    <c:v>#¡DIV/0!</c:v>
                  </c:pt>
                  <c:pt idx="7">
                    <c:v>#¡DIV/0!</c:v>
                  </c:pt>
                  <c:pt idx="8">
                    <c:v>#¡DIV/0!</c:v>
                  </c:pt>
                  <c:pt idx="9">
                    <c:v>#¡DIV/0!</c:v>
                  </c:pt>
                  <c:pt idx="10">
                    <c:v>#¡DIV/0!</c:v>
                  </c:pt>
                  <c:pt idx="11">
                    <c:v>#¡DIV/0!</c:v>
                  </c:pt>
                  <c:pt idx="12">
                    <c:v>#¡DIV/0!</c:v>
                  </c:pt>
                  <c:pt idx="13">
                    <c:v>#¡DIV/0!</c:v>
                  </c:pt>
                  <c:pt idx="14">
                    <c:v>#¡DIV/0!</c:v>
                  </c:pt>
                  <c:pt idx="15">
                    <c:v>#¡DIV/0!</c:v>
                  </c:pt>
                  <c:pt idx="16">
                    <c:v>#¡DIV/0!</c:v>
                  </c:pt>
                </c15:dlblRangeCache>
              </c15:datalabelsRange>
            </c:ext>
            <c:ext xmlns:c16="http://schemas.microsoft.com/office/drawing/2014/chart" uri="{C3380CC4-5D6E-409C-BE32-E72D297353CC}">
              <c16:uniqueId val="{00000000-53F3-4BB8-BEDE-49888A2550F4}"/>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r>
              <a:rPr lang="en-US" sz="1100" b="1">
                <a:latin typeface="+mj-lt"/>
              </a:rPr>
              <a:t>Monto programado por línea estratégica* (en millones de pesos)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j-lt"/>
              <a:ea typeface="+mn-ea"/>
              <a:cs typeface="+mn-cs"/>
            </a:defRPr>
          </a:pPr>
          <a:endParaRPr lang="en-US"/>
        </a:p>
      </c:txPr>
    </c:title>
    <c:autoTitleDeleted val="0"/>
    <c:plotArea>
      <c:layout>
        <c:manualLayout>
          <c:layoutTarget val="inner"/>
          <c:xMode val="edge"/>
          <c:yMode val="edge"/>
          <c:x val="0.27898671917919748"/>
          <c:y val="0.11659932659932661"/>
          <c:w val="0.66433337949485105"/>
          <c:h val="0.83710667416572926"/>
        </c:manualLayout>
      </c:layout>
      <c:barChart>
        <c:barDir val="bar"/>
        <c:grouping val="clustered"/>
        <c:varyColors val="0"/>
        <c:ser>
          <c:idx val="0"/>
          <c:order val="0"/>
          <c:spPr>
            <a:solidFill>
              <a:srgbClr val="60B99A"/>
            </a:solidFill>
            <a:ln>
              <a:noFill/>
            </a:ln>
            <a:effectLst/>
          </c:spPr>
          <c:invertIfNegative val="0"/>
          <c:dLbls>
            <c:dLbl>
              <c:idx val="0"/>
              <c:tx>
                <c:rich>
                  <a:bodyPr/>
                  <a:lstStyle/>
                  <a:p>
                    <a:fld id="{49A901A0-6390-4DDB-B0B9-E75752929833}" type="CELLRANGE">
                      <a:rPr lang="en-US"/>
                      <a:pPr/>
                      <a:t>[CELLRANGE]</a:t>
                    </a:fld>
                    <a:endParaRPr lang="es-CO"/>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3F4-43EE-A6A9-753ABBA3EEF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[0]!nombreslineasest</c:f>
              <c:strCache>
                <c:ptCount val="1"/>
                <c:pt idx="0">
                  <c:v>NA</c:v>
                </c:pt>
              </c:strCache>
            </c:strRef>
          </c:cat>
          <c:val>
            <c:numRef>
              <c:f>[0]!valoreslineasest</c:f>
              <c:numCache>
                <c:formatCode>#,##0</c:formatCode>
                <c:ptCount val="1"/>
                <c:pt idx="0">
                  <c:v>0</c:v>
                </c:pt>
              </c:numCache>
            </c:numRef>
          </c:val>
          <c:extLst>
            <c:ext xmlns:c15="http://schemas.microsoft.com/office/drawing/2012/chart" uri="{02D57815-91ED-43cb-92C2-25804820EDAC}">
              <c15:datalabelsRange>
                <c15:f>Resumen!$W$7:$W$75</c15:f>
                <c15:dlblRangeCache>
                  <c:ptCount val="69"/>
                </c15:dlblRangeCache>
              </c15:datalabelsRange>
            </c:ext>
            <c:ext xmlns:c16="http://schemas.microsoft.com/office/drawing/2014/chart" uri="{C3380CC4-5D6E-409C-BE32-E72D297353CC}">
              <c16:uniqueId val="{00000020-EAAB-468A-8713-3B6913F63213}"/>
            </c:ext>
          </c:extLst>
        </c:ser>
        <c:dLbls>
          <c:dLblPos val="outEnd"/>
          <c:showLegendKey val="0"/>
          <c:showVal val="1"/>
          <c:showCatName val="0"/>
          <c:showSerName val="0"/>
          <c:showPercent val="0"/>
          <c:showBubbleSize val="0"/>
        </c:dLbls>
        <c:gapWidth val="25"/>
        <c:axId val="1629265823"/>
        <c:axId val="1629268703"/>
      </c:barChart>
      <c:catAx>
        <c:axId val="1629265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629268703"/>
        <c:crosses val="autoZero"/>
        <c:auto val="0"/>
        <c:lblAlgn val="ctr"/>
        <c:lblOffset val="100"/>
        <c:noMultiLvlLbl val="0"/>
      </c:catAx>
      <c:valAx>
        <c:axId val="162926870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9265823"/>
        <c:crosses val="max"/>
        <c:crossBetween val="between"/>
      </c:valAx>
      <c:spPr>
        <a:noFill/>
        <a:ln>
          <a:noFill/>
        </a:ln>
        <a:effectLst/>
      </c:spPr>
    </c:plotArea>
    <c:plotVisOnly val="0"/>
    <c:dispBlanksAs val="gap"/>
    <c:showDLblsOverMax val="0"/>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0018957477453"/>
          <c:y val="1.4814814814814815E-2"/>
          <c:w val="0.38169262531008191"/>
          <c:h val="0.96296296296296291"/>
        </c:manualLayout>
      </c:layout>
      <c:pieChart>
        <c:varyColors val="1"/>
        <c:ser>
          <c:idx val="0"/>
          <c:order val="0"/>
          <c:spPr>
            <a:solidFill>
              <a:srgbClr val="C373B6"/>
            </a:solidFill>
            <a:ln>
              <a:noFill/>
            </a:ln>
          </c:spPr>
          <c:dPt>
            <c:idx val="0"/>
            <c:bubble3D val="0"/>
            <c:spPr>
              <a:solidFill>
                <a:srgbClr val="A65CC4"/>
              </a:solidFill>
              <a:ln w="19050">
                <a:noFill/>
              </a:ln>
              <a:effectLst/>
            </c:spPr>
            <c:extLst>
              <c:ext xmlns:c16="http://schemas.microsoft.com/office/drawing/2014/chart" uri="{C3380CC4-5D6E-409C-BE32-E72D297353CC}">
                <c16:uniqueId val="{00000001-772A-4EA5-895F-383FD42FDA66}"/>
              </c:ext>
            </c:extLst>
          </c:dPt>
          <c:dPt>
            <c:idx val="1"/>
            <c:bubble3D val="0"/>
            <c:spPr>
              <a:solidFill>
                <a:srgbClr val="D165AA"/>
              </a:solidFill>
              <a:ln w="19050">
                <a:noFill/>
              </a:ln>
              <a:effectLst/>
            </c:spPr>
            <c:extLst>
              <c:ext xmlns:c16="http://schemas.microsoft.com/office/drawing/2014/chart" uri="{C3380CC4-5D6E-409C-BE32-E72D297353CC}">
                <c16:uniqueId val="{00000003-772A-4EA5-895F-383FD42FDA66}"/>
              </c:ext>
            </c:extLst>
          </c:dPt>
          <c:dPt>
            <c:idx val="2"/>
            <c:bubble3D val="0"/>
            <c:spPr>
              <a:solidFill>
                <a:srgbClr val="E68297"/>
              </a:solidFill>
              <a:ln w="19050">
                <a:noFill/>
              </a:ln>
              <a:effectLst/>
            </c:spPr>
            <c:extLst>
              <c:ext xmlns:c16="http://schemas.microsoft.com/office/drawing/2014/chart" uri="{C3380CC4-5D6E-409C-BE32-E72D297353CC}">
                <c16:uniqueId val="{00000005-772A-4EA5-895F-383FD42FDA66}"/>
              </c:ext>
            </c:extLst>
          </c:dPt>
          <c:dPt>
            <c:idx val="3"/>
            <c:bubble3D val="0"/>
            <c:spPr>
              <a:solidFill>
                <a:srgbClr val="F8A39A"/>
              </a:solidFill>
              <a:ln w="19050">
                <a:noFill/>
              </a:ln>
              <a:effectLst/>
            </c:spPr>
            <c:extLst>
              <c:ext xmlns:c16="http://schemas.microsoft.com/office/drawing/2014/chart" uri="{C3380CC4-5D6E-409C-BE32-E72D297353CC}">
                <c16:uniqueId val="{00000007-772A-4EA5-895F-383FD42FDA66}"/>
              </c:ext>
            </c:extLst>
          </c:dPt>
          <c:dPt>
            <c:idx val="4"/>
            <c:bubble3D val="0"/>
            <c:spPr>
              <a:solidFill>
                <a:srgbClr val="FBC997"/>
              </a:solidFill>
              <a:ln w="19050">
                <a:noFill/>
              </a:ln>
              <a:effectLst/>
            </c:spPr>
            <c:extLst>
              <c:ext xmlns:c16="http://schemas.microsoft.com/office/drawing/2014/chart" uri="{C3380CC4-5D6E-409C-BE32-E72D297353CC}">
                <c16:uniqueId val="{00000009-772A-4EA5-895F-383FD42FDA66}"/>
              </c:ext>
            </c:extLst>
          </c:dPt>
          <c:dPt>
            <c:idx val="5"/>
            <c:bubble3D val="0"/>
            <c:spPr>
              <a:solidFill>
                <a:srgbClr val="ADEC9E"/>
              </a:solidFill>
              <a:ln w="19050">
                <a:noFill/>
              </a:ln>
              <a:effectLst/>
            </c:spPr>
            <c:extLst>
              <c:ext xmlns:c16="http://schemas.microsoft.com/office/drawing/2014/chart" uri="{C3380CC4-5D6E-409C-BE32-E72D297353CC}">
                <c16:uniqueId val="{0000000B-9686-43CC-A90F-CD97B669F8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Resumen!$B$95:$B$100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A-772A-4EA5-895F-383FD42FDA6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249554</xdr:colOff>
      <xdr:row>0</xdr:row>
      <xdr:rowOff>171450</xdr:rowOff>
    </xdr:from>
    <xdr:to>
      <xdr:col>2</xdr:col>
      <xdr:colOff>373379</xdr:colOff>
      <xdr:row>1</xdr:row>
      <xdr:rowOff>22025</xdr:rowOff>
    </xdr:to>
    <xdr:pic>
      <xdr:nvPicPr>
        <xdr:cNvPr id="9" name="Imagen 8">
          <a:extLst>
            <a:ext uri="{FF2B5EF4-FFF2-40B4-BE49-F238E27FC236}">
              <a16:creationId xmlns:a16="http://schemas.microsoft.com/office/drawing/2014/main" id="{429447C4-62D8-7086-51BB-9F33F393A8DD}"/>
            </a:ext>
          </a:extLst>
        </xdr:cNvPr>
        <xdr:cNvPicPr>
          <a:picLocks noChangeAspect="1"/>
        </xdr:cNvPicPr>
      </xdr:nvPicPr>
      <xdr:blipFill>
        <a:blip xmlns:r="http://schemas.openxmlformats.org/officeDocument/2006/relationships" r:embed="rId1"/>
        <a:stretch>
          <a:fillRect/>
        </a:stretch>
      </xdr:blipFill>
      <xdr:spPr>
        <a:xfrm>
          <a:off x="249554" y="171450"/>
          <a:ext cx="1716405" cy="810695"/>
        </a:xfrm>
        <a:prstGeom prst="rect">
          <a:avLst/>
        </a:prstGeom>
      </xdr:spPr>
    </xdr:pic>
    <xdr:clientData/>
  </xdr:twoCellAnchor>
  <xdr:twoCellAnchor editAs="absolute">
    <xdr:from>
      <xdr:col>1</xdr:col>
      <xdr:colOff>0</xdr:colOff>
      <xdr:row>46</xdr:row>
      <xdr:rowOff>0</xdr:rowOff>
    </xdr:from>
    <xdr:to>
      <xdr:col>7</xdr:col>
      <xdr:colOff>0</xdr:colOff>
      <xdr:row>74</xdr:row>
      <xdr:rowOff>0</xdr:rowOff>
    </xdr:to>
    <xdr:graphicFrame macro="">
      <xdr:nvGraphicFramePr>
        <xdr:cNvPr id="10" name="Gráfico 9">
          <a:extLst>
            <a:ext uri="{FF2B5EF4-FFF2-40B4-BE49-F238E27FC236}">
              <a16:creationId xmlns:a16="http://schemas.microsoft.com/office/drawing/2014/main" id="{0E6B3274-7F69-07E7-C2ED-13BBD9E54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0</xdr:colOff>
      <xdr:row>46</xdr:row>
      <xdr:rowOff>0</xdr:rowOff>
    </xdr:from>
    <xdr:to>
      <xdr:col>13</xdr:col>
      <xdr:colOff>0</xdr:colOff>
      <xdr:row>74</xdr:row>
      <xdr:rowOff>0</xdr:rowOff>
    </xdr:to>
    <xdr:graphicFrame macro="">
      <xdr:nvGraphicFramePr>
        <xdr:cNvPr id="11" name="Gráfico 10">
          <a:extLst>
            <a:ext uri="{FF2B5EF4-FFF2-40B4-BE49-F238E27FC236}">
              <a16:creationId xmlns:a16="http://schemas.microsoft.com/office/drawing/2014/main" id="{DDD922E9-F3B1-4056-AD1E-D584EDB0B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0</xdr:colOff>
      <xdr:row>17</xdr:row>
      <xdr:rowOff>0</xdr:rowOff>
    </xdr:from>
    <xdr:to>
      <xdr:col>13</xdr:col>
      <xdr:colOff>0</xdr:colOff>
      <xdr:row>46</xdr:row>
      <xdr:rowOff>0</xdr:rowOff>
    </xdr:to>
    <xdr:graphicFrame macro="">
      <xdr:nvGraphicFramePr>
        <xdr:cNvPr id="29" name="Gráfico 28">
          <a:extLst>
            <a:ext uri="{FF2B5EF4-FFF2-40B4-BE49-F238E27FC236}">
              <a16:creationId xmlns:a16="http://schemas.microsoft.com/office/drawing/2014/main" id="{F900B710-7DA2-43DD-BF7C-83ADE202F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18</xdr:row>
      <xdr:rowOff>0</xdr:rowOff>
    </xdr:from>
    <xdr:to>
      <xdr:col>7</xdr:col>
      <xdr:colOff>0</xdr:colOff>
      <xdr:row>43</xdr:row>
      <xdr:rowOff>0</xdr:rowOff>
    </xdr:to>
    <xdr:graphicFrame macro="">
      <xdr:nvGraphicFramePr>
        <xdr:cNvPr id="30" name="Gráfico 29">
          <a:extLst>
            <a:ext uri="{FF2B5EF4-FFF2-40B4-BE49-F238E27FC236}">
              <a16:creationId xmlns:a16="http://schemas.microsoft.com/office/drawing/2014/main" id="{F5C341FE-74B7-4B89-8812-8722A34F1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0</xdr:colOff>
      <xdr:row>93</xdr:row>
      <xdr:rowOff>0</xdr:rowOff>
    </xdr:from>
    <xdr:to>
      <xdr:col>13</xdr:col>
      <xdr:colOff>0</xdr:colOff>
      <xdr:row>101</xdr:row>
      <xdr:rowOff>0</xdr:rowOff>
    </xdr:to>
    <xdr:graphicFrame macro="">
      <xdr:nvGraphicFramePr>
        <xdr:cNvPr id="3" name="Gráfico 2">
          <a:extLst>
            <a:ext uri="{FF2B5EF4-FFF2-40B4-BE49-F238E27FC236}">
              <a16:creationId xmlns:a16="http://schemas.microsoft.com/office/drawing/2014/main" id="{E951E863-527F-4EC4-B409-F5B020577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0</xdr:colOff>
      <xdr:row>112</xdr:row>
      <xdr:rowOff>0</xdr:rowOff>
    </xdr:from>
    <xdr:to>
      <xdr:col>9</xdr:col>
      <xdr:colOff>0</xdr:colOff>
      <xdr:row>120</xdr:row>
      <xdr:rowOff>0</xdr:rowOff>
    </xdr:to>
    <xdr:grpSp>
      <xdr:nvGrpSpPr>
        <xdr:cNvPr id="4" name="Grupo 3">
          <a:extLst>
            <a:ext uri="{FF2B5EF4-FFF2-40B4-BE49-F238E27FC236}">
              <a16:creationId xmlns:a16="http://schemas.microsoft.com/office/drawing/2014/main" id="{80528A17-19CF-4C80-8F40-C3938E99294E}"/>
            </a:ext>
          </a:extLst>
        </xdr:cNvPr>
        <xdr:cNvGrpSpPr>
          <a:grpSpLocks noChangeAspect="1"/>
        </xdr:cNvGrpSpPr>
      </xdr:nvGrpSpPr>
      <xdr:grpSpPr>
        <a:xfrm>
          <a:off x="4650441" y="22860000"/>
          <a:ext cx="4123765" cy="1524000"/>
          <a:chOff x="6902824" y="29619388"/>
          <a:chExt cx="3270325" cy="2006526"/>
        </a:xfrm>
      </xdr:grpSpPr>
      <xdr:sp macro="" textlink="$R$110">
        <xdr:nvSpPr>
          <xdr:cNvPr id="5" name="Forma libre: forma 4">
            <a:extLst>
              <a:ext uri="{FF2B5EF4-FFF2-40B4-BE49-F238E27FC236}">
                <a16:creationId xmlns:a16="http://schemas.microsoft.com/office/drawing/2014/main" id="{E52B1A9E-CA54-4AB7-7433-644E9F541614}"/>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379054B-11B5-42D2-A69C-E3DE5BC30DC8}" type="TxLink">
              <a:rPr lang="en-US" sz="1400" b="0" i="0" u="none" strike="noStrike">
                <a:solidFill>
                  <a:srgbClr val="000000"/>
                </a:solidFill>
                <a:latin typeface="+mn-lt"/>
                <a:ea typeface="Verdana"/>
              </a:rPr>
              <a:pPr algn="ctr"/>
              <a:t>0 coincidencias</a:t>
            </a:fld>
            <a:endParaRPr lang="en-US" sz="1400">
              <a:latin typeface="+mn-lt"/>
            </a:endParaRPr>
          </a:p>
        </xdr:txBody>
      </xdr:sp>
      <xdr:sp macro="" textlink="$Q$109">
        <xdr:nvSpPr>
          <xdr:cNvPr id="6" name="Forma libre: forma 5">
            <a:extLst>
              <a:ext uri="{FF2B5EF4-FFF2-40B4-BE49-F238E27FC236}">
                <a16:creationId xmlns:a16="http://schemas.microsoft.com/office/drawing/2014/main" id="{7B6FDB5E-EF03-F8BE-D836-B39A11E8C503}"/>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208795D3-8938-4287-88D2-820E25FB89B4}" type="TxLink">
              <a:rPr lang="en-US" sz="1400" b="0" i="0" u="none" strike="noStrike">
                <a:solidFill>
                  <a:srgbClr val="000000"/>
                </a:solidFill>
                <a:latin typeface="+mn-lt"/>
                <a:ea typeface="Verdana"/>
              </a:rPr>
              <a:pPr algn="ctr"/>
              <a:t>0</a:t>
            </a:fld>
            <a:endParaRPr lang="en-US" sz="1400">
              <a:latin typeface="+mn-lt"/>
            </a:endParaRPr>
          </a:p>
        </xdr:txBody>
      </xdr:sp>
      <xdr:sp macro="" textlink="$Q$111">
        <xdr:nvSpPr>
          <xdr:cNvPr id="8" name="Forma libre: forma 7">
            <a:extLst>
              <a:ext uri="{FF2B5EF4-FFF2-40B4-BE49-F238E27FC236}">
                <a16:creationId xmlns:a16="http://schemas.microsoft.com/office/drawing/2014/main" id="{E5122033-FB52-1742-0D32-AABD621BFC67}"/>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C6624074-2077-4ED6-960C-0C5783F361EB}"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2" name="Elipse 11">
            <a:extLst>
              <a:ext uri="{FF2B5EF4-FFF2-40B4-BE49-F238E27FC236}">
                <a16:creationId xmlns:a16="http://schemas.microsoft.com/office/drawing/2014/main" id="{B394540E-B2D4-8E32-0D03-75E3A50C1C70}"/>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3" name="Elipse 12">
            <a:extLst>
              <a:ext uri="{FF2B5EF4-FFF2-40B4-BE49-F238E27FC236}">
                <a16:creationId xmlns:a16="http://schemas.microsoft.com/office/drawing/2014/main" id="{ADC1EE1E-0A1F-0360-A947-DA330CCCF791}"/>
              </a:ext>
            </a:extLst>
          </xdr:cNvPr>
          <xdr:cNvSpPr/>
        </xdr:nvSpPr>
        <xdr:spPr>
          <a:xfrm>
            <a:off x="7931971" y="29619389"/>
            <a:ext cx="2241177" cy="2006525"/>
          </a:xfrm>
          <a:prstGeom prst="ellipse">
            <a:avLst/>
          </a:prstGeom>
          <a:noFill/>
          <a:ln>
            <a:solidFill>
              <a:srgbClr val="AFA927">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5</xdr:col>
      <xdr:colOff>0</xdr:colOff>
      <xdr:row>82</xdr:row>
      <xdr:rowOff>0</xdr:rowOff>
    </xdr:from>
    <xdr:to>
      <xdr:col>9</xdr:col>
      <xdr:colOff>0</xdr:colOff>
      <xdr:row>90</xdr:row>
      <xdr:rowOff>0</xdr:rowOff>
    </xdr:to>
    <xdr:grpSp>
      <xdr:nvGrpSpPr>
        <xdr:cNvPr id="2" name="Grupo 1">
          <a:extLst>
            <a:ext uri="{FF2B5EF4-FFF2-40B4-BE49-F238E27FC236}">
              <a16:creationId xmlns:a16="http://schemas.microsoft.com/office/drawing/2014/main" id="{8F678206-92CC-46F4-A511-C844D62EAFB7}"/>
            </a:ext>
          </a:extLst>
        </xdr:cNvPr>
        <xdr:cNvGrpSpPr>
          <a:grpSpLocks noChangeAspect="1"/>
        </xdr:cNvGrpSpPr>
      </xdr:nvGrpSpPr>
      <xdr:grpSpPr>
        <a:xfrm>
          <a:off x="4650441" y="17111382"/>
          <a:ext cx="4123765" cy="1524000"/>
          <a:chOff x="6902824" y="29619388"/>
          <a:chExt cx="3270325" cy="2006526"/>
        </a:xfrm>
      </xdr:grpSpPr>
      <xdr:sp macro="" textlink="$R$93">
        <xdr:nvSpPr>
          <xdr:cNvPr id="14" name="Forma libre: forma 13">
            <a:extLst>
              <a:ext uri="{FF2B5EF4-FFF2-40B4-BE49-F238E27FC236}">
                <a16:creationId xmlns:a16="http://schemas.microsoft.com/office/drawing/2014/main" id="{6B786AE8-2ACB-26E4-90D6-ABB60D0553F0}"/>
              </a:ext>
            </a:extLst>
          </xdr:cNvPr>
          <xdr:cNvSpPr/>
        </xdr:nvSpPr>
        <xdr:spPr>
          <a:xfrm>
            <a:off x="7931971" y="29731264"/>
            <a:ext cx="1216961" cy="1782776"/>
          </a:xfrm>
          <a:custGeom>
            <a:avLst/>
            <a:gdLst>
              <a:gd name="connsiteX0" fmla="*/ 607812 w 1216961"/>
              <a:gd name="connsiteY0" fmla="*/ 0 h 1782776"/>
              <a:gd name="connsiteX1" fmla="*/ 629221 w 1216961"/>
              <a:gd name="connsiteY1" fmla="*/ 9213 h 1782776"/>
              <a:gd name="connsiteX2" fmla="*/ 1216961 w 1216961"/>
              <a:gd name="connsiteY2" fmla="*/ 891388 h 1782776"/>
              <a:gd name="connsiteX3" fmla="*/ 629221 w 1216961"/>
              <a:gd name="connsiteY3" fmla="*/ 1773563 h 1782776"/>
              <a:gd name="connsiteX4" fmla="*/ 607812 w 1216961"/>
              <a:gd name="connsiteY4" fmla="*/ 1782776 h 1782776"/>
              <a:gd name="connsiteX5" fmla="*/ 586450 w 1216961"/>
              <a:gd name="connsiteY5" fmla="*/ 1773563 h 1782776"/>
              <a:gd name="connsiteX6" fmla="*/ 0 w 1216961"/>
              <a:gd name="connsiteY6" fmla="*/ 891388 h 1782776"/>
              <a:gd name="connsiteX7" fmla="*/ 586450 w 1216961"/>
              <a:gd name="connsiteY7" fmla="*/ 9213 h 1782776"/>
              <a:gd name="connsiteX8" fmla="*/ 607812 w 1216961"/>
              <a:gd name="connsiteY8" fmla="*/ 0 h 17827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216961" h="1782776">
                <a:moveTo>
                  <a:pt x="607812" y="0"/>
                </a:moveTo>
                <a:lnTo>
                  <a:pt x="629221" y="9213"/>
                </a:lnTo>
                <a:cubicBezTo>
                  <a:pt x="979306" y="179105"/>
                  <a:pt x="1216961" y="510453"/>
                  <a:pt x="1216961" y="891388"/>
                </a:cubicBezTo>
                <a:cubicBezTo>
                  <a:pt x="1216961" y="1272323"/>
                  <a:pt x="979306" y="1603671"/>
                  <a:pt x="629221" y="1773563"/>
                </a:cubicBezTo>
                <a:lnTo>
                  <a:pt x="607812" y="1782776"/>
                </a:lnTo>
                <a:lnTo>
                  <a:pt x="586450" y="1773563"/>
                </a:lnTo>
                <a:cubicBezTo>
                  <a:pt x="237134" y="1603671"/>
                  <a:pt x="0" y="1272323"/>
                  <a:pt x="0" y="891388"/>
                </a:cubicBezTo>
                <a:cubicBezTo>
                  <a:pt x="0" y="510453"/>
                  <a:pt x="237134" y="179105"/>
                  <a:pt x="586450" y="9213"/>
                </a:cubicBezTo>
                <a:lnTo>
                  <a:pt x="607812"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fld id="{042FA624-CE2C-4285-95D0-E93D82F1F817}" type="TxLink">
              <a:rPr lang="en-US" sz="1400" b="0" i="0" u="none" strike="noStrike">
                <a:solidFill>
                  <a:srgbClr val="000000"/>
                </a:solidFill>
                <a:latin typeface="Calibri"/>
                <a:ea typeface="Calibri"/>
                <a:cs typeface="Calibri"/>
              </a:rPr>
              <a:pPr algn="ctr"/>
              <a:t>0 coincidencias</a:t>
            </a:fld>
            <a:endParaRPr lang="en-US" sz="1400">
              <a:latin typeface="+mn-lt"/>
            </a:endParaRPr>
          </a:p>
        </xdr:txBody>
      </xdr:sp>
      <xdr:sp macro="" textlink="$Q$92">
        <xdr:nvSpPr>
          <xdr:cNvPr id="15" name="Forma libre: forma 14">
            <a:extLst>
              <a:ext uri="{FF2B5EF4-FFF2-40B4-BE49-F238E27FC236}">
                <a16:creationId xmlns:a16="http://schemas.microsoft.com/office/drawing/2014/main" id="{B22F5328-AB0F-050A-2DE1-EB10E804ABC9}"/>
              </a:ext>
            </a:extLst>
          </xdr:cNvPr>
          <xdr:cNvSpPr/>
        </xdr:nvSpPr>
        <xdr:spPr>
          <a:xfrm>
            <a:off x="6902824" y="29619388"/>
            <a:ext cx="1636959" cy="2006526"/>
          </a:xfrm>
          <a:custGeom>
            <a:avLst/>
            <a:gdLst>
              <a:gd name="connsiteX0" fmla="*/ 1123054 w 1636959"/>
              <a:gd name="connsiteY0" fmla="*/ 0 h 2006526"/>
              <a:gd name="connsiteX1" fmla="*/ 1560197 w 1636959"/>
              <a:gd name="connsiteY1" fmla="*/ 78841 h 2006526"/>
              <a:gd name="connsiteX2" fmla="*/ 1636959 w 1636959"/>
              <a:gd name="connsiteY2" fmla="*/ 111875 h 2006526"/>
              <a:gd name="connsiteX3" fmla="*/ 1615597 w 1636959"/>
              <a:gd name="connsiteY3" fmla="*/ 121088 h 2006526"/>
              <a:gd name="connsiteX4" fmla="*/ 1029147 w 1636959"/>
              <a:gd name="connsiteY4" fmla="*/ 1003263 h 2006526"/>
              <a:gd name="connsiteX5" fmla="*/ 1615597 w 1636959"/>
              <a:gd name="connsiteY5" fmla="*/ 1885438 h 2006526"/>
              <a:gd name="connsiteX6" fmla="*/ 1636959 w 1636959"/>
              <a:gd name="connsiteY6" fmla="*/ 1894651 h 2006526"/>
              <a:gd name="connsiteX7" fmla="*/ 1560197 w 1636959"/>
              <a:gd name="connsiteY7" fmla="*/ 1927685 h 2006526"/>
              <a:gd name="connsiteX8" fmla="*/ 1123054 w 1636959"/>
              <a:gd name="connsiteY8" fmla="*/ 2006526 h 2006526"/>
              <a:gd name="connsiteX9" fmla="*/ 0 w 1636959"/>
              <a:gd name="connsiteY9" fmla="*/ 1003263 h 2006526"/>
              <a:gd name="connsiteX10" fmla="*/ 1123054 w 1636959"/>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6959" h="2006526">
                <a:moveTo>
                  <a:pt x="1123054" y="0"/>
                </a:moveTo>
                <a:cubicBezTo>
                  <a:pt x="1278116" y="0"/>
                  <a:pt x="1425837" y="28074"/>
                  <a:pt x="1560197" y="78841"/>
                </a:cubicBezTo>
                <a:lnTo>
                  <a:pt x="1636959" y="111875"/>
                </a:lnTo>
                <a:lnTo>
                  <a:pt x="1615597" y="121088"/>
                </a:lnTo>
                <a:cubicBezTo>
                  <a:pt x="1266281" y="290980"/>
                  <a:pt x="1029147" y="622328"/>
                  <a:pt x="1029147" y="1003263"/>
                </a:cubicBezTo>
                <a:cubicBezTo>
                  <a:pt x="1029147" y="1384198"/>
                  <a:pt x="1266281" y="1715546"/>
                  <a:pt x="1615597" y="1885438"/>
                </a:cubicBezTo>
                <a:lnTo>
                  <a:pt x="1636959" y="1894651"/>
                </a:lnTo>
                <a:lnTo>
                  <a:pt x="1560197" y="1927685"/>
                </a:lnTo>
                <a:cubicBezTo>
                  <a:pt x="1425837" y="1978453"/>
                  <a:pt x="1278116" y="2006526"/>
                  <a:pt x="1123054" y="2006526"/>
                </a:cubicBezTo>
                <a:cubicBezTo>
                  <a:pt x="502808" y="2006526"/>
                  <a:pt x="0" y="1557350"/>
                  <a:pt x="0" y="1003263"/>
                </a:cubicBezTo>
                <a:cubicBezTo>
                  <a:pt x="0" y="449176"/>
                  <a:pt x="502808" y="0"/>
                  <a:pt x="1123054"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EEFE0424-834C-48B2-ABE1-292AEFB58B6E}" type="TxLink">
              <a:rPr lang="en-US" sz="1400" b="0" i="0" u="none" strike="noStrike">
                <a:solidFill>
                  <a:srgbClr val="000000"/>
                </a:solidFill>
                <a:latin typeface="+mn-lt"/>
                <a:ea typeface="Verdana"/>
              </a:rPr>
              <a:pPr algn="ctr"/>
              <a:t>0</a:t>
            </a:fld>
            <a:endParaRPr lang="en-US" sz="1400">
              <a:latin typeface="+mn-lt"/>
            </a:endParaRPr>
          </a:p>
        </xdr:txBody>
      </xdr:sp>
      <xdr:sp macro="" textlink="$Q$94">
        <xdr:nvSpPr>
          <xdr:cNvPr id="16" name="Forma libre: forma 15">
            <a:extLst>
              <a:ext uri="{FF2B5EF4-FFF2-40B4-BE49-F238E27FC236}">
                <a16:creationId xmlns:a16="http://schemas.microsoft.com/office/drawing/2014/main" id="{3695FD02-B6AD-5344-8F70-C380438A91F6}"/>
              </a:ext>
            </a:extLst>
          </xdr:cNvPr>
          <xdr:cNvSpPr/>
        </xdr:nvSpPr>
        <xdr:spPr>
          <a:xfrm>
            <a:off x="8539783" y="29619388"/>
            <a:ext cx="1633366" cy="2006526"/>
          </a:xfrm>
          <a:custGeom>
            <a:avLst/>
            <a:gdLst>
              <a:gd name="connsiteX0" fmla="*/ 512777 w 1633366"/>
              <a:gd name="connsiteY0" fmla="*/ 0 h 2006526"/>
              <a:gd name="connsiteX1" fmla="*/ 1633366 w 1633366"/>
              <a:gd name="connsiteY1" fmla="*/ 1003263 h 2006526"/>
              <a:gd name="connsiteX2" fmla="*/ 512777 w 1633366"/>
              <a:gd name="connsiteY2" fmla="*/ 2006526 h 2006526"/>
              <a:gd name="connsiteX3" fmla="*/ 76593 w 1633366"/>
              <a:gd name="connsiteY3" fmla="*/ 1927685 h 2006526"/>
              <a:gd name="connsiteX4" fmla="*/ 0 w 1633366"/>
              <a:gd name="connsiteY4" fmla="*/ 1894651 h 2006526"/>
              <a:gd name="connsiteX5" fmla="*/ 21409 w 1633366"/>
              <a:gd name="connsiteY5" fmla="*/ 1885438 h 2006526"/>
              <a:gd name="connsiteX6" fmla="*/ 609149 w 1633366"/>
              <a:gd name="connsiteY6" fmla="*/ 1003263 h 2006526"/>
              <a:gd name="connsiteX7" fmla="*/ 21409 w 1633366"/>
              <a:gd name="connsiteY7" fmla="*/ 121088 h 2006526"/>
              <a:gd name="connsiteX8" fmla="*/ 0 w 1633366"/>
              <a:gd name="connsiteY8" fmla="*/ 111875 h 2006526"/>
              <a:gd name="connsiteX9" fmla="*/ 76593 w 1633366"/>
              <a:gd name="connsiteY9" fmla="*/ 78841 h 2006526"/>
              <a:gd name="connsiteX10" fmla="*/ 512777 w 1633366"/>
              <a:gd name="connsiteY10" fmla="*/ 0 h 20065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633366" h="2006526">
                <a:moveTo>
                  <a:pt x="512777" y="0"/>
                </a:moveTo>
                <a:cubicBezTo>
                  <a:pt x="1131661" y="0"/>
                  <a:pt x="1633366" y="449176"/>
                  <a:pt x="1633366" y="1003263"/>
                </a:cubicBezTo>
                <a:cubicBezTo>
                  <a:pt x="1633366" y="1557350"/>
                  <a:pt x="1131661" y="2006526"/>
                  <a:pt x="512777" y="2006526"/>
                </a:cubicBezTo>
                <a:cubicBezTo>
                  <a:pt x="358056" y="2006526"/>
                  <a:pt x="210659" y="1978453"/>
                  <a:pt x="76593" y="1927685"/>
                </a:cubicBezTo>
                <a:lnTo>
                  <a:pt x="0" y="1894651"/>
                </a:lnTo>
                <a:lnTo>
                  <a:pt x="21409" y="1885438"/>
                </a:lnTo>
                <a:cubicBezTo>
                  <a:pt x="371494" y="1715546"/>
                  <a:pt x="609149" y="1384198"/>
                  <a:pt x="609149" y="1003263"/>
                </a:cubicBezTo>
                <a:cubicBezTo>
                  <a:pt x="609149" y="622328"/>
                  <a:pt x="371494" y="290980"/>
                  <a:pt x="21409" y="121088"/>
                </a:cubicBezTo>
                <a:lnTo>
                  <a:pt x="0" y="111875"/>
                </a:lnTo>
                <a:lnTo>
                  <a:pt x="76593" y="78841"/>
                </a:lnTo>
                <a:cubicBezTo>
                  <a:pt x="210659" y="28074"/>
                  <a:pt x="358056" y="0"/>
                  <a:pt x="512777" y="0"/>
                </a:cubicBez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ctr"/>
            <a:fld id="{5D5CE236-CC04-44F4-8E4F-8203FD51087E}" type="TxLink">
              <a:rPr lang="en-US" sz="1400" b="0" i="0" u="none" strike="noStrike">
                <a:solidFill>
                  <a:srgbClr val="000000"/>
                </a:solidFill>
                <a:latin typeface="+mn-lt"/>
                <a:ea typeface="Verdana"/>
              </a:rPr>
              <a:pPr algn="ctr"/>
              <a:t>0</a:t>
            </a:fld>
            <a:endParaRPr lang="en-US" sz="1400">
              <a:latin typeface="+mn-lt"/>
            </a:endParaRPr>
          </a:p>
        </xdr:txBody>
      </xdr:sp>
      <xdr:sp macro="" textlink="">
        <xdr:nvSpPr>
          <xdr:cNvPr id="17" name="Elipse 16">
            <a:extLst>
              <a:ext uri="{FF2B5EF4-FFF2-40B4-BE49-F238E27FC236}">
                <a16:creationId xmlns:a16="http://schemas.microsoft.com/office/drawing/2014/main" id="{E992395C-DA69-DEBA-6374-EAF453941EF4}"/>
              </a:ext>
            </a:extLst>
          </xdr:cNvPr>
          <xdr:cNvSpPr/>
        </xdr:nvSpPr>
        <xdr:spPr>
          <a:xfrm>
            <a:off x="6902824" y="29619389"/>
            <a:ext cx="2246107" cy="2006525"/>
          </a:xfrm>
          <a:prstGeom prst="ellipse">
            <a:avLst/>
          </a:prstGeom>
          <a:noFill/>
          <a:ln>
            <a:solidFill>
              <a:srgbClr val="4D947B">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sp macro="" textlink="">
        <xdr:nvSpPr>
          <xdr:cNvPr id="18" name="Elipse 17">
            <a:extLst>
              <a:ext uri="{FF2B5EF4-FFF2-40B4-BE49-F238E27FC236}">
                <a16:creationId xmlns:a16="http://schemas.microsoft.com/office/drawing/2014/main" id="{579E954C-2A7C-837B-ED34-247BE398BD67}"/>
              </a:ext>
            </a:extLst>
          </xdr:cNvPr>
          <xdr:cNvSpPr/>
        </xdr:nvSpPr>
        <xdr:spPr>
          <a:xfrm>
            <a:off x="7931971" y="29619389"/>
            <a:ext cx="2241177" cy="2006525"/>
          </a:xfrm>
          <a:prstGeom prst="ellipse">
            <a:avLst/>
          </a:prstGeom>
          <a:noFill/>
          <a:ln>
            <a:solidFill>
              <a:srgbClr val="786256">
                <a:alpha val="4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en-US" sz="1400">
              <a:latin typeface="+mn-lt"/>
            </a:endParaRPr>
          </a:p>
        </xdr:txBody>
      </xdr:sp>
    </xdr:grpSp>
    <xdr:clientData/>
  </xdr:twoCellAnchor>
  <xdr:twoCellAnchor editAs="absolute">
    <xdr:from>
      <xdr:col>11</xdr:col>
      <xdr:colOff>152401</xdr:colOff>
      <xdr:row>0</xdr:row>
      <xdr:rowOff>295836</xdr:rowOff>
    </xdr:from>
    <xdr:to>
      <xdr:col>12</xdr:col>
      <xdr:colOff>1184014</xdr:colOff>
      <xdr:row>0</xdr:row>
      <xdr:rowOff>889160</xdr:rowOff>
    </xdr:to>
    <xdr:pic>
      <xdr:nvPicPr>
        <xdr:cNvPr id="19" name="Gráfico 18">
          <a:extLst>
            <a:ext uri="{FF2B5EF4-FFF2-40B4-BE49-F238E27FC236}">
              <a16:creationId xmlns:a16="http://schemas.microsoft.com/office/drawing/2014/main" id="{3747326D-EBAD-46C7-A748-B1D2C284484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68636" y="295836"/>
          <a:ext cx="2089449" cy="593324"/>
        </a:xfrm>
        <a:prstGeom prst="rect">
          <a:avLst/>
        </a:prstGeom>
      </xdr:spPr>
    </xdr:pic>
    <xdr:clientData/>
  </xdr:twoCellAnchor>
  <xdr:twoCellAnchor editAs="absolute">
    <xdr:from>
      <xdr:col>1</xdr:col>
      <xdr:colOff>818029</xdr:colOff>
      <xdr:row>133</xdr:row>
      <xdr:rowOff>123264</xdr:rowOff>
    </xdr:from>
    <xdr:to>
      <xdr:col>5</xdr:col>
      <xdr:colOff>851647</xdr:colOff>
      <xdr:row>150</xdr:row>
      <xdr:rowOff>123263</xdr:rowOff>
    </xdr:to>
    <xdr:grpSp>
      <xdr:nvGrpSpPr>
        <xdr:cNvPr id="42" name="Grupo 41">
          <a:extLst>
            <a:ext uri="{FF2B5EF4-FFF2-40B4-BE49-F238E27FC236}">
              <a16:creationId xmlns:a16="http://schemas.microsoft.com/office/drawing/2014/main" id="{DC9A9036-9FAA-1CC4-59B2-63A29C5EFD5E}"/>
            </a:ext>
          </a:extLst>
        </xdr:cNvPr>
        <xdr:cNvGrpSpPr/>
      </xdr:nvGrpSpPr>
      <xdr:grpSpPr>
        <a:xfrm>
          <a:off x="1143000" y="27006176"/>
          <a:ext cx="4359088" cy="3238499"/>
          <a:chOff x="1467970" y="26737235"/>
          <a:chExt cx="4235824" cy="3238499"/>
        </a:xfrm>
      </xdr:grpSpPr>
      <xdr:grpSp>
        <xdr:nvGrpSpPr>
          <xdr:cNvPr id="21" name="Grupo 20">
            <a:extLst>
              <a:ext uri="{FF2B5EF4-FFF2-40B4-BE49-F238E27FC236}">
                <a16:creationId xmlns:a16="http://schemas.microsoft.com/office/drawing/2014/main" id="{CA32201B-FF8D-3BE4-78C7-6E6672A40871}"/>
              </a:ext>
            </a:extLst>
          </xdr:cNvPr>
          <xdr:cNvGrpSpPr/>
        </xdr:nvGrpSpPr>
        <xdr:grpSpPr>
          <a:xfrm>
            <a:off x="1467970" y="26737235"/>
            <a:ext cx="4235824" cy="3238499"/>
            <a:chOff x="3575352" y="239547"/>
            <a:chExt cx="5084165" cy="4634459"/>
          </a:xfrm>
        </xdr:grpSpPr>
        <xdr:grpSp>
          <xdr:nvGrpSpPr>
            <xdr:cNvPr id="22" name="Grupo 21">
              <a:extLst>
                <a:ext uri="{FF2B5EF4-FFF2-40B4-BE49-F238E27FC236}">
                  <a16:creationId xmlns:a16="http://schemas.microsoft.com/office/drawing/2014/main" id="{EC8CEA55-0D96-5FA0-5420-F8BEDA7A4B2F}"/>
                </a:ext>
              </a:extLst>
            </xdr:cNvPr>
            <xdr:cNvGrpSpPr/>
          </xdr:nvGrpSpPr>
          <xdr:grpSpPr>
            <a:xfrm>
              <a:off x="3575352" y="239547"/>
              <a:ext cx="5084165" cy="4634459"/>
              <a:chOff x="6627099" y="239547"/>
              <a:chExt cx="5084165" cy="4634459"/>
            </a:xfrm>
          </xdr:grpSpPr>
          <xdr:sp macro="" textlink="">
            <xdr:nvSpPr>
              <xdr:cNvPr id="27" name="Forma libre: forma 26">
                <a:extLst>
                  <a:ext uri="{FF2B5EF4-FFF2-40B4-BE49-F238E27FC236}">
                    <a16:creationId xmlns:a16="http://schemas.microsoft.com/office/drawing/2014/main" id="{81A819C1-C771-06A5-DFFD-8EBB17E79FD5}"/>
                  </a:ext>
                </a:extLst>
              </xdr:cNvPr>
              <xdr:cNvSpPr/>
            </xdr:nvSpPr>
            <xdr:spPr>
              <a:xfrm>
                <a:off x="8159645" y="402360"/>
                <a:ext cx="2019073" cy="1466782"/>
              </a:xfrm>
              <a:custGeom>
                <a:avLst/>
                <a:gdLst>
                  <a:gd name="connsiteX0" fmla="*/ 1009536 w 2019073"/>
                  <a:gd name="connsiteY0" fmla="*/ 0 h 1466782"/>
                  <a:gd name="connsiteX1" fmla="*/ 1090496 w 2019073"/>
                  <a:gd name="connsiteY1" fmla="*/ 36203 h 1466782"/>
                  <a:gd name="connsiteX2" fmla="*/ 2010953 w 2019073"/>
                  <a:gd name="connsiteY2" fmla="*/ 1317513 h 1466782"/>
                  <a:gd name="connsiteX3" fmla="*/ 2019073 w 2019073"/>
                  <a:gd name="connsiteY3" fmla="*/ 1466781 h 1466782"/>
                  <a:gd name="connsiteX4" fmla="*/ 2002703 w 2019073"/>
                  <a:gd name="connsiteY4" fmla="*/ 1455418 h 1466782"/>
                  <a:gd name="connsiteX5" fmla="*/ 1009537 w 2019073"/>
                  <a:gd name="connsiteY5" fmla="*/ 1173809 h 1466782"/>
                  <a:gd name="connsiteX6" fmla="*/ 16371 w 2019073"/>
                  <a:gd name="connsiteY6" fmla="*/ 1455418 h 1466782"/>
                  <a:gd name="connsiteX7" fmla="*/ 0 w 2019073"/>
                  <a:gd name="connsiteY7" fmla="*/ 1466782 h 1466782"/>
                  <a:gd name="connsiteX8" fmla="*/ 8120 w 2019073"/>
                  <a:gd name="connsiteY8" fmla="*/ 1317513 h 1466782"/>
                  <a:gd name="connsiteX9" fmla="*/ 928577 w 2019073"/>
                  <a:gd name="connsiteY9" fmla="*/ 36203 h 1466782"/>
                  <a:gd name="connsiteX10" fmla="*/ 1009536 w 2019073"/>
                  <a:gd name="connsiteY10" fmla="*/ 0 h 14667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19073" h="1466782">
                    <a:moveTo>
                      <a:pt x="1009536" y="0"/>
                    </a:moveTo>
                    <a:lnTo>
                      <a:pt x="1090496" y="36203"/>
                    </a:lnTo>
                    <a:cubicBezTo>
                      <a:pt x="1593885" y="290045"/>
                      <a:pt x="1950309" y="763195"/>
                      <a:pt x="2010953" y="1317513"/>
                    </a:cubicBezTo>
                    <a:lnTo>
                      <a:pt x="2019073" y="1466781"/>
                    </a:lnTo>
                    <a:lnTo>
                      <a:pt x="2002703" y="1455418"/>
                    </a:lnTo>
                    <a:cubicBezTo>
                      <a:pt x="1719198" y="1277625"/>
                      <a:pt x="1377428" y="1173809"/>
                      <a:pt x="1009537" y="1173809"/>
                    </a:cubicBezTo>
                    <a:cubicBezTo>
                      <a:pt x="641646" y="1173809"/>
                      <a:pt x="299876" y="1277625"/>
                      <a:pt x="16371" y="1455418"/>
                    </a:cubicBezTo>
                    <a:lnTo>
                      <a:pt x="0" y="1466782"/>
                    </a:lnTo>
                    <a:lnTo>
                      <a:pt x="8120" y="1317513"/>
                    </a:lnTo>
                    <a:cubicBezTo>
                      <a:pt x="68764" y="763195"/>
                      <a:pt x="425188" y="290045"/>
                      <a:pt x="928577" y="36203"/>
                    </a:cubicBezTo>
                    <a:lnTo>
                      <a:pt x="1009536" y="0"/>
                    </a:lnTo>
                    <a:close/>
                  </a:path>
                </a:pathLst>
              </a:custGeom>
              <a:solidFill>
                <a:srgbClr val="CFDCA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8" name="Forma libre: forma 27">
                <a:extLst>
                  <a:ext uri="{FF2B5EF4-FFF2-40B4-BE49-F238E27FC236}">
                    <a16:creationId xmlns:a16="http://schemas.microsoft.com/office/drawing/2014/main" id="{675AB424-9C3B-21C5-A1F2-D284DD473788}"/>
                  </a:ext>
                </a:extLst>
              </xdr:cNvPr>
              <xdr:cNvSpPr/>
            </xdr:nvSpPr>
            <xdr:spPr>
              <a:xfrm>
                <a:off x="9169181" y="1869141"/>
                <a:ext cx="1776336" cy="1668242"/>
              </a:xfrm>
              <a:custGeom>
                <a:avLst/>
                <a:gdLst>
                  <a:gd name="connsiteX0" fmla="*/ 1009537 w 1776336"/>
                  <a:gd name="connsiteY0" fmla="*/ 0 h 1668242"/>
                  <a:gd name="connsiteX1" fmla="*/ 1129915 w 1776336"/>
                  <a:gd name="connsiteY1" fmla="*/ 83561 h 1668242"/>
                  <a:gd name="connsiteX2" fmla="*/ 1776336 w 1776336"/>
                  <a:gd name="connsiteY2" fmla="*/ 1355946 h 1668242"/>
                  <a:gd name="connsiteX3" fmla="*/ 1775285 w 1776336"/>
                  <a:gd name="connsiteY3" fmla="*/ 1375269 h 1668242"/>
                  <a:gd name="connsiteX4" fmla="*/ 1758914 w 1776336"/>
                  <a:gd name="connsiteY4" fmla="*/ 1386633 h 1668242"/>
                  <a:gd name="connsiteX5" fmla="*/ 765748 w 1776336"/>
                  <a:gd name="connsiteY5" fmla="*/ 1668242 h 1668242"/>
                  <a:gd name="connsiteX6" fmla="*/ 74318 w 1776336"/>
                  <a:gd name="connsiteY6" fmla="*/ 1538662 h 1668242"/>
                  <a:gd name="connsiteX7" fmla="*/ 0 w 1776336"/>
                  <a:gd name="connsiteY7" fmla="*/ 1505429 h 1668242"/>
                  <a:gd name="connsiteX8" fmla="*/ 80960 w 1776336"/>
                  <a:gd name="connsiteY8" fmla="*/ 1469226 h 1668242"/>
                  <a:gd name="connsiteX9" fmla="*/ 1010588 w 1776336"/>
                  <a:gd name="connsiteY9" fmla="*/ 19324 h 1668242"/>
                  <a:gd name="connsiteX10" fmla="*/ 1009537 w 1776336"/>
                  <a:gd name="connsiteY10" fmla="*/ 0 h 16682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6" h="1668242">
                    <a:moveTo>
                      <a:pt x="1009537" y="0"/>
                    </a:moveTo>
                    <a:lnTo>
                      <a:pt x="1129915" y="83561"/>
                    </a:lnTo>
                    <a:cubicBezTo>
                      <a:pt x="1524701" y="385997"/>
                      <a:pt x="1776336" y="843693"/>
                      <a:pt x="1776336" y="1355946"/>
                    </a:cubicBezTo>
                    <a:lnTo>
                      <a:pt x="1775285" y="1375269"/>
                    </a:lnTo>
                    <a:lnTo>
                      <a:pt x="1758914" y="1386633"/>
                    </a:lnTo>
                    <a:cubicBezTo>
                      <a:pt x="1475409" y="1564426"/>
                      <a:pt x="1133639" y="1668242"/>
                      <a:pt x="765748" y="1668242"/>
                    </a:cubicBezTo>
                    <a:cubicBezTo>
                      <a:pt x="520487" y="1668242"/>
                      <a:pt x="286836" y="1622102"/>
                      <a:pt x="74318" y="1538662"/>
                    </a:cubicBezTo>
                    <a:lnTo>
                      <a:pt x="0" y="1505429"/>
                    </a:lnTo>
                    <a:lnTo>
                      <a:pt x="80960" y="1469226"/>
                    </a:lnTo>
                    <a:cubicBezTo>
                      <a:pt x="634688" y="1190000"/>
                      <a:pt x="1010588" y="645411"/>
                      <a:pt x="1010588" y="19324"/>
                    </a:cubicBezTo>
                    <a:lnTo>
                      <a:pt x="1009537" y="0"/>
                    </a:lnTo>
                    <a:close/>
                  </a:path>
                </a:pathLst>
              </a:custGeom>
              <a:solidFill>
                <a:srgbClr val="D6CF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1" name="Forma libre: forma 30">
                <a:extLst>
                  <a:ext uri="{FF2B5EF4-FFF2-40B4-BE49-F238E27FC236}">
                    <a16:creationId xmlns:a16="http://schemas.microsoft.com/office/drawing/2014/main" id="{D33F7ACE-6593-8449-0D8B-106D7FD70C55}"/>
                  </a:ext>
                </a:extLst>
              </xdr:cNvPr>
              <xdr:cNvSpPr/>
            </xdr:nvSpPr>
            <xdr:spPr>
              <a:xfrm>
                <a:off x="7392847" y="1869143"/>
                <a:ext cx="1776334" cy="1668241"/>
              </a:xfrm>
              <a:custGeom>
                <a:avLst/>
                <a:gdLst>
                  <a:gd name="connsiteX0" fmla="*/ 766798 w 1776334"/>
                  <a:gd name="connsiteY0" fmla="*/ 0 h 1668241"/>
                  <a:gd name="connsiteX1" fmla="*/ 765747 w 1776334"/>
                  <a:gd name="connsiteY1" fmla="*/ 19323 h 1668241"/>
                  <a:gd name="connsiteX2" fmla="*/ 1695375 w 1776334"/>
                  <a:gd name="connsiteY2" fmla="*/ 1469225 h 1668241"/>
                  <a:gd name="connsiteX3" fmla="*/ 1776334 w 1776334"/>
                  <a:gd name="connsiteY3" fmla="*/ 1505428 h 1668241"/>
                  <a:gd name="connsiteX4" fmla="*/ 1702017 w 1776334"/>
                  <a:gd name="connsiteY4" fmla="*/ 1538661 h 1668241"/>
                  <a:gd name="connsiteX5" fmla="*/ 1010587 w 1776334"/>
                  <a:gd name="connsiteY5" fmla="*/ 1668241 h 1668241"/>
                  <a:gd name="connsiteX6" fmla="*/ 17421 w 1776334"/>
                  <a:gd name="connsiteY6" fmla="*/ 1386632 h 1668241"/>
                  <a:gd name="connsiteX7" fmla="*/ 1051 w 1776334"/>
                  <a:gd name="connsiteY7" fmla="*/ 1375269 h 1668241"/>
                  <a:gd name="connsiteX8" fmla="*/ 0 w 1776334"/>
                  <a:gd name="connsiteY8" fmla="*/ 1355945 h 1668241"/>
                  <a:gd name="connsiteX9" fmla="*/ 646421 w 1776334"/>
                  <a:gd name="connsiteY9" fmla="*/ 83560 h 1668241"/>
                  <a:gd name="connsiteX10" fmla="*/ 766798 w 1776334"/>
                  <a:gd name="connsiteY10" fmla="*/ 0 h 16682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776334" h="1668241">
                    <a:moveTo>
                      <a:pt x="766798" y="0"/>
                    </a:moveTo>
                    <a:lnTo>
                      <a:pt x="765747" y="19323"/>
                    </a:lnTo>
                    <a:cubicBezTo>
                      <a:pt x="765747" y="645410"/>
                      <a:pt x="1141647" y="1189999"/>
                      <a:pt x="1695375" y="1469225"/>
                    </a:cubicBezTo>
                    <a:lnTo>
                      <a:pt x="1776334" y="1505428"/>
                    </a:lnTo>
                    <a:lnTo>
                      <a:pt x="1702017" y="1538661"/>
                    </a:lnTo>
                    <a:cubicBezTo>
                      <a:pt x="1489499" y="1622101"/>
                      <a:pt x="1255848" y="1668241"/>
                      <a:pt x="1010587" y="1668241"/>
                    </a:cubicBezTo>
                    <a:cubicBezTo>
                      <a:pt x="642696" y="1668241"/>
                      <a:pt x="300926" y="1564425"/>
                      <a:pt x="17421" y="1386632"/>
                    </a:cubicBezTo>
                    <a:lnTo>
                      <a:pt x="1051" y="1375269"/>
                    </a:lnTo>
                    <a:lnTo>
                      <a:pt x="0" y="1355945"/>
                    </a:lnTo>
                    <a:cubicBezTo>
                      <a:pt x="0" y="843692"/>
                      <a:pt x="251636" y="385996"/>
                      <a:pt x="646421" y="83560"/>
                    </a:cubicBezTo>
                    <a:lnTo>
                      <a:pt x="766798" y="0"/>
                    </a:lnTo>
                    <a:close/>
                  </a:path>
                </a:pathLst>
              </a:custGeom>
              <a:solidFill>
                <a:srgbClr val="9CB3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sz="1200"/>
              </a:p>
            </xdr:txBody>
          </xdr:sp>
          <xdr:sp macro="" textlink="">
            <xdr:nvSpPr>
              <xdr:cNvPr id="32" name="Forma libre: forma 31">
                <a:extLst>
                  <a:ext uri="{FF2B5EF4-FFF2-40B4-BE49-F238E27FC236}">
                    <a16:creationId xmlns:a16="http://schemas.microsoft.com/office/drawing/2014/main" id="{D0F2E677-18B6-50F5-EE1F-C9A53F3D4454}"/>
                  </a:ext>
                </a:extLst>
              </xdr:cNvPr>
              <xdr:cNvSpPr/>
            </xdr:nvSpPr>
            <xdr:spPr>
              <a:xfrm>
                <a:off x="6627099" y="239547"/>
                <a:ext cx="2542082" cy="3004864"/>
              </a:xfrm>
              <a:custGeom>
                <a:avLst/>
                <a:gdLst>
                  <a:gd name="connsiteX0" fmla="*/ 1776335 w 2542082"/>
                  <a:gd name="connsiteY0" fmla="*/ 0 h 3004864"/>
                  <a:gd name="connsiteX1" fmla="*/ 2467765 w 2542082"/>
                  <a:gd name="connsiteY1" fmla="*/ 129580 h 3004864"/>
                  <a:gd name="connsiteX2" fmla="*/ 2542082 w 2542082"/>
                  <a:gd name="connsiteY2" fmla="*/ 162813 h 3004864"/>
                  <a:gd name="connsiteX3" fmla="*/ 2461123 w 2542082"/>
                  <a:gd name="connsiteY3" fmla="*/ 199016 h 3004864"/>
                  <a:gd name="connsiteX4" fmla="*/ 1540666 w 2542082"/>
                  <a:gd name="connsiteY4" fmla="*/ 1480326 h 3004864"/>
                  <a:gd name="connsiteX5" fmla="*/ 1532546 w 2542082"/>
                  <a:gd name="connsiteY5" fmla="*/ 1629595 h 3004864"/>
                  <a:gd name="connsiteX6" fmla="*/ 1412169 w 2542082"/>
                  <a:gd name="connsiteY6" fmla="*/ 1713155 h 3004864"/>
                  <a:gd name="connsiteX7" fmla="*/ 765748 w 2542082"/>
                  <a:gd name="connsiteY7" fmla="*/ 2985540 h 3004864"/>
                  <a:gd name="connsiteX8" fmla="*/ 766799 w 2542082"/>
                  <a:gd name="connsiteY8" fmla="*/ 3004864 h 3004864"/>
                  <a:gd name="connsiteX9" fmla="*/ 646421 w 2542082"/>
                  <a:gd name="connsiteY9" fmla="*/ 2921303 h 3004864"/>
                  <a:gd name="connsiteX10" fmla="*/ 0 w 2542082"/>
                  <a:gd name="connsiteY10" fmla="*/ 1648918 h 3004864"/>
                  <a:gd name="connsiteX11" fmla="*/ 1776335 w 2542082"/>
                  <a:gd name="connsiteY11" fmla="*/ 0 h 30048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2" h="3004864">
                    <a:moveTo>
                      <a:pt x="1776335" y="0"/>
                    </a:moveTo>
                    <a:cubicBezTo>
                      <a:pt x="2021596" y="0"/>
                      <a:pt x="2255247" y="46140"/>
                      <a:pt x="2467765" y="129580"/>
                    </a:cubicBezTo>
                    <a:lnTo>
                      <a:pt x="2542082" y="162813"/>
                    </a:lnTo>
                    <a:lnTo>
                      <a:pt x="2461123" y="199016"/>
                    </a:lnTo>
                    <a:cubicBezTo>
                      <a:pt x="1957734" y="452858"/>
                      <a:pt x="1601310" y="926008"/>
                      <a:pt x="1540666" y="1480326"/>
                    </a:cubicBezTo>
                    <a:lnTo>
                      <a:pt x="1532546" y="1629595"/>
                    </a:lnTo>
                    <a:lnTo>
                      <a:pt x="1412169" y="1713155"/>
                    </a:lnTo>
                    <a:cubicBezTo>
                      <a:pt x="1017384" y="2015591"/>
                      <a:pt x="765748" y="2473287"/>
                      <a:pt x="765748" y="2985540"/>
                    </a:cubicBezTo>
                    <a:lnTo>
                      <a:pt x="766799" y="3004864"/>
                    </a:lnTo>
                    <a:lnTo>
                      <a:pt x="646421" y="2921303"/>
                    </a:lnTo>
                    <a:cubicBezTo>
                      <a:pt x="251636" y="2618867"/>
                      <a:pt x="0" y="2161171"/>
                      <a:pt x="0" y="1648918"/>
                    </a:cubicBezTo>
                    <a:cubicBezTo>
                      <a:pt x="0" y="738246"/>
                      <a:pt x="795292" y="0"/>
                      <a:pt x="1776335" y="0"/>
                    </a:cubicBezTo>
                    <a:close/>
                  </a:path>
                </a:pathLst>
              </a:custGeom>
              <a:solidFill>
                <a:srgbClr val="9CCC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3" name="Forma libre: forma 32">
                <a:extLst>
                  <a:ext uri="{FF2B5EF4-FFF2-40B4-BE49-F238E27FC236}">
                    <a16:creationId xmlns:a16="http://schemas.microsoft.com/office/drawing/2014/main" id="{15581FA3-A38C-2C58-3648-4ECC92677BB2}"/>
                  </a:ext>
                </a:extLst>
              </xdr:cNvPr>
              <xdr:cNvSpPr/>
            </xdr:nvSpPr>
            <xdr:spPr>
              <a:xfrm>
                <a:off x="9169181" y="239548"/>
                <a:ext cx="2542083" cy="3004863"/>
              </a:xfrm>
              <a:custGeom>
                <a:avLst/>
                <a:gdLst>
                  <a:gd name="connsiteX0" fmla="*/ 765748 w 2542083"/>
                  <a:gd name="connsiteY0" fmla="*/ 0 h 3004863"/>
                  <a:gd name="connsiteX1" fmla="*/ 2542083 w 2542083"/>
                  <a:gd name="connsiteY1" fmla="*/ 1648918 h 3004863"/>
                  <a:gd name="connsiteX2" fmla="*/ 1895662 w 2542083"/>
                  <a:gd name="connsiteY2" fmla="*/ 2921303 h 3004863"/>
                  <a:gd name="connsiteX3" fmla="*/ 1775285 w 2542083"/>
                  <a:gd name="connsiteY3" fmla="*/ 3004863 h 3004863"/>
                  <a:gd name="connsiteX4" fmla="*/ 1776336 w 2542083"/>
                  <a:gd name="connsiteY4" fmla="*/ 2985540 h 3004863"/>
                  <a:gd name="connsiteX5" fmla="*/ 1129915 w 2542083"/>
                  <a:gd name="connsiteY5" fmla="*/ 1713155 h 3004863"/>
                  <a:gd name="connsiteX6" fmla="*/ 1009537 w 2542083"/>
                  <a:gd name="connsiteY6" fmla="*/ 1629594 h 3004863"/>
                  <a:gd name="connsiteX7" fmla="*/ 1001417 w 2542083"/>
                  <a:gd name="connsiteY7" fmla="*/ 1480326 h 3004863"/>
                  <a:gd name="connsiteX8" fmla="*/ 80960 w 2542083"/>
                  <a:gd name="connsiteY8" fmla="*/ 199016 h 3004863"/>
                  <a:gd name="connsiteX9" fmla="*/ 0 w 2542083"/>
                  <a:gd name="connsiteY9" fmla="*/ 162813 h 3004863"/>
                  <a:gd name="connsiteX10" fmla="*/ 74318 w 2542083"/>
                  <a:gd name="connsiteY10" fmla="*/ 129580 h 3004863"/>
                  <a:gd name="connsiteX11" fmla="*/ 765748 w 2542083"/>
                  <a:gd name="connsiteY11" fmla="*/ 0 h 30048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542083" h="3004863">
                    <a:moveTo>
                      <a:pt x="765748" y="0"/>
                    </a:moveTo>
                    <a:cubicBezTo>
                      <a:pt x="1746791" y="0"/>
                      <a:pt x="2542083" y="738246"/>
                      <a:pt x="2542083" y="1648918"/>
                    </a:cubicBezTo>
                    <a:cubicBezTo>
                      <a:pt x="2542083" y="2161171"/>
                      <a:pt x="2290448" y="2618867"/>
                      <a:pt x="1895662" y="2921303"/>
                    </a:cubicBezTo>
                    <a:lnTo>
                      <a:pt x="1775285" y="3004863"/>
                    </a:lnTo>
                    <a:lnTo>
                      <a:pt x="1776336" y="2985540"/>
                    </a:lnTo>
                    <a:cubicBezTo>
                      <a:pt x="1776336" y="2473287"/>
                      <a:pt x="1524701" y="2015591"/>
                      <a:pt x="1129915" y="1713155"/>
                    </a:cubicBezTo>
                    <a:lnTo>
                      <a:pt x="1009537" y="1629594"/>
                    </a:lnTo>
                    <a:lnTo>
                      <a:pt x="1001417" y="1480326"/>
                    </a:lnTo>
                    <a:cubicBezTo>
                      <a:pt x="940773" y="926008"/>
                      <a:pt x="584349" y="452858"/>
                      <a:pt x="80960" y="199016"/>
                    </a:cubicBezTo>
                    <a:lnTo>
                      <a:pt x="0" y="162813"/>
                    </a:lnTo>
                    <a:lnTo>
                      <a:pt x="74318" y="129580"/>
                    </a:lnTo>
                    <a:cubicBezTo>
                      <a:pt x="286836" y="46140"/>
                      <a:pt x="520487" y="0"/>
                      <a:pt x="765748" y="0"/>
                    </a:cubicBezTo>
                    <a:close/>
                  </a:path>
                </a:pathLst>
              </a:custGeom>
              <a:solidFill>
                <a:srgbClr val="EAE7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4" name="Forma libre: forma 33">
                <a:extLst>
                  <a:ext uri="{FF2B5EF4-FFF2-40B4-BE49-F238E27FC236}">
                    <a16:creationId xmlns:a16="http://schemas.microsoft.com/office/drawing/2014/main" id="{568F44BD-5506-FAC7-DBE3-BD730422540A}"/>
                  </a:ext>
                </a:extLst>
              </xdr:cNvPr>
              <xdr:cNvSpPr/>
            </xdr:nvSpPr>
            <xdr:spPr>
              <a:xfrm>
                <a:off x="8158594" y="1576170"/>
                <a:ext cx="2021175" cy="1798401"/>
              </a:xfrm>
              <a:custGeom>
                <a:avLst/>
                <a:gdLst>
                  <a:gd name="connsiteX0" fmla="*/ 1010588 w 2021175"/>
                  <a:gd name="connsiteY0" fmla="*/ 0 h 1798401"/>
                  <a:gd name="connsiteX1" fmla="*/ 2003754 w 2021175"/>
                  <a:gd name="connsiteY1" fmla="*/ 281609 h 1798401"/>
                  <a:gd name="connsiteX2" fmla="*/ 2020124 w 2021175"/>
                  <a:gd name="connsiteY2" fmla="*/ 292972 h 1798401"/>
                  <a:gd name="connsiteX3" fmla="*/ 2021175 w 2021175"/>
                  <a:gd name="connsiteY3" fmla="*/ 312296 h 1798401"/>
                  <a:gd name="connsiteX4" fmla="*/ 1091547 w 2021175"/>
                  <a:gd name="connsiteY4" fmla="*/ 1762198 h 1798401"/>
                  <a:gd name="connsiteX5" fmla="*/ 1010587 w 2021175"/>
                  <a:gd name="connsiteY5" fmla="*/ 1798401 h 1798401"/>
                  <a:gd name="connsiteX6" fmla="*/ 929628 w 2021175"/>
                  <a:gd name="connsiteY6" fmla="*/ 1762198 h 1798401"/>
                  <a:gd name="connsiteX7" fmla="*/ 0 w 2021175"/>
                  <a:gd name="connsiteY7" fmla="*/ 312296 h 1798401"/>
                  <a:gd name="connsiteX8" fmla="*/ 1051 w 2021175"/>
                  <a:gd name="connsiteY8" fmla="*/ 292973 h 1798401"/>
                  <a:gd name="connsiteX9" fmla="*/ 17422 w 2021175"/>
                  <a:gd name="connsiteY9" fmla="*/ 281609 h 1798401"/>
                  <a:gd name="connsiteX10" fmla="*/ 1010588 w 2021175"/>
                  <a:gd name="connsiteY10" fmla="*/ 0 h 17984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021175" h="1798401">
                    <a:moveTo>
                      <a:pt x="1010588" y="0"/>
                    </a:moveTo>
                    <a:cubicBezTo>
                      <a:pt x="1378479" y="0"/>
                      <a:pt x="1720249" y="103816"/>
                      <a:pt x="2003754" y="281609"/>
                    </a:cubicBezTo>
                    <a:lnTo>
                      <a:pt x="2020124" y="292972"/>
                    </a:lnTo>
                    <a:lnTo>
                      <a:pt x="2021175" y="312296"/>
                    </a:lnTo>
                    <a:cubicBezTo>
                      <a:pt x="2021175" y="938383"/>
                      <a:pt x="1645275" y="1482972"/>
                      <a:pt x="1091547" y="1762198"/>
                    </a:cubicBezTo>
                    <a:lnTo>
                      <a:pt x="1010587" y="1798401"/>
                    </a:lnTo>
                    <a:lnTo>
                      <a:pt x="929628" y="1762198"/>
                    </a:lnTo>
                    <a:cubicBezTo>
                      <a:pt x="375900" y="1482972"/>
                      <a:pt x="0" y="938383"/>
                      <a:pt x="0" y="312296"/>
                    </a:cubicBezTo>
                    <a:lnTo>
                      <a:pt x="1051" y="292973"/>
                    </a:lnTo>
                    <a:lnTo>
                      <a:pt x="17422" y="281609"/>
                    </a:lnTo>
                    <a:cubicBezTo>
                      <a:pt x="300927" y="103816"/>
                      <a:pt x="642697" y="0"/>
                      <a:pt x="1010588" y="0"/>
                    </a:cubicBezTo>
                    <a:close/>
                  </a:path>
                </a:pathLst>
              </a:custGeom>
              <a:solidFill>
                <a:srgbClr val="BECAA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35" name="Forma libre: forma 34">
                <a:extLst>
                  <a:ext uri="{FF2B5EF4-FFF2-40B4-BE49-F238E27FC236}">
                    <a16:creationId xmlns:a16="http://schemas.microsoft.com/office/drawing/2014/main" id="{BF6EF3CF-08B7-B377-9C5D-FD1128F221A1}"/>
                  </a:ext>
                </a:extLst>
              </xdr:cNvPr>
              <xdr:cNvSpPr/>
            </xdr:nvSpPr>
            <xdr:spPr>
              <a:xfrm>
                <a:off x="7393898" y="3244411"/>
                <a:ext cx="3550568" cy="1629595"/>
              </a:xfrm>
              <a:custGeom>
                <a:avLst/>
                <a:gdLst>
                  <a:gd name="connsiteX0" fmla="*/ 3550568 w 3550568"/>
                  <a:gd name="connsiteY0" fmla="*/ 0 h 1629595"/>
                  <a:gd name="connsiteX1" fmla="*/ 3542448 w 3550568"/>
                  <a:gd name="connsiteY1" fmla="*/ 149269 h 1629595"/>
                  <a:gd name="connsiteX2" fmla="*/ 1775284 w 3550568"/>
                  <a:gd name="connsiteY2" fmla="*/ 1629595 h 1629595"/>
                  <a:gd name="connsiteX3" fmla="*/ 8120 w 3550568"/>
                  <a:gd name="connsiteY3" fmla="*/ 149269 h 1629595"/>
                  <a:gd name="connsiteX4" fmla="*/ 0 w 3550568"/>
                  <a:gd name="connsiteY4" fmla="*/ 1 h 1629595"/>
                  <a:gd name="connsiteX5" fmla="*/ 16370 w 3550568"/>
                  <a:gd name="connsiteY5" fmla="*/ 11364 h 1629595"/>
                  <a:gd name="connsiteX6" fmla="*/ 1009536 w 3550568"/>
                  <a:gd name="connsiteY6" fmla="*/ 292973 h 1629595"/>
                  <a:gd name="connsiteX7" fmla="*/ 1700966 w 3550568"/>
                  <a:gd name="connsiteY7" fmla="*/ 163393 h 1629595"/>
                  <a:gd name="connsiteX8" fmla="*/ 1775283 w 3550568"/>
                  <a:gd name="connsiteY8" fmla="*/ 130160 h 1629595"/>
                  <a:gd name="connsiteX9" fmla="*/ 1849601 w 3550568"/>
                  <a:gd name="connsiteY9" fmla="*/ 163393 h 1629595"/>
                  <a:gd name="connsiteX10" fmla="*/ 2541031 w 3550568"/>
                  <a:gd name="connsiteY10" fmla="*/ 292973 h 1629595"/>
                  <a:gd name="connsiteX11" fmla="*/ 3534197 w 3550568"/>
                  <a:gd name="connsiteY11" fmla="*/ 11364 h 1629595"/>
                  <a:gd name="connsiteX12" fmla="*/ 3550568 w 3550568"/>
                  <a:gd name="connsiteY12" fmla="*/ 0 h 16295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3550568" h="1629595">
                    <a:moveTo>
                      <a:pt x="3550568" y="0"/>
                    </a:moveTo>
                    <a:lnTo>
                      <a:pt x="3542448" y="149269"/>
                    </a:lnTo>
                    <a:cubicBezTo>
                      <a:pt x="3451482" y="980746"/>
                      <a:pt x="2695012" y="1629595"/>
                      <a:pt x="1775284" y="1629595"/>
                    </a:cubicBezTo>
                    <a:cubicBezTo>
                      <a:pt x="855556" y="1629595"/>
                      <a:pt x="99086" y="980746"/>
                      <a:pt x="8120" y="149269"/>
                    </a:cubicBezTo>
                    <a:lnTo>
                      <a:pt x="0" y="1"/>
                    </a:lnTo>
                    <a:lnTo>
                      <a:pt x="16370" y="11364"/>
                    </a:lnTo>
                    <a:cubicBezTo>
                      <a:pt x="299875" y="189157"/>
                      <a:pt x="641645" y="292973"/>
                      <a:pt x="1009536" y="292973"/>
                    </a:cubicBezTo>
                    <a:cubicBezTo>
                      <a:pt x="1254797" y="292973"/>
                      <a:pt x="1488448" y="246833"/>
                      <a:pt x="1700966" y="163393"/>
                    </a:cubicBezTo>
                    <a:lnTo>
                      <a:pt x="1775283" y="130160"/>
                    </a:lnTo>
                    <a:lnTo>
                      <a:pt x="1849601" y="163393"/>
                    </a:lnTo>
                    <a:cubicBezTo>
                      <a:pt x="2062119" y="246833"/>
                      <a:pt x="2295770" y="292973"/>
                      <a:pt x="2541031" y="292973"/>
                    </a:cubicBezTo>
                    <a:cubicBezTo>
                      <a:pt x="2908922" y="292973"/>
                      <a:pt x="3250692" y="189157"/>
                      <a:pt x="3534197" y="11364"/>
                    </a:cubicBezTo>
                    <a:lnTo>
                      <a:pt x="3550568" y="0"/>
                    </a:lnTo>
                    <a:close/>
                  </a:path>
                </a:pathLst>
              </a:custGeom>
              <a:solidFill>
                <a:srgbClr val="B0A2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nvGrpSpPr>
            <xdr:cNvPr id="23" name="Grupo 22">
              <a:extLst>
                <a:ext uri="{FF2B5EF4-FFF2-40B4-BE49-F238E27FC236}">
                  <a16:creationId xmlns:a16="http://schemas.microsoft.com/office/drawing/2014/main" id="{DD4AEF0C-B10C-A8B9-D991-9529A1F6DE6D}"/>
                </a:ext>
              </a:extLst>
            </xdr:cNvPr>
            <xdr:cNvGrpSpPr/>
          </xdr:nvGrpSpPr>
          <xdr:grpSpPr>
            <a:xfrm>
              <a:off x="3575352" y="239547"/>
              <a:ext cx="5084164" cy="4634458"/>
              <a:chOff x="523604" y="239547"/>
              <a:chExt cx="5084164" cy="4634458"/>
            </a:xfrm>
          </xdr:grpSpPr>
          <xdr:sp macro="" textlink="">
            <xdr:nvSpPr>
              <xdr:cNvPr id="24" name="Elipse 23">
                <a:extLst>
                  <a:ext uri="{FF2B5EF4-FFF2-40B4-BE49-F238E27FC236}">
                    <a16:creationId xmlns:a16="http://schemas.microsoft.com/office/drawing/2014/main" id="{4E3DBF42-5E40-C347-B854-BB453442E205}"/>
                  </a:ext>
                </a:extLst>
              </xdr:cNvPr>
              <xdr:cNvSpPr/>
            </xdr:nvSpPr>
            <xdr:spPr>
              <a:xfrm>
                <a:off x="523604" y="239547"/>
                <a:ext cx="3552669" cy="3297836"/>
              </a:xfrm>
              <a:prstGeom prst="ellipse">
                <a:avLst/>
              </a:prstGeom>
              <a:noFill/>
              <a:ln w="19050">
                <a:solidFill>
                  <a:srgbClr val="4D947B">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5" name="Elipse 24">
                <a:extLst>
                  <a:ext uri="{FF2B5EF4-FFF2-40B4-BE49-F238E27FC236}">
                    <a16:creationId xmlns:a16="http://schemas.microsoft.com/office/drawing/2014/main" id="{06DC2029-39D5-DE35-7B99-7F42D9089A99}"/>
                  </a:ext>
                </a:extLst>
              </xdr:cNvPr>
              <xdr:cNvSpPr/>
            </xdr:nvSpPr>
            <xdr:spPr>
              <a:xfrm>
                <a:off x="2055099" y="239547"/>
                <a:ext cx="3552669" cy="3297836"/>
              </a:xfrm>
              <a:prstGeom prst="ellipse">
                <a:avLst/>
              </a:prstGeom>
              <a:noFill/>
              <a:ln>
                <a:solidFill>
                  <a:srgbClr val="AFA927">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sp macro="" textlink="">
            <xdr:nvSpPr>
              <xdr:cNvPr id="26" name="Elipse 25">
                <a:extLst>
                  <a:ext uri="{FF2B5EF4-FFF2-40B4-BE49-F238E27FC236}">
                    <a16:creationId xmlns:a16="http://schemas.microsoft.com/office/drawing/2014/main" id="{F44A9F4F-1E37-30A8-7FDB-DE0B3B675F16}"/>
                  </a:ext>
                </a:extLst>
              </xdr:cNvPr>
              <xdr:cNvSpPr/>
            </xdr:nvSpPr>
            <xdr:spPr>
              <a:xfrm>
                <a:off x="1289352" y="1576169"/>
                <a:ext cx="3552669" cy="3297836"/>
              </a:xfrm>
              <a:prstGeom prst="ellipse">
                <a:avLst/>
              </a:prstGeom>
              <a:noFill/>
              <a:ln>
                <a:solidFill>
                  <a:srgbClr val="786256">
                    <a:alpha val="5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s-CO"/>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s-CO"/>
              </a:p>
            </xdr:txBody>
          </xdr:sp>
        </xdr:grpSp>
      </xdr:grpSp>
      <xdr:sp macro="" textlink="$Q$137">
        <xdr:nvSpPr>
          <xdr:cNvPr id="20" name="Rectángulo 19">
            <a:extLst>
              <a:ext uri="{FF2B5EF4-FFF2-40B4-BE49-F238E27FC236}">
                <a16:creationId xmlns:a16="http://schemas.microsoft.com/office/drawing/2014/main" id="{CA9E4E4C-FD8F-19A1-79EE-CD7DDFC8E7BB}"/>
              </a:ext>
            </a:extLst>
          </xdr:cNvPr>
          <xdr:cNvSpPr/>
        </xdr:nvSpPr>
        <xdr:spPr>
          <a:xfrm>
            <a:off x="1748117"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3AB5FD-64A0-451F-810B-6A268EF63418}"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9">
        <xdr:nvSpPr>
          <xdr:cNvPr id="36" name="Rectángulo 35">
            <a:extLst>
              <a:ext uri="{FF2B5EF4-FFF2-40B4-BE49-F238E27FC236}">
                <a16:creationId xmlns:a16="http://schemas.microsoft.com/office/drawing/2014/main" id="{66BB8732-B4F8-4CFE-BFAF-78E35FFEAC23}"/>
              </a:ext>
            </a:extLst>
          </xdr:cNvPr>
          <xdr:cNvSpPr/>
        </xdr:nvSpPr>
        <xdr:spPr>
          <a:xfrm>
            <a:off x="3036794" y="2696807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FA99A5-4A81-43B1-A827-47FE10D7AC2A}"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5">
        <xdr:nvSpPr>
          <xdr:cNvPr id="37" name="Rectángulo 36">
            <a:extLst>
              <a:ext uri="{FF2B5EF4-FFF2-40B4-BE49-F238E27FC236}">
                <a16:creationId xmlns:a16="http://schemas.microsoft.com/office/drawing/2014/main" id="{8FF6CEF4-E796-4858-923B-674928982723}"/>
              </a:ext>
            </a:extLst>
          </xdr:cNvPr>
          <xdr:cNvSpPr/>
        </xdr:nvSpPr>
        <xdr:spPr>
          <a:xfrm>
            <a:off x="4428564" y="27214605"/>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4A8655-7CBE-4D83-9B86-321BEDABEDAE}"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1">
        <xdr:nvSpPr>
          <xdr:cNvPr id="38" name="Rectángulo 37">
            <a:extLst>
              <a:ext uri="{FF2B5EF4-FFF2-40B4-BE49-F238E27FC236}">
                <a16:creationId xmlns:a16="http://schemas.microsoft.com/office/drawing/2014/main" id="{CCE9E713-D289-4FB6-B50C-F828877A3731}"/>
              </a:ext>
            </a:extLst>
          </xdr:cNvPr>
          <xdr:cNvSpPr/>
        </xdr:nvSpPr>
        <xdr:spPr>
          <a:xfrm>
            <a:off x="3036794" y="2786678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186150-E99F-4EDF-8AF4-A42A480808FB}"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6">
        <xdr:nvSpPr>
          <xdr:cNvPr id="39" name="Rectángulo 38">
            <a:extLst>
              <a:ext uri="{FF2B5EF4-FFF2-40B4-BE49-F238E27FC236}">
                <a16:creationId xmlns:a16="http://schemas.microsoft.com/office/drawing/2014/main" id="{D7022232-7633-470D-AC59-79A9CAAB76C7}"/>
              </a:ext>
            </a:extLst>
          </xdr:cNvPr>
          <xdr:cNvSpPr/>
        </xdr:nvSpPr>
        <xdr:spPr>
          <a:xfrm>
            <a:off x="3036794" y="29128568"/>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04954D-3CC5-4A0F-A86A-F886C203DAB3}"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40">
        <xdr:nvSpPr>
          <xdr:cNvPr id="40" name="Rectángulo 39">
            <a:extLst>
              <a:ext uri="{FF2B5EF4-FFF2-40B4-BE49-F238E27FC236}">
                <a16:creationId xmlns:a16="http://schemas.microsoft.com/office/drawing/2014/main" id="{DE3B68EA-F957-4994-8F5B-A4DD4203C160}"/>
              </a:ext>
            </a:extLst>
          </xdr:cNvPr>
          <xdr:cNvSpPr/>
        </xdr:nvSpPr>
        <xdr:spPr>
          <a:xfrm>
            <a:off x="2073088"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94A8EE-E92F-471A-BEAE-4AF2F38805C6}"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sp macro="" textlink="$Q$138">
        <xdr:nvSpPr>
          <xdr:cNvPr id="41" name="Rectángulo 40">
            <a:extLst>
              <a:ext uri="{FF2B5EF4-FFF2-40B4-BE49-F238E27FC236}">
                <a16:creationId xmlns:a16="http://schemas.microsoft.com/office/drawing/2014/main" id="{73989F5C-EDDA-43C6-AF67-C23AA72543D0}"/>
              </a:ext>
            </a:extLst>
          </xdr:cNvPr>
          <xdr:cNvSpPr/>
        </xdr:nvSpPr>
        <xdr:spPr>
          <a:xfrm>
            <a:off x="3973606" y="28287006"/>
            <a:ext cx="1030941" cy="7283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AD7A93-3181-4FBC-A018-1EE8993B2BA1}" type="TxLink">
              <a:rPr lang="en-US" sz="1200" b="0" i="0" u="none" strike="noStrike">
                <a:solidFill>
                  <a:srgbClr val="000000"/>
                </a:solidFill>
                <a:latin typeface="Verdana Pro" panose="020B0604030504040204" pitchFamily="34" charset="0"/>
                <a:ea typeface="Calibri"/>
                <a:cs typeface="Calibri"/>
              </a:rPr>
              <a:pPr algn="ctr"/>
              <a:t>0</a:t>
            </a:fld>
            <a:endParaRPr lang="es-CO" sz="1200">
              <a:latin typeface="Verdana Pro" panose="020B0604030504040204" pitchFamily="34" charset="0"/>
            </a:endParaRPr>
          </a:p>
        </xdr:txBody>
      </xdr:sp>
    </xdr:grpSp>
    <xdr:clientData/>
  </xdr:twoCellAnchor>
  <xdr:twoCellAnchor editAs="absolute">
    <xdr:from>
      <xdr:col>1</xdr:col>
      <xdr:colOff>-1</xdr:colOff>
      <xdr:row>43</xdr:row>
      <xdr:rowOff>0</xdr:rowOff>
    </xdr:from>
    <xdr:to>
      <xdr:col>7</xdr:col>
      <xdr:colOff>-1</xdr:colOff>
      <xdr:row>46</xdr:row>
      <xdr:rowOff>0</xdr:rowOff>
    </xdr:to>
    <xdr:sp macro="" textlink="$X$2">
      <xdr:nvSpPr>
        <xdr:cNvPr id="43" name="Rectángulo 42">
          <a:extLst>
            <a:ext uri="{FF2B5EF4-FFF2-40B4-BE49-F238E27FC236}">
              <a16:creationId xmlns:a16="http://schemas.microsoft.com/office/drawing/2014/main" id="{3C1E4657-30A1-326E-2163-CAB5CD55B74B}"/>
            </a:ext>
          </a:extLst>
        </xdr:cNvPr>
        <xdr:cNvSpPr/>
      </xdr:nvSpPr>
      <xdr:spPr>
        <a:xfrm>
          <a:off x="324970" y="9648265"/>
          <a:ext cx="6387353" cy="571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B3D56F34-9384-41CE-B1E3-FAE1552480EE}" type="TxLink">
            <a:rPr lang="en-US" sz="1100" b="0" i="0" u="none" strike="noStrike">
              <a:solidFill>
                <a:srgbClr val="FF0000"/>
              </a:solidFill>
              <a:latin typeface="+mj-lt"/>
              <a:ea typeface="Calibri"/>
              <a:cs typeface="Calibri"/>
            </a:rPr>
            <a:pPr algn="l"/>
            <a:t> </a:t>
          </a:fld>
          <a:endParaRPr lang="es-CO" sz="1100">
            <a:solidFill>
              <a:srgbClr val="FF0000"/>
            </a:solidFill>
            <a:latin typeface="+mj-lt"/>
          </a:endParaRPr>
        </a:p>
      </xdr:txBody>
    </xdr:sp>
    <xdr:clientData/>
  </xdr:twoCellAnchor>
</xdr:wsDr>
</file>

<file path=xl/tables/table1.xml><?xml version="1.0" encoding="utf-8"?>
<table xmlns="http://schemas.openxmlformats.org/spreadsheetml/2006/main" xmlns:mc="http://schemas.openxmlformats.org/markup-compatibility/2006" id="1" name="seguim_fciero" displayName="seguim_fciero" ref="A7:X317" totalsRowCount="0" totalsRowShown="0">
  <autoFilter ref="A7:X317"/>
  <tableColumns count="24">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Descripción del Producto (MGA)"/>
    <tableColumn id="9" name="Códigos BPIN Asociados"/>
    <tableColumn id="10" name="Programación Cuatrienio SisPT"/>
    <tableColumn id="11" name="Programado 2024 (SisPT)"/>
    <tableColumn id="12" name="Programado 2025 (SisPT)"/>
    <tableColumn id="13" name="Programado 2026 (SisPT)"/>
    <tableColumn id="14" name="Programado 2027 (SisPT)"/>
    <tableColumn id="15" name="Compromisos 2024 (CUIPO)"/>
    <tableColumn id="16" name="Obligaciones 2024 (CUIPO)"/>
    <tableColumn id="17" name="Pagos 2024 (CUIPO)"/>
    <tableColumn id="18" name="Obligaciones como % de lo programado (2024)"/>
    <tableColumn id="19" name="Explicación del valor 2024"/>
    <tableColumn id="20" name="Compromisos 2025 (CUIPO)"/>
    <tableColumn id="21" name="Obligaciones 2025 (CUIPO)"/>
    <tableColumn id="22" name="Pagos 2025 (CUIPO)"/>
    <tableColumn id="23" name="Obligaciones como % de lo programado (2025)"/>
    <tableColumn id="24" name="Explicación del valor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id="2" name="seguim_fisico" displayName="seguim_fisico" ref="A7:W364" totalsRowCount="0" totalsRowShown="0">
  <autoFilter ref="A7:W364"/>
  <tableColumns count="23">
    <tableColumn id="1" name="Consecutivos IP (SisPT)"/>
    <tableColumn id="2" name="Código Sector (MGA)"/>
    <tableColumn id="3" name="Sector (MGA)"/>
    <tableColumn id="4" name="Código Programa (MGA)"/>
    <tableColumn id="5" name="Programa (MGA)"/>
    <tableColumn id="6" name="Código Producto (MGA)"/>
    <tableColumn id="7" name="Producto (MGA)"/>
    <tableColumn id="8" name="Código Indicador Producto (MGA)"/>
    <tableColumn id="9" name="Indicador Producto (MGA)"/>
    <tableColumn id="10" name="Códigos BPIN Asociados"/>
    <tableColumn id="11" name="Acumulativo"/>
    <tableColumn id="12" name="Unidad de Medida"/>
    <tableColumn id="13" name="Meta del Cuatrenio (SisPT)"/>
    <tableColumn id="14" name="Programado 2024 (SisPT)"/>
    <tableColumn id="15" name="Programado 2025 (SisPT)"/>
    <tableColumn id="16" name="Programado 2026 (SisPT)"/>
    <tableColumn id="17" name="Programado 2027 (SisPT)"/>
    <tableColumn id="18" name="Ejecución Física 2024 (PIIP)"/>
    <tableColumn id="19" name="Avance físico 2024 (%)"/>
    <tableColumn id="20" name="Explicación del valor 2024"/>
    <tableColumn id="21" name="Ejecución Física 2025 (PIIP)"/>
    <tableColumn id="22" name="Avance físico 2025 (%)"/>
    <tableColumn id="23" name="Explicación del valor 2025"/>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ersonalizado 4">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AB154"/>
  <sheetViews>
    <sheetView showRowColHeaders="0" tabSelected="1" zoomScale="85" zoomScaleNormal="85" workbookViewId="0">
      <selection activeCell="D16" sqref="D16:E16"/>
    </sheetView>
  </sheetViews>
  <sheetFormatPr baseColWidth="10" defaultColWidth="0" defaultRowHeight="15" zeroHeight="1" x14ac:dyDescent="0.25"/>
  <cols>
    <col min="1" max="1" width="4.85546875" style="1" customWidth="1"/>
    <col min="2" max="2" width="18.42578125" style="1" customWidth="1"/>
    <col min="3" max="12" width="15.42578125" style="1" customWidth="1"/>
    <col min="13" max="13" width="18.42578125" style="1" customWidth="1"/>
    <col min="14" max="14" width="4.85546875" style="1" customWidth="1"/>
    <col min="15" max="15" width="14.28515625" style="1" hidden="1"/>
    <col min="16" max="23" width="11.5703125" style="1" hidden="1"/>
    <col min="24" max="27" width="8" style="1" hidden="1"/>
    <col min="28" max="16384" width="11.5703125" style="1" hidden="1"/>
  </cols>
  <sheetData>
    <row r="1" spans="2:28" ht="75.599999999999994" customHeight="1" x14ac:dyDescent="0.25">
      <c r="D1" s="80" t="str">
        <f>CONCATENATE("Informe de Seguimiento al PDT
Vigencia ",X1)</f>
        <v>Informe de Seguimiento al PDT
Vigencia (Dar clic en Habilitar Edición)</v>
      </c>
      <c r="E1" s="80"/>
      <c r="F1" s="80"/>
      <c r="G1" s="80"/>
      <c r="H1" s="80"/>
      <c r="I1" s="80"/>
      <c r="J1" s="80"/>
      <c r="K1" s="80"/>
      <c r="P1" s="2"/>
      <c r="Q1" s="1" t="s">
        <v>50</v>
      </c>
      <c r="R1" s="1" t="str">
        <f>MID(TEXT(R2,"#.#"),2,1)</f>
        <v>.</v>
      </c>
      <c r="S1" s="1" t="s">
        <v>104</v>
      </c>
      <c r="X1" s="50" t="inlineStr">
        <is>
          <t>2025 - tercer trimestre</t>
        </is>
      </c>
      <c r="Y1" s="1" t="str">
        <f>LEFT(X1,4)</f>
        <v>(Dar</v>
      </c>
      <c r="Z1" s="1" t="str">
        <f>IF(Y1="2025","2024",IF(Y1="2026","2024, 2025","2024, 2025, 2026"))</f>
        <v>2024, 2025, 2026</v>
      </c>
    </row>
    <row r="2" spans="2:28" x14ac:dyDescent="0.25">
      <c r="C2" s="3"/>
      <c r="D2" s="3"/>
      <c r="E2" s="3"/>
      <c r="F2" s="3"/>
      <c r="G2" s="3"/>
      <c r="H2" s="3"/>
      <c r="I2" s="3"/>
      <c r="J2" s="3"/>
      <c r="K2" s="3"/>
      <c r="L2" s="3"/>
      <c r="P2" s="2"/>
      <c r="Q2" s="1" t="s">
        <v>51</v>
      </c>
      <c r="R2" s="1">
        <v>1.1000000000000001</v>
      </c>
      <c r="S2" s="1" t="str">
        <f>IF(S1=R1,".",",")</f>
        <v>.</v>
      </c>
      <c r="U2" s="1" t="str">
        <f>_xlfn.CONCAT("#",$S$3,"##0")</f>
        <v>#,##0</v>
      </c>
      <c r="X2" s="55" t="str">
        <f>IF($X$3=0,"",CONCATENATE("Nota: Hay indicadores asociados a más de una línea estratégica, por lo que la suma de los montos por línea NO equivale al monto total mostrado arriba. La diferencia es de $",TEXT($X$3,$U$2),"."))</f>
      </c>
    </row>
    <row r="3" spans="2:28" ht="18.600000000000001" customHeight="1" x14ac:dyDescent="0.3">
      <c r="B3" s="4"/>
      <c r="C3" s="78" t="inlineStr">
        <is>
          <t>SOPÓ CUENTA CONTIGO</t>
        </is>
      </c>
      <c r="D3" s="78"/>
      <c r="E3" s="78"/>
      <c r="F3" s="78"/>
      <c r="G3" s="78"/>
      <c r="H3" s="78"/>
      <c r="I3" s="78"/>
      <c r="J3" s="78"/>
      <c r="K3" s="78"/>
      <c r="L3" s="78"/>
      <c r="M3" s="4"/>
      <c r="Q3" s="1" t="s">
        <v>52</v>
      </c>
      <c r="S3" s="1" t="str">
        <f>IF(S2=".",",",".")</f>
        <v>,</v>
      </c>
      <c r="U3" s="1" t="str">
        <f>_xlfn.CONCAT("#",$S$3,"##0",$S$2,"0")</f>
        <v>#,##0.0</v>
      </c>
      <c r="X3" s="1">
        <f>IFERROR(INDEX(X5:AB5,MATCH($D$16,$C$23:$G$23,0)),0)</f>
        <v>0</v>
      </c>
    </row>
    <row r="4" spans="2:28" ht="18.600000000000001" customHeight="1" x14ac:dyDescent="0.3">
      <c r="B4" s="4"/>
      <c r="C4" s="78"/>
      <c r="D4" s="78"/>
      <c r="E4" s="78"/>
      <c r="F4" s="78"/>
      <c r="G4" s="78"/>
      <c r="H4" s="78"/>
      <c r="I4" s="78"/>
      <c r="J4" s="78"/>
      <c r="K4" s="78"/>
      <c r="L4" s="78"/>
      <c r="M4" s="4"/>
      <c r="Q4" s="1" t="s">
        <v>53</v>
      </c>
      <c r="X4" s="1">
        <v>2024</v>
      </c>
      <c r="Y4" s="1">
        <v>2025</v>
      </c>
      <c r="Z4" s="1">
        <v>2026</v>
      </c>
      <c r="AA4" s="1">
        <v>2027</v>
      </c>
      <c r="AB4" s="1" t="s">
        <v>6</v>
      </c>
    </row>
    <row r="5" spans="2:28" ht="25.5" x14ac:dyDescent="0.5">
      <c r="B5" s="79" t="inlineStr">
        <is>
          <t>Sopó, Cundinamarca</t>
        </is>
      </c>
      <c r="C5" s="79"/>
      <c r="D5" s="79"/>
      <c r="E5" s="79"/>
      <c r="F5" s="79"/>
      <c r="G5" s="79"/>
      <c r="H5" s="79"/>
      <c r="I5" s="79"/>
      <c r="J5" s="79"/>
      <c r="K5" s="79"/>
      <c r="L5" s="79"/>
      <c r="M5" s="79"/>
      <c r="Q5" s="2" t="s">
        <v>6</v>
      </c>
      <c r="X5" s="1">
        <v>0</v>
      </c>
      <c r="Y5" s="1">
        <v>0</v>
      </c>
      <c r="Z5" s="1">
        <v>0</v>
      </c>
      <c r="AA5" s="1">
        <v>0</v>
      </c>
      <c r="AB5" s="1">
        <f>IFERROR(SUM(X5:AA5),0)</f>
        <v>0</v>
      </c>
    </row>
    <row r="6" spans="2:28" x14ac:dyDescent="0.25">
      <c r="P6" t="inlineStr">
        <is>
          <t>LineaEstrategica</t>
        </is>
      </c>
      <c r="Q6" t="inlineStr">
        <is>
          <t>2024</t>
        </is>
      </c>
      <c r="R6" t="inlineStr">
        <is>
          <t>2025</t>
        </is>
      </c>
      <c r="S6" t="inlineStr">
        <is>
          <t>2026</t>
        </is>
      </c>
      <c r="T6" t="inlineStr">
        <is>
          <t>2027</t>
        </is>
      </c>
    </row>
    <row r="7" spans="2:28" x14ac:dyDescent="0.25">
      <c r="E7" s="28"/>
      <c r="F7" s="28"/>
      <c r="G7" s="28"/>
      <c r="H7" s="30" t="s">
        <v>49</v>
      </c>
      <c r="I7" s="22" t="inlineStr">
        <is>
          <t>31 de diciembre de 2025</t>
        </is>
      </c>
      <c r="J7" s="28"/>
      <c r="O7" s="5"/>
      <c r="P7" s="6" t="inlineStr">
        <is>
          <t>SOPÓ CUENTA CONTIGO, PARA CONSOLIDAR INFRAESTRUCTURA DE CALIDAD A TU ALCANCE</t>
        </is>
      </c>
      <c r="Q7" s="6">
        <v>60034.762895</v>
      </c>
      <c r="R7" s="6">
        <v>18309.829917</v>
      </c>
      <c r="S7" s="6">
        <v>6589.344109</v>
      </c>
      <c r="T7" s="6">
        <v>7439.992597</v>
      </c>
      <c r="U7" s="7">
        <f t="shared" ref="U7" si="0">SUM(Q7:T7)</f>
        <v>0</v>
      </c>
      <c r="V7" s="8">
        <f t="shared" ref="V7:V70" si="1">IF(P7="","",INDEX(Q7:U7,MATCH($D$16,$C$23:$G$23,0)))</f>
        <v>0</v>
      </c>
      <c r="W7" s="42" t="str">
        <f>IFERROR(IF(P7="","",CONCATENATE(TEXT(V7,$U$2)," (",TEXT(V7*100/$I$23,$U$3),"%)")),"")</f>
      </c>
    </row>
    <row r="8" spans="2:28" x14ac:dyDescent="0.25">
      <c r="P8" s="6" t="inlineStr">
        <is>
          <t>SOPÓ CUENTA CONTIGO, PARA LA PROMOCIÓN DEL DESARROLLO ECONÓMICO MUNICIPAL</t>
        </is>
      </c>
      <c r="Q8" s="6">
        <v>8777.540305</v>
      </c>
      <c r="R8" s="6">
        <v>12628.5380558</v>
      </c>
      <c r="S8" s="6">
        <v>9388.726745</v>
      </c>
      <c r="T8" s="6">
        <v>8633.4671188</v>
      </c>
      <c r="U8" s="7">
        <f t="shared" ref="U8" si="2">SUM(Q8:T8)</f>
        <v>0</v>
      </c>
      <c r="V8" s="8" t="str">
        <f t="shared" si="1"/>
      </c>
      <c r="W8" s="42" t="str">
        <f t="shared" ref="W8:W71" si="3">IFERROR(IF(P8="","",CONCATENATE(TEXT(V8,$U$2)," (",TEXT(V8*100/$I$23,$U$3),"%)")),"")</f>
      </c>
    </row>
    <row r="9" spans="2:28" ht="30" customHeight="1" x14ac:dyDescent="0.25">
      <c r="B9" s="77" t="s">
        <v>128</v>
      </c>
      <c r="C9" s="77"/>
      <c r="D9" s="77"/>
      <c r="E9" s="77"/>
      <c r="F9" s="77"/>
      <c r="G9" s="77"/>
      <c r="H9" s="77"/>
      <c r="I9" s="77"/>
      <c r="J9" s="77"/>
      <c r="K9" s="77"/>
      <c r="L9" s="77"/>
      <c r="M9" s="77"/>
      <c r="P9" s="6" t="inlineStr">
        <is>
          <t>SOPÓ CUENTA CONTIGO, PARA LA PROTECCIÓN DEL MEDIO AMBIENTE Y EL ORDENAMIENTO TERRITORIAL SOSTENIBLE</t>
        </is>
      </c>
      <c r="Q9" s="6">
        <v>10136.219837</v>
      </c>
      <c r="R9" s="6">
        <v>3380.908921</v>
      </c>
      <c r="S9" s="6">
        <v>4116.509979</v>
      </c>
      <c r="T9" s="6">
        <v>4144.311137</v>
      </c>
      <c r="U9" s="7">
        <f t="shared" ref="U9:U40" si="4">SUM(Q9:T9)</f>
        <v>0</v>
      </c>
      <c r="V9" s="8" t="str">
        <f t="shared" si="1"/>
      </c>
      <c r="W9" s="42" t="str">
        <f t="shared" si="3"/>
      </c>
    </row>
    <row r="10" spans="2:28" ht="30" customHeight="1" x14ac:dyDescent="0.25">
      <c r="B10" s="77"/>
      <c r="C10" s="77"/>
      <c r="D10" s="77"/>
      <c r="E10" s="77"/>
      <c r="F10" s="77"/>
      <c r="G10" s="77"/>
      <c r="H10" s="77"/>
      <c r="I10" s="77"/>
      <c r="J10" s="77"/>
      <c r="K10" s="77"/>
      <c r="L10" s="77"/>
      <c r="M10" s="77"/>
      <c r="P10" s="6" t="inlineStr">
        <is>
          <t>SOPÓ CUENTA CONTIGO, PARA LA TRANSFORMACIÓN SOCIAL</t>
        </is>
      </c>
      <c r="Q10" s="6">
        <v>45150.758562</v>
      </c>
      <c r="R10" s="6">
        <v>61122.7874395</v>
      </c>
      <c r="S10" s="6">
        <v>33020.3193176</v>
      </c>
      <c r="T10" s="6">
        <v>33605.4547223</v>
      </c>
      <c r="U10" s="7">
        <f t="shared" si="4"/>
        <v>0</v>
      </c>
      <c r="V10" s="8" t="str">
        <f t="shared" si="1"/>
      </c>
      <c r="W10" s="42" t="str">
        <f t="shared" si="3"/>
      </c>
    </row>
    <row r="11" spans="2:28" x14ac:dyDescent="0.25">
      <c r="P11" s="6" t="inlineStr">
        <is>
          <t>SOPÓ CUENTA CONTIGO, PARA VIVIR EN UN TERRITORIO SEGURO Y EN PAZ, PROMOTOR DE LA SANA CONVIVENCIA Y LA SOLIDARIDAD, DEL DESARROLLO COMUNITARIO Y LA PARTICIPACIÓN</t>
        </is>
      </c>
      <c r="Q11" s="6">
        <v>22405.527552</v>
      </c>
      <c r="R11" s="6">
        <v>4078.2544</v>
      </c>
      <c r="S11" s="6">
        <v>4485.42984</v>
      </c>
      <c r="T11" s="6">
        <v>4934.092824</v>
      </c>
      <c r="U11" s="7">
        <f t="shared" si="4"/>
        <v>0</v>
      </c>
      <c r="V11" s="8" t="str">
        <f t="shared" si="1"/>
      </c>
      <c r="W11" s="42" t="str">
        <f t="shared" si="3"/>
      </c>
    </row>
    <row r="12" spans="2:28" ht="17.25" x14ac:dyDescent="0.3">
      <c r="B12" s="11" t="s">
        <v>105</v>
      </c>
      <c r="C12" s="12"/>
      <c r="D12" s="12"/>
      <c r="E12" s="12"/>
      <c r="F12" s="12"/>
      <c r="G12" s="12"/>
      <c r="H12" s="12"/>
      <c r="I12" s="12"/>
      <c r="J12" s="12"/>
      <c r="K12" s="12"/>
      <c r="L12" s="12"/>
      <c r="M12" s="12"/>
      <c r="P12" s="6" t="inlineStr">
        <is>
          <t>SOPÓ, CUENTA CONTIGO, POR LA TRANSPARENCIA, LA GESTIÓN PÚBLICA ORIENTADA A RESULTADOS Y EL FORTALECIMIENTO INSTITUCIONAL</t>
        </is>
      </c>
      <c r="Q12" s="6">
        <v>2864.830653</v>
      </c>
      <c r="R12" s="6">
        <v>5939.996915</v>
      </c>
      <c r="S12" s="6">
        <v>7459.118944</v>
      </c>
      <c r="T12" s="6">
        <v>4558.842518</v>
      </c>
      <c r="U12" s="7">
        <f t="shared" si="4"/>
        <v>0</v>
      </c>
      <c r="V12" s="8" t="str">
        <f t="shared" si="1"/>
      </c>
      <c r="W12" s="42" t="str">
        <f t="shared" si="3"/>
      </c>
    </row>
    <row r="13" spans="2:28" x14ac:dyDescent="0.25">
      <c r="P13" s="6"/>
      <c r="Q13" s="6"/>
      <c r="R13" s="6"/>
      <c r="S13" s="6"/>
      <c r="T13" s="6"/>
      <c r="U13" s="7">
        <f t="shared" si="4"/>
        <v>0</v>
      </c>
      <c r="V13" s="8" t="str">
        <f t="shared" si="1"/>
      </c>
      <c r="W13" s="42" t="str">
        <f t="shared" si="3"/>
      </c>
    </row>
    <row r="14" spans="2:28" x14ac:dyDescent="0.25">
      <c r="B14" s="28" t="s">
        <v>4</v>
      </c>
      <c r="C14" s="28"/>
      <c r="D14" s="28"/>
      <c r="E14" s="28"/>
      <c r="F14" s="28"/>
      <c r="G14" s="28"/>
      <c r="H14" s="28"/>
      <c r="I14" s="28"/>
      <c r="U14" s="7">
        <f t="shared" si="4"/>
        <v>0</v>
      </c>
      <c r="V14" s="8" t="str">
        <f t="shared" si="1"/>
      </c>
      <c r="W14" s="42" t="str">
        <f t="shared" si="3"/>
      </c>
    </row>
    <row r="15" spans="2:28" x14ac:dyDescent="0.25">
      <c r="B15" s="28"/>
      <c r="C15" s="29"/>
      <c r="D15" s="28"/>
      <c r="E15" s="28"/>
      <c r="F15" s="28"/>
      <c r="G15" s="28"/>
      <c r="H15" s="35"/>
      <c r="I15" s="35"/>
      <c r="J15" s="3"/>
      <c r="U15" s="7">
        <f t="shared" si="4"/>
        <v>0</v>
      </c>
      <c r="V15" s="8" t="str">
        <f t="shared" si="1"/>
      </c>
      <c r="W15" s="42" t="str">
        <f t="shared" si="3"/>
      </c>
    </row>
    <row r="16" spans="2:28" x14ac:dyDescent="0.25">
      <c r="B16" s="81" t="s">
        <v>5</v>
      </c>
      <c r="C16" s="81"/>
      <c r="D16" s="82" t="s">
        <v>6</v>
      </c>
      <c r="E16" s="83"/>
      <c r="F16" s="28"/>
      <c r="G16" s="28"/>
      <c r="H16" s="35"/>
      <c r="I16" s="35"/>
      <c r="J16" s="3"/>
      <c r="U16" s="7">
        <f t="shared" si="4"/>
        <v>0</v>
      </c>
      <c r="V16" s="8" t="str">
        <f t="shared" si="1"/>
      </c>
      <c r="W16" s="42" t="str">
        <f t="shared" si="3"/>
      </c>
    </row>
    <row r="17" spans="1:23" x14ac:dyDescent="0.25">
      <c r="B17" s="28"/>
      <c r="C17" s="28"/>
      <c r="D17" s="28"/>
      <c r="E17" s="28"/>
      <c r="F17" s="28"/>
      <c r="G17" s="28"/>
      <c r="H17" s="35"/>
      <c r="I17" s="35"/>
      <c r="J17" s="3"/>
      <c r="U17" s="7">
        <f t="shared" si="4"/>
        <v>0</v>
      </c>
      <c r="V17" s="8" t="str">
        <f t="shared" si="1"/>
      </c>
      <c r="W17" s="42" t="str">
        <f t="shared" si="3"/>
      </c>
    </row>
    <row r="18" spans="1:23" ht="21" customHeight="1" x14ac:dyDescent="0.25">
      <c r="B18" s="76" t="str">
        <f>CONCATENATE("Monto total programado ",D16," (en millones de pesos): ",TEXT(I23,$U$2))</f>
        <v>Monto total programado Total Cuatrienio (en millones de pesos): 0</v>
      </c>
      <c r="C18" s="76"/>
      <c r="D18" s="76"/>
      <c r="E18" s="76"/>
      <c r="F18" s="76"/>
      <c r="G18" s="76"/>
      <c r="H18" s="35"/>
      <c r="I18" s="35"/>
      <c r="J18" s="3"/>
      <c r="U18" s="7">
        <f t="shared" si="4"/>
        <v>0</v>
      </c>
      <c r="V18" s="8" t="str">
        <f t="shared" si="1"/>
      </c>
      <c r="W18" s="42" t="str">
        <f t="shared" si="3"/>
      </c>
    </row>
    <row r="19" spans="1:23" x14ac:dyDescent="0.25">
      <c r="A19" s="3"/>
      <c r="B19" s="36"/>
      <c r="C19" s="36"/>
      <c r="D19" s="36"/>
      <c r="E19" s="3"/>
      <c r="F19" s="3"/>
      <c r="G19" s="3"/>
      <c r="H19" s="3"/>
      <c r="I19" s="3"/>
      <c r="J19" s="3"/>
      <c r="U19" s="7">
        <f t="shared" si="4"/>
        <v>0</v>
      </c>
      <c r="V19" s="8" t="str">
        <f t="shared" si="1"/>
      </c>
      <c r="W19" s="42" t="str">
        <f t="shared" si="3"/>
      </c>
    </row>
    <row r="20" spans="1:23" x14ac:dyDescent="0.25">
      <c r="A20" s="3"/>
      <c r="B20" s="36"/>
      <c r="C20" s="36"/>
      <c r="D20" s="36"/>
      <c r="E20" s="3"/>
      <c r="F20" s="3"/>
      <c r="G20" s="3"/>
      <c r="H20" s="3"/>
      <c r="I20" s="3"/>
      <c r="J20" s="3"/>
      <c r="U20" s="7">
        <f t="shared" si="4"/>
        <v>0</v>
      </c>
      <c r="V20" s="8" t="str">
        <f t="shared" si="1"/>
      </c>
      <c r="W20" s="42" t="str">
        <f t="shared" si="3"/>
      </c>
    </row>
    <row r="21" spans="1:23" x14ac:dyDescent="0.25">
      <c r="A21" s="3"/>
      <c r="B21" s="3"/>
      <c r="C21" s="3"/>
      <c r="D21" s="3"/>
      <c r="E21" s="3"/>
      <c r="F21" s="3"/>
      <c r="G21" s="3"/>
      <c r="H21" s="3"/>
      <c r="I21" s="3"/>
      <c r="J21" s="3"/>
      <c r="U21" s="7">
        <f t="shared" si="4"/>
        <v>0</v>
      </c>
      <c r="V21" s="8" t="str">
        <f t="shared" si="1"/>
      </c>
      <c r="W21" s="42" t="str">
        <f t="shared" si="3"/>
      </c>
    </row>
    <row r="22" spans="1:23" x14ac:dyDescent="0.25">
      <c r="A22" s="3"/>
      <c r="B22" s="3"/>
      <c r="C22" s="3"/>
      <c r="D22" s="3"/>
      <c r="E22" s="3"/>
      <c r="F22" s="3"/>
      <c r="G22" s="3"/>
      <c r="H22" s="3"/>
      <c r="I22" s="3"/>
      <c r="J22" s="3"/>
      <c r="K22" s="9"/>
      <c r="L22" s="9"/>
      <c r="M22" s="9"/>
      <c r="N22" s="9"/>
      <c r="O22" s="9"/>
      <c r="U22" s="7">
        <f t="shared" si="4"/>
        <v>0</v>
      </c>
      <c r="V22" s="8" t="str">
        <f t="shared" si="1"/>
      </c>
      <c r="W22" s="42" t="str">
        <f t="shared" si="3"/>
      </c>
    </row>
    <row r="23" spans="1:23" x14ac:dyDescent="0.25">
      <c r="A23" s="9"/>
      <c r="B23" s="9" t="inlineStr">
        <is>
          <t>Var</t>
        </is>
      </c>
      <c r="C23" s="9" t="inlineStr">
        <is>
          <t>2024</t>
        </is>
      </c>
      <c r="D23" s="9" t="inlineStr">
        <is>
          <t>2025</t>
        </is>
      </c>
      <c r="E23" s="9" t="inlineStr">
        <is>
          <t>2026</t>
        </is>
      </c>
      <c r="F23" s="9" t="inlineStr">
        <is>
          <t>2027</t>
        </is>
      </c>
      <c r="G23" s="9" t="s">
        <v>6</v>
      </c>
      <c r="H23" s="9" t="str">
        <f t="shared" ref="H23:H54" si="5">INDEX(C23:G23,MATCH($D$16,$C$23:$G$23,0))</f>
        <v>Total Cuatrienio</v>
      </c>
      <c r="I23" s="13">
        <f>SUM(H24:H42)</f>
        <v>0</v>
      </c>
      <c r="J23" s="9"/>
      <c r="K23" s="9"/>
      <c r="L23" s="9"/>
      <c r="M23" s="9"/>
      <c r="N23" s="9"/>
      <c r="O23" s="9"/>
      <c r="U23" s="7">
        <f t="shared" si="4"/>
        <v>0</v>
      </c>
      <c r="V23" s="8" t="str">
        <f t="shared" si="1"/>
      </c>
      <c r="W23" s="42" t="str">
        <f t="shared" si="3"/>
      </c>
    </row>
    <row r="24" spans="1:23" x14ac:dyDescent="0.25">
      <c r="A24" s="9"/>
      <c r="B24" s="9" t="inlineStr">
        <is>
          <t xml:space="preserve">Agricultura y desarrollo rural
</t>
        </is>
      </c>
      <c r="C24" s="9">
        <v>753.470925</v>
      </c>
      <c r="D24" s="14">
        <v>1191.938018</v>
      </c>
      <c r="E24" s="14">
        <v>1291.17118</v>
      </c>
      <c r="F24" s="14">
        <v>1668.419501</v>
      </c>
      <c r="G24" s="14">
        <f>SUM(C24:F24)</f>
        <v>0</v>
      </c>
      <c r="H24" s="13">
        <f t="shared" si="5"/>
        <v>0</v>
      </c>
      <c r="I24" s="9" t="e">
        <f>CONCATENATE(TEXT(H24,$U$2)," (",TEXT(H24*100/$I$23,$U$3),"%)")</f>
        <v>#DIV/0!</v>
      </c>
      <c r="J24" s="9"/>
      <c r="K24" s="9"/>
      <c r="L24" s="9"/>
      <c r="M24" s="9"/>
      <c r="N24" s="9"/>
      <c r="O24" s="9"/>
      <c r="U24" s="7">
        <f t="shared" si="4"/>
        <v>0</v>
      </c>
      <c r="V24" s="8" t="str">
        <f t="shared" si="1"/>
      </c>
      <c r="W24" s="42" t="str">
        <f t="shared" si="3"/>
      </c>
    </row>
    <row r="25" spans="1:23" x14ac:dyDescent="0.25">
      <c r="A25" s="9"/>
      <c r="B25" s="9" t="inlineStr">
        <is>
          <t>Ambiente y desarrollo sostenible</t>
        </is>
      </c>
      <c r="C25" s="9">
        <v>8046.653577</v>
      </c>
      <c r="D25" s="14">
        <v>1371.936296</v>
      </c>
      <c r="E25" s="14">
        <v>2119.82009</v>
      </c>
      <c r="F25" s="14">
        <v>2008.04226</v>
      </c>
      <c r="G25" s="14">
        <f t="shared" ref="G25:G40" si="6">SUM(C25:F25)</f>
        <v>0</v>
      </c>
      <c r="H25" s="13">
        <f t="shared" si="5"/>
        <v>0</v>
      </c>
      <c r="I25" s="9" t="e">
        <f t="shared" ref="I25:I73" si="7">CONCATENATE(TEXT(H25,$U$2)," (",TEXT(H25*100/$I$23,$U$3),"%)")</f>
        <v>#DIV/0!</v>
      </c>
      <c r="J25" s="9"/>
      <c r="K25" s="9"/>
      <c r="L25" s="9"/>
      <c r="M25" s="9"/>
      <c r="N25" s="9"/>
      <c r="O25" s="9"/>
      <c r="U25" s="7">
        <f t="shared" si="4"/>
        <v>0</v>
      </c>
      <c r="V25" s="8" t="str">
        <f t="shared" si="1"/>
      </c>
      <c r="W25" s="42" t="str">
        <f t="shared" si="3"/>
      </c>
    </row>
    <row r="26" spans="1:23" x14ac:dyDescent="0.25">
      <c r="A26" s="9"/>
      <c r="B26" s="9" t="inlineStr">
        <is>
          <t xml:space="preserve">Ciencia, tecnología e innovación
</t>
        </is>
      </c>
      <c r="C26" s="9">
        <v>601.417357</v>
      </c>
      <c r="D26" s="14">
        <v>979.3629908</v>
      </c>
      <c r="E26" s="14">
        <v>863.363418</v>
      </c>
      <c r="F26" s="14">
        <v>840.190501</v>
      </c>
      <c r="G26" s="14">
        <f t="shared" si="6"/>
        <v>0</v>
      </c>
      <c r="H26" s="13">
        <f t="shared" si="5"/>
        <v>0</v>
      </c>
      <c r="I26" s="9" t="e">
        <f t="shared" si="7"/>
        <v>#DIV/0!</v>
      </c>
      <c r="J26" s="9"/>
      <c r="K26" s="9"/>
      <c r="L26" s="9"/>
      <c r="M26" s="9"/>
      <c r="N26" s="9"/>
      <c r="O26" s="9"/>
      <c r="U26" s="7">
        <f t="shared" si="4"/>
        <v>0</v>
      </c>
      <c r="V26" s="8" t="str">
        <f t="shared" si="1"/>
      </c>
      <c r="W26" s="42" t="str">
        <f t="shared" si="3"/>
      </c>
    </row>
    <row r="27" spans="1:23" x14ac:dyDescent="0.25">
      <c r="A27" s="9"/>
      <c r="B27" s="9" t="inlineStr">
        <is>
          <t>Comercio, industria y turismo</t>
        </is>
      </c>
      <c r="C27" s="9">
        <v>1145.168167</v>
      </c>
      <c r="D27" s="9">
        <v>1416.463605</v>
      </c>
      <c r="E27" s="9">
        <v>1425.740914</v>
      </c>
      <c r="F27" s="9">
        <v>1452.347994</v>
      </c>
      <c r="G27" s="14">
        <f t="shared" si="6"/>
        <v>0</v>
      </c>
      <c r="H27" s="13">
        <f t="shared" si="5"/>
        <v>0</v>
      </c>
      <c r="I27" s="9" t="e">
        <f t="shared" si="7"/>
        <v>#DIV/0!</v>
      </c>
      <c r="J27" s="9"/>
      <c r="K27" s="9"/>
      <c r="L27" s="9"/>
      <c r="M27" s="9"/>
      <c r="N27" s="9"/>
      <c r="O27" s="9"/>
      <c r="U27" s="7">
        <f t="shared" si="4"/>
        <v>0</v>
      </c>
      <c r="V27" s="8" t="str">
        <f t="shared" si="1"/>
      </c>
      <c r="W27" s="42" t="str">
        <f t="shared" si="3"/>
      </c>
    </row>
    <row r="28" spans="1:23" x14ac:dyDescent="0.25">
      <c r="A28" s="9"/>
      <c r="B28" s="9" t="inlineStr">
        <is>
          <t>Cultura</t>
        </is>
      </c>
      <c r="C28" s="9">
        <v>10233.69128</v>
      </c>
      <c r="D28" s="9">
        <v>17353.160967</v>
      </c>
      <c r="E28" s="9">
        <v>4935.903502</v>
      </c>
      <c r="F28" s="9">
        <v>5605.879436</v>
      </c>
      <c r="G28" s="14">
        <f t="shared" si="6"/>
        <v>0</v>
      </c>
      <c r="H28" s="13">
        <f t="shared" si="5"/>
        <v>0</v>
      </c>
      <c r="I28" s="9" t="e">
        <f t="shared" si="7"/>
        <v>#DIV/0!</v>
      </c>
      <c r="J28" s="9"/>
      <c r="K28" s="9"/>
      <c r="L28" s="9"/>
      <c r="M28" s="9"/>
      <c r="N28" s="9"/>
      <c r="O28" s="9"/>
      <c r="U28" s="7">
        <f t="shared" si="4"/>
        <v>0</v>
      </c>
      <c r="V28" s="8" t="str">
        <f t="shared" si="1"/>
      </c>
      <c r="W28" s="42" t="str">
        <f t="shared" si="3"/>
      </c>
    </row>
    <row r="29" spans="1:23" x14ac:dyDescent="0.25">
      <c r="A29" s="9"/>
      <c r="B29" s="9" t="inlineStr">
        <is>
          <t>Defensa y Policía</t>
        </is>
      </c>
      <c r="C29" s="9">
        <v>0</v>
      </c>
      <c r="D29" s="9">
        <v>0</v>
      </c>
      <c r="E29" s="9">
        <v>0</v>
      </c>
      <c r="F29" s="9">
        <v>0</v>
      </c>
      <c r="G29" s="14">
        <f t="shared" si="6"/>
        <v>0</v>
      </c>
      <c r="H29" s="13">
        <f t="shared" si="5"/>
        <v>0</v>
      </c>
      <c r="I29" s="9" t="e">
        <f t="shared" si="7"/>
        <v>#DIV/0!</v>
      </c>
      <c r="J29" s="9"/>
      <c r="K29" s="9"/>
      <c r="L29" s="9"/>
      <c r="M29" s="9"/>
      <c r="N29" s="9"/>
      <c r="O29" s="9"/>
      <c r="U29" s="7">
        <f t="shared" si="4"/>
        <v>0</v>
      </c>
      <c r="V29" s="8" t="str">
        <f t="shared" si="1"/>
      </c>
      <c r="W29" s="42" t="str">
        <f t="shared" si="3"/>
      </c>
    </row>
    <row r="30" spans="1:23" x14ac:dyDescent="0.25">
      <c r="A30" s="9"/>
      <c r="B30" s="9" t="inlineStr">
        <is>
          <t>Deporte y Recreación</t>
        </is>
      </c>
      <c r="C30" s="9">
        <v>15805.535862</v>
      </c>
      <c r="D30" s="9">
        <v>15476.5977605</v>
      </c>
      <c r="E30" s="9">
        <v>6309.7785716</v>
      </c>
      <c r="F30" s="9">
        <v>4365.1189853</v>
      </c>
      <c r="G30" s="14">
        <f t="shared" si="6"/>
        <v>0</v>
      </c>
      <c r="H30" s="13">
        <f t="shared" si="5"/>
        <v>0</v>
      </c>
      <c r="I30" s="9" t="e">
        <f t="shared" si="7"/>
        <v>#DIV/0!</v>
      </c>
      <c r="J30" s="9"/>
      <c r="K30" s="9"/>
      <c r="L30" s="9"/>
      <c r="M30" s="9"/>
      <c r="N30" s="9"/>
      <c r="O30" s="9"/>
      <c r="U30" s="7">
        <f t="shared" si="4"/>
        <v>0</v>
      </c>
      <c r="V30" s="8" t="str">
        <f t="shared" si="1"/>
      </c>
      <c r="W30" s="42" t="str">
        <f t="shared" si="3"/>
      </c>
    </row>
    <row r="31" spans="1:23" x14ac:dyDescent="0.25">
      <c r="A31" s="9"/>
      <c r="B31" s="9" t="inlineStr">
        <is>
          <t>Educación</t>
        </is>
      </c>
      <c r="C31" s="9">
        <v>8054.511529</v>
      </c>
      <c r="D31" s="9">
        <v>7850.9</v>
      </c>
      <c r="E31" s="9">
        <v>8518.260779</v>
      </c>
      <c r="F31" s="9">
        <v>9192.295902</v>
      </c>
      <c r="G31" s="14">
        <f t="shared" si="6"/>
        <v>0</v>
      </c>
      <c r="H31" s="13">
        <f t="shared" si="5"/>
        <v>0</v>
      </c>
      <c r="I31" s="9" t="e">
        <f t="shared" si="7"/>
        <v>#DIV/0!</v>
      </c>
      <c r="J31" s="9"/>
      <c r="K31" s="9"/>
      <c r="L31" s="9"/>
      <c r="M31" s="9"/>
      <c r="N31" s="9"/>
      <c r="O31" s="9"/>
      <c r="U31" s="7">
        <f t="shared" si="4"/>
        <v>0</v>
      </c>
      <c r="V31" s="8" t="str">
        <f t="shared" si="1"/>
      </c>
      <c r="W31" s="42" t="str">
        <f t="shared" si="3"/>
      </c>
    </row>
    <row r="32" spans="1:23" x14ac:dyDescent="0.25">
      <c r="A32" s="9"/>
      <c r="B32" s="9" t="inlineStr">
        <is>
          <t>Gobierno Territorial</t>
        </is>
      </c>
      <c r="C32" s="9">
        <v>9519.822469</v>
      </c>
      <c r="D32" s="9">
        <v>9310.869324</v>
      </c>
      <c r="E32" s="9">
        <v>10377.786258</v>
      </c>
      <c r="F32" s="9">
        <v>9724.185882</v>
      </c>
      <c r="G32" s="14">
        <f t="shared" si="6"/>
        <v>0</v>
      </c>
      <c r="H32" s="13">
        <f t="shared" si="5"/>
        <v>0</v>
      </c>
      <c r="I32" s="9" t="e">
        <f t="shared" si="7"/>
        <v>#DIV/0!</v>
      </c>
      <c r="J32" s="9"/>
      <c r="K32" s="9"/>
      <c r="L32" s="9"/>
      <c r="M32" s="9"/>
      <c r="N32" s="9"/>
      <c r="O32" s="9"/>
      <c r="U32" s="7">
        <f t="shared" si="4"/>
        <v>0</v>
      </c>
      <c r="V32" s="8" t="str">
        <f t="shared" si="1"/>
      </c>
      <c r="W32" s="42" t="str">
        <f t="shared" si="3"/>
      </c>
    </row>
    <row r="33" spans="1:23" x14ac:dyDescent="0.25">
      <c r="A33" s="9"/>
      <c r="B33" s="9" t="inlineStr">
        <is>
          <t xml:space="preserve">Inclusión social y reconciliación </t>
        </is>
      </c>
      <c r="C33" s="9">
        <v>4245.856</v>
      </c>
      <c r="D33" s="9">
        <v>12814.7174</v>
      </c>
      <c r="E33" s="9">
        <v>5180.56894</v>
      </c>
      <c r="F33" s="9">
        <v>5558.321054</v>
      </c>
      <c r="G33" s="14">
        <f t="shared" si="6"/>
        <v>0</v>
      </c>
      <c r="H33" s="13">
        <f t="shared" si="5"/>
        <v>0</v>
      </c>
      <c r="I33" s="9" t="e">
        <f t="shared" si="7"/>
        <v>#DIV/0!</v>
      </c>
      <c r="J33" s="9"/>
      <c r="K33" s="9"/>
      <c r="L33" s="9"/>
      <c r="M33" s="9"/>
      <c r="N33" s="9"/>
      <c r="O33" s="9"/>
      <c r="U33" s="7">
        <f t="shared" si="4"/>
        <v>0</v>
      </c>
      <c r="V33" s="8" t="str">
        <f t="shared" si="1"/>
      </c>
      <c r="W33" s="42" t="str">
        <f t="shared" si="3"/>
      </c>
    </row>
    <row r="34" spans="1:23" x14ac:dyDescent="0.25">
      <c r="A34" s="9"/>
      <c r="B34" s="9" t="inlineStr">
        <is>
          <t>Información Estadística</t>
        </is>
      </c>
      <c r="C34" s="9">
        <v>93.701996</v>
      </c>
      <c r="D34" s="9">
        <v>1222.314616</v>
      </c>
      <c r="E34" s="9">
        <v>2133.188415</v>
      </c>
      <c r="F34" s="9">
        <v>397.813437</v>
      </c>
      <c r="G34" s="14">
        <f t="shared" si="6"/>
        <v>0</v>
      </c>
      <c r="H34" s="13">
        <f t="shared" si="5"/>
        <v>0</v>
      </c>
      <c r="I34" s="9" t="e">
        <f t="shared" si="7"/>
        <v>#DIV/0!</v>
      </c>
      <c r="J34" s="9"/>
      <c r="K34" s="9"/>
      <c r="L34" s="9"/>
      <c r="M34" s="9"/>
      <c r="N34" s="9"/>
      <c r="O34" s="9"/>
      <c r="U34" s="7">
        <f t="shared" si="4"/>
        <v>0</v>
      </c>
      <c r="V34" s="8" t="str">
        <f t="shared" si="1"/>
      </c>
      <c r="W34" s="42" t="str">
        <f t="shared" si="3"/>
      </c>
    </row>
    <row r="35" spans="1:23" x14ac:dyDescent="0.25">
      <c r="A35" s="9"/>
      <c r="B35" s="9" t="inlineStr">
        <is>
          <t>Justicia y del derecho</t>
        </is>
      </c>
      <c r="C35" s="9">
        <v>16987.9</v>
      </c>
      <c r="D35" s="9">
        <v>371.69</v>
      </c>
      <c r="E35" s="9">
        <v>408.859</v>
      </c>
      <c r="F35" s="9">
        <v>449.7449</v>
      </c>
      <c r="G35" s="14">
        <f t="shared" si="6"/>
        <v>0</v>
      </c>
      <c r="H35" s="13">
        <f t="shared" si="5"/>
        <v>0</v>
      </c>
      <c r="I35" s="9" t="e">
        <f t="shared" si="7"/>
        <v>#DIV/0!</v>
      </c>
      <c r="J35" s="9"/>
      <c r="K35" s="9"/>
      <c r="L35" s="9"/>
      <c r="M35" s="9"/>
      <c r="N35" s="9"/>
      <c r="O35" s="9"/>
      <c r="U35" s="7">
        <f t="shared" si="4"/>
        <v>0</v>
      </c>
      <c r="V35" s="8" t="str">
        <f t="shared" si="1"/>
      </c>
      <c r="W35" s="42" t="str">
        <f t="shared" si="3"/>
      </c>
    </row>
    <row r="36" spans="1:23" x14ac:dyDescent="0.25">
      <c r="A36" s="9"/>
      <c r="B36" s="9" t="inlineStr">
        <is>
          <t>Minas y Energía</t>
        </is>
      </c>
      <c r="C36" s="9">
        <v>4478.007857</v>
      </c>
      <c r="D36" s="9">
        <v>3335</v>
      </c>
      <c r="E36" s="9">
        <v>3668</v>
      </c>
      <c r="F36" s="9">
        <v>4034.3</v>
      </c>
      <c r="G36" s="14">
        <f t="shared" si="6"/>
        <v>0</v>
      </c>
      <c r="H36" s="13">
        <f t="shared" si="5"/>
        <v>0</v>
      </c>
      <c r="I36" s="9" t="e">
        <f t="shared" si="7"/>
        <v>#DIV/0!</v>
      </c>
      <c r="J36" s="9"/>
      <c r="K36" s="9"/>
      <c r="L36" s="9"/>
      <c r="M36" s="9"/>
      <c r="N36" s="9"/>
      <c r="O36" s="9"/>
      <c r="U36" s="7">
        <f t="shared" si="4"/>
        <v>0</v>
      </c>
      <c r="V36" s="8" t="str">
        <f t="shared" si="1"/>
      </c>
      <c r="W36" s="42" t="str">
        <f t="shared" si="3"/>
      </c>
    </row>
    <row r="37" spans="1:23" x14ac:dyDescent="0.25">
      <c r="A37" s="9"/>
      <c r="B37" s="9" t="inlineStr">
        <is>
          <t>Organismos de Control</t>
        </is>
      </c>
      <c r="C37" s="9">
        <v>0</v>
      </c>
      <c r="D37" s="9">
        <v>0</v>
      </c>
      <c r="E37" s="9">
        <v>0</v>
      </c>
      <c r="F37" s="9">
        <v>0</v>
      </c>
      <c r="G37" s="14">
        <f t="shared" si="6"/>
        <v>0</v>
      </c>
      <c r="H37" s="13">
        <f t="shared" si="5"/>
        <v>0</v>
      </c>
      <c r="I37" s="9" t="e">
        <f t="shared" si="7"/>
        <v>#DIV/0!</v>
      </c>
      <c r="J37" s="9"/>
      <c r="K37" s="9"/>
      <c r="L37" s="9"/>
      <c r="M37" s="9"/>
      <c r="N37" s="9"/>
      <c r="O37" s="9"/>
      <c r="U37" s="7">
        <f t="shared" si="4"/>
        <v>0</v>
      </c>
      <c r="V37" s="8" t="str">
        <f t="shared" si="1"/>
      </c>
      <c r="W37" s="42" t="str">
        <f t="shared" si="3"/>
      </c>
    </row>
    <row r="38" spans="1:23" x14ac:dyDescent="0.25">
      <c r="A38" s="9"/>
      <c r="B38" s="9" t="inlineStr">
        <is>
          <t>Salud y protección social</t>
        </is>
      </c>
      <c r="C38" s="9">
        <v>6811.163891</v>
      </c>
      <c r="D38" s="9">
        <v>7627.411312</v>
      </c>
      <c r="E38" s="9">
        <v>8075.807525</v>
      </c>
      <c r="F38" s="9">
        <v>8883.839345</v>
      </c>
      <c r="G38" s="14">
        <f t="shared" si="6"/>
        <v>0</v>
      </c>
      <c r="H38" s="13">
        <f t="shared" si="5"/>
        <v>0</v>
      </c>
      <c r="I38" s="9" t="e">
        <f t="shared" si="7"/>
        <v>#DIV/0!</v>
      </c>
      <c r="J38" s="9"/>
      <c r="K38" s="9"/>
      <c r="L38" s="9"/>
      <c r="M38" s="9"/>
      <c r="N38" s="9"/>
      <c r="O38" s="9"/>
      <c r="U38" s="7">
        <f t="shared" si="4"/>
        <v>0</v>
      </c>
      <c r="V38" s="8" t="str">
        <f t="shared" si="1"/>
      </c>
      <c r="W38" s="42" t="str">
        <f t="shared" si="3"/>
      </c>
    </row>
    <row r="39" spans="1:23" x14ac:dyDescent="0.25">
      <c r="A39" s="9"/>
      <c r="B39" s="9" t="inlineStr">
        <is>
          <t>Tecnologías de la información y las comunicaciones</t>
        </is>
      </c>
      <c r="C39" s="9">
        <v>475</v>
      </c>
      <c r="D39" s="9">
        <v>569.55</v>
      </c>
      <c r="E39" s="9">
        <v>626.505</v>
      </c>
      <c r="F39" s="9">
        <v>689.16</v>
      </c>
      <c r="G39" s="14">
        <f t="shared" si="6"/>
        <v>0</v>
      </c>
      <c r="H39" s="13">
        <f t="shared" si="5"/>
        <v>0</v>
      </c>
      <c r="I39" s="9" t="e">
        <f t="shared" si="7"/>
        <v>#DIV/0!</v>
      </c>
      <c r="J39" s="9"/>
      <c r="K39" s="9"/>
      <c r="L39" s="9"/>
      <c r="M39" s="9"/>
      <c r="N39" s="9"/>
      <c r="O39" s="9"/>
      <c r="U39" s="7">
        <f t="shared" si="4"/>
        <v>0</v>
      </c>
      <c r="V39" s="8" t="str">
        <f t="shared" si="1"/>
      </c>
      <c r="W39" s="42" t="str">
        <f t="shared" si="3"/>
      </c>
    </row>
    <row r="40" spans="1:23" x14ac:dyDescent="0.25">
      <c r="A40" s="9"/>
      <c r="B40" s="9" t="inlineStr">
        <is>
          <t>Trabajo</t>
        </is>
      </c>
      <c r="C40" s="9">
        <v>410.33</v>
      </c>
      <c r="D40" s="9">
        <v>746.4042</v>
      </c>
      <c r="E40" s="9">
        <v>709.266606</v>
      </c>
      <c r="F40" s="9">
        <v>765.96911</v>
      </c>
      <c r="G40" s="14">
        <f t="shared" si="6"/>
        <v>0</v>
      </c>
      <c r="H40" s="13">
        <f t="shared" si="5"/>
        <v>0</v>
      </c>
      <c r="I40" s="9" t="e">
        <f t="shared" si="7"/>
        <v>#DIV/0!</v>
      </c>
      <c r="J40" s="9"/>
      <c r="K40" s="9"/>
      <c r="L40" s="9"/>
      <c r="M40" s="9"/>
      <c r="N40" s="9"/>
      <c r="O40" s="9"/>
      <c r="U40" s="7">
        <f t="shared" si="4"/>
        <v>0</v>
      </c>
      <c r="V40" s="8" t="str">
        <f t="shared" si="1"/>
      </c>
      <c r="W40" s="42" t="str">
        <f t="shared" si="3"/>
      </c>
    </row>
    <row r="41" spans="1:23" x14ac:dyDescent="0.25">
      <c r="A41" s="9"/>
      <c r="B41" s="9" t="inlineStr">
        <is>
          <t>Transporte</t>
        </is>
      </c>
      <c r="C41" s="9">
        <v>5867.153856</v>
      </c>
      <c r="D41" s="9">
        <v>8294.369242</v>
      </c>
      <c r="E41" s="9">
        <v>5099.184627</v>
      </c>
      <c r="F41" s="9">
        <v>3906.5400128</v>
      </c>
      <c r="G41" s="14">
        <f t="shared" ref="G41:G42" si="8">SUM(C41:F41)</f>
        <v>0</v>
      </c>
      <c r="H41" s="13">
        <f t="shared" si="5"/>
        <v>0</v>
      </c>
      <c r="I41" s="9" t="e">
        <f t="shared" si="7"/>
        <v>#DIV/0!</v>
      </c>
      <c r="J41" s="9"/>
      <c r="K41" s="9"/>
      <c r="L41" s="9"/>
      <c r="M41" s="9"/>
      <c r="N41" s="9"/>
      <c r="O41" s="9"/>
      <c r="U41" s="7">
        <f t="shared" ref="U41:U71" si="9">SUM(Q41:T41)</f>
        <v>0</v>
      </c>
      <c r="V41" s="8" t="str">
        <f t="shared" si="1"/>
      </c>
      <c r="W41" s="42" t="str">
        <f t="shared" si="3"/>
      </c>
    </row>
    <row r="42" spans="1:23" x14ac:dyDescent="0.25">
      <c r="A42" s="9"/>
      <c r="B42" s="9" t="inlineStr">
        <is>
          <t>Vivienda, ciudad y territorio</t>
        </is>
      </c>
      <c r="C42" s="9">
        <v>55840.255038</v>
      </c>
      <c r="D42" s="9">
        <v>15527.629917</v>
      </c>
      <c r="E42" s="9">
        <v>3316.244109</v>
      </c>
      <c r="F42" s="9">
        <v>3773.992597</v>
      </c>
      <c r="G42" s="14">
        <f t="shared" si="8"/>
        <v>0</v>
      </c>
      <c r="H42" s="13">
        <f t="shared" si="5"/>
        <v>0</v>
      </c>
      <c r="I42" s="9" t="e">
        <f t="shared" si="7"/>
        <v>#DIV/0!</v>
      </c>
      <c r="J42" s="9"/>
      <c r="K42" s="9"/>
      <c r="L42" s="9"/>
      <c r="M42" s="9"/>
      <c r="N42" s="9"/>
      <c r="O42" s="9"/>
      <c r="U42" s="7">
        <f t="shared" si="9"/>
        <v>0</v>
      </c>
      <c r="V42" s="8" t="str">
        <f t="shared" si="1"/>
      </c>
      <c r="W42" s="42" t="str">
        <f t="shared" si="3"/>
      </c>
    </row>
    <row r="43" spans="1:23" x14ac:dyDescent="0.25">
      <c r="A43" s="9"/>
      <c r="B43" s="9" t="inlineStr">
        <is>
          <t>Recursos Propios</t>
        </is>
      </c>
      <c r="C43" s="9">
        <v>57662.360154</v>
      </c>
      <c r="D43" s="9">
        <v>46769.6791153</v>
      </c>
      <c r="E43" s="9">
        <v>52803.1502576</v>
      </c>
      <c r="F43" s="9">
        <v>53448.4914951</v>
      </c>
      <c r="G43" s="14">
        <f t="shared" ref="G43:G56" si="10">SUM(C43:F43)</f>
        <v>0</v>
      </c>
      <c r="H43" s="13">
        <f t="shared" si="5"/>
        <v>0</v>
      </c>
      <c r="I43" s="9" t="e">
        <f t="shared" si="7"/>
        <v>#DIV/0!</v>
      </c>
      <c r="J43" s="9"/>
      <c r="K43" s="9"/>
      <c r="L43" s="9"/>
      <c r="M43" s="9"/>
      <c r="N43" s="9"/>
      <c r="O43" s="9"/>
      <c r="U43" s="7">
        <f t="shared" si="9"/>
        <v>0</v>
      </c>
      <c r="V43" s="8" t="str">
        <f t="shared" si="1"/>
      </c>
      <c r="W43" s="42" t="str">
        <f t="shared" si="3"/>
      </c>
    </row>
    <row r="44" spans="1:23" x14ac:dyDescent="0.25">
      <c r="A44" s="9"/>
      <c r="B44" s="9" t="inlineStr">
        <is>
          <t>SGP Educación</t>
        </is>
      </c>
      <c r="C44" s="9">
        <v>0</v>
      </c>
      <c r="D44" s="9">
        <v>2773.538522</v>
      </c>
      <c r="E44" s="9">
        <v>2539.870779</v>
      </c>
      <c r="F44" s="9">
        <v>2616.066902</v>
      </c>
      <c r="G44" s="14">
        <f t="shared" si="10"/>
        <v>0</v>
      </c>
      <c r="H44" s="13">
        <f t="shared" si="5"/>
        <v>0</v>
      </c>
      <c r="I44" s="9" t="e">
        <f t="shared" si="7"/>
        <v>#DIV/0!</v>
      </c>
      <c r="J44" s="9"/>
      <c r="K44" s="9"/>
      <c r="L44" s="9"/>
      <c r="M44" s="9"/>
      <c r="N44" s="9"/>
      <c r="O44" s="9"/>
      <c r="U44" s="7">
        <f t="shared" si="9"/>
        <v>0</v>
      </c>
      <c r="V44" s="8" t="str">
        <f t="shared" si="1"/>
      </c>
      <c r="W44" s="42" t="str">
        <f t="shared" si="3"/>
      </c>
    </row>
    <row r="45" spans="1:23" x14ac:dyDescent="0.25">
      <c r="A45" s="9"/>
      <c r="B45" s="9" t="inlineStr">
        <is>
          <t>SGP Salud</t>
        </is>
      </c>
      <c r="C45" s="9">
        <v>10</v>
      </c>
      <c r="D45" s="9">
        <v>1422.863378</v>
      </c>
      <c r="E45" s="9">
        <v>1828.513178</v>
      </c>
      <c r="F45" s="9">
        <v>1884.215574</v>
      </c>
      <c r="G45" s="14">
        <f t="shared" si="10"/>
        <v>0</v>
      </c>
      <c r="H45" s="13">
        <f t="shared" si="5"/>
        <v>0</v>
      </c>
      <c r="I45" s="9" t="e">
        <f t="shared" si="7"/>
        <v>#DIV/0!</v>
      </c>
      <c r="J45" s="9"/>
      <c r="K45" s="9"/>
      <c r="L45" s="9"/>
      <c r="M45" s="9"/>
      <c r="N45" s="9"/>
      <c r="O45" s="9"/>
      <c r="U45" s="7">
        <f t="shared" si="9"/>
        <v>0</v>
      </c>
      <c r="V45" s="8" t="str">
        <f t="shared" si="1"/>
      </c>
      <c r="W45" s="42" t="str">
        <f t="shared" si="3"/>
      </c>
    </row>
    <row r="46" spans="1:23" x14ac:dyDescent="0.25">
      <c r="A46" s="9"/>
      <c r="B46" s="9" t="inlineStr">
        <is>
          <t>SGP Deporte</t>
        </is>
      </c>
      <c r="C46" s="9">
        <v>0</v>
      </c>
      <c r="D46" s="9">
        <v>198.342012</v>
      </c>
      <c r="E46" s="9">
        <v>204.292272</v>
      </c>
      <c r="F46" s="9">
        <v>210.42104</v>
      </c>
      <c r="G46" s="14">
        <f t="shared" si="10"/>
        <v>0</v>
      </c>
      <c r="H46" s="13">
        <f t="shared" si="5"/>
        <v>0</v>
      </c>
      <c r="I46" s="9" t="e">
        <f t="shared" si="7"/>
        <v>#DIV/0!</v>
      </c>
      <c r="J46" s="9"/>
      <c r="K46" s="9"/>
      <c r="L46" s="9"/>
      <c r="M46" s="9"/>
      <c r="N46" s="9"/>
      <c r="O46" s="9"/>
      <c r="U46" s="7">
        <f t="shared" si="9"/>
        <v>0</v>
      </c>
      <c r="V46" s="8" t="str">
        <f t="shared" si="1"/>
      </c>
      <c r="W46" s="42" t="str">
        <f t="shared" si="3"/>
      </c>
    </row>
    <row r="47" spans="1:23" x14ac:dyDescent="0.25">
      <c r="A47" s="9"/>
      <c r="B47" s="9" t="inlineStr">
        <is>
          <t>SGP Cultura</t>
        </is>
      </c>
      <c r="C47" s="9">
        <v>0</v>
      </c>
      <c r="D47" s="9">
        <v>148.756509</v>
      </c>
      <c r="E47" s="9">
        <v>153.219204</v>
      </c>
      <c r="F47" s="9">
        <v>157.815781</v>
      </c>
      <c r="G47" s="14">
        <f t="shared" si="10"/>
        <v>0</v>
      </c>
      <c r="H47" s="13">
        <f t="shared" si="5"/>
        <v>0</v>
      </c>
      <c r="I47" s="9" t="e">
        <f t="shared" si="7"/>
        <v>#DIV/0!</v>
      </c>
      <c r="J47" s="9"/>
      <c r="K47" s="9"/>
      <c r="L47" s="9"/>
      <c r="M47" s="9"/>
      <c r="N47" s="9"/>
      <c r="O47" s="9"/>
      <c r="U47" s="7">
        <f t="shared" si="9"/>
        <v>0</v>
      </c>
      <c r="V47" s="8" t="str">
        <f t="shared" si="1"/>
      </c>
      <c r="W47" s="42" t="str">
        <f t="shared" si="3"/>
      </c>
    </row>
    <row r="48" spans="1:23" x14ac:dyDescent="0.25">
      <c r="A48" s="9"/>
      <c r="B48" s="9" t="inlineStr">
        <is>
          <t>SGP Libre Inversión</t>
        </is>
      </c>
      <c r="C48" s="9">
        <v>0</v>
      </c>
      <c r="D48" s="9">
        <v>0</v>
      </c>
      <c r="E48" s="9">
        <v>0</v>
      </c>
      <c r="F48" s="9">
        <v>0</v>
      </c>
      <c r="G48" s="14">
        <f t="shared" si="10"/>
        <v>0</v>
      </c>
      <c r="H48" s="13">
        <f t="shared" si="5"/>
        <v>0</v>
      </c>
      <c r="I48" s="9" t="e">
        <f t="shared" si="7"/>
        <v>#DIV/0!</v>
      </c>
      <c r="J48" s="9"/>
      <c r="K48" s="9"/>
      <c r="L48" s="9"/>
      <c r="M48" s="9"/>
      <c r="N48" s="9"/>
      <c r="O48" s="9"/>
      <c r="U48" s="7">
        <f t="shared" si="9"/>
        <v>0</v>
      </c>
      <c r="V48" s="8" t="str">
        <f t="shared" si="1"/>
      </c>
      <c r="W48" s="42" t="str">
        <f t="shared" si="3"/>
      </c>
    </row>
    <row r="49" spans="1:23" x14ac:dyDescent="0.25">
      <c r="A49" s="9"/>
      <c r="B49" s="9" t="inlineStr">
        <is>
          <t>SGP Libre Destinación</t>
        </is>
      </c>
      <c r="C49" s="9">
        <v>0</v>
      </c>
      <c r="D49" s="9">
        <v>0</v>
      </c>
      <c r="E49" s="9">
        <v>0</v>
      </c>
      <c r="F49" s="9">
        <v>0</v>
      </c>
      <c r="G49" s="14">
        <f t="shared" si="10"/>
        <v>0</v>
      </c>
      <c r="H49" s="13">
        <f t="shared" si="5"/>
        <v>0</v>
      </c>
      <c r="I49" s="9" t="e">
        <f t="shared" si="7"/>
        <v>#DIV/0!</v>
      </c>
      <c r="J49" s="9"/>
      <c r="K49" s="9"/>
      <c r="L49" s="9"/>
      <c r="M49" s="9"/>
      <c r="N49" s="9"/>
      <c r="O49" s="9"/>
      <c r="U49" s="7">
        <f t="shared" si="9"/>
        <v>0</v>
      </c>
      <c r="V49" s="8" t="str">
        <f t="shared" si="1"/>
      </c>
      <c r="W49" s="42" t="str">
        <f t="shared" si="3"/>
      </c>
    </row>
    <row r="50" spans="1:23" x14ac:dyDescent="0.25">
      <c r="A50" s="9"/>
      <c r="B50" s="9" t="inlineStr">
        <is>
          <t>SGP Alimentación Escolar</t>
        </is>
      </c>
      <c r="C50" s="9">
        <v>0</v>
      </c>
      <c r="D50" s="9">
        <v>0</v>
      </c>
      <c r="E50" s="9">
        <v>0</v>
      </c>
      <c r="F50" s="9">
        <v>0</v>
      </c>
      <c r="G50" s="14">
        <f t="shared" si="10"/>
        <v>0</v>
      </c>
      <c r="H50" s="13">
        <f t="shared" si="5"/>
        <v>0</v>
      </c>
      <c r="I50" s="9" t="e">
        <f t="shared" si="7"/>
        <v>#DIV/0!</v>
      </c>
      <c r="J50" s="9"/>
      <c r="K50" s="9"/>
      <c r="L50" s="9"/>
      <c r="M50" s="9"/>
      <c r="N50" s="9"/>
      <c r="O50" s="9"/>
      <c r="U50" s="7">
        <f t="shared" si="9"/>
        <v>0</v>
      </c>
      <c r="V50" s="8" t="str">
        <f t="shared" si="1"/>
      </c>
      <c r="W50" s="42" t="str">
        <f t="shared" si="3"/>
      </c>
    </row>
    <row r="51" spans="1:23" x14ac:dyDescent="0.25">
      <c r="A51" s="9"/>
      <c r="B51" s="9" t="inlineStr">
        <is>
          <t>SGP municipios Río Magdalena</t>
        </is>
      </c>
      <c r="C51" s="9">
        <v>0</v>
      </c>
      <c r="D51" s="9">
        <v>0</v>
      </c>
      <c r="E51" s="9">
        <v>0</v>
      </c>
      <c r="F51" s="9">
        <v>0</v>
      </c>
      <c r="G51" s="14">
        <f t="shared" si="10"/>
        <v>0</v>
      </c>
      <c r="H51" s="13">
        <f t="shared" si="5"/>
        <v>0</v>
      </c>
      <c r="I51" s="9" t="e">
        <f t="shared" si="7"/>
        <v>#DIV/0!</v>
      </c>
      <c r="J51" s="9"/>
      <c r="K51" s="9"/>
      <c r="L51" s="9"/>
      <c r="M51" s="9"/>
      <c r="N51" s="9"/>
      <c r="O51" s="9"/>
      <c r="U51" s="7">
        <f t="shared" si="9"/>
        <v>0</v>
      </c>
      <c r="V51" s="8" t="str">
        <f t="shared" si="1"/>
      </c>
      <c r="W51" s="42" t="str">
        <f t="shared" si="3"/>
      </c>
    </row>
    <row r="52" spans="1:23" x14ac:dyDescent="0.25">
      <c r="A52" s="9"/>
      <c r="B52" s="9" t="inlineStr">
        <is>
          <t>SGP APSB</t>
        </is>
      </c>
      <c r="C52" s="9">
        <v>445.410217</v>
      </c>
      <c r="D52" s="9">
        <v>762.895427</v>
      </c>
      <c r="E52" s="9">
        <v>785.782908</v>
      </c>
      <c r="F52" s="9">
        <v>809.356395</v>
      </c>
      <c r="G52" s="14">
        <f t="shared" si="10"/>
        <v>0</v>
      </c>
      <c r="H52" s="13">
        <f t="shared" si="5"/>
        <v>0</v>
      </c>
      <c r="I52" s="9" t="e">
        <f t="shared" si="7"/>
        <v>#DIV/0!</v>
      </c>
      <c r="J52" s="9"/>
      <c r="K52" s="9"/>
      <c r="L52" s="9"/>
      <c r="M52" s="9"/>
      <c r="N52" s="9"/>
      <c r="O52" s="9"/>
      <c r="U52" s="7">
        <f t="shared" si="9"/>
        <v>0</v>
      </c>
      <c r="V52" s="8" t="str">
        <f t="shared" si="1"/>
      </c>
      <c r="W52" s="42" t="str">
        <f t="shared" si="3"/>
      </c>
    </row>
    <row r="53" spans="1:23" x14ac:dyDescent="0.25">
      <c r="A53" s="9"/>
      <c r="B53" s="9" t="inlineStr">
        <is>
          <t>Crédito</t>
        </is>
      </c>
      <c r="C53" s="9">
        <v>1900</v>
      </c>
      <c r="D53" s="9">
        <v>15000</v>
      </c>
      <c r="E53" s="9">
        <v>0</v>
      </c>
      <c r="F53" s="9">
        <v>0</v>
      </c>
      <c r="G53" s="14">
        <f t="shared" si="10"/>
        <v>0</v>
      </c>
      <c r="H53" s="13">
        <f t="shared" si="5"/>
        <v>0</v>
      </c>
      <c r="I53" s="9" t="e">
        <f t="shared" si="7"/>
        <v>#DIV/0!</v>
      </c>
      <c r="J53" s="9"/>
      <c r="K53" s="9"/>
      <c r="L53" s="9"/>
      <c r="M53" s="9"/>
      <c r="N53" s="9"/>
      <c r="O53" s="9"/>
      <c r="U53" s="7">
        <f t="shared" si="9"/>
        <v>0</v>
      </c>
      <c r="V53" s="8" t="str">
        <f t="shared" si="1"/>
      </c>
      <c r="W53" s="42" t="str">
        <f t="shared" si="3"/>
      </c>
    </row>
    <row r="54" spans="1:23" x14ac:dyDescent="0.25">
      <c r="A54" s="9"/>
      <c r="B54" s="9" t="inlineStr">
        <is>
          <t>Transf. capital - Cof. Territorial</t>
        </is>
      </c>
      <c r="C54" s="9">
        <v>50543.317374</v>
      </c>
      <c r="D54" s="9">
        <v>16400</v>
      </c>
      <c r="E54" s="9">
        <v>632.6</v>
      </c>
      <c r="F54" s="9">
        <v>0</v>
      </c>
      <c r="G54" s="14">
        <f t="shared" si="10"/>
        <v>0</v>
      </c>
      <c r="H54" s="13">
        <f t="shared" si="5"/>
        <v>0</v>
      </c>
      <c r="I54" s="9" t="e">
        <f t="shared" si="7"/>
        <v>#DIV/0!</v>
      </c>
      <c r="J54" s="9"/>
      <c r="K54" s="9"/>
      <c r="L54" s="9"/>
      <c r="M54" s="9"/>
      <c r="N54" s="9"/>
      <c r="O54" s="9"/>
      <c r="U54" s="7">
        <f t="shared" si="9"/>
        <v>0</v>
      </c>
      <c r="V54" s="8" t="str">
        <f t="shared" si="1"/>
      </c>
      <c r="W54" s="42" t="str">
        <f t="shared" si="3"/>
      </c>
    </row>
    <row r="55" spans="1:23" x14ac:dyDescent="0.25">
      <c r="A55" s="9"/>
      <c r="B55" s="9" t="inlineStr">
        <is>
          <t>Transf. capital - Cof. Nación</t>
        </is>
      </c>
      <c r="C55" s="9">
        <v>38808.552059</v>
      </c>
      <c r="D55" s="9">
        <v>18507</v>
      </c>
      <c r="E55" s="9">
        <v>1878.442129</v>
      </c>
      <c r="F55" s="9">
        <v>75.017318</v>
      </c>
      <c r="G55" s="14">
        <f t="shared" si="10"/>
        <v>0</v>
      </c>
      <c r="H55" s="13">
        <f t="shared" ref="H55:H73" si="11">INDEX(C55:G55,MATCH($D$16,$C$23:$G$23,0))</f>
        <v>0</v>
      </c>
      <c r="I55" s="9" t="e">
        <f t="shared" si="7"/>
        <v>#DIV/0!</v>
      </c>
      <c r="J55" s="9"/>
      <c r="K55" s="9"/>
      <c r="L55" s="9"/>
      <c r="M55" s="9"/>
      <c r="N55" s="9"/>
      <c r="O55" s="9"/>
      <c r="U55" s="7">
        <f t="shared" si="9"/>
        <v>0</v>
      </c>
      <c r="V55" s="8" t="str">
        <f t="shared" si="1"/>
      </c>
      <c r="W55" s="42" t="str">
        <f t="shared" si="3"/>
      </c>
    </row>
    <row r="56" spans="1:23" x14ac:dyDescent="0.25">
      <c r="A56" s="9"/>
      <c r="B56" s="9" t="inlineStr">
        <is>
          <t>Otros</t>
        </is>
      </c>
      <c r="C56" s="9">
        <v>0</v>
      </c>
      <c r="D56" s="9">
        <v>3477.240685</v>
      </c>
      <c r="E56" s="9">
        <v>4233.578207</v>
      </c>
      <c r="F56" s="9">
        <v>4114.776412</v>
      </c>
      <c r="G56" s="14">
        <f t="shared" si="10"/>
        <v>0</v>
      </c>
      <c r="H56" s="13">
        <f t="shared" si="11"/>
        <v>0</v>
      </c>
      <c r="I56" s="9" t="e">
        <f t="shared" si="7"/>
        <v>#DIV/0!</v>
      </c>
      <c r="J56" s="9"/>
      <c r="K56" s="9"/>
      <c r="L56" s="9"/>
      <c r="M56" s="9"/>
      <c r="N56" s="9"/>
      <c r="O56" s="9"/>
      <c r="U56" s="7">
        <f t="shared" si="9"/>
        <v>0</v>
      </c>
      <c r="V56" s="8" t="str">
        <f t="shared" si="1"/>
      </c>
      <c r="W56" s="42" t="str">
        <f t="shared" si="3"/>
      </c>
    </row>
    <row r="57" spans="1:23" x14ac:dyDescent="0.25">
      <c r="A57" s="9"/>
      <c r="B57" s="9" t="inlineStr">
        <is>
          <t>1. Fin de la pobreza</t>
        </is>
      </c>
      <c r="C57" s="9">
        <v>3255.942</v>
      </c>
      <c r="D57" s="9">
        <v>3549.949</v>
      </c>
      <c r="E57" s="9">
        <v>3782.9037</v>
      </c>
      <c r="F57" s="9">
        <v>4141.15429</v>
      </c>
      <c r="G57" s="14">
        <f t="shared" ref="G57:G73" si="12">SUM(C57:F57)</f>
        <v>0</v>
      </c>
      <c r="H57" s="13">
        <f t="shared" si="11"/>
        <v>0</v>
      </c>
      <c r="I57" s="9" t="e">
        <f t="shared" si="7"/>
        <v>#DIV/0!</v>
      </c>
      <c r="J57" s="9"/>
      <c r="K57" s="9"/>
      <c r="L57" s="9"/>
      <c r="M57" s="9"/>
      <c r="N57" s="9"/>
      <c r="O57" s="9"/>
      <c r="U57" s="7">
        <f t="shared" si="9"/>
        <v>0</v>
      </c>
      <c r="V57" s="8" t="str">
        <f t="shared" si="1"/>
      </c>
      <c r="W57" s="42" t="str">
        <f t="shared" si="3"/>
      </c>
    </row>
    <row r="58" spans="1:23" x14ac:dyDescent="0.25">
      <c r="A58" s="9"/>
      <c r="B58" s="9" t="inlineStr">
        <is>
          <t>2. Hambre cero</t>
        </is>
      </c>
      <c r="C58" s="9">
        <v>641.110925</v>
      </c>
      <c r="D58" s="9">
        <v>1064.193018</v>
      </c>
      <c r="E58" s="9">
        <v>1101.05812</v>
      </c>
      <c r="F58" s="9">
        <v>1334.483412</v>
      </c>
      <c r="G58" s="14">
        <f t="shared" si="12"/>
        <v>0</v>
      </c>
      <c r="H58" s="13">
        <f t="shared" si="11"/>
        <v>0</v>
      </c>
      <c r="I58" s="9" t="e">
        <f t="shared" si="7"/>
        <v>#DIV/0!</v>
      </c>
      <c r="J58" s="9"/>
      <c r="K58" s="9"/>
      <c r="L58" s="9"/>
      <c r="M58" s="9"/>
      <c r="N58" s="9"/>
      <c r="O58" s="9"/>
      <c r="U58" s="7">
        <f t="shared" si="9"/>
        <v>0</v>
      </c>
      <c r="V58" s="8" t="str">
        <f t="shared" si="1"/>
      </c>
      <c r="W58" s="42" t="str">
        <f t="shared" si="3"/>
      </c>
    </row>
    <row r="59" spans="1:23" x14ac:dyDescent="0.25">
      <c r="A59" s="9"/>
      <c r="B59" s="9" t="inlineStr">
        <is>
          <t>3. Salud y bienestar</t>
        </is>
      </c>
      <c r="C59" s="9">
        <v>9480.660032</v>
      </c>
      <c r="D59" s="9">
        <v>10160.6696305</v>
      </c>
      <c r="E59" s="9">
        <v>11076.6052736</v>
      </c>
      <c r="F59" s="9">
        <v>12044.1624263</v>
      </c>
      <c r="G59" s="14">
        <f t="shared" si="12"/>
        <v>0</v>
      </c>
      <c r="H59" s="13">
        <f t="shared" si="11"/>
        <v>0</v>
      </c>
      <c r="I59" s="9" t="e">
        <f t="shared" si="7"/>
        <v>#DIV/0!</v>
      </c>
      <c r="J59" s="9"/>
      <c r="K59" s="9"/>
      <c r="L59" s="9"/>
      <c r="M59" s="9"/>
      <c r="N59" s="9"/>
      <c r="O59" s="9"/>
      <c r="U59" s="7">
        <f t="shared" si="9"/>
        <v>0</v>
      </c>
      <c r="V59" s="8" t="str">
        <f t="shared" si="1"/>
      </c>
      <c r="W59" s="42" t="str">
        <f t="shared" si="3"/>
      </c>
    </row>
    <row r="60" spans="1:23" x14ac:dyDescent="0.25">
      <c r="A60" s="9"/>
      <c r="B60" s="9" t="inlineStr">
        <is>
          <t>4. Educación de calidad</t>
        </is>
      </c>
      <c r="C60" s="9">
        <v>9510.546546</v>
      </c>
      <c r="D60" s="9">
        <v>9532.0560228</v>
      </c>
      <c r="E60" s="9">
        <v>10634.677446</v>
      </c>
      <c r="F60" s="9">
        <v>11226.321342</v>
      </c>
      <c r="G60" s="14">
        <f t="shared" si="12"/>
        <v>0</v>
      </c>
      <c r="H60" s="13">
        <f t="shared" si="11"/>
        <v>0</v>
      </c>
      <c r="I60" s="9" t="e">
        <f t="shared" si="7"/>
        <v>#DIV/0!</v>
      </c>
      <c r="J60" s="9"/>
      <c r="K60" s="9"/>
      <c r="L60" s="9"/>
      <c r="M60" s="9"/>
      <c r="N60" s="9"/>
      <c r="O60" s="9"/>
      <c r="U60" s="7">
        <f t="shared" si="9"/>
        <v>0</v>
      </c>
      <c r="V60" s="8" t="str">
        <f t="shared" si="1"/>
      </c>
      <c r="W60" s="42" t="str">
        <f t="shared" si="3"/>
      </c>
    </row>
    <row r="61" spans="1:23" x14ac:dyDescent="0.25">
      <c r="A61" s="9"/>
      <c r="B61" s="9" t="inlineStr">
        <is>
          <t>5. Igualdad de género</t>
        </is>
      </c>
      <c r="C61" s="9">
        <v>0</v>
      </c>
      <c r="D61" s="9">
        <v>0</v>
      </c>
      <c r="E61" s="9">
        <v>0</v>
      </c>
      <c r="F61" s="9">
        <v>0</v>
      </c>
      <c r="G61" s="14">
        <f t="shared" si="12"/>
        <v>0</v>
      </c>
      <c r="H61" s="13">
        <f t="shared" si="11"/>
        <v>0</v>
      </c>
      <c r="I61" s="9" t="e">
        <f t="shared" si="7"/>
        <v>#DIV/0!</v>
      </c>
      <c r="J61" s="9"/>
      <c r="K61" s="9"/>
      <c r="L61" s="9"/>
      <c r="M61" s="9"/>
      <c r="N61" s="9"/>
      <c r="O61" s="9"/>
      <c r="U61" s="7">
        <f t="shared" si="9"/>
        <v>0</v>
      </c>
      <c r="V61" s="8" t="str">
        <f t="shared" si="1"/>
      </c>
      <c r="W61" s="42" t="str">
        <f t="shared" si="3"/>
      </c>
    </row>
    <row r="62" spans="1:23" x14ac:dyDescent="0.25">
      <c r="A62" s="9"/>
      <c r="B62" s="9" t="inlineStr">
        <is>
          <t>6. Agua limpia y saneamiento</t>
        </is>
      </c>
      <c r="C62" s="9">
        <v>53191.629077</v>
      </c>
      <c r="D62" s="9">
        <v>6547.420185</v>
      </c>
      <c r="E62" s="9">
        <v>1998.731582</v>
      </c>
      <c r="F62" s="9">
        <v>2200.604738</v>
      </c>
      <c r="G62" s="14">
        <f t="shared" si="12"/>
        <v>0</v>
      </c>
      <c r="H62" s="13">
        <f t="shared" si="11"/>
        <v>0</v>
      </c>
      <c r="I62" s="9" t="e">
        <f t="shared" si="7"/>
        <v>#DIV/0!</v>
      </c>
      <c r="J62" s="9"/>
      <c r="K62" s="9"/>
      <c r="L62" s="9"/>
      <c r="M62" s="9"/>
      <c r="N62" s="9"/>
      <c r="O62" s="9"/>
      <c r="U62" s="7">
        <f t="shared" si="9"/>
        <v>0</v>
      </c>
      <c r="V62" s="8" t="str">
        <f t="shared" si="1"/>
      </c>
      <c r="W62" s="42" t="str">
        <f t="shared" si="3"/>
      </c>
    </row>
    <row r="63" spans="1:23" x14ac:dyDescent="0.25">
      <c r="A63" s="9"/>
      <c r="B63" s="9" t="inlineStr">
        <is>
          <t>7. Energía asequible y no contaminante</t>
        </is>
      </c>
      <c r="C63" s="9">
        <v>5</v>
      </c>
      <c r="D63" s="9">
        <v>5</v>
      </c>
      <c r="E63" s="9">
        <v>5</v>
      </c>
      <c r="F63" s="9">
        <v>5</v>
      </c>
      <c r="G63" s="14">
        <f t="shared" si="12"/>
        <v>0</v>
      </c>
      <c r="H63" s="13">
        <f t="shared" si="11"/>
        <v>0</v>
      </c>
      <c r="I63" s="9" t="e">
        <f t="shared" si="7"/>
        <v>#DIV/0!</v>
      </c>
      <c r="J63" s="9"/>
      <c r="K63" s="9"/>
      <c r="L63" s="9"/>
      <c r="M63" s="9"/>
      <c r="N63" s="9"/>
      <c r="O63" s="9"/>
      <c r="U63" s="7">
        <f t="shared" si="9"/>
        <v>0</v>
      </c>
      <c r="V63" s="8" t="str">
        <f t="shared" si="1"/>
      </c>
      <c r="W63" s="42" t="str">
        <f t="shared" si="3"/>
      </c>
    </row>
    <row r="64" spans="1:23" x14ac:dyDescent="0.25">
      <c r="A64" s="9"/>
      <c r="B64" s="9" t="inlineStr">
        <is>
          <t>8. Trabajo decente y crecimiento económico</t>
        </is>
      </c>
      <c r="C64" s="9">
        <v>1161.154829</v>
      </c>
      <c r="D64" s="9">
        <v>1377.326049</v>
      </c>
      <c r="E64" s="9">
        <v>1352.733841</v>
      </c>
      <c r="F64" s="9">
        <v>1410.75064</v>
      </c>
      <c r="G64" s="14">
        <f t="shared" si="12"/>
        <v>0</v>
      </c>
      <c r="H64" s="13">
        <f t="shared" si="11"/>
        <v>0</v>
      </c>
      <c r="I64" s="9" t="e">
        <f t="shared" si="7"/>
        <v>#DIV/0!</v>
      </c>
      <c r="J64" s="9"/>
      <c r="K64" s="9"/>
      <c r="L64" s="9"/>
      <c r="M64" s="9"/>
      <c r="N64" s="9"/>
      <c r="O64" s="9"/>
      <c r="U64" s="7">
        <f t="shared" si="9"/>
        <v>0</v>
      </c>
      <c r="V64" s="8" t="str">
        <f t="shared" si="1"/>
      </c>
      <c r="W64" s="42" t="str">
        <f t="shared" si="3"/>
      </c>
    </row>
    <row r="65" spans="1:23" x14ac:dyDescent="0.25">
      <c r="A65" s="9"/>
      <c r="B65" s="9" t="inlineStr">
        <is>
          <t>9. Industria, innovación e infraestructura</t>
        </is>
      </c>
      <c r="C65" s="9">
        <v>7452.036748</v>
      </c>
      <c r="D65" s="9">
        <v>10432.585768</v>
      </c>
      <c r="E65" s="9">
        <v>7310.367243</v>
      </c>
      <c r="F65" s="9">
        <v>6299.6352068</v>
      </c>
      <c r="G65" s="14">
        <f t="shared" si="12"/>
        <v>0</v>
      </c>
      <c r="H65" s="13">
        <f t="shared" si="11"/>
        <v>0</v>
      </c>
      <c r="I65" s="9" t="e">
        <f t="shared" si="7"/>
        <v>#DIV/0!</v>
      </c>
      <c r="J65" s="9"/>
      <c r="K65" s="9"/>
      <c r="L65" s="9"/>
      <c r="M65" s="9"/>
      <c r="N65" s="9"/>
      <c r="O65" s="9"/>
      <c r="U65" s="7">
        <f t="shared" si="9"/>
        <v>0</v>
      </c>
      <c r="V65" s="8" t="str">
        <f t="shared" si="1"/>
      </c>
      <c r="W65" s="42" t="str">
        <f t="shared" si="3"/>
      </c>
    </row>
    <row r="66" spans="1:23" x14ac:dyDescent="0.25">
      <c r="A66" s="9"/>
      <c r="B66" s="9" t="inlineStr">
        <is>
          <t>10. Reducción de las desigualdades</t>
        </is>
      </c>
      <c r="C66" s="9">
        <v>195</v>
      </c>
      <c r="D66" s="9">
        <v>8286</v>
      </c>
      <c r="E66" s="9">
        <v>376.5</v>
      </c>
      <c r="F66" s="9">
        <v>394.21</v>
      </c>
      <c r="G66" s="14">
        <f t="shared" si="12"/>
        <v>0</v>
      </c>
      <c r="H66" s="13">
        <f t="shared" si="11"/>
        <v>0</v>
      </c>
      <c r="I66" s="9" t="e">
        <f t="shared" si="7"/>
        <v>#DIV/0!</v>
      </c>
      <c r="J66" s="9"/>
      <c r="K66" s="9"/>
      <c r="L66" s="9"/>
      <c r="M66" s="9"/>
      <c r="N66" s="9"/>
      <c r="O66" s="9"/>
      <c r="U66" s="7">
        <f t="shared" si="9"/>
        <v>0</v>
      </c>
      <c r="V66" s="8" t="str">
        <f t="shared" si="1"/>
      </c>
      <c r="W66" s="42" t="str">
        <f t="shared" si="3"/>
      </c>
    </row>
    <row r="67" spans="1:23" x14ac:dyDescent="0.25">
      <c r="A67" s="9"/>
      <c r="B67" s="9" t="inlineStr">
        <is>
          <t>11. Ciudades y comunidades sostenibles</t>
        </is>
      </c>
      <c r="C67" s="9">
        <v>29177.222341</v>
      </c>
      <c r="D67" s="9">
        <v>33778.786682</v>
      </c>
      <c r="E67" s="9">
        <v>10379.388422</v>
      </c>
      <c r="F67" s="9">
        <v>9217.821027</v>
      </c>
      <c r="G67" s="14">
        <f t="shared" si="12"/>
        <v>0</v>
      </c>
      <c r="H67" s="13">
        <f t="shared" si="11"/>
        <v>0</v>
      </c>
      <c r="I67" s="9" t="e">
        <f t="shared" si="7"/>
        <v>#DIV/0!</v>
      </c>
      <c r="J67" s="9"/>
      <c r="K67" s="9"/>
      <c r="L67" s="9"/>
      <c r="M67" s="9"/>
      <c r="N67" s="9"/>
      <c r="O67" s="9"/>
      <c r="U67" s="7">
        <f t="shared" si="9"/>
        <v>0</v>
      </c>
      <c r="V67" s="8" t="str">
        <f t="shared" si="1"/>
      </c>
      <c r="W67" s="42" t="str">
        <f t="shared" si="3"/>
      </c>
    </row>
    <row r="68" spans="1:23" x14ac:dyDescent="0.25">
      <c r="A68" s="9"/>
      <c r="B68" s="9" t="inlineStr">
        <is>
          <t>12. Producción y consumo responsables</t>
        </is>
      </c>
      <c r="C68" s="9">
        <v>44.856666</v>
      </c>
      <c r="D68" s="9">
        <v>169.354332</v>
      </c>
      <c r="E68" s="9">
        <v>54.303326</v>
      </c>
      <c r="F68" s="9">
        <v>59.744981</v>
      </c>
      <c r="G68" s="14">
        <f t="shared" si="12"/>
        <v>0</v>
      </c>
      <c r="H68" s="13">
        <f t="shared" si="11"/>
        <v>0</v>
      </c>
      <c r="I68" s="9" t="e">
        <f t="shared" si="7"/>
        <v>#DIV/0!</v>
      </c>
      <c r="J68" s="9"/>
      <c r="K68" s="9"/>
      <c r="L68" s="9"/>
      <c r="M68" s="9"/>
      <c r="N68" s="9"/>
      <c r="O68" s="9"/>
      <c r="U68" s="7">
        <f t="shared" si="9"/>
        <v>0</v>
      </c>
      <c r="V68" s="8" t="str">
        <f t="shared" si="1"/>
      </c>
      <c r="W68" s="42" t="str">
        <f t="shared" si="3"/>
      </c>
    </row>
    <row r="69" spans="1:23" x14ac:dyDescent="0.25">
      <c r="A69" s="9"/>
      <c r="B69" s="9" t="inlineStr">
        <is>
          <t>13. Acción por el clima</t>
        </is>
      </c>
      <c r="C69" s="9">
        <v>110.561075</v>
      </c>
      <c r="D69" s="9">
        <v>138.417183</v>
      </c>
      <c r="E69" s="9">
        <v>152.258901</v>
      </c>
      <c r="F69" s="9">
        <v>167.484789</v>
      </c>
      <c r="G69" s="14">
        <f t="shared" si="12"/>
        <v>0</v>
      </c>
      <c r="H69" s="13">
        <f t="shared" si="11"/>
        <v>0</v>
      </c>
      <c r="I69" s="9" t="e">
        <f t="shared" si="7"/>
        <v>#DIV/0!</v>
      </c>
      <c r="J69" s="9"/>
      <c r="K69" s="9"/>
      <c r="L69" s="9"/>
      <c r="M69" s="9"/>
      <c r="N69" s="9"/>
      <c r="O69" s="9"/>
      <c r="U69" s="7">
        <f t="shared" si="9"/>
        <v>0</v>
      </c>
      <c r="V69" s="8" t="str">
        <f t="shared" si="1"/>
      </c>
      <c r="W69" s="42" t="str">
        <f t="shared" si="3"/>
      </c>
    </row>
    <row r="70" spans="1:23" x14ac:dyDescent="0.25">
      <c r="A70" s="9"/>
      <c r="B70" s="9" t="inlineStr">
        <is>
          <t>14. Vida submarina</t>
        </is>
      </c>
      <c r="C70" s="9">
        <v>0</v>
      </c>
      <c r="D70" s="9">
        <v>0</v>
      </c>
      <c r="E70" s="9">
        <v>0</v>
      </c>
      <c r="F70" s="9">
        <v>0</v>
      </c>
      <c r="G70" s="14">
        <f t="shared" si="12"/>
        <v>0</v>
      </c>
      <c r="H70" s="13">
        <f t="shared" si="11"/>
        <v>0</v>
      </c>
      <c r="I70" s="9" t="e">
        <f t="shared" si="7"/>
        <v>#DIV/0!</v>
      </c>
      <c r="J70" s="9"/>
      <c r="K70" s="9"/>
      <c r="L70" s="9"/>
      <c r="M70" s="9"/>
      <c r="N70" s="9"/>
      <c r="O70" s="9"/>
      <c r="U70" s="7">
        <f t="shared" si="9"/>
        <v>0</v>
      </c>
      <c r="V70" s="8" t="str">
        <f t="shared" si="1"/>
      </c>
      <c r="W70" s="42" t="str">
        <f t="shared" si="3"/>
      </c>
    </row>
    <row r="71" spans="1:23" x14ac:dyDescent="0.25">
      <c r="A71" s="9"/>
      <c r="B71" s="9" t="inlineStr">
        <is>
          <t>15. Vida de ecosistemas terrestres</t>
        </is>
      </c>
      <c r="C71" s="9">
        <v>6710.412684</v>
      </c>
      <c r="D71" s="9">
        <v>552.323263</v>
      </c>
      <c r="E71" s="9">
        <v>759.080668</v>
      </c>
      <c r="F71" s="9">
        <v>769.756613</v>
      </c>
      <c r="G71" s="14">
        <f t="shared" si="12"/>
        <v>0</v>
      </c>
      <c r="H71" s="13">
        <f t="shared" si="11"/>
        <v>0</v>
      </c>
      <c r="I71" s="9" t="e">
        <f t="shared" si="7"/>
        <v>#DIV/0!</v>
      </c>
      <c r="J71" s="9"/>
      <c r="K71" s="9"/>
      <c r="L71" s="9"/>
      <c r="M71" s="9"/>
      <c r="N71" s="9"/>
      <c r="O71" s="9"/>
      <c r="U71" s="7">
        <f t="shared" si="9"/>
        <v>0</v>
      </c>
      <c r="V71" s="8" t="str">
        <f t="shared" ref="V71:V75" si="13">IF(P71="","",INDEX(Q71:U71,MATCH($D$16,$C$23:$G$23,0)))</f>
      </c>
      <c r="W71" s="42" t="str">
        <f t="shared" si="3"/>
      </c>
    </row>
    <row r="72" spans="1:23" x14ac:dyDescent="0.25">
      <c r="A72" s="9"/>
      <c r="B72" s="9" t="inlineStr">
        <is>
          <t>16. Paz, justicia e instituciones sólidas</t>
        </is>
      </c>
      <c r="C72" s="9">
        <v>27683.323346</v>
      </c>
      <c r="D72" s="9">
        <v>17906.01723</v>
      </c>
      <c r="E72" s="9">
        <v>12988.109873</v>
      </c>
      <c r="F72" s="9">
        <v>12636.619892</v>
      </c>
      <c r="G72" s="14">
        <f t="shared" si="12"/>
        <v>0</v>
      </c>
      <c r="H72" s="13">
        <f t="shared" si="11"/>
        <v>0</v>
      </c>
      <c r="I72" s="9" t="e">
        <f t="shared" si="7"/>
        <v>#DIV/0!</v>
      </c>
      <c r="J72" s="9"/>
      <c r="K72" s="9"/>
      <c r="L72" s="9"/>
      <c r="M72" s="9"/>
      <c r="N72" s="9"/>
      <c r="O72" s="9"/>
      <c r="U72" s="7">
        <f t="shared" ref="U72:U73" si="14">SUM(Q72:T72)</f>
        <v>0</v>
      </c>
      <c r="V72" s="8" t="str">
        <f t="shared" si="13"/>
      </c>
      <c r="W72" s="42" t="str">
        <f t="shared" ref="W72:W75" si="15">IFERROR(IF(P72="","",CONCATENATE(TEXT(V72,$U$2)," (",TEXT(V72*100/$I$23,$U$3),"%)")),"")</f>
      </c>
    </row>
    <row r="73" spans="1:23" x14ac:dyDescent="0.25">
      <c r="A73" s="9"/>
      <c r="B73" s="9" t="inlineStr">
        <is>
          <t>17. Alianzas para lograr los objetivos</t>
        </is>
      </c>
      <c r="C73" s="9">
        <v>750.183535</v>
      </c>
      <c r="D73" s="9">
        <v>1960.217285</v>
      </c>
      <c r="E73" s="9">
        <v>3087.730539</v>
      </c>
      <c r="F73" s="9">
        <v>1408.41156</v>
      </c>
      <c r="G73" s="14">
        <f t="shared" si="12"/>
        <v>0</v>
      </c>
      <c r="H73" s="13">
        <f t="shared" si="11"/>
        <v>0</v>
      </c>
      <c r="I73" s="9" t="e">
        <f t="shared" si="7"/>
        <v>#DIV/0!</v>
      </c>
      <c r="J73" s="9"/>
      <c r="K73" s="9"/>
      <c r="L73" s="9"/>
      <c r="M73" s="9"/>
      <c r="N73" s="9"/>
      <c r="O73" s="9"/>
      <c r="U73" s="7">
        <f t="shared" si="14"/>
        <v>0</v>
      </c>
      <c r="V73" s="8" t="str">
        <f t="shared" si="13"/>
      </c>
      <c r="W73" s="42" t="str">
        <f t="shared" si="15"/>
      </c>
    </row>
    <row r="74" spans="1:23" x14ac:dyDescent="0.25">
      <c r="A74" s="9"/>
      <c r="B74" s="9"/>
      <c r="C74" s="9"/>
      <c r="D74" s="9"/>
      <c r="E74" s="9"/>
      <c r="F74" s="9"/>
      <c r="G74" s="9"/>
      <c r="H74" s="9"/>
      <c r="I74" s="9"/>
      <c r="J74" s="9"/>
      <c r="K74" s="9"/>
      <c r="L74" s="9"/>
      <c r="M74" s="9"/>
      <c r="N74" s="9"/>
      <c r="O74" s="9"/>
      <c r="U74" s="7">
        <f t="shared" ref="U74:U75" si="16">SUM(Q74:T74)</f>
        <v>0</v>
      </c>
      <c r="V74" s="8" t="str">
        <f t="shared" si="13"/>
      </c>
      <c r="W74" s="42" t="str">
        <f t="shared" si="15"/>
      </c>
    </row>
    <row r="75" spans="1:23" x14ac:dyDescent="0.25">
      <c r="K75" s="3"/>
      <c r="U75" s="7">
        <f t="shared" si="16"/>
        <v>0</v>
      </c>
      <c r="V75" s="8" t="str">
        <f t="shared" si="13"/>
      </c>
      <c r="W75" s="42" t="str">
        <f t="shared" si="15"/>
      </c>
    </row>
    <row r="76" spans="1:23" ht="17.25" x14ac:dyDescent="0.3">
      <c r="B76" s="11" t="str">
        <f>CONCATENATE("Seguimiento físico al Plan de Desarrollo - Vigencia ",$X$1)</f>
        <v>Seguimiento físico al Plan de Desarrollo - Vigencia (Dar clic en Habilitar Edición)</v>
      </c>
      <c r="C76" s="12"/>
      <c r="D76" s="12"/>
      <c r="E76" s="12"/>
      <c r="F76" s="12"/>
      <c r="G76" s="12"/>
      <c r="H76" s="12"/>
      <c r="I76" s="12"/>
      <c r="J76" s="12"/>
      <c r="K76" s="12"/>
      <c r="L76" s="12"/>
      <c r="M76" s="12"/>
    </row>
    <row r="77" spans="1:23" x14ac:dyDescent="0.25"/>
    <row r="78" spans="1:23" x14ac:dyDescent="0.25">
      <c r="B78" s="70" t="str">
        <f>CONCATENATE("El seguimiento físico se hace a nivel de código BPIN e indicador de producto, junto con su modo de acumulación respectivo. Esta información, consignada en SisPT, la contrastamos con la ejecución acumulada en PIIP al corte de la vigencia ",$X$1,", de los proyectos cuya entidad ejecutora es la entidad territorial en cuestión.")</f>
        <v>El seguimiento físico se hace a nivel de código BPIN e indicador de producto, junto con su modo de acumulación respectivo. Esta información, consignada en SisPT, la contrastamos con la ejecución acumulada en PIIP al corte de la vigencia (Dar clic en Habilitar Edición), de los proyectos cuya entidad ejecutora es la entidad territorial en cuestión.</v>
      </c>
      <c r="C78" s="70"/>
      <c r="D78" s="70"/>
      <c r="E78" s="70"/>
      <c r="F78" s="70"/>
      <c r="G78" s="70"/>
      <c r="H78" s="70"/>
      <c r="I78" s="70"/>
      <c r="J78" s="70"/>
      <c r="K78" s="70"/>
      <c r="L78" s="70"/>
      <c r="M78" s="70"/>
    </row>
    <row r="79" spans="1:23" ht="15.6" customHeight="1" x14ac:dyDescent="0.25">
      <c r="B79" s="70"/>
      <c r="C79" s="70"/>
      <c r="D79" s="70"/>
      <c r="E79" s="70"/>
      <c r="F79" s="70"/>
      <c r="G79" s="70"/>
      <c r="H79" s="70"/>
      <c r="I79" s="70"/>
      <c r="J79" s="70"/>
      <c r="K79" s="70"/>
      <c r="L79" s="70"/>
      <c r="M79" s="70"/>
    </row>
    <row r="80" spans="1:23" ht="15.6" customHeight="1" x14ac:dyDescent="0.25">
      <c r="B80" s="70" t="str">
        <f>CONCATENATE("En el Plan Indicativo del Presupuesto Ordinario de SisPT, la entidad cuenta con ",SUM(B95:B100)," combinaciones únicas de BPIN, indicador de producto, y modo de acumulación. El siguiente diagrama de Venn ilustra, en el lenguaje de teoría de conjuntos, el nivel de coincidencia en la información entre SisPT y PIIP:")</f>
        <v>En el Plan Indicativo del Presupuesto Ordinario de SisPT, la entidad cuenta con 0 combinaciones únicas de BPIN, indicador de producto, y modo de acumulación. El siguiente diagrama de Venn ilustra, en el lenguaje de teoría de conjuntos, el nivel de coincidencia en la información entre SisPT y PIIP:</v>
      </c>
      <c r="C80" s="70"/>
      <c r="D80" s="70"/>
      <c r="E80" s="70"/>
      <c r="F80" s="70"/>
      <c r="G80" s="70"/>
      <c r="H80" s="70"/>
      <c r="I80" s="70"/>
      <c r="J80" s="70"/>
      <c r="K80" s="70"/>
      <c r="L80" s="70"/>
      <c r="M80" s="70"/>
    </row>
    <row r="81" spans="2:20" ht="15.6" customHeight="1" x14ac:dyDescent="0.25">
      <c r="B81" s="70"/>
      <c r="C81" s="70"/>
      <c r="D81" s="70"/>
      <c r="E81" s="70"/>
      <c r="F81" s="70"/>
      <c r="G81" s="70"/>
      <c r="H81" s="70"/>
      <c r="I81" s="70"/>
      <c r="J81" s="70"/>
      <c r="K81" s="70"/>
      <c r="L81" s="70"/>
      <c r="M81" s="70"/>
    </row>
    <row r="82" spans="2:20" ht="15.6" customHeight="1" x14ac:dyDescent="0.25">
      <c r="F82" s="10"/>
      <c r="G82" s="10"/>
      <c r="H82" s="10"/>
      <c r="I82" s="10"/>
      <c r="J82" s="10"/>
      <c r="K82" s="10"/>
      <c r="L82" s="10"/>
      <c r="M82" s="10"/>
    </row>
    <row r="83" spans="2:20" ht="15.6" customHeight="1" x14ac:dyDescent="0.25">
      <c r="F83" s="10"/>
      <c r="G83" s="10"/>
      <c r="H83" s="10"/>
      <c r="I83" s="10"/>
      <c r="J83" s="10"/>
      <c r="K83" s="10"/>
      <c r="L83" s="10"/>
      <c r="M83" s="10"/>
    </row>
    <row r="84" spans="2:20" ht="15.6" customHeight="1" x14ac:dyDescent="0.25">
      <c r="D84" s="71" t="s">
        <v>82</v>
      </c>
      <c r="E84" s="71"/>
      <c r="F84" s="33"/>
      <c r="G84" s="33"/>
      <c r="H84" s="33"/>
      <c r="I84" s="34"/>
      <c r="J84" s="74" t="s">
        <v>88</v>
      </c>
      <c r="K84" s="74"/>
      <c r="L84" s="10"/>
      <c r="M84" s="10"/>
    </row>
    <row r="85" spans="2:20" ht="15.6" customHeight="1" x14ac:dyDescent="0.25">
      <c r="D85" s="68" t="str">
        <f>CONCATENATE(SUM(Q92:Q93)," combinaciones BPIN-Ind. Producto-Tipo Acumulación")</f>
        <v>0 combinaciones BPIN-Ind. Producto-Tipo Acumulación</v>
      </c>
      <c r="E85" s="68"/>
      <c r="F85" s="33"/>
      <c r="G85" s="33"/>
      <c r="H85" s="33"/>
      <c r="I85" s="34"/>
      <c r="J85" s="68" t="str">
        <f>CONCATENATE(SUM(Q93:Q94)," combinaciones BPIN-Ind. Producto-Tipo Acumulación")</f>
        <v>0 combinaciones BPIN-Ind. Producto-Tipo Acumulación</v>
      </c>
      <c r="K85" s="68"/>
      <c r="L85" s="10"/>
      <c r="M85" s="10"/>
    </row>
    <row r="86" spans="2:20" ht="15.6" customHeight="1" x14ac:dyDescent="0.25">
      <c r="D86" s="68"/>
      <c r="E86" s="68"/>
      <c r="F86" s="33"/>
      <c r="G86" s="33"/>
      <c r="H86" s="33"/>
      <c r="I86" s="34"/>
      <c r="J86" s="68"/>
      <c r="K86" s="68"/>
      <c r="L86" s="10"/>
      <c r="M86" s="10"/>
    </row>
    <row r="87" spans="2:20" ht="15.6" customHeight="1" x14ac:dyDescent="0.3">
      <c r="D87" s="68"/>
      <c r="E87" s="68"/>
      <c r="F87" s="33"/>
      <c r="G87" s="33"/>
      <c r="H87" s="33"/>
      <c r="I87" s="34"/>
      <c r="J87" s="68"/>
      <c r="K87" s="68"/>
      <c r="L87" s="10"/>
      <c r="M87" s="10"/>
      <c r="T87" s="49"/>
    </row>
    <row r="88" spans="2:20" ht="15.6" customHeight="1" x14ac:dyDescent="0.25">
      <c r="D88" s="15"/>
      <c r="E88" s="10"/>
      <c r="F88" s="10"/>
      <c r="G88" s="10"/>
      <c r="H88" s="10"/>
      <c r="J88" s="10"/>
      <c r="K88" s="10"/>
      <c r="L88" s="10"/>
      <c r="M88" s="10"/>
    </row>
    <row r="89" spans="2:20" ht="15.6" customHeight="1" x14ac:dyDescent="0.25">
      <c r="D89" s="15"/>
      <c r="E89" s="10"/>
      <c r="F89" s="10"/>
      <c r="G89" s="10"/>
      <c r="H89" s="10"/>
      <c r="J89" s="10"/>
      <c r="K89" s="10"/>
      <c r="L89" s="10"/>
      <c r="M89" s="10"/>
    </row>
    <row r="90" spans="2:20" ht="15.6" customHeight="1" x14ac:dyDescent="0.25">
      <c r="D90" s="10"/>
      <c r="E90" s="10"/>
      <c r="F90" s="10"/>
      <c r="G90" s="10"/>
      <c r="H90" s="10"/>
      <c r="I90" s="2"/>
      <c r="J90" s="10"/>
      <c r="K90" s="10"/>
      <c r="L90" s="10"/>
      <c r="M90" s="10"/>
    </row>
    <row r="91" spans="2:20" ht="15.6" customHeight="1" x14ac:dyDescent="0.25">
      <c r="B91" s="62"/>
      <c r="C91" s="63"/>
      <c r="F91" s="10"/>
      <c r="G91" s="10"/>
      <c r="H91" s="10"/>
      <c r="I91" s="2"/>
      <c r="J91" s="10"/>
      <c r="K91" s="10"/>
      <c r="L91" s="10"/>
      <c r="M91" s="10"/>
    </row>
    <row r="92" spans="2:20" ht="15.6" customHeight="1" x14ac:dyDescent="0.25">
      <c r="B92" s="75" t="str">
        <f>CONCATENATE("El diagrama de Venn muestra que hay ",SUM(B95:B99)," combinaciones en el Plan Indicativo de SisPT que no tienen seguimiento físico en PIIP. Las siguientes tabla y gráfica muestran las distintas razones por las que esas combinaciones no pudieron rastrearse en PIIP, junto con las ",R93,".")</f>
        <v>El diagrama de Venn muestra que hay 0 combinaciones en el Plan Indicativo de SisPT que no tienen seguimiento físico en PIIP. Las siguientes tabla y gráfica muestran las distintas razones por las que esas combinaciones no pudieron rastrearse en PIIP, junto con las 0 coincidencias.</v>
      </c>
      <c r="C92" s="75"/>
      <c r="D92" s="75"/>
      <c r="E92" s="75"/>
      <c r="F92" s="75"/>
      <c r="G92" s="75"/>
      <c r="H92" s="75"/>
      <c r="I92" s="75"/>
      <c r="J92" s="75"/>
      <c r="K92" s="75"/>
      <c r="L92" s="75"/>
      <c r="M92" s="75"/>
      <c r="P92" s="1" t="s">
        <v>79</v>
      </c>
      <c r="Q92" s="1">
        <f>SUM(B95:B99)</f>
        <v>0</v>
      </c>
    </row>
    <row r="93" spans="2:20" ht="15.6" customHeight="1" x14ac:dyDescent="0.25">
      <c r="B93" s="75"/>
      <c r="C93" s="75"/>
      <c r="D93" s="75"/>
      <c r="E93" s="75"/>
      <c r="F93" s="75"/>
      <c r="G93" s="75"/>
      <c r="H93" s="75"/>
      <c r="I93" s="75"/>
      <c r="J93" s="75"/>
      <c r="K93" s="75"/>
      <c r="L93" s="75"/>
      <c r="M93" s="75"/>
      <c r="P93" s="1" t="s">
        <v>80</v>
      </c>
      <c r="Q93" s="1">
        <f>B100</f>
        <v>0</v>
      </c>
      <c r="R93" s="1" t="str">
        <f>IF(Q93=1,CONCATENATE(Q93," coincidencia"),CONCATENATE(Q93," coincidencias"))</f>
        <v>0 coincidencias</v>
      </c>
    </row>
    <row r="94" spans="2:20" ht="15.6" customHeight="1" x14ac:dyDescent="0.25">
      <c r="B94" s="17"/>
      <c r="C94" s="10"/>
      <c r="L94" s="10"/>
      <c r="M94" s="10"/>
      <c r="P94" s="1" t="s">
        <v>89</v>
      </c>
      <c r="Q94" s="1">
        <f>B101</f>
        <v>0</v>
      </c>
    </row>
    <row r="95" spans="2:20" ht="15.6" customHeight="1" x14ac:dyDescent="0.25">
      <c r="B95" s="21">
        <v>0</v>
      </c>
      <c r="C95" s="22" t="s">
        <v>76</v>
      </c>
      <c r="L95" s="10"/>
      <c r="M95" s="10"/>
    </row>
    <row r="96" spans="2:20" ht="15.6" customHeight="1" x14ac:dyDescent="0.25">
      <c r="B96" s="23">
        <v>2</v>
      </c>
      <c r="C96" s="22" t="s">
        <v>77</v>
      </c>
    </row>
    <row r="97" spans="2:18" ht="15.6" customHeight="1" x14ac:dyDescent="0.25">
      <c r="B97" s="24">
        <v>302</v>
      </c>
      <c r="C97" s="22" t="s">
        <v>87</v>
      </c>
    </row>
    <row r="98" spans="2:18" ht="15.6" customHeight="1" x14ac:dyDescent="0.25">
      <c r="B98" s="25">
        <v>0</v>
      </c>
      <c r="C98" s="22" t="s">
        <v>91</v>
      </c>
      <c r="D98" s="10"/>
      <c r="E98" s="10"/>
      <c r="F98" s="10"/>
      <c r="G98" s="10"/>
      <c r="H98" s="10"/>
      <c r="I98" s="2"/>
      <c r="J98" s="10"/>
      <c r="K98" s="10"/>
      <c r="L98" s="10"/>
      <c r="M98" s="10"/>
    </row>
    <row r="99" spans="2:18" ht="15.6" customHeight="1" x14ac:dyDescent="0.25">
      <c r="B99" s="26">
        <v>27</v>
      </c>
      <c r="C99" s="22" t="s">
        <v>78</v>
      </c>
      <c r="D99" s="10"/>
      <c r="E99" s="10"/>
      <c r="F99" s="10"/>
      <c r="G99" s="10"/>
      <c r="H99" s="10"/>
      <c r="I99" s="2"/>
      <c r="J99" s="10"/>
      <c r="K99" s="10"/>
      <c r="L99" s="10"/>
      <c r="M99" s="10"/>
    </row>
    <row r="100" spans="2:18" ht="15.6" customHeight="1" x14ac:dyDescent="0.25">
      <c r="B100" s="27">
        <v>26</v>
      </c>
      <c r="C100" s="22" t="s">
        <v>92</v>
      </c>
      <c r="D100" s="56"/>
      <c r="E100" s="56"/>
      <c r="F100" s="56"/>
      <c r="G100" s="56"/>
      <c r="H100" s="56"/>
      <c r="I100" s="56"/>
      <c r="J100" s="56"/>
      <c r="K100" s="56"/>
      <c r="L100" s="56"/>
      <c r="M100" s="56"/>
    </row>
    <row r="101" spans="2:18" ht="15.6" customHeight="1" x14ac:dyDescent="0.25">
      <c r="B101" s="17">
        <v>143</v>
      </c>
      <c r="C101" s="63"/>
    </row>
    <row r="102" spans="2:18" ht="15.6" customHeight="1" x14ac:dyDescent="0.25">
      <c r="B102" s="75" t="s">
        <v>130</v>
      </c>
      <c r="C102" s="75"/>
      <c r="D102" s="75"/>
      <c r="E102" s="75"/>
      <c r="F102" s="75"/>
      <c r="G102" s="75"/>
      <c r="H102" s="75"/>
      <c r="I102" s="75"/>
      <c r="J102" s="75"/>
      <c r="K102" s="75"/>
      <c r="L102" s="75"/>
      <c r="M102" s="75"/>
    </row>
    <row r="103" spans="2:18" ht="15.6" customHeight="1" x14ac:dyDescent="0.25">
      <c r="B103" s="75"/>
      <c r="C103" s="75"/>
      <c r="D103" s="75"/>
      <c r="E103" s="75"/>
      <c r="F103" s="75"/>
      <c r="G103" s="75"/>
      <c r="H103" s="75"/>
      <c r="I103" s="75"/>
      <c r="J103" s="75"/>
      <c r="K103" s="75"/>
      <c r="L103" s="75"/>
      <c r="M103" s="75"/>
    </row>
    <row r="104" spans="2:18" ht="15.6" customHeight="1" x14ac:dyDescent="0.25">
      <c r="B104" s="10"/>
      <c r="C104" s="10"/>
      <c r="D104" s="10"/>
      <c r="E104" s="10"/>
      <c r="F104" s="10"/>
      <c r="G104" s="10"/>
      <c r="H104" s="10"/>
      <c r="I104" s="10"/>
      <c r="J104" s="10"/>
      <c r="K104" s="10"/>
      <c r="L104" s="10"/>
      <c r="M104" s="10"/>
    </row>
    <row r="105" spans="2:18" x14ac:dyDescent="0.25"/>
    <row r="106" spans="2:18" ht="17.25" x14ac:dyDescent="0.3">
      <c r="B106" s="11" t="str">
        <f>CONCATENATE("Seguimiento financiero al Plan de Desarrollo - Vigencia ",$X$1)</f>
        <v>Seguimiento financiero al Plan de Desarrollo - Vigencia (Dar clic en Habilitar Edición)</v>
      </c>
      <c r="C106" s="12"/>
      <c r="D106" s="12"/>
      <c r="E106" s="12"/>
      <c r="F106" s="12"/>
      <c r="G106" s="12"/>
      <c r="H106" s="12"/>
      <c r="I106" s="12"/>
      <c r="J106" s="12"/>
      <c r="K106" s="12"/>
      <c r="L106" s="12"/>
      <c r="M106" s="12"/>
    </row>
    <row r="107" spans="2:18" x14ac:dyDescent="0.25"/>
    <row r="108" spans="2:18" x14ac:dyDescent="0.25">
      <c r="B108" s="70" t="str">
        <f>CONCATENATE(_xlfn._LONGTEXT("El seguimiento financiero se hace a nivel de código BPIN y producto. Note que el seguimiento financiero no se hace a nivel de indicador de producto. Esta información, consignada en SisPT, la contrastamos con los reportes de ejecución en CUIPO hasta el cie","rre de la vigencia "),$X$1,".")</f>
        <v>El seguimiento financiero se hace a nivel de código BPIN y producto. Note que el seguimiento financiero no se hace a nivel de indicador de producto. Esta información, consignada en SisPT, la contrastamos con los reportes de ejecución en CUIPO hasta el cierre de la vigencia (Dar clic en Habilitar Edición).</v>
      </c>
      <c r="C108" s="70"/>
      <c r="D108" s="70"/>
      <c r="E108" s="70"/>
      <c r="F108" s="70"/>
      <c r="G108" s="70"/>
      <c r="H108" s="70"/>
      <c r="I108" s="70"/>
      <c r="J108" s="70"/>
      <c r="K108" s="70"/>
      <c r="L108" s="70"/>
      <c r="M108" s="70"/>
    </row>
    <row r="109" spans="2:18" x14ac:dyDescent="0.25">
      <c r="B109" s="70"/>
      <c r="C109" s="70"/>
      <c r="D109" s="70"/>
      <c r="E109" s="70"/>
      <c r="F109" s="70"/>
      <c r="G109" s="70"/>
      <c r="H109" s="70"/>
      <c r="I109" s="70"/>
      <c r="J109" s="70"/>
      <c r="K109" s="70"/>
      <c r="L109" s="70"/>
      <c r="M109" s="70"/>
      <c r="P109" s="1" t="s">
        <v>79</v>
      </c>
      <c r="Q109" s="1">
        <v>76</v>
      </c>
    </row>
    <row r="110" spans="2:18" x14ac:dyDescent="0.25">
      <c r="B110" s="70" t="str">
        <f>CONCATENATE("En el Plan Indicativo del Presupuesto Ordinario de SisPT, la entidad cuenta con ",R110," combinaciones únicas de BPIN y producto. El siguiente diagrama de Venn ilustra, en el lenguaje de teoría de conjuntos, el nivel de coincidencia en la información entre SisPT y CUIPO:")</f>
        <v>En el Plan Indicativo del Presupuesto Ordinario de SisPT, la entidad cuenta con 0 coincidencias combinaciones únicas de BPIN y producto. El siguiente diagrama de Venn ilustra, en el lenguaje de teoría de conjuntos, el nivel de coincidencia en la información entre SisPT y CUIPO:</v>
      </c>
      <c r="C110" s="70"/>
      <c r="D110" s="70"/>
      <c r="E110" s="70"/>
      <c r="F110" s="70"/>
      <c r="G110" s="70"/>
      <c r="H110" s="70"/>
      <c r="I110" s="70"/>
      <c r="J110" s="70"/>
      <c r="K110" s="70"/>
      <c r="L110" s="70"/>
      <c r="M110" s="70"/>
      <c r="P110" s="1" t="s">
        <v>80</v>
      </c>
      <c r="Q110" s="1">
        <v>234</v>
      </c>
      <c r="R110" s="1" t="str">
        <f>IF(Q110=1,CONCATENATE(Q110," coincidencia"),CONCATENATE(Q110," coincidencias"))</f>
        <v>0 coincidencias</v>
      </c>
    </row>
    <row r="111" spans="2:18" x14ac:dyDescent="0.25">
      <c r="B111" s="70"/>
      <c r="C111" s="70"/>
      <c r="D111" s="70"/>
      <c r="E111" s="70"/>
      <c r="F111" s="70"/>
      <c r="G111" s="70"/>
      <c r="H111" s="70"/>
      <c r="I111" s="70"/>
      <c r="J111" s="70"/>
      <c r="K111" s="70"/>
      <c r="L111" s="70"/>
      <c r="M111" s="70"/>
      <c r="P111" s="1" t="s">
        <v>81</v>
      </c>
      <c r="Q111" s="1">
        <v>171</v>
      </c>
    </row>
    <row r="112" spans="2:18" x14ac:dyDescent="0.25"/>
    <row r="113" spans="2:13" x14ac:dyDescent="0.25"/>
    <row r="114" spans="2:13" x14ac:dyDescent="0.25">
      <c r="D114" s="71" t="s">
        <v>82</v>
      </c>
      <c r="E114" s="71"/>
      <c r="F114" s="32"/>
      <c r="G114" s="32"/>
      <c r="H114" s="32"/>
      <c r="I114" s="32"/>
      <c r="J114" s="73" t="s">
        <v>83</v>
      </c>
      <c r="K114" s="73"/>
    </row>
    <row r="115" spans="2:13" x14ac:dyDescent="0.25">
      <c r="D115" s="72" t="str">
        <f>CONCATENATE(SUM(Q109:Q110)," combinaciones BPIN-Producto")</f>
        <v>0 combinaciones BPIN-Producto</v>
      </c>
      <c r="E115" s="72"/>
      <c r="F115" s="32"/>
      <c r="G115" s="32"/>
      <c r="H115" s="32"/>
      <c r="I115" s="32"/>
      <c r="J115" s="72" t="str">
        <f>CONCATENATE(SUM(Q110:Q111)," combinaciones BPIN-Producto")</f>
        <v>0 combinaciones BPIN-Producto</v>
      </c>
      <c r="K115" s="72"/>
    </row>
    <row r="116" spans="2:13" x14ac:dyDescent="0.25">
      <c r="D116" s="72"/>
      <c r="E116" s="72"/>
      <c r="F116" s="32"/>
      <c r="G116" s="32"/>
      <c r="H116" s="32"/>
      <c r="I116" s="32"/>
      <c r="J116" s="72"/>
      <c r="K116" s="72"/>
    </row>
    <row r="117" spans="2:13" x14ac:dyDescent="0.25"/>
    <row r="118" spans="2:13" x14ac:dyDescent="0.25"/>
    <row r="119" spans="2:13" x14ac:dyDescent="0.25"/>
    <row r="120" spans="2:13" x14ac:dyDescent="0.25"/>
    <row r="121" spans="2:13" x14ac:dyDescent="0.25"/>
    <row r="122" spans="2:13" x14ac:dyDescent="0.25"/>
    <row r="123" spans="2:13" x14ac:dyDescent="0.25">
      <c r="B123" s="69" t="s">
        <v>90</v>
      </c>
      <c r="C123" s="69"/>
      <c r="D123" s="69"/>
      <c r="E123" s="69"/>
      <c r="F123" s="69"/>
      <c r="G123" s="69"/>
      <c r="H123" s="69"/>
      <c r="I123" s="69"/>
      <c r="J123" s="69"/>
      <c r="K123" s="69"/>
      <c r="L123" s="69"/>
      <c r="M123" s="69"/>
    </row>
    <row r="124" spans="2:13" x14ac:dyDescent="0.25">
      <c r="B124" s="69"/>
      <c r="C124" s="69"/>
      <c r="D124" s="69"/>
      <c r="E124" s="69"/>
      <c r="F124" s="69"/>
      <c r="G124" s="69"/>
      <c r="H124" s="69"/>
      <c r="I124" s="69"/>
      <c r="J124" s="69"/>
      <c r="K124" s="69"/>
      <c r="L124" s="69"/>
      <c r="M124" s="69"/>
    </row>
    <row r="125" spans="2:13" ht="14.45" customHeight="1" x14ac:dyDescent="0.25">
      <c r="B125" s="56"/>
      <c r="C125" s="56"/>
      <c r="D125" s="56"/>
      <c r="E125" s="56"/>
      <c r="F125" s="56"/>
      <c r="G125" s="56"/>
      <c r="H125" s="56"/>
      <c r="I125" s="56"/>
      <c r="J125" s="56"/>
      <c r="K125" s="56"/>
      <c r="L125" s="56"/>
      <c r="M125" s="56"/>
    </row>
    <row r="126" spans="2:13" x14ac:dyDescent="0.25">
      <c r="B126" s="75" t="s">
        <v>129</v>
      </c>
      <c r="C126" s="75"/>
      <c r="D126" s="75"/>
      <c r="E126" s="75"/>
      <c r="F126" s="75"/>
      <c r="G126" s="75"/>
      <c r="H126" s="75"/>
      <c r="I126" s="75"/>
      <c r="J126" s="75"/>
      <c r="K126" s="75"/>
      <c r="L126" s="75"/>
      <c r="M126" s="75"/>
    </row>
    <row r="127" spans="2:13" x14ac:dyDescent="0.25">
      <c r="B127" s="75"/>
      <c r="C127" s="75"/>
      <c r="D127" s="75"/>
      <c r="E127" s="75"/>
      <c r="F127" s="75"/>
      <c r="G127" s="75"/>
      <c r="H127" s="75"/>
      <c r="I127" s="75"/>
      <c r="J127" s="75"/>
      <c r="K127" s="75"/>
      <c r="L127" s="75"/>
      <c r="M127" s="75"/>
    </row>
    <row r="128" spans="2:13" x14ac:dyDescent="0.25"/>
    <row r="129" spans="1:17" x14ac:dyDescent="0.25"/>
    <row r="130" spans="1:17" ht="17.25" x14ac:dyDescent="0.3">
      <c r="B130" s="11" t="str">
        <f>CONCATENATE("Intersección entre plataformas - Vigencia ",$X$1)</f>
        <v>Intersección entre plataformas - Vigencia (Dar clic en Habilitar Edición)</v>
      </c>
      <c r="C130" s="12"/>
      <c r="D130" s="12"/>
      <c r="E130" s="12"/>
      <c r="F130" s="12"/>
      <c r="G130" s="12"/>
      <c r="H130" s="12"/>
      <c r="I130" s="12"/>
      <c r="J130" s="12"/>
      <c r="K130" s="12"/>
      <c r="L130" s="12"/>
      <c r="M130" s="12"/>
    </row>
    <row r="131" spans="1:17" x14ac:dyDescent="0.25"/>
    <row r="132" spans="1:17" x14ac:dyDescent="0.25">
      <c r="B132" s="70" t="s">
        <v>93</v>
      </c>
      <c r="C132" s="70"/>
      <c r="D132" s="70"/>
      <c r="E132" s="70"/>
      <c r="F132" s="70"/>
      <c r="G132" s="70"/>
      <c r="H132" s="70"/>
      <c r="I132" s="70"/>
      <c r="J132" s="70"/>
      <c r="K132" s="70"/>
      <c r="L132" s="70"/>
      <c r="M132" s="70"/>
    </row>
    <row r="133" spans="1:17" x14ac:dyDescent="0.25">
      <c r="B133" s="70"/>
      <c r="C133" s="70"/>
      <c r="D133" s="70"/>
      <c r="E133" s="70"/>
      <c r="F133" s="70"/>
      <c r="G133" s="70"/>
      <c r="H133" s="70"/>
      <c r="I133" s="70"/>
      <c r="J133" s="70"/>
      <c r="K133" s="70"/>
      <c r="L133" s="70"/>
      <c r="M133" s="70"/>
    </row>
    <row r="134" spans="1:17" x14ac:dyDescent="0.25"/>
    <row r="135" spans="1:17" x14ac:dyDescent="0.25">
      <c r="B135" s="39" t="s">
        <v>82</v>
      </c>
      <c r="C135" s="44"/>
      <c r="G135" s="40" t="s">
        <v>83</v>
      </c>
      <c r="I135" s="70" t="s">
        <v>94</v>
      </c>
      <c r="J135" s="70"/>
      <c r="K135" s="70"/>
      <c r="L135" s="70"/>
      <c r="M135" s="84">
        <f>SUM(Q135:Q141)</f>
        <v>0</v>
      </c>
      <c r="P135" s="1" t="s">
        <v>97</v>
      </c>
      <c r="Q135">
        <v>159</v>
      </c>
    </row>
    <row r="136" spans="1:17" x14ac:dyDescent="0.25">
      <c r="B136" s="45">
        <f>Q137+Q139+Q140+Q141</f>
        <v>0</v>
      </c>
      <c r="G136" s="45">
        <f>Q135+Q138+Q139+Q141</f>
        <v>0</v>
      </c>
      <c r="I136" s="70"/>
      <c r="J136" s="70"/>
      <c r="K136" s="70"/>
      <c r="L136" s="70"/>
      <c r="M136" s="85"/>
      <c r="P136" s="1" t="s">
        <v>98</v>
      </c>
      <c r="Q136">
        <v>90</v>
      </c>
    </row>
    <row r="137" spans="1:17" x14ac:dyDescent="0.25">
      <c r="I137" s="28"/>
      <c r="J137" s="28"/>
      <c r="K137" s="28"/>
      <c r="L137" s="28"/>
      <c r="M137" s="28"/>
      <c r="P137" s="1" t="s">
        <v>99</v>
      </c>
      <c r="Q137">
        <v>67</v>
      </c>
    </row>
    <row r="138" spans="1:17" x14ac:dyDescent="0.25">
      <c r="I138" s="70" t="s">
        <v>95</v>
      </c>
      <c r="J138" s="70"/>
      <c r="K138" s="70"/>
      <c r="L138" s="70"/>
      <c r="M138" s="84">
        <f>Q141</f>
        <v>0</v>
      </c>
      <c r="P138" s="1" t="s">
        <v>100</v>
      </c>
      <c r="Q138">
        <v>12</v>
      </c>
    </row>
    <row r="139" spans="1:17" x14ac:dyDescent="0.25">
      <c r="I139" s="70"/>
      <c r="J139" s="70"/>
      <c r="K139" s="70"/>
      <c r="L139" s="70"/>
      <c r="M139" s="85"/>
      <c r="P139" s="1" t="s">
        <v>101</v>
      </c>
      <c r="Q139">
        <v>178</v>
      </c>
    </row>
    <row r="140" spans="1:17" x14ac:dyDescent="0.25">
      <c r="I140" s="28"/>
      <c r="J140" s="28"/>
      <c r="K140" s="28"/>
      <c r="L140" s="28"/>
      <c r="M140" s="28"/>
      <c r="P140" s="1" t="s">
        <v>102</v>
      </c>
      <c r="Q140">
        <v>9</v>
      </c>
    </row>
    <row r="141" spans="1:17" x14ac:dyDescent="0.25">
      <c r="I141" s="70" t="s">
        <v>96</v>
      </c>
      <c r="J141" s="70"/>
      <c r="K141" s="70"/>
      <c r="L141" s="70"/>
      <c r="M141" s="86" t="str">
        <f>IFERROR(M138/M135,"-")</f>
        <v>-</v>
      </c>
      <c r="P141" s="1" t="s">
        <v>103</v>
      </c>
      <c r="Q141">
        <v>56</v>
      </c>
    </row>
    <row r="142" spans="1:17" x14ac:dyDescent="0.25">
      <c r="I142" s="70"/>
      <c r="J142" s="70"/>
      <c r="K142" s="70"/>
      <c r="L142" s="70"/>
      <c r="M142" s="87"/>
    </row>
    <row r="143" spans="1:17" x14ac:dyDescent="0.25"/>
    <row r="144" spans="1:17" x14ac:dyDescent="0.25">
      <c r="A144" s="43"/>
      <c r="H144" s="69" t="str">
        <f>CONCATENATE(_xlfn._LONGTEXT("Notas: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"),$Z$1," y ",$X$1,".")</f>
        <v>Notas: Si algún producto no tiene código BPIN en SisPT o en CUIPO, la información no se cruza. Si en cualquiera de las tres plataformas hay información de identificación duplicada (esto es, mismo código de producto y mismo código BPIN), la información se agrega y se considera como una sola combinación. La información presentada en este diagrama corresponde únicamente a CUIPO y PIIP, vigencias 2024, 2025, 2026 y (Dar clic en Habilitar Edición).</v>
      </c>
      <c r="I144" s="69"/>
      <c r="J144" s="69"/>
      <c r="K144" s="69"/>
      <c r="L144" s="69"/>
      <c r="M144" s="69"/>
    </row>
    <row r="145" spans="1:13" x14ac:dyDescent="0.25">
      <c r="H145" s="69"/>
      <c r="I145" s="69"/>
      <c r="J145" s="69"/>
      <c r="K145" s="69"/>
      <c r="L145" s="69"/>
      <c r="M145" s="69"/>
    </row>
    <row r="146" spans="1:13" x14ac:dyDescent="0.25">
      <c r="H146" s="69"/>
      <c r="I146" s="69"/>
      <c r="J146" s="69"/>
      <c r="K146" s="69"/>
      <c r="L146" s="69"/>
      <c r="M146" s="69"/>
    </row>
    <row r="147" spans="1:13" x14ac:dyDescent="0.25">
      <c r="H147" s="69"/>
      <c r="I147" s="69"/>
      <c r="J147" s="69"/>
      <c r="K147" s="69"/>
      <c r="L147" s="69"/>
      <c r="M147" s="69"/>
    </row>
    <row r="148" spans="1:13" x14ac:dyDescent="0.25">
      <c r="H148" s="69"/>
      <c r="I148" s="69"/>
      <c r="J148" s="69"/>
      <c r="K148" s="69"/>
      <c r="L148" s="69"/>
      <c r="M148" s="69"/>
    </row>
    <row r="149" spans="1:13" x14ac:dyDescent="0.25">
      <c r="B149" s="41" t="s">
        <v>88</v>
      </c>
    </row>
    <row r="150" spans="1:13" x14ac:dyDescent="0.25">
      <c r="B150" s="45">
        <f>Q136+Q138+Q140+Q141</f>
        <v>0</v>
      </c>
    </row>
    <row r="151" spans="1:13" x14ac:dyDescent="0.25"/>
    <row r="152" spans="1:13" x14ac:dyDescent="0.25"/>
    <row r="153" spans="1:13" x14ac:dyDescent="0.25"/>
    <row r="154" spans="1:13" x14ac:dyDescent="0.25">
      <c r="A154" s="9" t="s">
        <v>104</v>
      </c>
    </row>
  </sheetData>
  <sheetProtection sheet="1" objects="1" scenarios="1" selectLockedCells="1"/>
  <mergeCells count="31">
    <mergeCell ref="B126:M127"/>
    <mergeCell ref="H144:M148"/>
    <mergeCell ref="B132:M133"/>
    <mergeCell ref="I135:L136"/>
    <mergeCell ref="I138:L139"/>
    <mergeCell ref="I141:L142"/>
    <mergeCell ref="M135:M136"/>
    <mergeCell ref="M138:M139"/>
    <mergeCell ref="M141:M142"/>
    <mergeCell ref="B18:G18"/>
    <mergeCell ref="B9:M10"/>
    <mergeCell ref="C3:L4"/>
    <mergeCell ref="B5:M5"/>
    <mergeCell ref="D1:K1"/>
    <mergeCell ref="B16:C16"/>
    <mergeCell ref="D16:E16"/>
    <mergeCell ref="J85:K87"/>
    <mergeCell ref="B123:M124"/>
    <mergeCell ref="B78:M79"/>
    <mergeCell ref="B80:M81"/>
    <mergeCell ref="B108:M109"/>
    <mergeCell ref="B110:M111"/>
    <mergeCell ref="D114:E114"/>
    <mergeCell ref="D115:E116"/>
    <mergeCell ref="J114:K114"/>
    <mergeCell ref="J115:K116"/>
    <mergeCell ref="J84:K84"/>
    <mergeCell ref="D84:E84"/>
    <mergeCell ref="D85:E87"/>
    <mergeCell ref="B102:M103"/>
    <mergeCell ref="B92:M93"/>
  </mergeCells>
  <dataValidations count="1">
    <dataValidation type="list" allowBlank="1" showInputMessage="1" showErrorMessage="1" sqref="D16:E16" xr:uid="{BBAEDDF8-4856-4087-9493-2C8D4B7CE128}">
      <formula1>$Q$1:$Q$5</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X318"/>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9.28515625" customWidth="1"/>
    <col min="8" max="8" width="23.140625" customWidth="1"/>
    <col min="9" max="9" width="17.7109375" customWidth="1"/>
    <col min="10" max="10" width="13.7109375" customWidth="1"/>
    <col min="11" max="14" width="16" style="37" customWidth="1"/>
    <col min="15" max="17" width="14.5703125" style="37" customWidth="1"/>
    <col min="18" max="18" width="16" style="38" customWidth="1"/>
    <col min="19" max="19" width="27.5703125" customWidth="1"/>
    <col min="20" max="22" width="14.5703125" customWidth="1"/>
    <col min="23" max="23" width="16" customWidth="1"/>
    <col min="24" max="24" width="27.5703125" customWidth="1"/>
  </cols>
  <sheetData>
    <row r="1" spans="1:24" s="20" ht="26.25" customFormat="1" x14ac:dyDescent="0.3">
      <c r="A1" s="31" t="s">
        <v>107</v>
      </c>
      <c r="B1" s="4"/>
      <c r="C1" s="4"/>
      <c r="D1" s="4"/>
      <c r="E1" s="4"/>
      <c r="F1" s="4"/>
      <c r="G1" s="4"/>
      <c r="H1" s="4"/>
      <c r="I1" s="4"/>
      <c r="J1" s="4"/>
      <c r="K1" s="18"/>
      <c r="L1" s="18"/>
      <c r="M1" s="18"/>
      <c r="N1" s="18"/>
      <c r="O1" s="18"/>
      <c r="P1" s="18"/>
      <c r="Q1" s="18"/>
      <c r="R1" s="19"/>
      <c r="S1" s="4"/>
      <c r="T1" s="53"/>
      <c r="U1" s="4"/>
      <c r="V1" s="4"/>
      <c r="W1" s="4"/>
      <c r="X1" s="4"/>
    </row>
    <row r="2" spans="1:24" s="20" ht="65.25" customFormat="1" customHeight="1" x14ac:dyDescent="0.3">
      <c r="A2" s="94" t="s">
        <v>118</v>
      </c>
      <c r="B2" s="94"/>
      <c r="C2" s="94"/>
      <c r="D2" s="94"/>
      <c r="E2" s="94"/>
      <c r="F2" s="94"/>
      <c r="G2" s="94"/>
      <c r="H2" s="94"/>
      <c r="I2" s="94"/>
      <c r="J2" s="94"/>
      <c r="K2" s="94"/>
      <c r="L2" s="94"/>
      <c r="M2" s="46"/>
      <c r="N2" s="46"/>
      <c r="O2" s="18"/>
      <c r="P2" s="18"/>
      <c r="Q2" s="18"/>
      <c r="R2" s="19"/>
      <c r="S2" s="4"/>
      <c r="T2" s="4"/>
      <c r="U2" s="4"/>
      <c r="V2" s="4"/>
      <c r="W2" s="4"/>
      <c r="X2" s="4"/>
    </row>
    <row r="3" spans="1:24" s="20" ht="35.25" customFormat="1" customHeight="1" x14ac:dyDescent="0.3">
      <c r="A3" s="94" t="s">
        <v>108</v>
      </c>
      <c r="B3" s="94"/>
      <c r="C3" s="94"/>
      <c r="D3" s="94"/>
      <c r="E3" s="94"/>
      <c r="F3" s="94"/>
      <c r="G3" s="94"/>
      <c r="H3" s="94"/>
      <c r="I3" s="94"/>
      <c r="J3" s="94"/>
      <c r="K3" s="94"/>
      <c r="L3" s="94"/>
      <c r="M3" s="46"/>
      <c r="N3" s="46"/>
      <c r="O3" s="18"/>
      <c r="P3" s="18"/>
      <c r="Q3" s="18"/>
      <c r="R3" s="19"/>
      <c r="S3" s="4"/>
      <c r="T3" s="4"/>
      <c r="U3" s="4"/>
      <c r="V3" s="4"/>
      <c r="W3" s="4"/>
      <c r="X3" s="4"/>
    </row>
    <row r="4" spans="1:24" s="20" ht="16.5" customFormat="1" x14ac:dyDescent="0.3">
      <c r="A4" s="95" t="s">
        <v>131</v>
      </c>
      <c r="B4" s="95"/>
      <c r="C4" s="95"/>
      <c r="D4" s="95"/>
      <c r="E4" s="95"/>
      <c r="F4" s="95"/>
      <c r="G4" s="95"/>
      <c r="H4" s="95"/>
      <c r="I4" s="95"/>
      <c r="J4" s="95"/>
      <c r="K4" s="95"/>
      <c r="L4" s="95"/>
      <c r="M4" s="46"/>
      <c r="N4" s="46"/>
      <c r="O4" s="18"/>
      <c r="P4" s="18"/>
      <c r="Q4" s="18"/>
      <c r="R4" s="19"/>
      <c r="S4" s="4"/>
      <c r="T4" s="4"/>
      <c r="U4" s="4"/>
      <c r="V4" s="4"/>
      <c r="W4" s="4"/>
      <c r="X4" s="4"/>
    </row>
    <row r="5" spans="1:24" s="20" ht="9.75" customFormat="1" customHeight="1" x14ac:dyDescent="0.3">
      <c r="A5" s="46"/>
      <c r="B5" s="46"/>
      <c r="C5" s="46"/>
      <c r="D5" s="46"/>
      <c r="E5" s="46"/>
      <c r="F5" s="46"/>
      <c r="G5" s="46"/>
      <c r="H5" s="46"/>
      <c r="I5" s="46"/>
      <c r="J5" s="46"/>
      <c r="K5" s="46"/>
      <c r="L5" s="46"/>
      <c r="M5" s="46"/>
      <c r="N5" s="46"/>
      <c r="O5" s="18"/>
      <c r="P5" s="18"/>
      <c r="Q5" s="18"/>
      <c r="R5" s="19"/>
      <c r="S5" s="4"/>
      <c r="T5" s="4"/>
      <c r="U5" s="4"/>
      <c r="V5" s="4"/>
      <c r="W5" s="4"/>
      <c r="X5" s="4"/>
    </row>
    <row r="6" spans="1:24" s="20" ht="20.45" customFormat="1" customHeight="1" x14ac:dyDescent="0.3">
      <c r="A6" s="4"/>
      <c r="B6" s="4"/>
      <c r="C6" s="4"/>
      <c r="D6" s="4"/>
      <c r="E6" s="4"/>
      <c r="F6" s="4"/>
      <c r="G6" s="4"/>
      <c r="H6" s="4"/>
      <c r="I6" s="4"/>
      <c r="J6" s="4"/>
      <c r="K6" s="91" t="s">
        <v>124</v>
      </c>
      <c r="L6" s="92"/>
      <c r="M6" s="92"/>
      <c r="N6" s="93"/>
      <c r="O6" s="89" t="s">
        <v>68</v>
      </c>
      <c r="P6" s="89"/>
      <c r="Q6" s="89"/>
      <c r="R6" s="89"/>
      <c r="S6" s="90"/>
      <c r="T6" s="88" t="str">
        <f>CONCATENATE("Ejecución CUIPO ",Resumen!$X$1)</f>
        <v>Ejecución CUIPO (Dar clic en Habilitar Edición)</v>
      </c>
      <c r="U6" s="89"/>
      <c r="V6" s="89"/>
      <c r="W6" s="89"/>
      <c r="X6" s="90"/>
    </row>
    <row r="7" spans="1:24"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Descripción del Producto (MGA)</t>
        </is>
      </c>
      <c r="I7" s="16" t="inlineStr">
        <is>
          <t>Códigos BPIN Asociados</t>
        </is>
      </c>
      <c r="J7" s="16" t="inlineStr">
        <is>
          <t>Programación Cuatrienio SisPT</t>
        </is>
      </c>
      <c r="K7" s="60" t="inlineStr">
        <is>
          <t>Programado 2024 (SisPT)</t>
        </is>
      </c>
      <c r="L7" s="51" t="inlineStr">
        <is>
          <t>Programado 2025 (SisPT)</t>
        </is>
      </c>
      <c r="M7" s="51" t="inlineStr">
        <is>
          <t>Programado 2026 (SisPT)</t>
        </is>
      </c>
      <c r="N7" s="52" t="inlineStr">
        <is>
          <t>Programado 2027 (SisPT)</t>
        </is>
      </c>
      <c r="O7" s="58" t="inlineStr">
        <is>
          <t>Compromisos 2024 (CUIPO)</t>
        </is>
      </c>
      <c r="P7" s="58" t="inlineStr">
        <is>
          <t>Obligaciones 2024 (CUIPO)</t>
        </is>
      </c>
      <c r="Q7" s="58" t="inlineStr">
        <is>
          <t>Pagos 2024 (CUIPO)</t>
        </is>
      </c>
      <c r="R7" s="64" t="inlineStr">
        <is>
          <t>Obligaciones como % de lo programado (2024)</t>
        </is>
      </c>
      <c r="S7" s="67" t="inlineStr">
        <is>
          <t>Explicación del valor 2024</t>
        </is>
      </c>
      <c r="T7" s="59" t="inlineStr">
        <is>
          <t>Compromisos 2025 (CUIPO)</t>
        </is>
      </c>
      <c r="U7" s="58" t="inlineStr">
        <is>
          <t>Obligaciones 2025 (CUIPO)</t>
        </is>
      </c>
      <c r="V7" s="58" t="inlineStr">
        <is>
          <t>Pagos 2025 (CUIPO)</t>
        </is>
      </c>
      <c r="W7" s="64" t="inlineStr">
        <is>
          <t>Obligaciones como % de lo programado (2025)</t>
        </is>
      </c>
      <c r="X7" s="67" t="inlineStr">
        <is>
          <t>Explicación del valor 2025</t>
        </is>
      </c>
    </row>
    <row r="8">
      <c r="A8" t="inlineStr">
        <is>
          <t>IP-1</t>
        </is>
      </c>
      <c r="B8" t="inlineStr">
        <is>
          <t>22</t>
        </is>
      </c>
      <c r="C8" t="inlineStr">
        <is>
          <t>Educación</t>
        </is>
      </c>
      <c r="D8" t="inlineStr">
        <is>
          <t>2201</t>
        </is>
      </c>
      <c r="E8" t="inlineStr">
        <is>
          <t>Calidad, cobertura y fortalecimiento de la educación inicial, prescolar, básica y media</t>
        </is>
      </c>
      <c r="F8" t="inlineStr">
        <is>
          <t>2201062</t>
        </is>
      </c>
      <c r="G8" t="inlineStr">
        <is>
          <t>Infraestructura educativa mantenida</t>
        </is>
      </c>
      <c r="H8" t="inlineStr">
        <is>
          <t>Conjunto de acciones periódicas y sistemáticas realizadas con el propósito de asegurar, garantizar o extender la vida útil de la infraestructura, necesarias para conservar las condiciones originales de funcionamiento normal y adecuado, su seguridad, productividad, confort, imagen corporativa, salubridad e higiene.</t>
        </is>
      </c>
      <c r="I8" t="inlineStr">
        <is>
          <t>2024257580046</t>
        </is>
      </c>
      <c r="J8" s="99">
        <v>3696150000</v>
      </c>
      <c r="K8" s="99">
        <v>3150000000</v>
      </c>
      <c r="L8" s="99">
        <v>165000000</v>
      </c>
      <c r="M8" s="99">
        <v>181500000</v>
      </c>
      <c r="N8" s="99">
        <v>199650000</v>
      </c>
      <c r="O8" s="99">
        <v>64552017</v>
      </c>
      <c r="P8" s="99">
        <v>64552017</v>
      </c>
      <c r="Q8" s="99">
        <v>0</v>
      </c>
      <c r="R8" s="100">
        <v>0.0204927038095238</v>
      </c>
      <c r="S8" t="inlineStr">
        <is>
          <t>Lo obligado está por debajo de lo programado en la vigencia</t>
        </is>
      </c>
      <c r="T8" s="101">
        <v>184112495</v>
      </c>
      <c r="U8" s="101">
        <v>102214133</v>
      </c>
      <c r="V8" s="101">
        <v>102214133</v>
      </c>
      <c r="W8" s="102">
        <v>0.619479593939394</v>
      </c>
      <c r="X8" t="inlineStr">
        <is>
          <t>Lo obligado está por debajo de lo programado en la vigencia</t>
        </is>
      </c>
    </row>
    <row r="9">
      <c r="A9" t="inlineStr">
        <is>
          <t>IP-2, IP-4</t>
        </is>
      </c>
      <c r="B9" t="inlineStr">
        <is>
          <t>22</t>
        </is>
      </c>
      <c r="C9" t="inlineStr">
        <is>
          <t>Educación</t>
        </is>
      </c>
      <c r="D9" t="inlineStr">
        <is>
          <t>2201</t>
        </is>
      </c>
      <c r="E9" t="inlineStr">
        <is>
          <t>Calidad, cobertura y fortalecimiento de la educación inicial, prescolar, básica y media</t>
        </is>
      </c>
      <c r="F9" t="inlineStr">
        <is>
          <t>2201052</t>
        </is>
      </c>
      <c r="G9" t="inlineStr">
        <is>
          <t>Infraestructura educativa mejorada</t>
        </is>
      </c>
      <c r="H9" t="inlineStr">
        <is>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is>
      </c>
      <c r="I9" t="inlineStr">
        <is>
          <t>2024257580046</t>
        </is>
      </c>
      <c r="J9" s="99">
        <v>3124610000</v>
      </c>
      <c r="K9" s="99">
        <v>210000000</v>
      </c>
      <c r="L9" s="99">
        <v>2031000000</v>
      </c>
      <c r="M9" s="99">
        <v>424100000</v>
      </c>
      <c r="N9" s="99">
        <v>459510000</v>
      </c>
      <c r="O9" s="99">
        <v>51296640</v>
      </c>
      <c r="P9" s="99">
        <v>42652263</v>
      </c>
      <c r="Q9" s="99">
        <v>38330075</v>
      </c>
      <c r="R9" s="100">
        <v>0.203106014285714</v>
      </c>
      <c r="S9" t="inlineStr">
        <is>
          <t>Lo obligado está por debajo de lo programado en la vigencia</t>
        </is>
      </c>
      <c r="T9" s="101">
        <v>1567429609</v>
      </c>
      <c r="U9" s="101">
        <v>1364693841</v>
      </c>
      <c r="V9" s="101">
        <v>1364693841</v>
      </c>
      <c r="W9" s="102">
        <v>0.671931974889217</v>
      </c>
      <c r="X9" t="inlineStr">
        <is>
          <t>Lo obligado está por debajo de lo programado en la vigencia</t>
        </is>
      </c>
    </row>
    <row r="10">
      <c r="A10" t="inlineStr">
        <is>
          <t>IP-3</t>
        </is>
      </c>
      <c r="B10" t="inlineStr">
        <is>
          <t>22</t>
        </is>
      </c>
      <c r="C10" t="inlineStr">
        <is>
          <t>Educación</t>
        </is>
      </c>
      <c r="D10" t="inlineStr">
        <is>
          <t>2201</t>
        </is>
      </c>
      <c r="E10" t="inlineStr">
        <is>
          <t>Calidad, cobertura y fortalecimiento de la educación inicial, prescolar, básica y media</t>
        </is>
      </c>
      <c r="F10" t="inlineStr">
        <is>
          <t>2201051</t>
        </is>
      </c>
      <c r="G10" t="inlineStr">
        <is>
          <t>Infraestructura educativa construida</t>
        </is>
      </c>
      <c r="H10" t="inlineStr">
        <is>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is>
      </c>
      <c r="I10" t="inlineStr">
        <is>
          <t>2024257580046</t>
        </is>
      </c>
      <c r="J10" s="99">
        <v>371280000</v>
      </c>
      <c r="K10" s="99">
        <v>80000000</v>
      </c>
      <c r="L10" s="99">
        <v>88000000</v>
      </c>
      <c r="M10" s="99">
        <v>96800000</v>
      </c>
      <c r="N10" s="99">
        <v>106480000</v>
      </c>
      <c r="O10" s="99" t="inlineStr">
        <is>
          <t xml:space="preserve"> </t>
        </is>
      </c>
      <c r="P10" s="99" t="inlineStr">
        <is>
          <t xml:space="preserve"> </t>
        </is>
      </c>
      <c r="Q10" s="99" t="inlineStr">
        <is>
          <t xml:space="preserve"> </t>
        </is>
      </c>
      <c r="R10" s="100" t="inlineStr">
        <is>
          <t xml:space="preserve"> </t>
        </is>
      </c>
      <c r="S10" t="inlineStr">
        <is>
          <t>No se encontró ejecución en CUIPO</t>
        </is>
      </c>
      <c r="T10" s="101" t="inlineStr">
        <is>
          <t xml:space="preserve"> </t>
        </is>
      </c>
      <c r="U10" s="101" t="inlineStr">
        <is>
          <t xml:space="preserve"> </t>
        </is>
      </c>
      <c r="V10" s="101" t="inlineStr">
        <is>
          <t xml:space="preserve"> </t>
        </is>
      </c>
      <c r="W10" s="102" t="inlineStr">
        <is>
          <t xml:space="preserve"> </t>
        </is>
      </c>
      <c r="X10" t="inlineStr">
        <is>
          <t>No se encontró ejecución en CUIPO</t>
        </is>
      </c>
    </row>
    <row r="11">
      <c r="A11" t="inlineStr">
        <is>
          <t>IP-5, IP-8</t>
        </is>
      </c>
      <c r="B11" t="inlineStr">
        <is>
          <t>22</t>
        </is>
      </c>
      <c r="C11" t="inlineStr">
        <is>
          <t>Educación</t>
        </is>
      </c>
      <c r="D11" t="inlineStr">
        <is>
          <t>2201</t>
        </is>
      </c>
      <c r="E11" t="inlineStr">
        <is>
          <t>Calidad, cobertura y fortalecimiento de la educación inicial, prescolar, básica y media</t>
        </is>
      </c>
      <c r="F11" t="inlineStr">
        <is>
          <t>2201069</t>
        </is>
      </c>
      <c r="G11" t="inlineStr">
        <is>
          <t>Infraestructura educativa dotada</t>
        </is>
      </c>
      <c r="H11"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11" t="inlineStr">
        <is>
          <t>2024257580046</t>
        </is>
      </c>
      <c r="J11" s="99">
        <v>583330000</v>
      </c>
      <c r="K11" s="99">
        <v>110000000</v>
      </c>
      <c r="L11" s="99">
        <v>143000000</v>
      </c>
      <c r="M11" s="99">
        <v>157300000</v>
      </c>
      <c r="N11" s="99">
        <v>173030000</v>
      </c>
      <c r="O11" s="99">
        <v>43018606</v>
      </c>
      <c r="P11" s="99">
        <v>43018606</v>
      </c>
      <c r="Q11" s="99">
        <v>0</v>
      </c>
      <c r="R11" s="100">
        <v>0.391078236363636</v>
      </c>
      <c r="S11" t="inlineStr">
        <is>
          <t>Lo obligado está por debajo de lo programado en la vigencia</t>
        </is>
      </c>
      <c r="T11" s="101" t="inlineStr">
        <is>
          <t xml:space="preserve"> </t>
        </is>
      </c>
      <c r="U11" s="101" t="inlineStr">
        <is>
          <t xml:space="preserve"> </t>
        </is>
      </c>
      <c r="V11" s="101" t="inlineStr">
        <is>
          <t xml:space="preserve"> </t>
        </is>
      </c>
      <c r="W11" s="102" t="inlineStr">
        <is>
          <t xml:space="preserve"> </t>
        </is>
      </c>
      <c r="X11" t="inlineStr">
        <is>
          <t>No se encontró ejecución en CUIPO</t>
        </is>
      </c>
    </row>
    <row r="12">
      <c r="A12" t="inlineStr">
        <is>
          <t>IP-7, IP-9</t>
        </is>
      </c>
      <c r="B12" t="inlineStr">
        <is>
          <t>22</t>
        </is>
      </c>
      <c r="C12" t="inlineStr">
        <is>
          <t>Educación</t>
        </is>
      </c>
      <c r="D12" t="inlineStr">
        <is>
          <t>2201</t>
        </is>
      </c>
      <c r="E12" t="inlineStr">
        <is>
          <t>Calidad, cobertura y fortalecimiento de la educación inicial, prescolar, básica y media</t>
        </is>
      </c>
      <c r="F12" t="inlineStr">
        <is>
          <t>2201030</t>
        </is>
      </c>
      <c r="G12" t="inlineStr">
        <is>
          <t>Servicio educación formal por modelos educativos flexibles</t>
        </is>
      </c>
      <c r="H12" t="inlineStr">
        <is>
          <t>Incluye la puesta en marcha de  propuestas de educación formal que permiten atender a poblaciones diversas o en condiciones de vulnerabilidad, que presentan dificultades para participar en la oferta educativa tradicional.</t>
        </is>
      </c>
      <c r="I12" t="inlineStr">
        <is>
          <t>2024257580046</t>
        </is>
      </c>
      <c r="J12" s="99">
        <v>329511000</v>
      </c>
      <c r="K12" s="99">
        <v>71000000</v>
      </c>
      <c r="L12" s="99">
        <v>78100000</v>
      </c>
      <c r="M12" s="99">
        <v>85910000</v>
      </c>
      <c r="N12" s="99">
        <v>94501000</v>
      </c>
      <c r="O12" s="99" t="inlineStr">
        <is>
          <t xml:space="preserve"> </t>
        </is>
      </c>
      <c r="P12" s="99" t="inlineStr">
        <is>
          <t xml:space="preserve"> </t>
        </is>
      </c>
      <c r="Q12" s="99" t="inlineStr">
        <is>
          <t xml:space="preserve"> </t>
        </is>
      </c>
      <c r="R12" s="100" t="inlineStr">
        <is>
          <t xml:space="preserve"> </t>
        </is>
      </c>
      <c r="S12" t="inlineStr">
        <is>
          <t>No se encontró ejecución en CUIPO</t>
        </is>
      </c>
      <c r="T12" s="101">
        <v>68825917</v>
      </c>
      <c r="U12" s="101">
        <v>42899589</v>
      </c>
      <c r="V12" s="101">
        <v>42899589</v>
      </c>
      <c r="W12" s="102">
        <v>0.549290512163892</v>
      </c>
      <c r="X12" t="inlineStr">
        <is>
          <t>Lo obligado está por debajo de lo programado en la vigencia</t>
        </is>
      </c>
    </row>
    <row r="13">
      <c r="A13" t="inlineStr">
        <is>
          <t>IP-10, IP-6</t>
        </is>
      </c>
      <c r="B13" t="inlineStr">
        <is>
          <t>22</t>
        </is>
      </c>
      <c r="C13" t="inlineStr">
        <is>
          <t>Educación</t>
        </is>
      </c>
      <c r="D13" t="inlineStr">
        <is>
          <t>2201</t>
        </is>
      </c>
      <c r="E13" t="inlineStr">
        <is>
          <t>Calidad, cobertura y fortalecimiento de la educación inicial, prescolar, básica y media</t>
        </is>
      </c>
      <c r="F13" t="inlineStr">
        <is>
          <t>2201084</t>
        </is>
      </c>
      <c r="G13" t="inlineStr">
        <is>
          <t>Servicio de apoyo pedagógico para  la oferta de educación inclusiva para preescolar, básica y media</t>
        </is>
      </c>
      <c r="H13" t="inlineStr">
        <is>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is>
      </c>
      <c r="I13" t="inlineStr">
        <is>
          <t>2024257580046</t>
        </is>
      </c>
      <c r="J13" s="99">
        <v>46410000</v>
      </c>
      <c r="K13" s="99">
        <v>10000000</v>
      </c>
      <c r="L13" s="99">
        <v>11000000</v>
      </c>
      <c r="M13" s="99">
        <v>12100000</v>
      </c>
      <c r="N13" s="99">
        <v>13310000</v>
      </c>
      <c r="O13" s="99" t="inlineStr">
        <is>
          <t xml:space="preserve"> </t>
        </is>
      </c>
      <c r="P13" s="99" t="inlineStr">
        <is>
          <t xml:space="preserve"> </t>
        </is>
      </c>
      <c r="Q13" s="99" t="inlineStr">
        <is>
          <t xml:space="preserve"> </t>
        </is>
      </c>
      <c r="R13" s="100" t="inlineStr">
        <is>
          <t xml:space="preserve"> </t>
        </is>
      </c>
      <c r="S13" t="inlineStr">
        <is>
          <t>No se encontró ejecución en CUIPO</t>
        </is>
      </c>
      <c r="T13" s="101">
        <v>39802152</v>
      </c>
      <c r="U13" s="101">
        <v>32353235</v>
      </c>
      <c r="V13" s="101">
        <v>32353235</v>
      </c>
      <c r="W13" s="102">
        <v>2.94120318181818</v>
      </c>
      <c r="X13" t="inlineStr">
        <is>
          <t>Hubo ejecución por encima de lo programado en SisPT</t>
        </is>
      </c>
    </row>
    <row r="14">
      <c r="A14" t="inlineStr">
        <is>
          <t>IP-11</t>
        </is>
      </c>
      <c r="B14" t="inlineStr">
        <is>
          <t>22</t>
        </is>
      </c>
      <c r="C14" t="inlineStr">
        <is>
          <t>Educación</t>
        </is>
      </c>
      <c r="D14" t="inlineStr">
        <is>
          <t>2201</t>
        </is>
      </c>
      <c r="E14" t="inlineStr">
        <is>
          <t>Calidad, cobertura y fortalecimiento de la educación inicial, prescolar, básica y media</t>
        </is>
      </c>
      <c r="F14" t="inlineStr">
        <is>
          <t>2201001</t>
        </is>
      </c>
      <c r="G14" t="inlineStr">
        <is>
          <t>Documentos de planeación</t>
        </is>
      </c>
      <c r="H14" t="inlineStr">
        <is>
          <t>Incluyen los servicio de asesoría y orientación técnica prestados a las Secretarías de Educación o por estas en los temas relacionados con la política educativa y aquellos definidos para la educación inicial, preescolar, básica y media.</t>
        </is>
      </c>
      <c r="I14" t="inlineStr">
        <is>
          <t>2024257580062</t>
        </is>
      </c>
      <c r="J14" s="99">
        <v>566150000</v>
      </c>
      <c r="K14" s="99">
        <v>20000000</v>
      </c>
      <c r="L14" s="99">
        <v>165000000</v>
      </c>
      <c r="M14" s="99">
        <v>181500000</v>
      </c>
      <c r="N14" s="99">
        <v>199650000</v>
      </c>
      <c r="O14" s="99" t="inlineStr">
        <is>
          <t xml:space="preserve"> </t>
        </is>
      </c>
      <c r="P14" s="99" t="inlineStr">
        <is>
          <t xml:space="preserve"> </t>
        </is>
      </c>
      <c r="Q14" s="99" t="inlineStr">
        <is>
          <t xml:space="preserve"> </t>
        </is>
      </c>
      <c r="R14" s="100" t="inlineStr">
        <is>
          <t xml:space="preserve"> </t>
        </is>
      </c>
      <c r="S14" t="inlineStr">
        <is>
          <t>No se encontró ejecución en CUIPO</t>
        </is>
      </c>
      <c r="T14" s="101">
        <v>83930000</v>
      </c>
      <c r="U14" s="101">
        <v>60225667</v>
      </c>
      <c r="V14" s="101">
        <v>60225667</v>
      </c>
      <c r="W14" s="102">
        <v>0.365004042424242</v>
      </c>
      <c r="X14" t="inlineStr">
        <is>
          <t>Lo obligado está por debajo de lo programado en la vigencia</t>
        </is>
      </c>
    </row>
    <row r="15">
      <c r="A15" t="inlineStr">
        <is>
          <t>IP-12</t>
        </is>
      </c>
      <c r="B15" t="inlineStr">
        <is>
          <t>22</t>
        </is>
      </c>
      <c r="C15" t="inlineStr">
        <is>
          <t>Educación</t>
        </is>
      </c>
      <c r="D15" t="inlineStr">
        <is>
          <t>2201</t>
        </is>
      </c>
      <c r="E15" t="inlineStr">
        <is>
          <t>Calidad, cobertura y fortalecimiento de la educación inicial, prescolar, básica y media</t>
        </is>
      </c>
      <c r="F15" t="inlineStr">
        <is>
          <t>2201072</t>
        </is>
      </c>
      <c r="G15" t="inlineStr">
        <is>
          <t>Servicio de evaluación de las estrategias educativas implementadas en la educación inicial, preescolar, básica y media</t>
        </is>
      </c>
      <c r="H15" t="inlineStr">
        <is>
          <t>Incluye el diseño, validación e implementación de mecanismos y demás procesos que permitan evaluar el impacto de la implementación de programas, proyectos y estrategias educativas para la educación inicial, preescolar, básica y media.</t>
        </is>
      </c>
      <c r="I15" t="inlineStr">
        <is>
          <t>2024257580062</t>
        </is>
      </c>
      <c r="J15" s="99">
        <v>0</v>
      </c>
      <c r="K15" s="99">
        <v>0</v>
      </c>
      <c r="L15" s="99">
        <v>0</v>
      </c>
      <c r="M15" s="99">
        <v>0</v>
      </c>
      <c r="N15" s="99">
        <v>0</v>
      </c>
      <c r="O15" s="99" t="inlineStr">
        <is>
          <t xml:space="preserve"> </t>
        </is>
      </c>
      <c r="P15" s="99" t="inlineStr">
        <is>
          <t xml:space="preserve"> </t>
        </is>
      </c>
      <c r="Q15" s="99" t="inlineStr">
        <is>
          <t xml:space="preserve"> </t>
        </is>
      </c>
      <c r="R15" s="100" t="inlineStr">
        <is>
          <t xml:space="preserve"> </t>
        </is>
      </c>
      <c r="S15" t="inlineStr">
        <is>
          <t>No se encontró ejecución en CUIPO</t>
        </is>
      </c>
      <c r="T15" s="101">
        <v>20291898</v>
      </c>
      <c r="U15" s="101">
        <v>19759071</v>
      </c>
      <c r="V15" s="101">
        <v>19759071</v>
      </c>
      <c r="W15" s="102" t="inlineStr">
        <is>
          <t xml:space="preserve"> </t>
        </is>
      </c>
      <c r="X15" t="inlineStr">
        <is>
          <t>Se ejecutó un producto no programado en la vigencia</t>
        </is>
      </c>
    </row>
    <row r="16">
      <c r="A16" t="inlineStr">
        <is>
          <t>IP-13</t>
        </is>
      </c>
      <c r="B16" t="inlineStr">
        <is>
          <t>22</t>
        </is>
      </c>
      <c r="C16" t="inlineStr">
        <is>
          <t>Educación</t>
        </is>
      </c>
      <c r="D16" t="inlineStr">
        <is>
          <t>2201</t>
        </is>
      </c>
      <c r="E16" t="inlineStr">
        <is>
          <t>Calidad, cobertura y fortalecimiento de la educación inicial, prescolar, básica y media</t>
        </is>
      </c>
      <c r="F16" t="inlineStr">
        <is>
          <t>2201034</t>
        </is>
      </c>
      <c r="G16" t="inlineStr">
        <is>
          <t>Servicio educativos de promoción del bilingüismo</t>
        </is>
      </c>
      <c r="H16" t="inlineStr">
        <is>
          <t xml:space="preserve">Procesos de formación para el desarrollo de competencias en un segundo idioma </t>
        </is>
      </c>
      <c r="I16" t="inlineStr">
        <is>
          <t>2024257580062</t>
        </is>
      </c>
      <c r="J16" s="99">
        <v>213021900</v>
      </c>
      <c r="K16" s="99">
        <v>45900000</v>
      </c>
      <c r="L16" s="99">
        <v>50490000</v>
      </c>
      <c r="M16" s="99">
        <v>55539000</v>
      </c>
      <c r="N16" s="99">
        <v>61092900</v>
      </c>
      <c r="O16" s="99" t="inlineStr">
        <is>
          <t xml:space="preserve"> </t>
        </is>
      </c>
      <c r="P16" s="99" t="inlineStr">
        <is>
          <t xml:space="preserve"> </t>
        </is>
      </c>
      <c r="Q16" s="99" t="inlineStr">
        <is>
          <t xml:space="preserve"> </t>
        </is>
      </c>
      <c r="R16" s="100" t="inlineStr">
        <is>
          <t xml:space="preserve"> </t>
        </is>
      </c>
      <c r="S16" t="inlineStr">
        <is>
          <t>No se encontró ejecución en CUIPO</t>
        </is>
      </c>
      <c r="T16" s="101">
        <v>39950976</v>
      </c>
      <c r="U16" s="101">
        <v>32008176</v>
      </c>
      <c r="V16" s="101">
        <v>32008176</v>
      </c>
      <c r="W16" s="102">
        <v>0.633950802139037</v>
      </c>
      <c r="X16" t="inlineStr">
        <is>
          <t>Lo obligado está por debajo de lo programado en la vigencia</t>
        </is>
      </c>
    </row>
    <row r="17">
      <c r="A17" t="inlineStr">
        <is>
          <t>IP-14</t>
        </is>
      </c>
      <c r="B17" t="inlineStr">
        <is>
          <t>22</t>
        </is>
      </c>
      <c r="C17" t="inlineStr">
        <is>
          <t>Educación</t>
        </is>
      </c>
      <c r="D17" t="inlineStr">
        <is>
          <t>2201</t>
        </is>
      </c>
      <c r="E17" t="inlineStr">
        <is>
          <t>Calidad, cobertura y fortalecimiento de la educación inicial, prescolar, básica y media</t>
        </is>
      </c>
      <c r="F17" t="inlineStr">
        <is>
          <t>2201060</t>
        </is>
      </c>
      <c r="G17" t="inlineStr">
        <is>
          <t>Servicio educativo de promoción del bilingüismo para docentes</t>
        </is>
      </c>
      <c r="H17" t="inlineStr">
        <is>
          <t>Se refiere a los procesos y planes de formación docente que posibiliten el aprendizaje o mejoramiento del dominio del nivel de una lengua extranjera, el mejoramiento de las prácticas de aula,  la renovación metodológica para la enseñanza de otras lenguas y el fomento a la implementación del currículo sugerido de otros idiomas.</t>
        </is>
      </c>
      <c r="I17" t="inlineStr">
        <is>
          <t>2024257580062</t>
        </is>
      </c>
      <c r="J17" s="99">
        <v>213021900</v>
      </c>
      <c r="K17" s="99">
        <v>45900000</v>
      </c>
      <c r="L17" s="99">
        <v>50490000</v>
      </c>
      <c r="M17" s="99">
        <v>55539000</v>
      </c>
      <c r="N17" s="99">
        <v>61092900</v>
      </c>
      <c r="O17" s="99" t="inlineStr">
        <is>
          <t xml:space="preserve"> </t>
        </is>
      </c>
      <c r="P17" s="99" t="inlineStr">
        <is>
          <t xml:space="preserve"> </t>
        </is>
      </c>
      <c r="Q17" s="99" t="inlineStr">
        <is>
          <t xml:space="preserve"> </t>
        </is>
      </c>
      <c r="R17" s="100" t="inlineStr">
        <is>
          <t xml:space="preserve"> </t>
        </is>
      </c>
      <c r="S17" t="inlineStr">
        <is>
          <t>No se encontró ejecución en CUIPO</t>
        </is>
      </c>
      <c r="T17" s="101">
        <v>99053566</v>
      </c>
      <c r="U17" s="101">
        <v>82844426</v>
      </c>
      <c r="V17" s="101">
        <v>82844426</v>
      </c>
      <c r="W17" s="102">
        <v>1.64080859576154</v>
      </c>
      <c r="X17" t="inlineStr">
        <is>
          <t>Hubo ejecución por encima de lo programado en SisPT</t>
        </is>
      </c>
    </row>
    <row r="18">
      <c r="A18" t="inlineStr">
        <is>
          <t>IP-15</t>
        </is>
      </c>
      <c r="B18" t="inlineStr">
        <is>
          <t>22</t>
        </is>
      </c>
      <c r="C18" t="inlineStr">
        <is>
          <t>Educación</t>
        </is>
      </c>
      <c r="D18" t="inlineStr">
        <is>
          <t>2201</t>
        </is>
      </c>
      <c r="E18" t="inlineStr">
        <is>
          <t>Calidad, cobertura y fortalecimiento de la educación inicial, prescolar, básica y media</t>
        </is>
      </c>
      <c r="F18" t="inlineStr">
        <is>
          <t>2201036</t>
        </is>
      </c>
      <c r="G18" t="inlineStr">
        <is>
          <t>Servicio de desarrollo de contenidos educativos para la educación inicial, preescolar, básica y media</t>
        </is>
      </c>
      <c r="H18" t="inlineStr">
        <is>
          <t>Incluye la investigación y desarrollo de contenidos educativos</t>
        </is>
      </c>
      <c r="I18" t="inlineStr">
        <is>
          <t>2024257580062</t>
        </is>
      </c>
      <c r="J18" s="99">
        <v>118345500</v>
      </c>
      <c r="K18" s="99">
        <v>25500000</v>
      </c>
      <c r="L18" s="99">
        <v>28050000</v>
      </c>
      <c r="M18" s="99">
        <v>30855000</v>
      </c>
      <c r="N18" s="99">
        <v>33940500</v>
      </c>
      <c r="O18" s="99" t="inlineStr">
        <is>
          <t xml:space="preserve"> </t>
        </is>
      </c>
      <c r="P18" s="99" t="inlineStr">
        <is>
          <t xml:space="preserve"> </t>
        </is>
      </c>
      <c r="Q18" s="99" t="inlineStr">
        <is>
          <t xml:space="preserve"> </t>
        </is>
      </c>
      <c r="R18" s="100" t="inlineStr">
        <is>
          <t xml:space="preserve"> </t>
        </is>
      </c>
      <c r="S18" t="inlineStr">
        <is>
          <t>No se encontró ejecución en CUIPO</t>
        </is>
      </c>
      <c r="T18" s="101">
        <v>20127951</v>
      </c>
      <c r="U18" s="101">
        <v>12406063</v>
      </c>
      <c r="V18" s="101">
        <v>12406063</v>
      </c>
      <c r="W18" s="102">
        <v>0.442283885918004</v>
      </c>
      <c r="X18" t="inlineStr">
        <is>
          <t>Lo obligado está por debajo de lo programado en la vigencia</t>
        </is>
      </c>
    </row>
    <row r="19">
      <c r="A19" t="inlineStr">
        <is>
          <t>IP-16</t>
        </is>
      </c>
      <c r="B19" t="inlineStr">
        <is>
          <t>22</t>
        </is>
      </c>
      <c r="C19" t="inlineStr">
        <is>
          <t>Educación</t>
        </is>
      </c>
      <c r="D19" t="inlineStr">
        <is>
          <t>2201</t>
        </is>
      </c>
      <c r="E19" t="inlineStr">
        <is>
          <t>Calidad, cobertura y fortalecimiento de la educación inicial, prescolar, básica y media</t>
        </is>
      </c>
      <c r="F19" t="inlineStr">
        <is>
          <t>2201050</t>
        </is>
      </c>
      <c r="G19" t="inlineStr">
        <is>
          <t>Servicio de accesibilidad a contenidos web para fines pedagógicos</t>
        </is>
      </c>
      <c r="H19" t="inlineStr">
        <is>
          <t>Corresponde a la instalación del servicio de internet en los establecimientos educativos para fines pedagógicos</t>
        </is>
      </c>
      <c r="I19" t="inlineStr">
        <is>
          <t>2024257580062</t>
        </is>
      </c>
      <c r="J19" s="99">
        <v>580125000</v>
      </c>
      <c r="K19" s="99">
        <v>125000000</v>
      </c>
      <c r="L19" s="99">
        <v>137500000</v>
      </c>
      <c r="M19" s="99">
        <v>151250000</v>
      </c>
      <c r="N19" s="99">
        <v>166375000</v>
      </c>
      <c r="O19" s="99">
        <v>19128950</v>
      </c>
      <c r="P19" s="99">
        <v>11477369</v>
      </c>
      <c r="Q19" s="99">
        <v>0</v>
      </c>
      <c r="R19" s="100">
        <v>0.091818952</v>
      </c>
      <c r="S19" t="inlineStr">
        <is>
          <t>Lo obligado está por debajo de lo programado en la vigencia</t>
        </is>
      </c>
      <c r="T19" s="101">
        <v>147076883</v>
      </c>
      <c r="U19" s="101">
        <v>97066758</v>
      </c>
      <c r="V19" s="101">
        <v>97066758</v>
      </c>
      <c r="W19" s="102">
        <v>0.705940058181818</v>
      </c>
      <c r="X19" t="inlineStr">
        <is>
          <t>Lo obligado está por debajo de lo programado en la vigencia</t>
        </is>
      </c>
    </row>
    <row r="20">
      <c r="A20" t="inlineStr">
        <is>
          <t>IP-17</t>
        </is>
      </c>
      <c r="B20" t="inlineStr">
        <is>
          <t>22</t>
        </is>
      </c>
      <c r="C20" t="inlineStr">
        <is>
          <t>Educación</t>
        </is>
      </c>
      <c r="D20" t="inlineStr">
        <is>
          <t>2201</t>
        </is>
      </c>
      <c r="E20" t="inlineStr">
        <is>
          <t>Calidad, cobertura y fortalecimiento de la educación inicial, prescolar, básica y media</t>
        </is>
      </c>
      <c r="F20" t="inlineStr">
        <is>
          <t>2201035</t>
        </is>
      </c>
      <c r="G20" t="inlineStr">
        <is>
          <t>Servicio de articulación entre la educación media y el sector productivo.</t>
        </is>
      </c>
      <c r="H20" t="inlineStr">
        <is>
          <t>Incluye el desarrollo de estrategias que vinculen la educación media con el sector productivo, que promuevan la pertinencia en la educación</t>
        </is>
      </c>
      <c r="I20" t="inlineStr">
        <is>
          <t>2024257580062</t>
        </is>
      </c>
      <c r="J20" s="99">
        <v>165500000</v>
      </c>
      <c r="K20" s="99">
        <v>0</v>
      </c>
      <c r="L20" s="99">
        <v>50000000</v>
      </c>
      <c r="M20" s="99">
        <v>55000000</v>
      </c>
      <c r="N20" s="99">
        <v>60500000</v>
      </c>
      <c r="O20" s="99" t="inlineStr">
        <is>
          <t xml:space="preserve"> </t>
        </is>
      </c>
      <c r="P20" s="99" t="inlineStr">
        <is>
          <t xml:space="preserve"> </t>
        </is>
      </c>
      <c r="Q20" s="99" t="inlineStr">
        <is>
          <t xml:space="preserve"> </t>
        </is>
      </c>
      <c r="R20" s="100" t="inlineStr">
        <is>
          <t xml:space="preserve"> </t>
        </is>
      </c>
      <c r="S20" t="inlineStr">
        <is>
          <t>No se encontró ejecución en CUIPO</t>
        </is>
      </c>
      <c r="T20" s="101">
        <v>16849018</v>
      </c>
      <c r="U20" s="101">
        <v>8189136</v>
      </c>
      <c r="V20" s="101">
        <v>8189136</v>
      </c>
      <c r="W20" s="102">
        <v>0.16378272</v>
      </c>
      <c r="X20" t="inlineStr">
        <is>
          <t>Lo obligado está por debajo de lo programado en la vigencia</t>
        </is>
      </c>
    </row>
    <row r="21">
      <c r="A21" t="inlineStr">
        <is>
          <t>IP-18</t>
        </is>
      </c>
      <c r="B21" t="inlineStr">
        <is>
          <t>22</t>
        </is>
      </c>
      <c r="C21" t="inlineStr">
        <is>
          <t>Educación</t>
        </is>
      </c>
      <c r="D21" t="inlineStr">
        <is>
          <t>2201</t>
        </is>
      </c>
      <c r="E21" t="inlineStr">
        <is>
          <t>Calidad, cobertura y fortalecimiento de la educación inicial, prescolar, básica y media</t>
        </is>
      </c>
      <c r="F21" t="inlineStr">
        <is>
          <t>2201061</t>
        </is>
      </c>
      <c r="G21" t="inlineStr">
        <is>
          <t>Servicio de apoyo a proyectos pedagógicos productivos</t>
        </is>
      </c>
      <c r="H21" t="inlineStr">
        <is>
          <t>Corresponden al apoyo financiero o en especie para la implementación de proyectos pedagógicos productivos.</t>
        </is>
      </c>
      <c r="I21" t="inlineStr">
        <is>
          <t>2024257580062</t>
        </is>
      </c>
      <c r="J21" s="99">
        <v>0</v>
      </c>
      <c r="K21" s="99">
        <v>0</v>
      </c>
      <c r="L21" s="99">
        <v>0</v>
      </c>
      <c r="M21" s="99">
        <v>0</v>
      </c>
      <c r="N21" s="99">
        <v>0</v>
      </c>
      <c r="O21" s="99" t="inlineStr">
        <is>
          <t xml:space="preserve"> </t>
        </is>
      </c>
      <c r="P21" s="99" t="inlineStr">
        <is>
          <t xml:space="preserve"> </t>
        </is>
      </c>
      <c r="Q21" s="99" t="inlineStr">
        <is>
          <t xml:space="preserve"> </t>
        </is>
      </c>
      <c r="R21" s="100" t="inlineStr">
        <is>
          <t xml:space="preserve"> </t>
        </is>
      </c>
      <c r="S21" t="inlineStr">
        <is>
          <t>No se encontró ejecución en CUIPO</t>
        </is>
      </c>
      <c r="T21" s="101">
        <v>36115000</v>
      </c>
      <c r="U21" s="101">
        <v>24115000</v>
      </c>
      <c r="V21" s="101">
        <v>24115000</v>
      </c>
      <c r="W21" s="102" t="inlineStr">
        <is>
          <t xml:space="preserve"> </t>
        </is>
      </c>
      <c r="X21" t="inlineStr">
        <is>
          <t>Se ejecutó un producto no programado en la vigencia</t>
        </is>
      </c>
    </row>
    <row r="22">
      <c r="A22" t="inlineStr">
        <is>
          <t>IP-19</t>
        </is>
      </c>
      <c r="B22" t="inlineStr">
        <is>
          <t>22</t>
        </is>
      </c>
      <c r="C22" t="inlineStr">
        <is>
          <t>Educación</t>
        </is>
      </c>
      <c r="D22" t="inlineStr">
        <is>
          <t>2201</t>
        </is>
      </c>
      <c r="E22" t="inlineStr">
        <is>
          <t>Calidad, cobertura y fortalecimiento de la educación inicial, prescolar, básica y media</t>
        </is>
      </c>
      <c r="F22" t="inlineStr">
        <is>
          <t>2201067</t>
        </is>
      </c>
      <c r="G22" t="inlineStr">
        <is>
          <t>Servicio de apoyo para el fortalecimiento de escuelas de padres</t>
        </is>
      </c>
      <c r="H22" t="inlineStr">
        <is>
          <t>Incluye las diferentes estrategias desarrolladas para fortalecer la conformación y la participación activa de las escuelas de padres.</t>
        </is>
      </c>
      <c r="I22" t="inlineStr">
        <is>
          <t>2024257580062</t>
        </is>
      </c>
      <c r="J22" s="99">
        <v>185640000</v>
      </c>
      <c r="K22" s="99">
        <v>40000000</v>
      </c>
      <c r="L22" s="99">
        <v>44000000</v>
      </c>
      <c r="M22" s="99">
        <v>48400000</v>
      </c>
      <c r="N22" s="99">
        <v>53240000</v>
      </c>
      <c r="O22" s="99" t="inlineStr">
        <is>
          <t xml:space="preserve"> </t>
        </is>
      </c>
      <c r="P22" s="99" t="inlineStr">
        <is>
          <t xml:space="preserve"> </t>
        </is>
      </c>
      <c r="Q22" s="99" t="inlineStr">
        <is>
          <t xml:space="preserve"> </t>
        </is>
      </c>
      <c r="R22" s="100" t="inlineStr">
        <is>
          <t xml:space="preserve"> </t>
        </is>
      </c>
      <c r="S22" t="inlineStr">
        <is>
          <t>No se encontró ejecución en CUIPO</t>
        </is>
      </c>
      <c r="T22" s="101" t="inlineStr">
        <is>
          <t xml:space="preserve"> </t>
        </is>
      </c>
      <c r="U22" s="101" t="inlineStr">
        <is>
          <t xml:space="preserve"> </t>
        </is>
      </c>
      <c r="V22" s="101" t="inlineStr">
        <is>
          <t xml:space="preserve"> </t>
        </is>
      </c>
      <c r="W22" s="102" t="inlineStr">
        <is>
          <t xml:space="preserve"> </t>
        </is>
      </c>
      <c r="X22" t="inlineStr">
        <is>
          <t>No se encontró ejecución en CUIPO</t>
        </is>
      </c>
    </row>
    <row r="23">
      <c r="A23" t="inlineStr">
        <is>
          <t>IP-20</t>
        </is>
      </c>
      <c r="B23" t="inlineStr">
        <is>
          <t>22</t>
        </is>
      </c>
      <c r="C23" t="inlineStr">
        <is>
          <t>Educación</t>
        </is>
      </c>
      <c r="D23" t="inlineStr">
        <is>
          <t>2201</t>
        </is>
      </c>
      <c r="E23" t="inlineStr">
        <is>
          <t>Calidad, cobertura y fortalecimiento de la educación inicial, prescolar, básica y media</t>
        </is>
      </c>
      <c r="F23" t="inlineStr">
        <is>
          <t>2201081</t>
        </is>
      </c>
      <c r="G23" t="inlineStr">
        <is>
          <t>Servicio de apoyo a la atención integral para la convivencia escolar</t>
        </is>
      </c>
      <c r="H23" t="inlineStr">
        <is>
          <t>Incluye las acciones de promoción, prevención, atención y seguimiento a situaciones que afectan la convivencia escolar y el ejercicio de los derechos humanos sexuales y reproductivos  y que apoyan los procesos y procedimientos que en la materia adelantan las sedes educativas.</t>
        </is>
      </c>
      <c r="I23" t="inlineStr">
        <is>
          <t>2024257580062</t>
        </is>
      </c>
      <c r="J23" s="99">
        <v>142014600</v>
      </c>
      <c r="K23" s="99">
        <v>30600000</v>
      </c>
      <c r="L23" s="99">
        <v>33660000</v>
      </c>
      <c r="M23" s="99">
        <v>37026000</v>
      </c>
      <c r="N23" s="99">
        <v>40728600</v>
      </c>
      <c r="O23" s="99" t="inlineStr">
        <is>
          <t xml:space="preserve"> </t>
        </is>
      </c>
      <c r="P23" s="99" t="inlineStr">
        <is>
          <t xml:space="preserve"> </t>
        </is>
      </c>
      <c r="Q23" s="99" t="inlineStr">
        <is>
          <t xml:space="preserve"> </t>
        </is>
      </c>
      <c r="R23" s="100" t="inlineStr">
        <is>
          <t xml:space="preserve"> </t>
        </is>
      </c>
      <c r="S23" t="inlineStr">
        <is>
          <t>No se encontró ejecución en CUIPO</t>
        </is>
      </c>
      <c r="T23" s="101">
        <v>10567000</v>
      </c>
      <c r="U23" s="101">
        <v>5683120</v>
      </c>
      <c r="V23" s="101">
        <v>5683120</v>
      </c>
      <c r="W23" s="102">
        <v>0.168838978015449</v>
      </c>
      <c r="X23" t="inlineStr">
        <is>
          <t>Lo obligado está por debajo de lo programado en la vigencia</t>
        </is>
      </c>
    </row>
    <row r="24">
      <c r="A24" t="inlineStr">
        <is>
          <t>IP-21</t>
        </is>
      </c>
      <c r="B24" t="inlineStr">
        <is>
          <t>22</t>
        </is>
      </c>
      <c r="C24" t="inlineStr">
        <is>
          <t>Educación</t>
        </is>
      </c>
      <c r="D24" t="inlineStr">
        <is>
          <t>2201</t>
        </is>
      </c>
      <c r="E24" t="inlineStr">
        <is>
          <t>Calidad, cobertura y fortalecimiento de la educación inicial, prescolar, básica y media</t>
        </is>
      </c>
      <c r="F24" t="inlineStr">
        <is>
          <t>2201074</t>
        </is>
      </c>
      <c r="G24" t="inlineStr">
        <is>
          <t>Servicio de fortalecimiento a las capacidades de los docentes de educación Inicial, preescolar, básica y media</t>
        </is>
      </c>
      <c r="H24" t="inlineStr">
        <is>
          <t>Incluye el apoyo prestado a docentes, directivos docentes y agentes educativos para la realización de estudios en los diferentes niveles educativos con el fin de que estos fortalezcan sus capacidades.</t>
        </is>
      </c>
      <c r="I24" t="inlineStr">
        <is>
          <t>2024257580062</t>
        </is>
      </c>
      <c r="J24" s="99">
        <v>50000000</v>
      </c>
      <c r="K24" s="99">
        <v>50000000</v>
      </c>
      <c r="L24" s="99">
        <v>0</v>
      </c>
      <c r="M24" s="99">
        <v>0</v>
      </c>
      <c r="N24" s="99">
        <v>0</v>
      </c>
      <c r="O24" s="99" t="inlineStr">
        <is>
          <t xml:space="preserve"> </t>
        </is>
      </c>
      <c r="P24" s="99" t="inlineStr">
        <is>
          <t xml:space="preserve"> </t>
        </is>
      </c>
      <c r="Q24" s="99" t="inlineStr">
        <is>
          <t xml:space="preserve"> </t>
        </is>
      </c>
      <c r="R24" s="100" t="inlineStr">
        <is>
          <t xml:space="preserve"> </t>
        </is>
      </c>
      <c r="S24" t="inlineStr">
        <is>
          <t>No se encontró ejecución en CUIPO</t>
        </is>
      </c>
      <c r="T24" s="101">
        <v>59515990</v>
      </c>
      <c r="U24" s="101">
        <v>53853673</v>
      </c>
      <c r="V24" s="101">
        <v>53853673</v>
      </c>
      <c r="W24" s="102" t="inlineStr">
        <is>
          <t xml:space="preserve"> </t>
        </is>
      </c>
      <c r="X24" t="inlineStr">
        <is>
          <t>Se ejecutó un producto no programado en la vigencia</t>
        </is>
      </c>
    </row>
    <row r="25">
      <c r="A25" t="inlineStr">
        <is>
          <t>IP-22</t>
        </is>
      </c>
      <c r="B25" t="inlineStr">
        <is>
          <t>22</t>
        </is>
      </c>
      <c r="C25" t="inlineStr">
        <is>
          <t>Educación</t>
        </is>
      </c>
      <c r="D25" t="inlineStr">
        <is>
          <t>2201</t>
        </is>
      </c>
      <c r="E25" t="inlineStr">
        <is>
          <t>Calidad, cobertura y fortalecimiento de la educación inicial, prescolar, básica y media</t>
        </is>
      </c>
      <c r="F25" t="inlineStr">
        <is>
          <t>2201086</t>
        </is>
      </c>
      <c r="G25" t="inlineStr">
        <is>
          <t>Servicio de atención psicosocial a estudiantes</t>
        </is>
      </c>
      <c r="H25" t="inlineStr">
        <is>
          <t>Incluye aquellos servicios que se presten  a alumnos en educación  preescolar, básica o media para mitigar, superar o prevenir daños e impactos psicológicos o emocionales.</t>
        </is>
      </c>
      <c r="I25" t="inlineStr">
        <is>
          <t>2024257580062</t>
        </is>
      </c>
      <c r="J25" s="99">
        <v>568058400</v>
      </c>
      <c r="K25" s="99">
        <v>122400000</v>
      </c>
      <c r="L25" s="99">
        <v>134640000</v>
      </c>
      <c r="M25" s="99">
        <v>148104000</v>
      </c>
      <c r="N25" s="99">
        <v>162914400</v>
      </c>
      <c r="O25" s="99" t="inlineStr">
        <is>
          <t xml:space="preserve"> </t>
        </is>
      </c>
      <c r="P25" s="99" t="inlineStr">
        <is>
          <t xml:space="preserve"> </t>
        </is>
      </c>
      <c r="Q25" s="99" t="inlineStr">
        <is>
          <t xml:space="preserve"> </t>
        </is>
      </c>
      <c r="R25" s="100" t="inlineStr">
        <is>
          <t xml:space="preserve"> </t>
        </is>
      </c>
      <c r="S25" t="inlineStr">
        <is>
          <t>No se encontró ejecución en CUIPO</t>
        </is>
      </c>
      <c r="T25" s="101">
        <v>256666647</v>
      </c>
      <c r="U25" s="101">
        <v>181296289</v>
      </c>
      <c r="V25" s="101">
        <v>181296289</v>
      </c>
      <c r="W25" s="102">
        <v>1.34652621063577</v>
      </c>
      <c r="X25" t="inlineStr">
        <is>
          <t>Hubo ejecución por encima de lo programado en SisPT</t>
        </is>
      </c>
    </row>
    <row r="26">
      <c r="A26" t="inlineStr">
        <is>
          <t>IP-23</t>
        </is>
      </c>
      <c r="B26" t="inlineStr">
        <is>
          <t>22</t>
        </is>
      </c>
      <c r="C26" t="inlineStr">
        <is>
          <t>Educación</t>
        </is>
      </c>
      <c r="D26" t="inlineStr">
        <is>
          <t>2201</t>
        </is>
      </c>
      <c r="E26" t="inlineStr">
        <is>
          <t>Calidad, cobertura y fortalecimiento de la educación inicial, prescolar, básica y media</t>
        </is>
      </c>
      <c r="F26" t="inlineStr">
        <is>
          <t>2201073</t>
        </is>
      </c>
      <c r="G26" t="inlineStr">
        <is>
          <t>Servicio de evaluación de la calidad de la educación inicial, preescolar, básica y media</t>
        </is>
      </c>
      <c r="H26" t="inlineStr">
        <is>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is>
      </c>
      <c r="I26" t="inlineStr">
        <is>
          <t>2024257580062</t>
        </is>
      </c>
      <c r="J26" s="99">
        <v>1392300000</v>
      </c>
      <c r="K26" s="99">
        <v>300000000</v>
      </c>
      <c r="L26" s="99">
        <v>330000000</v>
      </c>
      <c r="M26" s="99">
        <v>363000000</v>
      </c>
      <c r="N26" s="99">
        <v>399300000</v>
      </c>
      <c r="O26" s="99" t="inlineStr">
        <is>
          <t xml:space="preserve"> </t>
        </is>
      </c>
      <c r="P26" s="99" t="inlineStr">
        <is>
          <t xml:space="preserve"> </t>
        </is>
      </c>
      <c r="Q26" s="99" t="inlineStr">
        <is>
          <t xml:space="preserve"> </t>
        </is>
      </c>
      <c r="R26" s="100" t="inlineStr">
        <is>
          <t xml:space="preserve"> </t>
        </is>
      </c>
      <c r="S26" t="inlineStr">
        <is>
          <t>No se encontró ejecución en CUIPO</t>
        </is>
      </c>
      <c r="T26" s="101" t="inlineStr">
        <is>
          <t xml:space="preserve"> </t>
        </is>
      </c>
      <c r="U26" s="101" t="inlineStr">
        <is>
          <t xml:space="preserve"> </t>
        </is>
      </c>
      <c r="V26" s="101" t="inlineStr">
        <is>
          <t xml:space="preserve"> </t>
        </is>
      </c>
      <c r="W26" s="102" t="inlineStr">
        <is>
          <t xml:space="preserve"> </t>
        </is>
      </c>
      <c r="X26" t="inlineStr">
        <is>
          <t>No se encontró ejecución en CUIPO</t>
        </is>
      </c>
    </row>
    <row r="27">
      <c r="A27" t="inlineStr">
        <is>
          <t>IP-24</t>
        </is>
      </c>
      <c r="B27" t="inlineStr">
        <is>
          <t>22</t>
        </is>
      </c>
      <c r="C27" t="inlineStr">
        <is>
          <t>Educación</t>
        </is>
      </c>
      <c r="D27" t="inlineStr">
        <is>
          <t>2201</t>
        </is>
      </c>
      <c r="E27" t="inlineStr">
        <is>
          <t>Calidad, cobertura y fortalecimiento de la educación inicial, prescolar, básica y media</t>
        </is>
      </c>
      <c r="F27" t="inlineStr">
        <is>
          <t>2201026</t>
        </is>
      </c>
      <c r="G27" t="inlineStr">
        <is>
          <t>Servicio de acondicionamiento de ambientes de aprendizaje</t>
        </is>
      </c>
      <c r="H27" t="inlineStr">
        <is>
          <t>Incluye la disposición de material didáctico, pedagógico, tecnológico o de mobiliario en espacios estructurados para el aprendizaje significativo.</t>
        </is>
      </c>
      <c r="I27" t="inlineStr">
        <is>
          <t>2024257580062</t>
        </is>
      </c>
      <c r="J27" s="99">
        <v>218460000</v>
      </c>
      <c r="K27" s="99">
        <v>0</v>
      </c>
      <c r="L27" s="99">
        <v>66000000</v>
      </c>
      <c r="M27" s="99">
        <v>72600000</v>
      </c>
      <c r="N27" s="99">
        <v>79860000</v>
      </c>
      <c r="O27" s="99" t="inlineStr">
        <is>
          <t xml:space="preserve"> </t>
        </is>
      </c>
      <c r="P27" s="99" t="inlineStr">
        <is>
          <t xml:space="preserve"> </t>
        </is>
      </c>
      <c r="Q27" s="99" t="inlineStr">
        <is>
          <t xml:space="preserve"> </t>
        </is>
      </c>
      <c r="R27" s="100" t="inlineStr">
        <is>
          <t xml:space="preserve"> </t>
        </is>
      </c>
      <c r="S27" t="inlineStr">
        <is>
          <t>No se encontró ejecución en CUIPO</t>
        </is>
      </c>
      <c r="T27" s="101">
        <v>15865338</v>
      </c>
      <c r="U27" s="101">
        <v>11340410</v>
      </c>
      <c r="V27" s="101">
        <v>11340410</v>
      </c>
      <c r="W27" s="102">
        <v>0.171824393939394</v>
      </c>
      <c r="X27" t="inlineStr">
        <is>
          <t>Lo obligado está por debajo de lo programado en la vigencia</t>
        </is>
      </c>
    </row>
    <row r="28">
      <c r="A28" t="inlineStr">
        <is>
          <t>IP-25</t>
        </is>
      </c>
      <c r="B28" t="inlineStr">
        <is>
          <t>22</t>
        </is>
      </c>
      <c r="C28" t="inlineStr">
        <is>
          <t>Educación</t>
        </is>
      </c>
      <c r="D28" t="inlineStr">
        <is>
          <t>2202</t>
        </is>
      </c>
      <c r="E28" t="inlineStr">
        <is>
          <t>Calidad y fomento de la educación superior</t>
        </is>
      </c>
      <c r="F28" t="inlineStr">
        <is>
          <t>2202067</t>
        </is>
      </c>
      <c r="G28" t="inlineStr">
        <is>
          <t>Servicio de articulación entre la educación superior  y el sector productivo.</t>
        </is>
      </c>
      <c r="H28" t="inlineStr">
        <is>
          <t>Incluye el desarrollo de estrategias que vinculen la educación superior y/ con el sector productivo, que promuevan la pertinencia en la educación</t>
        </is>
      </c>
      <c r="I28" t="inlineStr">
        <is>
          <t>2024257580062</t>
        </is>
      </c>
      <c r="J28" s="99">
        <v>0</v>
      </c>
      <c r="K28" s="99">
        <v>0</v>
      </c>
      <c r="L28" s="99">
        <v>0</v>
      </c>
      <c r="M28" s="99">
        <v>0</v>
      </c>
      <c r="N28" s="99">
        <v>0</v>
      </c>
      <c r="O28" s="99" t="inlineStr">
        <is>
          <t xml:space="preserve"> </t>
        </is>
      </c>
      <c r="P28" s="99" t="inlineStr">
        <is>
          <t xml:space="preserve"> </t>
        </is>
      </c>
      <c r="Q28" s="99" t="inlineStr">
        <is>
          <t xml:space="preserve"> </t>
        </is>
      </c>
      <c r="R28" s="100" t="inlineStr">
        <is>
          <t xml:space="preserve"> </t>
        </is>
      </c>
      <c r="S28" t="inlineStr">
        <is>
          <t>No se encontró ejecución en CUIPO</t>
        </is>
      </c>
      <c r="T28" s="101" t="inlineStr">
        <is>
          <t xml:space="preserve"> </t>
        </is>
      </c>
      <c r="U28" s="101" t="inlineStr">
        <is>
          <t xml:space="preserve"> </t>
        </is>
      </c>
      <c r="V28" s="101" t="inlineStr">
        <is>
          <t xml:space="preserve"> </t>
        </is>
      </c>
      <c r="W28" s="102" t="inlineStr">
        <is>
          <t xml:space="preserve"> </t>
        </is>
      </c>
      <c r="X28" t="inlineStr">
        <is>
          <t>No se encontró ejecución en CUIPO</t>
        </is>
      </c>
    </row>
    <row r="29">
      <c r="A29" t="inlineStr">
        <is>
          <t>IP-27</t>
        </is>
      </c>
      <c r="B29" t="inlineStr">
        <is>
          <t>22</t>
        </is>
      </c>
      <c r="C29" t="inlineStr">
        <is>
          <t>Educación</t>
        </is>
      </c>
      <c r="D29" t="inlineStr">
        <is>
          <t>2201</t>
        </is>
      </c>
      <c r="E29" t="inlineStr">
        <is>
          <t>Calidad, cobertura y fortalecimiento de la educación inicial, prescolar, básica y media</t>
        </is>
      </c>
      <c r="F29" t="inlineStr">
        <is>
          <t>2201033</t>
        </is>
      </c>
      <c r="G29" t="inlineStr">
        <is>
          <t>Servicio de fomento para la permanencia en programas de educación formal</t>
        </is>
      </c>
      <c r="H29" t="inlineStr">
        <is>
          <t>Incluye la implementación de estrategias para fortalecer las acciones de retención estudiantil de la población vulnerable escolarizada en el sistema educativo</t>
        </is>
      </c>
      <c r="I29" t="inlineStr">
        <is>
          <t>2024257580010</t>
        </is>
      </c>
      <c r="J29" s="99">
        <v>185640000</v>
      </c>
      <c r="K29" s="99">
        <v>40000000</v>
      </c>
      <c r="L29" s="99">
        <v>44000000</v>
      </c>
      <c r="M29" s="99">
        <v>48400000</v>
      </c>
      <c r="N29" s="99">
        <v>53240000</v>
      </c>
      <c r="O29" s="99">
        <v>353568160</v>
      </c>
      <c r="P29" s="99">
        <v>353568160</v>
      </c>
      <c r="Q29" s="99">
        <v>353568160</v>
      </c>
      <c r="R29" s="100">
        <v>8.839204</v>
      </c>
      <c r="S29" t="inlineStr">
        <is>
          <t>Hubo ejecución por encima de lo programado en SisPT</t>
        </is>
      </c>
      <c r="T29" s="101">
        <v>6067000</v>
      </c>
      <c r="U29" s="101">
        <v>5433120</v>
      </c>
      <c r="V29" s="101">
        <v>5433120</v>
      </c>
      <c r="W29" s="102">
        <v>0.12348</v>
      </c>
      <c r="X29" t="inlineStr">
        <is>
          <t>Lo obligado está por debajo de lo programado en la vigencia</t>
        </is>
      </c>
    </row>
    <row r="30">
      <c r="A30" t="inlineStr">
        <is>
          <t>IP-28</t>
        </is>
      </c>
      <c r="B30" t="inlineStr">
        <is>
          <t>22</t>
        </is>
      </c>
      <c r="C30" t="inlineStr">
        <is>
          <t>Educación</t>
        </is>
      </c>
      <c r="D30" t="inlineStr">
        <is>
          <t>2201</t>
        </is>
      </c>
      <c r="E30" t="inlineStr">
        <is>
          <t>Calidad, cobertura y fortalecimiento de la educación inicial, prescolar, básica y media</t>
        </is>
      </c>
      <c r="F30" t="inlineStr">
        <is>
          <t>2201028</t>
        </is>
      </c>
      <c r="G30" t="inlineStr">
        <is>
          <t>Servicio de apoyo a la permanencia con alimentación escolar</t>
        </is>
      </c>
      <c r="H30" t="inlineStr">
        <is>
          <t>Incluye la implementación de estrategias de alimentación escolar para fortalecer las acciones de retención estudiantil.</t>
        </is>
      </c>
      <c r="I30" t="inlineStr">
        <is>
          <t>2024257580010</t>
        </is>
      </c>
      <c r="J30" s="99">
        <v>2317090000</v>
      </c>
      <c r="K30" s="99">
        <v>533000000</v>
      </c>
      <c r="L30" s="99">
        <v>539000000</v>
      </c>
      <c r="M30" s="99">
        <v>592900000</v>
      </c>
      <c r="N30" s="99">
        <v>652190000</v>
      </c>
      <c r="O30" s="99" t="inlineStr">
        <is>
          <t xml:space="preserve"> </t>
        </is>
      </c>
      <c r="P30" s="99" t="inlineStr">
        <is>
          <t xml:space="preserve"> </t>
        </is>
      </c>
      <c r="Q30" s="99" t="inlineStr">
        <is>
          <t xml:space="preserve"> </t>
        </is>
      </c>
      <c r="R30" s="100" t="inlineStr">
        <is>
          <t xml:space="preserve"> </t>
        </is>
      </c>
      <c r="S30" t="inlineStr">
        <is>
          <t>No se encontró ejecución en CUIPO</t>
        </is>
      </c>
      <c r="T30" s="101">
        <v>97538481</v>
      </c>
      <c r="U30" s="101">
        <v>90638481</v>
      </c>
      <c r="V30" s="101">
        <v>90638481</v>
      </c>
      <c r="W30" s="102">
        <v>0.168160447124304</v>
      </c>
      <c r="X30" t="inlineStr">
        <is>
          <t>Lo obligado está por debajo de lo programado en la vigencia</t>
        </is>
      </c>
    </row>
    <row r="31">
      <c r="A31" t="inlineStr">
        <is>
          <t>IP-29</t>
        </is>
      </c>
      <c r="B31" t="inlineStr">
        <is>
          <t>22</t>
        </is>
      </c>
      <c r="C31" t="inlineStr">
        <is>
          <t>Educación</t>
        </is>
      </c>
      <c r="D31" t="inlineStr">
        <is>
          <t>2201</t>
        </is>
      </c>
      <c r="E31" t="inlineStr">
        <is>
          <t>Calidad, cobertura y fortalecimiento de la educación inicial, prescolar, básica y media</t>
        </is>
      </c>
      <c r="F31" t="inlineStr">
        <is>
          <t>2201029</t>
        </is>
      </c>
      <c r="G31" t="inlineStr">
        <is>
          <t>Servicio de apoyo a la permanencia con transporte escolar</t>
        </is>
      </c>
      <c r="H31" t="inlineStr">
        <is>
          <t>Incluye la implementación de estrategias de transporte escolar para fortalecer las acciones de retención estudiantil</t>
        </is>
      </c>
      <c r="I31" t="inlineStr">
        <is>
          <t>2024257580010</t>
        </is>
      </c>
      <c r="J31" s="99">
        <v>12842847681</v>
      </c>
      <c r="K31" s="99">
        <v>2000000000</v>
      </c>
      <c r="L31" s="99">
        <v>2200000000</v>
      </c>
      <c r="M31" s="99">
        <v>4196970779</v>
      </c>
      <c r="N31" s="99">
        <v>4445876902</v>
      </c>
      <c r="O31" s="99">
        <v>1022016958</v>
      </c>
      <c r="P31" s="99">
        <v>1022016958</v>
      </c>
      <c r="Q31" s="99">
        <v>1014721838</v>
      </c>
      <c r="R31" s="100">
        <v>0.511008479</v>
      </c>
      <c r="S31" t="inlineStr">
        <is>
          <t>Lo obligado está por debajo de lo programado en la vigencia</t>
        </is>
      </c>
      <c r="T31" s="101">
        <v>3114493303</v>
      </c>
      <c r="U31" s="101">
        <v>2347848554</v>
      </c>
      <c r="V31" s="101">
        <v>2347848554</v>
      </c>
      <c r="W31" s="102">
        <v>1.06720388818182</v>
      </c>
      <c r="X31" t="inlineStr">
        <is>
          <t>Hubo ejecución por encima de lo programado en SisPT</t>
        </is>
      </c>
    </row>
    <row r="32">
      <c r="A32" t="inlineStr">
        <is>
          <t>IP-30</t>
        </is>
      </c>
      <c r="B32" t="inlineStr">
        <is>
          <t>22</t>
        </is>
      </c>
      <c r="C32" t="inlineStr">
        <is>
          <t>Educación</t>
        </is>
      </c>
      <c r="D32" t="inlineStr">
        <is>
          <t>2201</t>
        </is>
      </c>
      <c r="E32" t="inlineStr">
        <is>
          <t>Calidad, cobertura y fortalecimiento de la educación inicial, prescolar, básica y media</t>
        </is>
      </c>
      <c r="F32" t="inlineStr">
        <is>
          <t>2201033</t>
        </is>
      </c>
      <c r="G32" t="inlineStr">
        <is>
          <t>Servicio de fomento para la permanencia en programas de educación formal</t>
        </is>
      </c>
      <c r="H32" t="inlineStr">
        <is>
          <t>Incluye la implementación de estrategias para fortalecer las acciones de retención estudiantil de la población vulnerable escolarizada en el sistema educativo</t>
        </is>
      </c>
      <c r="I32" t="inlineStr">
        <is>
          <t>2024257580050</t>
        </is>
      </c>
      <c r="J32" s="99">
        <v>761124000</v>
      </c>
      <c r="K32" s="99">
        <v>164000000</v>
      </c>
      <c r="L32" s="99">
        <v>180400000</v>
      </c>
      <c r="M32" s="99">
        <v>198440000</v>
      </c>
      <c r="N32" s="99">
        <v>218284000</v>
      </c>
      <c r="O32" s="99">
        <v>9960000</v>
      </c>
      <c r="P32" s="99">
        <v>9960000</v>
      </c>
      <c r="Q32" s="99">
        <v>9960000</v>
      </c>
      <c r="R32" s="100">
        <v>0.0607317073170732</v>
      </c>
      <c r="S32" t="inlineStr">
        <is>
          <t>Lo obligado está por debajo de lo programado en la vigencia</t>
        </is>
      </c>
      <c r="T32" s="101">
        <v>277510650</v>
      </c>
      <c r="U32" s="101">
        <v>191289452</v>
      </c>
      <c r="V32" s="101">
        <v>191289452</v>
      </c>
      <c r="W32" s="102">
        <v>1.06036281596452</v>
      </c>
      <c r="X32" t="inlineStr">
        <is>
          <t>Hubo ejecución por encima de lo programado en SisPT</t>
        </is>
      </c>
    </row>
    <row r="33">
      <c r="A33" t="inlineStr">
        <is>
          <t>IP-31</t>
        </is>
      </c>
      <c r="B33" t="inlineStr">
        <is>
          <t>22</t>
        </is>
      </c>
      <c r="C33" t="inlineStr">
        <is>
          <t>Educación</t>
        </is>
      </c>
      <c r="D33" t="inlineStr">
        <is>
          <t>2201</t>
        </is>
      </c>
      <c r="E33" t="inlineStr">
        <is>
          <t>Calidad, cobertura y fortalecimiento de la educación inicial, prescolar, básica y media</t>
        </is>
      </c>
      <c r="F33" t="inlineStr">
        <is>
          <t>2201032</t>
        </is>
      </c>
      <c r="G33" t="inlineStr">
        <is>
          <t>Servicio de alfabetización</t>
        </is>
      </c>
      <c r="H33" t="inlineStr">
        <is>
          <t>Procesos de formación encaminados a la enseñanza de la lectura y la escritura a población joven y adulta iletrada</t>
        </is>
      </c>
      <c r="I33" t="inlineStr">
        <is>
          <t>2024257580067</t>
        </is>
      </c>
      <c r="J33" s="99">
        <v>696150000</v>
      </c>
      <c r="K33" s="99">
        <v>150000000</v>
      </c>
      <c r="L33" s="99">
        <v>165000000</v>
      </c>
      <c r="M33" s="99">
        <v>181500000</v>
      </c>
      <c r="N33" s="99">
        <v>199650000</v>
      </c>
      <c r="O33" s="99" t="inlineStr">
        <is>
          <t xml:space="preserve"> </t>
        </is>
      </c>
      <c r="P33" s="99" t="inlineStr">
        <is>
          <t xml:space="preserve"> </t>
        </is>
      </c>
      <c r="Q33" s="99" t="inlineStr">
        <is>
          <t xml:space="preserve"> </t>
        </is>
      </c>
      <c r="R33" s="100" t="inlineStr">
        <is>
          <t xml:space="preserve"> </t>
        </is>
      </c>
      <c r="S33" t="inlineStr">
        <is>
          <t>No se encontró ejecución en CUIPO</t>
        </is>
      </c>
      <c r="T33" s="101">
        <v>94342650</v>
      </c>
      <c r="U33" s="101">
        <v>62395309</v>
      </c>
      <c r="V33" s="101">
        <v>62395309</v>
      </c>
      <c r="W33" s="102">
        <v>0.378153387878788</v>
      </c>
      <c r="X33" t="inlineStr">
        <is>
          <t>Lo obligado está por debajo de lo programado en la vigencia</t>
        </is>
      </c>
    </row>
    <row r="34">
      <c r="A34" t="inlineStr">
        <is>
          <t>IP-32</t>
        </is>
      </c>
      <c r="B34" t="inlineStr">
        <is>
          <t>22</t>
        </is>
      </c>
      <c r="C34" t="inlineStr">
        <is>
          <t>Educación</t>
        </is>
      </c>
      <c r="D34" t="inlineStr">
        <is>
          <t>2201</t>
        </is>
      </c>
      <c r="E34" t="inlineStr">
        <is>
          <t>Calidad, cobertura y fortalecimiento de la educación inicial, prescolar, básica y media</t>
        </is>
      </c>
      <c r="F34" t="inlineStr">
        <is>
          <t>2201002</t>
        </is>
      </c>
      <c r="G34" t="inlineStr">
        <is>
          <t>Servicio de divulgación para la educación inicial, preescolar, básica y media</t>
        </is>
      </c>
      <c r="H34" t="inlineStr">
        <is>
          <t>Incluye la realización de todo tipo de campañas informativas que busquen socializar lineamientos de la política educativa en todos los temas que esta contempla.</t>
        </is>
      </c>
      <c r="I34" t="inlineStr">
        <is>
          <t>2024257580067</t>
        </is>
      </c>
      <c r="J34" s="99">
        <v>0</v>
      </c>
      <c r="K34" s="99">
        <v>0</v>
      </c>
      <c r="L34" s="99">
        <v>0</v>
      </c>
      <c r="M34" s="99">
        <v>0</v>
      </c>
      <c r="N34" s="99">
        <v>0</v>
      </c>
      <c r="O34" s="99" t="inlineStr">
        <is>
          <t xml:space="preserve"> </t>
        </is>
      </c>
      <c r="P34" s="99" t="inlineStr">
        <is>
          <t xml:space="preserve"> </t>
        </is>
      </c>
      <c r="Q34" s="99" t="inlineStr">
        <is>
          <t xml:space="preserve"> </t>
        </is>
      </c>
      <c r="R34" s="100" t="inlineStr">
        <is>
          <t xml:space="preserve"> </t>
        </is>
      </c>
      <c r="S34" t="inlineStr">
        <is>
          <t>No se encontró ejecución en CUIPO</t>
        </is>
      </c>
      <c r="T34" s="101" t="inlineStr">
        <is>
          <t xml:space="preserve"> </t>
        </is>
      </c>
      <c r="U34" s="101" t="inlineStr">
        <is>
          <t xml:space="preserve"> </t>
        </is>
      </c>
      <c r="V34" s="101" t="inlineStr">
        <is>
          <t xml:space="preserve"> </t>
        </is>
      </c>
      <c r="W34" s="102" t="inlineStr">
        <is>
          <t xml:space="preserve"> </t>
        </is>
      </c>
      <c r="X34" t="inlineStr">
        <is>
          <t>No se encontró ejecución en CUIPO</t>
        </is>
      </c>
    </row>
    <row r="35">
      <c r="A35" t="inlineStr">
        <is>
          <t>IP-33</t>
        </is>
      </c>
      <c r="B35" t="inlineStr">
        <is>
          <t>22</t>
        </is>
      </c>
      <c r="C35" t="inlineStr">
        <is>
          <t>Educación</t>
        </is>
      </c>
      <c r="D35" t="inlineStr">
        <is>
          <t>2201</t>
        </is>
      </c>
      <c r="E35" t="inlineStr">
        <is>
          <t>Calidad, cobertura y fortalecimiento de la educación inicial, prescolar, básica y media</t>
        </is>
      </c>
      <c r="F35" t="inlineStr">
        <is>
          <t>2201069</t>
        </is>
      </c>
      <c r="G35" t="inlineStr">
        <is>
          <t>Infraestructura educativa dotada</t>
        </is>
      </c>
      <c r="H35" t="inlineStr">
        <is>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is>
      </c>
      <c r="I35" t="inlineStr">
        <is>
          <t>2024257580067</t>
        </is>
      </c>
      <c r="J35" s="99">
        <v>77000000</v>
      </c>
      <c r="K35" s="99">
        <v>0</v>
      </c>
      <c r="L35" s="99">
        <v>77000000</v>
      </c>
      <c r="M35" s="99">
        <v>0</v>
      </c>
      <c r="N35" s="99">
        <v>0</v>
      </c>
      <c r="O35" s="99" t="inlineStr">
        <is>
          <t xml:space="preserve"> </t>
        </is>
      </c>
      <c r="P35" s="99" t="inlineStr">
        <is>
          <t xml:space="preserve"> </t>
        </is>
      </c>
      <c r="Q35" s="99" t="inlineStr">
        <is>
          <t xml:space="preserve"> </t>
        </is>
      </c>
      <c r="R35" s="100" t="inlineStr">
        <is>
          <t xml:space="preserve"> </t>
        </is>
      </c>
      <c r="S35" t="inlineStr">
        <is>
          <t>No se encontró ejecución en CUIPO</t>
        </is>
      </c>
      <c r="T35" s="101" t="inlineStr">
        <is>
          <t xml:space="preserve"> </t>
        </is>
      </c>
      <c r="U35" s="101" t="inlineStr">
        <is>
          <t xml:space="preserve"> </t>
        </is>
      </c>
      <c r="V35" s="101" t="inlineStr">
        <is>
          <t xml:space="preserve"> </t>
        </is>
      </c>
      <c r="W35" s="102" t="inlineStr">
        <is>
          <t xml:space="preserve"> </t>
        </is>
      </c>
      <c r="X35" t="inlineStr">
        <is>
          <t>No se encontró ejecución en CUIPO</t>
        </is>
      </c>
    </row>
    <row r="36">
      <c r="A36" t="inlineStr">
        <is>
          <t>IP-34</t>
        </is>
      </c>
      <c r="B36" t="inlineStr">
        <is>
          <t>22</t>
        </is>
      </c>
      <c r="C36" t="inlineStr">
        <is>
          <t>Educación</t>
        </is>
      </c>
      <c r="D36" t="inlineStr">
        <is>
          <t>2201</t>
        </is>
      </c>
      <c r="E36" t="inlineStr">
        <is>
          <t>Calidad, cobertura y fortalecimiento de la educación inicial, prescolar, básica y media</t>
        </is>
      </c>
      <c r="F36" t="inlineStr">
        <is>
          <t>2201031</t>
        </is>
      </c>
      <c r="G36" t="inlineStr">
        <is>
          <t>Servicio de formación por ciclos lectivos especiales integrados</t>
        </is>
      </c>
      <c r="H36" t="inlineStr">
        <is>
          <t>Incluye la implementación de unidades curriculares estructuradas, equivalentes a determinados grados de educación formal regular ; constituidos por objetivos y contenidos pertinentes, debidamente seleccionados e integrados de manera secuencial</t>
        </is>
      </c>
      <c r="I36" t="inlineStr">
        <is>
          <t>2024257580067</t>
        </is>
      </c>
      <c r="J36" s="99">
        <v>0</v>
      </c>
      <c r="K36" s="99">
        <v>0</v>
      </c>
      <c r="L36" s="99">
        <v>0</v>
      </c>
      <c r="M36" s="99">
        <v>0</v>
      </c>
      <c r="N36" s="99">
        <v>0</v>
      </c>
      <c r="O36" s="99" t="inlineStr">
        <is>
          <t xml:space="preserve"> </t>
        </is>
      </c>
      <c r="P36" s="99" t="inlineStr">
        <is>
          <t xml:space="preserve"> </t>
        </is>
      </c>
      <c r="Q36" s="99" t="inlineStr">
        <is>
          <t xml:space="preserve"> </t>
        </is>
      </c>
      <c r="R36" s="100" t="inlineStr">
        <is>
          <t xml:space="preserve"> </t>
        </is>
      </c>
      <c r="S36" t="inlineStr">
        <is>
          <t>No se encontró ejecución en CUIPO</t>
        </is>
      </c>
      <c r="T36" s="101" t="inlineStr">
        <is>
          <t xml:space="preserve"> </t>
        </is>
      </c>
      <c r="U36" s="101" t="inlineStr">
        <is>
          <t xml:space="preserve"> </t>
        </is>
      </c>
      <c r="V36" s="101" t="inlineStr">
        <is>
          <t xml:space="preserve"> </t>
        </is>
      </c>
      <c r="W36" s="102" t="inlineStr">
        <is>
          <t xml:space="preserve"> </t>
        </is>
      </c>
      <c r="X36" t="inlineStr">
        <is>
          <t>No se encontró ejecución en CUIPO</t>
        </is>
      </c>
    </row>
    <row r="37">
      <c r="A37" t="inlineStr">
        <is>
          <t>IP-35</t>
        </is>
      </c>
      <c r="B37" t="inlineStr">
        <is>
          <t>22</t>
        </is>
      </c>
      <c r="C37" t="inlineStr">
        <is>
          <t>Educación</t>
        </is>
      </c>
      <c r="D37" t="inlineStr">
        <is>
          <t>2201</t>
        </is>
      </c>
      <c r="E37" t="inlineStr">
        <is>
          <t>Calidad, cobertura y fortalecimiento de la educación inicial, prescolar, básica y media</t>
        </is>
      </c>
      <c r="F37" t="inlineStr">
        <is>
          <t>2201034</t>
        </is>
      </c>
      <c r="G37" t="inlineStr">
        <is>
          <t>Servicio educativos de promoción del bilingüismo</t>
        </is>
      </c>
      <c r="H37" t="inlineStr">
        <is>
          <t xml:space="preserve">Procesos de formación para el desarrollo de competencias en un segundo idioma </t>
        </is>
      </c>
      <c r="I37" t="inlineStr">
        <is>
          <t>2024257580067</t>
        </is>
      </c>
      <c r="J37" s="99">
        <v>213021900</v>
      </c>
      <c r="K37" s="99">
        <v>45900000</v>
      </c>
      <c r="L37" s="99">
        <v>50490000</v>
      </c>
      <c r="M37" s="99">
        <v>55539000</v>
      </c>
      <c r="N37" s="99">
        <v>61092900</v>
      </c>
      <c r="O37" s="99" t="inlineStr">
        <is>
          <t xml:space="preserve"> </t>
        </is>
      </c>
      <c r="P37" s="99" t="inlineStr">
        <is>
          <t xml:space="preserve"> </t>
        </is>
      </c>
      <c r="Q37" s="99" t="inlineStr">
        <is>
          <t xml:space="preserve"> </t>
        </is>
      </c>
      <c r="R37" s="100" t="inlineStr">
        <is>
          <t xml:space="preserve"> </t>
        </is>
      </c>
      <c r="S37" t="inlineStr">
        <is>
          <t>No se encontró ejecución en CUIPO</t>
        </is>
      </c>
      <c r="T37" s="101">
        <v>48169368</v>
      </c>
      <c r="U37" s="101">
        <v>33974313</v>
      </c>
      <c r="V37" s="101">
        <v>33974313</v>
      </c>
      <c r="W37" s="102">
        <v>0.672891919191919</v>
      </c>
      <c r="X37" t="inlineStr">
        <is>
          <t>Lo obligado está por debajo de lo programado en la vigencia</t>
        </is>
      </c>
    </row>
    <row r="38">
      <c r="A38" t="inlineStr">
        <is>
          <t>IP-36</t>
        </is>
      </c>
      <c r="B38" t="inlineStr">
        <is>
          <t>22</t>
        </is>
      </c>
      <c r="C38" t="inlineStr">
        <is>
          <t>Educación</t>
        </is>
      </c>
      <c r="D38" t="inlineStr">
        <is>
          <t>2201</t>
        </is>
      </c>
      <c r="E38" t="inlineStr">
        <is>
          <t>Calidad, cobertura y fortalecimiento de la educación inicial, prescolar, básica y media</t>
        </is>
      </c>
      <c r="F38" t="inlineStr">
        <is>
          <t>2201049</t>
        </is>
      </c>
      <c r="G38" t="inlineStr">
        <is>
          <t>Servicio de educación informal</t>
        </is>
      </c>
      <c r="H38" t="inlineStr">
        <is>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38" t="inlineStr">
        <is>
          <t>2024257580067</t>
        </is>
      </c>
      <c r="J38" s="99">
        <v>430684800</v>
      </c>
      <c r="K38" s="99">
        <v>92800000</v>
      </c>
      <c r="L38" s="99">
        <v>102080000</v>
      </c>
      <c r="M38" s="99">
        <v>112288000</v>
      </c>
      <c r="N38" s="99">
        <v>123516800</v>
      </c>
      <c r="O38" s="99" t="inlineStr">
        <is>
          <t xml:space="preserve"> </t>
        </is>
      </c>
      <c r="P38" s="99" t="inlineStr">
        <is>
          <t xml:space="preserve"> </t>
        </is>
      </c>
      <c r="Q38" s="99" t="inlineStr">
        <is>
          <t xml:space="preserve"> </t>
        </is>
      </c>
      <c r="R38" s="100" t="inlineStr">
        <is>
          <t xml:space="preserve"> </t>
        </is>
      </c>
      <c r="S38" t="inlineStr">
        <is>
          <t>No se encontró ejecución en CUIPO</t>
        </is>
      </c>
      <c r="T38" s="101">
        <v>19718084</v>
      </c>
      <c r="U38" s="101">
        <v>16613874</v>
      </c>
      <c r="V38" s="101">
        <v>16613874</v>
      </c>
      <c r="W38" s="102">
        <v>0.162753467868339</v>
      </c>
      <c r="X38" t="inlineStr">
        <is>
          <t>Lo obligado está por debajo de lo programado en la vigencia</t>
        </is>
      </c>
    </row>
    <row r="39">
      <c r="A39" t="inlineStr">
        <is>
          <t>IP-37, IP-40</t>
        </is>
      </c>
      <c r="B39" t="inlineStr">
        <is>
          <t>22</t>
        </is>
      </c>
      <c r="C39" t="inlineStr">
        <is>
          <t>Educación</t>
        </is>
      </c>
      <c r="D39" t="inlineStr">
        <is>
          <t>2202</t>
        </is>
      </c>
      <c r="E39" t="inlineStr">
        <is>
          <t>Calidad y fomento de la educación superior</t>
        </is>
      </c>
      <c r="F39" t="inlineStr">
        <is>
          <t>2202062</t>
        </is>
      </c>
      <c r="G39" t="inlineStr">
        <is>
          <t xml:space="preserve">Servicio de fomento para el acceso a la educación superior </t>
        </is>
      </c>
      <c r="H39" t="inlineStr">
        <is>
          <t xml:space="preserve">Incluye el desarrollo de estrategias diferentes a las de apoyo financiero para el acceso a educación superior
</t>
        </is>
      </c>
      <c r="I39" t="inlineStr">
        <is>
          <t>2024257580047</t>
        </is>
      </c>
      <c r="J39" s="99">
        <v>92820000</v>
      </c>
      <c r="K39" s="99">
        <v>20000000</v>
      </c>
      <c r="L39" s="99">
        <v>22000000</v>
      </c>
      <c r="M39" s="99">
        <v>24200000</v>
      </c>
      <c r="N39" s="99">
        <v>26620000</v>
      </c>
      <c r="O39" s="99">
        <v>1560000</v>
      </c>
      <c r="P39" s="99">
        <v>1560000</v>
      </c>
      <c r="Q39" s="99">
        <v>1560000</v>
      </c>
      <c r="R39" s="100">
        <v>0.078</v>
      </c>
      <c r="S39" t="inlineStr">
        <is>
          <t>Lo obligado está por debajo de lo programado en la vigencia</t>
        </is>
      </c>
      <c r="T39" s="101">
        <v>18189600</v>
      </c>
      <c r="U39" s="101">
        <v>14331200</v>
      </c>
      <c r="V39" s="101">
        <v>14331200</v>
      </c>
      <c r="W39" s="102">
        <v>0.651418181818182</v>
      </c>
      <c r="X39" t="inlineStr">
        <is>
          <t>Lo obligado está por debajo de lo programado en la vigencia</t>
        </is>
      </c>
    </row>
    <row r="40">
      <c r="A40" t="inlineStr">
        <is>
          <t>IP-38</t>
        </is>
      </c>
      <c r="B40" t="inlineStr">
        <is>
          <t>22</t>
        </is>
      </c>
      <c r="C40" t="inlineStr">
        <is>
          <t>Educación</t>
        </is>
      </c>
      <c r="D40" t="inlineStr">
        <is>
          <t>2202</t>
        </is>
      </c>
      <c r="E40" t="inlineStr">
        <is>
          <t>Calidad y fomento de la educación superior</t>
        </is>
      </c>
      <c r="F40" t="inlineStr">
        <is>
          <t>2202011</t>
        </is>
      </c>
      <c r="G40" t="inlineStr">
        <is>
          <t>Servicio de mejoramiento de la calidad de la educación para el trabajo y el desarrollo humano</t>
        </is>
      </c>
      <c r="H40" t="inlineStr">
        <is>
          <t>Incluye las acciones de mejoramiento de los programas e instituciones en sus metodologías, métodos, currículos, alianzas, entre otros que permitan el mejoramiento de la calidad</t>
        </is>
      </c>
      <c r="I40" t="inlineStr">
        <is>
          <t>2024257580047</t>
        </is>
      </c>
      <c r="J40" s="99">
        <v>0</v>
      </c>
      <c r="K40" s="99">
        <v>0</v>
      </c>
      <c r="L40" s="99">
        <v>0</v>
      </c>
      <c r="M40" s="99">
        <v>0</v>
      </c>
      <c r="N40" s="99">
        <v>0</v>
      </c>
      <c r="O40" s="99">
        <v>1170000</v>
      </c>
      <c r="P40" s="99">
        <v>1170000</v>
      </c>
      <c r="Q40" s="99">
        <v>1170000</v>
      </c>
      <c r="R40" s="100" t="inlineStr">
        <is>
          <t xml:space="preserve"> </t>
        </is>
      </c>
      <c r="S40" t="inlineStr">
        <is>
          <t>Se ejecutó un producto no programado en la vigencia</t>
        </is>
      </c>
      <c r="T40" s="101">
        <v>9094800</v>
      </c>
      <c r="U40" s="101">
        <v>8268000</v>
      </c>
      <c r="V40" s="101">
        <v>8268000</v>
      </c>
      <c r="W40" s="102" t="inlineStr">
        <is>
          <t xml:space="preserve"> </t>
        </is>
      </c>
      <c r="X40" t="inlineStr">
        <is>
          <t>Se ejecutó un producto no programado en la vigencia</t>
        </is>
      </c>
    </row>
    <row r="41">
      <c r="A41" t="inlineStr">
        <is>
          <t>IP-39</t>
        </is>
      </c>
      <c r="B41" t="inlineStr">
        <is>
          <t>22</t>
        </is>
      </c>
      <c r="C41" t="inlineStr">
        <is>
          <t>Educación</t>
        </is>
      </c>
      <c r="D41" t="inlineStr">
        <is>
          <t>2202</t>
        </is>
      </c>
      <c r="E41" t="inlineStr">
        <is>
          <t>Calidad y fomento de la educación superior</t>
        </is>
      </c>
      <c r="F41" t="inlineStr">
        <is>
          <t>2202061</t>
        </is>
      </c>
      <c r="G41" t="inlineStr">
        <is>
          <t xml:space="preserve">Servicio de apoyo financiero para la permanencia a la educación superior </t>
        </is>
      </c>
      <c r="H41" t="inlineStr">
        <is>
          <t xml:space="preserve">Incluye créditos - beca y subsidios en todas sus modalidades  para fortalecer las acciones de retención estudiantil en la educación superior </t>
        </is>
      </c>
      <c r="I41" t="inlineStr">
        <is>
          <t>2024257580047</t>
        </is>
      </c>
      <c r="J41" s="99">
        <v>2739511529</v>
      </c>
      <c r="K41" s="99">
        <v>422511529</v>
      </c>
      <c r="L41" s="99">
        <v>700000000</v>
      </c>
      <c r="M41" s="99">
        <v>770000000</v>
      </c>
      <c r="N41" s="99">
        <v>847000000</v>
      </c>
      <c r="O41" s="99">
        <v>205328497</v>
      </c>
      <c r="P41" s="99">
        <v>205328497</v>
      </c>
      <c r="Q41" s="99">
        <v>205328497</v>
      </c>
      <c r="R41" s="100">
        <v>0.485971347304939</v>
      </c>
      <c r="S41" t="inlineStr">
        <is>
          <t>Lo obligado está por debajo de lo programado en la vigencia</t>
        </is>
      </c>
      <c r="T41" s="101">
        <v>661446015</v>
      </c>
      <c r="U41" s="101">
        <v>474414676</v>
      </c>
      <c r="V41" s="101">
        <v>474414676</v>
      </c>
      <c r="W41" s="102">
        <v>0.677735251428571</v>
      </c>
      <c r="X41" t="inlineStr">
        <is>
          <t>Lo obligado está por debajo de lo programado en la vigencia</t>
        </is>
      </c>
    </row>
    <row r="42">
      <c r="A42" t="inlineStr">
        <is>
          <t>IP-41</t>
        </is>
      </c>
      <c r="B42" t="inlineStr">
        <is>
          <t>22</t>
        </is>
      </c>
      <c r="C42" t="inlineStr">
        <is>
          <t>Educación</t>
        </is>
      </c>
      <c r="D42" t="inlineStr">
        <is>
          <t>2202</t>
        </is>
      </c>
      <c r="E42" t="inlineStr">
        <is>
          <t>Calidad y fomento de la educación superior</t>
        </is>
      </c>
      <c r="F42" t="inlineStr">
        <is>
          <t>2202073</t>
        </is>
      </c>
      <c r="G42" t="inlineStr">
        <is>
          <t xml:space="preserve">Servicio de fomento para la regionalización en la educación superior </t>
        </is>
      </c>
      <c r="H42" t="inlineStr">
        <is>
          <t>Incluye el desarrollo de estrategias de regionalización para el fomento de la educación superior .</t>
        </is>
      </c>
      <c r="I42" t="inlineStr">
        <is>
          <t>2024257580047</t>
        </is>
      </c>
      <c r="J42" s="99">
        <v>696150000</v>
      </c>
      <c r="K42" s="99">
        <v>150000000</v>
      </c>
      <c r="L42" s="99">
        <v>165000000</v>
      </c>
      <c r="M42" s="99">
        <v>181500000</v>
      </c>
      <c r="N42" s="99">
        <v>199650000</v>
      </c>
      <c r="O42" s="99">
        <v>1170000</v>
      </c>
      <c r="P42" s="99">
        <v>1170000</v>
      </c>
      <c r="Q42" s="99">
        <v>1170000</v>
      </c>
      <c r="R42" s="100">
        <v>0.0078</v>
      </c>
      <c r="S42" t="inlineStr">
        <is>
          <t>Lo obligado está por debajo de lo programado en la vigencia</t>
        </is>
      </c>
      <c r="T42" s="101">
        <v>9094800</v>
      </c>
      <c r="U42" s="101">
        <v>0</v>
      </c>
      <c r="V42" s="101">
        <v>0</v>
      </c>
      <c r="W42" s="102">
        <v>0</v>
      </c>
      <c r="X42" t="inlineStr">
        <is>
          <t>No se ejecutó en la vigencia</t>
        </is>
      </c>
    </row>
    <row r="43">
      <c r="A43" t="inlineStr">
        <is>
          <t>IP-42</t>
        </is>
      </c>
      <c r="B43" t="inlineStr">
        <is>
          <t>22</t>
        </is>
      </c>
      <c r="C43" t="inlineStr">
        <is>
          <t>Educación</t>
        </is>
      </c>
      <c r="D43" t="inlineStr">
        <is>
          <t>2202</t>
        </is>
      </c>
      <c r="E43" t="inlineStr">
        <is>
          <t>Calidad y fomento de la educación superior</t>
        </is>
      </c>
      <c r="F43" t="inlineStr">
        <is>
          <t>2202080</t>
        </is>
      </c>
      <c r="G43" t="inlineStr">
        <is>
          <t>Documentos de investigación</t>
        </is>
      </c>
      <c r="H43" t="inlineStr">
        <is>
          <t xml:space="preserve">Documentos  de investigación aplicada en educación superior.
</t>
        </is>
      </c>
      <c r="I43" t="inlineStr">
        <is>
          <t>2024257580047</t>
        </is>
      </c>
      <c r="J43" s="99">
        <v>0</v>
      </c>
      <c r="K43" s="99">
        <v>0</v>
      </c>
      <c r="L43" s="99">
        <v>0</v>
      </c>
      <c r="M43" s="99">
        <v>0</v>
      </c>
      <c r="N43" s="99">
        <v>0</v>
      </c>
      <c r="O43" s="99" t="inlineStr">
        <is>
          <t xml:space="preserve"> </t>
        </is>
      </c>
      <c r="P43" s="99" t="inlineStr">
        <is>
          <t xml:space="preserve"> </t>
        </is>
      </c>
      <c r="Q43" s="99" t="inlineStr">
        <is>
          <t xml:space="preserve"> </t>
        </is>
      </c>
      <c r="R43" s="100" t="inlineStr">
        <is>
          <t xml:space="preserve"> </t>
        </is>
      </c>
      <c r="S43" t="inlineStr">
        <is>
          <t>No se encontró ejecución en CUIPO</t>
        </is>
      </c>
      <c r="T43" s="101" t="inlineStr">
        <is>
          <t xml:space="preserve"> </t>
        </is>
      </c>
      <c r="U43" s="101" t="inlineStr">
        <is>
          <t xml:space="preserve"> </t>
        </is>
      </c>
      <c r="V43" s="101" t="inlineStr">
        <is>
          <t xml:space="preserve"> </t>
        </is>
      </c>
      <c r="W43" s="102" t="inlineStr">
        <is>
          <t xml:space="preserve"> </t>
        </is>
      </c>
      <c r="X43" t="inlineStr">
        <is>
          <t>No se encontró ejecución en CUIPO</t>
        </is>
      </c>
    </row>
    <row r="44">
      <c r="A44" t="inlineStr">
        <is>
          <t>IP-43, IP-48</t>
        </is>
      </c>
      <c r="B44" t="inlineStr">
        <is>
          <t>19</t>
        </is>
      </c>
      <c r="C44" t="inlineStr">
        <is>
          <t>Salud y protección social</t>
        </is>
      </c>
      <c r="D44" t="inlineStr">
        <is>
          <t>1905</t>
        </is>
      </c>
      <c r="E44" t="inlineStr">
        <is>
          <t>Salud pública</t>
        </is>
      </c>
      <c r="F44" t="inlineStr">
        <is>
          <t>1905015</t>
        </is>
      </c>
      <c r="G44" t="inlineStr">
        <is>
          <t>Documentos de planeación</t>
        </is>
      </c>
      <c r="H44" t="inlineStr">
        <is>
          <t>Documentos cuyo objetivo es plasmar una visión de futuro a nivel país, entidad territorial, comunidad, sector, región, entidad o cualquier nivel de desagregación que se requiera. Incluye objetivos, estrategias, metas e indicadores.</t>
        </is>
      </c>
      <c r="I44" t="inlineStr">
        <is>
          <t>2024257580065</t>
        </is>
      </c>
      <c r="J44" s="99">
        <v>506340525</v>
      </c>
      <c r="K44" s="99">
        <v>109101600</v>
      </c>
      <c r="L44" s="99">
        <v>120011760</v>
      </c>
      <c r="M44" s="99">
        <v>132012936</v>
      </c>
      <c r="N44" s="99">
        <v>145214229</v>
      </c>
      <c r="O44" s="99" t="inlineStr">
        <is>
          <t xml:space="preserve"> </t>
        </is>
      </c>
      <c r="P44" s="99" t="inlineStr">
        <is>
          <t xml:space="preserve"> </t>
        </is>
      </c>
      <c r="Q44" s="99" t="inlineStr">
        <is>
          <t xml:space="preserve"> </t>
        </is>
      </c>
      <c r="R44" s="100" t="inlineStr">
        <is>
          <t xml:space="preserve"> </t>
        </is>
      </c>
      <c r="S44" t="inlineStr">
        <is>
          <t>No se encontró ejecución en CUIPO</t>
        </is>
      </c>
      <c r="T44" s="101">
        <v>122558600</v>
      </c>
      <c r="U44" s="101">
        <v>64560650</v>
      </c>
      <c r="V44" s="101">
        <v>64560650</v>
      </c>
      <c r="W44" s="102">
        <v>0.537952697302331</v>
      </c>
      <c r="X44" t="inlineStr">
        <is>
          <t>Lo obligado está por debajo de lo programado en la vigencia</t>
        </is>
      </c>
    </row>
    <row r="45">
      <c r="A45" t="inlineStr">
        <is>
          <t>IP-44</t>
        </is>
      </c>
      <c r="B45" t="inlineStr">
        <is>
          <t>19</t>
        </is>
      </c>
      <c r="C45" t="inlineStr">
        <is>
          <t>Salud y protección social</t>
        </is>
      </c>
      <c r="D45" t="inlineStr">
        <is>
          <t>1905</t>
        </is>
      </c>
      <c r="E45" t="inlineStr">
        <is>
          <t>Salud pública</t>
        </is>
      </c>
      <c r="F45" t="inlineStr">
        <is>
          <t>1905035</t>
        </is>
      </c>
      <c r="G45" t="inlineStr">
        <is>
          <t>Servicio de gestión territorial para atención en salud -pandemias- a población afectada por emergencias o desastres</t>
        </is>
      </c>
      <c r="H45" t="inlineStr">
        <is>
          <t>Corresponde a la estrategia de respuesta en materia de salud para la población afectada ante declaratoria de situaciones de emergencias o desastres. Incluye acciones de salud pública, como medidas sanitarias y la implementación de los planes de preparación y respuesta ante este riesgo . Incluyen por ejemplo, según la competencia de la Entidad territorial,  apoyo a la vigilancia,  control y seguimiento epidemiológico. Lo anterior en articulación con las demás entidades competentes del Sistema General de Seguridad Social en salud, en especial EPS e IPS.</t>
        </is>
      </c>
      <c r="I45" t="inlineStr">
        <is>
          <t>2024257580065</t>
        </is>
      </c>
      <c r="J45" s="99">
        <v>77829570</v>
      </c>
      <c r="K45" s="99">
        <v>16770000</v>
      </c>
      <c r="L45" s="99">
        <v>18447000</v>
      </c>
      <c r="M45" s="99">
        <v>20291700</v>
      </c>
      <c r="N45" s="99">
        <v>22320870</v>
      </c>
      <c r="O45" s="99" t="inlineStr">
        <is>
          <t xml:space="preserve"> </t>
        </is>
      </c>
      <c r="P45" s="99" t="inlineStr">
        <is>
          <t xml:space="preserve"> </t>
        </is>
      </c>
      <c r="Q45" s="99" t="inlineStr">
        <is>
          <t xml:space="preserve"> </t>
        </is>
      </c>
      <c r="R45" s="100" t="inlineStr">
        <is>
          <t xml:space="preserve"> </t>
        </is>
      </c>
      <c r="S45" t="inlineStr">
        <is>
          <t>No se encontró ejecución en CUIPO</t>
        </is>
      </c>
      <c r="T45" s="101">
        <v>20170280</v>
      </c>
      <c r="U45" s="101">
        <v>16745400</v>
      </c>
      <c r="V45" s="101">
        <v>16745400</v>
      </c>
      <c r="W45" s="102">
        <v>0.90775735892015</v>
      </c>
      <c r="X45" t="inlineStr">
        <is>
          <t>Lo obligado está por debajo de lo programado en la vigencia</t>
        </is>
      </c>
    </row>
    <row r="46">
      <c r="A46" t="inlineStr">
        <is>
          <t>IP-45</t>
        </is>
      </c>
      <c r="B46" t="inlineStr">
        <is>
          <t>19</t>
        </is>
      </c>
      <c r="C46" t="inlineStr">
        <is>
          <t>Salud y protección social</t>
        </is>
      </c>
      <c r="D46" t="inlineStr">
        <is>
          <t>1905</t>
        </is>
      </c>
      <c r="E46" t="inlineStr">
        <is>
          <t>Salud pública</t>
        </is>
      </c>
      <c r="F46" t="inlineStr">
        <is>
          <t>1905050</t>
        </is>
      </c>
      <c r="G46" t="inlineStr">
        <is>
          <t>Servicio de asistencia técnica</t>
        </is>
      </c>
      <c r="H46" t="inlineStr">
        <is>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is>
      </c>
      <c r="I46" t="inlineStr">
        <is>
          <t>2024257580065</t>
        </is>
      </c>
      <c r="J46" s="99">
        <v>646740058</v>
      </c>
      <c r="K46" s="99">
        <v>139353600</v>
      </c>
      <c r="L46" s="99">
        <v>153288960</v>
      </c>
      <c r="M46" s="99">
        <v>168617856</v>
      </c>
      <c r="N46" s="99">
        <v>185479642</v>
      </c>
      <c r="O46" s="99" t="inlineStr">
        <is>
          <t xml:space="preserve"> </t>
        </is>
      </c>
      <c r="P46" s="99" t="inlineStr">
        <is>
          <t xml:space="preserve"> </t>
        </is>
      </c>
      <c r="Q46" s="99" t="inlineStr">
        <is>
          <t xml:space="preserve"> </t>
        </is>
      </c>
      <c r="R46" s="100" t="inlineStr">
        <is>
          <t xml:space="preserve"> </t>
        </is>
      </c>
      <c r="S46" t="inlineStr">
        <is>
          <t>No se encontró ejecución en CUIPO</t>
        </is>
      </c>
      <c r="T46" s="101">
        <v>197728000</v>
      </c>
      <c r="U46" s="101">
        <v>140062657</v>
      </c>
      <c r="V46" s="101">
        <v>140062657</v>
      </c>
      <c r="W46" s="102">
        <v>0.913716532488706</v>
      </c>
      <c r="X46" t="inlineStr">
        <is>
          <t>Lo obligado está por debajo de lo programado en la vigencia</t>
        </is>
      </c>
    </row>
    <row r="47">
      <c r="A47" t="inlineStr">
        <is>
          <t>IP-46, IP-47</t>
        </is>
      </c>
      <c r="B47" t="inlineStr">
        <is>
          <t>19</t>
        </is>
      </c>
      <c r="C47" t="inlineStr">
        <is>
          <t>Salud y protección social</t>
        </is>
      </c>
      <c r="D47" t="inlineStr">
        <is>
          <t>1905</t>
        </is>
      </c>
      <c r="E47" t="inlineStr">
        <is>
          <t>Salud pública</t>
        </is>
      </c>
      <c r="F47" t="inlineStr">
        <is>
          <t>1905054</t>
        </is>
      </c>
      <c r="G47" t="inlineStr">
        <is>
          <t>Servicio de promoción de la salud</t>
        </is>
      </c>
      <c r="H47" t="inlineStr">
        <is>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is>
      </c>
      <c r="I47" t="inlineStr">
        <is>
          <t>2024257580065</t>
        </is>
      </c>
      <c r="J47" s="99">
        <v>936788217</v>
      </c>
      <c r="K47" s="99">
        <v>201850725</v>
      </c>
      <c r="L47" s="99">
        <v>222035798</v>
      </c>
      <c r="M47" s="99">
        <v>244239378</v>
      </c>
      <c r="N47" s="99">
        <v>268662316</v>
      </c>
      <c r="O47" s="99">
        <v>14214250</v>
      </c>
      <c r="P47" s="99">
        <v>14214250</v>
      </c>
      <c r="Q47" s="99">
        <v>14214250</v>
      </c>
      <c r="R47" s="100">
        <v>0.0704196133058229</v>
      </c>
      <c r="S47" t="inlineStr">
        <is>
          <t>Lo obligado está por debajo de lo programado en la vigencia</t>
        </is>
      </c>
      <c r="T47" s="101">
        <v>98453175</v>
      </c>
      <c r="U47" s="101">
        <v>65068555</v>
      </c>
      <c r="V47" s="101">
        <v>65068555</v>
      </c>
      <c r="W47" s="102">
        <v>0.293054343426189</v>
      </c>
      <c r="X47" t="inlineStr">
        <is>
          <t>Lo obligado está por debajo de lo programado en la vigencia</t>
        </is>
      </c>
    </row>
    <row r="48">
      <c r="A48" t="inlineStr">
        <is>
          <t>IP-49</t>
        </is>
      </c>
      <c r="B48" t="inlineStr">
        <is>
          <t>19</t>
        </is>
      </c>
      <c r="C48" t="inlineStr">
        <is>
          <t>Salud y protección social</t>
        </is>
      </c>
      <c r="D48" t="inlineStr">
        <is>
          <t>1905</t>
        </is>
      </c>
      <c r="E48" t="inlineStr">
        <is>
          <t>Salud pública</t>
        </is>
      </c>
      <c r="F48" t="inlineStr">
        <is>
          <t>1905021</t>
        </is>
      </c>
      <c r="G48" t="inlineStr">
        <is>
          <t>Servicio de gestión del riesgo en temas de salud sexual y reproductiva</t>
        </is>
      </c>
      <c r="H48" t="inlineStr">
        <is>
          <t>Corresponde a las acciones relacionadas con la prevención y mitigación de riesgos que afectan la salud sexual y reproductiva de las personas en el curso de su vida desde un enfoque de derechos.</t>
        </is>
      </c>
      <c r="I48" t="inlineStr">
        <is>
          <t>2024257580065</t>
        </is>
      </c>
      <c r="J48" s="99">
        <v>410064837</v>
      </c>
      <c r="K48" s="99">
        <v>88357000</v>
      </c>
      <c r="L48" s="99">
        <v>97192700</v>
      </c>
      <c r="M48" s="99">
        <v>106911970</v>
      </c>
      <c r="N48" s="99">
        <v>117603167</v>
      </c>
      <c r="O48" s="99" t="inlineStr">
        <is>
          <t xml:space="preserve"> </t>
        </is>
      </c>
      <c r="P48" s="99" t="inlineStr">
        <is>
          <t xml:space="preserve"> </t>
        </is>
      </c>
      <c r="Q48" s="99" t="inlineStr">
        <is>
          <t xml:space="preserve"> </t>
        </is>
      </c>
      <c r="R48" s="100" t="inlineStr">
        <is>
          <t xml:space="preserve"> </t>
        </is>
      </c>
      <c r="S48" t="inlineStr">
        <is>
          <t>No se encontró ejecución en CUIPO</t>
        </is>
      </c>
      <c r="T48" s="101">
        <v>129746561</v>
      </c>
      <c r="U48" s="101">
        <v>86859475</v>
      </c>
      <c r="V48" s="101">
        <v>86859475</v>
      </c>
      <c r="W48" s="102">
        <v>0.893683116118803</v>
      </c>
      <c r="X48" t="inlineStr">
        <is>
          <t>Lo obligado está por debajo de lo programado en la vigencia</t>
        </is>
      </c>
    </row>
    <row r="49">
      <c r="A49" t="inlineStr">
        <is>
          <t>IP-50</t>
        </is>
      </c>
      <c r="B49" t="inlineStr">
        <is>
          <t>19</t>
        </is>
      </c>
      <c r="C49" t="inlineStr">
        <is>
          <t>Salud y protección social</t>
        </is>
      </c>
      <c r="D49" t="inlineStr">
        <is>
          <t>1905</t>
        </is>
      </c>
      <c r="E49" t="inlineStr">
        <is>
          <t>Salud pública</t>
        </is>
      </c>
      <c r="F49" t="inlineStr">
        <is>
          <t>1905027</t>
        </is>
      </c>
      <c r="G49" t="inlineStr">
        <is>
          <t>Servicio de gestión del riesgo para enfermedades inmunoprevenibles</t>
        </is>
      </c>
      <c r="H49" t="inlineStr">
        <is>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is>
      </c>
      <c r="I49" t="inlineStr">
        <is>
          <t>2024257580065</t>
        </is>
      </c>
      <c r="J49" s="99">
        <v>245881859</v>
      </c>
      <c r="K49" s="99">
        <v>52883400</v>
      </c>
      <c r="L49" s="99">
        <v>58171740</v>
      </c>
      <c r="M49" s="99">
        <v>63988914</v>
      </c>
      <c r="N49" s="99">
        <v>70837805</v>
      </c>
      <c r="O49" s="99" t="inlineStr">
        <is>
          <t xml:space="preserve"> </t>
        </is>
      </c>
      <c r="P49" s="99" t="inlineStr">
        <is>
          <t xml:space="preserve"> </t>
        </is>
      </c>
      <c r="Q49" s="99" t="inlineStr">
        <is>
          <t xml:space="preserve"> </t>
        </is>
      </c>
      <c r="R49" s="100" t="inlineStr">
        <is>
          <t xml:space="preserve"> </t>
        </is>
      </c>
      <c r="S49" t="inlineStr">
        <is>
          <t>No se encontró ejecución en CUIPO</t>
        </is>
      </c>
      <c r="T49" s="101">
        <v>122413000</v>
      </c>
      <c r="U49" s="101">
        <v>20338611</v>
      </c>
      <c r="V49" s="101">
        <v>20338611</v>
      </c>
      <c r="W49" s="102">
        <v>0.349630439110125</v>
      </c>
      <c r="X49" t="inlineStr">
        <is>
          <t>Lo obligado está por debajo de lo programado en la vigencia</t>
        </is>
      </c>
    </row>
    <row r="50">
      <c r="A50" t="inlineStr">
        <is>
          <t>IP-51</t>
        </is>
      </c>
      <c r="B50" t="inlineStr">
        <is>
          <t>19</t>
        </is>
      </c>
      <c r="C50" t="inlineStr">
        <is>
          <t>Salud y protección social</t>
        </is>
      </c>
      <c r="D50" t="inlineStr">
        <is>
          <t>1905</t>
        </is>
      </c>
      <c r="E50" t="inlineStr">
        <is>
          <t>Salud pública</t>
        </is>
      </c>
      <c r="F50" t="inlineStr">
        <is>
          <t>1905022</t>
        </is>
      </c>
      <c r="G50" t="inlineStr">
        <is>
          <t>Servicio de gestión del riesgo en temas de trastornos mentales</t>
        </is>
      </c>
      <c r="H50" t="inlineStr">
        <is>
          <t>Incluye acciones de prevención de los trastornos mentales asociados a factores sociales, psicológicos y biológicos, en los diferentes entornos en los que se desarrollan los individuos.</t>
        </is>
      </c>
      <c r="I50" t="inlineStr">
        <is>
          <t>2024257580065</t>
        </is>
      </c>
      <c r="J50" s="99">
        <v>320925150</v>
      </c>
      <c r="K50" s="99">
        <v>69150000</v>
      </c>
      <c r="L50" s="99">
        <v>76065000</v>
      </c>
      <c r="M50" s="99">
        <v>83671500</v>
      </c>
      <c r="N50" s="99">
        <v>92038650</v>
      </c>
      <c r="O50" s="99" t="inlineStr">
        <is>
          <t xml:space="preserve"> </t>
        </is>
      </c>
      <c r="P50" s="99" t="inlineStr">
        <is>
          <t xml:space="preserve"> </t>
        </is>
      </c>
      <c r="Q50" s="99" t="inlineStr">
        <is>
          <t xml:space="preserve"> </t>
        </is>
      </c>
      <c r="R50" s="100" t="inlineStr">
        <is>
          <t xml:space="preserve"> </t>
        </is>
      </c>
      <c r="S50" t="inlineStr">
        <is>
          <t>No se encontró ejecución en CUIPO</t>
        </is>
      </c>
      <c r="T50" s="101">
        <v>73675825</v>
      </c>
      <c r="U50" s="101">
        <v>41043640</v>
      </c>
      <c r="V50" s="101">
        <v>41043640</v>
      </c>
      <c r="W50" s="102">
        <v>0.539586406362979</v>
      </c>
      <c r="X50" t="inlineStr">
        <is>
          <t>Lo obligado está por debajo de lo programado en la vigencia</t>
        </is>
      </c>
    </row>
    <row r="51">
      <c r="A51" t="inlineStr">
        <is>
          <t>IP-52</t>
        </is>
      </c>
      <c r="B51" t="inlineStr">
        <is>
          <t>19</t>
        </is>
      </c>
      <c r="C51" t="inlineStr">
        <is>
          <t>Salud y protección social</t>
        </is>
      </c>
      <c r="D51" t="inlineStr">
        <is>
          <t>1905</t>
        </is>
      </c>
      <c r="E51" t="inlineStr">
        <is>
          <t>Salud pública</t>
        </is>
      </c>
      <c r="F51" t="inlineStr">
        <is>
          <t>1905024</t>
        </is>
      </c>
      <c r="G51" t="inlineStr">
        <is>
          <t>Servicio de gestión del riesgo para abordar situaciones de salud relacionadas con condiciones ambientales</t>
        </is>
      </c>
      <c r="H51" t="inlineStr">
        <is>
          <t>Incluye la gestión integral relacionada con la prevención de enfermedades generadas por sustancias químicas, por animales (zoonosis), vectores de contaminación en el aire y el agua, entre otros factores.</t>
        </is>
      </c>
      <c r="I51" t="inlineStr">
        <is>
          <t>2024257580065</t>
        </is>
      </c>
      <c r="J51" s="99">
        <v>925586931</v>
      </c>
      <c r="K51" s="99">
        <v>199478137</v>
      </c>
      <c r="L51" s="99">
        <v>219425950</v>
      </c>
      <c r="M51" s="99">
        <v>241277545</v>
      </c>
      <c r="N51" s="99">
        <v>265405299</v>
      </c>
      <c r="O51" s="99">
        <v>18003016</v>
      </c>
      <c r="P51" s="99">
        <v>705520</v>
      </c>
      <c r="Q51" s="99">
        <v>705520</v>
      </c>
      <c r="R51" s="100">
        <v>0.00353682870017981</v>
      </c>
      <c r="S51" t="inlineStr">
        <is>
          <t>Lo obligado está por debajo de lo programado en la vigencia</t>
        </is>
      </c>
      <c r="T51" s="101">
        <v>271790930</v>
      </c>
      <c r="U51" s="101">
        <v>181162340</v>
      </c>
      <c r="V51" s="101">
        <v>181162340</v>
      </c>
      <c r="W51" s="102">
        <v>0.825619485753622</v>
      </c>
      <c r="X51" t="inlineStr">
        <is>
          <t>Lo obligado está por debajo de lo programado en la vigencia</t>
        </is>
      </c>
    </row>
    <row r="52">
      <c r="A52" t="inlineStr">
        <is>
          <t>IP-53</t>
        </is>
      </c>
      <c r="B52" t="inlineStr">
        <is>
          <t>19</t>
        </is>
      </c>
      <c r="C52" t="inlineStr">
        <is>
          <t>Salud y protección social</t>
        </is>
      </c>
      <c r="D52" t="inlineStr">
        <is>
          <t>1905</t>
        </is>
      </c>
      <c r="E52" t="inlineStr">
        <is>
          <t>Salud pública</t>
        </is>
      </c>
      <c r="F52" t="inlineStr">
        <is>
          <t>1905025</t>
        </is>
      </c>
      <c r="G52" t="inlineStr">
        <is>
          <t>Servicio de gestión del riesgo para abordar situaciones prevalentes de origen laboral</t>
        </is>
      </c>
      <c r="H52" t="inlineStr">
        <is>
          <t>Corresponde a las acciones que previenen la carga de la enfermedad relacionada con la salud y bienestar de todos los trabajadores derivados de la ocupación. Permite anticipar, conocer, evaluar y controlar los riesgos que pueden afectar la seguridad y salud en el trabajo.</t>
        </is>
      </c>
      <c r="I52" t="inlineStr">
        <is>
          <t>2024257580065</t>
        </is>
      </c>
      <c r="J52" s="99">
        <v>92727180</v>
      </c>
      <c r="K52" s="99">
        <v>19980000</v>
      </c>
      <c r="L52" s="99">
        <v>21978000</v>
      </c>
      <c r="M52" s="99">
        <v>24175800</v>
      </c>
      <c r="N52" s="99">
        <v>26593380</v>
      </c>
      <c r="O52" s="99" t="inlineStr">
        <is>
          <t xml:space="preserve"> </t>
        </is>
      </c>
      <c r="P52" s="99" t="inlineStr">
        <is>
          <t xml:space="preserve"> </t>
        </is>
      </c>
      <c r="Q52" s="99" t="inlineStr">
        <is>
          <t xml:space="preserve"> </t>
        </is>
      </c>
      <c r="R52" s="100" t="inlineStr">
        <is>
          <t xml:space="preserve"> </t>
        </is>
      </c>
      <c r="S52" t="inlineStr">
        <is>
          <t>No se encontró ejecución en CUIPO</t>
        </is>
      </c>
      <c r="T52" s="101">
        <v>17776200</v>
      </c>
      <c r="U52" s="101">
        <v>9585680</v>
      </c>
      <c r="V52" s="101">
        <v>9585680</v>
      </c>
      <c r="W52" s="102">
        <v>0.436148876148876</v>
      </c>
      <c r="X52" t="inlineStr">
        <is>
          <t>Lo obligado está por debajo de lo programado en la vigencia</t>
        </is>
      </c>
    </row>
    <row r="53">
      <c r="A53" t="inlineStr">
        <is>
          <t>IP-54, IP-55</t>
        </is>
      </c>
      <c r="B53" t="inlineStr">
        <is>
          <t>19</t>
        </is>
      </c>
      <c r="C53" t="inlineStr">
        <is>
          <t>Salud y protección social</t>
        </is>
      </c>
      <c r="D53" t="inlineStr">
        <is>
          <t>1905</t>
        </is>
      </c>
      <c r="E53" t="inlineStr">
        <is>
          <t>Salud pública</t>
        </is>
      </c>
      <c r="F53" t="inlineStr">
        <is>
          <t>1905028</t>
        </is>
      </c>
      <c r="G53" t="inlineStr">
        <is>
          <t>Servicio de gestión del riesgo para temas de consumo, aprovechamiento biológico, calidad e inocuidad de los alimentos</t>
        </is>
      </c>
      <c r="H53" t="inlineStr">
        <is>
          <t>Comprende acciones para disminuir la probabilidad de ocurrencia de eventos no deseados, evitables y negativos para la salud del individuo relacionado con la alimentación, como la obesidad, la desnutrición, la intoxicación, entre otros.</t>
        </is>
      </c>
      <c r="I53" t="inlineStr">
        <is>
          <t>2024257580065</t>
        </is>
      </c>
      <c r="J53" s="99">
        <v>185640000</v>
      </c>
      <c r="K53" s="99">
        <v>40000000</v>
      </c>
      <c r="L53" s="99">
        <v>44000000</v>
      </c>
      <c r="M53" s="99">
        <v>48400000</v>
      </c>
      <c r="N53" s="99">
        <v>53240000</v>
      </c>
      <c r="O53" s="99">
        <v>31819500</v>
      </c>
      <c r="P53" s="99">
        <v>31819500</v>
      </c>
      <c r="Q53" s="99">
        <v>31819500</v>
      </c>
      <c r="R53" s="100">
        <v>0.7954875</v>
      </c>
      <c r="S53" t="inlineStr">
        <is>
          <t>Lo obligado está por debajo de lo programado en la vigencia</t>
        </is>
      </c>
      <c r="T53" s="101">
        <v>112055360</v>
      </c>
      <c r="U53" s="101">
        <v>77485835</v>
      </c>
      <c r="V53" s="101">
        <v>77485835</v>
      </c>
      <c r="W53" s="102">
        <v>1.76104170454545</v>
      </c>
      <c r="X53" t="inlineStr">
        <is>
          <t>Hubo ejecución por encima de lo programado en SisPT</t>
        </is>
      </c>
    </row>
    <row r="54">
      <c r="A54" t="inlineStr">
        <is>
          <t>IP-56</t>
        </is>
      </c>
      <c r="B54" t="inlineStr">
        <is>
          <t>19</t>
        </is>
      </c>
      <c r="C54" t="inlineStr">
        <is>
          <t>Salud y protección social</t>
        </is>
      </c>
      <c r="D54" t="inlineStr">
        <is>
          <t>1905</t>
        </is>
      </c>
      <c r="E54" t="inlineStr">
        <is>
          <t>Salud pública</t>
        </is>
      </c>
      <c r="F54" t="inlineStr">
        <is>
          <t>1905026</t>
        </is>
      </c>
      <c r="G54" t="inlineStr">
        <is>
          <t>Servicio de gestión del riesgo para enfermedades emergentes, reemergentes y desatendidas</t>
        </is>
      </c>
      <c r="H54" t="inlineStr">
        <is>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is>
      </c>
      <c r="I54" t="inlineStr">
        <is>
          <t>2024257580065</t>
        </is>
      </c>
      <c r="J54" s="99">
        <v>340031218</v>
      </c>
      <c r="K54" s="99">
        <v>73266800</v>
      </c>
      <c r="L54" s="99">
        <v>80593480</v>
      </c>
      <c r="M54" s="99">
        <v>88652828</v>
      </c>
      <c r="N54" s="99">
        <v>97518110</v>
      </c>
      <c r="O54" s="99" t="inlineStr">
        <is>
          <t xml:space="preserve"> </t>
        </is>
      </c>
      <c r="P54" s="99" t="inlineStr">
        <is>
          <t xml:space="preserve"> </t>
        </is>
      </c>
      <c r="Q54" s="99" t="inlineStr">
        <is>
          <t xml:space="preserve"> </t>
        </is>
      </c>
      <c r="R54" s="100" t="inlineStr">
        <is>
          <t xml:space="preserve"> </t>
        </is>
      </c>
      <c r="S54" t="inlineStr">
        <is>
          <t>No se encontró ejecución en CUIPO</t>
        </is>
      </c>
      <c r="T54" s="101">
        <v>55968000</v>
      </c>
      <c r="U54" s="101">
        <v>35824000</v>
      </c>
      <c r="V54" s="101">
        <v>35824000</v>
      </c>
      <c r="W54" s="102">
        <v>0.444502458511532</v>
      </c>
      <c r="X54" t="inlineStr">
        <is>
          <t>Lo obligado está por debajo de lo programado en la vigencia</t>
        </is>
      </c>
    </row>
    <row r="55">
      <c r="A55" t="inlineStr">
        <is>
          <t>IP-57</t>
        </is>
      </c>
      <c r="B55" t="inlineStr">
        <is>
          <t>19</t>
        </is>
      </c>
      <c r="C55" t="inlineStr">
        <is>
          <t>Salud y protección social</t>
        </is>
      </c>
      <c r="D55" t="inlineStr">
        <is>
          <t>1905</t>
        </is>
      </c>
      <c r="E55" t="inlineStr">
        <is>
          <t>Salud pública</t>
        </is>
      </c>
      <c r="F55" t="inlineStr">
        <is>
          <t>1905049</t>
        </is>
      </c>
      <c r="G55" t="inlineStr">
        <is>
          <t>Servicio de promoción de la participación social en salud</t>
        </is>
      </c>
      <c r="H55" t="inlineStr">
        <is>
          <t xml:space="preserve">Corresponde a las estrategias y acciones para la articulación de actores sociales, gubernamentales a nivel sectorial e intersectorial, entre otros, para generar mecanismos y espacios de participación, socialización y abogacía, para la participación en la planeación social, comunitaria y ciudadana en salud y la participación en la atención integral en salud, la salud pública, la gobernanza en salud y las intervenciones colectivas. </t>
        </is>
      </c>
      <c r="I55" t="inlineStr">
        <is>
          <t>2024257580065</t>
        </is>
      </c>
      <c r="J55" s="99">
        <v>18564000</v>
      </c>
      <c r="K55" s="99">
        <v>4000000</v>
      </c>
      <c r="L55" s="99">
        <v>4400000</v>
      </c>
      <c r="M55" s="99">
        <v>4840000</v>
      </c>
      <c r="N55" s="99">
        <v>5324000</v>
      </c>
      <c r="O55" s="99">
        <v>15000000</v>
      </c>
      <c r="P55" s="99">
        <v>15000000</v>
      </c>
      <c r="Q55" s="99">
        <v>15000000</v>
      </c>
      <c r="R55" s="100">
        <v>3.75</v>
      </c>
      <c r="S55" t="inlineStr">
        <is>
          <t>Hubo ejecución por encima de lo programado en SisPT</t>
        </is>
      </c>
      <c r="T55" s="101">
        <v>19829200</v>
      </c>
      <c r="U55" s="101">
        <v>9432800</v>
      </c>
      <c r="V55" s="101">
        <v>9432800</v>
      </c>
      <c r="W55" s="102">
        <v>2.14381818181818</v>
      </c>
      <c r="X55" t="inlineStr">
        <is>
          <t>Hubo ejecución por encima de lo programado en SisPT</t>
        </is>
      </c>
    </row>
    <row r="56">
      <c r="A56" t="inlineStr">
        <is>
          <t>IP-58</t>
        </is>
      </c>
      <c r="B56" t="inlineStr">
        <is>
          <t>19</t>
        </is>
      </c>
      <c r="C56" t="inlineStr">
        <is>
          <t>Salud y protección social</t>
        </is>
      </c>
      <c r="D56" t="inlineStr">
        <is>
          <t>1905</t>
        </is>
      </c>
      <c r="E56" t="inlineStr">
        <is>
          <t>Salud pública</t>
        </is>
      </c>
      <c r="F56" t="inlineStr">
        <is>
          <t>1905052</t>
        </is>
      </c>
      <c r="G56" t="inlineStr">
        <is>
          <t>Servicios de información implementados</t>
        </is>
      </c>
      <c r="H56" t="inlineStr">
        <is>
          <t>Corresponde al proceso que asegura la disposición de la información de manera accesible, confiable y oportuna.</t>
        </is>
      </c>
      <c r="I56" t="inlineStr">
        <is>
          <t>2024257580065</t>
        </is>
      </c>
      <c r="J56" s="99">
        <v>186734260</v>
      </c>
      <c r="K56" s="99">
        <v>40244400</v>
      </c>
      <c r="L56" s="99">
        <v>44268840</v>
      </c>
      <c r="M56" s="99">
        <v>48675724</v>
      </c>
      <c r="N56" s="99">
        <v>53545296</v>
      </c>
      <c r="O56" s="99">
        <v>8000000</v>
      </c>
      <c r="P56" s="99">
        <v>8000000</v>
      </c>
      <c r="Q56" s="99">
        <v>8000000</v>
      </c>
      <c r="R56" s="100">
        <v>0.198785421077218</v>
      </c>
      <c r="S56" t="inlineStr">
        <is>
          <t>Lo obligado está por debajo de lo programado en la vigencia</t>
        </is>
      </c>
      <c r="T56" s="101">
        <v>12557237</v>
      </c>
      <c r="U56" s="101">
        <v>0</v>
      </c>
      <c r="V56" s="101">
        <v>0</v>
      </c>
      <c r="W56" s="102">
        <v>0</v>
      </c>
      <c r="X56" t="inlineStr">
        <is>
          <t>No se ejecutó en la vigencia</t>
        </is>
      </c>
    </row>
    <row r="57">
      <c r="A57" t="inlineStr">
        <is>
          <t>IP-59</t>
        </is>
      </c>
      <c r="B57" t="inlineStr">
        <is>
          <t>19</t>
        </is>
      </c>
      <c r="C57" t="inlineStr">
        <is>
          <t>Salud y protección social</t>
        </is>
      </c>
      <c r="D57" t="inlineStr">
        <is>
          <t>1906</t>
        </is>
      </c>
      <c r="E57" t="inlineStr">
        <is>
          <t>Aseguramiento y prestación integral de servicios de salud</t>
        </is>
      </c>
      <c r="F57" t="inlineStr">
        <is>
          <t>1906004</t>
        </is>
      </c>
      <c r="G57" t="inlineStr">
        <is>
          <t>Servicio de atención en salud a la población</t>
        </is>
      </c>
      <c r="H57" t="inlineStr">
        <is>
          <t>Incluye el servicio de atención en salud a la población dentro del Sistema General de Seguridad Social en Salud y los servicios de atención en urgencias a la población migrante no afiliada dentro del Sistema General de Seguridad Social en Salud.</t>
        </is>
      </c>
      <c r="I57" t="inlineStr">
        <is>
          <t>2024257580053</t>
        </is>
      </c>
      <c r="J57" s="99">
        <v>54763800</v>
      </c>
      <c r="K57" s="99">
        <v>11800000</v>
      </c>
      <c r="L57" s="99">
        <v>12980000</v>
      </c>
      <c r="M57" s="99">
        <v>14278000</v>
      </c>
      <c r="N57" s="99">
        <v>15705800</v>
      </c>
      <c r="O57" s="99">
        <v>8347404</v>
      </c>
      <c r="P57" s="99">
        <v>8347404</v>
      </c>
      <c r="Q57" s="99">
        <v>8347404</v>
      </c>
      <c r="R57" s="100">
        <v>0.707407118644068</v>
      </c>
      <c r="S57" t="inlineStr">
        <is>
          <t>Lo obligado está por debajo de lo programado en la vigencia</t>
        </is>
      </c>
      <c r="T57" s="101">
        <v>13519919</v>
      </c>
      <c r="U57" s="101">
        <v>5990555</v>
      </c>
      <c r="V57" s="101">
        <v>5990555</v>
      </c>
      <c r="W57" s="102">
        <v>0.461521956856703</v>
      </c>
      <c r="X57" t="inlineStr">
        <is>
          <t>Lo obligado está por debajo de lo programado en la vigencia</t>
        </is>
      </c>
    </row>
    <row r="58">
      <c r="A58" t="inlineStr">
        <is>
          <t>IP-60</t>
        </is>
      </c>
      <c r="B58" t="inlineStr">
        <is>
          <t>19</t>
        </is>
      </c>
      <c r="C58" t="inlineStr">
        <is>
          <t>Salud y protección social</t>
        </is>
      </c>
      <c r="D58" t="inlineStr">
        <is>
          <t>1906</t>
        </is>
      </c>
      <c r="E58" t="inlineStr">
        <is>
          <t>Aseguramiento y prestación integral de servicios de salud</t>
        </is>
      </c>
      <c r="F58" t="inlineStr">
        <is>
          <t>1906001</t>
        </is>
      </c>
      <c r="G58" t="inlineStr">
        <is>
          <t>Hospitales de primer nivel de atención adecuados</t>
        </is>
      </c>
      <c r="H58" t="inlineStr">
        <is>
          <t>Infraestructura hospitalaria de primer nivel de atención adecuada, para la prestación de servicios de salud a la población. Incluye centros de salud, puestos de salud e infraestructura local de prestación de servicios.</t>
        </is>
      </c>
      <c r="I58" t="inlineStr">
        <is>
          <t>2024257580053</t>
        </is>
      </c>
      <c r="J58" s="99">
        <v>136850481</v>
      </c>
      <c r="K58" s="99">
        <v>136850481</v>
      </c>
      <c r="L58" s="99">
        <v>0</v>
      </c>
      <c r="M58" s="99">
        <v>0</v>
      </c>
      <c r="N58" s="99">
        <v>0</v>
      </c>
      <c r="O58" s="99">
        <v>157179000</v>
      </c>
      <c r="P58" s="99">
        <v>0</v>
      </c>
      <c r="Q58" s="99">
        <v>0</v>
      </c>
      <c r="R58" s="100">
        <v>0</v>
      </c>
      <c r="S58" t="inlineStr">
        <is>
          <t>No se ejecutó en la vigencia</t>
        </is>
      </c>
      <c r="T58" s="101" t="inlineStr">
        <is>
          <t xml:space="preserve"> </t>
        </is>
      </c>
      <c r="U58" s="101" t="inlineStr">
        <is>
          <t xml:space="preserve"> </t>
        </is>
      </c>
      <c r="V58" s="101" t="inlineStr">
        <is>
          <t xml:space="preserve"> </t>
        </is>
      </c>
      <c r="W58" s="102" t="inlineStr">
        <is>
          <t xml:space="preserve"> </t>
        </is>
      </c>
      <c r="X58" t="inlineStr">
        <is>
          <t>No se encontró ejecución en CUIPO</t>
        </is>
      </c>
    </row>
    <row r="59">
      <c r="A59" t="inlineStr">
        <is>
          <t>IP-61</t>
        </is>
      </c>
      <c r="B59" t="inlineStr">
        <is>
          <t>19</t>
        </is>
      </c>
      <c r="C59" t="inlineStr">
        <is>
          <t>Salud y protección social</t>
        </is>
      </c>
      <c r="D59" t="inlineStr">
        <is>
          <t>1906</t>
        </is>
      </c>
      <c r="E59" t="inlineStr">
        <is>
          <t>Aseguramiento y prestación integral de servicios de salud</t>
        </is>
      </c>
      <c r="F59" t="inlineStr">
        <is>
          <t>1906032</t>
        </is>
      </c>
      <c r="G59" t="inlineStr">
        <is>
          <t>Servicio de promoción de afiliaciones al régimen contributivo del Sistema General de Seguridad Social de las personas con capacidad de pago</t>
        </is>
      </c>
      <c r="H59" t="inlineStr">
        <is>
          <t xml:space="preserve">Este servicio permite a las entidades promocionar a las personas con capacidad de pago la afiliación al régimen Contributivo del Sistema General de Seguridad Social. </t>
        </is>
      </c>
      <c r="I59" t="inlineStr">
        <is>
          <t>2024257580053</t>
        </is>
      </c>
      <c r="J59" s="99">
        <v>114027970</v>
      </c>
      <c r="K59" s="99">
        <v>24570000</v>
      </c>
      <c r="L59" s="99">
        <v>27027000</v>
      </c>
      <c r="M59" s="99">
        <v>29729000</v>
      </c>
      <c r="N59" s="99">
        <v>32701970</v>
      </c>
      <c r="O59" s="99" t="inlineStr">
        <is>
          <t xml:space="preserve"> </t>
        </is>
      </c>
      <c r="P59" s="99" t="inlineStr">
        <is>
          <t xml:space="preserve"> </t>
        </is>
      </c>
      <c r="Q59" s="99" t="inlineStr">
        <is>
          <t xml:space="preserve"> </t>
        </is>
      </c>
      <c r="R59" s="100" t="inlineStr">
        <is>
          <t xml:space="preserve"> </t>
        </is>
      </c>
      <c r="S59" t="inlineStr">
        <is>
          <t>No se encontró ejecución en CUIPO</t>
        </is>
      </c>
      <c r="T59" s="101">
        <v>24804000</v>
      </c>
      <c r="U59" s="101">
        <v>17003212</v>
      </c>
      <c r="V59" s="101">
        <v>17003212</v>
      </c>
      <c r="W59" s="102">
        <v>0.629119473119473</v>
      </c>
      <c r="X59" t="inlineStr">
        <is>
          <t>Lo obligado está por debajo de lo programado en la vigencia</t>
        </is>
      </c>
    </row>
    <row r="60">
      <c r="A60" t="inlineStr">
        <is>
          <t>IP-62</t>
        </is>
      </c>
      <c r="B60" t="inlineStr">
        <is>
          <t>19</t>
        </is>
      </c>
      <c r="C60" t="inlineStr">
        <is>
          <t>Salud y protección social</t>
        </is>
      </c>
      <c r="D60" t="inlineStr">
        <is>
          <t>1906</t>
        </is>
      </c>
      <c r="E60" t="inlineStr">
        <is>
          <t>Aseguramiento y prestación integral de servicios de salud</t>
        </is>
      </c>
      <c r="F60" t="inlineStr">
        <is>
          <t>1906044</t>
        </is>
      </c>
      <c r="G60" t="inlineStr">
        <is>
          <t>Servicio de afiliaciones al régimen subsidiado del Sistema General de Seguridad Social</t>
        </is>
      </c>
      <c r="H60" t="inlineStr">
        <is>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is>
      </c>
      <c r="I60" t="inlineStr">
        <is>
          <t>2024257580053</t>
        </is>
      </c>
      <c r="J60" s="99">
        <v>24307752060</v>
      </c>
      <c r="K60" s="99">
        <v>5237610873</v>
      </c>
      <c r="L60" s="99">
        <v>5761371960</v>
      </c>
      <c r="M60" s="99">
        <v>6337509156</v>
      </c>
      <c r="N60" s="99">
        <v>6971260071</v>
      </c>
      <c r="O60" s="99">
        <v>1794417592</v>
      </c>
      <c r="P60" s="99">
        <v>1794417592</v>
      </c>
      <c r="Q60" s="99">
        <v>1794417592</v>
      </c>
      <c r="R60" s="100">
        <v>0.342602311532967</v>
      </c>
      <c r="S60" t="inlineStr">
        <is>
          <t>Lo obligado está por debajo de lo programado en la vigencia</t>
        </is>
      </c>
      <c r="T60" s="101">
        <v>4310675332</v>
      </c>
      <c r="U60" s="101">
        <v>4310675332</v>
      </c>
      <c r="V60" s="101">
        <v>4310675332</v>
      </c>
      <c r="W60" s="102">
        <v>0.748202921444426</v>
      </c>
      <c r="X60" t="inlineStr">
        <is>
          <t>Lo obligado está por debajo de lo programado en la vigencia</t>
        </is>
      </c>
    </row>
    <row r="61">
      <c r="A61" t="inlineStr">
        <is>
          <t>IP-63</t>
        </is>
      </c>
      <c r="B61" t="inlineStr">
        <is>
          <t>19</t>
        </is>
      </c>
      <c r="C61" t="inlineStr">
        <is>
          <t>Salud y protección social</t>
        </is>
      </c>
      <c r="D61" t="inlineStr">
        <is>
          <t>1903</t>
        </is>
      </c>
      <c r="E61" t="inlineStr">
        <is>
          <t>Inspección, vigilancia y control</t>
        </is>
      </c>
      <c r="F61" t="inlineStr">
        <is>
          <t>1903023</t>
        </is>
      </c>
      <c r="G61" t="inlineStr">
        <is>
          <t>Servicio de asistencia técnica en inspección, vigilancia y control</t>
        </is>
      </c>
      <c r="H61" t="inlineStr">
        <is>
          <t>Este servicio permite ofrecer la asistencias técnica en Inspección, Vigilancia y Control</t>
        </is>
      </c>
      <c r="I61" t="inlineStr">
        <is>
          <t>2024257580059</t>
        </is>
      </c>
      <c r="J61" s="99">
        <v>1490919757</v>
      </c>
      <c r="K61" s="99">
        <v>259696875</v>
      </c>
      <c r="L61" s="99">
        <v>571333124</v>
      </c>
      <c r="M61" s="99">
        <v>314233218</v>
      </c>
      <c r="N61" s="99">
        <v>345656540</v>
      </c>
      <c r="O61" s="99">
        <v>139980431</v>
      </c>
      <c r="P61" s="99">
        <v>93094618</v>
      </c>
      <c r="Q61" s="99">
        <v>0</v>
      </c>
      <c r="R61" s="100">
        <v>0.358474155686317</v>
      </c>
      <c r="S61" t="inlineStr">
        <is>
          <t>Lo obligado está por debajo de lo programado en la vigencia</t>
        </is>
      </c>
      <c r="T61" s="101">
        <v>116155792</v>
      </c>
      <c r="U61" s="101">
        <v>69140252</v>
      </c>
      <c r="V61" s="101">
        <v>69140252</v>
      </c>
      <c r="W61" s="102">
        <v>0.121015654607836</v>
      </c>
      <c r="X61" t="inlineStr">
        <is>
          <t>Lo obligado está por debajo de lo programado en la vigencia</t>
        </is>
      </c>
    </row>
    <row r="62">
      <c r="A62" t="inlineStr">
        <is>
          <t>IP-64</t>
        </is>
      </c>
      <c r="B62" t="inlineStr">
        <is>
          <t>19</t>
        </is>
      </c>
      <c r="C62" t="inlineStr">
        <is>
          <t>Salud y protección social</t>
        </is>
      </c>
      <c r="D62" t="inlineStr">
        <is>
          <t>1903</t>
        </is>
      </c>
      <c r="E62" t="inlineStr">
        <is>
          <t>Inspección, vigilancia y control</t>
        </is>
      </c>
      <c r="F62" t="inlineStr">
        <is>
          <t>1903025</t>
        </is>
      </c>
      <c r="G62" t="inlineStr">
        <is>
          <t>Servicio de implementación de estrategias para el fortalecimiento del control social en salud</t>
        </is>
      </c>
      <c r="H62" t="inlineStr">
        <is>
          <t xml:space="preserve">Este servicio permite obtener estrategias para el fortalecimiento del control social en salud </t>
        </is>
      </c>
      <c r="I62" t="inlineStr">
        <is>
          <t>2024257580059</t>
        </is>
      </c>
      <c r="J62" s="99">
        <v>400054200</v>
      </c>
      <c r="K62" s="99">
        <v>86200000</v>
      </c>
      <c r="L62" s="99">
        <v>94820000</v>
      </c>
      <c r="M62" s="99">
        <v>104302000</v>
      </c>
      <c r="N62" s="99">
        <v>114732200</v>
      </c>
      <c r="O62" s="99">
        <v>18333333</v>
      </c>
      <c r="P62" s="99">
        <v>18333333</v>
      </c>
      <c r="Q62" s="99">
        <v>18333333</v>
      </c>
      <c r="R62" s="100">
        <v>0.2126836774942</v>
      </c>
      <c r="S62" t="inlineStr">
        <is>
          <t>Lo obligado está por debajo de lo programado en la vigencia</t>
        </is>
      </c>
      <c r="T62" s="101">
        <v>103511730</v>
      </c>
      <c r="U62" s="101">
        <v>71928201</v>
      </c>
      <c r="V62" s="101">
        <v>71928201</v>
      </c>
      <c r="W62" s="102">
        <v>0.758576260282641</v>
      </c>
      <c r="X62" t="inlineStr">
        <is>
          <t>Lo obligado está por debajo de lo programado en la vigencia</t>
        </is>
      </c>
    </row>
    <row r="63">
      <c r="A63" t="inlineStr">
        <is>
          <t>IP-65</t>
        </is>
      </c>
      <c r="B63" t="inlineStr">
        <is>
          <t>41</t>
        </is>
      </c>
      <c r="C63" t="inlineStr">
        <is>
          <t xml:space="preserve">Inclusión social y reconciliación </t>
        </is>
      </c>
      <c r="D63" t="inlineStr">
        <is>
          <t>4102</t>
        </is>
      </c>
      <c r="E63" t="inlineStr">
        <is>
          <t>Desarrollo integral de la primera infancia a la juventud, y fortalecimiento de las capacidades de las familias de niñas, niños y adolescentes</t>
        </is>
      </c>
      <c r="F63" t="inlineStr">
        <is>
          <t>4102035</t>
        </is>
      </c>
      <c r="G63" t="inlineStr">
        <is>
          <t>Documentos de lineamientos técnicos</t>
        </is>
      </c>
      <c r="H63" t="inlineStr">
        <is>
          <t>Documentos cuyo objetivo es describir y explicar instrumentos, estándares, requisitos y condiciones necesarias para llevar a cabo un proceso o actividad</t>
        </is>
      </c>
      <c r="I63" t="inlineStr">
        <is>
          <t>2024257580069</t>
        </is>
      </c>
      <c r="J63" s="99">
        <v>0</v>
      </c>
      <c r="K63" s="99">
        <v>0</v>
      </c>
      <c r="L63" s="99">
        <v>0</v>
      </c>
      <c r="M63" s="99">
        <v>0</v>
      </c>
      <c r="N63" s="99">
        <v>0</v>
      </c>
      <c r="O63" s="99" t="inlineStr">
        <is>
          <t xml:space="preserve"> </t>
        </is>
      </c>
      <c r="P63" s="99" t="inlineStr">
        <is>
          <t xml:space="preserve"> </t>
        </is>
      </c>
      <c r="Q63" s="99" t="inlineStr">
        <is>
          <t xml:space="preserve"> </t>
        </is>
      </c>
      <c r="R63" s="100" t="inlineStr">
        <is>
          <t xml:space="preserve"> </t>
        </is>
      </c>
      <c r="S63" t="inlineStr">
        <is>
          <t>No se encontró ejecución en CUIPO</t>
        </is>
      </c>
      <c r="T63" s="101" t="inlineStr">
        <is>
          <t xml:space="preserve"> </t>
        </is>
      </c>
      <c r="U63" s="101" t="inlineStr">
        <is>
          <t xml:space="preserve"> </t>
        </is>
      </c>
      <c r="V63" s="101" t="inlineStr">
        <is>
          <t xml:space="preserve"> </t>
        </is>
      </c>
      <c r="W63" s="102" t="inlineStr">
        <is>
          <t xml:space="preserve"> </t>
        </is>
      </c>
      <c r="X63" t="inlineStr">
        <is>
          <t>No se encontró ejecución en CUIPO</t>
        </is>
      </c>
    </row>
    <row r="64">
      <c r="A64" t="inlineStr">
        <is>
          <t>IP-66, IP-68</t>
        </is>
      </c>
      <c r="B64" t="inlineStr">
        <is>
          <t>41</t>
        </is>
      </c>
      <c r="C64" t="inlineStr">
        <is>
          <t xml:space="preserve">Inclusión social y reconciliación </t>
        </is>
      </c>
      <c r="D64" t="inlineStr">
        <is>
          <t>4102</t>
        </is>
      </c>
      <c r="E64" t="inlineStr">
        <is>
          <t>Desarrollo integral de la primera infancia a la juventud, y fortalecimiento de las capacidades de las familias de niñas, niños y adolescentes</t>
        </is>
      </c>
      <c r="F64" t="inlineStr">
        <is>
          <t>4102001</t>
        </is>
      </c>
      <c r="G64" t="inlineStr">
        <is>
          <t>Servicio de atención integral a la primera infancia</t>
        </is>
      </c>
      <c r="H64" t="inlineStr">
        <is>
          <t xml:space="preserve">
Servicio dispuestos para atender a los niños y niñas en primera infancia, con el fin de promover su desarrollo integral a través de la atención en educación inicial, cuidado calificado, salud, nutrición, protección y acompañamiento familiar.
</t>
        </is>
      </c>
      <c r="I64" t="inlineStr">
        <is>
          <t>2024257580069</t>
        </is>
      </c>
      <c r="J64" s="99">
        <v>97461000</v>
      </c>
      <c r="K64" s="99">
        <v>21000000</v>
      </c>
      <c r="L64" s="99">
        <v>23100000</v>
      </c>
      <c r="M64" s="99">
        <v>25410000</v>
      </c>
      <c r="N64" s="99">
        <v>27951000</v>
      </c>
      <c r="O64" s="99" t="inlineStr">
        <is>
          <t xml:space="preserve"> </t>
        </is>
      </c>
      <c r="P64" s="99" t="inlineStr">
        <is>
          <t xml:space="preserve"> </t>
        </is>
      </c>
      <c r="Q64" s="99" t="inlineStr">
        <is>
          <t xml:space="preserve"> </t>
        </is>
      </c>
      <c r="R64" s="100" t="inlineStr">
        <is>
          <t xml:space="preserve"> </t>
        </is>
      </c>
      <c r="S64" t="inlineStr">
        <is>
          <t>No se encontró ejecución en CUIPO</t>
        </is>
      </c>
      <c r="T64" s="101" t="inlineStr">
        <is>
          <t xml:space="preserve"> </t>
        </is>
      </c>
      <c r="U64" s="101" t="inlineStr">
        <is>
          <t xml:space="preserve"> </t>
        </is>
      </c>
      <c r="V64" s="101" t="inlineStr">
        <is>
          <t xml:space="preserve"> </t>
        </is>
      </c>
      <c r="W64" s="102" t="inlineStr">
        <is>
          <t xml:space="preserve"> </t>
        </is>
      </c>
      <c r="X64" t="inlineStr">
        <is>
          <t>No se encontró ejecución en CUIPO</t>
        </is>
      </c>
    </row>
    <row r="65">
      <c r="A65" t="inlineStr">
        <is>
          <t>IP-67</t>
        </is>
      </c>
      <c r="B65" t="inlineStr">
        <is>
          <t>41</t>
        </is>
      </c>
      <c r="C65" t="inlineStr">
        <is>
          <t xml:space="preserve">Inclusión social y reconciliación </t>
        </is>
      </c>
      <c r="D65" t="inlineStr">
        <is>
          <t>4102</t>
        </is>
      </c>
      <c r="E65" t="inlineStr">
        <is>
          <t>Desarrollo integral de la primera infancia a la juventud, y fortalecimiento de las capacidades de las familias de niñas, niños y adolescentes</t>
        </is>
      </c>
      <c r="F65" t="inlineStr">
        <is>
          <t>4102003</t>
        </is>
      </c>
      <c r="G65" t="inlineStr">
        <is>
          <t>Servicio de educación informal a los agentes educativos</t>
        </is>
      </c>
      <c r="H65" t="inlineStr">
        <is>
          <t>Servicio dirigidos a fortalecer las habilidades y competencias de los agentes educativos para brindar atención integral a la primera infancia.</t>
        </is>
      </c>
      <c r="I65" t="inlineStr">
        <is>
          <t>2024257580069</t>
        </is>
      </c>
      <c r="J65" s="99">
        <v>46410000</v>
      </c>
      <c r="K65" s="99">
        <v>10000000</v>
      </c>
      <c r="L65" s="99">
        <v>11000000</v>
      </c>
      <c r="M65" s="99">
        <v>12100000</v>
      </c>
      <c r="N65" s="99">
        <v>13310000</v>
      </c>
      <c r="O65" s="99" t="inlineStr">
        <is>
          <t xml:space="preserve"> </t>
        </is>
      </c>
      <c r="P65" s="99" t="inlineStr">
        <is>
          <t xml:space="preserve"> </t>
        </is>
      </c>
      <c r="Q65" s="99" t="inlineStr">
        <is>
          <t xml:space="preserve"> </t>
        </is>
      </c>
      <c r="R65" s="100" t="inlineStr">
        <is>
          <t xml:space="preserve"> </t>
        </is>
      </c>
      <c r="S65" t="inlineStr">
        <is>
          <t>No se encontró ejecución en CUIPO</t>
        </is>
      </c>
      <c r="T65" s="101" t="inlineStr">
        <is>
          <t xml:space="preserve"> </t>
        </is>
      </c>
      <c r="U65" s="101" t="inlineStr">
        <is>
          <t xml:space="preserve"> </t>
        </is>
      </c>
      <c r="V65" s="101" t="inlineStr">
        <is>
          <t xml:space="preserve"> </t>
        </is>
      </c>
      <c r="W65" s="102" t="inlineStr">
        <is>
          <t xml:space="preserve"> </t>
        </is>
      </c>
      <c r="X65" t="inlineStr">
        <is>
          <t>No se encontró ejecución en CUIPO</t>
        </is>
      </c>
    </row>
    <row r="66">
      <c r="A66" t="inlineStr">
        <is>
          <t>IP-69</t>
        </is>
      </c>
      <c r="B66" t="inlineStr">
        <is>
          <t>41</t>
        </is>
      </c>
      <c r="C66" t="inlineStr">
        <is>
          <t xml:space="preserve">Inclusión social y reconciliación </t>
        </is>
      </c>
      <c r="D66" t="inlineStr">
        <is>
          <t>4102</t>
        </is>
      </c>
      <c r="E66" t="inlineStr">
        <is>
          <t>Desarrollo integral de la primera infancia a la juventud, y fortalecimiento de las capacidades de las familias de niñas, niños y adolescentes</t>
        </is>
      </c>
      <c r="F66" t="inlineStr">
        <is>
          <t>4102043</t>
        </is>
      </c>
      <c r="G66" t="inlineStr">
        <is>
          <t>Servicio de promoción de temas de dinámica relacional y desarrollo autónomo</t>
        </is>
      </c>
      <c r="H66"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66" t="inlineStr">
        <is>
          <t>2024257580069</t>
        </is>
      </c>
      <c r="J66" s="99">
        <v>0</v>
      </c>
      <c r="K66" s="99">
        <v>0</v>
      </c>
      <c r="L66" s="99">
        <v>0</v>
      </c>
      <c r="M66" s="99">
        <v>0</v>
      </c>
      <c r="N66" s="99">
        <v>0</v>
      </c>
      <c r="O66" s="99" t="inlineStr">
        <is>
          <t xml:space="preserve"> </t>
        </is>
      </c>
      <c r="P66" s="99" t="inlineStr">
        <is>
          <t xml:space="preserve"> </t>
        </is>
      </c>
      <c r="Q66" s="99" t="inlineStr">
        <is>
          <t xml:space="preserve"> </t>
        </is>
      </c>
      <c r="R66" s="100" t="inlineStr">
        <is>
          <t xml:space="preserve"> </t>
        </is>
      </c>
      <c r="S66" t="inlineStr">
        <is>
          <t>No se encontró ejecución en CUIPO</t>
        </is>
      </c>
      <c r="T66" s="101">
        <v>4505000</v>
      </c>
      <c r="U66" s="101">
        <v>4505000</v>
      </c>
      <c r="V66" s="101">
        <v>4505000</v>
      </c>
      <c r="W66" s="102" t="inlineStr">
        <is>
          <t xml:space="preserve"> </t>
        </is>
      </c>
      <c r="X66" t="inlineStr">
        <is>
          <t>Se ejecutó un producto no programado en la vigencia</t>
        </is>
      </c>
    </row>
    <row r="67">
      <c r="A67" t="inlineStr">
        <is>
          <t>IP-70</t>
        </is>
      </c>
      <c r="B67" t="inlineStr">
        <is>
          <t>41</t>
        </is>
      </c>
      <c r="C67" t="inlineStr">
        <is>
          <t xml:space="preserve">Inclusión social y reconciliación </t>
        </is>
      </c>
      <c r="D67" t="inlineStr">
        <is>
          <t>4102</t>
        </is>
      </c>
      <c r="E67" t="inlineStr">
        <is>
          <t>Desarrollo integral de la primera infancia a la juventud, y fortalecimiento de las capacidades de las familias de niñas, niños y adolescentes</t>
        </is>
      </c>
      <c r="F67" t="inlineStr">
        <is>
          <t>4102046</t>
        </is>
      </c>
      <c r="G67" t="inlineStr">
        <is>
          <t>Servicios de promoción de los derechos de los niños, niñas, adolescentes y jóvenes</t>
        </is>
      </c>
      <c r="H67" t="inlineStr">
        <is>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is>
      </c>
      <c r="I67" t="inlineStr">
        <is>
          <t>2024257580069</t>
        </is>
      </c>
      <c r="J67" s="99">
        <v>0</v>
      </c>
      <c r="K67" s="99">
        <v>0</v>
      </c>
      <c r="L67" s="99">
        <v>0</v>
      </c>
      <c r="M67" s="99">
        <v>0</v>
      </c>
      <c r="N67" s="99">
        <v>0</v>
      </c>
      <c r="O67" s="99" t="inlineStr">
        <is>
          <t xml:space="preserve"> </t>
        </is>
      </c>
      <c r="P67" s="99" t="inlineStr">
        <is>
          <t xml:space="preserve"> </t>
        </is>
      </c>
      <c r="Q67" s="99" t="inlineStr">
        <is>
          <t xml:space="preserve"> </t>
        </is>
      </c>
      <c r="R67" s="100" t="inlineStr">
        <is>
          <t xml:space="preserve"> </t>
        </is>
      </c>
      <c r="S67" t="inlineStr">
        <is>
          <t>No se encontró ejecución en CUIPO</t>
        </is>
      </c>
      <c r="T67" s="101">
        <v>4505000</v>
      </c>
      <c r="U67" s="101">
        <v>3550580</v>
      </c>
      <c r="V67" s="101">
        <v>3550580</v>
      </c>
      <c r="W67" s="102" t="inlineStr">
        <is>
          <t xml:space="preserve"> </t>
        </is>
      </c>
      <c r="X67" t="inlineStr">
        <is>
          <t>Se ejecutó un producto no programado en la vigencia</t>
        </is>
      </c>
    </row>
    <row r="68">
      <c r="A68" t="inlineStr">
        <is>
          <t>IP-71</t>
        </is>
      </c>
      <c r="B68" t="inlineStr">
        <is>
          <t>41</t>
        </is>
      </c>
      <c r="C68" t="inlineStr">
        <is>
          <t xml:space="preserve">Inclusión social y reconciliación </t>
        </is>
      </c>
      <c r="D68" t="inlineStr">
        <is>
          <t>4102</t>
        </is>
      </c>
      <c r="E68" t="inlineStr">
        <is>
          <t>Desarrollo integral de la primera infancia a la juventud, y fortalecimiento de las capacidades de las familias de niñas, niños y adolescentes</t>
        </is>
      </c>
      <c r="F68" t="inlineStr">
        <is>
          <t>4102052</t>
        </is>
      </c>
      <c r="G68" t="inlineStr">
        <is>
          <t>Servicio de protección integral a niños, niñas, adolescentes y jóvenes</t>
        </is>
      </c>
      <c r="H68" t="inlineStr">
        <is>
          <t>Servicios enfocados a garantizar los derechos fundamentales , la prevención de amenazas o vulneración y restablecimiento de derechos.</t>
        </is>
      </c>
      <c r="I68" t="inlineStr">
        <is>
          <t>2024257580069</t>
        </is>
      </c>
      <c r="J68" s="99">
        <v>0</v>
      </c>
      <c r="K68" s="99">
        <v>0</v>
      </c>
      <c r="L68" s="99">
        <v>0</v>
      </c>
      <c r="M68" s="99">
        <v>0</v>
      </c>
      <c r="N68" s="99">
        <v>0</v>
      </c>
      <c r="O68" s="99" t="inlineStr">
        <is>
          <t xml:space="preserve"> </t>
        </is>
      </c>
      <c r="P68" s="99" t="inlineStr">
        <is>
          <t xml:space="preserve"> </t>
        </is>
      </c>
      <c r="Q68" s="99" t="inlineStr">
        <is>
          <t xml:space="preserve"> </t>
        </is>
      </c>
      <c r="R68" s="100" t="inlineStr">
        <is>
          <t xml:space="preserve"> </t>
        </is>
      </c>
      <c r="S68" t="inlineStr">
        <is>
          <t>No se encontró ejecución en CUIPO</t>
        </is>
      </c>
      <c r="T68" s="101" t="inlineStr">
        <is>
          <t xml:space="preserve"> </t>
        </is>
      </c>
      <c r="U68" s="101" t="inlineStr">
        <is>
          <t xml:space="preserve"> </t>
        </is>
      </c>
      <c r="V68" s="101" t="inlineStr">
        <is>
          <t xml:space="preserve"> </t>
        </is>
      </c>
      <c r="W68" s="102" t="inlineStr">
        <is>
          <t xml:space="preserve"> </t>
        </is>
      </c>
      <c r="X68" t="inlineStr">
        <is>
          <t>No se encontró ejecución en CUIPO</t>
        </is>
      </c>
    </row>
    <row r="69">
      <c r="A69" t="inlineStr">
        <is>
          <t>IP-72, IP-73, IP-81</t>
        </is>
      </c>
      <c r="B69" t="inlineStr">
        <is>
          <t>41</t>
        </is>
      </c>
      <c r="C69" t="inlineStr">
        <is>
          <t xml:space="preserve">Inclusión social y reconciliación </t>
        </is>
      </c>
      <c r="D69" t="inlineStr">
        <is>
          <t>4102</t>
        </is>
      </c>
      <c r="E69" t="inlineStr">
        <is>
          <t>Desarrollo integral de la primera infancia a la juventud, y fortalecimiento de las capacidades de las familias de niñas, niños y adolescentes</t>
        </is>
      </c>
      <c r="F69" t="inlineStr">
        <is>
          <t>4102046</t>
        </is>
      </c>
      <c r="G69" t="inlineStr">
        <is>
          <t>Servicios de promoción de los derechos de los niños, niñas, adolescentes y jóvenes</t>
        </is>
      </c>
      <c r="H69" t="inlineStr">
        <is>
          <t>Estrategias mediante las cuales se difunde, motiva y sensibiliza a la sociedad en general acerca de la información de promoción y prevención de los derechos de los niños, niñas, adolescentes y jóvenes y se dan a conocer los mecanismos para su restablecimiento.  Incluye las acciones que se realizan para el intercambio de experiencias, con los agentes del Sistema Nacional de Bienestar Familiar.</t>
        </is>
      </c>
      <c r="I69" t="inlineStr">
        <is>
          <t>2024257580028</t>
        </is>
      </c>
      <c r="J69" s="99">
        <v>132400000</v>
      </c>
      <c r="K69" s="99">
        <v>0</v>
      </c>
      <c r="L69" s="99">
        <v>40000000</v>
      </c>
      <c r="M69" s="99">
        <v>44000000</v>
      </c>
      <c r="N69" s="99">
        <v>48400000</v>
      </c>
      <c r="O69" s="99" t="inlineStr">
        <is>
          <t xml:space="preserve"> </t>
        </is>
      </c>
      <c r="P69" s="99" t="inlineStr">
        <is>
          <t xml:space="preserve"> </t>
        </is>
      </c>
      <c r="Q69" s="99" t="inlineStr">
        <is>
          <t xml:space="preserve"> </t>
        </is>
      </c>
      <c r="R69" s="100" t="inlineStr">
        <is>
          <t xml:space="preserve"> </t>
        </is>
      </c>
      <c r="S69" t="inlineStr">
        <is>
          <t>No se encontró ejecución en CUIPO</t>
        </is>
      </c>
      <c r="T69" s="101">
        <v>16223398</v>
      </c>
      <c r="U69" s="101">
        <v>7669816</v>
      </c>
      <c r="V69" s="101">
        <v>7669816</v>
      </c>
      <c r="W69" s="102">
        <v>0.1917454</v>
      </c>
      <c r="X69" t="inlineStr">
        <is>
          <t>Lo obligado está por debajo de lo programado en la vigencia</t>
        </is>
      </c>
    </row>
    <row r="70">
      <c r="A70" t="inlineStr">
        <is>
          <t>IP-74</t>
        </is>
      </c>
      <c r="B70" t="inlineStr">
        <is>
          <t>41</t>
        </is>
      </c>
      <c r="C70" t="inlineStr">
        <is>
          <t xml:space="preserve">Inclusión social y reconciliación </t>
        </is>
      </c>
      <c r="D70" t="inlineStr">
        <is>
          <t>4102</t>
        </is>
      </c>
      <c r="E70" t="inlineStr">
        <is>
          <t>Desarrollo integral de la primera infancia a la juventud, y fortalecimiento de las capacidades de las familias de niñas, niños y adolescentes</t>
        </is>
      </c>
      <c r="F70" t="inlineStr">
        <is>
          <t>4102052</t>
        </is>
      </c>
      <c r="G70" t="inlineStr">
        <is>
          <t>Servicio de protección integral a niños, niñas, adolescentes y jóvenes</t>
        </is>
      </c>
      <c r="H70" t="inlineStr">
        <is>
          <t>Servicios enfocados a garantizar los derechos fundamentales , la prevención de amenazas o vulneración y restablecimiento de derechos.</t>
        </is>
      </c>
      <c r="I70" t="inlineStr">
        <is>
          <t>2024257580028</t>
        </is>
      </c>
      <c r="J70" s="99">
        <v>208845000</v>
      </c>
      <c r="K70" s="99">
        <v>45000000</v>
      </c>
      <c r="L70" s="99">
        <v>49500000</v>
      </c>
      <c r="M70" s="99">
        <v>54450000</v>
      </c>
      <c r="N70" s="99">
        <v>59895000</v>
      </c>
      <c r="O70" s="99">
        <v>14270399</v>
      </c>
      <c r="P70" s="99">
        <v>14270399</v>
      </c>
      <c r="Q70" s="99">
        <v>14270399</v>
      </c>
      <c r="R70" s="100">
        <v>0.317119977777778</v>
      </c>
      <c r="S70" t="inlineStr">
        <is>
          <t>Lo obligado está por debajo de lo programado en la vigencia</t>
        </is>
      </c>
      <c r="T70" s="101">
        <v>71550000</v>
      </c>
      <c r="U70" s="101">
        <v>29473200</v>
      </c>
      <c r="V70" s="101">
        <v>29473200</v>
      </c>
      <c r="W70" s="102">
        <v>0.595418181818182</v>
      </c>
      <c r="X70" t="inlineStr">
        <is>
          <t>Lo obligado está por debajo de lo programado en la vigencia</t>
        </is>
      </c>
    </row>
    <row r="71">
      <c r="A71" t="inlineStr">
        <is>
          <t>IP-75, IP-78</t>
        </is>
      </c>
      <c r="B71" t="inlineStr">
        <is>
          <t>41</t>
        </is>
      </c>
      <c r="C71" t="inlineStr">
        <is>
          <t xml:space="preserve">Inclusión social y reconciliación </t>
        </is>
      </c>
      <c r="D71" t="inlineStr">
        <is>
          <t>4102</t>
        </is>
      </c>
      <c r="E71" t="inlineStr">
        <is>
          <t>Desarrollo integral de la primera infancia a la juventud, y fortalecimiento de las capacidades de las familias de niñas, niños y adolescentes</t>
        </is>
      </c>
      <c r="F71" t="inlineStr">
        <is>
          <t>4102043</t>
        </is>
      </c>
      <c r="G71" t="inlineStr">
        <is>
          <t>Servicio de promoción de temas de dinámica relacional y desarrollo autónomo</t>
        </is>
      </c>
      <c r="H71"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71" t="inlineStr">
        <is>
          <t>2024257580028</t>
        </is>
      </c>
      <c r="J71" s="99">
        <v>714714000</v>
      </c>
      <c r="K71" s="99">
        <v>154000000</v>
      </c>
      <c r="L71" s="99">
        <v>169400000</v>
      </c>
      <c r="M71" s="99">
        <v>186340000</v>
      </c>
      <c r="N71" s="99">
        <v>204974000</v>
      </c>
      <c r="O71" s="99">
        <v>80925780</v>
      </c>
      <c r="P71" s="99">
        <v>80925780</v>
      </c>
      <c r="Q71" s="99">
        <v>80925780</v>
      </c>
      <c r="R71" s="100">
        <v>0.525492077922078</v>
      </c>
      <c r="S71" t="inlineStr">
        <is>
          <t>Lo obligado está por debajo de lo programado en la vigencia</t>
        </is>
      </c>
      <c r="T71" s="101">
        <v>33279000</v>
      </c>
      <c r="U71" s="101">
        <v>23198000</v>
      </c>
      <c r="V71" s="101">
        <v>23198000</v>
      </c>
      <c r="W71" s="102">
        <v>0.136942148760331</v>
      </c>
      <c r="X71" t="inlineStr">
        <is>
          <t>Lo obligado está por debajo de lo programado en la vigencia</t>
        </is>
      </c>
    </row>
    <row r="72">
      <c r="A72" t="inlineStr">
        <is>
          <t>IP-76, IP-92, IP-95</t>
        </is>
      </c>
      <c r="B72" t="inlineStr">
        <is>
          <t>41</t>
        </is>
      </c>
      <c r="C72" t="inlineStr">
        <is>
          <t xml:space="preserve">Inclusión social y reconciliación </t>
        </is>
      </c>
      <c r="D72" t="inlineStr">
        <is>
          <t>4102</t>
        </is>
      </c>
      <c r="E72" t="inlineStr">
        <is>
          <t>Desarrollo integral de la primera infancia a la juventud, y fortalecimiento de las capacidades de las familias de niñas, niños y adolescentes</t>
        </is>
      </c>
      <c r="F72" t="inlineStr">
        <is>
          <t>4102042</t>
        </is>
      </c>
      <c r="G72" t="inlineStr">
        <is>
          <t>Servicio de asistencia técnica a comunidades en temas de fortalecimiento del tejido social y construcción de escenarios comunitarios protectores de derechos</t>
        </is>
      </c>
      <c r="H72"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72" t="inlineStr">
        <is>
          <t>2024257580025</t>
        </is>
      </c>
      <c r="J72" s="99">
        <v>1796321000</v>
      </c>
      <c r="K72" s="99">
        <v>376000000</v>
      </c>
      <c r="L72" s="99">
        <v>429100000</v>
      </c>
      <c r="M72" s="99">
        <v>472010000</v>
      </c>
      <c r="N72" s="99">
        <v>519211000</v>
      </c>
      <c r="O72" s="99">
        <v>75000066</v>
      </c>
      <c r="P72" s="99">
        <v>75000066</v>
      </c>
      <c r="Q72" s="99">
        <v>75000066</v>
      </c>
      <c r="R72" s="100">
        <v>0.199468260638298</v>
      </c>
      <c r="S72" t="inlineStr">
        <is>
          <t>Lo obligado está por debajo de lo programado en la vigencia</t>
        </is>
      </c>
      <c r="T72" s="101">
        <v>85577699</v>
      </c>
      <c r="U72" s="101">
        <v>69307239</v>
      </c>
      <c r="V72" s="101">
        <v>69307239</v>
      </c>
      <c r="W72" s="102">
        <v>0.161517685854113</v>
      </c>
      <c r="X72" t="inlineStr">
        <is>
          <t>Lo obligado está por debajo de lo programado en la vigencia</t>
        </is>
      </c>
    </row>
    <row r="73">
      <c r="A73" t="inlineStr">
        <is>
          <t>IP-77</t>
        </is>
      </c>
      <c r="B73" t="inlineStr">
        <is>
          <t>41</t>
        </is>
      </c>
      <c r="C73" t="inlineStr">
        <is>
          <t xml:space="preserve">Inclusión social y reconciliación </t>
        </is>
      </c>
      <c r="D73" t="inlineStr">
        <is>
          <t>4102</t>
        </is>
      </c>
      <c r="E73" t="inlineStr">
        <is>
          <t>Desarrollo integral de la primera infancia a la juventud, y fortalecimiento de las capacidades de las familias de niñas, niños y adolescentes</t>
        </is>
      </c>
      <c r="F73" t="inlineStr">
        <is>
          <t>4102002</t>
        </is>
      </c>
      <c r="G73" t="inlineStr">
        <is>
          <t>Servicio de atención tradicional a la primera infancia</t>
        </is>
      </c>
      <c r="H73" t="inlineStr">
        <is>
          <t xml:space="preserve">
Servicio dispuestos para atender a los niños y niñas en primera infancia, en los Hogares Comunitarios que brindan  cuidado, nutrición y protección.</t>
        </is>
      </c>
      <c r="I73" t="inlineStr">
        <is>
          <t>2024257580028</t>
        </is>
      </c>
      <c r="J73" s="99">
        <v>250000000</v>
      </c>
      <c r="K73" s="99">
        <v>50000000</v>
      </c>
      <c r="L73" s="99">
        <v>100000000</v>
      </c>
      <c r="M73" s="99">
        <v>50000000</v>
      </c>
      <c r="N73" s="99">
        <v>50000000</v>
      </c>
      <c r="O73" s="99">
        <v>1825060</v>
      </c>
      <c r="P73" s="99">
        <v>1825060</v>
      </c>
      <c r="Q73" s="99">
        <v>1495000</v>
      </c>
      <c r="R73" s="100">
        <v>0.0365012</v>
      </c>
      <c r="S73" t="inlineStr">
        <is>
          <t>Lo obligado está por debajo de lo programado en la vigencia</t>
        </is>
      </c>
      <c r="T73" s="101">
        <v>32356500</v>
      </c>
      <c r="U73" s="101">
        <v>24846400</v>
      </c>
      <c r="V73" s="101">
        <v>24846400</v>
      </c>
      <c r="W73" s="102">
        <v>0.248464</v>
      </c>
      <c r="X73" t="inlineStr">
        <is>
          <t>Lo obligado está por debajo de lo programado en la vigencia</t>
        </is>
      </c>
    </row>
    <row r="74">
      <c r="A74" t="inlineStr">
        <is>
          <t>IP-79</t>
        </is>
      </c>
      <c r="B74" t="inlineStr">
        <is>
          <t>41</t>
        </is>
      </c>
      <c r="C74" t="inlineStr">
        <is>
          <t xml:space="preserve">Inclusión social y reconciliación </t>
        </is>
      </c>
      <c r="D74" t="inlineStr">
        <is>
          <t>4102</t>
        </is>
      </c>
      <c r="E74" t="inlineStr">
        <is>
          <t>Desarrollo integral de la primera infancia a la juventud, y fortalecimiento de las capacidades de las familias de niñas, niños y adolescentes</t>
        </is>
      </c>
      <c r="F74" t="inlineStr">
        <is>
          <t>4102042</t>
        </is>
      </c>
      <c r="G74" t="inlineStr">
        <is>
          <t>Servicio de asistencia técnica a comunidades en temas de fortalecimiento del tejido social y construcción de escenarios comunitarios protectores de derechos</t>
        </is>
      </c>
      <c r="H74" t="inlineStr">
        <is>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is>
      </c>
      <c r="I74" t="inlineStr">
        <is>
          <t>2024257580028</t>
        </is>
      </c>
      <c r="J74" s="99">
        <v>278460000</v>
      </c>
      <c r="K74" s="99">
        <v>60000000</v>
      </c>
      <c r="L74" s="99">
        <v>66000000</v>
      </c>
      <c r="M74" s="99">
        <v>72600000</v>
      </c>
      <c r="N74" s="99">
        <v>79860000</v>
      </c>
      <c r="O74" s="99" t="inlineStr">
        <is>
          <t xml:space="preserve"> </t>
        </is>
      </c>
      <c r="P74" s="99" t="inlineStr">
        <is>
          <t xml:space="preserve"> </t>
        </is>
      </c>
      <c r="Q74" s="99" t="inlineStr">
        <is>
          <t xml:space="preserve"> </t>
        </is>
      </c>
      <c r="R74" s="100" t="inlineStr">
        <is>
          <t xml:space="preserve"> </t>
        </is>
      </c>
      <c r="S74" t="inlineStr">
        <is>
          <t>No se encontró ejecución en CUIPO</t>
        </is>
      </c>
      <c r="T74" s="101">
        <v>81042300</v>
      </c>
      <c r="U74" s="101">
        <v>47685425</v>
      </c>
      <c r="V74" s="101">
        <v>47685425</v>
      </c>
      <c r="W74" s="102">
        <v>0.722506439393939</v>
      </c>
      <c r="X74" t="inlineStr">
        <is>
          <t>Lo obligado está por debajo de lo programado en la vigencia</t>
        </is>
      </c>
    </row>
    <row r="75">
      <c r="A75" t="inlineStr">
        <is>
          <t>IP-80</t>
        </is>
      </c>
      <c r="B75" t="inlineStr">
        <is>
          <t>41</t>
        </is>
      </c>
      <c r="C75" t="inlineStr">
        <is>
          <t xml:space="preserve">Inclusión social y reconciliación </t>
        </is>
      </c>
      <c r="D75" t="inlineStr">
        <is>
          <t>4102</t>
        </is>
      </c>
      <c r="E75" t="inlineStr">
        <is>
          <t>Desarrollo integral de la primera infancia a la juventud, y fortalecimiento de las capacidades de las familias de niñas, niños y adolescentes</t>
        </is>
      </c>
      <c r="F75" t="inlineStr">
        <is>
          <t>4102040</t>
        </is>
      </c>
      <c r="G75" t="inlineStr">
        <is>
          <t>Documentos metodológicos</t>
        </is>
      </c>
      <c r="H75" t="inlineStr">
        <is>
          <t>Documentos que describen y explican métodos, herramientas analíticas o procesos que determinan la forma de realizar un análisis en particular.</t>
        </is>
      </c>
      <c r="I75" t="inlineStr">
        <is>
          <t>2024257580028</t>
        </is>
      </c>
      <c r="J75" s="99">
        <v>333223800</v>
      </c>
      <c r="K75" s="99">
        <v>71800000</v>
      </c>
      <c r="L75" s="99">
        <v>78980000</v>
      </c>
      <c r="M75" s="99">
        <v>86878000</v>
      </c>
      <c r="N75" s="99">
        <v>95565800</v>
      </c>
      <c r="O75" s="99">
        <v>7540000</v>
      </c>
      <c r="P75" s="99">
        <v>7540000</v>
      </c>
      <c r="Q75" s="99">
        <v>7540000</v>
      </c>
      <c r="R75" s="100">
        <v>0.105013927576602</v>
      </c>
      <c r="S75" t="inlineStr">
        <is>
          <t>Lo obligado está por debajo de lo programado en la vigencia</t>
        </is>
      </c>
      <c r="T75" s="101">
        <v>75172900</v>
      </c>
      <c r="U75" s="101">
        <v>50899520</v>
      </c>
      <c r="V75" s="101">
        <v>50899520</v>
      </c>
      <c r="W75" s="102">
        <v>0.644460876171183</v>
      </c>
      <c r="X75" t="inlineStr">
        <is>
          <t>Lo obligado está por debajo de lo programado en la vigencia</t>
        </is>
      </c>
    </row>
    <row r="76">
      <c r="A76" t="inlineStr">
        <is>
          <t>IP-82</t>
        </is>
      </c>
      <c r="B76" t="inlineStr">
        <is>
          <t>41</t>
        </is>
      </c>
      <c r="C76" t="inlineStr">
        <is>
          <t xml:space="preserve">Inclusión social y reconciliación </t>
        </is>
      </c>
      <c r="D76" t="inlineStr">
        <is>
          <t>4102</t>
        </is>
      </c>
      <c r="E76" t="inlineStr">
        <is>
          <t>Desarrollo integral de la primera infancia a la juventud, y fortalecimiento de las capacidades de las familias de niñas, niños y adolescentes</t>
        </is>
      </c>
      <c r="F76" t="inlineStr">
        <is>
          <t>4102047</t>
        </is>
      </c>
      <c r="G76" t="inlineStr">
        <is>
          <t>Servicios de asistencia técnica en políticas públicas de infancia, adolescencia y juventud</t>
        </is>
      </c>
      <c r="H76" t="inlineStr">
        <is>
          <t>Servicios orientados a fortalecer técnicamente a los agentes de la institucionalidad de infancia, adolescencia y juventud  en la formulación e implementación de sus propuestas de política pública, estrategias, planes y proyectos dirigidas a garantizar la protección integral de los niños, niñas, adolescentes y jóvenes.</t>
        </is>
      </c>
      <c r="I76" t="inlineStr">
        <is>
          <t>2024257580028</t>
        </is>
      </c>
      <c r="J76" s="99">
        <v>0</v>
      </c>
      <c r="K76" s="99">
        <v>0</v>
      </c>
      <c r="L76" s="99">
        <v>0</v>
      </c>
      <c r="M76" s="99">
        <v>0</v>
      </c>
      <c r="N76" s="99">
        <v>0</v>
      </c>
      <c r="O76" s="99" t="inlineStr">
        <is>
          <t xml:space="preserve"> </t>
        </is>
      </c>
      <c r="P76" s="99" t="inlineStr">
        <is>
          <t xml:space="preserve"> </t>
        </is>
      </c>
      <c r="Q76" s="99" t="inlineStr">
        <is>
          <t xml:space="preserve"> </t>
        </is>
      </c>
      <c r="R76" s="100" t="inlineStr">
        <is>
          <t xml:space="preserve"> </t>
        </is>
      </c>
      <c r="S76" t="inlineStr">
        <is>
          <t>No se encontró ejecución en CUIPO</t>
        </is>
      </c>
      <c r="T76" s="101">
        <v>4505000</v>
      </c>
      <c r="U76" s="101">
        <v>1294280</v>
      </c>
      <c r="V76" s="101">
        <v>1294280</v>
      </c>
      <c r="W76" s="102" t="inlineStr">
        <is>
          <t xml:space="preserve"> </t>
        </is>
      </c>
      <c r="X76" t="inlineStr">
        <is>
          <t>Se ejecutó un producto no programado en la vigencia</t>
        </is>
      </c>
    </row>
    <row r="77">
      <c r="A77" t="inlineStr">
        <is>
          <t>IP-83, IP-85, IP-86</t>
        </is>
      </c>
      <c r="B77" t="inlineStr">
        <is>
          <t>41</t>
        </is>
      </c>
      <c r="C77" t="inlineStr">
        <is>
          <t xml:space="preserve">Inclusión social y reconciliación </t>
        </is>
      </c>
      <c r="D77" t="inlineStr">
        <is>
          <t>4102</t>
        </is>
      </c>
      <c r="E77" t="inlineStr">
        <is>
          <t>Desarrollo integral de la primera infancia a la juventud, y fortalecimiento de las capacidades de las familias de niñas, niños y adolescentes</t>
        </is>
      </c>
      <c r="F77" t="inlineStr">
        <is>
          <t>4102038</t>
        </is>
      </c>
      <c r="G77" t="inlineStr">
        <is>
          <t>Servicio dirigidos a la atención de niños, niñas, adolescentes y jóvenes, con enfoque pedagógico y restaurativo encaminados a la inclusión social</t>
        </is>
      </c>
      <c r="H77" t="inlineStr">
        <is>
          <t>Servicio dirigidos a la atención de niños, niñas, adolescentes y jóvenes, con enfoque pedagógico y restaurativo encaminados a la inclusión social.</t>
        </is>
      </c>
      <c r="I77" t="inlineStr">
        <is>
          <t>2024257580025</t>
        </is>
      </c>
      <c r="J77" s="99">
        <v>0</v>
      </c>
      <c r="K77" s="99">
        <v>0</v>
      </c>
      <c r="L77" s="99">
        <v>0</v>
      </c>
      <c r="M77" s="99">
        <v>0</v>
      </c>
      <c r="N77" s="99">
        <v>0</v>
      </c>
      <c r="O77" s="99" t="inlineStr">
        <is>
          <t xml:space="preserve"> </t>
        </is>
      </c>
      <c r="P77" s="99" t="inlineStr">
        <is>
          <t xml:space="preserve"> </t>
        </is>
      </c>
      <c r="Q77" s="99" t="inlineStr">
        <is>
          <t xml:space="preserve"> </t>
        </is>
      </c>
      <c r="R77" s="100" t="inlineStr">
        <is>
          <t xml:space="preserve"> </t>
        </is>
      </c>
      <c r="S77" t="inlineStr">
        <is>
          <t>No se encontró ejecución en CUIPO</t>
        </is>
      </c>
      <c r="T77" s="101">
        <v>13515000</v>
      </c>
      <c r="U77" s="101">
        <v>0</v>
      </c>
      <c r="V77" s="101">
        <v>0</v>
      </c>
      <c r="W77" s="102" t="inlineStr">
        <is>
          <t xml:space="preserve"> </t>
        </is>
      </c>
      <c r="X77" t="inlineStr">
        <is>
          <t>No se programó ni ejecutó en la vigencia</t>
        </is>
      </c>
    </row>
    <row r="78">
      <c r="A78" t="inlineStr">
        <is>
          <t>IP-84</t>
        </is>
      </c>
      <c r="B78" t="inlineStr">
        <is>
          <t>41</t>
        </is>
      </c>
      <c r="C78" t="inlineStr">
        <is>
          <t xml:space="preserve">Inclusión social y reconciliación </t>
        </is>
      </c>
      <c r="D78" t="inlineStr">
        <is>
          <t>4102</t>
        </is>
      </c>
      <c r="E78" t="inlineStr">
        <is>
          <t>Desarrollo integral de la primera infancia a la juventud, y fortalecimiento de las capacidades de las familias de niñas, niños y adolescentes</t>
        </is>
      </c>
      <c r="F78" t="inlineStr">
        <is>
          <t>4102034</t>
        </is>
      </c>
      <c r="G78" t="inlineStr">
        <is>
          <t>Centros de Atención Especializada - CAE para el restablecimiento de derechos construidos y dotados</t>
        </is>
      </c>
      <c r="H78" t="inlineStr">
        <is>
          <t>Construcción y dotación de centros que brindan atención a los adolescentes vinculados al Sistema de Responsabilidad Penal para Adolescentes brindándoles atención con Servicio de salud, educación, deporte, cultura, recreación y la restauración de los vínculos familiares.</t>
        </is>
      </c>
      <c r="I78" t="inlineStr">
        <is>
          <t>2024257580025</t>
        </is>
      </c>
      <c r="J78" s="99">
        <v>180135774</v>
      </c>
      <c r="K78" s="99">
        <v>38814000</v>
      </c>
      <c r="L78" s="99">
        <v>42695400</v>
      </c>
      <c r="M78" s="99">
        <v>46964940</v>
      </c>
      <c r="N78" s="99">
        <v>51661434</v>
      </c>
      <c r="O78" s="99" t="inlineStr">
        <is>
          <t xml:space="preserve"> </t>
        </is>
      </c>
      <c r="P78" s="99" t="inlineStr">
        <is>
          <t xml:space="preserve"> </t>
        </is>
      </c>
      <c r="Q78" s="99" t="inlineStr">
        <is>
          <t xml:space="preserve"> </t>
        </is>
      </c>
      <c r="R78" s="100" t="inlineStr">
        <is>
          <t xml:space="preserve"> </t>
        </is>
      </c>
      <c r="S78" t="inlineStr">
        <is>
          <t>No se encontró ejecución en CUIPO</t>
        </is>
      </c>
      <c r="T78" s="101">
        <v>82865796</v>
      </c>
      <c r="U78" s="101">
        <v>82865796</v>
      </c>
      <c r="V78" s="101">
        <v>82865796</v>
      </c>
      <c r="W78" s="102">
        <v>1.9408600458129</v>
      </c>
      <c r="X78" t="inlineStr">
        <is>
          <t>Hubo ejecución por encima de lo programado en SisPT</t>
        </is>
      </c>
    </row>
    <row r="79">
      <c r="A79" t="inlineStr">
        <is>
          <t>IP-87, IP-90, IP-91, IP-93</t>
        </is>
      </c>
      <c r="B79" t="inlineStr">
        <is>
          <t>41</t>
        </is>
      </c>
      <c r="C79" t="inlineStr">
        <is>
          <t xml:space="preserve">Inclusión social y reconciliación </t>
        </is>
      </c>
      <c r="D79" t="inlineStr">
        <is>
          <t>4102</t>
        </is>
      </c>
      <c r="E79" t="inlineStr">
        <is>
          <t>Desarrollo integral de la primera infancia a la juventud, y fortalecimiento de las capacidades de las familias de niñas, niños y adolescentes</t>
        </is>
      </c>
      <c r="F79" t="inlineStr">
        <is>
          <t>4102045</t>
        </is>
      </c>
      <c r="G79" t="inlineStr">
        <is>
          <t>Servicios de educación informal a niños, niñas, adolescentes  y jóvenes para el reconocimiento de sus derechos</t>
        </is>
      </c>
      <c r="H79" t="inlineStr">
        <is>
          <t>Servicios mediante los cuales se socializan a los niños, niñas, adolescentes y jóvenes;  al igual que a sus padres, madres, cuidadores y docentes, los temas relacionados con el reconocimiento de los derechos de la niñez, la adolescencia y la juventud.</t>
        </is>
      </c>
      <c r="I79" t="inlineStr">
        <is>
          <t>2024257580025</t>
        </is>
      </c>
      <c r="J79" s="99">
        <v>400947000</v>
      </c>
      <c r="K79" s="99">
        <v>67000000</v>
      </c>
      <c r="L79" s="99">
        <v>113700000</v>
      </c>
      <c r="M79" s="99">
        <v>106070000</v>
      </c>
      <c r="N79" s="99">
        <v>114177000</v>
      </c>
      <c r="O79" s="99">
        <v>14488608</v>
      </c>
      <c r="P79" s="99">
        <v>14488608</v>
      </c>
      <c r="Q79" s="99">
        <v>14488608</v>
      </c>
      <c r="R79" s="100">
        <v>0.216247880597015</v>
      </c>
      <c r="S79" t="inlineStr">
        <is>
          <t>Lo obligado está por debajo de lo programado en la vigencia</t>
        </is>
      </c>
      <c r="T79" s="101">
        <v>94112700</v>
      </c>
      <c r="U79" s="101">
        <v>75941471</v>
      </c>
      <c r="V79" s="101">
        <v>75941471</v>
      </c>
      <c r="W79" s="102">
        <v>0.667910914687775</v>
      </c>
      <c r="X79" t="inlineStr">
        <is>
          <t>Lo obligado está por debajo de lo programado en la vigencia</t>
        </is>
      </c>
    </row>
    <row r="80">
      <c r="A80" t="inlineStr">
        <is>
          <t>IP-88</t>
        </is>
      </c>
      <c r="B80" t="inlineStr">
        <is>
          <t>41</t>
        </is>
      </c>
      <c r="C80" t="inlineStr">
        <is>
          <t xml:space="preserve">Inclusión social y reconciliación </t>
        </is>
      </c>
      <c r="D80" t="inlineStr">
        <is>
          <t>4102</t>
        </is>
      </c>
      <c r="E80" t="inlineStr">
        <is>
          <t>Desarrollo integral de la primera infancia a la juventud, y fortalecimiento de las capacidades de las familias de niñas, niños y adolescentes</t>
        </is>
      </c>
      <c r="F80" t="inlineStr">
        <is>
          <t>4102040</t>
        </is>
      </c>
      <c r="G80" t="inlineStr">
        <is>
          <t>Documentos metodológicos</t>
        </is>
      </c>
      <c r="H80" t="inlineStr">
        <is>
          <t>Documentos que describen y explican métodos, herramientas analíticas o procesos que determinan la forma de realizar un análisis en particular.</t>
        </is>
      </c>
      <c r="I80" t="inlineStr">
        <is>
          <t>2024257580025</t>
        </is>
      </c>
      <c r="J80" s="99">
        <v>232050000</v>
      </c>
      <c r="K80" s="99">
        <v>50000000</v>
      </c>
      <c r="L80" s="99">
        <v>55000000</v>
      </c>
      <c r="M80" s="99">
        <v>60500000</v>
      </c>
      <c r="N80" s="99">
        <v>66550000</v>
      </c>
      <c r="O80" s="99" t="inlineStr">
        <is>
          <t xml:space="preserve"> </t>
        </is>
      </c>
      <c r="P80" s="99" t="inlineStr">
        <is>
          <t xml:space="preserve"> </t>
        </is>
      </c>
      <c r="Q80" s="99" t="inlineStr">
        <is>
          <t xml:space="preserve"> </t>
        </is>
      </c>
      <c r="R80" s="100" t="inlineStr">
        <is>
          <t xml:space="preserve"> </t>
        </is>
      </c>
      <c r="S80" t="inlineStr">
        <is>
          <t>No se encontró ejecución en CUIPO</t>
        </is>
      </c>
      <c r="T80" s="101">
        <v>38446200</v>
      </c>
      <c r="U80" s="101">
        <v>31625100</v>
      </c>
      <c r="V80" s="101">
        <v>31625100</v>
      </c>
      <c r="W80" s="102">
        <v>0.575001818181818</v>
      </c>
      <c r="X80" t="inlineStr">
        <is>
          <t>Lo obligado está por debajo de lo programado en la vigencia</t>
        </is>
      </c>
    </row>
    <row r="81">
      <c r="A81" t="inlineStr">
        <is>
          <t>IP-89</t>
        </is>
      </c>
      <c r="B81" t="inlineStr">
        <is>
          <t>41</t>
        </is>
      </c>
      <c r="C81" t="inlineStr">
        <is>
          <t xml:space="preserve">Inclusión social y reconciliación </t>
        </is>
      </c>
      <c r="D81" t="inlineStr">
        <is>
          <t>4102</t>
        </is>
      </c>
      <c r="E81" t="inlineStr">
        <is>
          <t>Desarrollo integral de la primera infancia a la juventud, y fortalecimiento de las capacidades de las familias de niñas, niños y adolescentes</t>
        </is>
      </c>
      <c r="F81" t="inlineStr">
        <is>
          <t>4102049</t>
        </is>
      </c>
      <c r="G81" t="inlineStr">
        <is>
          <t>Edificaciones de atención a la adolescencia y juventud adecuadas</t>
        </is>
      </c>
      <c r="H81" t="inlineStr">
        <is>
          <t>Adecuación  de infraestructuras dirigidas  específicamente  a prestar servicio de atención a adolescencia y juventud.</t>
        </is>
      </c>
      <c r="I81" t="inlineStr">
        <is>
          <t>2024257580025</t>
        </is>
      </c>
      <c r="J81" s="99">
        <v>150000000</v>
      </c>
      <c r="K81" s="99">
        <v>10000000</v>
      </c>
      <c r="L81" s="99">
        <v>60000000</v>
      </c>
      <c r="M81" s="99">
        <v>80000000</v>
      </c>
      <c r="N81" s="99">
        <v>0</v>
      </c>
      <c r="O81" s="99">
        <v>6395056</v>
      </c>
      <c r="P81" s="99">
        <v>2567441</v>
      </c>
      <c r="Q81" s="99">
        <v>0</v>
      </c>
      <c r="R81" s="100">
        <v>0.2567441</v>
      </c>
      <c r="S81" t="inlineStr">
        <is>
          <t>Lo obligado está por debajo de lo programado en la vigencia</t>
        </is>
      </c>
      <c r="T81" s="101">
        <v>178083110</v>
      </c>
      <c r="U81" s="101">
        <v>101308498</v>
      </c>
      <c r="V81" s="101">
        <v>101308498</v>
      </c>
      <c r="W81" s="102">
        <v>1.68847496666667</v>
      </c>
      <c r="X81" t="inlineStr">
        <is>
          <t>Hubo ejecución por encima de lo programado en SisPT</t>
        </is>
      </c>
    </row>
    <row r="82">
      <c r="A82" t="inlineStr">
        <is>
          <t>IP-96</t>
        </is>
      </c>
      <c r="B82" t="inlineStr">
        <is>
          <t>41</t>
        </is>
      </c>
      <c r="C82" t="inlineStr">
        <is>
          <t xml:space="preserve">Inclusión social y reconciliación </t>
        </is>
      </c>
      <c r="D82" t="inlineStr">
        <is>
          <t>4102</t>
        </is>
      </c>
      <c r="E82" t="inlineStr">
        <is>
          <t>Desarrollo integral de la primera infancia a la juventud, y fortalecimiento de las capacidades de las familias de niñas, niños y adolescentes</t>
        </is>
      </c>
      <c r="F82" t="inlineStr">
        <is>
          <t>4102052</t>
        </is>
      </c>
      <c r="G82" t="inlineStr">
        <is>
          <t>Servicio de protección integral a niños, niñas, adolescentes y jóvenes</t>
        </is>
      </c>
      <c r="H82" t="inlineStr">
        <is>
          <t>Servicios enfocados a garantizar los derechos fundamentales , la prevención de amenazas o vulneración y restablecimiento de derechos.</t>
        </is>
      </c>
      <c r="I82" t="inlineStr">
        <is>
          <t>2024257580025</t>
        </is>
      </c>
      <c r="J82" s="99">
        <v>105920000</v>
      </c>
      <c r="K82" s="99">
        <v>0</v>
      </c>
      <c r="L82" s="99">
        <v>32000000</v>
      </c>
      <c r="M82" s="99">
        <v>35200000</v>
      </c>
      <c r="N82" s="99">
        <v>38720000</v>
      </c>
      <c r="O82" s="99" t="inlineStr">
        <is>
          <t xml:space="preserve"> </t>
        </is>
      </c>
      <c r="P82" s="99" t="inlineStr">
        <is>
          <t xml:space="preserve"> </t>
        </is>
      </c>
      <c r="Q82" s="99" t="inlineStr">
        <is>
          <t xml:space="preserve"> </t>
        </is>
      </c>
      <c r="R82" s="100" t="inlineStr">
        <is>
          <t xml:space="preserve"> </t>
        </is>
      </c>
      <c r="S82" t="inlineStr">
        <is>
          <t>No se encontró ejecución en CUIPO</t>
        </is>
      </c>
      <c r="T82" s="101" t="inlineStr">
        <is>
          <t xml:space="preserve"> </t>
        </is>
      </c>
      <c r="U82" s="101" t="inlineStr">
        <is>
          <t xml:space="preserve"> </t>
        </is>
      </c>
      <c r="V82" s="101" t="inlineStr">
        <is>
          <t xml:space="preserve"> </t>
        </is>
      </c>
      <c r="W82" s="102" t="inlineStr">
        <is>
          <t xml:space="preserve"> </t>
        </is>
      </c>
      <c r="X82" t="inlineStr">
        <is>
          <t>No se encontró ejecución en CUIPO</t>
        </is>
      </c>
    </row>
    <row r="83">
      <c r="A83" t="inlineStr">
        <is>
          <t>IP-97</t>
        </is>
      </c>
      <c r="B83" t="inlineStr">
        <is>
          <t>41</t>
        </is>
      </c>
      <c r="C83" t="inlineStr">
        <is>
          <t xml:space="preserve">Inclusión social y reconciliación </t>
        </is>
      </c>
      <c r="D83" t="inlineStr">
        <is>
          <t>4102</t>
        </is>
      </c>
      <c r="E83" t="inlineStr">
        <is>
          <t>Desarrollo integral de la primera infancia a la juventud, y fortalecimiento de las capacidades de las familias de niñas, niños y adolescentes</t>
        </is>
      </c>
      <c r="F83" t="inlineStr">
        <is>
          <t>4102035</t>
        </is>
      </c>
      <c r="G83" t="inlineStr">
        <is>
          <t>Documentos de lineamientos técnicos</t>
        </is>
      </c>
      <c r="H83" t="inlineStr">
        <is>
          <t>Documentos cuyo objetivo es describir y explicar instrumentos, estándares, requisitos y condiciones necesarias para llevar a cabo un proceso o actividad</t>
        </is>
      </c>
      <c r="I83" t="inlineStr">
        <is>
          <t>2024257580079</t>
        </is>
      </c>
      <c r="J83" s="99">
        <v>66200000</v>
      </c>
      <c r="K83" s="99">
        <v>0</v>
      </c>
      <c r="L83" s="99">
        <v>20000000</v>
      </c>
      <c r="M83" s="99">
        <v>22000000</v>
      </c>
      <c r="N83" s="99">
        <v>24200000</v>
      </c>
      <c r="O83" s="99">
        <v>33930000</v>
      </c>
      <c r="P83" s="99">
        <v>33930000</v>
      </c>
      <c r="Q83" s="99">
        <v>33930000</v>
      </c>
      <c r="R83" s="100" t="inlineStr">
        <is>
          <t xml:space="preserve"> </t>
        </is>
      </c>
      <c r="S83" t="inlineStr">
        <is>
          <t>Se ejecutó un producto no programado en la vigencia</t>
        </is>
      </c>
      <c r="T83" s="101">
        <v>16500000</v>
      </c>
      <c r="U83" s="101">
        <v>4125000</v>
      </c>
      <c r="V83" s="101">
        <v>4125000</v>
      </c>
      <c r="W83" s="102">
        <v>0.20625</v>
      </c>
      <c r="X83" t="inlineStr">
        <is>
          <t>Lo obligado está por debajo de lo programado en la vigencia</t>
        </is>
      </c>
    </row>
    <row r="84">
      <c r="A84" t="inlineStr">
        <is>
          <t>IP-100, IP-101, IP-98, IP-99</t>
        </is>
      </c>
      <c r="B84" t="inlineStr">
        <is>
          <t>41</t>
        </is>
      </c>
      <c r="C84" t="inlineStr">
        <is>
          <t xml:space="preserve">Inclusión social y reconciliación </t>
        </is>
      </c>
      <c r="D84" t="inlineStr">
        <is>
          <t>4102</t>
        </is>
      </c>
      <c r="E84" t="inlineStr">
        <is>
          <t>Desarrollo integral de la primera infancia a la juventud, y fortalecimiento de las capacidades de las familias de niñas, niños y adolescentes</t>
        </is>
      </c>
      <c r="F84" t="inlineStr">
        <is>
          <t>4102043</t>
        </is>
      </c>
      <c r="G84" t="inlineStr">
        <is>
          <t>Servicio de promoción de temas de dinámica relacional y desarrollo autónomo</t>
        </is>
      </c>
      <c r="H84"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84" t="inlineStr">
        <is>
          <t>2024257580079</t>
        </is>
      </c>
      <c r="J84" s="99">
        <v>185062000</v>
      </c>
      <c r="K84" s="99">
        <v>22000000</v>
      </c>
      <c r="L84" s="99">
        <v>50200000</v>
      </c>
      <c r="M84" s="99">
        <v>54220000</v>
      </c>
      <c r="N84" s="99">
        <v>58642000</v>
      </c>
      <c r="O84" s="99" t="inlineStr">
        <is>
          <t xml:space="preserve"> </t>
        </is>
      </c>
      <c r="P84" s="99" t="inlineStr">
        <is>
          <t xml:space="preserve"> </t>
        </is>
      </c>
      <c r="Q84" s="99" t="inlineStr">
        <is>
          <t xml:space="preserve"> </t>
        </is>
      </c>
      <c r="R84" s="100" t="inlineStr">
        <is>
          <t xml:space="preserve"> </t>
        </is>
      </c>
      <c r="S84" t="inlineStr">
        <is>
          <t>No se encontró ejecución en CUIPO</t>
        </is>
      </c>
      <c r="T84" s="101">
        <v>35407100</v>
      </c>
      <c r="U84" s="101">
        <v>13745666</v>
      </c>
      <c r="V84" s="101">
        <v>13745666</v>
      </c>
      <c r="W84" s="102">
        <v>0.273818047808765</v>
      </c>
      <c r="X84" t="inlineStr">
        <is>
          <t>Lo obligado está por debajo de lo programado en la vigencia</t>
        </is>
      </c>
    </row>
    <row r="85">
      <c r="A85" t="inlineStr">
        <is>
          <t>IP-102, IP-103, IP-104, IP-105, IP-106, IP-107, IP-108, IP-112</t>
        </is>
      </c>
      <c r="B85" t="inlineStr">
        <is>
          <t>41</t>
        </is>
      </c>
      <c r="C85" t="inlineStr">
        <is>
          <t xml:space="preserve">Inclusión social y reconciliación </t>
        </is>
      </c>
      <c r="D85" t="inlineStr">
        <is>
          <t>4103</t>
        </is>
      </c>
      <c r="E85" t="inlineStr">
        <is>
          <t>Inclusión social y productiva para la población en situación de vulnerabilidad</t>
        </is>
      </c>
      <c r="F85" t="inlineStr">
        <is>
          <t>4103052</t>
        </is>
      </c>
      <c r="G85" t="inlineStr">
        <is>
          <t>Servicio de gestión de oferta social para la población vulnerable</t>
        </is>
      </c>
      <c r="H85" t="inlineStr">
        <is>
          <t>Incluye el desarrollo de acciones encaminadas a generar dinámicas de atención conjunta, articulada y eficiente entre las instituciones del estado hacia la población vulnerable.</t>
        </is>
      </c>
      <c r="I85" t="inlineStr">
        <is>
          <t>2024257580014</t>
        </is>
      </c>
      <c r="J85" s="99">
        <v>1236334000</v>
      </c>
      <c r="K85" s="99">
        <v>286000000</v>
      </c>
      <c r="L85" s="99">
        <v>291400000</v>
      </c>
      <c r="M85" s="99">
        <v>324540000</v>
      </c>
      <c r="N85" s="99">
        <v>334394000</v>
      </c>
      <c r="O85" s="99">
        <v>37087867</v>
      </c>
      <c r="P85" s="99">
        <v>36404720</v>
      </c>
      <c r="Q85" s="99">
        <v>35380000</v>
      </c>
      <c r="R85" s="100">
        <v>0.127289230769231</v>
      </c>
      <c r="S85" t="inlineStr">
        <is>
          <t>Lo obligado está por debajo de lo programado en la vigencia</t>
        </is>
      </c>
      <c r="T85" s="101">
        <v>156175871</v>
      </c>
      <c r="U85" s="101">
        <v>117822229</v>
      </c>
      <c r="V85" s="101">
        <v>117822229</v>
      </c>
      <c r="W85" s="102">
        <v>0.404331602608099</v>
      </c>
      <c r="X85" t="inlineStr">
        <is>
          <t>Lo obligado está por debajo de lo programado en la vigencia</t>
        </is>
      </c>
    </row>
    <row r="86">
      <c r="A86" t="inlineStr">
        <is>
          <t>IP-109</t>
        </is>
      </c>
      <c r="B86" t="inlineStr">
        <is>
          <t>41</t>
        </is>
      </c>
      <c r="C86" t="inlineStr">
        <is>
          <t xml:space="preserve">Inclusión social y reconciliación </t>
        </is>
      </c>
      <c r="D86" t="inlineStr">
        <is>
          <t>4103</t>
        </is>
      </c>
      <c r="E86" t="inlineStr">
        <is>
          <t>Inclusión social y productiva para la población en situación de vulnerabilidad</t>
        </is>
      </c>
      <c r="F86" t="inlineStr">
        <is>
          <t>4103057</t>
        </is>
      </c>
      <c r="G86" t="inlineStr">
        <is>
          <t>Servicio de apoyo a unidades productivas individuales para la generación de ingresos</t>
        </is>
      </c>
      <c r="H86" t="inlineStr">
        <is>
          <t>Corresponde a la entrega de recursos en especie o monetarios dirigidos a generar las condiciones para el emprendimiento individual.</t>
        </is>
      </c>
      <c r="I86" t="inlineStr">
        <is>
          <t>2024257580014</t>
        </is>
      </c>
      <c r="J86" s="99">
        <v>90000000</v>
      </c>
      <c r="K86" s="99">
        <v>0</v>
      </c>
      <c r="L86" s="99">
        <v>40000000</v>
      </c>
      <c r="M86" s="99">
        <v>25000000</v>
      </c>
      <c r="N86" s="99">
        <v>25000000</v>
      </c>
      <c r="O86" s="99" t="inlineStr">
        <is>
          <t xml:space="preserve"> </t>
        </is>
      </c>
      <c r="P86" s="99" t="inlineStr">
        <is>
          <t xml:space="preserve"> </t>
        </is>
      </c>
      <c r="Q86" s="99" t="inlineStr">
        <is>
          <t xml:space="preserve"> </t>
        </is>
      </c>
      <c r="R86" s="100" t="inlineStr">
        <is>
          <t xml:space="preserve"> </t>
        </is>
      </c>
      <c r="S86" t="inlineStr">
        <is>
          <t>No se encontró ejecución en CUIPO</t>
        </is>
      </c>
      <c r="T86" s="101">
        <v>25623000</v>
      </c>
      <c r="U86" s="101">
        <v>25623000</v>
      </c>
      <c r="V86" s="101">
        <v>25623000</v>
      </c>
      <c r="W86" s="102">
        <v>0.640575</v>
      </c>
      <c r="X86" t="inlineStr">
        <is>
          <t>Lo obligado está por debajo de lo programado en la vigencia</t>
        </is>
      </c>
    </row>
    <row r="87">
      <c r="A87" t="inlineStr">
        <is>
          <t>IP-110, IP-111</t>
        </is>
      </c>
      <c r="B87" t="inlineStr">
        <is>
          <t>41</t>
        </is>
      </c>
      <c r="C87" t="inlineStr">
        <is>
          <t xml:space="preserve">Inclusión social y reconciliación </t>
        </is>
      </c>
      <c r="D87" t="inlineStr">
        <is>
          <t>4102</t>
        </is>
      </c>
      <c r="E87" t="inlineStr">
        <is>
          <t>Desarrollo integral de la primera infancia a la juventud, y fortalecimiento de las capacidades de las familias de niñas, niños y adolescentes</t>
        </is>
      </c>
      <c r="F87" t="inlineStr">
        <is>
          <t>4102043</t>
        </is>
      </c>
      <c r="G87" t="inlineStr">
        <is>
          <t>Servicio de promoción de temas de dinámica relacional y desarrollo autónomo</t>
        </is>
      </c>
      <c r="H87" t="inlineStr">
        <is>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is>
      </c>
      <c r="I87" t="inlineStr">
        <is>
          <t>2024257580014</t>
        </is>
      </c>
      <c r="J87" s="99">
        <v>167076000</v>
      </c>
      <c r="K87" s="99">
        <v>36000000</v>
      </c>
      <c r="L87" s="99">
        <v>39600000</v>
      </c>
      <c r="M87" s="99">
        <v>43560000</v>
      </c>
      <c r="N87" s="99">
        <v>47916000</v>
      </c>
      <c r="O87" s="99" t="inlineStr">
        <is>
          <t xml:space="preserve"> </t>
        </is>
      </c>
      <c r="P87" s="99" t="inlineStr">
        <is>
          <t xml:space="preserve"> </t>
        </is>
      </c>
      <c r="Q87" s="99" t="inlineStr">
        <is>
          <t xml:space="preserve"> </t>
        </is>
      </c>
      <c r="R87" s="100" t="inlineStr">
        <is>
          <t xml:space="preserve"> </t>
        </is>
      </c>
      <c r="S87" t="inlineStr">
        <is>
          <t>No se encontró ejecución en CUIPO</t>
        </is>
      </c>
      <c r="T87" s="101">
        <v>33370920</v>
      </c>
      <c r="U87" s="101">
        <v>27008094</v>
      </c>
      <c r="V87" s="101">
        <v>27008094</v>
      </c>
      <c r="W87" s="102">
        <v>0.682022575757576</v>
      </c>
      <c r="X87" t="inlineStr">
        <is>
          <t>Lo obligado está por debajo de lo programado en la vigencia</t>
        </is>
      </c>
    </row>
    <row r="88">
      <c r="A88" t="inlineStr">
        <is>
          <t>IP-113, IP-114, IP-115</t>
        </is>
      </c>
      <c r="B88" t="inlineStr">
        <is>
          <t>41</t>
        </is>
      </c>
      <c r="C88" t="inlineStr">
        <is>
          <t xml:space="preserve">Inclusión social y reconciliación </t>
        </is>
      </c>
      <c r="D88" t="inlineStr">
        <is>
          <t>4103</t>
        </is>
      </c>
      <c r="E88" t="inlineStr">
        <is>
          <t>Inclusión social y productiva para la población en situación de vulnerabilidad</t>
        </is>
      </c>
      <c r="F88" t="inlineStr">
        <is>
          <t>4103052</t>
        </is>
      </c>
      <c r="G88" t="inlineStr">
        <is>
          <t>Servicio de gestión de oferta social para la población vulnerable</t>
        </is>
      </c>
      <c r="H88" t="inlineStr">
        <is>
          <t>Incluye el desarrollo de acciones encaminadas a generar dinámicas de atención conjunta, articulada y eficiente entre las instituciones del estado hacia la población vulnerable.</t>
        </is>
      </c>
      <c r="I88" t="inlineStr">
        <is>
          <t>2024257580015</t>
        </is>
      </c>
      <c r="J88" s="99">
        <v>172500000</v>
      </c>
      <c r="K88" s="99">
        <v>7000000</v>
      </c>
      <c r="L88" s="99">
        <v>50000000</v>
      </c>
      <c r="M88" s="99">
        <v>55000000</v>
      </c>
      <c r="N88" s="99">
        <v>60500000</v>
      </c>
      <c r="O88" s="99" t="inlineStr">
        <is>
          <t xml:space="preserve"> </t>
        </is>
      </c>
      <c r="P88" s="99" t="inlineStr">
        <is>
          <t xml:space="preserve"> </t>
        </is>
      </c>
      <c r="Q88" s="99" t="inlineStr">
        <is>
          <t xml:space="preserve"> </t>
        </is>
      </c>
      <c r="R88" s="100" t="inlineStr">
        <is>
          <t xml:space="preserve"> </t>
        </is>
      </c>
      <c r="S88" t="inlineStr">
        <is>
          <t>No se encontró ejecución en CUIPO</t>
        </is>
      </c>
      <c r="T88" s="101">
        <v>35496923</v>
      </c>
      <c r="U88" s="101">
        <v>12235443</v>
      </c>
      <c r="V88" s="101">
        <v>12235443</v>
      </c>
      <c r="W88" s="102">
        <v>0.24470886</v>
      </c>
      <c r="X88" t="inlineStr">
        <is>
          <t>Lo obligado está por debajo de lo programado en la vigencia</t>
        </is>
      </c>
    </row>
    <row r="89">
      <c r="A89" t="inlineStr">
        <is>
          <t>IP-116</t>
        </is>
      </c>
      <c r="B89" t="inlineStr">
        <is>
          <t>41</t>
        </is>
      </c>
      <c r="C89" t="inlineStr">
        <is>
          <t xml:space="preserve">Inclusión social y reconciliación </t>
        </is>
      </c>
      <c r="D89" t="inlineStr">
        <is>
          <t>4104</t>
        </is>
      </c>
      <c r="E89" t="inlineStr">
        <is>
          <t>Atención integral de población en situación permanente de desprotección social y/o familiar</t>
        </is>
      </c>
      <c r="F89" t="inlineStr">
        <is>
          <t>4104009</t>
        </is>
      </c>
      <c r="G89" t="inlineStr">
        <is>
          <t>Centros de protección social de día para el adulto mayor adecuados</t>
        </is>
      </c>
      <c r="H89" t="inlineStr">
        <is>
          <t>Corresponde a la adecuación de infraestructura destinada a brindar servicios diurnos para el cuidado, bienestar integral y asistencia social de los adultos mayores en condicionesde descuido, abandono o víctimas de violencia intrafamiliar.</t>
        </is>
      </c>
      <c r="I89" t="inlineStr">
        <is>
          <t>2024257580006</t>
        </is>
      </c>
      <c r="J89" s="99">
        <v>74650000</v>
      </c>
      <c r="K89" s="99">
        <v>25000000</v>
      </c>
      <c r="L89" s="99">
        <v>15000000</v>
      </c>
      <c r="M89" s="99">
        <v>16500000</v>
      </c>
      <c r="N89" s="99">
        <v>18150000</v>
      </c>
      <c r="O89" s="99" t="inlineStr">
        <is>
          <t xml:space="preserve"> </t>
        </is>
      </c>
      <c r="P89" s="99" t="inlineStr">
        <is>
          <t xml:space="preserve"> </t>
        </is>
      </c>
      <c r="Q89" s="99" t="inlineStr">
        <is>
          <t xml:space="preserve"> </t>
        </is>
      </c>
      <c r="R89" s="100" t="inlineStr">
        <is>
          <t xml:space="preserve"> </t>
        </is>
      </c>
      <c r="S89" t="inlineStr">
        <is>
          <t>No se encontró ejecución en CUIPO</t>
        </is>
      </c>
      <c r="T89" s="101">
        <v>74193145</v>
      </c>
      <c r="U89" s="101">
        <v>57438703</v>
      </c>
      <c r="V89" s="101">
        <v>57438703</v>
      </c>
      <c r="W89" s="102">
        <v>3.82924686666667</v>
      </c>
      <c r="X89" t="inlineStr">
        <is>
          <t>Hubo ejecución por encima de lo programado en SisPT</t>
        </is>
      </c>
    </row>
    <row r="90">
      <c r="A90" t="inlineStr">
        <is>
          <t>IP-117</t>
        </is>
      </c>
      <c r="B90" t="inlineStr">
        <is>
          <t>41</t>
        </is>
      </c>
      <c r="C90" t="inlineStr">
        <is>
          <t xml:space="preserve">Inclusión social y reconciliación </t>
        </is>
      </c>
      <c r="D90" t="inlineStr">
        <is>
          <t>4104</t>
        </is>
      </c>
      <c r="E90" t="inlineStr">
        <is>
          <t>Atención integral de población en situación permanente de desprotección social y/o familiar</t>
        </is>
      </c>
      <c r="F90" t="inlineStr">
        <is>
          <t>4104010</t>
        </is>
      </c>
      <c r="G90" t="inlineStr">
        <is>
          <t>Servicio de educación informal a los cuidadores del adulto mayor</t>
        </is>
      </c>
      <c r="H90" t="inlineStr">
        <is>
          <t>Servicios dirigidos a fortalecer las habilidades y competencias de los cuidadores del adulto mayor en temas de protección y atención integral a esta población.</t>
        </is>
      </c>
      <c r="I90" t="inlineStr">
        <is>
          <t>2024257580006</t>
        </is>
      </c>
      <c r="J90" s="99">
        <v>278460000</v>
      </c>
      <c r="K90" s="99">
        <v>60000000</v>
      </c>
      <c r="L90" s="99">
        <v>66000000</v>
      </c>
      <c r="M90" s="99">
        <v>72600000</v>
      </c>
      <c r="N90" s="99">
        <v>79860000</v>
      </c>
      <c r="O90" s="99" t="inlineStr">
        <is>
          <t xml:space="preserve"> </t>
        </is>
      </c>
      <c r="P90" s="99" t="inlineStr">
        <is>
          <t xml:space="preserve"> </t>
        </is>
      </c>
      <c r="Q90" s="99" t="inlineStr">
        <is>
          <t xml:space="preserve"> </t>
        </is>
      </c>
      <c r="R90" s="100" t="inlineStr">
        <is>
          <t xml:space="preserve"> </t>
        </is>
      </c>
      <c r="S90" t="inlineStr">
        <is>
          <t>No se encontró ejecución en CUIPO</t>
        </is>
      </c>
      <c r="T90" s="101">
        <v>38446200</v>
      </c>
      <c r="U90" s="101">
        <v>34158146</v>
      </c>
      <c r="V90" s="101">
        <v>34158146</v>
      </c>
      <c r="W90" s="102">
        <v>0.517547666666667</v>
      </c>
      <c r="X90" t="inlineStr">
        <is>
          <t>Lo obligado está por debajo de lo programado en la vigencia</t>
        </is>
      </c>
    </row>
    <row r="91">
      <c r="A91" t="inlineStr">
        <is>
          <t>IP-118, IP-119, IP-121, IP-122, IP-123, IP-124</t>
        </is>
      </c>
      <c r="B91" t="inlineStr">
        <is>
          <t>41</t>
        </is>
      </c>
      <c r="C91" t="inlineStr">
        <is>
          <t xml:space="preserve">Inclusión social y reconciliación </t>
        </is>
      </c>
      <c r="D91" t="inlineStr">
        <is>
          <t>4104</t>
        </is>
      </c>
      <c r="E91" t="inlineStr">
        <is>
          <t>Atención integral de población en situación permanente de desprotección social y/o familiar</t>
        </is>
      </c>
      <c r="F91" t="inlineStr">
        <is>
          <t>4104008</t>
        </is>
      </c>
      <c r="G91" t="inlineStr">
        <is>
          <t>Servicio de atención y protección integral al adulto mayor</t>
        </is>
      </c>
      <c r="H91" t="inlineStr">
        <is>
          <t>Servicios integrales que incluyen aspectos relacionados con protección a la salud y bienestar social, educación, cultura, recreación, entorno físico y social favorable, productividad para los adultos mayores.</t>
        </is>
      </c>
      <c r="I91" t="inlineStr">
        <is>
          <t>2024257580006</t>
        </is>
      </c>
      <c r="J91" s="99">
        <v>7210635820</v>
      </c>
      <c r="K91" s="99">
        <v>1714242000</v>
      </c>
      <c r="L91" s="99">
        <v>1660542000</v>
      </c>
      <c r="M91" s="99">
        <v>1826596000</v>
      </c>
      <c r="N91" s="99">
        <v>2009255820</v>
      </c>
      <c r="O91" s="99">
        <v>316931860</v>
      </c>
      <c r="P91" s="99">
        <v>316931860</v>
      </c>
      <c r="Q91" s="99">
        <v>316931860</v>
      </c>
      <c r="R91" s="100">
        <v>0.18488163281497</v>
      </c>
      <c r="S91" t="inlineStr">
        <is>
          <t>Lo obligado está por debajo de lo programado en la vigencia</t>
        </is>
      </c>
      <c r="T91" s="101">
        <v>1001926591</v>
      </c>
      <c r="U91" s="101">
        <v>600766209</v>
      </c>
      <c r="V91" s="101">
        <v>600766209</v>
      </c>
      <c r="W91" s="102">
        <v>0.361789228456733</v>
      </c>
      <c r="X91" t="inlineStr">
        <is>
          <t>Lo obligado está por debajo de lo programado en la vigencia</t>
        </is>
      </c>
    </row>
    <row r="92">
      <c r="A92" t="inlineStr">
        <is>
          <t>IP-120</t>
        </is>
      </c>
      <c r="B92" t="inlineStr">
        <is>
          <t>41</t>
        </is>
      </c>
      <c r="C92" t="inlineStr">
        <is>
          <t xml:space="preserve">Inclusión social y reconciliación </t>
        </is>
      </c>
      <c r="D92" t="inlineStr">
        <is>
          <t>4103</t>
        </is>
      </c>
      <c r="E92" t="inlineStr">
        <is>
          <t>Inclusión social y productiva para la población en situación de vulnerabilidad</t>
        </is>
      </c>
      <c r="F92" t="inlineStr">
        <is>
          <t>4103068</t>
        </is>
      </c>
      <c r="G92" t="inlineStr">
        <is>
          <t>Documentos metodológicos</t>
        </is>
      </c>
      <c r="H92" t="inlineStr">
        <is>
          <t>Documentos cuyo objetivo es describir y explicar métodos, herramientas analíticas, o procesos que determinan un camino o forma de realizar un análisis en particular.</t>
        </is>
      </c>
      <c r="I92" t="inlineStr">
        <is>
          <t>2024257580006</t>
        </is>
      </c>
      <c r="J92" s="99">
        <v>259896000</v>
      </c>
      <c r="K92" s="99">
        <v>56000000</v>
      </c>
      <c r="L92" s="99">
        <v>61600000</v>
      </c>
      <c r="M92" s="99">
        <v>67760000</v>
      </c>
      <c r="N92" s="99">
        <v>74536000</v>
      </c>
      <c r="O92" s="99" t="inlineStr">
        <is>
          <t xml:space="preserve"> </t>
        </is>
      </c>
      <c r="P92" s="99" t="inlineStr">
        <is>
          <t xml:space="preserve"> </t>
        </is>
      </c>
      <c r="Q92" s="99" t="inlineStr">
        <is>
          <t xml:space="preserve"> </t>
        </is>
      </c>
      <c r="R92" s="100" t="inlineStr">
        <is>
          <t xml:space="preserve"> </t>
        </is>
      </c>
      <c r="S92" t="inlineStr">
        <is>
          <t>No se encontró ejecución en CUIPO</t>
        </is>
      </c>
      <c r="T92" s="101" t="inlineStr">
        <is>
          <t xml:space="preserve"> </t>
        </is>
      </c>
      <c r="U92" s="101" t="inlineStr">
        <is>
          <t xml:space="preserve"> </t>
        </is>
      </c>
      <c r="V92" s="101" t="inlineStr">
        <is>
          <t xml:space="preserve"> </t>
        </is>
      </c>
      <c r="W92" s="102" t="inlineStr">
        <is>
          <t xml:space="preserve"> </t>
        </is>
      </c>
      <c r="X92" t="inlineStr">
        <is>
          <t>No se encontró ejecución en CUIPO</t>
        </is>
      </c>
    </row>
    <row r="93">
      <c r="A93" t="inlineStr">
        <is>
          <t>IP-125, IP-126, IP-127, IP-128, IP-130, IP-131</t>
        </is>
      </c>
      <c r="B93" t="inlineStr">
        <is>
          <t>41</t>
        </is>
      </c>
      <c r="C93" t="inlineStr">
        <is>
          <t xml:space="preserve">Inclusión social y reconciliación </t>
        </is>
      </c>
      <c r="D93" t="inlineStr">
        <is>
          <t>4104</t>
        </is>
      </c>
      <c r="E93" t="inlineStr">
        <is>
          <t>Atención integral de población en situación permanente de desprotección social y/o familiar</t>
        </is>
      </c>
      <c r="F93" t="inlineStr">
        <is>
          <t>4104020</t>
        </is>
      </c>
      <c r="G93" t="inlineStr">
        <is>
          <t>Servicio de atención integral a población en condición de discapacidad</t>
        </is>
      </c>
      <c r="H93" t="inlineStr">
        <is>
          <t>Servicios integrales que incluyen aspectos relacionados con atención en salud, cuidado, alimentación, hospedaje, formación para el trabajo, inclusión productiva, recreación, entre otros, para población en condición de discapacidad.</t>
        </is>
      </c>
      <c r="I93" t="inlineStr">
        <is>
          <t>2024257580007</t>
        </is>
      </c>
      <c r="J93" s="99">
        <v>3873851000</v>
      </c>
      <c r="K93" s="99">
        <v>831000000</v>
      </c>
      <c r="L93" s="99">
        <v>932100000</v>
      </c>
      <c r="M93" s="99">
        <v>1006310000</v>
      </c>
      <c r="N93" s="99">
        <v>1104441000</v>
      </c>
      <c r="O93" s="99">
        <v>95167200</v>
      </c>
      <c r="P93" s="99">
        <v>95167200</v>
      </c>
      <c r="Q93" s="99">
        <v>89760000</v>
      </c>
      <c r="R93" s="100">
        <v>0.114521299638989</v>
      </c>
      <c r="S93" t="inlineStr">
        <is>
          <t>Lo obligado está por debajo de lo programado en la vigencia</t>
        </is>
      </c>
      <c r="T93" s="101">
        <v>550134250</v>
      </c>
      <c r="U93" s="101">
        <v>427480381</v>
      </c>
      <c r="V93" s="101">
        <v>427480381</v>
      </c>
      <c r="W93" s="102">
        <v>0.458620728462611</v>
      </c>
      <c r="X93" t="inlineStr">
        <is>
          <t>Lo obligado está por debajo de lo programado en la vigencia</t>
        </is>
      </c>
    </row>
    <row r="94">
      <c r="A94" t="inlineStr">
        <is>
          <t>IP-129</t>
        </is>
      </c>
      <c r="B94" t="inlineStr">
        <is>
          <t>41</t>
        </is>
      </c>
      <c r="C94" t="inlineStr">
        <is>
          <t xml:space="preserve">Inclusión social y reconciliación </t>
        </is>
      </c>
      <c r="D94" t="inlineStr">
        <is>
          <t>4104</t>
        </is>
      </c>
      <c r="E94" t="inlineStr">
        <is>
          <t>Atención integral de población en situación permanente de desprotección social y/o familiar</t>
        </is>
      </c>
      <c r="F94" t="inlineStr">
        <is>
          <t>4104037</t>
        </is>
      </c>
      <c r="G94" t="inlineStr">
        <is>
          <t>Centros de atención integral para personas con discapacidad adecuados</t>
        </is>
      </c>
      <c r="H94" t="inlineStr">
        <is>
          <t>Corresponde a la adecuación de infraestructura destinada al ofrecimiento de servicios de atención integral para población en condición de discapacidad.</t>
        </is>
      </c>
      <c r="I94" t="inlineStr">
        <is>
          <t>2024257580007</t>
        </is>
      </c>
      <c r="J94" s="99">
        <v>8110000000</v>
      </c>
      <c r="K94" s="99">
        <v>35000000</v>
      </c>
      <c r="L94" s="99">
        <v>8025000000</v>
      </c>
      <c r="M94" s="99">
        <v>25000000</v>
      </c>
      <c r="N94" s="99">
        <v>25000000</v>
      </c>
      <c r="O94" s="99">
        <v>36869698</v>
      </c>
      <c r="P94" s="99">
        <v>36869698</v>
      </c>
      <c r="Q94" s="99">
        <v>34338210</v>
      </c>
      <c r="R94" s="100">
        <v>1.05341994285714</v>
      </c>
      <c r="S94" t="inlineStr">
        <is>
          <t>Hubo ejecución por encima de lo programado en SisPT</t>
        </is>
      </c>
      <c r="T94" s="101">
        <v>12020400</v>
      </c>
      <c r="U94" s="101">
        <v>9568400</v>
      </c>
      <c r="V94" s="101">
        <v>9568400</v>
      </c>
      <c r="W94" s="102">
        <v>0.00119232398753894</v>
      </c>
      <c r="X94" t="inlineStr">
        <is>
          <t>Lo obligado está por debajo de lo programado en la vigencia</t>
        </is>
      </c>
    </row>
    <row r="95">
      <c r="A95" t="inlineStr">
        <is>
          <t>IP-132</t>
        </is>
      </c>
      <c r="B95" t="inlineStr">
        <is>
          <t>41</t>
        </is>
      </c>
      <c r="C95" t="inlineStr">
        <is>
          <t xml:space="preserve">Inclusión social y reconciliación </t>
        </is>
      </c>
      <c r="D95" t="inlineStr">
        <is>
          <t>4104</t>
        </is>
      </c>
      <c r="E95" t="inlineStr">
        <is>
          <t>Atención integral de población en situación permanente de desprotección social y/o familiar</t>
        </is>
      </c>
      <c r="F95" t="inlineStr">
        <is>
          <t>4104023</t>
        </is>
      </c>
      <c r="G95" t="inlineStr">
        <is>
          <t>Servicio de asistencia técnica a proyectos productivos de las granjas para adultos mayores</t>
        </is>
      </c>
      <c r="H95" t="inlineStr">
        <is>
          <t>Servicios orientados a fortalecer técnicamente las granjas para adultos mayores en el desarrollo de proyectos productivos agrícolas, pecuarios, silvícolas y ambientales.</t>
        </is>
      </c>
      <c r="I95" t="inlineStr">
        <is>
          <t>2024257580007</t>
        </is>
      </c>
      <c r="J95" s="99">
        <v>232050000</v>
      </c>
      <c r="K95" s="99">
        <v>50000000</v>
      </c>
      <c r="L95" s="99">
        <v>55000000</v>
      </c>
      <c r="M95" s="99">
        <v>60500000</v>
      </c>
      <c r="N95" s="99">
        <v>66550000</v>
      </c>
      <c r="O95" s="99" t="inlineStr">
        <is>
          <t xml:space="preserve"> </t>
        </is>
      </c>
      <c r="P95" s="99" t="inlineStr">
        <is>
          <t xml:space="preserve"> </t>
        </is>
      </c>
      <c r="Q95" s="99" t="inlineStr">
        <is>
          <t xml:space="preserve"> </t>
        </is>
      </c>
      <c r="R95" s="100" t="inlineStr">
        <is>
          <t xml:space="preserve"> </t>
        </is>
      </c>
      <c r="S95" t="inlineStr">
        <is>
          <t>No se encontró ejecución en CUIPO</t>
        </is>
      </c>
      <c r="T95" s="101" t="inlineStr">
        <is>
          <t xml:space="preserve"> </t>
        </is>
      </c>
      <c r="U95" s="101" t="inlineStr">
        <is>
          <t xml:space="preserve"> </t>
        </is>
      </c>
      <c r="V95" s="101" t="inlineStr">
        <is>
          <t xml:space="preserve"> </t>
        </is>
      </c>
      <c r="W95" s="102" t="inlineStr">
        <is>
          <t xml:space="preserve"> </t>
        </is>
      </c>
      <c r="X95" t="inlineStr">
        <is>
          <t>No se encontró ejecución en CUIPO</t>
        </is>
      </c>
    </row>
    <row r="96">
      <c r="A96" t="inlineStr">
        <is>
          <t>IP-133</t>
        </is>
      </c>
      <c r="B96" t="inlineStr">
        <is>
          <t>41</t>
        </is>
      </c>
      <c r="C96" t="inlineStr">
        <is>
          <t xml:space="preserve">Inclusión social y reconciliación </t>
        </is>
      </c>
      <c r="D96" t="inlineStr">
        <is>
          <t>4104</t>
        </is>
      </c>
      <c r="E96" t="inlineStr">
        <is>
          <t>Atención integral de población en situación permanente de desprotección social y/o familiar</t>
        </is>
      </c>
      <c r="F96" t="inlineStr">
        <is>
          <t>4104026</t>
        </is>
      </c>
      <c r="G96" t="inlineStr">
        <is>
          <t>Servicio de articulación de oferta social para la población habitante de calle</t>
        </is>
      </c>
      <c r="H96" t="inlineStr">
        <is>
          <t>Incluye el desarrollo de acciones encaminadas a generar dinámicas de atención conjunta, articulada y eficiente entre instituciones de carácter público y/o privado hacia la población habitante de la calle.</t>
        </is>
      </c>
      <c r="I96" t="inlineStr">
        <is>
          <t>2024257580013</t>
        </is>
      </c>
      <c r="J96" s="99">
        <v>142200000</v>
      </c>
      <c r="K96" s="99">
        <v>39000000</v>
      </c>
      <c r="L96" s="99">
        <v>33200000</v>
      </c>
      <c r="M96" s="99">
        <v>34400000</v>
      </c>
      <c r="N96" s="99">
        <v>35600000</v>
      </c>
      <c r="O96" s="99" t="inlineStr">
        <is>
          <t xml:space="preserve"> </t>
        </is>
      </c>
      <c r="P96" s="99" t="inlineStr">
        <is>
          <t xml:space="preserve"> </t>
        </is>
      </c>
      <c r="Q96" s="99" t="inlineStr">
        <is>
          <t xml:space="preserve"> </t>
        </is>
      </c>
      <c r="R96" s="100" t="inlineStr">
        <is>
          <t xml:space="preserve"> </t>
        </is>
      </c>
      <c r="S96" t="inlineStr">
        <is>
          <t>No se encontró ejecución en CUIPO</t>
        </is>
      </c>
      <c r="T96" s="101" t="inlineStr">
        <is>
          <t xml:space="preserve"> </t>
        </is>
      </c>
      <c r="U96" s="101" t="inlineStr">
        <is>
          <t xml:space="preserve"> </t>
        </is>
      </c>
      <c r="V96" s="101" t="inlineStr">
        <is>
          <t xml:space="preserve"> </t>
        </is>
      </c>
      <c r="W96" s="102" t="inlineStr">
        <is>
          <t xml:space="preserve"> </t>
        </is>
      </c>
      <c r="X96" t="inlineStr">
        <is>
          <t>No se encontró ejecución en CUIPO</t>
        </is>
      </c>
    </row>
    <row r="97">
      <c r="A97" t="inlineStr">
        <is>
          <t>IP-134, IP-136</t>
        </is>
      </c>
      <c r="B97" t="inlineStr">
        <is>
          <t>41</t>
        </is>
      </c>
      <c r="C97" t="inlineStr">
        <is>
          <t xml:space="preserve">Inclusión social y reconciliación </t>
        </is>
      </c>
      <c r="D97" t="inlineStr">
        <is>
          <t>4104</t>
        </is>
      </c>
      <c r="E97" t="inlineStr">
        <is>
          <t>Atención integral de población en situación permanente de desprotección social y/o familiar</t>
        </is>
      </c>
      <c r="F97" t="inlineStr">
        <is>
          <t>4104023</t>
        </is>
      </c>
      <c r="G97" t="inlineStr">
        <is>
          <t>Servicio de asistencia técnica a proyectos productivos de las granjas para adultos mayores</t>
        </is>
      </c>
      <c r="H97" t="inlineStr">
        <is>
          <t>Servicios orientados a fortalecer técnicamente las granjas para adultos mayores en el desarrollo de proyectos productivos agrícolas, pecuarios, silvícolas y ambientales.</t>
        </is>
      </c>
      <c r="I97" t="inlineStr">
        <is>
          <t>2024257580013</t>
        </is>
      </c>
      <c r="J97" s="99">
        <v>195000000</v>
      </c>
      <c r="K97" s="99">
        <v>0</v>
      </c>
      <c r="L97" s="99">
        <v>65000000</v>
      </c>
      <c r="M97" s="99">
        <v>65000000</v>
      </c>
      <c r="N97" s="99">
        <v>65000000</v>
      </c>
      <c r="O97" s="99" t="inlineStr">
        <is>
          <t xml:space="preserve"> </t>
        </is>
      </c>
      <c r="P97" s="99" t="inlineStr">
        <is>
          <t xml:space="preserve"> </t>
        </is>
      </c>
      <c r="Q97" s="99" t="inlineStr">
        <is>
          <t xml:space="preserve"> </t>
        </is>
      </c>
      <c r="R97" s="100" t="inlineStr">
        <is>
          <t xml:space="preserve"> </t>
        </is>
      </c>
      <c r="S97" t="inlineStr">
        <is>
          <t>No se encontró ejecución en CUIPO</t>
        </is>
      </c>
      <c r="T97" s="101" t="inlineStr">
        <is>
          <t xml:space="preserve"> </t>
        </is>
      </c>
      <c r="U97" s="101" t="inlineStr">
        <is>
          <t xml:space="preserve"> </t>
        </is>
      </c>
      <c r="V97" s="101" t="inlineStr">
        <is>
          <t xml:space="preserve"> </t>
        </is>
      </c>
      <c r="W97" s="102" t="inlineStr">
        <is>
          <t xml:space="preserve"> </t>
        </is>
      </c>
      <c r="X97" t="inlineStr">
        <is>
          <t>No se encontró ejecución en CUIPO</t>
        </is>
      </c>
    </row>
    <row r="98">
      <c r="A98" t="inlineStr">
        <is>
          <t>IP-135</t>
        </is>
      </c>
      <c r="B98" t="inlineStr">
        <is>
          <t>41</t>
        </is>
      </c>
      <c r="C98" t="inlineStr">
        <is>
          <t xml:space="preserve">Inclusión social y reconciliación </t>
        </is>
      </c>
      <c r="D98" t="inlineStr">
        <is>
          <t>4104</t>
        </is>
      </c>
      <c r="E98" t="inlineStr">
        <is>
          <t>Atención integral de población en situación permanente de desprotección social y/o familiar</t>
        </is>
      </c>
      <c r="F98" t="inlineStr">
        <is>
          <t>4104027</t>
        </is>
      </c>
      <c r="G98" t="inlineStr">
        <is>
          <t>Servicio de atención integral al habitante de la calle</t>
        </is>
      </c>
      <c r="H98" t="inlineStr">
        <is>
          <t>Servicios integrales que incluyen aspectos relacionados con atención en salud, alimentación, hospedaje, formación para el trabajo, inclusión productiva, entre otros y que se ofrecen intra o extramuralmente para habitantes de la calle.</t>
        </is>
      </c>
      <c r="I98" t="inlineStr">
        <is>
          <t>2024257580013</t>
        </is>
      </c>
      <c r="J98" s="99">
        <v>74256000</v>
      </c>
      <c r="K98" s="99">
        <v>16000000</v>
      </c>
      <c r="L98" s="99">
        <v>17600000</v>
      </c>
      <c r="M98" s="99">
        <v>19360000</v>
      </c>
      <c r="N98" s="99">
        <v>21296000</v>
      </c>
      <c r="O98" s="99" t="inlineStr">
        <is>
          <t xml:space="preserve"> </t>
        </is>
      </c>
      <c r="P98" s="99" t="inlineStr">
        <is>
          <t xml:space="preserve"> </t>
        </is>
      </c>
      <c r="Q98" s="99" t="inlineStr">
        <is>
          <t xml:space="preserve"> </t>
        </is>
      </c>
      <c r="R98" s="100" t="inlineStr">
        <is>
          <t xml:space="preserve"> </t>
        </is>
      </c>
      <c r="S98" t="inlineStr">
        <is>
          <t>No se encontró ejecución en CUIPO</t>
        </is>
      </c>
      <c r="T98" s="101" t="inlineStr">
        <is>
          <t xml:space="preserve"> </t>
        </is>
      </c>
      <c r="U98" s="101" t="inlineStr">
        <is>
          <t xml:space="preserve"> </t>
        </is>
      </c>
      <c r="V98" s="101" t="inlineStr">
        <is>
          <t xml:space="preserve"> </t>
        </is>
      </c>
      <c r="W98" s="102" t="inlineStr">
        <is>
          <t xml:space="preserve"> </t>
        </is>
      </c>
      <c r="X98" t="inlineStr">
        <is>
          <t>No se encontró ejecución en CUIPO</t>
        </is>
      </c>
    </row>
    <row r="99">
      <c r="A99" t="inlineStr">
        <is>
          <t>IP-137</t>
        </is>
      </c>
      <c r="B99" t="inlineStr">
        <is>
          <t>41</t>
        </is>
      </c>
      <c r="C99" t="inlineStr">
        <is>
          <t xml:space="preserve">Inclusión social y reconciliación </t>
        </is>
      </c>
      <c r="D99" t="inlineStr">
        <is>
          <t>4104</t>
        </is>
      </c>
      <c r="E99" t="inlineStr">
        <is>
          <t>Atención integral de población en situación permanente de desprotección social y/o familiar</t>
        </is>
      </c>
      <c r="F99" t="inlineStr">
        <is>
          <t>4104011</t>
        </is>
      </c>
      <c r="G99" t="inlineStr">
        <is>
          <t>Servicio de caracterización demográfica y socioeconómica de las personas habitantes de la calle</t>
        </is>
      </c>
      <c r="H99" t="inlineStr">
        <is>
          <t>Servicios mediante los cuales se identifican y analizan los perfiles de la población habitante de la calle.</t>
        </is>
      </c>
      <c r="I99" t="inlineStr">
        <is>
          <t>2024257580013</t>
        </is>
      </c>
      <c r="J99" s="99">
        <v>40000000</v>
      </c>
      <c r="K99" s="99">
        <v>10000000</v>
      </c>
      <c r="L99" s="99">
        <v>10000000</v>
      </c>
      <c r="M99" s="99">
        <v>10000000</v>
      </c>
      <c r="N99" s="99">
        <v>10000000</v>
      </c>
      <c r="O99" s="99" t="inlineStr">
        <is>
          <t xml:space="preserve"> </t>
        </is>
      </c>
      <c r="P99" s="99" t="inlineStr">
        <is>
          <t xml:space="preserve"> </t>
        </is>
      </c>
      <c r="Q99" s="99" t="inlineStr">
        <is>
          <t xml:space="preserve"> </t>
        </is>
      </c>
      <c r="R99" s="100" t="inlineStr">
        <is>
          <t xml:space="preserve"> </t>
        </is>
      </c>
      <c r="S99" t="inlineStr">
        <is>
          <t>No se encontró ejecución en CUIPO</t>
        </is>
      </c>
      <c r="T99" s="101" t="inlineStr">
        <is>
          <t xml:space="preserve"> </t>
        </is>
      </c>
      <c r="U99" s="101" t="inlineStr">
        <is>
          <t xml:space="preserve"> </t>
        </is>
      </c>
      <c r="V99" s="101" t="inlineStr">
        <is>
          <t xml:space="preserve"> </t>
        </is>
      </c>
      <c r="W99" s="102" t="inlineStr">
        <is>
          <t xml:space="preserve"> </t>
        </is>
      </c>
      <c r="X99" t="inlineStr">
        <is>
          <t>No se encontró ejecución en CUIPO</t>
        </is>
      </c>
    </row>
    <row r="100">
      <c r="A100" t="inlineStr">
        <is>
          <t>IP-138</t>
        </is>
      </c>
      <c r="B100" t="inlineStr">
        <is>
          <t>41</t>
        </is>
      </c>
      <c r="C100" t="inlineStr">
        <is>
          <t xml:space="preserve">Inclusión social y reconciliación </t>
        </is>
      </c>
      <c r="D100" t="inlineStr">
        <is>
          <t>4101</t>
        </is>
      </c>
      <c r="E100" t="inlineStr">
        <is>
          <t>Atención, asistencia y reparación integral a las víctimas</t>
        </is>
      </c>
      <c r="F100" t="inlineStr">
        <is>
          <t>4101014</t>
        </is>
      </c>
      <c r="G100" t="inlineStr">
        <is>
          <t>Servicio de caracterización de la población víctima para su posterior atención, asistencia y reparación integral</t>
        </is>
      </c>
      <c r="H100" t="inlineStr">
        <is>
          <t xml:space="preserve">Mediante los cuales se caracteriza y se hace levantamiento de información individual de cada víctima y su hogar para la Asistencia Atención y Reparación Integral  </t>
        </is>
      </c>
      <c r="I100" t="inlineStr">
        <is>
          <t>2024257580016</t>
        </is>
      </c>
      <c r="J100" s="99">
        <v>69615000</v>
      </c>
      <c r="K100" s="99">
        <v>15000000</v>
      </c>
      <c r="L100" s="99">
        <v>16500000</v>
      </c>
      <c r="M100" s="99">
        <v>18150000</v>
      </c>
      <c r="N100" s="99">
        <v>19965000</v>
      </c>
      <c r="O100" s="99" t="inlineStr">
        <is>
          <t xml:space="preserve"> </t>
        </is>
      </c>
      <c r="P100" s="99" t="inlineStr">
        <is>
          <t xml:space="preserve"> </t>
        </is>
      </c>
      <c r="Q100" s="99" t="inlineStr">
        <is>
          <t xml:space="preserve"> </t>
        </is>
      </c>
      <c r="R100" s="100" t="inlineStr">
        <is>
          <t xml:space="preserve"> </t>
        </is>
      </c>
      <c r="S100" t="inlineStr">
        <is>
          <t>No se encontró ejecución en CUIPO</t>
        </is>
      </c>
      <c r="T100" s="101" t="inlineStr">
        <is>
          <t xml:space="preserve"> </t>
        </is>
      </c>
      <c r="U100" s="101" t="inlineStr">
        <is>
          <t xml:space="preserve"> </t>
        </is>
      </c>
      <c r="V100" s="101" t="inlineStr">
        <is>
          <t xml:space="preserve"> </t>
        </is>
      </c>
      <c r="W100" s="102" t="inlineStr">
        <is>
          <t xml:space="preserve"> </t>
        </is>
      </c>
      <c r="X100" t="inlineStr">
        <is>
          <t>No se encontró ejecución en CUIPO</t>
        </is>
      </c>
    </row>
    <row r="101">
      <c r="A101" t="inlineStr">
        <is>
          <t>IP-139</t>
        </is>
      </c>
      <c r="B101" t="inlineStr">
        <is>
          <t>41</t>
        </is>
      </c>
      <c r="C101" t="inlineStr">
        <is>
          <t xml:space="preserve">Inclusión social y reconciliación </t>
        </is>
      </c>
      <c r="D101" t="inlineStr">
        <is>
          <t>4101</t>
        </is>
      </c>
      <c r="E101" t="inlineStr">
        <is>
          <t>Atención, asistencia y reparación integral a las víctimas</t>
        </is>
      </c>
      <c r="F101" t="inlineStr">
        <is>
          <t>4101103</t>
        </is>
      </c>
      <c r="G101" t="inlineStr">
        <is>
          <t>Documentos de planeación</t>
        </is>
      </c>
      <c r="H101"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01" t="inlineStr">
        <is>
          <t>2024257580016</t>
        </is>
      </c>
      <c r="J101" s="99">
        <v>69150000</v>
      </c>
      <c r="K101" s="99">
        <v>15000000</v>
      </c>
      <c r="L101" s="99">
        <v>16500000</v>
      </c>
      <c r="M101" s="99">
        <v>18150000</v>
      </c>
      <c r="N101" s="99">
        <v>19500000</v>
      </c>
      <c r="O101" s="99" t="inlineStr">
        <is>
          <t xml:space="preserve"> </t>
        </is>
      </c>
      <c r="P101" s="99" t="inlineStr">
        <is>
          <t xml:space="preserve"> </t>
        </is>
      </c>
      <c r="Q101" s="99" t="inlineStr">
        <is>
          <t xml:space="preserve"> </t>
        </is>
      </c>
      <c r="R101" s="100" t="inlineStr">
        <is>
          <t xml:space="preserve"> </t>
        </is>
      </c>
      <c r="S101" t="inlineStr">
        <is>
          <t>No se encontró ejecución en CUIPO</t>
        </is>
      </c>
      <c r="T101" s="101">
        <v>18656000</v>
      </c>
      <c r="U101" s="101">
        <v>17264000</v>
      </c>
      <c r="V101" s="101">
        <v>17264000</v>
      </c>
      <c r="W101" s="102">
        <v>1.04630303030303</v>
      </c>
      <c r="X101" t="inlineStr">
        <is>
          <t>Hubo ejecución por encima de lo programado en SisPT</t>
        </is>
      </c>
    </row>
    <row r="102">
      <c r="A102" t="inlineStr">
        <is>
          <t>IP-140</t>
        </is>
      </c>
      <c r="B102" t="inlineStr">
        <is>
          <t>41</t>
        </is>
      </c>
      <c r="C102" t="inlineStr">
        <is>
          <t xml:space="preserve">Inclusión social y reconciliación </t>
        </is>
      </c>
      <c r="D102" t="inlineStr">
        <is>
          <t>4101</t>
        </is>
      </c>
      <c r="E102" t="inlineStr">
        <is>
          <t>Atención, asistencia y reparación integral a las víctimas</t>
        </is>
      </c>
      <c r="F102" t="inlineStr">
        <is>
          <t>4101025</t>
        </is>
      </c>
      <c r="G102" t="inlineStr">
        <is>
          <t>Servicio de ayuda y atención humanitaria</t>
        </is>
      </c>
      <c r="H102" t="inlineStr">
        <is>
          <t>Mediante los cuales se entrega ayuda y atención humanitaria a las víctimas del conflicto armado. La ayuda humanitaria se entrega a las víctimas de otros hechos diferentes al desplazamiento forzado y la atención humanitaria a víctimas de desplazamiento forzado.</t>
        </is>
      </c>
      <c r="I102" t="inlineStr">
        <is>
          <t>2024257580016</t>
        </is>
      </c>
      <c r="J102" s="99">
        <v>40000000</v>
      </c>
      <c r="K102" s="99">
        <v>10000000</v>
      </c>
      <c r="L102" s="99">
        <v>10000000</v>
      </c>
      <c r="M102" s="99">
        <v>10000000</v>
      </c>
      <c r="N102" s="99">
        <v>10000000</v>
      </c>
      <c r="O102" s="99">
        <v>3384000</v>
      </c>
      <c r="P102" s="99">
        <v>3384000</v>
      </c>
      <c r="Q102" s="99">
        <v>585000</v>
      </c>
      <c r="R102" s="100">
        <v>0.3384</v>
      </c>
      <c r="S102" t="inlineStr">
        <is>
          <t>Lo obligado está por debajo de lo programado en la vigencia</t>
        </is>
      </c>
      <c r="T102" s="101">
        <v>213525</v>
      </c>
      <c r="U102" s="101">
        <v>213525</v>
      </c>
      <c r="V102" s="101">
        <v>213525</v>
      </c>
      <c r="W102" s="102">
        <v>0.0213525</v>
      </c>
      <c r="X102" t="inlineStr">
        <is>
          <t>Lo obligado está por debajo de lo programado en la vigencia</t>
        </is>
      </c>
    </row>
    <row r="103">
      <c r="A103" t="inlineStr">
        <is>
          <t>IP-141, IP-142</t>
        </is>
      </c>
      <c r="B103" t="inlineStr">
        <is>
          <t>41</t>
        </is>
      </c>
      <c r="C103" t="inlineStr">
        <is>
          <t xml:space="preserve">Inclusión social y reconciliación </t>
        </is>
      </c>
      <c r="D103" t="inlineStr">
        <is>
          <t>4101</t>
        </is>
      </c>
      <c r="E103" t="inlineStr">
        <is>
          <t>Atención, asistencia y reparación integral a las víctimas</t>
        </is>
      </c>
      <c r="F103" t="inlineStr">
        <is>
          <t>4101038</t>
        </is>
      </c>
      <c r="G103" t="inlineStr">
        <is>
          <t>Servicio de asistencia técnica para la participación de las víctimas</t>
        </is>
      </c>
      <c r="H103" t="inlineStr">
        <is>
          <t>Orientados a generar mecanismos mediante los cuales las víctimas tengan participación conjunta y activa en la determinación de las medidas y programas que se desarrollan en su proceso de atención y reparación.</t>
        </is>
      </c>
      <c r="I103" t="inlineStr">
        <is>
          <t>2024257580016</t>
        </is>
      </c>
      <c r="J103" s="99">
        <v>116025000</v>
      </c>
      <c r="K103" s="99">
        <v>25000000</v>
      </c>
      <c r="L103" s="99">
        <v>27500000</v>
      </c>
      <c r="M103" s="99">
        <v>30250000</v>
      </c>
      <c r="N103" s="99">
        <v>33275000</v>
      </c>
      <c r="O103" s="99">
        <v>2409000</v>
      </c>
      <c r="P103" s="99">
        <v>2409000</v>
      </c>
      <c r="Q103" s="99">
        <v>2409000</v>
      </c>
      <c r="R103" s="100">
        <v>0.09636</v>
      </c>
      <c r="S103" t="inlineStr">
        <is>
          <t>Lo obligado está por debajo de lo programado en la vigencia</t>
        </is>
      </c>
      <c r="T103" s="101">
        <v>26049250</v>
      </c>
      <c r="U103" s="101">
        <v>26049250</v>
      </c>
      <c r="V103" s="101">
        <v>26049250</v>
      </c>
      <c r="W103" s="102">
        <v>0.947245454545455</v>
      </c>
      <c r="X103" t="inlineStr">
        <is>
          <t>Lo obligado está por debajo de lo programado en la vigencia</t>
        </is>
      </c>
    </row>
    <row r="104">
      <c r="A104" t="inlineStr">
        <is>
          <t>IP-143</t>
        </is>
      </c>
      <c r="B104" t="inlineStr">
        <is>
          <t>41</t>
        </is>
      </c>
      <c r="C104" t="inlineStr">
        <is>
          <t xml:space="preserve">Inclusión social y reconciliación </t>
        </is>
      </c>
      <c r="D104" t="inlineStr">
        <is>
          <t>4101</t>
        </is>
      </c>
      <c r="E104" t="inlineStr">
        <is>
          <t>Atención, asistencia y reparación integral a las víctimas</t>
        </is>
      </c>
      <c r="F104" t="inlineStr">
        <is>
          <t>4101031</t>
        </is>
      </c>
      <c r="G104" t="inlineStr">
        <is>
          <t>Servicios de implementaciónde medidas de satisfacción y acompañamiento a las víctimas del conflicto armado</t>
        </is>
      </c>
      <c r="H104" t="inlineStr">
        <is>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is>
      </c>
      <c r="I104" t="inlineStr">
        <is>
          <t>2024257580016</t>
        </is>
      </c>
      <c r="J104" s="99">
        <v>69615000</v>
      </c>
      <c r="K104" s="99">
        <v>15000000</v>
      </c>
      <c r="L104" s="99">
        <v>16500000</v>
      </c>
      <c r="M104" s="99">
        <v>18150000</v>
      </c>
      <c r="N104" s="99">
        <v>19965000</v>
      </c>
      <c r="O104" s="99">
        <v>18940500</v>
      </c>
      <c r="P104" s="99">
        <v>18940500</v>
      </c>
      <c r="Q104" s="99">
        <v>18940500</v>
      </c>
      <c r="R104" s="100">
        <v>1.2627</v>
      </c>
      <c r="S104" t="inlineStr">
        <is>
          <t>Hubo ejecución por encima de lo programado en SisPT</t>
        </is>
      </c>
      <c r="T104" s="101">
        <v>44411000</v>
      </c>
      <c r="U104" s="101">
        <v>17672516</v>
      </c>
      <c r="V104" s="101">
        <v>17672516</v>
      </c>
      <c r="W104" s="102">
        <v>1.07106157575758</v>
      </c>
      <c r="X104" t="inlineStr">
        <is>
          <t>Hubo ejecución por encima de lo programado en SisPT</t>
        </is>
      </c>
    </row>
    <row r="105">
      <c r="A105" t="inlineStr">
        <is>
          <t>IP-144</t>
        </is>
      </c>
      <c r="B105" t="inlineStr">
        <is>
          <t>41</t>
        </is>
      </c>
      <c r="C105" t="inlineStr">
        <is>
          <t xml:space="preserve">Inclusión social y reconciliación </t>
        </is>
      </c>
      <c r="D105" t="inlineStr">
        <is>
          <t>4103</t>
        </is>
      </c>
      <c r="E105" t="inlineStr">
        <is>
          <t>Inclusión social y productiva para la población en situación de vulnerabilidad</t>
        </is>
      </c>
      <c r="F105" t="inlineStr">
        <is>
          <t>4103057</t>
        </is>
      </c>
      <c r="G105" t="inlineStr">
        <is>
          <t>Servicio de apoyo a unidades productivas individuales para la generación de ingresos</t>
        </is>
      </c>
      <c r="H105" t="inlineStr">
        <is>
          <t>Corresponde a la entrega de recursos en especie o monetarios dirigidos a generar las condiciones para el emprendimiento individual.</t>
        </is>
      </c>
      <c r="I105" t="inlineStr">
        <is>
          <t>2024257580016</t>
        </is>
      </c>
      <c r="J105" s="99">
        <v>100000000</v>
      </c>
      <c r="K105" s="99">
        <v>25000000</v>
      </c>
      <c r="L105" s="99">
        <v>25000000</v>
      </c>
      <c r="M105" s="99">
        <v>25000000</v>
      </c>
      <c r="N105" s="99">
        <v>25000000</v>
      </c>
      <c r="O105" s="99" t="inlineStr">
        <is>
          <t xml:space="preserve"> </t>
        </is>
      </c>
      <c r="P105" s="99" t="inlineStr">
        <is>
          <t xml:space="preserve"> </t>
        </is>
      </c>
      <c r="Q105" s="99" t="inlineStr">
        <is>
          <t xml:space="preserve"> </t>
        </is>
      </c>
      <c r="R105" s="100" t="inlineStr">
        <is>
          <t xml:space="preserve"> </t>
        </is>
      </c>
      <c r="S105" t="inlineStr">
        <is>
          <t>No se encontró ejecución en CUIPO</t>
        </is>
      </c>
      <c r="T105" s="101" t="inlineStr">
        <is>
          <t xml:space="preserve"> </t>
        </is>
      </c>
      <c r="U105" s="101" t="inlineStr">
        <is>
          <t xml:space="preserve"> </t>
        </is>
      </c>
      <c r="V105" s="101" t="inlineStr">
        <is>
          <t xml:space="preserve"> </t>
        </is>
      </c>
      <c r="W105" s="102" t="inlineStr">
        <is>
          <t xml:space="preserve"> </t>
        </is>
      </c>
      <c r="X105" t="inlineStr">
        <is>
          <t>No se encontró ejecución en CUIPO</t>
        </is>
      </c>
    </row>
    <row r="106">
      <c r="A106" t="inlineStr">
        <is>
          <t>IP-145</t>
        </is>
      </c>
      <c r="B106" t="inlineStr">
        <is>
          <t>33</t>
        </is>
      </c>
      <c r="C106" t="inlineStr">
        <is>
          <t>Cultura</t>
        </is>
      </c>
      <c r="D106" t="inlineStr">
        <is>
          <t>3301</t>
        </is>
      </c>
      <c r="E106" t="inlineStr">
        <is>
          <t>Promoción y acceso efectivo a procesos culturales y artísticos</t>
        </is>
      </c>
      <c r="F106" t="inlineStr">
        <is>
          <t>3301051</t>
        </is>
      </c>
      <c r="G106" t="inlineStr">
        <is>
          <t>Servicio de educación informal al sector artístico y cultural</t>
        </is>
      </c>
      <c r="H106" t="inlineStr">
        <is>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is>
      </c>
      <c r="I106" t="inlineStr">
        <is>
          <t>2024257580009</t>
        </is>
      </c>
      <c r="J106" s="99">
        <v>5492529745</v>
      </c>
      <c r="K106" s="99">
        <v>1004115000</v>
      </c>
      <c r="L106" s="99">
        <v>1304938000</v>
      </c>
      <c r="M106" s="99">
        <v>1487629320</v>
      </c>
      <c r="N106" s="99">
        <v>1695847425</v>
      </c>
      <c r="O106" s="99">
        <v>82985000</v>
      </c>
      <c r="P106" s="99">
        <v>82985000</v>
      </c>
      <c r="Q106" s="99">
        <v>82985000</v>
      </c>
      <c r="R106" s="100">
        <v>0.0826449161699606</v>
      </c>
      <c r="S106" t="inlineStr">
        <is>
          <t>Lo obligado está por debajo de lo programado en la vigencia</t>
        </is>
      </c>
      <c r="T106" s="101">
        <v>1326557185</v>
      </c>
      <c r="U106" s="101">
        <v>805142548</v>
      </c>
      <c r="V106" s="101">
        <v>805142548</v>
      </c>
      <c r="W106" s="102">
        <v>0.616996782988924</v>
      </c>
      <c r="X106" t="inlineStr">
        <is>
          <t>Lo obligado está por debajo de lo programado en la vigencia</t>
        </is>
      </c>
    </row>
    <row r="107">
      <c r="A107" t="inlineStr">
        <is>
          <t>IP-146, IP-155</t>
        </is>
      </c>
      <c r="B107" t="inlineStr">
        <is>
          <t>33</t>
        </is>
      </c>
      <c r="C107" t="inlineStr">
        <is>
          <t>Cultura</t>
        </is>
      </c>
      <c r="D107" t="inlineStr">
        <is>
          <t>3301</t>
        </is>
      </c>
      <c r="E107" t="inlineStr">
        <is>
          <t>Promoción y acceso efectivo a procesos culturales y artísticos</t>
        </is>
      </c>
      <c r="F107" t="inlineStr">
        <is>
          <t>3301054</t>
        </is>
      </c>
      <c r="G107" t="inlineStr">
        <is>
          <t>Servicio de apoyo financiero al sector artístico y cultural</t>
        </is>
      </c>
      <c r="H107" t="inlineStr">
        <is>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is>
      </c>
      <c r="I107" t="inlineStr">
        <is>
          <t>2024257580009</t>
        </is>
      </c>
      <c r="J107" s="99">
        <v>783422819</v>
      </c>
      <c r="K107" s="99">
        <v>159195377</v>
      </c>
      <c r="L107" s="99">
        <v>181482730</v>
      </c>
      <c r="M107" s="99">
        <v>206890312</v>
      </c>
      <c r="N107" s="99">
        <v>235854400</v>
      </c>
      <c r="O107" s="99">
        <v>149034871</v>
      </c>
      <c r="P107" s="99">
        <v>149034871</v>
      </c>
      <c r="Q107" s="99">
        <v>149034871</v>
      </c>
      <c r="R107" s="100">
        <v>0.93617587274535</v>
      </c>
      <c r="S107" t="inlineStr">
        <is>
          <t>Lo obligado está por debajo de lo programado en la vigencia</t>
        </is>
      </c>
      <c r="T107" s="101">
        <v>169995710</v>
      </c>
      <c r="U107" s="101">
        <v>59029083</v>
      </c>
      <c r="V107" s="101">
        <v>59029083</v>
      </c>
      <c r="W107" s="102">
        <v>0.325260056425204</v>
      </c>
      <c r="X107" t="inlineStr">
        <is>
          <t>Lo obligado está por debajo de lo programado en la vigencia</t>
        </is>
      </c>
    </row>
    <row r="108">
      <c r="A108" t="inlineStr">
        <is>
          <t>IP-147, IP-148, IP-152</t>
        </is>
      </c>
      <c r="B108" t="inlineStr">
        <is>
          <t>33</t>
        </is>
      </c>
      <c r="C108" t="inlineStr">
        <is>
          <t>Cultura</t>
        </is>
      </c>
      <c r="D108" t="inlineStr">
        <is>
          <t>3301</t>
        </is>
      </c>
      <c r="E108" t="inlineStr">
        <is>
          <t>Promoción y acceso efectivo a procesos culturales y artísticos</t>
        </is>
      </c>
      <c r="F108" t="inlineStr">
        <is>
          <t>3301073</t>
        </is>
      </c>
      <c r="G108" t="inlineStr">
        <is>
          <t>Servicio de circulación artística y cultural</t>
        </is>
      </c>
      <c r="H108" t="inlineStr">
        <is>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is>
      </c>
      <c r="I108" t="inlineStr">
        <is>
          <t>2024257580009</t>
        </is>
      </c>
      <c r="J108" s="99">
        <v>6038455288</v>
      </c>
      <c r="K108" s="99">
        <v>723803914</v>
      </c>
      <c r="L108" s="99">
        <v>1545136462</v>
      </c>
      <c r="M108" s="99">
        <v>1761455567</v>
      </c>
      <c r="N108" s="99">
        <v>2008059345</v>
      </c>
      <c r="O108" s="99">
        <v>825881413</v>
      </c>
      <c r="P108" s="99">
        <v>825881413</v>
      </c>
      <c r="Q108" s="99">
        <v>815372965</v>
      </c>
      <c r="R108" s="100">
        <v>1.14102921665052</v>
      </c>
      <c r="S108" t="inlineStr">
        <is>
          <t>Hubo ejecución por encima de lo programado en SisPT</t>
        </is>
      </c>
      <c r="T108" s="101">
        <v>898772329</v>
      </c>
      <c r="U108" s="101">
        <v>736370419</v>
      </c>
      <c r="V108" s="101">
        <v>736370419</v>
      </c>
      <c r="W108" s="102">
        <v>0.476573064651425</v>
      </c>
      <c r="X108" t="inlineStr">
        <is>
          <t>Lo obligado está por debajo de lo programado en la vigencia</t>
        </is>
      </c>
    </row>
    <row r="109">
      <c r="A109" t="inlineStr">
        <is>
          <t>IP-149</t>
        </is>
      </c>
      <c r="B109" t="inlineStr">
        <is>
          <t>33</t>
        </is>
      </c>
      <c r="C109" t="inlineStr">
        <is>
          <t>Cultura</t>
        </is>
      </c>
      <c r="D109" t="inlineStr">
        <is>
          <t>3301</t>
        </is>
      </c>
      <c r="E109" t="inlineStr">
        <is>
          <t>Promoción y acceso efectivo a procesos culturales y artísticos</t>
        </is>
      </c>
      <c r="F109" t="inlineStr">
        <is>
          <t>3301095</t>
        </is>
      </c>
      <c r="G109" t="inlineStr">
        <is>
          <t>Servicio de asistencia técnica en gestión artística y cultural</t>
        </is>
      </c>
      <c r="H109" t="inlineStr">
        <is>
          <t>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t>
        </is>
      </c>
      <c r="I109" t="inlineStr">
        <is>
          <t>2024257580009</t>
        </is>
      </c>
      <c r="J109" s="99">
        <v>402398585</v>
      </c>
      <c r="K109" s="99">
        <v>11875000</v>
      </c>
      <c r="L109" s="99">
        <v>113537500</v>
      </c>
      <c r="M109" s="99">
        <v>129432750</v>
      </c>
      <c r="N109" s="99">
        <v>147553335</v>
      </c>
      <c r="O109" s="99" t="inlineStr">
        <is>
          <t xml:space="preserve"> </t>
        </is>
      </c>
      <c r="P109" s="99" t="inlineStr">
        <is>
          <t xml:space="preserve"> </t>
        </is>
      </c>
      <c r="Q109" s="99" t="inlineStr">
        <is>
          <t xml:space="preserve"> </t>
        </is>
      </c>
      <c r="R109" s="100" t="inlineStr">
        <is>
          <t xml:space="preserve"> </t>
        </is>
      </c>
      <c r="S109" t="inlineStr">
        <is>
          <t>No se encontró ejecución en CUIPO</t>
        </is>
      </c>
      <c r="T109" s="101">
        <v>10000000</v>
      </c>
      <c r="U109" s="101">
        <v>7059600</v>
      </c>
      <c r="V109" s="101">
        <v>7059600</v>
      </c>
      <c r="W109" s="102">
        <v>0.0621785753605637</v>
      </c>
      <c r="X109" t="inlineStr">
        <is>
          <t>Lo obligado está por debajo de lo programado en la vigencia</t>
        </is>
      </c>
    </row>
    <row r="110">
      <c r="A110" t="inlineStr">
        <is>
          <t>IP-150</t>
        </is>
      </c>
      <c r="B110" t="inlineStr">
        <is>
          <t>33</t>
        </is>
      </c>
      <c r="C110" t="inlineStr">
        <is>
          <t>Cultura</t>
        </is>
      </c>
      <c r="D110" t="inlineStr">
        <is>
          <t>3301</t>
        </is>
      </c>
      <c r="E110" t="inlineStr">
        <is>
          <t>Promoción y acceso efectivo a procesos culturales y artísticos</t>
        </is>
      </c>
      <c r="F110" t="inlineStr">
        <is>
          <t>3301068</t>
        </is>
      </c>
      <c r="G110" t="inlineStr">
        <is>
          <t>Servicio de mantenimiento de infraestructura cultural</t>
        </is>
      </c>
      <c r="H110" t="inlineStr">
        <is>
          <t>Ajuste o adaptación de una Infraestructura Cultural en la cual ya se estén desarrollando prácticas culturales, se busca garantizar la permanencia del inmueble original con las especificaciones requeridas. Este proceso puede o no tener reforzamiento estructural.</t>
        </is>
      </c>
      <c r="I110" t="inlineStr">
        <is>
          <t>2024257580009</t>
        </is>
      </c>
      <c r="J110" s="99">
        <v>2089727354</v>
      </c>
      <c r="K110" s="99">
        <v>319801118</v>
      </c>
      <c r="L110" s="99">
        <v>514573275</v>
      </c>
      <c r="M110" s="99">
        <v>586613533</v>
      </c>
      <c r="N110" s="99">
        <v>668739428</v>
      </c>
      <c r="O110" s="99">
        <v>81003246</v>
      </c>
      <c r="P110" s="99">
        <v>79562516</v>
      </c>
      <c r="Q110" s="99">
        <v>70214197</v>
      </c>
      <c r="R110" s="100">
        <v>0.248787485477146</v>
      </c>
      <c r="S110" t="inlineStr">
        <is>
          <t>Lo obligado está por debajo de lo programado en la vigencia</t>
        </is>
      </c>
      <c r="T110" s="101">
        <v>223143390</v>
      </c>
      <c r="U110" s="101">
        <v>124982372</v>
      </c>
      <c r="V110" s="101">
        <v>124982372</v>
      </c>
      <c r="W110" s="102">
        <v>0.242885470490087</v>
      </c>
      <c r="X110" t="inlineStr">
        <is>
          <t>Lo obligado está por debajo de lo programado en la vigencia</t>
        </is>
      </c>
    </row>
    <row r="111">
      <c r="A111" t="inlineStr">
        <is>
          <t>IP-151</t>
        </is>
      </c>
      <c r="B111" t="inlineStr">
        <is>
          <t>33</t>
        </is>
      </c>
      <c r="C111" t="inlineStr">
        <is>
          <t>Cultura</t>
        </is>
      </c>
      <c r="D111" t="inlineStr">
        <is>
          <t>3301</t>
        </is>
      </c>
      <c r="E111" t="inlineStr">
        <is>
          <t>Promoción y acceso efectivo a procesos culturales y artísticos</t>
        </is>
      </c>
      <c r="F111" t="inlineStr">
        <is>
          <t>3301088</t>
        </is>
      </c>
      <c r="G111" t="inlineStr">
        <is>
          <t>Centros culturales construidos</t>
        </is>
      </c>
      <c r="H111" t="inlineStr">
        <is>
          <t>Son todas aquellas infraestructuras culturales que se construyan en un predio o terreno donde no existen elementos o construcciones previstas. </t>
        </is>
      </c>
      <c r="I111" t="inlineStr">
        <is>
          <t>2024257580009</t>
        </is>
      </c>
      <c r="J111" s="99">
        <v>20667000176</v>
      </c>
      <c r="K111" s="99">
        <v>7212000176</v>
      </c>
      <c r="L111" s="99">
        <v>13155000000</v>
      </c>
      <c r="M111" s="99">
        <v>150000000</v>
      </c>
      <c r="N111" s="99">
        <v>150000000</v>
      </c>
      <c r="O111" s="99">
        <v>465655498</v>
      </c>
      <c r="P111" s="99">
        <v>0</v>
      </c>
      <c r="Q111" s="99">
        <v>0</v>
      </c>
      <c r="R111" s="100">
        <v>0</v>
      </c>
      <c r="S111" t="inlineStr">
        <is>
          <t>No se ejecutó en la vigencia</t>
        </is>
      </c>
      <c r="T111" s="101" t="inlineStr">
        <is>
          <t xml:space="preserve"> </t>
        </is>
      </c>
      <c r="U111" s="101" t="inlineStr">
        <is>
          <t xml:space="preserve"> </t>
        </is>
      </c>
      <c r="V111" s="101" t="inlineStr">
        <is>
          <t xml:space="preserve"> </t>
        </is>
      </c>
      <c r="W111" s="102" t="inlineStr">
        <is>
          <t xml:space="preserve"> </t>
        </is>
      </c>
      <c r="X111" t="inlineStr">
        <is>
          <t>No se encontró ejecución en CUIPO</t>
        </is>
      </c>
    </row>
    <row r="112">
      <c r="A112" t="inlineStr">
        <is>
          <t>IP-153</t>
        </is>
      </c>
      <c r="B112" t="inlineStr">
        <is>
          <t>33</t>
        </is>
      </c>
      <c r="C112" t="inlineStr">
        <is>
          <t>Cultura</t>
        </is>
      </c>
      <c r="D112" t="inlineStr">
        <is>
          <t>3301</t>
        </is>
      </c>
      <c r="E112" t="inlineStr">
        <is>
          <t>Promoción y acceso efectivo a procesos culturales y artísticos</t>
        </is>
      </c>
      <c r="F112" t="inlineStr">
        <is>
          <t>3301128</t>
        </is>
      </c>
      <c r="G112" t="inlineStr">
        <is>
          <t>Servicio de apoyo financiero para creadores y gestores culturales</t>
        </is>
      </c>
      <c r="H112" t="inlineStr">
        <is>
          <t>Corresponde al beneficio económico periódico entregado a los creadores y gestores culturales, para garantizar una renta vitalicia a estos agentes.</t>
        </is>
      </c>
      <c r="I112" t="inlineStr">
        <is>
          <t>2024257580009</t>
        </is>
      </c>
      <c r="J112" s="99">
        <v>1165515695</v>
      </c>
      <c r="K112" s="99">
        <v>649575695</v>
      </c>
      <c r="L112" s="99">
        <v>150000000</v>
      </c>
      <c r="M112" s="99">
        <v>171000000</v>
      </c>
      <c r="N112" s="99">
        <v>194940000</v>
      </c>
      <c r="O112" s="99" t="inlineStr">
        <is>
          <t xml:space="preserve"> </t>
        </is>
      </c>
      <c r="P112" s="99" t="inlineStr">
        <is>
          <t xml:space="preserve"> </t>
        </is>
      </c>
      <c r="Q112" s="99" t="inlineStr">
        <is>
          <t xml:space="preserve"> </t>
        </is>
      </c>
      <c r="R112" s="100" t="inlineStr">
        <is>
          <t xml:space="preserve"> </t>
        </is>
      </c>
      <c r="S112" t="inlineStr">
        <is>
          <t>No se encontró ejecución en CUIPO</t>
        </is>
      </c>
      <c r="T112" s="101" t="inlineStr">
        <is>
          <t xml:space="preserve"> </t>
        </is>
      </c>
      <c r="U112" s="101" t="inlineStr">
        <is>
          <t xml:space="preserve"> </t>
        </is>
      </c>
      <c r="V112" s="101" t="inlineStr">
        <is>
          <t xml:space="preserve"> </t>
        </is>
      </c>
      <c r="W112" s="102" t="inlineStr">
        <is>
          <t xml:space="preserve"> </t>
        </is>
      </c>
      <c r="X112" t="inlineStr">
        <is>
          <t>No se encontró ejecución en CUIPO</t>
        </is>
      </c>
    </row>
    <row r="113">
      <c r="A113" t="inlineStr">
        <is>
          <t>IP-154</t>
        </is>
      </c>
      <c r="B113" t="inlineStr">
        <is>
          <t>33</t>
        </is>
      </c>
      <c r="C113" t="inlineStr">
        <is>
          <t>Cultura</t>
        </is>
      </c>
      <c r="D113" t="inlineStr">
        <is>
          <t>3301</t>
        </is>
      </c>
      <c r="E113" t="inlineStr">
        <is>
          <t>Promoción y acceso efectivo a procesos culturales y artísticos</t>
        </is>
      </c>
      <c r="F113" t="inlineStr">
        <is>
          <t>3301129</t>
        </is>
      </c>
      <c r="G113" t="inlineStr">
        <is>
          <t>Documentos de planeación</t>
        </is>
      </c>
      <c r="H113"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113" t="inlineStr">
        <is>
          <t>2024257580009</t>
        </is>
      </c>
      <c r="J113" s="99">
        <v>128090704</v>
      </c>
      <c r="K113" s="99">
        <v>0</v>
      </c>
      <c r="L113" s="99">
        <v>37240000</v>
      </c>
      <c r="M113" s="99">
        <v>42453600</v>
      </c>
      <c r="N113" s="99">
        <v>48397104</v>
      </c>
      <c r="O113" s="99" t="inlineStr">
        <is>
          <t xml:space="preserve"> </t>
        </is>
      </c>
      <c r="P113" s="99" t="inlineStr">
        <is>
          <t xml:space="preserve"> </t>
        </is>
      </c>
      <c r="Q113" s="99" t="inlineStr">
        <is>
          <t xml:space="preserve"> </t>
        </is>
      </c>
      <c r="R113" s="100" t="inlineStr">
        <is>
          <t xml:space="preserve"> </t>
        </is>
      </c>
      <c r="S113" t="inlineStr">
        <is>
          <t>No se encontró ejecución en CUIPO</t>
        </is>
      </c>
      <c r="T113" s="101">
        <v>12734799</v>
      </c>
      <c r="U113" s="101">
        <v>12734799</v>
      </c>
      <c r="V113" s="101">
        <v>12734799</v>
      </c>
      <c r="W113" s="102">
        <v>0.341965601503759</v>
      </c>
      <c r="X113" t="inlineStr">
        <is>
          <t>Lo obligado está por debajo de lo programado en la vigencia</t>
        </is>
      </c>
    </row>
    <row r="114">
      <c r="A114" t="inlineStr">
        <is>
          <t>IP-156</t>
        </is>
      </c>
      <c r="B114" t="inlineStr">
        <is>
          <t>33</t>
        </is>
      </c>
      <c r="C114" t="inlineStr">
        <is>
          <t>Cultura</t>
        </is>
      </c>
      <c r="D114" t="inlineStr">
        <is>
          <t>3301</t>
        </is>
      </c>
      <c r="E114" t="inlineStr">
        <is>
          <t>Promoción y acceso efectivo a procesos culturales y artísticos</t>
        </is>
      </c>
      <c r="F114" t="inlineStr">
        <is>
          <t>3301085</t>
        </is>
      </c>
      <c r="G114" t="inlineStr">
        <is>
          <t>Servicios bibliotecarios</t>
        </is>
      </c>
      <c r="H114" t="inlineStr">
        <is>
          <t>Conjunto de actividades desarrolladas en una biblioteca, con el fin de facilitar y promover la disponibilidad y el acceso a la información y a la cultura con estándares de calidad, pertinencia y oportunidad.   </t>
        </is>
      </c>
      <c r="I114" t="inlineStr">
        <is>
          <t>2024257580009</t>
        </is>
      </c>
      <c r="J114" s="99">
        <v>833679819</v>
      </c>
      <c r="K114" s="99">
        <v>141450000</v>
      </c>
      <c r="L114" s="99">
        <v>201253000</v>
      </c>
      <c r="M114" s="99">
        <v>229428420</v>
      </c>
      <c r="N114" s="99">
        <v>261548399</v>
      </c>
      <c r="O114" s="99" t="inlineStr">
        <is>
          <t xml:space="preserve"> </t>
        </is>
      </c>
      <c r="P114" s="99" t="inlineStr">
        <is>
          <t xml:space="preserve"> </t>
        </is>
      </c>
      <c r="Q114" s="99" t="inlineStr">
        <is>
          <t xml:space="preserve"> </t>
        </is>
      </c>
      <c r="R114" s="100" t="inlineStr">
        <is>
          <t xml:space="preserve"> </t>
        </is>
      </c>
      <c r="S114" t="inlineStr">
        <is>
          <t>No se encontró ejecución en CUIPO</t>
        </is>
      </c>
      <c r="T114" s="101">
        <v>100600400</v>
      </c>
      <c r="U114" s="101">
        <v>58124040</v>
      </c>
      <c r="V114" s="101">
        <v>58124040</v>
      </c>
      <c r="W114" s="102">
        <v>0.288810800335896</v>
      </c>
      <c r="X114" t="inlineStr">
        <is>
          <t>Lo obligado está por debajo de lo programado en la vigencia</t>
        </is>
      </c>
    </row>
    <row r="115">
      <c r="A115" t="inlineStr">
        <is>
          <t>IP-157</t>
        </is>
      </c>
      <c r="B115" t="inlineStr">
        <is>
          <t>33</t>
        </is>
      </c>
      <c r="C115" t="inlineStr">
        <is>
          <t>Cultura</t>
        </is>
      </c>
      <c r="D115" t="inlineStr">
        <is>
          <t>3302</t>
        </is>
      </c>
      <c r="E115" t="inlineStr">
        <is>
          <t>Gestión, protección y salvaguardia del patrimonio cultural colombiano</t>
        </is>
      </c>
      <c r="F115" t="inlineStr">
        <is>
          <t>3302049</t>
        </is>
      </c>
      <c r="G115" t="inlineStr">
        <is>
          <t>Servicio de salvaguardia al patrimonio inmaterial</t>
        </is>
      </c>
      <c r="H115" t="inlineStr">
        <is>
          <t>Hace referencia a las estrategias orientadas a promover medidas efectivas para garantizar la viabilidad del patrimonio cultural inmaterial, comprendidas la identificación, documentación, investigación, recuperación, preservación, protección, promoción, valoración, transmisión y revitalización integral del mismo</t>
        </is>
      </c>
      <c r="I115" t="inlineStr">
        <is>
          <t>2024257580066</t>
        </is>
      </c>
      <c r="J115" s="99">
        <v>527815000</v>
      </c>
      <c r="K115" s="99">
        <v>11875000</v>
      </c>
      <c r="L115" s="99">
        <v>150000000</v>
      </c>
      <c r="M115" s="99">
        <v>171000000</v>
      </c>
      <c r="N115" s="99">
        <v>194940000</v>
      </c>
      <c r="O115" s="99">
        <v>5098462</v>
      </c>
      <c r="P115" s="99">
        <v>5098462</v>
      </c>
      <c r="Q115" s="99">
        <v>5098462</v>
      </c>
      <c r="R115" s="100">
        <v>0.429344168421053</v>
      </c>
      <c r="S115" t="inlineStr">
        <is>
          <t>Lo obligado está por debajo de lo programado en la vigencia</t>
        </is>
      </c>
      <c r="T115" s="101">
        <v>23850000</v>
      </c>
      <c r="U115" s="101">
        <v>15723324</v>
      </c>
      <c r="V115" s="101">
        <v>15723324</v>
      </c>
      <c r="W115" s="102">
        <v>0.10482216</v>
      </c>
      <c r="X115" t="inlineStr">
        <is>
          <t>Lo obligado está por debajo de lo programado en la vigencia</t>
        </is>
      </c>
    </row>
    <row r="116">
      <c r="A116" t="inlineStr">
        <is>
          <t>IP-158, IP-160</t>
        </is>
      </c>
      <c r="B116" t="inlineStr">
        <is>
          <t>43</t>
        </is>
      </c>
      <c r="C116" t="inlineStr">
        <is>
          <t>Deporte y Recreación</t>
        </is>
      </c>
      <c r="D116" t="inlineStr">
        <is>
          <t>4301</t>
        </is>
      </c>
      <c r="E116" t="inlineStr">
        <is>
          <t>Fomento a la recreación, la actividad física y el deporte para desarrollar entornos de convivencia y paz</t>
        </is>
      </c>
      <c r="F116" t="inlineStr">
        <is>
          <t>4301007</t>
        </is>
      </c>
      <c r="G116" t="inlineStr">
        <is>
          <t>Servicio de Escuelas Deportivas</t>
        </is>
      </c>
      <c r="H116" t="inlineStr">
        <is>
          <t>Corresponde a los procesos de iniciación, fundamentación y perfeccionamiento deportivos a partir de  las clases donde se practica la actividad física, la recreación y/o el deporte.</t>
        </is>
      </c>
      <c r="I116" t="inlineStr">
        <is>
          <t>2024257580029</t>
        </is>
      </c>
      <c r="J116" s="99">
        <v>5684111842.9</v>
      </c>
      <c r="K116" s="99">
        <v>1262336893</v>
      </c>
      <c r="L116" s="99">
        <v>1400976193.5</v>
      </c>
      <c r="M116" s="99">
        <v>1472675003.1</v>
      </c>
      <c r="N116" s="99">
        <v>1548123753.3</v>
      </c>
      <c r="O116" s="99">
        <v>115492862</v>
      </c>
      <c r="P116" s="99">
        <v>115492862</v>
      </c>
      <c r="Q116" s="99">
        <v>115492862</v>
      </c>
      <c r="R116" s="100">
        <v>0.0914913147515843</v>
      </c>
      <c r="S116" t="inlineStr">
        <is>
          <t>Lo obligado está por debajo de lo programado en la vigencia</t>
        </is>
      </c>
      <c r="T116" s="101">
        <v>1372533366</v>
      </c>
      <c r="U116" s="101">
        <v>933521950</v>
      </c>
      <c r="V116" s="101">
        <v>933521950</v>
      </c>
      <c r="W116" s="102">
        <v>0.666336768841033</v>
      </c>
      <c r="X116" t="inlineStr">
        <is>
          <t>Lo obligado está por debajo de lo programado en la vigencia</t>
        </is>
      </c>
    </row>
    <row r="117">
      <c r="A117" t="inlineStr">
        <is>
          <t>IP-159, IP-161, IP-167, IP-168, IP-169, IP-170, IP-173</t>
        </is>
      </c>
      <c r="B117" t="inlineStr">
        <is>
          <t>43</t>
        </is>
      </c>
      <c r="C117" t="inlineStr">
        <is>
          <t>Deporte y Recreación</t>
        </is>
      </c>
      <c r="D117" t="inlineStr">
        <is>
          <t>4301</t>
        </is>
      </c>
      <c r="E117" t="inlineStr">
        <is>
          <t>Fomento a la recreación, la actividad física y el deporte para desarrollar entornos de convivencia y paz</t>
        </is>
      </c>
      <c r="F117" t="inlineStr">
        <is>
          <t>4301037</t>
        </is>
      </c>
      <c r="G117" t="inlineStr">
        <is>
          <t>Servicio de promoción de la actividad física, la recreación y el deporte</t>
        </is>
      </c>
      <c r="H117" t="inlineStr">
        <is>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is>
      </c>
      <c r="I117" t="inlineStr">
        <is>
          <t>2024257580029</t>
        </is>
      </c>
      <c r="J117" s="99">
        <v>2466059041.5</v>
      </c>
      <c r="K117" s="99">
        <v>568529723</v>
      </c>
      <c r="L117" s="99">
        <v>599256209</v>
      </c>
      <c r="M117" s="99">
        <v>631843019.5</v>
      </c>
      <c r="N117" s="99">
        <v>666430090</v>
      </c>
      <c r="O117" s="99" t="inlineStr">
        <is>
          <t xml:space="preserve"> </t>
        </is>
      </c>
      <c r="P117" s="99" t="inlineStr">
        <is>
          <t xml:space="preserve"> </t>
        </is>
      </c>
      <c r="Q117" s="99" t="inlineStr">
        <is>
          <t xml:space="preserve"> </t>
        </is>
      </c>
      <c r="R117" s="100" t="inlineStr">
        <is>
          <t xml:space="preserve"> </t>
        </is>
      </c>
      <c r="S117" t="inlineStr">
        <is>
          <t>No se encontró ejecución en CUIPO</t>
        </is>
      </c>
      <c r="T117" s="101">
        <v>806850229</v>
      </c>
      <c r="U117" s="101">
        <v>494256174</v>
      </c>
      <c r="V117" s="101">
        <v>494256174</v>
      </c>
      <c r="W117" s="102">
        <v>0.824782733289961</v>
      </c>
      <c r="X117" t="inlineStr">
        <is>
          <t>Lo obligado está por debajo de lo programado en la vigencia</t>
        </is>
      </c>
    </row>
    <row r="118">
      <c r="A118" t="inlineStr">
        <is>
          <t>IP-162</t>
        </is>
      </c>
      <c r="B118" t="inlineStr">
        <is>
          <t>43</t>
        </is>
      </c>
      <c r="C118" t="inlineStr">
        <is>
          <t>Deporte y Recreación</t>
        </is>
      </c>
      <c r="D118" t="inlineStr">
        <is>
          <t>4301</t>
        </is>
      </c>
      <c r="E118" t="inlineStr">
        <is>
          <t>Fomento a la recreación, la actividad física y el deporte para desarrollar entornos de convivencia y paz</t>
        </is>
      </c>
      <c r="F118" t="inlineStr">
        <is>
          <t>4301006</t>
        </is>
      </c>
      <c r="G118" t="inlineStr">
        <is>
          <t>Documentos normativos</t>
        </is>
      </c>
      <c r="H118" t="inlineStr">
        <is>
          <t>Corresponde a la formulación o reformulación de políticas públicas o normatividad concerniente a la práctica de la actividad física, de la recreación y el deporte.</t>
        </is>
      </c>
      <c r="I118" t="inlineStr">
        <is>
          <t>2024257580029</t>
        </is>
      </c>
      <c r="J118" s="99">
        <v>880000000</v>
      </c>
      <c r="K118" s="99">
        <v>130000000</v>
      </c>
      <c r="L118" s="99">
        <v>200000000</v>
      </c>
      <c r="M118" s="99">
        <v>250000000</v>
      </c>
      <c r="N118" s="99">
        <v>300000000</v>
      </c>
      <c r="O118" s="99" t="inlineStr">
        <is>
          <t xml:space="preserve"> </t>
        </is>
      </c>
      <c r="P118" s="99" t="inlineStr">
        <is>
          <t xml:space="preserve"> </t>
        </is>
      </c>
      <c r="Q118" s="99" t="inlineStr">
        <is>
          <t xml:space="preserve"> </t>
        </is>
      </c>
      <c r="R118" s="100" t="inlineStr">
        <is>
          <t xml:space="preserve"> </t>
        </is>
      </c>
      <c r="S118" t="inlineStr">
        <is>
          <t>No se encontró ejecución en CUIPO</t>
        </is>
      </c>
      <c r="T118" s="101">
        <v>18020000</v>
      </c>
      <c r="U118" s="101">
        <v>1006667</v>
      </c>
      <c r="V118" s="101">
        <v>1006667</v>
      </c>
      <c r="W118" s="102">
        <v>0.005033335</v>
      </c>
      <c r="X118" t="inlineStr">
        <is>
          <t>Lo obligado está por debajo de lo programado en la vigencia</t>
        </is>
      </c>
    </row>
    <row r="119">
      <c r="A119" t="inlineStr">
        <is>
          <t>IP-163, IP-166</t>
        </is>
      </c>
      <c r="B119" t="inlineStr">
        <is>
          <t>43</t>
        </is>
      </c>
      <c r="C119" t="inlineStr">
        <is>
          <t>Deporte y Recreación</t>
        </is>
      </c>
      <c r="D119" t="inlineStr">
        <is>
          <t>4301</t>
        </is>
      </c>
      <c r="E119" t="inlineStr">
        <is>
          <t>Fomento a la recreación, la actividad física y el deporte para desarrollar entornos de convivencia y paz</t>
        </is>
      </c>
      <c r="F119" t="inlineStr">
        <is>
          <t>4301035</t>
        </is>
      </c>
      <c r="G119" t="inlineStr">
        <is>
          <t>Servicio de educación informal en recreación</t>
        </is>
      </c>
      <c r="H119" t="inlineStr">
        <is>
          <t>Corresponde a la formación a la ciudadanía  en recreación, actividad física, deportes social comunitario y/o aprovechamiento del tiempo libre con enfoque diferencial.</t>
        </is>
      </c>
      <c r="I119" t="inlineStr">
        <is>
          <t>2024257580029</t>
        </is>
      </c>
      <c r="J119" s="99">
        <v>91712500</v>
      </c>
      <c r="K119" s="99">
        <v>20000000</v>
      </c>
      <c r="L119" s="99">
        <v>22000000</v>
      </c>
      <c r="M119" s="99">
        <v>24250000</v>
      </c>
      <c r="N119" s="99">
        <v>25462500</v>
      </c>
      <c r="O119" s="99" t="inlineStr">
        <is>
          <t xml:space="preserve"> </t>
        </is>
      </c>
      <c r="P119" s="99" t="inlineStr">
        <is>
          <t xml:space="preserve"> </t>
        </is>
      </c>
      <c r="Q119" s="99" t="inlineStr">
        <is>
          <t xml:space="preserve"> </t>
        </is>
      </c>
      <c r="R119" s="100" t="inlineStr">
        <is>
          <t xml:space="preserve"> </t>
        </is>
      </c>
      <c r="S119" t="inlineStr">
        <is>
          <t>No se encontró ejecución en CUIPO</t>
        </is>
      </c>
      <c r="T119" s="101">
        <v>12925248</v>
      </c>
      <c r="U119" s="101">
        <v>9355417</v>
      </c>
      <c r="V119" s="101">
        <v>9355417</v>
      </c>
      <c r="W119" s="102">
        <v>0.425246227272727</v>
      </c>
      <c r="X119" t="inlineStr">
        <is>
          <t>Lo obligado está por debajo de lo programado en la vigencia</t>
        </is>
      </c>
    </row>
    <row r="120">
      <c r="A120" t="inlineStr">
        <is>
          <t>IP-164</t>
        </is>
      </c>
      <c r="B120" t="inlineStr">
        <is>
          <t>43</t>
        </is>
      </c>
      <c r="C120" t="inlineStr">
        <is>
          <t>Deporte y Recreación</t>
        </is>
      </c>
      <c r="D120" t="inlineStr">
        <is>
          <t>4301</t>
        </is>
      </c>
      <c r="E120" t="inlineStr">
        <is>
          <t>Fomento a la recreación, la actividad física y el deporte para desarrollar entornos de convivencia y paz</t>
        </is>
      </c>
      <c r="F120" t="inlineStr">
        <is>
          <t>4301001</t>
        </is>
      </c>
      <c r="G120" t="inlineStr">
        <is>
          <t>Servicio de apoyo a la actividad física, la recreación y el deporte</t>
        </is>
      </c>
      <c r="H120" t="inlineStr">
        <is>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is>
      </c>
      <c r="I120" t="inlineStr">
        <is>
          <t>2024257580029</t>
        </is>
      </c>
      <c r="J120" s="99">
        <v>596000000</v>
      </c>
      <c r="K120" s="99">
        <v>260000000</v>
      </c>
      <c r="L120" s="99">
        <v>50000000</v>
      </c>
      <c r="M120" s="99">
        <v>286000000</v>
      </c>
      <c r="N120" s="99">
        <v>0</v>
      </c>
      <c r="O120" s="99">
        <v>239981915</v>
      </c>
      <c r="P120" s="99">
        <v>239981915</v>
      </c>
      <c r="Q120" s="99">
        <v>109706000</v>
      </c>
      <c r="R120" s="100">
        <v>0.923007365384615</v>
      </c>
      <c r="S120" t="inlineStr">
        <is>
          <t>Lo obligado está por debajo de lo programado en la vigencia</t>
        </is>
      </c>
      <c r="T120" s="101">
        <v>205713941</v>
      </c>
      <c r="U120" s="101">
        <v>153104541</v>
      </c>
      <c r="V120" s="101">
        <v>153104541</v>
      </c>
      <c r="W120" s="102">
        <v>3.06209082</v>
      </c>
      <c r="X120" t="inlineStr">
        <is>
          <t>Hubo ejecución por encima de lo programado en SisPT</t>
        </is>
      </c>
    </row>
    <row r="121">
      <c r="A121" t="inlineStr">
        <is>
          <t>IP-165, IP-171</t>
        </is>
      </c>
      <c r="B121" t="inlineStr">
        <is>
          <t>43</t>
        </is>
      </c>
      <c r="C121" t="inlineStr">
        <is>
          <t>Deporte y Recreación</t>
        </is>
      </c>
      <c r="D121" t="inlineStr">
        <is>
          <t>4301</t>
        </is>
      </c>
      <c r="E121" t="inlineStr">
        <is>
          <t>Fomento a la recreación, la actividad física y el deporte para desarrollar entornos de convivencia y paz</t>
        </is>
      </c>
      <c r="F121" t="inlineStr">
        <is>
          <t>4301032</t>
        </is>
      </c>
      <c r="G121" t="inlineStr">
        <is>
          <t>Servicio de organización de eventos deportivos comunitarios</t>
        </is>
      </c>
      <c r="H121" t="inlineStr">
        <is>
          <t>Corresponde a la planeación, organización y realización de eventos deportivos en las diferentes disciplinas con la comunidad.</t>
        </is>
      </c>
      <c r="I121" t="inlineStr">
        <is>
          <t>2024257580029</t>
        </is>
      </c>
      <c r="J121" s="99">
        <v>663376810</v>
      </c>
      <c r="K121" s="99">
        <v>148000000</v>
      </c>
      <c r="L121" s="99">
        <v>159300000</v>
      </c>
      <c r="M121" s="99">
        <v>171477000</v>
      </c>
      <c r="N121" s="99">
        <v>184599810</v>
      </c>
      <c r="O121" s="99" t="inlineStr">
        <is>
          <t xml:space="preserve"> </t>
        </is>
      </c>
      <c r="P121" s="99" t="inlineStr">
        <is>
          <t xml:space="preserve"> </t>
        </is>
      </c>
      <c r="Q121" s="99" t="inlineStr">
        <is>
          <t xml:space="preserve"> </t>
        </is>
      </c>
      <c r="R121" s="100" t="inlineStr">
        <is>
          <t xml:space="preserve"> </t>
        </is>
      </c>
      <c r="S121" t="inlineStr">
        <is>
          <t>No se encontró ejecución en CUIPO</t>
        </is>
      </c>
      <c r="T121" s="101" t="inlineStr">
        <is>
          <t xml:space="preserve"> </t>
        </is>
      </c>
      <c r="U121" s="101" t="inlineStr">
        <is>
          <t xml:space="preserve"> </t>
        </is>
      </c>
      <c r="V121" s="101" t="inlineStr">
        <is>
          <t xml:space="preserve"> </t>
        </is>
      </c>
      <c r="W121" s="102" t="inlineStr">
        <is>
          <t xml:space="preserve"> </t>
        </is>
      </c>
      <c r="X121" t="inlineStr">
        <is>
          <t>No se encontró ejecución en CUIPO</t>
        </is>
      </c>
    </row>
    <row r="122">
      <c r="A122" t="inlineStr">
        <is>
          <t>IP-172, IP-174</t>
        </is>
      </c>
      <c r="B122" t="inlineStr">
        <is>
          <t>43</t>
        </is>
      </c>
      <c r="C122" t="inlineStr">
        <is>
          <t>Deporte y Recreación</t>
        </is>
      </c>
      <c r="D122" t="inlineStr">
        <is>
          <t>4301</t>
        </is>
      </c>
      <c r="E122" t="inlineStr">
        <is>
          <t>Fomento a la recreación, la actividad física y el deporte para desarrollar entornos de convivencia y paz</t>
        </is>
      </c>
      <c r="F122" t="inlineStr">
        <is>
          <t>4301038</t>
        </is>
      </c>
      <c r="G122" t="inlineStr">
        <is>
          <t>Servicio de organización de eventos recreativos comunitarios</t>
        </is>
      </c>
      <c r="H122" t="inlineStr">
        <is>
          <t>Corresponde a la planeación, organización y realización de eventos recreativos y de esparcimiento del tiempo libre con la comunidad.</t>
        </is>
      </c>
      <c r="I122" t="inlineStr">
        <is>
          <t>2024257580029</t>
        </is>
      </c>
      <c r="J122" s="99">
        <v>1815031250</v>
      </c>
      <c r="K122" s="99">
        <v>530000000</v>
      </c>
      <c r="L122" s="99">
        <v>412500000</v>
      </c>
      <c r="M122" s="99">
        <v>425625000</v>
      </c>
      <c r="N122" s="99">
        <v>446906250</v>
      </c>
      <c r="O122" s="99">
        <v>63290000</v>
      </c>
      <c r="P122" s="99">
        <v>63290000</v>
      </c>
      <c r="Q122" s="99">
        <v>63290000</v>
      </c>
      <c r="R122" s="100">
        <v>0.119415094339623</v>
      </c>
      <c r="S122" t="inlineStr">
        <is>
          <t>Lo obligado está por debajo de lo programado en la vigencia</t>
        </is>
      </c>
      <c r="T122" s="101">
        <v>194346855</v>
      </c>
      <c r="U122" s="101">
        <v>144049227</v>
      </c>
      <c r="V122" s="101">
        <v>144049227</v>
      </c>
      <c r="W122" s="102">
        <v>0.349210247272727</v>
      </c>
      <c r="X122" t="inlineStr">
        <is>
          <t>Lo obligado está por debajo de lo programado en la vigencia</t>
        </is>
      </c>
    </row>
    <row r="123">
      <c r="A123" t="inlineStr">
        <is>
          <t>IP-175, IP-176</t>
        </is>
      </c>
      <c r="B123" t="inlineStr">
        <is>
          <t>43</t>
        </is>
      </c>
      <c r="C123" t="inlineStr">
        <is>
          <t>Deporte y Recreación</t>
        </is>
      </c>
      <c r="D123" t="inlineStr">
        <is>
          <t>4301</t>
        </is>
      </c>
      <c r="E123" t="inlineStr">
        <is>
          <t>Fomento a la recreación, la actividad física y el deporte para desarrollar entornos de convivencia y paz</t>
        </is>
      </c>
      <c r="F123" t="inlineStr">
        <is>
          <t>4301004</t>
        </is>
      </c>
      <c r="G123" t="inlineStr">
        <is>
          <t>Servicio de mantenimiento a la infraestructura deportiva</t>
        </is>
      </c>
      <c r="H123" t="inlineStr">
        <is>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is>
      </c>
      <c r="I123" t="inlineStr">
        <is>
          <t>2024257580029</t>
        </is>
      </c>
      <c r="J123" s="99">
        <v>3086529000</v>
      </c>
      <c r="K123" s="99">
        <v>1473000000</v>
      </c>
      <c r="L123" s="99">
        <v>510900000</v>
      </c>
      <c r="M123" s="99">
        <v>556490000</v>
      </c>
      <c r="N123" s="99">
        <v>546139000</v>
      </c>
      <c r="O123" s="99">
        <v>852406676</v>
      </c>
      <c r="P123" s="99">
        <v>1849189</v>
      </c>
      <c r="Q123" s="99">
        <v>0</v>
      </c>
      <c r="R123" s="100">
        <v>0.00125538968092329</v>
      </c>
      <c r="S123" t="inlineStr">
        <is>
          <t>Lo obligado está por debajo de lo programado en la vigencia</t>
        </is>
      </c>
      <c r="T123" s="101">
        <v>1040396535</v>
      </c>
      <c r="U123" s="101">
        <v>849922314</v>
      </c>
      <c r="V123" s="101">
        <v>849922314</v>
      </c>
      <c r="W123" s="102">
        <v>1.66357861421022</v>
      </c>
      <c r="X123" t="inlineStr">
        <is>
          <t>Hubo ejecución por encima de lo programado en SisPT</t>
        </is>
      </c>
    </row>
    <row r="124">
      <c r="A124" t="inlineStr">
        <is>
          <t>IP-177</t>
        </is>
      </c>
      <c r="B124" t="inlineStr">
        <is>
          <t>43</t>
        </is>
      </c>
      <c r="C124" t="inlineStr">
        <is>
          <t>Deporte y Recreación</t>
        </is>
      </c>
      <c r="D124" t="inlineStr">
        <is>
          <t>4301</t>
        </is>
      </c>
      <c r="E124" t="inlineStr">
        <is>
          <t>Fomento a la recreación, la actividad física y el deporte para desarrollar entornos de convivencia y paz</t>
        </is>
      </c>
      <c r="F124" t="inlineStr">
        <is>
          <t>4301010</t>
        </is>
      </c>
      <c r="G124" t="inlineStr">
        <is>
          <t>Parques recreativos construidos y dotados</t>
        </is>
      </c>
      <c r="H124" t="inlineStr">
        <is>
          <t>Construcción y dotación de infraestructura parques recreativos para garantizar  la práctica de la actividad física, la recreación y el deporte.</t>
        </is>
      </c>
      <c r="I124" t="inlineStr">
        <is>
          <t>2024257580029</t>
        </is>
      </c>
      <c r="J124" s="99">
        <v>285000000</v>
      </c>
      <c r="K124" s="99">
        <v>0</v>
      </c>
      <c r="L124" s="99">
        <v>110000000</v>
      </c>
      <c r="M124" s="99">
        <v>115000000</v>
      </c>
      <c r="N124" s="99">
        <v>60000000</v>
      </c>
      <c r="O124" s="99" t="inlineStr">
        <is>
          <t xml:space="preserve"> </t>
        </is>
      </c>
      <c r="P124" s="99" t="inlineStr">
        <is>
          <t xml:space="preserve"> </t>
        </is>
      </c>
      <c r="Q124" s="99" t="inlineStr">
        <is>
          <t xml:space="preserve"> </t>
        </is>
      </c>
      <c r="R124" s="100" t="inlineStr">
        <is>
          <t xml:space="preserve"> </t>
        </is>
      </c>
      <c r="S124" t="inlineStr">
        <is>
          <t>No se encontró ejecución en CUIPO</t>
        </is>
      </c>
      <c r="T124" s="101">
        <v>282500000</v>
      </c>
      <c r="U124" s="101">
        <v>252545725</v>
      </c>
      <c r="V124" s="101">
        <v>252545725</v>
      </c>
      <c r="W124" s="102">
        <v>2.29587022727273</v>
      </c>
      <c r="X124" t="inlineStr">
        <is>
          <t>Hubo ejecución por encima de lo programado en SisPT</t>
        </is>
      </c>
    </row>
    <row r="125">
      <c r="A125" t="inlineStr">
        <is>
          <t>IP-178</t>
        </is>
      </c>
      <c r="B125" t="inlineStr">
        <is>
          <t>43</t>
        </is>
      </c>
      <c r="C125" t="inlineStr">
        <is>
          <t>Deporte y Recreación</t>
        </is>
      </c>
      <c r="D125" t="inlineStr">
        <is>
          <t>4301</t>
        </is>
      </c>
      <c r="E125" t="inlineStr">
        <is>
          <t>Fomento a la recreación, la actividad física y el deporte para desarrollar entornos de convivencia y paz</t>
        </is>
      </c>
      <c r="F125" t="inlineStr">
        <is>
          <t>4301019</t>
        </is>
      </c>
      <c r="G125" t="inlineStr">
        <is>
          <t>Placa deportiva construida</t>
        </is>
      </c>
      <c r="H125" t="inlineStr">
        <is>
          <t>Construcción de  una placa polideportiva terminada en concreto, asfalto  o sintético, abierta por todos sus costados pero cubierta en teja generalmente metálica, soportada en pórticos habitualmente de estructura metálica con o sin iluminación y graderías, sin otros servicios conexos. Para realizar baloncesto, microfutbol, boleybol.</t>
        </is>
      </c>
      <c r="I125" t="inlineStr">
        <is>
          <t>2024257580029</t>
        </is>
      </c>
      <c r="J125" s="99">
        <v>7300000000</v>
      </c>
      <c r="K125" s="99">
        <v>0</v>
      </c>
      <c r="L125" s="99">
        <v>5500000000</v>
      </c>
      <c r="M125" s="99">
        <v>1800000000</v>
      </c>
      <c r="N125" s="99">
        <v>0</v>
      </c>
      <c r="O125" s="99" t="inlineStr">
        <is>
          <t xml:space="preserve"> </t>
        </is>
      </c>
      <c r="P125" s="99" t="inlineStr">
        <is>
          <t xml:space="preserve"> </t>
        </is>
      </c>
      <c r="Q125" s="99" t="inlineStr">
        <is>
          <t xml:space="preserve"> </t>
        </is>
      </c>
      <c r="R125" s="100" t="inlineStr">
        <is>
          <t xml:space="preserve"> </t>
        </is>
      </c>
      <c r="S125" t="inlineStr">
        <is>
          <t>No se encontró ejecución en CUIPO</t>
        </is>
      </c>
      <c r="T125" s="101">
        <v>733097367</v>
      </c>
      <c r="U125" s="101">
        <v>0</v>
      </c>
      <c r="V125" s="101">
        <v>0</v>
      </c>
      <c r="W125" s="102">
        <v>0</v>
      </c>
      <c r="X125" t="inlineStr">
        <is>
          <t>No se ejecutó en la vigencia</t>
        </is>
      </c>
    </row>
    <row r="126">
      <c r="A126" t="inlineStr">
        <is>
          <t>IP-179</t>
        </is>
      </c>
      <c r="B126" t="inlineStr">
        <is>
          <t>43</t>
        </is>
      </c>
      <c r="C126" t="inlineStr">
        <is>
          <t>Deporte y Recreación</t>
        </is>
      </c>
      <c r="D126" t="inlineStr">
        <is>
          <t>4302</t>
        </is>
      </c>
      <c r="E126" t="inlineStr">
        <is>
          <t>Formación y preparación de deportistas</t>
        </is>
      </c>
      <c r="F126" t="inlineStr">
        <is>
          <t>4302014</t>
        </is>
      </c>
      <c r="G126" t="inlineStr">
        <is>
          <t>Pistas construidas</t>
        </is>
      </c>
      <c r="H126" t="inlineStr">
        <is>
          <t>Construcción de un escenario para la práctica deportiva de Atletismo, Bicicross, bolos,  ciclismo, Karts, motocross y patinaje. De acuerdo con la disciplina que en ella se practica tiene diferentes características técnicas tanto de construcción como de acabados que están determinadas internacionalmente: asfalto, sintético, madera, carbonilla, concreto, césped etc.</t>
        </is>
      </c>
      <c r="I126" t="inlineStr">
        <is>
          <t>2024257580049</t>
        </is>
      </c>
      <c r="J126" s="99">
        <v>4234525683</v>
      </c>
      <c r="K126" s="99">
        <v>4234525683</v>
      </c>
      <c r="L126" s="99">
        <v>0</v>
      </c>
      <c r="M126" s="99">
        <v>0</v>
      </c>
      <c r="N126" s="99">
        <v>0</v>
      </c>
      <c r="O126" s="99">
        <v>282105051</v>
      </c>
      <c r="P126" s="99">
        <v>282105051</v>
      </c>
      <c r="Q126" s="99">
        <v>262385000</v>
      </c>
      <c r="R126" s="100">
        <v>0.0666202243459152</v>
      </c>
      <c r="S126" t="inlineStr">
        <is>
          <t>Lo obligado está por debajo de lo programado en la vigencia</t>
        </is>
      </c>
      <c r="T126" s="101" t="inlineStr">
        <is>
          <t xml:space="preserve"> </t>
        </is>
      </c>
      <c r="U126" s="101" t="inlineStr">
        <is>
          <t xml:space="preserve"> </t>
        </is>
      </c>
      <c r="V126" s="101" t="inlineStr">
        <is>
          <t xml:space="preserve"> </t>
        </is>
      </c>
      <c r="W126" s="102" t="inlineStr">
        <is>
          <t xml:space="preserve"> </t>
        </is>
      </c>
      <c r="X126" t="inlineStr">
        <is>
          <t>No se encontró ejecución en CUIPO</t>
        </is>
      </c>
    </row>
    <row r="127">
      <c r="A127" t="inlineStr">
        <is>
          <t>IP-180</t>
        </is>
      </c>
      <c r="B127" t="inlineStr">
        <is>
          <t>43</t>
        </is>
      </c>
      <c r="C127" t="inlineStr">
        <is>
          <t>Deporte y Recreación</t>
        </is>
      </c>
      <c r="D127" t="inlineStr">
        <is>
          <t>4302</t>
        </is>
      </c>
      <c r="E127" t="inlineStr">
        <is>
          <t>Formación y preparación de deportistas</t>
        </is>
      </c>
      <c r="F127" t="inlineStr">
        <is>
          <t>4302045</t>
        </is>
      </c>
      <c r="G127" t="inlineStr">
        <is>
          <t>Unideportivo construido y dotado</t>
        </is>
      </c>
      <c r="H127" t="inlineStr">
        <is>
          <t>Infraestructura construida y dotada con los instrumentos necesarios para la óptima realización del deporte.</t>
        </is>
      </c>
      <c r="I127" t="inlineStr">
        <is>
          <t>2024257580049</t>
        </is>
      </c>
      <c r="J127" s="99">
        <v>12768093011</v>
      </c>
      <c r="K127" s="99">
        <v>6768093011</v>
      </c>
      <c r="L127" s="99">
        <v>6000000000</v>
      </c>
      <c r="M127" s="99">
        <v>0</v>
      </c>
      <c r="N127" s="99">
        <v>0</v>
      </c>
      <c r="O127" s="99" t="inlineStr">
        <is>
          <t xml:space="preserve"> </t>
        </is>
      </c>
      <c r="P127" s="99" t="inlineStr">
        <is>
          <t xml:space="preserve"> </t>
        </is>
      </c>
      <c r="Q127" s="99" t="inlineStr">
        <is>
          <t xml:space="preserve"> </t>
        </is>
      </c>
      <c r="R127" s="100" t="inlineStr">
        <is>
          <t xml:space="preserve"> </t>
        </is>
      </c>
      <c r="S127" t="inlineStr">
        <is>
          <t>No se encontró ejecución en CUIPO</t>
        </is>
      </c>
      <c r="T127" s="101" t="inlineStr">
        <is>
          <t xml:space="preserve"> </t>
        </is>
      </c>
      <c r="U127" s="101" t="inlineStr">
        <is>
          <t xml:space="preserve"> </t>
        </is>
      </c>
      <c r="V127" s="101" t="inlineStr">
        <is>
          <t xml:space="preserve"> </t>
        </is>
      </c>
      <c r="W127" s="102" t="inlineStr">
        <is>
          <t xml:space="preserve"> </t>
        </is>
      </c>
      <c r="X127" t="inlineStr">
        <is>
          <t>No se encontró ejecución en CUIPO</t>
        </is>
      </c>
    </row>
    <row r="128">
      <c r="A128" t="inlineStr">
        <is>
          <t>IP-181, IP-182</t>
        </is>
      </c>
      <c r="B128" t="inlineStr">
        <is>
          <t>43</t>
        </is>
      </c>
      <c r="C128" t="inlineStr">
        <is>
          <t>Deporte y Recreación</t>
        </is>
      </c>
      <c r="D128" t="inlineStr">
        <is>
          <t>4302</t>
        </is>
      </c>
      <c r="E128" t="inlineStr">
        <is>
          <t>Formación y preparación de deportistas</t>
        </is>
      </c>
      <c r="F128" t="inlineStr">
        <is>
          <t>4302004</t>
        </is>
      </c>
      <c r="G128" t="inlineStr">
        <is>
          <t>Servicio de organización de eventos deportivos de alto rendimiento</t>
        </is>
      </c>
      <c r="H128" t="inlineStr">
        <is>
          <t>Corresponde a la planeación, organización y realización de eventos deportivos con sede en Colombia</t>
        </is>
      </c>
      <c r="I128" t="inlineStr">
        <is>
          <t>2024257580049</t>
        </is>
      </c>
      <c r="J128" s="99">
        <v>919161280</v>
      </c>
      <c r="K128" s="99">
        <v>190000000</v>
      </c>
      <c r="L128" s="99">
        <v>235200000</v>
      </c>
      <c r="M128" s="99">
        <v>254616000</v>
      </c>
      <c r="N128" s="99">
        <v>239345280</v>
      </c>
      <c r="O128" s="99">
        <v>61301054</v>
      </c>
      <c r="P128" s="99">
        <v>61301054</v>
      </c>
      <c r="Q128" s="99">
        <v>61301054</v>
      </c>
      <c r="R128" s="100">
        <v>0.322637126315789</v>
      </c>
      <c r="S128" t="inlineStr">
        <is>
          <t>Lo obligado está por debajo de lo programado en la vigencia</t>
        </is>
      </c>
      <c r="T128" s="101">
        <v>199267441</v>
      </c>
      <c r="U128" s="101">
        <v>125767441</v>
      </c>
      <c r="V128" s="101">
        <v>125767441</v>
      </c>
      <c r="W128" s="102">
        <v>0.534725514455782</v>
      </c>
      <c r="X128" t="inlineStr">
        <is>
          <t>Lo obligado está por debajo de lo programado en la vigencia</t>
        </is>
      </c>
    </row>
    <row r="129">
      <c r="A129" t="inlineStr">
        <is>
          <t>IP-183, IP-184</t>
        </is>
      </c>
      <c r="B129" t="inlineStr">
        <is>
          <t>43</t>
        </is>
      </c>
      <c r="C129" t="inlineStr">
        <is>
          <t>Deporte y Recreación</t>
        </is>
      </c>
      <c r="D129" t="inlineStr">
        <is>
          <t>4302</t>
        </is>
      </c>
      <c r="E129" t="inlineStr">
        <is>
          <t>Formación y preparación de deportistas</t>
        </is>
      </c>
      <c r="F129" t="inlineStr">
        <is>
          <t>4302075</t>
        </is>
      </c>
      <c r="G129" t="inlineStr">
        <is>
          <t>Servicio de asistencia técnica para la promoción del deporte</t>
        </is>
      </c>
      <c r="H129" t="inlineStr">
        <is>
          <t>Corresponde al fortalecimiento de las Federaciones, Clubes y Ligas deportivas en Colombia. Incluye la capacitación y formación del recurso humano técnico, de jueces y de dirigentes deportivos.</t>
        </is>
      </c>
      <c r="I129" t="inlineStr">
        <is>
          <t>2024257580049</t>
        </is>
      </c>
      <c r="J129" s="99">
        <v>87538000</v>
      </c>
      <c r="K129" s="99">
        <v>18000000</v>
      </c>
      <c r="L129" s="99">
        <v>22800000</v>
      </c>
      <c r="M129" s="99">
        <v>22780000</v>
      </c>
      <c r="N129" s="99">
        <v>23958000</v>
      </c>
      <c r="O129" s="99" t="inlineStr">
        <is>
          <t xml:space="preserve"> </t>
        </is>
      </c>
      <c r="P129" s="99" t="inlineStr">
        <is>
          <t xml:space="preserve"> </t>
        </is>
      </c>
      <c r="Q129" s="99" t="inlineStr">
        <is>
          <t xml:space="preserve"> </t>
        </is>
      </c>
      <c r="R129" s="100" t="inlineStr">
        <is>
          <t xml:space="preserve"> </t>
        </is>
      </c>
      <c r="S129" t="inlineStr">
        <is>
          <t>No se encontró ejecución en CUIPO</t>
        </is>
      </c>
      <c r="T129" s="101">
        <v>79448465</v>
      </c>
      <c r="U129" s="101">
        <v>61948465</v>
      </c>
      <c r="V129" s="101">
        <v>61948465</v>
      </c>
      <c r="W129" s="102">
        <v>2.71703793859649</v>
      </c>
      <c r="X129" t="inlineStr">
        <is>
          <t>Hubo ejecución por encima de lo programado en SisPT</t>
        </is>
      </c>
    </row>
    <row r="130">
      <c r="A130" t="inlineStr">
        <is>
          <t>IP-185</t>
        </is>
      </c>
      <c r="B130" t="inlineStr">
        <is>
          <t>43</t>
        </is>
      </c>
      <c r="C130" t="inlineStr">
        <is>
          <t>Deporte y Recreación</t>
        </is>
      </c>
      <c r="D130" t="inlineStr">
        <is>
          <t>4301</t>
        </is>
      </c>
      <c r="E130" t="inlineStr">
        <is>
          <t>Fomento a la recreación, la actividad física y el deporte para desarrollar entornos de convivencia y paz</t>
        </is>
      </c>
      <c r="F130" t="inlineStr">
        <is>
          <t>4301001</t>
        </is>
      </c>
      <c r="G130" t="inlineStr">
        <is>
          <t>Servicio de apoyo a la actividad física, la recreación y el deporte</t>
        </is>
      </c>
      <c r="H130" t="inlineStr">
        <is>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is>
      </c>
      <c r="I130" t="inlineStr">
        <is>
          <t>2024257580049</t>
        </is>
      </c>
      <c r="J130" s="99">
        <v>0</v>
      </c>
      <c r="K130" s="99">
        <v>0</v>
      </c>
      <c r="L130" s="99">
        <v>0</v>
      </c>
      <c r="M130" s="99">
        <v>0</v>
      </c>
      <c r="N130" s="99">
        <v>0</v>
      </c>
      <c r="O130" s="99" t="inlineStr">
        <is>
          <t xml:space="preserve"> </t>
        </is>
      </c>
      <c r="P130" s="99" t="inlineStr">
        <is>
          <t xml:space="preserve"> </t>
        </is>
      </c>
      <c r="Q130" s="99" t="inlineStr">
        <is>
          <t xml:space="preserve"> </t>
        </is>
      </c>
      <c r="R130" s="100" t="inlineStr">
        <is>
          <t xml:space="preserve"> </t>
        </is>
      </c>
      <c r="S130" t="inlineStr">
        <is>
          <t>No se encontró ejecución en CUIPO</t>
        </is>
      </c>
      <c r="T130" s="101" t="inlineStr">
        <is>
          <t xml:space="preserve"> </t>
        </is>
      </c>
      <c r="U130" s="101" t="inlineStr">
        <is>
          <t xml:space="preserve"> </t>
        </is>
      </c>
      <c r="V130" s="101" t="inlineStr">
        <is>
          <t xml:space="preserve"> </t>
        </is>
      </c>
      <c r="W130" s="102" t="inlineStr">
        <is>
          <t xml:space="preserve"> </t>
        </is>
      </c>
      <c r="X130" t="inlineStr">
        <is>
          <t>No se encontró ejecución en CUIPO</t>
        </is>
      </c>
    </row>
    <row r="131">
      <c r="A131" t="inlineStr">
        <is>
          <t>IP-186</t>
        </is>
      </c>
      <c r="B131" t="inlineStr">
        <is>
          <t>43</t>
        </is>
      </c>
      <c r="C131" t="inlineStr">
        <is>
          <t>Deporte y Recreación</t>
        </is>
      </c>
      <c r="D131" t="inlineStr">
        <is>
          <t>4302</t>
        </is>
      </c>
      <c r="E131" t="inlineStr">
        <is>
          <t>Formación y preparación de deportistas</t>
        </is>
      </c>
      <c r="F131" t="inlineStr">
        <is>
          <t>4302002</t>
        </is>
      </c>
      <c r="G131" t="inlineStr">
        <is>
          <t>Servicio de apoyo financiero a atletas</t>
        </is>
      </c>
      <c r="H131" t="inlineStr">
        <is>
          <t>Corresponde a los estímulos económicos entregados a los deportistas para que éstos tengan una buena preparación y oportunidades para competir.</t>
        </is>
      </c>
      <c r="I131" t="inlineStr">
        <is>
          <t>2024257580049</t>
        </is>
      </c>
      <c r="J131" s="99">
        <v>422331000</v>
      </c>
      <c r="K131" s="99">
        <v>91000000</v>
      </c>
      <c r="L131" s="99">
        <v>100100000</v>
      </c>
      <c r="M131" s="99">
        <v>110110000</v>
      </c>
      <c r="N131" s="99">
        <v>121121000</v>
      </c>
      <c r="O131" s="99">
        <v>76700000</v>
      </c>
      <c r="P131" s="99">
        <v>76700000</v>
      </c>
      <c r="Q131" s="99">
        <v>76700000</v>
      </c>
      <c r="R131" s="100">
        <v>0.842857142857143</v>
      </c>
      <c r="S131" t="inlineStr">
        <is>
          <t>Lo obligado está por debajo de lo programado en la vigencia</t>
        </is>
      </c>
      <c r="T131" s="101">
        <v>14000000</v>
      </c>
      <c r="U131" s="101">
        <v>0</v>
      </c>
      <c r="V131" s="101">
        <v>0</v>
      </c>
      <c r="W131" s="102">
        <v>0</v>
      </c>
      <c r="X131" t="inlineStr">
        <is>
          <t>No se ejecutó en la vigencia</t>
        </is>
      </c>
    </row>
    <row r="132">
      <c r="A132" t="inlineStr">
        <is>
          <t>IP-187, IP-188</t>
        </is>
      </c>
      <c r="B132" t="inlineStr">
        <is>
          <t>43</t>
        </is>
      </c>
      <c r="C132" t="inlineStr">
        <is>
          <t>Deporte y Recreación</t>
        </is>
      </c>
      <c r="D132" t="inlineStr">
        <is>
          <t>4302</t>
        </is>
      </c>
      <c r="E132" t="inlineStr">
        <is>
          <t>Formación y preparación de deportistas</t>
        </is>
      </c>
      <c r="F132" t="inlineStr">
        <is>
          <t>4302001</t>
        </is>
      </c>
      <c r="G132" t="inlineStr">
        <is>
          <t>Servicio de preparación deportiva</t>
        </is>
      </c>
      <c r="H132" t="inlineStr">
        <is>
          <t>Corresponde a la preparación para las competencias de alto rendimiento deportivas que debe garantizarle al deportista un entrenador, una concentración deportiva para su entrenamiento y hospedaje</t>
        </is>
      </c>
      <c r="I132" t="inlineStr">
        <is>
          <t>2024257580049</t>
        </is>
      </c>
      <c r="J132" s="99">
        <v>657561761</v>
      </c>
      <c r="K132" s="99">
        <v>112050552</v>
      </c>
      <c r="L132" s="99">
        <v>153565358</v>
      </c>
      <c r="M132" s="99">
        <v>188912549</v>
      </c>
      <c r="N132" s="99">
        <v>203033302</v>
      </c>
      <c r="O132" s="99">
        <v>18858210</v>
      </c>
      <c r="P132" s="99">
        <v>18858210</v>
      </c>
      <c r="Q132" s="99">
        <v>18858210</v>
      </c>
      <c r="R132" s="100">
        <v>0.168300911181589</v>
      </c>
      <c r="S132" t="inlineStr">
        <is>
          <t>Lo obligado está por debajo de lo programado en la vigencia</t>
        </is>
      </c>
      <c r="T132" s="101">
        <v>183916859</v>
      </c>
      <c r="U132" s="101">
        <v>115516347</v>
      </c>
      <c r="V132" s="101">
        <v>115516347</v>
      </c>
      <c r="W132" s="102">
        <v>0.75222920393283</v>
      </c>
      <c r="X132" t="inlineStr">
        <is>
          <t>Lo obligado está por debajo de lo programado en la vigencia</t>
        </is>
      </c>
    </row>
    <row r="133">
      <c r="A133" t="inlineStr">
        <is>
          <t>IP-189</t>
        </is>
      </c>
      <c r="B133" t="inlineStr">
        <is>
          <t>32</t>
        </is>
      </c>
      <c r="C133" t="inlineStr">
        <is>
          <t>Ambiente y desarrollo sostenible</t>
        </is>
      </c>
      <c r="D133" t="inlineStr">
        <is>
          <t>3203</t>
        </is>
      </c>
      <c r="E133" t="inlineStr">
        <is>
          <t>Gestión integral del recurso hídrico</t>
        </is>
      </c>
      <c r="F133" t="inlineStr">
        <is>
          <t>3203001</t>
        </is>
      </c>
      <c r="G133" t="inlineStr">
        <is>
          <t>Documentos de lineamientos técnicos para la gestión integral del recurso hídrico</t>
        </is>
      </c>
      <c r="H133" t="inlineStr">
        <is>
          <t>Documentos con directrices en el manejo y planificación del recurso hídrico para la implementación de la Política Nacional de Gestión integral del Recurso Hídrico</t>
        </is>
      </c>
      <c r="I133" t="inlineStr">
        <is>
          <t>2024257580041</t>
        </is>
      </c>
      <c r="J133" s="99">
        <v>904385413</v>
      </c>
      <c r="K133" s="99">
        <v>134531250</v>
      </c>
      <c r="L133" s="99">
        <v>127664375</v>
      </c>
      <c r="M133" s="99">
        <v>296280000</v>
      </c>
      <c r="N133" s="99">
        <v>345909788</v>
      </c>
      <c r="O133" s="99">
        <v>28367104</v>
      </c>
      <c r="P133" s="99">
        <v>0</v>
      </c>
      <c r="Q133" s="99">
        <v>0</v>
      </c>
      <c r="R133" s="100">
        <v>0</v>
      </c>
      <c r="S133" t="inlineStr">
        <is>
          <t>No se ejecutó en la vigencia</t>
        </is>
      </c>
      <c r="T133" s="101">
        <v>39001760</v>
      </c>
      <c r="U133" s="101">
        <v>33879160</v>
      </c>
      <c r="V133" s="101">
        <v>33879160</v>
      </c>
      <c r="W133" s="102">
        <v>0.265376774060892</v>
      </c>
      <c r="X133" t="inlineStr">
        <is>
          <t>Lo obligado está por debajo de lo programado en la vigencia</t>
        </is>
      </c>
    </row>
    <row r="134">
      <c r="A134" t="inlineStr">
        <is>
          <t>IP-190</t>
        </is>
      </c>
      <c r="B134" t="inlineStr">
        <is>
          <t>32</t>
        </is>
      </c>
      <c r="C134" t="inlineStr">
        <is>
          <t>Ambiente y desarrollo sostenible</t>
        </is>
      </c>
      <c r="D134" t="inlineStr">
        <is>
          <t>3203</t>
        </is>
      </c>
      <c r="E134" t="inlineStr">
        <is>
          <t>Gestión integral del recurso hídrico</t>
        </is>
      </c>
      <c r="F134" t="inlineStr">
        <is>
          <t>3203033</t>
        </is>
      </c>
      <c r="G134" t="inlineStr">
        <is>
          <t>Servicio de asistencia técnica para la promoción del uso eficiente y ahorro del agua</t>
        </is>
      </c>
      <c r="H134" t="inlineStr">
        <is>
          <t> Acciones enfocadas a definir y promover la implementación de programas y mecanismos a los diferentes usuarios del agua que permita crear un habito sostenible en el uso del agua</t>
        </is>
      </c>
      <c r="I134" t="inlineStr">
        <is>
          <t>2024257580041</t>
        </is>
      </c>
      <c r="J134" s="99">
        <v>271793774</v>
      </c>
      <c r="K134" s="99">
        <v>18600720</v>
      </c>
      <c r="L134" s="99">
        <v>39168000</v>
      </c>
      <c r="M134" s="99">
        <v>210037126</v>
      </c>
      <c r="N134" s="99">
        <v>3987928</v>
      </c>
      <c r="O134" s="99">
        <v>24756553</v>
      </c>
      <c r="P134" s="99">
        <v>24756553</v>
      </c>
      <c r="Q134" s="99">
        <v>24756553</v>
      </c>
      <c r="R134" s="100">
        <v>1.33094595262979</v>
      </c>
      <c r="S134" t="inlineStr">
        <is>
          <t>Hubo ejecución por encima de lo programado en SisPT</t>
        </is>
      </c>
      <c r="T134" s="101">
        <v>2000000</v>
      </c>
      <c r="U134" s="101">
        <v>1335600</v>
      </c>
      <c r="V134" s="101">
        <v>1335600</v>
      </c>
      <c r="W134" s="102">
        <v>0.0340992647058823</v>
      </c>
      <c r="X134" t="inlineStr">
        <is>
          <t>Lo obligado está por debajo de lo programado en la vigencia</t>
        </is>
      </c>
    </row>
    <row r="135">
      <c r="A135" t="inlineStr">
        <is>
          <t>IP-191</t>
        </is>
      </c>
      <c r="B135" t="inlineStr">
        <is>
          <t>32</t>
        </is>
      </c>
      <c r="C135" t="inlineStr">
        <is>
          <t>Ambiente y desarrollo sostenible</t>
        </is>
      </c>
      <c r="D135" t="inlineStr">
        <is>
          <t>3203</t>
        </is>
      </c>
      <c r="E135" t="inlineStr">
        <is>
          <t>Gestión integral del recurso hídrico</t>
        </is>
      </c>
      <c r="F135" t="inlineStr">
        <is>
          <t>3203034</t>
        </is>
      </c>
      <c r="G135" t="inlineStr">
        <is>
          <t>Servicio de asistencia técnica para la implementación de lineamientos sobre el mejoramiento de la calidad del recurso hídrico</t>
        </is>
      </c>
      <c r="H135" t="inlineStr">
        <is>
          <t>Acciones regionales orientadas al ordenamiento del recurso hídrico  en cuencas priorizadas y a combatir las principales causas y contaminación del recurso.</t>
        </is>
      </c>
      <c r="I135" t="inlineStr">
        <is>
          <t>2024257580041</t>
        </is>
      </c>
      <c r="J135" s="99">
        <v>13991384</v>
      </c>
      <c r="K135" s="99">
        <v>8662500</v>
      </c>
      <c r="L135" s="99">
        <v>948200</v>
      </c>
      <c r="M135" s="99">
        <v>2086040</v>
      </c>
      <c r="N135" s="99">
        <v>2294644</v>
      </c>
      <c r="O135" s="99" t="inlineStr">
        <is>
          <t xml:space="preserve"> </t>
        </is>
      </c>
      <c r="P135" s="99" t="inlineStr">
        <is>
          <t xml:space="preserve"> </t>
        </is>
      </c>
      <c r="Q135" s="99" t="inlineStr">
        <is>
          <t xml:space="preserve"> </t>
        </is>
      </c>
      <c r="R135" s="100" t="inlineStr">
        <is>
          <t xml:space="preserve"> </t>
        </is>
      </c>
      <c r="S135" t="inlineStr">
        <is>
          <t>No se encontró ejecución en CUIPO</t>
        </is>
      </c>
      <c r="T135" s="101">
        <v>22200000</v>
      </c>
      <c r="U135" s="101">
        <v>0</v>
      </c>
      <c r="V135" s="101">
        <v>0</v>
      </c>
      <c r="W135" s="102">
        <v>0</v>
      </c>
      <c r="X135" t="inlineStr">
        <is>
          <t>No se ejecutó en la vigencia</t>
        </is>
      </c>
    </row>
    <row r="136">
      <c r="A136" t="inlineStr">
        <is>
          <t>IP-192</t>
        </is>
      </c>
      <c r="B136" t="inlineStr">
        <is>
          <t>32</t>
        </is>
      </c>
      <c r="C136" t="inlineStr">
        <is>
          <t>Ambiente y desarrollo sostenible</t>
        </is>
      </c>
      <c r="D136" t="inlineStr">
        <is>
          <t>3203</t>
        </is>
      </c>
      <c r="E136" t="inlineStr">
        <is>
          <t>Gestión integral del recurso hídrico</t>
        </is>
      </c>
      <c r="F136" t="inlineStr">
        <is>
          <t>3203050</t>
        </is>
      </c>
      <c r="G136" t="inlineStr">
        <is>
          <t>Servicio de protección del recurso hídrico</t>
        </is>
      </c>
      <c r="H136" t="inlineStr">
        <is>
          <t>Incluye acciones orientadas a la administración y manejo de áreas de reserva hídrica o zonas de reserva natural para la protección de las fuentes hídricas.</t>
        </is>
      </c>
      <c r="I136" t="inlineStr">
        <is>
          <t>2024257580041</t>
        </is>
      </c>
      <c r="J136" s="99">
        <v>2439863539</v>
      </c>
      <c r="K136" s="99">
        <v>924667000</v>
      </c>
      <c r="L136" s="99">
        <v>269607925</v>
      </c>
      <c r="M136" s="99">
        <v>593137436</v>
      </c>
      <c r="N136" s="99">
        <v>652451178</v>
      </c>
      <c r="O136" s="99">
        <v>2500000</v>
      </c>
      <c r="P136" s="99">
        <v>2500000</v>
      </c>
      <c r="Q136" s="99">
        <v>2500000</v>
      </c>
      <c r="R136" s="100">
        <v>0.00270367602607209</v>
      </c>
      <c r="S136" t="inlineStr">
        <is>
          <t>Lo obligado está por debajo de lo programado en la vigencia</t>
        </is>
      </c>
      <c r="T136" s="101">
        <v>265364145</v>
      </c>
      <c r="U136" s="101">
        <v>263255395</v>
      </c>
      <c r="V136" s="101">
        <v>263255395</v>
      </c>
      <c r="W136" s="102">
        <v>0.976437895881584</v>
      </c>
      <c r="X136" t="inlineStr">
        <is>
          <t>Lo obligado está por debajo de lo programado en la vigencia</t>
        </is>
      </c>
    </row>
    <row r="137">
      <c r="A137" t="inlineStr">
        <is>
          <t>IP-193</t>
        </is>
      </c>
      <c r="B137" t="inlineStr">
        <is>
          <t>32</t>
        </is>
      </c>
      <c r="C137" t="inlineStr">
        <is>
          <t>Ambiente y desarrollo sostenible</t>
        </is>
      </c>
      <c r="D137" t="inlineStr">
        <is>
          <t>3202</t>
        </is>
      </c>
      <c r="E137" t="inlineStr">
        <is>
          <t>Conservación de la biodiversidad y sus servicios ecosistémicos</t>
        </is>
      </c>
      <c r="F137" t="inlineStr">
        <is>
          <t>3202005</t>
        </is>
      </c>
      <c r="G137" t="inlineStr">
        <is>
          <t>Servicio de restauración de ecosistemas</t>
        </is>
      </c>
      <c r="H137" t="inlineStr">
        <is>
          <t>Incluye el restablecimiento del ecosistema degradado a una condición similar al ecosistema pre disturbio respecto a su composición, estructura, y funcionamiento. </t>
        </is>
      </c>
      <c r="I137" t="inlineStr">
        <is>
          <t>2024257580060</t>
        </is>
      </c>
      <c r="J137" s="99">
        <v>6627430632</v>
      </c>
      <c r="K137" s="99">
        <v>6163780632</v>
      </c>
      <c r="L137" s="99">
        <v>82500000</v>
      </c>
      <c r="M137" s="99">
        <v>181500000</v>
      </c>
      <c r="N137" s="99">
        <v>199650000</v>
      </c>
      <c r="O137" s="99">
        <v>138660000</v>
      </c>
      <c r="P137" s="99">
        <v>138660000</v>
      </c>
      <c r="Q137" s="99">
        <v>138660000</v>
      </c>
      <c r="R137" s="100">
        <v>0.0224959336288073</v>
      </c>
      <c r="S137" t="inlineStr">
        <is>
          <t>Lo obligado está por debajo de lo programado en la vigencia</t>
        </is>
      </c>
      <c r="T137" s="101">
        <v>8814400</v>
      </c>
      <c r="U137" s="101">
        <v>4954840</v>
      </c>
      <c r="V137" s="101">
        <v>4954840</v>
      </c>
      <c r="W137" s="102">
        <v>0.0600586666666667</v>
      </c>
      <c r="X137" t="inlineStr">
        <is>
          <t>Lo obligado está por debajo de lo programado en la vigencia</t>
        </is>
      </c>
    </row>
    <row r="138">
      <c r="A138" t="inlineStr">
        <is>
          <t>IP-194</t>
        </is>
      </c>
      <c r="B138" t="inlineStr">
        <is>
          <t>32</t>
        </is>
      </c>
      <c r="C138" t="inlineStr">
        <is>
          <t>Ambiente y desarrollo sostenible</t>
        </is>
      </c>
      <c r="D138" t="inlineStr">
        <is>
          <t>3202</t>
        </is>
      </c>
      <c r="E138" t="inlineStr">
        <is>
          <t>Conservación de la biodiversidad y sus servicios ecosistémicos</t>
        </is>
      </c>
      <c r="F138" t="inlineStr">
        <is>
          <t>3202006</t>
        </is>
      </c>
      <c r="G138" t="inlineStr">
        <is>
          <t>Servicio de reforestación de ecosistemas</t>
        </is>
      </c>
      <c r="H138" t="inlineStr">
        <is>
          <t>Acciones orientadas a la siembra, mantenimiento y monitoreo de especies vegetales que cumplen una función especifica en el área, sin buscar el restablecimiento del ecosistema inicial. </t>
        </is>
      </c>
      <c r="I138" t="inlineStr">
        <is>
          <t>2024257580060</t>
        </is>
      </c>
      <c r="J138" s="99">
        <v>791670652</v>
      </c>
      <c r="K138" s="99">
        <v>242975632</v>
      </c>
      <c r="L138" s="99">
        <v>167642000</v>
      </c>
      <c r="M138" s="99">
        <v>182406200</v>
      </c>
      <c r="N138" s="99">
        <v>198646820</v>
      </c>
      <c r="O138" s="99">
        <v>17924358</v>
      </c>
      <c r="P138" s="99">
        <v>17924358</v>
      </c>
      <c r="Q138" s="99">
        <v>10090000</v>
      </c>
      <c r="R138" s="100">
        <v>0.0737701877857447</v>
      </c>
      <c r="S138" t="inlineStr">
        <is>
          <t>Lo obligado está por debajo de lo programado en la vigencia</t>
        </is>
      </c>
      <c r="T138" s="101">
        <v>8814400</v>
      </c>
      <c r="U138" s="101">
        <v>3000000</v>
      </c>
      <c r="V138" s="101">
        <v>3000000</v>
      </c>
      <c r="W138" s="102">
        <v>0.0178952768399327</v>
      </c>
      <c r="X138" t="inlineStr">
        <is>
          <t>Lo obligado está por debajo de lo programado en la vigencia</t>
        </is>
      </c>
    </row>
    <row r="139">
      <c r="A139" t="inlineStr">
        <is>
          <t>IP-195</t>
        </is>
      </c>
      <c r="B139" t="inlineStr">
        <is>
          <t>32</t>
        </is>
      </c>
      <c r="C139" t="inlineStr">
        <is>
          <t>Ambiente y desarrollo sostenible</t>
        </is>
      </c>
      <c r="D139" t="inlineStr">
        <is>
          <t>3202</t>
        </is>
      </c>
      <c r="E139" t="inlineStr">
        <is>
          <t>Conservación de la biodiversidad y sus servicios ecosistémicos</t>
        </is>
      </c>
      <c r="F139" t="inlineStr">
        <is>
          <t>3202014</t>
        </is>
      </c>
      <c r="G139" t="inlineStr">
        <is>
          <t>Servicio de educación informal en el marco de la conservación de la biodiversidad y los Servicio ecostémicos</t>
        </is>
      </c>
      <c r="H139" t="inlineStr">
        <is>
          <t xml:space="preserve">Corresponde a las capacitaciones destinadas a los agentes ambientales en el marco de la conservación de la biodiversidad y los Servicio ecosistemicos.  </t>
        </is>
      </c>
      <c r="I139" t="inlineStr">
        <is>
          <t>2024257580060</t>
        </is>
      </c>
      <c r="J139" s="99">
        <v>16374993</v>
      </c>
      <c r="K139" s="99">
        <v>3528333</v>
      </c>
      <c r="L139" s="99">
        <v>3881166</v>
      </c>
      <c r="M139" s="99">
        <v>4269283</v>
      </c>
      <c r="N139" s="99">
        <v>4696211</v>
      </c>
      <c r="O139" s="99" t="inlineStr">
        <is>
          <t xml:space="preserve"> </t>
        </is>
      </c>
      <c r="P139" s="99" t="inlineStr">
        <is>
          <t xml:space="preserve"> </t>
        </is>
      </c>
      <c r="Q139" s="99" t="inlineStr">
        <is>
          <t xml:space="preserve"> </t>
        </is>
      </c>
      <c r="R139" s="100" t="inlineStr">
        <is>
          <t xml:space="preserve"> </t>
        </is>
      </c>
      <c r="S139" t="inlineStr">
        <is>
          <t>No se encontró ejecución en CUIPO</t>
        </is>
      </c>
      <c r="T139" s="101">
        <v>5000000</v>
      </c>
      <c r="U139" s="101">
        <v>3000000</v>
      </c>
      <c r="V139" s="101">
        <v>3000000</v>
      </c>
      <c r="W139" s="102">
        <v>0.772963588777187</v>
      </c>
      <c r="X139" t="inlineStr">
        <is>
          <t>Lo obligado está por debajo de lo programado en la vigencia</t>
        </is>
      </c>
    </row>
    <row r="140">
      <c r="A140" t="inlineStr">
        <is>
          <t>IP-196</t>
        </is>
      </c>
      <c r="B140" t="inlineStr">
        <is>
          <t>32</t>
        </is>
      </c>
      <c r="C140" t="inlineStr">
        <is>
          <t>Ambiente y desarrollo sostenible</t>
        </is>
      </c>
      <c r="D140" t="inlineStr">
        <is>
          <t>3202</t>
        </is>
      </c>
      <c r="E140" t="inlineStr">
        <is>
          <t>Conservación de la biodiversidad y sus servicios ecosistémicos</t>
        </is>
      </c>
      <c r="F140" t="inlineStr">
        <is>
          <t>3202028</t>
        </is>
      </c>
      <c r="G140" t="inlineStr">
        <is>
          <t>Centro de Atención e interpretación de la biodiversidad y sus servicios ecosistemicos adecuado</t>
        </is>
      </c>
      <c r="H140" t="inlineStr">
        <is>
          <t>Incluye la autorización para cambiar el uso de una edificación o parte de ella, garantizando a permanencia total o parcial del inmueble original destinado para la atención y servicios informativos acerca de la importancia de la biodiversidad en zonas de importancia ambiental.</t>
        </is>
      </c>
      <c r="I140" t="inlineStr">
        <is>
          <t>2024257580060</t>
        </is>
      </c>
      <c r="J140" s="99">
        <v>34807500</v>
      </c>
      <c r="K140" s="99">
        <v>7500000</v>
      </c>
      <c r="L140" s="99">
        <v>8250000</v>
      </c>
      <c r="M140" s="99">
        <v>9075000</v>
      </c>
      <c r="N140" s="99">
        <v>9982500</v>
      </c>
      <c r="O140" s="99" t="inlineStr">
        <is>
          <t xml:space="preserve"> </t>
        </is>
      </c>
      <c r="P140" s="99" t="inlineStr">
        <is>
          <t xml:space="preserve"> </t>
        </is>
      </c>
      <c r="Q140" s="99" t="inlineStr">
        <is>
          <t xml:space="preserve"> </t>
        </is>
      </c>
      <c r="R140" s="100" t="inlineStr">
        <is>
          <t xml:space="preserve"> </t>
        </is>
      </c>
      <c r="S140" t="inlineStr">
        <is>
          <t>No se encontró ejecución en CUIPO</t>
        </is>
      </c>
      <c r="T140" s="101">
        <v>4547400</v>
      </c>
      <c r="U140" s="101">
        <v>4547400</v>
      </c>
      <c r="V140" s="101">
        <v>4547400</v>
      </c>
      <c r="W140" s="102">
        <v>0.5512</v>
      </c>
      <c r="X140" t="inlineStr">
        <is>
          <t>Lo obligado está por debajo de lo programado en la vigencia</t>
        </is>
      </c>
    </row>
    <row r="141">
      <c r="A141" t="inlineStr">
        <is>
          <t>IP-197</t>
        </is>
      </c>
      <c r="B141" t="inlineStr">
        <is>
          <t>32</t>
        </is>
      </c>
      <c r="C141" t="inlineStr">
        <is>
          <t>Ambiente y desarrollo sostenible</t>
        </is>
      </c>
      <c r="D141" t="inlineStr">
        <is>
          <t>3202</t>
        </is>
      </c>
      <c r="E141" t="inlineStr">
        <is>
          <t>Conservación de la biodiversidad y sus servicios ecosistémicos</t>
        </is>
      </c>
      <c r="F141" t="inlineStr">
        <is>
          <t>3202038</t>
        </is>
      </c>
      <c r="G141" t="inlineStr">
        <is>
          <t>Servicio de producción de plántulas en viveros</t>
        </is>
      </c>
      <c r="H141" t="inlineStr">
        <is>
          <t>Acciones orientadas a producir plántulas en viveros que serán utilizadas en la recuperación de ecosistemas degradados</t>
        </is>
      </c>
      <c r="I141" t="inlineStr">
        <is>
          <t>2024257580060</t>
        </is>
      </c>
      <c r="J141" s="99">
        <v>320000000</v>
      </c>
      <c r="K141" s="99">
        <v>100000000</v>
      </c>
      <c r="L141" s="99">
        <v>30000000</v>
      </c>
      <c r="M141" s="99">
        <v>120000000</v>
      </c>
      <c r="N141" s="99">
        <v>70000000</v>
      </c>
      <c r="O141" s="99" t="inlineStr">
        <is>
          <t xml:space="preserve"> </t>
        </is>
      </c>
      <c r="P141" s="99" t="inlineStr">
        <is>
          <t xml:space="preserve"> </t>
        </is>
      </c>
      <c r="Q141" s="99" t="inlineStr">
        <is>
          <t xml:space="preserve"> </t>
        </is>
      </c>
      <c r="R141" s="100" t="inlineStr">
        <is>
          <t xml:space="preserve"> </t>
        </is>
      </c>
      <c r="S141" t="inlineStr">
        <is>
          <t>No se encontró ejecución en CUIPO</t>
        </is>
      </c>
      <c r="T141" s="101">
        <v>12645760</v>
      </c>
      <c r="U141" s="101">
        <v>2292372</v>
      </c>
      <c r="V141" s="101">
        <v>2292372</v>
      </c>
      <c r="W141" s="102">
        <v>0.0764124</v>
      </c>
      <c r="X141" t="inlineStr">
        <is>
          <t>Lo obligado está por debajo de lo programado en la vigencia</t>
        </is>
      </c>
    </row>
    <row r="142">
      <c r="A142" t="inlineStr">
        <is>
          <t>IP-198, IP-200</t>
        </is>
      </c>
      <c r="B142" t="inlineStr">
        <is>
          <t>32</t>
        </is>
      </c>
      <c r="C142" t="inlineStr">
        <is>
          <t>Ambiente y desarrollo sostenible</t>
        </is>
      </c>
      <c r="D142" t="inlineStr">
        <is>
          <t>3202</t>
        </is>
      </c>
      <c r="E142" t="inlineStr">
        <is>
          <t>Conservación de la biodiversidad y sus servicios ecosistémicos</t>
        </is>
      </c>
      <c r="F142" t="inlineStr">
        <is>
          <t>3202048</t>
        </is>
      </c>
      <c r="G142" t="inlineStr">
        <is>
          <t>Documentos de lineamientos técnicos con acuerdos de uso, ocupación y tenencia en áreas protegidas no vinculadas al Sistema Nacional de Áreas Protegidas</t>
        </is>
      </c>
      <c r="H142" t="inlineStr">
        <is>
          <t>Incluye la realización de los documentos técnicos orientados a  conservación de la biodiversidad y sus servicios eco sistémicos por medios de acuerdos orientados a resolver la problemática de uso, ocupación y tenencia en áreas protegidas locales (municipales o distritales) que no hacen  parte del Sistema Nacional de Áreas Protegidas.</t>
        </is>
      </c>
      <c r="I142" t="inlineStr">
        <is>
          <t>2024257580060</t>
        </is>
      </c>
      <c r="J142" s="99">
        <v>483700298</v>
      </c>
      <c r="K142" s="99">
        <v>71378000</v>
      </c>
      <c r="L142" s="99">
        <v>140995000</v>
      </c>
      <c r="M142" s="99">
        <v>129095380</v>
      </c>
      <c r="N142" s="99">
        <v>142231918</v>
      </c>
      <c r="O142" s="99" t="inlineStr">
        <is>
          <t xml:space="preserve"> </t>
        </is>
      </c>
      <c r="P142" s="99" t="inlineStr">
        <is>
          <t xml:space="preserve"> </t>
        </is>
      </c>
      <c r="Q142" s="99" t="inlineStr">
        <is>
          <t xml:space="preserve"> </t>
        </is>
      </c>
      <c r="R142" s="100" t="inlineStr">
        <is>
          <t xml:space="preserve"> </t>
        </is>
      </c>
      <c r="S142" t="inlineStr">
        <is>
          <t>No se encontró ejecución en CUIPO</t>
        </is>
      </c>
      <c r="T142" s="101">
        <v>20805702</v>
      </c>
      <c r="U142" s="101">
        <v>9990500</v>
      </c>
      <c r="V142" s="101">
        <v>9990500</v>
      </c>
      <c r="W142" s="102">
        <v>0.0708571225929998</v>
      </c>
      <c r="X142" t="inlineStr">
        <is>
          <t>Lo obligado está por debajo de lo programado en la vigencia</t>
        </is>
      </c>
    </row>
    <row r="143">
      <c r="A143" t="inlineStr">
        <is>
          <t>IP-199</t>
        </is>
      </c>
      <c r="B143" t="inlineStr">
        <is>
          <t>32</t>
        </is>
      </c>
      <c r="C143" t="inlineStr">
        <is>
          <t>Ambiente y desarrollo sostenible</t>
        </is>
      </c>
      <c r="D143" t="inlineStr">
        <is>
          <t>3202</t>
        </is>
      </c>
      <c r="E143" t="inlineStr">
        <is>
          <t>Conservación de la biodiversidad y sus servicios ecosistémicos</t>
        </is>
      </c>
      <c r="F143" t="inlineStr">
        <is>
          <t>3202043</t>
        </is>
      </c>
      <c r="G143" t="inlineStr">
        <is>
          <t>Servicio apoyo financiero para la implementación de esquemas de pago por Servicio ambientales</t>
        </is>
      </c>
      <c r="H143" t="inlineStr">
        <is>
          <t>Incluye el diseño y entrega de instrumentos económicos para dar incentivos a los usuarios del suelo, de manera que continúen ofreciendo un servicio ambiental (ecológico) que beneficia a la sociedad como un todo.</t>
        </is>
      </c>
      <c r="I143" t="inlineStr">
        <is>
          <t>2024257580060</t>
        </is>
      </c>
      <c r="J143" s="99">
        <v>90002662</v>
      </c>
      <c r="K143" s="99">
        <v>17362500</v>
      </c>
      <c r="L143" s="99">
        <v>21228750</v>
      </c>
      <c r="M143" s="99">
        <v>25181625</v>
      </c>
      <c r="N143" s="99">
        <v>26229787</v>
      </c>
      <c r="O143" s="99">
        <v>26566970</v>
      </c>
      <c r="P143" s="99">
        <v>26566970</v>
      </c>
      <c r="Q143" s="99">
        <v>26566970</v>
      </c>
      <c r="R143" s="100">
        <v>1.5301350611951</v>
      </c>
      <c r="S143" t="inlineStr">
        <is>
          <t>Hubo ejecución por encima de lo programado en SisPT</t>
        </is>
      </c>
      <c r="T143" s="101">
        <v>1035700</v>
      </c>
      <c r="U143" s="101">
        <v>0</v>
      </c>
      <c r="V143" s="101">
        <v>0</v>
      </c>
      <c r="W143" s="102">
        <v>0</v>
      </c>
      <c r="X143" t="inlineStr">
        <is>
          <t>No se ejecutó en la vigencia</t>
        </is>
      </c>
    </row>
    <row r="144">
      <c r="A144" t="inlineStr">
        <is>
          <t>IP-201</t>
        </is>
      </c>
      <c r="B144" t="inlineStr">
        <is>
          <t>32</t>
        </is>
      </c>
      <c r="C144" t="inlineStr">
        <is>
          <t>Ambiente y desarrollo sostenible</t>
        </is>
      </c>
      <c r="D144" t="inlineStr">
        <is>
          <t>3202</t>
        </is>
      </c>
      <c r="E144" t="inlineStr">
        <is>
          <t>Conservación de la biodiversidad y sus servicios ecosistémicos</t>
        </is>
      </c>
      <c r="F144" t="inlineStr">
        <is>
          <t>3202037</t>
        </is>
      </c>
      <c r="G144" t="inlineStr">
        <is>
          <t>Servicio de recuperación de cuerpos de agua lénticos y lóticos</t>
        </is>
      </c>
      <c r="H144" t="inlineStr">
        <is>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is>
      </c>
      <c r="I144" t="inlineStr">
        <is>
          <t>2024257580060</t>
        </is>
      </c>
      <c r="J144" s="99">
        <v>5000000</v>
      </c>
      <c r="K144" s="99">
        <v>5000000</v>
      </c>
      <c r="L144" s="99">
        <v>0</v>
      </c>
      <c r="M144" s="99">
        <v>0</v>
      </c>
      <c r="N144" s="99">
        <v>0</v>
      </c>
      <c r="O144" s="99" t="inlineStr">
        <is>
          <t xml:space="preserve"> </t>
        </is>
      </c>
      <c r="P144" s="99" t="inlineStr">
        <is>
          <t xml:space="preserve"> </t>
        </is>
      </c>
      <c r="Q144" s="99" t="inlineStr">
        <is>
          <t xml:space="preserve"> </t>
        </is>
      </c>
      <c r="R144" s="100" t="inlineStr">
        <is>
          <t xml:space="preserve"> </t>
        </is>
      </c>
      <c r="S144" t="inlineStr">
        <is>
          <t>No se encontró ejecución en CUIPO</t>
        </is>
      </c>
      <c r="T144" s="101">
        <v>2000000</v>
      </c>
      <c r="U144" s="101">
        <v>2000000</v>
      </c>
      <c r="V144" s="101">
        <v>2000000</v>
      </c>
      <c r="W144" s="102" t="inlineStr">
        <is>
          <t xml:space="preserve"> </t>
        </is>
      </c>
      <c r="X144" t="inlineStr">
        <is>
          <t>Se ejecutó un producto no programado en la vigencia</t>
        </is>
      </c>
    </row>
    <row r="145">
      <c r="A145" t="inlineStr">
        <is>
          <t>IP-202</t>
        </is>
      </c>
      <c r="B145" t="inlineStr">
        <is>
          <t>32</t>
        </is>
      </c>
      <c r="C145" t="inlineStr">
        <is>
          <t>Ambiente y desarrollo sostenible</t>
        </is>
      </c>
      <c r="D145" t="inlineStr">
        <is>
          <t>3201</t>
        </is>
      </c>
      <c r="E145" t="inlineStr">
        <is>
          <t>Fortalecimiento del desempeño ambiental de los sectores productivos</t>
        </is>
      </c>
      <c r="F145" t="inlineStr">
        <is>
          <t>3201003</t>
        </is>
      </c>
      <c r="G145" t="inlineStr">
        <is>
          <t>Servicio de asistencia técnica para la consolidación de negocios verdes</t>
        </is>
      </c>
      <c r="H145" t="inlineStr">
        <is>
          <t>Incluye la verificación y asesoría técnica en la consolidación de negocios verdes </t>
        </is>
      </c>
      <c r="I145" t="inlineStr">
        <is>
          <t>2024257580045</t>
        </is>
      </c>
      <c r="J145" s="99">
        <v>20858977</v>
      </c>
      <c r="K145" s="99">
        <v>4494285</v>
      </c>
      <c r="L145" s="99">
        <v>4943714</v>
      </c>
      <c r="M145" s="99">
        <v>5438085</v>
      </c>
      <c r="N145" s="99">
        <v>5982893</v>
      </c>
      <c r="O145" s="99" t="inlineStr">
        <is>
          <t xml:space="preserve"> </t>
        </is>
      </c>
      <c r="P145" s="99" t="inlineStr">
        <is>
          <t xml:space="preserve"> </t>
        </is>
      </c>
      <c r="Q145" s="99" t="inlineStr">
        <is>
          <t xml:space="preserve"> </t>
        </is>
      </c>
      <c r="R145" s="100" t="inlineStr">
        <is>
          <t xml:space="preserve"> </t>
        </is>
      </c>
      <c r="S145" t="inlineStr">
        <is>
          <t>No se encontró ejecución en CUIPO</t>
        </is>
      </c>
      <c r="T145" s="101">
        <v>10459020</v>
      </c>
      <c r="U145" s="101">
        <v>3169400</v>
      </c>
      <c r="V145" s="101">
        <v>3169400</v>
      </c>
      <c r="W145" s="102">
        <v>0.641096956660519</v>
      </c>
      <c r="X145" t="inlineStr">
        <is>
          <t>Lo obligado está por debajo de lo programado en la vigencia</t>
        </is>
      </c>
    </row>
    <row r="146">
      <c r="A146" t="inlineStr">
        <is>
          <t>IP-203, IP-207</t>
        </is>
      </c>
      <c r="B146" t="inlineStr">
        <is>
          <t>32</t>
        </is>
      </c>
      <c r="C146" t="inlineStr">
        <is>
          <t>Ambiente y desarrollo sostenible</t>
        </is>
      </c>
      <c r="D146" t="inlineStr">
        <is>
          <t>3201</t>
        </is>
      </c>
      <c r="E146" t="inlineStr">
        <is>
          <t>Fortalecimiento del desempeño ambiental de los sectores productivos</t>
        </is>
      </c>
      <c r="F146" t="inlineStr">
        <is>
          <t>3201002</t>
        </is>
      </c>
      <c r="G146" t="inlineStr">
        <is>
          <t>Documentos de lineamientos técnicos para el fortalecimiento del desempeño ambiental de los sectores productivos</t>
        </is>
      </c>
      <c r="H146" t="inlineStr">
        <is>
          <t>Documentos cuyo objetivo es describir y explicar instrumentos, estándares, requisitos y condiciones necesarias para llevar a cabo un proceso o actividad</t>
        </is>
      </c>
      <c r="I146" t="inlineStr">
        <is>
          <t>2024257580045</t>
        </is>
      </c>
      <c r="J146" s="99">
        <v>309365530</v>
      </c>
      <c r="K146" s="99">
        <v>78427350</v>
      </c>
      <c r="L146" s="99">
        <v>69770085</v>
      </c>
      <c r="M146" s="99">
        <v>76746293</v>
      </c>
      <c r="N146" s="99">
        <v>84421802</v>
      </c>
      <c r="O146" s="99">
        <v>31000000</v>
      </c>
      <c r="P146" s="99">
        <v>31000000</v>
      </c>
      <c r="Q146" s="99">
        <v>31000000</v>
      </c>
      <c r="R146" s="100">
        <v>0.395270272424097</v>
      </c>
      <c r="S146" t="inlineStr">
        <is>
          <t>Lo obligado está por debajo de lo programado en la vigencia</t>
        </is>
      </c>
      <c r="T146" s="101">
        <v>23372399</v>
      </c>
      <c r="U146" s="101">
        <v>13773799</v>
      </c>
      <c r="V146" s="101">
        <v>13773799</v>
      </c>
      <c r="W146" s="102">
        <v>0.197416973191304</v>
      </c>
      <c r="X146" t="inlineStr">
        <is>
          <t>Lo obligado está por debajo de lo programado en la vigencia</t>
        </is>
      </c>
    </row>
    <row r="147">
      <c r="A147" t="inlineStr">
        <is>
          <t>IP-204</t>
        </is>
      </c>
      <c r="B147" t="inlineStr">
        <is>
          <t>32</t>
        </is>
      </c>
      <c r="C147" t="inlineStr">
        <is>
          <t>Ambiente y desarrollo sostenible</t>
        </is>
      </c>
      <c r="D147" t="inlineStr">
        <is>
          <t>3201</t>
        </is>
      </c>
      <c r="E147" t="inlineStr">
        <is>
          <t>Fortalecimiento del desempeño ambiental de los sectores productivos</t>
        </is>
      </c>
      <c r="F147" t="inlineStr">
        <is>
          <t>3201008</t>
        </is>
      </c>
      <c r="G147" t="inlineStr">
        <is>
          <t>Servicio de vigilancia de la calidad del aire</t>
        </is>
      </c>
      <c r="H147" t="inlineStr">
        <is>
          <t xml:space="preserve">Acciones orientadas a vigilar la cálida del aire de una zona determinada. </t>
        </is>
      </c>
      <c r="I147" t="inlineStr">
        <is>
          <t>2024257580045</t>
        </is>
      </c>
      <c r="J147" s="99">
        <v>39819780</v>
      </c>
      <c r="K147" s="99">
        <v>8580000</v>
      </c>
      <c r="L147" s="99">
        <v>9438000</v>
      </c>
      <c r="M147" s="99">
        <v>10381800</v>
      </c>
      <c r="N147" s="99">
        <v>11419980</v>
      </c>
      <c r="O147" s="99" t="inlineStr">
        <is>
          <t xml:space="preserve"> </t>
        </is>
      </c>
      <c r="P147" s="99" t="inlineStr">
        <is>
          <t xml:space="preserve"> </t>
        </is>
      </c>
      <c r="Q147" s="99" t="inlineStr">
        <is>
          <t xml:space="preserve"> </t>
        </is>
      </c>
      <c r="R147" s="100" t="inlineStr">
        <is>
          <t xml:space="preserve"> </t>
        </is>
      </c>
      <c r="S147" t="inlineStr">
        <is>
          <t>No se encontró ejecución en CUIPO</t>
        </is>
      </c>
      <c r="T147" s="101">
        <v>9094800</v>
      </c>
      <c r="U147" s="101">
        <v>8268000</v>
      </c>
      <c r="V147" s="101">
        <v>8268000</v>
      </c>
      <c r="W147" s="102">
        <v>0.87603305785124</v>
      </c>
      <c r="X147" t="inlineStr">
        <is>
          <t>Lo obligado está por debajo de lo programado en la vigencia</t>
        </is>
      </c>
    </row>
    <row r="148">
      <c r="A148" t="inlineStr">
        <is>
          <t>IP-205</t>
        </is>
      </c>
      <c r="B148" t="inlineStr">
        <is>
          <t>32</t>
        </is>
      </c>
      <c r="C148" t="inlineStr">
        <is>
          <t>Ambiente y desarrollo sostenible</t>
        </is>
      </c>
      <c r="D148" t="inlineStr">
        <is>
          <t>3201</t>
        </is>
      </c>
      <c r="E148" t="inlineStr">
        <is>
          <t>Fortalecimiento del desempeño ambiental de los sectores productivos</t>
        </is>
      </c>
      <c r="F148" t="inlineStr">
        <is>
          <t>3201007</t>
        </is>
      </c>
      <c r="G148" t="inlineStr">
        <is>
          <t>Servicio de asistencia técnica para la incorporación de varibales ambientales en la planificación sectorial</t>
        </is>
      </c>
      <c r="H148" t="inlineStr">
        <is>
          <t>Acciones orientadas a asistir a las entidades territoriales en la incorporación de varibales ambientales en la planificación sectorial</t>
        </is>
      </c>
      <c r="I148" t="inlineStr">
        <is>
          <t>2024257580045</t>
        </is>
      </c>
      <c r="J148" s="99">
        <v>20857977</v>
      </c>
      <c r="K148" s="99">
        <v>4494285</v>
      </c>
      <c r="L148" s="99">
        <v>4943714</v>
      </c>
      <c r="M148" s="99">
        <v>5438085</v>
      </c>
      <c r="N148" s="99">
        <v>5981893</v>
      </c>
      <c r="O148" s="99" t="inlineStr">
        <is>
          <t xml:space="preserve"> </t>
        </is>
      </c>
      <c r="P148" s="99" t="inlineStr">
        <is>
          <t xml:space="preserve"> </t>
        </is>
      </c>
      <c r="Q148" s="99" t="inlineStr">
        <is>
          <t xml:space="preserve"> </t>
        </is>
      </c>
      <c r="R148" s="100" t="inlineStr">
        <is>
          <t xml:space="preserve"> </t>
        </is>
      </c>
      <c r="S148" t="inlineStr">
        <is>
          <t>No se encontró ejecución en CUIPO</t>
        </is>
      </c>
      <c r="T148" s="101">
        <v>10986340</v>
      </c>
      <c r="U148" s="101">
        <v>2500000</v>
      </c>
      <c r="V148" s="101">
        <v>2500000</v>
      </c>
      <c r="W148" s="102">
        <v>0.505692683678708</v>
      </c>
      <c r="X148" t="inlineStr">
        <is>
          <t>Lo obligado está por debajo de lo programado en la vigencia</t>
        </is>
      </c>
    </row>
    <row r="149">
      <c r="A149" t="inlineStr">
        <is>
          <t>IP-206</t>
        </is>
      </c>
      <c r="B149" t="inlineStr">
        <is>
          <t>32</t>
        </is>
      </c>
      <c r="C149" t="inlineStr">
        <is>
          <t>Ambiente y desarrollo sostenible</t>
        </is>
      </c>
      <c r="D149" t="inlineStr">
        <is>
          <t>3201</t>
        </is>
      </c>
      <c r="E149" t="inlineStr">
        <is>
          <t>Fortalecimiento del desempeño ambiental de los sectores productivos</t>
        </is>
      </c>
      <c r="F149" t="inlineStr">
        <is>
          <t>3201028</t>
        </is>
      </c>
      <c r="G149" t="inlineStr">
        <is>
          <t>Servicio de monitoreo de fuentes de emisión de ruido</t>
        </is>
      </c>
      <c r="H149" t="inlineStr">
        <is>
          <t>Corresponde al desarrollo de acciones para detectar, medir y asociar el ruido generado por las diversas fuentes.  Así mismo permite la medición de ruido ambiental relacionando fuentes y otras variables relacionadas con el nivel de ruido, para obtener información completa, fiable y permanente en diferentes puntos de medición de la red de ruido ambiental.</t>
        </is>
      </c>
      <c r="I149" t="inlineStr">
        <is>
          <t>2024257580045</t>
        </is>
      </c>
      <c r="J149" s="99">
        <v>59819780</v>
      </c>
      <c r="K149" s="99">
        <v>28580000</v>
      </c>
      <c r="L149" s="99">
        <v>9438000</v>
      </c>
      <c r="M149" s="99">
        <v>10381800</v>
      </c>
      <c r="N149" s="99">
        <v>11419980</v>
      </c>
      <c r="O149" s="99">
        <v>46270209</v>
      </c>
      <c r="P149" s="99">
        <v>46270209</v>
      </c>
      <c r="Q149" s="99">
        <v>46270209</v>
      </c>
      <c r="R149" s="100">
        <v>1.61897162351295</v>
      </c>
      <c r="S149" t="inlineStr">
        <is>
          <t>Hubo ejecución por encima de lo programado en SisPT</t>
        </is>
      </c>
      <c r="T149" s="101">
        <v>9094800</v>
      </c>
      <c r="U149" s="101">
        <v>0</v>
      </c>
      <c r="V149" s="101">
        <v>0</v>
      </c>
      <c r="W149" s="102">
        <v>0</v>
      </c>
      <c r="X149" t="inlineStr">
        <is>
          <t>No se ejecutó en la vigencia</t>
        </is>
      </c>
    </row>
    <row r="150">
      <c r="A150" t="inlineStr">
        <is>
          <t>IP-208</t>
        </is>
      </c>
      <c r="B150" t="inlineStr">
        <is>
          <t>32</t>
        </is>
      </c>
      <c r="C150" t="inlineStr">
        <is>
          <t>Ambiente y desarrollo sostenible</t>
        </is>
      </c>
      <c r="D150" t="inlineStr">
        <is>
          <t>3208</t>
        </is>
      </c>
      <c r="E150" t="inlineStr">
        <is>
          <t xml:space="preserve">Educación Ambiental </t>
        </is>
      </c>
      <c r="F150" t="inlineStr">
        <is>
          <t>3208009</t>
        </is>
      </c>
      <c r="G150" t="inlineStr">
        <is>
          <t>Documentos de lineamientos técnicos para el desarrollo de la política ambiental</t>
        </is>
      </c>
      <c r="H150" t="inlineStr">
        <is>
          <t>Documentos cuyo objetivo es describir y explicar instrumentos, estándares, requisitos y condiciones necesarias para llevar a cabo un proceso o actividad.</t>
        </is>
      </c>
      <c r="I150" t="inlineStr">
        <is>
          <t>2024257580063</t>
        </is>
      </c>
      <c r="J150" s="99">
        <v>136374993</v>
      </c>
      <c r="K150" s="99">
        <v>3528333</v>
      </c>
      <c r="L150" s="99">
        <v>123881166</v>
      </c>
      <c r="M150" s="99">
        <v>4269283</v>
      </c>
      <c r="N150" s="99">
        <v>4696211</v>
      </c>
      <c r="O150" s="99" t="inlineStr">
        <is>
          <t xml:space="preserve"> </t>
        </is>
      </c>
      <c r="P150" s="99" t="inlineStr">
        <is>
          <t xml:space="preserve"> </t>
        </is>
      </c>
      <c r="Q150" s="99" t="inlineStr">
        <is>
          <t xml:space="preserve"> </t>
        </is>
      </c>
      <c r="R150" s="100" t="inlineStr">
        <is>
          <t xml:space="preserve"> </t>
        </is>
      </c>
      <c r="S150" t="inlineStr">
        <is>
          <t>No se encontró ejecución en CUIPO</t>
        </is>
      </c>
      <c r="T150" s="101">
        <v>34030427</v>
      </c>
      <c r="U150" s="101">
        <v>16155427</v>
      </c>
      <c r="V150" s="101">
        <v>16155427</v>
      </c>
      <c r="W150" s="102">
        <v>0.13041067921495</v>
      </c>
      <c r="X150" t="inlineStr">
        <is>
          <t>Lo obligado está por debajo de lo programado en la vigencia</t>
        </is>
      </c>
    </row>
    <row r="151">
      <c r="A151" t="inlineStr">
        <is>
          <t>IP-209, IP-210, IP-211, IP-212</t>
        </is>
      </c>
      <c r="B151" t="inlineStr">
        <is>
          <t>32</t>
        </is>
      </c>
      <c r="C151" t="inlineStr">
        <is>
          <t>Ambiente y desarrollo sostenible</t>
        </is>
      </c>
      <c r="D151" t="inlineStr">
        <is>
          <t>3208</t>
        </is>
      </c>
      <c r="E151" t="inlineStr">
        <is>
          <t xml:space="preserve">Educación Ambiental </t>
        </is>
      </c>
      <c r="F151" t="inlineStr">
        <is>
          <t>3208006</t>
        </is>
      </c>
      <c r="G151" t="inlineStr">
        <is>
          <t>Servicio de asistencia técnica para la implementación de lasestrategias educativo ambientales y de participación</t>
        </is>
      </c>
      <c r="H151" t="inlineStr">
        <is>
          <t>Acciones encaminadas a implementar estrategias educativo ambientales y de participación en las entidades territoriales, por medio de los proyectos ambientales implementados </t>
        </is>
      </c>
      <c r="I151" t="inlineStr">
        <is>
          <t>2024257580063</t>
        </is>
      </c>
      <c r="J151" s="99">
        <v>314403381</v>
      </c>
      <c r="K151" s="99">
        <v>44682999</v>
      </c>
      <c r="L151" s="99">
        <v>101318465</v>
      </c>
      <c r="M151" s="99">
        <v>81652146</v>
      </c>
      <c r="N151" s="99">
        <v>86749771</v>
      </c>
      <c r="O151" s="99">
        <v>26852060</v>
      </c>
      <c r="P151" s="99">
        <v>26852060</v>
      </c>
      <c r="Q151" s="99">
        <v>26852060</v>
      </c>
      <c r="R151" s="100">
        <v>0.600945787009507</v>
      </c>
      <c r="S151" t="inlineStr">
        <is>
          <t>Lo obligado está por debajo de lo programado en la vigencia</t>
        </is>
      </c>
      <c r="T151" s="101">
        <v>51288146</v>
      </c>
      <c r="U151" s="101">
        <v>27110810</v>
      </c>
      <c r="V151" s="101">
        <v>27110810</v>
      </c>
      <c r="W151" s="102">
        <v>0.267580149383432</v>
      </c>
      <c r="X151" t="inlineStr">
        <is>
          <t>Lo obligado está por debajo de lo programado en la vigencia</t>
        </is>
      </c>
    </row>
    <row r="152">
      <c r="A152" t="inlineStr">
        <is>
          <t>IP-213</t>
        </is>
      </c>
      <c r="B152" t="inlineStr">
        <is>
          <t>32</t>
        </is>
      </c>
      <c r="C152" t="inlineStr">
        <is>
          <t>Ambiente y desarrollo sostenible</t>
        </is>
      </c>
      <c r="D152" t="inlineStr">
        <is>
          <t>3204</t>
        </is>
      </c>
      <c r="E152" t="inlineStr">
        <is>
          <t>Gestión de la información y el conocimiento ambiental</t>
        </is>
      </c>
      <c r="F152" t="inlineStr">
        <is>
          <t>3204012</t>
        </is>
      </c>
      <c r="G152" t="inlineStr">
        <is>
          <t>Servicio de apoyo financiero a emprendimientos</t>
        </is>
      </c>
      <c r="H152" t="inlineStr">
        <is>
          <t>Comprende el apoyo con recursos monetarios para el fortalecimiento y el desarrollo de emprendimientos que tienen por objetivo incrementar la investigación, el desarrollo tecnológico y la innovación en el ámbito ambiental.</t>
        </is>
      </c>
      <c r="I152" t="inlineStr">
        <is>
          <t>2024257580061</t>
        </is>
      </c>
      <c r="J152" s="99">
        <v>20407977</v>
      </c>
      <c r="K152" s="99">
        <v>4494285</v>
      </c>
      <c r="L152" s="99">
        <v>4493714</v>
      </c>
      <c r="M152" s="99">
        <v>5438085</v>
      </c>
      <c r="N152" s="99">
        <v>5981893</v>
      </c>
      <c r="O152" s="99" t="inlineStr">
        <is>
          <t xml:space="preserve"> </t>
        </is>
      </c>
      <c r="P152" s="99" t="inlineStr">
        <is>
          <t xml:space="preserve"> </t>
        </is>
      </c>
      <c r="Q152" s="99" t="inlineStr">
        <is>
          <t xml:space="preserve"> </t>
        </is>
      </c>
      <c r="R152" s="100" t="inlineStr">
        <is>
          <t xml:space="preserve"> </t>
        </is>
      </c>
      <c r="S152" t="inlineStr">
        <is>
          <t>No se encontró ejecución en CUIPO</t>
        </is>
      </c>
      <c r="T152" s="101">
        <v>5229510</v>
      </c>
      <c r="U152" s="101">
        <v>4278690</v>
      </c>
      <c r="V152" s="101">
        <v>4278690</v>
      </c>
      <c r="W152" s="102">
        <v>0.952150047822358</v>
      </c>
      <c r="X152" t="inlineStr">
        <is>
          <t>Lo obligado está por debajo de lo programado en la vigencia</t>
        </is>
      </c>
    </row>
    <row r="153">
      <c r="A153" t="inlineStr">
        <is>
          <t>IP-214</t>
        </is>
      </c>
      <c r="B153" t="inlineStr">
        <is>
          <t>32</t>
        </is>
      </c>
      <c r="C153" t="inlineStr">
        <is>
          <t>Ambiente y desarrollo sostenible</t>
        </is>
      </c>
      <c r="D153" t="inlineStr">
        <is>
          <t>3204</t>
        </is>
      </c>
      <c r="E153" t="inlineStr">
        <is>
          <t>Gestión de la información y el conocimiento ambiental</t>
        </is>
      </c>
      <c r="F153" t="inlineStr">
        <is>
          <t>3204033</t>
        </is>
      </c>
      <c r="G153" t="inlineStr">
        <is>
          <t>Bases de datos de monitoreo ambiental</t>
        </is>
      </c>
      <c r="H153" t="inlineStr">
        <is>
          <t>Corresponde al desarrollo de acciones orientadas a la actualización y suministro de la información ambiental.</t>
        </is>
      </c>
      <c r="I153" t="inlineStr">
        <is>
          <t>2024257580061</t>
        </is>
      </c>
      <c r="J153" s="99">
        <v>203819780</v>
      </c>
      <c r="K153" s="99">
        <v>88580000</v>
      </c>
      <c r="L153" s="99">
        <v>49438000</v>
      </c>
      <c r="M153" s="99">
        <v>54381800</v>
      </c>
      <c r="N153" s="99">
        <v>11419980</v>
      </c>
      <c r="O153" s="99" t="inlineStr">
        <is>
          <t xml:space="preserve"> </t>
        </is>
      </c>
      <c r="P153" s="99" t="inlineStr">
        <is>
          <t xml:space="preserve"> </t>
        </is>
      </c>
      <c r="Q153" s="99" t="inlineStr">
        <is>
          <t xml:space="preserve"> </t>
        </is>
      </c>
      <c r="R153" s="100" t="inlineStr">
        <is>
          <t xml:space="preserve"> </t>
        </is>
      </c>
      <c r="S153" t="inlineStr">
        <is>
          <t>No se encontró ejecución en CUIPO</t>
        </is>
      </c>
      <c r="T153" s="101">
        <v>7538760</v>
      </c>
      <c r="U153" s="101">
        <v>5229510</v>
      </c>
      <c r="V153" s="101">
        <v>5229510</v>
      </c>
      <c r="W153" s="102">
        <v>0.105779157732918</v>
      </c>
      <c r="X153" t="inlineStr">
        <is>
          <t>Lo obligado está por debajo de lo programado en la vigencia</t>
        </is>
      </c>
    </row>
    <row r="154">
      <c r="A154" t="inlineStr">
        <is>
          <t>IP-215</t>
        </is>
      </c>
      <c r="B154" t="inlineStr">
        <is>
          <t>32</t>
        </is>
      </c>
      <c r="C154" t="inlineStr">
        <is>
          <t>Ambiente y desarrollo sostenible</t>
        </is>
      </c>
      <c r="D154" t="inlineStr">
        <is>
          <t>3204</t>
        </is>
      </c>
      <c r="E154" t="inlineStr">
        <is>
          <t>Gestión de la información y el conocimiento ambiental</t>
        </is>
      </c>
      <c r="F154" t="inlineStr">
        <is>
          <t>3204034</t>
        </is>
      </c>
      <c r="G154" t="inlineStr">
        <is>
          <t>Estaciones de investigación mejoradas y dotadas</t>
        </is>
      </c>
      <c r="H154" t="inlineStr">
        <is>
          <t xml:space="preserve">Pendiente </t>
        </is>
      </c>
      <c r="I154" t="inlineStr">
        <is>
          <t>2024257580061</t>
        </is>
      </c>
      <c r="J154" s="99">
        <v>52404497</v>
      </c>
      <c r="K154" s="99">
        <v>15214285</v>
      </c>
      <c r="L154" s="99">
        <v>11235714</v>
      </c>
      <c r="M154" s="99">
        <v>12359285</v>
      </c>
      <c r="N154" s="99">
        <v>13595213</v>
      </c>
      <c r="O154" s="99">
        <v>2443329</v>
      </c>
      <c r="P154" s="99">
        <v>814443</v>
      </c>
      <c r="Q154" s="99">
        <v>0</v>
      </c>
      <c r="R154" s="100">
        <v>0.0535314673019468</v>
      </c>
      <c r="S154" t="inlineStr">
        <is>
          <t>Lo obligado está por debajo de lo programado en la vigencia</t>
        </is>
      </c>
      <c r="T154" s="101">
        <v>27345561</v>
      </c>
      <c r="U154" s="101">
        <v>26067786</v>
      </c>
      <c r="V154" s="101">
        <v>26067786</v>
      </c>
      <c r="W154" s="102">
        <v>2.32008272905487</v>
      </c>
      <c r="X154" t="inlineStr">
        <is>
          <t>Hubo ejecución por encima de lo programado en SisPT</t>
        </is>
      </c>
    </row>
    <row r="155">
      <c r="A155" t="inlineStr">
        <is>
          <t>IP-216, IP-217</t>
        </is>
      </c>
      <c r="B155" t="inlineStr">
        <is>
          <t>32</t>
        </is>
      </c>
      <c r="C155" t="inlineStr">
        <is>
          <t>Ambiente y desarrollo sostenible</t>
        </is>
      </c>
      <c r="D155" t="inlineStr">
        <is>
          <t>3206</t>
        </is>
      </c>
      <c r="E155" t="inlineStr">
        <is>
          <t>Gestión del cambio climático para un desarrollo bajo en carbono y resiliente al clima</t>
        </is>
      </c>
      <c r="F155" t="inlineStr">
        <is>
          <t>3206003</t>
        </is>
      </c>
      <c r="G155" t="inlineStr">
        <is>
          <t>Servicio de apoyo técnico para la implementación de acciones de mitigación y adaptación al cambio climático</t>
        </is>
      </c>
      <c r="H155" t="inlineStr">
        <is>
          <t>Incluye la formulación e implementación de intervenciones locales orientadas a reducir las emisiones de gases efecto invernadero, aumento de sumideros de carbono, reducción de la vulnerabilidad, y aumento de la resiliencia a la variabilidad y al cambio climático. </t>
        </is>
      </c>
      <c r="I155" t="inlineStr">
        <is>
          <t>2024257580068</t>
        </is>
      </c>
      <c r="J155" s="99">
        <v>169390947</v>
      </c>
      <c r="K155" s="99">
        <v>24516903</v>
      </c>
      <c r="L155" s="99">
        <v>43768594</v>
      </c>
      <c r="M155" s="99">
        <v>48145453</v>
      </c>
      <c r="N155" s="99">
        <v>52959997</v>
      </c>
      <c r="O155" s="99" t="inlineStr">
        <is>
          <t xml:space="preserve"> </t>
        </is>
      </c>
      <c r="P155" s="99" t="inlineStr">
        <is>
          <t xml:space="preserve"> </t>
        </is>
      </c>
      <c r="Q155" s="99" t="inlineStr">
        <is>
          <t xml:space="preserve"> </t>
        </is>
      </c>
      <c r="R155" s="100" t="inlineStr">
        <is>
          <t xml:space="preserve"> </t>
        </is>
      </c>
      <c r="S155" t="inlineStr">
        <is>
          <t>No se encontró ejecución en CUIPO</t>
        </is>
      </c>
      <c r="T155" s="101">
        <v>11680847</v>
      </c>
      <c r="U155" s="101">
        <v>11680847</v>
      </c>
      <c r="V155" s="101">
        <v>11680847</v>
      </c>
      <c r="W155" s="102">
        <v>0.266877364166644</v>
      </c>
      <c r="X155" t="inlineStr">
        <is>
          <t>Lo obligado está por debajo de lo programado en la vigencia</t>
        </is>
      </c>
    </row>
    <row r="156">
      <c r="A156" t="inlineStr">
        <is>
          <t>IP-218</t>
        </is>
      </c>
      <c r="B156" t="inlineStr">
        <is>
          <t>32</t>
        </is>
      </c>
      <c r="C156" t="inlineStr">
        <is>
          <t>Ambiente y desarrollo sostenible</t>
        </is>
      </c>
      <c r="D156" t="inlineStr">
        <is>
          <t>3206</t>
        </is>
      </c>
      <c r="E156" t="inlineStr">
        <is>
          <t>Gestión del cambio climático para un desarrollo bajo en carbono y resiliente al clima</t>
        </is>
      </c>
      <c r="F156" t="inlineStr">
        <is>
          <t>3206007</t>
        </is>
      </c>
      <c r="G156" t="inlineStr">
        <is>
          <t>Servicio de articulación para la gestión del cambio climático en la toma de decisiones sectoriales y territoriales</t>
        </is>
      </c>
      <c r="H156" t="inlineStr">
        <is>
          <t>Incluye todas las acciones promovidas por el gobierno nacional  intra e interinstitucional para incidir con consideraciones de cambio climático en los instrumentos de planeación de los sectores y territorios</t>
        </is>
      </c>
      <c r="I156" t="inlineStr">
        <is>
          <t>2024257580068</t>
        </is>
      </c>
      <c r="J156" s="99">
        <v>83538000</v>
      </c>
      <c r="K156" s="99">
        <v>18000000</v>
      </c>
      <c r="L156" s="99">
        <v>19800000</v>
      </c>
      <c r="M156" s="99">
        <v>21780000</v>
      </c>
      <c r="N156" s="99">
        <v>23958000</v>
      </c>
      <c r="O156" s="99" t="inlineStr">
        <is>
          <t xml:space="preserve"> </t>
        </is>
      </c>
      <c r="P156" s="99" t="inlineStr">
        <is>
          <t xml:space="preserve"> </t>
        </is>
      </c>
      <c r="Q156" s="99" t="inlineStr">
        <is>
          <t xml:space="preserve"> </t>
        </is>
      </c>
      <c r="R156" s="100" t="inlineStr">
        <is>
          <t xml:space="preserve"> </t>
        </is>
      </c>
      <c r="S156" t="inlineStr">
        <is>
          <t>No se encontró ejecución en CUIPO</t>
        </is>
      </c>
      <c r="T156" s="101">
        <v>20159370</v>
      </c>
      <c r="U156" s="101">
        <v>10400400</v>
      </c>
      <c r="V156" s="101">
        <v>10400400</v>
      </c>
      <c r="W156" s="102">
        <v>0.525272727272727</v>
      </c>
      <c r="X156" t="inlineStr">
        <is>
          <t>Lo obligado está por debajo de lo programado en la vigencia</t>
        </is>
      </c>
    </row>
    <row r="157">
      <c r="A157" t="inlineStr">
        <is>
          <t>IP-219</t>
        </is>
      </c>
      <c r="B157" t="inlineStr">
        <is>
          <t>32</t>
        </is>
      </c>
      <c r="C157" t="inlineStr">
        <is>
          <t>Ambiente y desarrollo sostenible</t>
        </is>
      </c>
      <c r="D157" t="inlineStr">
        <is>
          <t>3206</t>
        </is>
      </c>
      <c r="E157" t="inlineStr">
        <is>
          <t>Gestión del cambio climático para un desarrollo bajo en carbono y resiliente al clima</t>
        </is>
      </c>
      <c r="F157" t="inlineStr">
        <is>
          <t>3206004</t>
        </is>
      </c>
      <c r="G157" t="inlineStr">
        <is>
          <t>Servicio de educación informal en gestión del cambio climático para un desarrollo bajo en carbono y resiliente al clima</t>
        </is>
      </c>
      <c r="H157" t="inlineStr">
        <is>
          <t xml:space="preserve">Incluye la realización de jornadas de educación, información, y sensibilización dirigidos a diferentes públicos. </t>
        </is>
      </c>
      <c r="I157" t="inlineStr">
        <is>
          <t>2024257580068</t>
        </is>
      </c>
      <c r="J157" s="99">
        <v>116369757</v>
      </c>
      <c r="K157" s="99">
        <v>25074285</v>
      </c>
      <c r="L157" s="99">
        <v>27581714</v>
      </c>
      <c r="M157" s="99">
        <v>30339885</v>
      </c>
      <c r="N157" s="99">
        <v>33373873</v>
      </c>
      <c r="O157" s="99" t="inlineStr">
        <is>
          <t xml:space="preserve"> </t>
        </is>
      </c>
      <c r="P157" s="99" t="inlineStr">
        <is>
          <t xml:space="preserve"> </t>
        </is>
      </c>
      <c r="Q157" s="99" t="inlineStr">
        <is>
          <t xml:space="preserve"> </t>
        </is>
      </c>
      <c r="R157" s="100" t="inlineStr">
        <is>
          <t xml:space="preserve"> </t>
        </is>
      </c>
      <c r="S157" t="inlineStr">
        <is>
          <t>No se encontró ejecución en CUIPO</t>
        </is>
      </c>
      <c r="T157" s="101">
        <v>14830680</v>
      </c>
      <c r="U157" s="101">
        <v>14183790</v>
      </c>
      <c r="V157" s="101">
        <v>14183790</v>
      </c>
      <c r="W157" s="102">
        <v>0.514246141483448</v>
      </c>
      <c r="X157" t="inlineStr">
        <is>
          <t>Lo obligado está por debajo de lo programado en la vigencia</t>
        </is>
      </c>
    </row>
    <row r="158">
      <c r="A158" t="inlineStr">
        <is>
          <t>IP-220, IP-221, IP-223, IP-225</t>
        </is>
      </c>
      <c r="B158" t="inlineStr">
        <is>
          <t>40</t>
        </is>
      </c>
      <c r="C158" t="inlineStr">
        <is>
          <t>Vivienda, ciudad y territorio</t>
        </is>
      </c>
      <c r="D158" t="inlineStr">
        <is>
          <t>4002</t>
        </is>
      </c>
      <c r="E158" t="inlineStr">
        <is>
          <t>Ordenamiento territorial y desarrollo urbano</t>
        </is>
      </c>
      <c r="F158" t="inlineStr">
        <is>
          <t>4002016</t>
        </is>
      </c>
      <c r="G158" t="inlineStr">
        <is>
          <t>Documentos de planeación</t>
        </is>
      </c>
      <c r="H158" t="inlineStr">
        <is>
          <t>Documentos cuyo objetivo es plasmar una visión de futuro a nivel país, entidad territorial, comunidad, sector, región, entidad o cualquier nivel de desagregación que se requiera. Incluye objetivos, estrategias, metas e indicadores</t>
        </is>
      </c>
      <c r="I158" t="inlineStr">
        <is>
          <t>2024257580044</t>
        </is>
      </c>
      <c r="J158" s="99">
        <v>980500000</v>
      </c>
      <c r="K158" s="99">
        <v>203500000</v>
      </c>
      <c r="L158" s="99">
        <v>317800000</v>
      </c>
      <c r="M158" s="99">
        <v>218900000</v>
      </c>
      <c r="N158" s="99">
        <v>240300000</v>
      </c>
      <c r="O158" s="99">
        <v>34999999</v>
      </c>
      <c r="P158" s="99">
        <v>34999999</v>
      </c>
      <c r="Q158" s="99">
        <v>34999999</v>
      </c>
      <c r="R158" s="100">
        <v>0.171990167076167</v>
      </c>
      <c r="S158" t="inlineStr">
        <is>
          <t>Lo obligado está por debajo de lo programado en la vigencia</t>
        </is>
      </c>
      <c r="T158" s="101">
        <v>376854800</v>
      </c>
      <c r="U158" s="101">
        <v>279139134</v>
      </c>
      <c r="V158" s="101">
        <v>279139134</v>
      </c>
      <c r="W158" s="102">
        <v>0.878348439269981</v>
      </c>
      <c r="X158" t="inlineStr">
        <is>
          <t>Lo obligado está por debajo de lo programado en la vigencia</t>
        </is>
      </c>
    </row>
    <row r="159">
      <c r="A159" t="inlineStr">
        <is>
          <t>IP-222, IP-226</t>
        </is>
      </c>
      <c r="B159" t="inlineStr">
        <is>
          <t>40</t>
        </is>
      </c>
      <c r="C159" t="inlineStr">
        <is>
          <t>Vivienda, ciudad y territorio</t>
        </is>
      </c>
      <c r="D159" t="inlineStr">
        <is>
          <t>4002</t>
        </is>
      </c>
      <c r="E159" t="inlineStr">
        <is>
          <t>Ordenamiento territorial y desarrollo urbano</t>
        </is>
      </c>
      <c r="F159" t="inlineStr">
        <is>
          <t>4002001</t>
        </is>
      </c>
      <c r="G159" t="inlineStr">
        <is>
          <t>Servicios de asistencia técnica en planificación urbana y ordenamiento territorial</t>
        </is>
      </c>
      <c r="H159" t="inlineStr">
        <is>
          <t>Asistencia técnica realizada por Nación o Departamentos  ,en formulación, revisión, ajuste, evaluación y/o implementación de planes de ordenamiento territorial (Para municipios: POT, PBOT y EOT), plan de ordenamiento Departamental o plan Metropolitano de ordenamiento territorial.</t>
        </is>
      </c>
      <c r="I159" t="inlineStr">
        <is>
          <t>2024257580044</t>
        </is>
      </c>
      <c r="J159" s="99">
        <v>454000000</v>
      </c>
      <c r="K159" s="99">
        <v>30000000</v>
      </c>
      <c r="L159" s="99">
        <v>180000000</v>
      </c>
      <c r="M159" s="99">
        <v>116000000</v>
      </c>
      <c r="N159" s="99">
        <v>128000000</v>
      </c>
      <c r="O159" s="99" t="inlineStr">
        <is>
          <t xml:space="preserve"> </t>
        </is>
      </c>
      <c r="P159" s="99" t="inlineStr">
        <is>
          <t xml:space="preserve"> </t>
        </is>
      </c>
      <c r="Q159" s="99" t="inlineStr">
        <is>
          <t xml:space="preserve"> </t>
        </is>
      </c>
      <c r="R159" s="100" t="inlineStr">
        <is>
          <t xml:space="preserve"> </t>
        </is>
      </c>
      <c r="S159" t="inlineStr">
        <is>
          <t>No se encontró ejecución en CUIPO</t>
        </is>
      </c>
      <c r="T159" s="101">
        <v>82399833</v>
      </c>
      <c r="U159" s="101">
        <v>51844667</v>
      </c>
      <c r="V159" s="101">
        <v>51844667</v>
      </c>
      <c r="W159" s="102">
        <v>0.288025927777778</v>
      </c>
      <c r="X159" t="inlineStr">
        <is>
          <t>Lo obligado está por debajo de lo programado en la vigencia</t>
        </is>
      </c>
    </row>
    <row r="160">
      <c r="A160" t="inlineStr">
        <is>
          <t>IP-224</t>
        </is>
      </c>
      <c r="B160" t="inlineStr">
        <is>
          <t>40</t>
        </is>
      </c>
      <c r="C160" t="inlineStr">
        <is>
          <t>Vivienda, ciudad y territorio</t>
        </is>
      </c>
      <c r="D160" t="inlineStr">
        <is>
          <t>4002</t>
        </is>
      </c>
      <c r="E160" t="inlineStr">
        <is>
          <t>Ordenamiento territorial y desarrollo urbano</t>
        </is>
      </c>
      <c r="F160" t="inlineStr">
        <is>
          <t>4002013</t>
        </is>
      </c>
      <c r="G160" t="inlineStr">
        <is>
          <t>Servicio de apoyo financiero para el Mejoramiento integral de barrios</t>
        </is>
      </c>
      <c r="H160" t="inlineStr">
        <is>
          <t>Financiación o cofinanciación para el mejoramiento integral de barrios</t>
        </is>
      </c>
      <c r="I160" t="inlineStr">
        <is>
          <t>2024257580044</t>
        </is>
      </c>
      <c r="J160" s="99">
        <v>165000000</v>
      </c>
      <c r="K160" s="99">
        <v>50000000</v>
      </c>
      <c r="L160" s="99">
        <v>55000000</v>
      </c>
      <c r="M160" s="99">
        <v>60000000</v>
      </c>
      <c r="N160" s="99">
        <v>0</v>
      </c>
      <c r="O160" s="99" t="inlineStr">
        <is>
          <t xml:space="preserve"> </t>
        </is>
      </c>
      <c r="P160" s="99" t="inlineStr">
        <is>
          <t xml:space="preserve"> </t>
        </is>
      </c>
      <c r="Q160" s="99" t="inlineStr">
        <is>
          <t xml:space="preserve"> </t>
        </is>
      </c>
      <c r="R160" s="100" t="inlineStr">
        <is>
          <t xml:space="preserve"> </t>
        </is>
      </c>
      <c r="S160" t="inlineStr">
        <is>
          <t>No se encontró ejecución en CUIPO</t>
        </is>
      </c>
      <c r="T160" s="101">
        <v>59860000</v>
      </c>
      <c r="U160" s="101">
        <v>43450533</v>
      </c>
      <c r="V160" s="101">
        <v>43450533</v>
      </c>
      <c r="W160" s="102">
        <v>0.790009690909091</v>
      </c>
      <c r="X160" t="inlineStr">
        <is>
          <t>Lo obligado está por debajo de lo programado en la vigencia</t>
        </is>
      </c>
    </row>
    <row r="161">
      <c r="A161" t="inlineStr">
        <is>
          <t>IP-227, IP-228, IP-229</t>
        </is>
      </c>
      <c r="B161" t="inlineStr">
        <is>
          <t>45</t>
        </is>
      </c>
      <c r="C161" t="inlineStr">
        <is>
          <t>Gobierno Territorial</t>
        </is>
      </c>
      <c r="D161" t="inlineStr">
        <is>
          <t>4503</t>
        </is>
      </c>
      <c r="E161" t="inlineStr">
        <is>
          <t>Gestión del riesgo de desastres y emergencias</t>
        </is>
      </c>
      <c r="F161" t="inlineStr">
        <is>
          <t>4503023</t>
        </is>
      </c>
      <c r="G161" t="inlineStr">
        <is>
          <t>Documentos de planeación</t>
        </is>
      </c>
      <c r="H161" t="inlineStr">
        <is>
          <t>Documentos cuyo objetivo es plasmar una visión de futuro a nivel país, entidad territorial, comunidad, sector, región, entidad o cualquier nivel de desagregación que se requiera. Incluye objetivos, estrategias, metas e indicadores</t>
        </is>
      </c>
      <c r="I161" t="inlineStr">
        <is>
          <t>2024257580033</t>
        </is>
      </c>
      <c r="J161" s="99">
        <v>350732428</v>
      </c>
      <c r="K161" s="99">
        <v>74279774</v>
      </c>
      <c r="L161" s="99">
        <v>81707750</v>
      </c>
      <c r="M161" s="99">
        <v>89878526</v>
      </c>
      <c r="N161" s="99">
        <v>104866378</v>
      </c>
      <c r="O161" s="99" t="inlineStr">
        <is>
          <t xml:space="preserve"> </t>
        </is>
      </c>
      <c r="P161" s="99" t="inlineStr">
        <is>
          <t xml:space="preserve"> </t>
        </is>
      </c>
      <c r="Q161" s="99" t="inlineStr">
        <is>
          <t xml:space="preserve"> </t>
        </is>
      </c>
      <c r="R161" s="100" t="inlineStr">
        <is>
          <t xml:space="preserve"> </t>
        </is>
      </c>
      <c r="S161" t="inlineStr">
        <is>
          <t>No se encontró ejecución en CUIPO</t>
        </is>
      </c>
      <c r="T161" s="101">
        <v>137530743</v>
      </c>
      <c r="U161" s="101">
        <v>128575817</v>
      </c>
      <c r="V161" s="101">
        <v>128575817</v>
      </c>
      <c r="W161" s="102">
        <v>1.57360613895255</v>
      </c>
      <c r="X161" t="inlineStr">
        <is>
          <t>Hubo ejecución por encima de lo programado en SisPT</t>
        </is>
      </c>
    </row>
    <row r="162">
      <c r="A162" t="inlineStr">
        <is>
          <t>IP-230</t>
        </is>
      </c>
      <c r="B162" t="inlineStr">
        <is>
          <t>45</t>
        </is>
      </c>
      <c r="C162" t="inlineStr">
        <is>
          <t>Gobierno Territorial</t>
        </is>
      </c>
      <c r="D162" t="inlineStr">
        <is>
          <t>4503</t>
        </is>
      </c>
      <c r="E162" t="inlineStr">
        <is>
          <t>Gestión del riesgo de desastres y emergencias</t>
        </is>
      </c>
      <c r="F162" t="inlineStr">
        <is>
          <t>4503002</t>
        </is>
      </c>
      <c r="G162" t="inlineStr">
        <is>
          <t>Servicio de educación informal</t>
        </is>
      </c>
      <c r="H162"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162" t="inlineStr">
        <is>
          <t>2024257580033</t>
        </is>
      </c>
      <c r="J162" s="99">
        <v>145309184</v>
      </c>
      <c r="K162" s="99">
        <v>31309887</v>
      </c>
      <c r="L162" s="99">
        <v>34440875</v>
      </c>
      <c r="M162" s="99">
        <v>37884963</v>
      </c>
      <c r="N162" s="99">
        <v>41673459</v>
      </c>
      <c r="O162" s="99" t="inlineStr">
        <is>
          <t xml:space="preserve"> </t>
        </is>
      </c>
      <c r="P162" s="99" t="inlineStr">
        <is>
          <t xml:space="preserve"> </t>
        </is>
      </c>
      <c r="Q162" s="99" t="inlineStr">
        <is>
          <t xml:space="preserve"> </t>
        </is>
      </c>
      <c r="R162" s="100" t="inlineStr">
        <is>
          <t xml:space="preserve"> </t>
        </is>
      </c>
      <c r="S162" t="inlineStr">
        <is>
          <t>No se encontró ejecución en CUIPO</t>
        </is>
      </c>
      <c r="T162" s="101">
        <v>165575814</v>
      </c>
      <c r="U162" s="101">
        <v>115768764</v>
      </c>
      <c r="V162" s="101">
        <v>115768764</v>
      </c>
      <c r="W162" s="102">
        <v>3.36137696850036</v>
      </c>
      <c r="X162" t="inlineStr">
        <is>
          <t>Hubo ejecución por encima de lo programado en SisPT</t>
        </is>
      </c>
    </row>
    <row r="163">
      <c r="A163" t="inlineStr">
        <is>
          <t>IP-231, IP-234</t>
        </is>
      </c>
      <c r="B163" t="inlineStr">
        <is>
          <t>45</t>
        </is>
      </c>
      <c r="C163" t="inlineStr">
        <is>
          <t>Gobierno Territorial</t>
        </is>
      </c>
      <c r="D163" t="inlineStr">
        <is>
          <t>4503</t>
        </is>
      </c>
      <c r="E163" t="inlineStr">
        <is>
          <t>Gestión del riesgo de desastres y emergencias</t>
        </is>
      </c>
      <c r="F163" t="inlineStr">
        <is>
          <t>4503003</t>
        </is>
      </c>
      <c r="G163" t="inlineStr">
        <is>
          <t>Servicio de asistencia técnica</t>
        </is>
      </c>
      <c r="H163" t="inlineStr">
        <is>
          <t xml:space="preserve">Corresponde al acompañamiento, apoyo, asesoría y seguimiento técnico para la transferencia de herramientas de gestión y conocimiento en políticas, planes , proyectos y programas de apoyo a la dirección y gestión de la administración territorial. </t>
        </is>
      </c>
      <c r="I163" t="inlineStr">
        <is>
          <t>2024257580033</t>
        </is>
      </c>
      <c r="J163" s="99">
        <v>2566690033</v>
      </c>
      <c r="K163" s="99">
        <v>1074045533</v>
      </c>
      <c r="L163" s="99">
        <v>450950000</v>
      </c>
      <c r="M163" s="99">
        <v>496045000</v>
      </c>
      <c r="N163" s="99">
        <v>545649500</v>
      </c>
      <c r="O163" s="99" t="inlineStr">
        <is>
          <t xml:space="preserve"> </t>
        </is>
      </c>
      <c r="P163" s="99" t="inlineStr">
        <is>
          <t xml:space="preserve"> </t>
        </is>
      </c>
      <c r="Q163" s="99" t="inlineStr">
        <is>
          <t xml:space="preserve"> </t>
        </is>
      </c>
      <c r="R163" s="100" t="inlineStr">
        <is>
          <t xml:space="preserve"> </t>
        </is>
      </c>
      <c r="S163" t="inlineStr">
        <is>
          <t>No se encontró ejecución en CUIPO</t>
        </is>
      </c>
      <c r="T163" s="101">
        <v>142975914</v>
      </c>
      <c r="U163" s="101">
        <v>49437566</v>
      </c>
      <c r="V163" s="101">
        <v>49437566</v>
      </c>
      <c r="W163" s="102">
        <v>0.109629817052888</v>
      </c>
      <c r="X163" t="inlineStr">
        <is>
          <t>Lo obligado está por debajo de lo programado en la vigencia</t>
        </is>
      </c>
    </row>
    <row r="164">
      <c r="A164" t="inlineStr">
        <is>
          <t>IP-232</t>
        </is>
      </c>
      <c r="B164" t="inlineStr">
        <is>
          <t>45</t>
        </is>
      </c>
      <c r="C164" t="inlineStr">
        <is>
          <t>Gobierno Territorial</t>
        </is>
      </c>
      <c r="D164" t="inlineStr">
        <is>
          <t>4503</t>
        </is>
      </c>
      <c r="E164" t="inlineStr">
        <is>
          <t>Gestión del riesgo de desastres y emergencias</t>
        </is>
      </c>
      <c r="F164" t="inlineStr">
        <is>
          <t>4503022</t>
        </is>
      </c>
      <c r="G164" t="inlineStr">
        <is>
          <t>Obras de infraestructura para la reducción del riesgo de desastres</t>
        </is>
      </c>
      <c r="H164" t="inlineStr">
        <is>
          <t>Intervenciones que buscan reducir el nivel de riesgo existente en un determinado sitio, mediante acciones de carácter estructural – físicas que conlleven a corregir o reducir las condiciones de amenaza, cuando esto sea posible, y/o la vulnerabilidad de los elementos expuestos.</t>
        </is>
      </c>
      <c r="I164" t="inlineStr">
        <is>
          <t>2024257580033</t>
        </is>
      </c>
      <c r="J164" s="99">
        <v>54114060</v>
      </c>
      <c r="K164" s="99">
        <v>11660000</v>
      </c>
      <c r="L164" s="99">
        <v>12826000</v>
      </c>
      <c r="M164" s="99">
        <v>14108600</v>
      </c>
      <c r="N164" s="99">
        <v>15519460</v>
      </c>
      <c r="O164" s="99" t="inlineStr">
        <is>
          <t xml:space="preserve"> </t>
        </is>
      </c>
      <c r="P164" s="99" t="inlineStr">
        <is>
          <t xml:space="preserve"> </t>
        </is>
      </c>
      <c r="Q164" s="99" t="inlineStr">
        <is>
          <t xml:space="preserve"> </t>
        </is>
      </c>
      <c r="R164" s="100" t="inlineStr">
        <is>
          <t xml:space="preserve"> </t>
        </is>
      </c>
      <c r="S164" t="inlineStr">
        <is>
          <t>No se encontró ejecución en CUIPO</t>
        </is>
      </c>
      <c r="T164" s="101">
        <v>13621688</v>
      </c>
      <c r="U164" s="101">
        <v>5189245</v>
      </c>
      <c r="V164" s="101">
        <v>5189245</v>
      </c>
      <c r="W164" s="102">
        <v>0.404587946358958</v>
      </c>
      <c r="X164" t="inlineStr">
        <is>
          <t>Lo obligado está por debajo de lo programado en la vigencia</t>
        </is>
      </c>
    </row>
    <row r="165">
      <c r="A165" t="inlineStr">
        <is>
          <t>IP-233</t>
        </is>
      </c>
      <c r="B165" t="inlineStr">
        <is>
          <t>45</t>
        </is>
      </c>
      <c r="C165" t="inlineStr">
        <is>
          <t>Gobierno Territorial</t>
        </is>
      </c>
      <c r="D165" t="inlineStr">
        <is>
          <t>4503</t>
        </is>
      </c>
      <c r="E165" t="inlineStr">
        <is>
          <t>Gestión del riesgo de desastres y emergencias</t>
        </is>
      </c>
      <c r="F165" t="inlineStr">
        <is>
          <t>4503016</t>
        </is>
      </c>
      <c r="G165" t="inlineStr">
        <is>
          <t>Servicio de fortalecimiento a las salas de crisis territorial</t>
        </is>
      </c>
      <c r="H165" t="inlineStr">
        <is>
          <t>Incluye la dotación de los organismos que componen la sala de crisis de los Consejos territoriales de Gestión de Riesgo con vehículos, equipos de protección personal y equipos, herramientas y accesorios para la atención de emergencias, así como el aseguramiento del personal misional.</t>
        </is>
      </c>
      <c r="I165" t="inlineStr">
        <is>
          <t>2024257580033</t>
        </is>
      </c>
      <c r="J165" s="99">
        <v>1757575973</v>
      </c>
      <c r="K165" s="99">
        <v>307385533</v>
      </c>
      <c r="L165" s="99">
        <v>438124000</v>
      </c>
      <c r="M165" s="99">
        <v>481936400</v>
      </c>
      <c r="N165" s="99">
        <v>530130040</v>
      </c>
      <c r="O165" s="99">
        <v>10393326</v>
      </c>
      <c r="P165" s="99">
        <v>10393326</v>
      </c>
      <c r="Q165" s="99">
        <v>0</v>
      </c>
      <c r="R165" s="100">
        <v>0.0338120206847861</v>
      </c>
      <c r="S165" t="inlineStr">
        <is>
          <t>Lo obligado está por debajo de lo programado en la vigencia</t>
        </is>
      </c>
      <c r="T165" s="101">
        <v>346876741</v>
      </c>
      <c r="U165" s="101">
        <v>295824326</v>
      </c>
      <c r="V165" s="101">
        <v>295824326</v>
      </c>
      <c r="W165" s="102">
        <v>0.675206850115492</v>
      </c>
      <c r="X165" t="inlineStr">
        <is>
          <t>Lo obligado está por debajo de lo programado en la vigencia</t>
        </is>
      </c>
    </row>
    <row r="166">
      <c r="A166" t="inlineStr">
        <is>
          <t>IP-235</t>
        </is>
      </c>
      <c r="B166" t="inlineStr">
        <is>
          <t>45</t>
        </is>
      </c>
      <c r="C166" t="inlineStr">
        <is>
          <t>Gobierno Territorial</t>
        </is>
      </c>
      <c r="D166" t="inlineStr">
        <is>
          <t>4503</t>
        </is>
      </c>
      <c r="E166" t="inlineStr">
        <is>
          <t>Gestión del riesgo de desastres y emergencias</t>
        </is>
      </c>
      <c r="F166" t="inlineStr">
        <is>
          <t>4503004</t>
        </is>
      </c>
      <c r="G166" t="inlineStr">
        <is>
          <t>Servicio de atención a emergencias y desastres</t>
        </is>
      </c>
      <c r="H166" t="inlineStr">
        <is>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is>
      </c>
      <c r="I166" t="inlineStr">
        <is>
          <t>2024257580033</t>
        </is>
      </c>
      <c r="J166" s="99">
        <v>1757575973</v>
      </c>
      <c r="K166" s="99">
        <v>307385533</v>
      </c>
      <c r="L166" s="99">
        <v>438124000</v>
      </c>
      <c r="M166" s="99">
        <v>481936400</v>
      </c>
      <c r="N166" s="99">
        <v>530130040</v>
      </c>
      <c r="O166" s="99">
        <v>10393236</v>
      </c>
      <c r="P166" s="99">
        <v>10393236</v>
      </c>
      <c r="Q166" s="99">
        <v>0</v>
      </c>
      <c r="R166" s="100">
        <v>0.0338117278928674</v>
      </c>
      <c r="S166" t="inlineStr">
        <is>
          <t>Lo obligado está por debajo de lo programado en la vigencia</t>
        </is>
      </c>
      <c r="T166" s="101">
        <v>259095814</v>
      </c>
      <c r="U166" s="101">
        <v>102456066</v>
      </c>
      <c r="V166" s="101">
        <v>102456066</v>
      </c>
      <c r="W166" s="102">
        <v>0.23385175429787</v>
      </c>
      <c r="X166" t="inlineStr">
        <is>
          <t>Lo obligado está por debajo de lo programado en la vigencia</t>
        </is>
      </c>
    </row>
    <row r="167">
      <c r="A167" t="inlineStr">
        <is>
          <t>IP-236</t>
        </is>
      </c>
      <c r="B167" t="inlineStr">
        <is>
          <t>36</t>
        </is>
      </c>
      <c r="C167" t="inlineStr">
        <is>
          <t>Trabajo</t>
        </is>
      </c>
      <c r="D167" t="inlineStr">
        <is>
          <t>3602</t>
        </is>
      </c>
      <c r="E167" t="inlineStr">
        <is>
          <t>Generación y formalización del empleo</t>
        </is>
      </c>
      <c r="F167" t="inlineStr">
        <is>
          <t>3602022</t>
        </is>
      </c>
      <c r="G167" t="inlineStr">
        <is>
          <t>Servicios de asistencia técnica para la generación de Alianzas Estratégicas</t>
        </is>
      </c>
      <c r="H167" t="inlineStr">
        <is>
          <t>Hace referencia a la asistencia técnica para la generación de alianzas estratégicas público privadas necesarias para adelantar los negocios inclusivos en beneficio de las víctimas.</t>
        </is>
      </c>
      <c r="I167" t="inlineStr">
        <is>
          <t>2024257580042</t>
        </is>
      </c>
      <c r="J167" s="99">
        <v>174579010</v>
      </c>
      <c r="K167" s="99">
        <v>33000000</v>
      </c>
      <c r="L167" s="99">
        <v>42471000</v>
      </c>
      <c r="M167" s="99">
        <v>46718100</v>
      </c>
      <c r="N167" s="99">
        <v>52389910</v>
      </c>
      <c r="O167" s="99" t="inlineStr">
        <is>
          <t xml:space="preserve"> </t>
        </is>
      </c>
      <c r="P167" s="99" t="inlineStr">
        <is>
          <t xml:space="preserve"> </t>
        </is>
      </c>
      <c r="Q167" s="99" t="inlineStr">
        <is>
          <t xml:space="preserve"> </t>
        </is>
      </c>
      <c r="R167" s="100" t="inlineStr">
        <is>
          <t xml:space="preserve"> </t>
        </is>
      </c>
      <c r="S167" t="inlineStr">
        <is>
          <t>No se encontró ejecución en CUIPO</t>
        </is>
      </c>
      <c r="T167" s="101">
        <v>39410800</v>
      </c>
      <c r="U167" s="101">
        <v>26751573</v>
      </c>
      <c r="V167" s="101">
        <v>26751573</v>
      </c>
      <c r="W167" s="102">
        <v>0.629878575969485</v>
      </c>
      <c r="X167" t="inlineStr">
        <is>
          <t>Lo obligado está por debajo de lo programado en la vigencia</t>
        </is>
      </c>
    </row>
    <row r="168">
      <c r="A168" t="inlineStr">
        <is>
          <t>IP-237</t>
        </is>
      </c>
      <c r="B168" t="inlineStr">
        <is>
          <t>36</t>
        </is>
      </c>
      <c r="C168" t="inlineStr">
        <is>
          <t>Trabajo</t>
        </is>
      </c>
      <c r="D168" t="inlineStr">
        <is>
          <t>3602</t>
        </is>
      </c>
      <c r="E168" t="inlineStr">
        <is>
          <t>Generación y formalización del empleo</t>
        </is>
      </c>
      <c r="F168" t="inlineStr">
        <is>
          <t>3602006</t>
        </is>
      </c>
      <c r="G168" t="inlineStr">
        <is>
          <t>Servicio de registro laboral</t>
        </is>
      </c>
      <c r="H168" t="inlineStr">
        <is>
          <t>Es la inscripción de hojas de vida de las personas en los centros de Atención, con la asistencia de un facilitador.</t>
        </is>
      </c>
      <c r="I168" t="inlineStr">
        <is>
          <t>2024257580042</t>
        </is>
      </c>
      <c r="J168" s="99">
        <v>172552380</v>
      </c>
      <c r="K168" s="99">
        <v>37180000</v>
      </c>
      <c r="L168" s="99">
        <v>40898000</v>
      </c>
      <c r="M168" s="99">
        <v>44987800</v>
      </c>
      <c r="N168" s="99">
        <v>49486580</v>
      </c>
      <c r="O168" s="99" t="inlineStr">
        <is>
          <t xml:space="preserve"> </t>
        </is>
      </c>
      <c r="P168" s="99" t="inlineStr">
        <is>
          <t xml:space="preserve"> </t>
        </is>
      </c>
      <c r="Q168" s="99" t="inlineStr">
        <is>
          <t xml:space="preserve"> </t>
        </is>
      </c>
      <c r="R168" s="100" t="inlineStr">
        <is>
          <t xml:space="preserve"> </t>
        </is>
      </c>
      <c r="S168" t="inlineStr">
        <is>
          <t>No se encontró ejecución en CUIPO</t>
        </is>
      </c>
      <c r="T168" s="101" t="inlineStr">
        <is>
          <t xml:space="preserve"> </t>
        </is>
      </c>
      <c r="U168" s="101" t="inlineStr">
        <is>
          <t xml:space="preserve"> </t>
        </is>
      </c>
      <c r="V168" s="101" t="inlineStr">
        <is>
          <t xml:space="preserve"> </t>
        </is>
      </c>
      <c r="W168" s="102" t="inlineStr">
        <is>
          <t xml:space="preserve"> </t>
        </is>
      </c>
      <c r="X168" t="inlineStr">
        <is>
          <t>No se encontró ejecución en CUIPO</t>
        </is>
      </c>
    </row>
    <row r="169">
      <c r="A169" t="inlineStr">
        <is>
          <t>IP-238</t>
        </is>
      </c>
      <c r="B169" t="inlineStr">
        <is>
          <t>36</t>
        </is>
      </c>
      <c r="C169" t="inlineStr">
        <is>
          <t>Trabajo</t>
        </is>
      </c>
      <c r="D169" t="inlineStr">
        <is>
          <t>3602</t>
        </is>
      </c>
      <c r="E169" t="inlineStr">
        <is>
          <t>Generación y formalización del empleo</t>
        </is>
      </c>
      <c r="F169" t="inlineStr">
        <is>
          <t>3602027</t>
        </is>
      </c>
      <c r="G169" t="inlineStr">
        <is>
          <t>Servicio de apoyo al fortalecimiento de políticas públicas para la generación y formalización del empleo en el marco del trabajo decente</t>
        </is>
      </c>
      <c r="H169" t="inlineStr">
        <is>
          <t>Hace referencia a la gama de estrategias que pretenden incidir directamente sobre la estructura y el funcionamiento del mercado de trabajo, para incentivar la generación de empleo, su organización, y en la reducción de barreras para insertarse en el mercado laboral.</t>
        </is>
      </c>
      <c r="I169" t="inlineStr">
        <is>
          <t>2024257580042</t>
        </is>
      </c>
      <c r="J169" s="99">
        <v>138765900</v>
      </c>
      <c r="K169" s="99">
        <v>29900000</v>
      </c>
      <c r="L169" s="99">
        <v>32890000</v>
      </c>
      <c r="M169" s="99">
        <v>36179000</v>
      </c>
      <c r="N169" s="99">
        <v>39796900</v>
      </c>
      <c r="O169" s="99" t="inlineStr">
        <is>
          <t xml:space="preserve"> </t>
        </is>
      </c>
      <c r="P169" s="99" t="inlineStr">
        <is>
          <t xml:space="preserve"> </t>
        </is>
      </c>
      <c r="Q169" s="99" t="inlineStr">
        <is>
          <t xml:space="preserve"> </t>
        </is>
      </c>
      <c r="R169" s="100" t="inlineStr">
        <is>
          <t xml:space="preserve"> </t>
        </is>
      </c>
      <c r="S169" t="inlineStr">
        <is>
          <t>No se encontró ejecución en CUIPO</t>
        </is>
      </c>
      <c r="T169" s="101">
        <v>34683000</v>
      </c>
      <c r="U169" s="101">
        <v>23122000</v>
      </c>
      <c r="V169" s="101">
        <v>23122000</v>
      </c>
      <c r="W169" s="102">
        <v>0.703010033444816</v>
      </c>
      <c r="X169" t="inlineStr">
        <is>
          <t>Lo obligado está por debajo de lo programado en la vigencia</t>
        </is>
      </c>
    </row>
    <row r="170">
      <c r="A170" t="inlineStr">
        <is>
          <t>IP-239, IP-240</t>
        </is>
      </c>
      <c r="B170" t="inlineStr">
        <is>
          <t>36</t>
        </is>
      </c>
      <c r="C170" t="inlineStr">
        <is>
          <t>Trabajo</t>
        </is>
      </c>
      <c r="D170" t="inlineStr">
        <is>
          <t>3602</t>
        </is>
      </c>
      <c r="E170" t="inlineStr">
        <is>
          <t>Generación y formalización del empleo</t>
        </is>
      </c>
      <c r="F170" t="inlineStr">
        <is>
          <t>3602002</t>
        </is>
      </c>
      <c r="G170" t="inlineStr">
        <is>
          <t>Servicios de gestión para generación y formalización del empleo</t>
        </is>
      </c>
      <c r="H170" t="inlineStr">
        <is>
          <t>Hace referencia a la gestión que realiza el Ministerio del Trabajo para la  generación y formalización del empleo en diferentes grupos poblacionales (victimas, población con discapacidad, jóvenes,  mujeres, indígenas, afrocolombianos, población ROM, entre otros) mediante  diferentes espacios de participación (foros, seminarios, talleres entre otros). </t>
        </is>
      </c>
      <c r="I170" t="inlineStr">
        <is>
          <t>2024257580042</t>
        </is>
      </c>
      <c r="J170" s="99">
        <v>581975640</v>
      </c>
      <c r="K170" s="99">
        <v>120000000</v>
      </c>
      <c r="L170" s="99">
        <v>135600000</v>
      </c>
      <c r="M170" s="99">
        <v>153228000</v>
      </c>
      <c r="N170" s="99">
        <v>173147640</v>
      </c>
      <c r="O170" s="99">
        <v>3336667</v>
      </c>
      <c r="P170" s="99">
        <v>3336667</v>
      </c>
      <c r="Q170" s="99">
        <v>3336667</v>
      </c>
      <c r="R170" s="100">
        <v>0.0278055583333333</v>
      </c>
      <c r="S170" t="inlineStr">
        <is>
          <t>Lo obligado está por debajo de lo programado en la vigencia</t>
        </is>
      </c>
      <c r="T170" s="101">
        <v>86044479</v>
      </c>
      <c r="U170" s="101">
        <v>58429839</v>
      </c>
      <c r="V170" s="101">
        <v>58429839</v>
      </c>
      <c r="W170" s="102">
        <v>0.430898517699115</v>
      </c>
      <c r="X170" t="inlineStr">
        <is>
          <t>Lo obligado está por debajo de lo programado en la vigencia</t>
        </is>
      </c>
    </row>
    <row r="171">
      <c r="A171" t="inlineStr">
        <is>
          <t>IP-241</t>
        </is>
      </c>
      <c r="B171" t="inlineStr">
        <is>
          <t>36</t>
        </is>
      </c>
      <c r="C171" t="inlineStr">
        <is>
          <t>Trabajo</t>
        </is>
      </c>
      <c r="D171" t="inlineStr">
        <is>
          <t>3602</t>
        </is>
      </c>
      <c r="E171" t="inlineStr">
        <is>
          <t>Generación y formalización del empleo</t>
        </is>
      </c>
      <c r="F171" t="inlineStr">
        <is>
          <t>3602025</t>
        </is>
      </c>
      <c r="G171" t="inlineStr">
        <is>
          <t>Documentos normativos</t>
        </is>
      </c>
      <c r="H171" t="inlineStr">
        <is>
          <t>Hace referencia a las normas propuestas por el Sector Trabajo.</t>
        </is>
      </c>
      <c r="I171" t="inlineStr">
        <is>
          <t>2024257580042</t>
        </is>
      </c>
      <c r="J171" s="99">
        <v>184294110</v>
      </c>
      <c r="K171" s="99">
        <v>39710000</v>
      </c>
      <c r="L171" s="99">
        <v>43681000</v>
      </c>
      <c r="M171" s="99">
        <v>48049100</v>
      </c>
      <c r="N171" s="99">
        <v>52854010</v>
      </c>
      <c r="O171" s="99" t="inlineStr">
        <is>
          <t xml:space="preserve"> </t>
        </is>
      </c>
      <c r="P171" s="99" t="inlineStr">
        <is>
          <t xml:space="preserve"> </t>
        </is>
      </c>
      <c r="Q171" s="99" t="inlineStr">
        <is>
          <t xml:space="preserve"> </t>
        </is>
      </c>
      <c r="R171" s="100" t="inlineStr">
        <is>
          <t xml:space="preserve"> </t>
        </is>
      </c>
      <c r="S171" t="inlineStr">
        <is>
          <t>No se encontró ejecución en CUIPO</t>
        </is>
      </c>
      <c r="T171" s="101">
        <v>59583333</v>
      </c>
      <c r="U171" s="101">
        <v>40333333</v>
      </c>
      <c r="V171" s="101">
        <v>40333333</v>
      </c>
      <c r="W171" s="102">
        <v>0.923361026533275</v>
      </c>
      <c r="X171" t="inlineStr">
        <is>
          <t>Lo obligado está por debajo de lo programado en la vigencia</t>
        </is>
      </c>
    </row>
    <row r="172">
      <c r="A172" t="inlineStr">
        <is>
          <t>IP-242</t>
        </is>
      </c>
      <c r="B172" t="inlineStr">
        <is>
          <t>36</t>
        </is>
      </c>
      <c r="C172" t="inlineStr">
        <is>
          <t>Trabajo</t>
        </is>
      </c>
      <c r="D172" t="inlineStr">
        <is>
          <t>3602</t>
        </is>
      </c>
      <c r="E172" t="inlineStr">
        <is>
          <t>Generación y formalización del empleo</t>
        </is>
      </c>
      <c r="F172" t="inlineStr">
        <is>
          <t>3602013</t>
        </is>
      </c>
      <c r="G172" t="inlineStr">
        <is>
          <t>Servicio de gestión para el emprendimiento</t>
        </is>
      </c>
      <c r="H172" t="inlineStr">
        <is>
          <t>Se trata de la gestión que se realiza para la conformación de emprendimientos en población.Esto podrá incluir conformación, fortalecimiento, asesoría, empresas, modelo de evaluación, personas sensibilizadas, entre otros, que oriente la creación y fortalecimiento.</t>
        </is>
      </c>
      <c r="I172" t="inlineStr">
        <is>
          <t>2024257580042</t>
        </is>
      </c>
      <c r="J172" s="99">
        <v>400000000</v>
      </c>
      <c r="K172" s="99">
        <v>0</v>
      </c>
      <c r="L172" s="99">
        <v>200000000</v>
      </c>
      <c r="M172" s="99">
        <v>100000000</v>
      </c>
      <c r="N172" s="99">
        <v>100000000</v>
      </c>
      <c r="O172" s="99" t="inlineStr">
        <is>
          <t xml:space="preserve"> </t>
        </is>
      </c>
      <c r="P172" s="99" t="inlineStr">
        <is>
          <t xml:space="preserve"> </t>
        </is>
      </c>
      <c r="Q172" s="99" t="inlineStr">
        <is>
          <t xml:space="preserve"> </t>
        </is>
      </c>
      <c r="R172" s="100" t="inlineStr">
        <is>
          <t xml:space="preserve"> </t>
        </is>
      </c>
      <c r="S172" t="inlineStr">
        <is>
          <t>No se encontró ejecución en CUIPO</t>
        </is>
      </c>
      <c r="T172" s="101">
        <v>130962000</v>
      </c>
      <c r="U172" s="101">
        <v>130962000</v>
      </c>
      <c r="V172" s="101">
        <v>130962000</v>
      </c>
      <c r="W172" s="102">
        <v>0.65481</v>
      </c>
      <c r="X172" t="inlineStr">
        <is>
          <t>Lo obligado está por debajo de lo programado en la vigencia</t>
        </is>
      </c>
    </row>
    <row r="173">
      <c r="A173" t="inlineStr">
        <is>
          <t>IP-243</t>
        </is>
      </c>
      <c r="B173" t="inlineStr">
        <is>
          <t>36</t>
        </is>
      </c>
      <c r="C173" t="inlineStr">
        <is>
          <t>Trabajo</t>
        </is>
      </c>
      <c r="D173" t="inlineStr">
        <is>
          <t>3602</t>
        </is>
      </c>
      <c r="E173" t="inlineStr">
        <is>
          <t>Generación y formalización del empleo</t>
        </is>
      </c>
      <c r="F173" t="inlineStr">
        <is>
          <t>3602031</t>
        </is>
      </c>
      <c r="G173" t="inlineStr">
        <is>
          <t>Servicio de formación para el trabajo en competencias para la inserción laboral</t>
        </is>
      </c>
      <c r="H173" t="inlineStr">
        <is>
          <t>Hace referencia a las 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is>
      </c>
      <c r="I173" t="inlineStr">
        <is>
          <t>2024257580042</t>
        </is>
      </c>
      <c r="J173" s="99">
        <v>523480496</v>
      </c>
      <c r="K173" s="99">
        <v>51740000</v>
      </c>
      <c r="L173" s="99">
        <v>138466200</v>
      </c>
      <c r="M173" s="99">
        <v>156466806</v>
      </c>
      <c r="N173" s="99">
        <v>176807490</v>
      </c>
      <c r="O173" s="99" t="inlineStr">
        <is>
          <t xml:space="preserve"> </t>
        </is>
      </c>
      <c r="P173" s="99" t="inlineStr">
        <is>
          <t xml:space="preserve"> </t>
        </is>
      </c>
      <c r="Q173" s="99" t="inlineStr">
        <is>
          <t xml:space="preserve"> </t>
        </is>
      </c>
      <c r="R173" s="100" t="inlineStr">
        <is>
          <t xml:space="preserve"> </t>
        </is>
      </c>
      <c r="S173" t="inlineStr">
        <is>
          <t>No se encontró ejecución en CUIPO</t>
        </is>
      </c>
      <c r="T173" s="101" t="inlineStr">
        <is>
          <t xml:space="preserve"> </t>
        </is>
      </c>
      <c r="U173" s="101" t="inlineStr">
        <is>
          <t xml:space="preserve"> </t>
        </is>
      </c>
      <c r="V173" s="101" t="inlineStr">
        <is>
          <t xml:space="preserve"> </t>
        </is>
      </c>
      <c r="W173" s="102" t="inlineStr">
        <is>
          <t xml:space="preserve"> </t>
        </is>
      </c>
      <c r="X173" t="inlineStr">
        <is>
          <t>No se encontró ejecución en CUIPO</t>
        </is>
      </c>
    </row>
    <row r="174">
      <c r="A174" t="inlineStr">
        <is>
          <t>IP-244</t>
        </is>
      </c>
      <c r="B174" t="inlineStr">
        <is>
          <t>36</t>
        </is>
      </c>
      <c r="C174" t="inlineStr">
        <is>
          <t>Trabajo</t>
        </is>
      </c>
      <c r="D174" t="inlineStr">
        <is>
          <t>3605</t>
        </is>
      </c>
      <c r="E174" t="inlineStr">
        <is>
          <t>Fomento de la investigación, desarrollo tecnológico e innovación del sector trabajo</t>
        </is>
      </c>
      <c r="F174" t="inlineStr">
        <is>
          <t>3605009</t>
        </is>
      </c>
      <c r="G174" t="inlineStr">
        <is>
          <t>Servicio de promoción y difusión de los resultados de la gestión del conocimiento</t>
        </is>
      </c>
      <c r="H174" t="inlineStr">
        <is>
          <t>Hace referencia a las acciones realizadas de promoción y difusión de las actividades relacionadas con la gestión del conocimiento que se posee, el cual debe estar siempre al alcance de todos a la hora de actuar en ejercicios o de toma de decisiones.</t>
        </is>
      </c>
      <c r="I174" t="inlineStr">
        <is>
          <t>2024257580043</t>
        </is>
      </c>
      <c r="J174" s="99">
        <v>287150000</v>
      </c>
      <c r="K174" s="99">
        <v>65000000</v>
      </c>
      <c r="L174" s="99">
        <v>71500000</v>
      </c>
      <c r="M174" s="99">
        <v>78650000</v>
      </c>
      <c r="N174" s="99">
        <v>72000000</v>
      </c>
      <c r="O174" s="99" t="inlineStr">
        <is>
          <t xml:space="preserve"> </t>
        </is>
      </c>
      <c r="P174" s="99" t="inlineStr">
        <is>
          <t xml:space="preserve"> </t>
        </is>
      </c>
      <c r="Q174" s="99" t="inlineStr">
        <is>
          <t xml:space="preserve"> </t>
        </is>
      </c>
      <c r="R174" s="100" t="inlineStr">
        <is>
          <t xml:space="preserve"> </t>
        </is>
      </c>
      <c r="S174" t="inlineStr">
        <is>
          <t>No se encontró ejecución en CUIPO</t>
        </is>
      </c>
      <c r="T174" s="101">
        <v>91104800</v>
      </c>
      <c r="U174" s="101">
        <v>67311333</v>
      </c>
      <c r="V174" s="101">
        <v>67311333</v>
      </c>
      <c r="W174" s="102">
        <v>0.941417244755245</v>
      </c>
      <c r="X174" t="inlineStr">
        <is>
          <t>Lo obligado está por debajo de lo programado en la vigencia</t>
        </is>
      </c>
    </row>
    <row r="175">
      <c r="A175" t="inlineStr">
        <is>
          <t>IP-245</t>
        </is>
      </c>
      <c r="B175" t="inlineStr">
        <is>
          <t>36</t>
        </is>
      </c>
      <c r="C175" t="inlineStr">
        <is>
          <t>Trabajo</t>
        </is>
      </c>
      <c r="D175" t="inlineStr">
        <is>
          <t>3604</t>
        </is>
      </c>
      <c r="E175" t="inlineStr">
        <is>
          <t>Derechos fundamentales del trabajo y fortalecimiento del diálogo social</t>
        </is>
      </c>
      <c r="F175" t="inlineStr">
        <is>
          <t>3604019</t>
        </is>
      </c>
      <c r="G175" t="inlineStr">
        <is>
          <t>Servicio de asistencia técnica para el trabajo decente</t>
        </is>
      </c>
      <c r="H175" t="inlineStr">
        <is>
          <t>Corresponde a la asesoría y acompañamiento que se brinda a las entidades públicas y privadas sobre los derechos fundamentales y el trabajo decente, desarrollando estrategias para su divulgación y aplicación.</t>
        </is>
      </c>
      <c r="I175" t="inlineStr">
        <is>
          <t>2024257580057</t>
        </is>
      </c>
      <c r="J175" s="99">
        <v>169172380</v>
      </c>
      <c r="K175" s="99">
        <v>33800000</v>
      </c>
      <c r="L175" s="99">
        <v>40898000</v>
      </c>
      <c r="M175" s="99">
        <v>44987800</v>
      </c>
      <c r="N175" s="99">
        <v>49486580</v>
      </c>
      <c r="O175" s="99" t="inlineStr">
        <is>
          <t xml:space="preserve"> </t>
        </is>
      </c>
      <c r="P175" s="99" t="inlineStr">
        <is>
          <t xml:space="preserve"> </t>
        </is>
      </c>
      <c r="Q175" s="99" t="inlineStr">
        <is>
          <t xml:space="preserve"> </t>
        </is>
      </c>
      <c r="R175" s="100" t="inlineStr">
        <is>
          <t xml:space="preserve"> </t>
        </is>
      </c>
      <c r="S175" t="inlineStr">
        <is>
          <t>No se encontró ejecución en CUIPO</t>
        </is>
      </c>
      <c r="T175" s="101">
        <v>31694000</v>
      </c>
      <c r="U175" s="101">
        <v>19438988</v>
      </c>
      <c r="V175" s="101">
        <v>19438988</v>
      </c>
      <c r="W175" s="102">
        <v>0.475304122450976</v>
      </c>
      <c r="X175" t="inlineStr">
        <is>
          <t>Lo obligado está por debajo de lo programado en la vigencia</t>
        </is>
      </c>
    </row>
    <row r="176">
      <c r="A176" t="inlineStr">
        <is>
          <t>IP-246</t>
        </is>
      </c>
      <c r="B176" t="inlineStr">
        <is>
          <t>36</t>
        </is>
      </c>
      <c r="C176" t="inlineStr">
        <is>
          <t>Trabajo</t>
        </is>
      </c>
      <c r="D176" t="inlineStr">
        <is>
          <t>3604</t>
        </is>
      </c>
      <c r="E176" t="inlineStr">
        <is>
          <t>Derechos fundamentales del trabajo y fortalecimiento del diálogo social</t>
        </is>
      </c>
      <c r="F176" t="inlineStr">
        <is>
          <t>3604020</t>
        </is>
      </c>
      <c r="G176" t="inlineStr">
        <is>
          <t>Servicio de prevencióndel trabajo infantil y protección del adolescente trabajador</t>
        </is>
      </c>
      <c r="H176" t="inlineStr">
        <is>
          <t>Servicio de capacitación que presta el Ministerio del Trabajo a nivel nacional y territorial para dar a conocer los lineamientos, estrategias, rutas de atención y demás mecanismos para promover la prevención y erradicación del trabajo infantil y protección del adolescente trabajador.</t>
        </is>
      </c>
      <c r="I176" t="inlineStr">
        <is>
          <t>2024257580070</t>
        </is>
      </c>
      <c r="J176" s="99">
        <v>0</v>
      </c>
      <c r="K176" s="99">
        <v>0</v>
      </c>
      <c r="L176" s="99">
        <v>0</v>
      </c>
      <c r="M176" s="99">
        <v>0</v>
      </c>
      <c r="N176" s="99">
        <v>0</v>
      </c>
      <c r="O176" s="99" t="inlineStr">
        <is>
          <t xml:space="preserve"> </t>
        </is>
      </c>
      <c r="P176" s="99" t="inlineStr">
        <is>
          <t xml:space="preserve"> </t>
        </is>
      </c>
      <c r="Q176" s="99" t="inlineStr">
        <is>
          <t xml:space="preserve"> </t>
        </is>
      </c>
      <c r="R176" s="100" t="inlineStr">
        <is>
          <t xml:space="preserve"> </t>
        </is>
      </c>
      <c r="S176" t="inlineStr">
        <is>
          <t>No se encontró ejecución en CUIPO</t>
        </is>
      </c>
      <c r="T176" s="101" t="inlineStr">
        <is>
          <t xml:space="preserve"> </t>
        </is>
      </c>
      <c r="U176" s="101" t="inlineStr">
        <is>
          <t xml:space="preserve"> </t>
        </is>
      </c>
      <c r="V176" s="101" t="inlineStr">
        <is>
          <t xml:space="preserve"> </t>
        </is>
      </c>
      <c r="W176" s="102" t="inlineStr">
        <is>
          <t xml:space="preserve"> </t>
        </is>
      </c>
      <c r="X176" t="inlineStr">
        <is>
          <t>No se encontró ejecución en CUIPO</t>
        </is>
      </c>
    </row>
    <row r="177">
      <c r="A177" t="inlineStr">
        <is>
          <t>IP-247</t>
        </is>
      </c>
      <c r="B177" t="inlineStr">
        <is>
          <t>35</t>
        </is>
      </c>
      <c r="C177" t="inlineStr">
        <is>
          <t>Comercio, industria y turismo</t>
        </is>
      </c>
      <c r="D177" t="inlineStr">
        <is>
          <t>3502</t>
        </is>
      </c>
      <c r="E177" t="inlineStr">
        <is>
          <t>Productividad y competitividad de las empresas colombianas</t>
        </is>
      </c>
      <c r="F177" t="inlineStr">
        <is>
          <t>3502024</t>
        </is>
      </c>
      <c r="G177" t="inlineStr">
        <is>
          <t>Servicio de asistencia técnica para la actividad artesanal</t>
        </is>
      </c>
      <c r="H177" t="inlineStr">
        <is>
          <t xml:space="preserve">Brindar asesorías puntuales y capacitación por medio de talleres, acompañamiento técnico y transferencia de metodologías para enfrentar las debilidades de la actividad productiva y de acceso a los mercados. </t>
        </is>
      </c>
      <c r="I177" t="inlineStr">
        <is>
          <t>2024257580005</t>
        </is>
      </c>
      <c r="J177" s="99">
        <v>638156540</v>
      </c>
      <c r="K177" s="99">
        <v>146840000</v>
      </c>
      <c r="L177" s="99">
        <v>148434000</v>
      </c>
      <c r="M177" s="99">
        <v>163277400</v>
      </c>
      <c r="N177" s="99">
        <v>179605140</v>
      </c>
      <c r="O177" s="99">
        <v>7310333</v>
      </c>
      <c r="P177" s="99">
        <v>7310333</v>
      </c>
      <c r="Q177" s="99">
        <v>7310333</v>
      </c>
      <c r="R177" s="100">
        <v>0.0497843435031327</v>
      </c>
      <c r="S177" t="inlineStr">
        <is>
          <t>Lo obligado está por debajo de lo programado en la vigencia</t>
        </is>
      </c>
      <c r="T177" s="101">
        <v>118327840</v>
      </c>
      <c r="U177" s="101">
        <v>80192000</v>
      </c>
      <c r="V177" s="101">
        <v>80192000</v>
      </c>
      <c r="W177" s="102">
        <v>0.540253580716008</v>
      </c>
      <c r="X177" t="inlineStr">
        <is>
          <t>Lo obligado está por debajo de lo programado en la vigencia</t>
        </is>
      </c>
    </row>
    <row r="178">
      <c r="A178" t="inlineStr">
        <is>
          <t>IP-248</t>
        </is>
      </c>
      <c r="B178" t="inlineStr">
        <is>
          <t>35</t>
        </is>
      </c>
      <c r="C178" t="inlineStr">
        <is>
          <t>Comercio, industria y turismo</t>
        </is>
      </c>
      <c r="D178" t="inlineStr">
        <is>
          <t>3502</t>
        </is>
      </c>
      <c r="E178" t="inlineStr">
        <is>
          <t>Productividad y competitividad de las empresas colombianas</t>
        </is>
      </c>
      <c r="F178" t="inlineStr">
        <is>
          <t>3502083</t>
        </is>
      </c>
      <c r="G178" t="inlineStr">
        <is>
          <t>Plazas de mercado mantenida</t>
        </is>
      </c>
      <c r="H178" t="inlineStr">
        <is>
          <t>Lugar con infraestructura  que acopia productores y comercializadores minoristas a  lo cuales el cliente final y/o consumidor  podrá tener acceso a los productos que se ofrecen.</t>
        </is>
      </c>
      <c r="I178" t="inlineStr">
        <is>
          <t>2024257580005</t>
        </is>
      </c>
      <c r="J178" s="99">
        <v>455000000</v>
      </c>
      <c r="K178" s="99">
        <v>150000000</v>
      </c>
      <c r="L178" s="99">
        <v>200000000</v>
      </c>
      <c r="M178" s="99">
        <v>100000000</v>
      </c>
      <c r="N178" s="99">
        <v>5000000</v>
      </c>
      <c r="O178" s="99">
        <v>15230901</v>
      </c>
      <c r="P178" s="99">
        <v>15230901</v>
      </c>
      <c r="Q178" s="99">
        <v>2106000</v>
      </c>
      <c r="R178" s="100">
        <v>0.10153934</v>
      </c>
      <c r="S178" t="inlineStr">
        <is>
          <t>Lo obligado está por debajo de lo programado en la vigencia</t>
        </is>
      </c>
      <c r="T178" s="101" t="inlineStr">
        <is>
          <t xml:space="preserve"> </t>
        </is>
      </c>
      <c r="U178" s="101" t="inlineStr">
        <is>
          <t xml:space="preserve"> </t>
        </is>
      </c>
      <c r="V178" s="101" t="inlineStr">
        <is>
          <t xml:space="preserve"> </t>
        </is>
      </c>
      <c r="W178" s="102" t="inlineStr">
        <is>
          <t xml:space="preserve"> </t>
        </is>
      </c>
      <c r="X178" t="inlineStr">
        <is>
          <t>No se encontró ejecución en CUIPO</t>
        </is>
      </c>
    </row>
    <row r="179">
      <c r="A179" t="inlineStr">
        <is>
          <t>IP-249</t>
        </is>
      </c>
      <c r="B179" t="inlineStr">
        <is>
          <t>35</t>
        </is>
      </c>
      <c r="C179" t="inlineStr">
        <is>
          <t>Comercio, industria y turismo</t>
        </is>
      </c>
      <c r="D179" t="inlineStr">
        <is>
          <t>3502</t>
        </is>
      </c>
      <c r="E179" t="inlineStr">
        <is>
          <t>Productividad y competitividad de las empresas colombianas</t>
        </is>
      </c>
      <c r="F179" t="inlineStr">
        <is>
          <t>3502050</t>
        </is>
      </c>
      <c r="G179" t="inlineStr">
        <is>
          <t>Centro de convención construido</t>
        </is>
      </c>
      <c r="H179" t="inlineStr">
        <is>
          <t>Corresponde a  la infraestructura construida para la realización de eventos, asambleas, seminarios de carácter comercial y empresarial, entre otros</t>
        </is>
      </c>
      <c r="I179" t="inlineStr">
        <is>
          <t>2024257580005</t>
        </is>
      </c>
      <c r="J179" s="99">
        <v>500000000</v>
      </c>
      <c r="K179" s="99">
        <v>400000000</v>
      </c>
      <c r="L179" s="99">
        <v>100000000</v>
      </c>
      <c r="M179" s="99">
        <v>0</v>
      </c>
      <c r="N179" s="99">
        <v>0</v>
      </c>
      <c r="O179" s="99">
        <v>1677000</v>
      </c>
      <c r="P179" s="99">
        <v>1677000</v>
      </c>
      <c r="Q179" s="99">
        <v>1677000</v>
      </c>
      <c r="R179" s="100">
        <v>0.0041925</v>
      </c>
      <c r="S179" t="inlineStr">
        <is>
          <t>Lo obligado está por debajo de lo programado en la vigencia</t>
        </is>
      </c>
      <c r="T179" s="101">
        <v>7882160</v>
      </c>
      <c r="U179" s="101">
        <v>7882160</v>
      </c>
      <c r="V179" s="101">
        <v>7882160</v>
      </c>
      <c r="W179" s="102">
        <v>0.0788216</v>
      </c>
      <c r="X179" t="inlineStr">
        <is>
          <t>Lo obligado está por debajo de lo programado en la vigencia</t>
        </is>
      </c>
    </row>
    <row r="180">
      <c r="A180" t="inlineStr">
        <is>
          <t>IP-250</t>
        </is>
      </c>
      <c r="B180" t="inlineStr">
        <is>
          <t>35</t>
        </is>
      </c>
      <c r="C180" t="inlineStr">
        <is>
          <t>Comercio, industria y turismo</t>
        </is>
      </c>
      <c r="D180" t="inlineStr">
        <is>
          <t>3502</t>
        </is>
      </c>
      <c r="E180" t="inlineStr">
        <is>
          <t>Productividad y competitividad de las empresas colombianas</t>
        </is>
      </c>
      <c r="F180" t="inlineStr">
        <is>
          <t>3502015</t>
        </is>
      </c>
      <c r="G180" t="inlineStr">
        <is>
          <t>Servicio para la formalización empresarial y de productos y/o Servicio</t>
        </is>
      </c>
      <c r="H180" t="inlineStr">
        <is>
          <t>Promoción de la cultura de la formalidad, entendida más allá de la obligación de  registro,  como  un medio de  inclusión económica, ambiental y social de las empresas en los mercados.</t>
        </is>
      </c>
      <c r="I180" t="inlineStr">
        <is>
          <t>2024257580005</t>
        </is>
      </c>
      <c r="J180" s="99">
        <v>138765900</v>
      </c>
      <c r="K180" s="99">
        <v>29900000</v>
      </c>
      <c r="L180" s="99">
        <v>32890000</v>
      </c>
      <c r="M180" s="99">
        <v>36179000</v>
      </c>
      <c r="N180" s="99">
        <v>39796900</v>
      </c>
      <c r="O180" s="99" t="inlineStr">
        <is>
          <t xml:space="preserve"> </t>
        </is>
      </c>
      <c r="P180" s="99" t="inlineStr">
        <is>
          <t xml:space="preserve"> </t>
        </is>
      </c>
      <c r="Q180" s="99" t="inlineStr">
        <is>
          <t xml:space="preserve"> </t>
        </is>
      </c>
      <c r="R180" s="100" t="inlineStr">
        <is>
          <t xml:space="preserve"> </t>
        </is>
      </c>
      <c r="S180" t="inlineStr">
        <is>
          <t>No se encontró ejecución en CUIPO</t>
        </is>
      </c>
      <c r="T180" s="101">
        <v>31694000</v>
      </c>
      <c r="U180" s="101">
        <v>20178513</v>
      </c>
      <c r="V180" s="101">
        <v>20178513</v>
      </c>
      <c r="W180" s="102">
        <v>0.613515141380359</v>
      </c>
      <c r="X180" t="inlineStr">
        <is>
          <t>Lo obligado está por debajo de lo programado en la vigencia</t>
        </is>
      </c>
    </row>
    <row r="181">
      <c r="A181" t="inlineStr">
        <is>
          <t>IP-251</t>
        </is>
      </c>
      <c r="B181" t="inlineStr">
        <is>
          <t>35</t>
        </is>
      </c>
      <c r="C181" t="inlineStr">
        <is>
          <t>Comercio, industria y turismo</t>
        </is>
      </c>
      <c r="D181" t="inlineStr">
        <is>
          <t>3502</t>
        </is>
      </c>
      <c r="E181" t="inlineStr">
        <is>
          <t>Productividad y competitividad de las empresas colombianas</t>
        </is>
      </c>
      <c r="F181" t="inlineStr">
        <is>
          <t>3502021</t>
        </is>
      </c>
      <c r="G181" t="inlineStr">
        <is>
          <t>Servicio de fortalecimiento y desarrollo de unidades productivas para la comercialización de productos agroindustriales</t>
        </is>
      </c>
      <c r="H181" t="inlineStr">
        <is>
          <t>Generación de encadenamientos productivos con procesos asociativos bajo el esquema de marca social jalonados por empresas ancla para impulsar la comercialización de la producción agrícola familiar</t>
        </is>
      </c>
      <c r="I181" t="inlineStr">
        <is>
          <t>2024257580005</t>
        </is>
      </c>
      <c r="J181" s="99">
        <v>143599000</v>
      </c>
      <c r="K181" s="99">
        <v>23400000</v>
      </c>
      <c r="L181" s="99">
        <v>40740000</v>
      </c>
      <c r="M181" s="99">
        <v>38314000</v>
      </c>
      <c r="N181" s="99">
        <v>41145000</v>
      </c>
      <c r="O181" s="99" t="inlineStr">
        <is>
          <t xml:space="preserve"> </t>
        </is>
      </c>
      <c r="P181" s="99" t="inlineStr">
        <is>
          <t xml:space="preserve"> </t>
        </is>
      </c>
      <c r="Q181" s="99" t="inlineStr">
        <is>
          <t xml:space="preserve"> </t>
        </is>
      </c>
      <c r="R181" s="100" t="inlineStr">
        <is>
          <t xml:space="preserve"> </t>
        </is>
      </c>
      <c r="S181" t="inlineStr">
        <is>
          <t>No se encontró ejecución en CUIPO</t>
        </is>
      </c>
      <c r="T181" s="101">
        <v>35828000</v>
      </c>
      <c r="U181" s="101">
        <v>24601893</v>
      </c>
      <c r="V181" s="101">
        <v>24601893</v>
      </c>
      <c r="W181" s="102">
        <v>0.603875625920471</v>
      </c>
      <c r="X181" t="inlineStr">
        <is>
          <t>Lo obligado está por debajo de lo programado en la vigencia</t>
        </is>
      </c>
    </row>
    <row r="182">
      <c r="A182" t="inlineStr">
        <is>
          <t>IP-252</t>
        </is>
      </c>
      <c r="B182" t="inlineStr">
        <is>
          <t>35</t>
        </is>
      </c>
      <c r="C182" t="inlineStr">
        <is>
          <t>Comercio, industria y turismo</t>
        </is>
      </c>
      <c r="D182" t="inlineStr">
        <is>
          <t>3502</t>
        </is>
      </c>
      <c r="E182" t="inlineStr">
        <is>
          <t>Productividad y competitividad de las empresas colombianas</t>
        </is>
      </c>
      <c r="F182" t="inlineStr">
        <is>
          <t>3502020</t>
        </is>
      </c>
      <c r="G182" t="inlineStr">
        <is>
          <t>Servicio de asistencia técnica y fortalecimiento a las unidades productivas pertenecientes a la red empresarial Red-i y sector detallista</t>
        </is>
      </c>
      <c r="H182" t="inlineStr">
        <is>
          <t>Con este servicio se busca mejorar la capacidad empresarial y competitiva de empresarios vinculados a la Red-i, certificados como población victima del conflicto armado y de empresarios dedicados al comercio minorista.</t>
        </is>
      </c>
      <c r="I182" t="inlineStr">
        <is>
          <t>2024257580005</t>
        </is>
      </c>
      <c r="J182" s="99">
        <v>852480000</v>
      </c>
      <c r="K182" s="99">
        <v>120000000</v>
      </c>
      <c r="L182" s="99">
        <v>168000000</v>
      </c>
      <c r="M182" s="99">
        <v>235200000</v>
      </c>
      <c r="N182" s="99">
        <v>329280000</v>
      </c>
      <c r="O182" s="99">
        <v>23436685</v>
      </c>
      <c r="P182" s="99">
        <v>23436685</v>
      </c>
      <c r="Q182" s="99">
        <v>23436685</v>
      </c>
      <c r="R182" s="100">
        <v>0.195305708333333</v>
      </c>
      <c r="S182" t="inlineStr">
        <is>
          <t>Lo obligado está por debajo de lo programado en la vigencia</t>
        </is>
      </c>
      <c r="T182" s="101">
        <v>16500000</v>
      </c>
      <c r="U182" s="101">
        <v>16100000</v>
      </c>
      <c r="V182" s="101">
        <v>16100000</v>
      </c>
      <c r="W182" s="102">
        <v>0.0958333333333333</v>
      </c>
      <c r="X182" t="inlineStr">
        <is>
          <t>Lo obligado está por debajo de lo programado en la vigencia</t>
        </is>
      </c>
    </row>
    <row r="183">
      <c r="A183" t="inlineStr">
        <is>
          <t>IP-253</t>
        </is>
      </c>
      <c r="B183" t="inlineStr">
        <is>
          <t>35</t>
        </is>
      </c>
      <c r="C183" t="inlineStr">
        <is>
          <t>Comercio, industria y turismo</t>
        </is>
      </c>
      <c r="D183" t="inlineStr">
        <is>
          <t>3502</t>
        </is>
      </c>
      <c r="E183" t="inlineStr">
        <is>
          <t>Productividad y competitividad de las empresas colombianas</t>
        </is>
      </c>
      <c r="F183" t="inlineStr">
        <is>
          <t>3502009</t>
        </is>
      </c>
      <c r="G183" t="inlineStr">
        <is>
          <t>Servicio de apoyo para la transferencia y/o implementación de metodologías de aumento de la productividad</t>
        </is>
      </c>
      <c r="H183" t="inlineStr">
        <is>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is>
      </c>
      <c r="I183" t="inlineStr">
        <is>
          <t>2024257580005</t>
        </is>
      </c>
      <c r="J183" s="99">
        <v>1135035000</v>
      </c>
      <c r="K183" s="99">
        <v>112965000</v>
      </c>
      <c r="L183" s="99">
        <v>300000000</v>
      </c>
      <c r="M183" s="99">
        <v>339000000</v>
      </c>
      <c r="N183" s="99">
        <v>383070000</v>
      </c>
      <c r="O183" s="99">
        <v>5368003</v>
      </c>
      <c r="P183" s="99">
        <v>5368003</v>
      </c>
      <c r="Q183" s="99">
        <v>2811811</v>
      </c>
      <c r="R183" s="100">
        <v>0.0475191696543177</v>
      </c>
      <c r="S183" t="inlineStr">
        <is>
          <t>Lo obligado está por debajo de lo programado en la vigencia</t>
        </is>
      </c>
      <c r="T183" s="101">
        <v>279867642</v>
      </c>
      <c r="U183" s="101">
        <v>263336706</v>
      </c>
      <c r="V183" s="101">
        <v>263336706</v>
      </c>
      <c r="W183" s="102">
        <v>0.87778902</v>
      </c>
      <c r="X183" t="inlineStr">
        <is>
          <t>Lo obligado está por debajo de lo programado en la vigencia</t>
        </is>
      </c>
    </row>
    <row r="184">
      <c r="A184" t="inlineStr">
        <is>
          <t>IP-254</t>
        </is>
      </c>
      <c r="B184" t="inlineStr">
        <is>
          <t>35</t>
        </is>
      </c>
      <c r="C184" t="inlineStr">
        <is>
          <t>Comercio, industria y turismo</t>
        </is>
      </c>
      <c r="D184" t="inlineStr">
        <is>
          <t>3502</t>
        </is>
      </c>
      <c r="E184" t="inlineStr">
        <is>
          <t>Productividad y competitividad de las empresas colombianas</t>
        </is>
      </c>
      <c r="F184" t="inlineStr">
        <is>
          <t>3502046</t>
        </is>
      </c>
      <c r="G184" t="inlineStr">
        <is>
          <t>Servicio de promoción turística</t>
        </is>
      </c>
      <c r="H184" t="inlineStr">
        <is>
          <t>Corresponde a campañas de divulgación y promoción de los atractivos turísticos de la zonas, así como las actividades para el posicionamiento de las regiones, departamentos y municipios como destinos turísticos.</t>
        </is>
      </c>
      <c r="I184" t="inlineStr">
        <is>
          <t>2024257580017</t>
        </is>
      </c>
      <c r="J184" s="99">
        <v>576820000</v>
      </c>
      <c r="K184" s="99">
        <v>29900000</v>
      </c>
      <c r="L184" s="99">
        <v>160460000</v>
      </c>
      <c r="M184" s="99">
        <v>226000000</v>
      </c>
      <c r="N184" s="99">
        <v>160460000</v>
      </c>
      <c r="O184" s="99" t="inlineStr">
        <is>
          <t xml:space="preserve"> </t>
        </is>
      </c>
      <c r="P184" s="99" t="inlineStr">
        <is>
          <t xml:space="preserve"> </t>
        </is>
      </c>
      <c r="Q184" s="99" t="inlineStr">
        <is>
          <t xml:space="preserve"> </t>
        </is>
      </c>
      <c r="R184" s="100" t="inlineStr">
        <is>
          <t xml:space="preserve"> </t>
        </is>
      </c>
      <c r="S184" t="inlineStr">
        <is>
          <t>No se encontró ejecución en CUIPO</t>
        </is>
      </c>
      <c r="T184" s="101">
        <v>46315230</v>
      </c>
      <c r="U184" s="101">
        <v>41774736</v>
      </c>
      <c r="V184" s="101">
        <v>41774736</v>
      </c>
      <c r="W184" s="102">
        <v>0.260343612115169</v>
      </c>
      <c r="X184" t="inlineStr">
        <is>
          <t>Lo obligado está por debajo de lo programado en la vigencia</t>
        </is>
      </c>
    </row>
    <row r="185">
      <c r="A185" t="inlineStr">
        <is>
          <t>IP-255</t>
        </is>
      </c>
      <c r="B185" t="inlineStr">
        <is>
          <t>35</t>
        </is>
      </c>
      <c r="C185" t="inlineStr">
        <is>
          <t>Comercio, industria y turismo</t>
        </is>
      </c>
      <c r="D185" t="inlineStr">
        <is>
          <t>3502</t>
        </is>
      </c>
      <c r="E185" t="inlineStr">
        <is>
          <t>Productividad y competitividad de las empresas colombianas</t>
        </is>
      </c>
      <c r="F185" t="inlineStr">
        <is>
          <t>3502006</t>
        </is>
      </c>
      <c r="G185" t="inlineStr">
        <is>
          <t>Servicio de apoyo y consolidación de las Comisiones Regionales de Competitividad - CRC</t>
        </is>
      </c>
      <c r="H185" t="inlineStr">
        <is>
          <t>Con este servicio se busca fortalecer la articulación publico privada de las comisiones regionales de competitividad (CRC) en los territorios, para la implementación de las políticas de desarrollo productivo, de competitividad y productividad,</t>
        </is>
      </c>
      <c r="I185" t="inlineStr">
        <is>
          <t>2024257580017</t>
        </is>
      </c>
      <c r="J185" s="99">
        <v>40608000</v>
      </c>
      <c r="K185" s="99">
        <v>10608000</v>
      </c>
      <c r="L185" s="99">
        <v>20000000</v>
      </c>
      <c r="M185" s="99">
        <v>10000000</v>
      </c>
      <c r="N185" s="99">
        <v>0</v>
      </c>
      <c r="O185" s="99" t="inlineStr">
        <is>
          <t xml:space="preserve"> </t>
        </is>
      </c>
      <c r="P185" s="99" t="inlineStr">
        <is>
          <t xml:space="preserve"> </t>
        </is>
      </c>
      <c r="Q185" s="99" t="inlineStr">
        <is>
          <t xml:space="preserve"> </t>
        </is>
      </c>
      <c r="R185" s="100" t="inlineStr">
        <is>
          <t xml:space="preserve"> </t>
        </is>
      </c>
      <c r="S185" t="inlineStr">
        <is>
          <t>No se encontró ejecución en CUIPO</t>
        </is>
      </c>
      <c r="T185" s="101">
        <v>7876000</v>
      </c>
      <c r="U185" s="101">
        <v>0</v>
      </c>
      <c r="V185" s="101">
        <v>0</v>
      </c>
      <c r="W185" s="102">
        <v>0</v>
      </c>
      <c r="X185" t="inlineStr">
        <is>
          <t>No se ejecutó en la vigencia</t>
        </is>
      </c>
    </row>
    <row r="186">
      <c r="A186" t="inlineStr">
        <is>
          <t>IP-256, IP-257, IP-258</t>
        </is>
      </c>
      <c r="B186" t="inlineStr">
        <is>
          <t>35</t>
        </is>
      </c>
      <c r="C186" t="inlineStr">
        <is>
          <t>Comercio, industria y turismo</t>
        </is>
      </c>
      <c r="D186" t="inlineStr">
        <is>
          <t>3502</t>
        </is>
      </c>
      <c r="E186" t="inlineStr">
        <is>
          <t>Productividad y competitividad de las empresas colombianas</t>
        </is>
      </c>
      <c r="F186" t="inlineStr">
        <is>
          <t>3502008</t>
        </is>
      </c>
      <c r="G186" t="inlineStr">
        <is>
          <t>Servicio de asistencia técnica para mejorar la competitividad de los sectores productivos</t>
        </is>
      </c>
      <c r="H186" t="inlineStr">
        <is>
          <t>Con este servicio se busca remover cuellos de botella que afecten la competitividad de los sectores productivo de interés para las regiones, específicamente sectores que no están organizados en iniciativas clúster</t>
        </is>
      </c>
      <c r="I186" t="inlineStr">
        <is>
          <t>2024257580017</t>
        </is>
      </c>
      <c r="J186" s="99">
        <v>340882890</v>
      </c>
      <c r="K186" s="99">
        <v>56908500</v>
      </c>
      <c r="L186" s="99">
        <v>83352605</v>
      </c>
      <c r="M186" s="99">
        <v>94188444</v>
      </c>
      <c r="N186" s="99">
        <v>106433341</v>
      </c>
      <c r="O186" s="99">
        <v>2443329</v>
      </c>
      <c r="P186" s="99">
        <v>814438</v>
      </c>
      <c r="Q186" s="99">
        <v>0</v>
      </c>
      <c r="R186" s="100">
        <v>0.0143113594629976</v>
      </c>
      <c r="S186" t="inlineStr">
        <is>
          <t>Lo obligado está por debajo de lo programado en la vigencia</t>
        </is>
      </c>
      <c r="T186" s="101">
        <v>130652586</v>
      </c>
      <c r="U186" s="101">
        <v>76577059</v>
      </c>
      <c r="V186" s="101">
        <v>76577059</v>
      </c>
      <c r="W186" s="102">
        <v>0.91871224660585</v>
      </c>
      <c r="X186" t="inlineStr">
        <is>
          <t>Lo obligado está por debajo de lo programado en la vigencia</t>
        </is>
      </c>
    </row>
    <row r="187">
      <c r="A187" t="inlineStr">
        <is>
          <t>IP-259</t>
        </is>
      </c>
      <c r="B187" t="inlineStr">
        <is>
          <t>35</t>
        </is>
      </c>
      <c r="C187" t="inlineStr">
        <is>
          <t>Comercio, industria y turismo</t>
        </is>
      </c>
      <c r="D187" t="inlineStr">
        <is>
          <t>3502</t>
        </is>
      </c>
      <c r="E187" t="inlineStr">
        <is>
          <t>Productividad y competitividad de las empresas colombianas</t>
        </is>
      </c>
      <c r="F187" t="inlineStr">
        <is>
          <t>3502009</t>
        </is>
      </c>
      <c r="G187" t="inlineStr">
        <is>
          <t>Servicio de apoyo para la transferencia y/o implementación de metodologías de aumento de la productividad</t>
        </is>
      </c>
      <c r="H187" t="inlineStr">
        <is>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is>
      </c>
      <c r="I187" t="inlineStr">
        <is>
          <t>2024257580017</t>
        </is>
      </c>
      <c r="J187" s="99">
        <v>16974290</v>
      </c>
      <c r="K187" s="99">
        <v>3500000</v>
      </c>
      <c r="L187" s="99">
        <v>3955000</v>
      </c>
      <c r="M187" s="99">
        <v>4469150</v>
      </c>
      <c r="N187" s="99">
        <v>5050140</v>
      </c>
      <c r="O187" s="99" t="inlineStr">
        <is>
          <t xml:space="preserve"> </t>
        </is>
      </c>
      <c r="P187" s="99" t="inlineStr">
        <is>
          <t xml:space="preserve"> </t>
        </is>
      </c>
      <c r="Q187" s="99" t="inlineStr">
        <is>
          <t xml:space="preserve"> </t>
        </is>
      </c>
      <c r="R187" s="100" t="inlineStr">
        <is>
          <t xml:space="preserve"> </t>
        </is>
      </c>
      <c r="S187" t="inlineStr">
        <is>
          <t>No se encontró ejecución en CUIPO</t>
        </is>
      </c>
      <c r="T187" s="101">
        <v>11151154</v>
      </c>
      <c r="U187" s="101">
        <v>7441000</v>
      </c>
      <c r="V187" s="101">
        <v>7441000</v>
      </c>
      <c r="W187" s="102">
        <v>1.88141592920354</v>
      </c>
      <c r="X187" t="inlineStr">
        <is>
          <t>Hubo ejecución por encima de lo programado en SisPT</t>
        </is>
      </c>
    </row>
    <row r="188">
      <c r="A188" t="inlineStr">
        <is>
          <t>IP-260</t>
        </is>
      </c>
      <c r="B188" t="inlineStr">
        <is>
          <t>35</t>
        </is>
      </c>
      <c r="C188" t="inlineStr">
        <is>
          <t>Comercio, industria y turismo</t>
        </is>
      </c>
      <c r="D188" t="inlineStr">
        <is>
          <t>3502</t>
        </is>
      </c>
      <c r="E188" t="inlineStr">
        <is>
          <t>Productividad y competitividad de las empresas colombianas</t>
        </is>
      </c>
      <c r="F188" t="inlineStr">
        <is>
          <t>3502049</t>
        </is>
      </c>
      <c r="G188" t="inlineStr">
        <is>
          <t>Servicio de circuito turístico</t>
        </is>
      </c>
      <c r="H188" t="inlineStr">
        <is>
          <t>Corresponde a un recorrido por determinados atractivos turísticos.</t>
        </is>
      </c>
      <c r="I188" t="inlineStr">
        <is>
          <t>2024257580017</t>
        </is>
      </c>
      <c r="J188" s="99">
        <v>181872515</v>
      </c>
      <c r="K188" s="99">
        <v>21840000</v>
      </c>
      <c r="L188" s="99">
        <v>47008000</v>
      </c>
      <c r="M188" s="99">
        <v>53000000</v>
      </c>
      <c r="N188" s="99">
        <v>60024515</v>
      </c>
      <c r="O188" s="99">
        <v>80147133</v>
      </c>
      <c r="P188" s="99">
        <v>80147133</v>
      </c>
      <c r="Q188" s="99">
        <v>80147133</v>
      </c>
      <c r="R188" s="100">
        <v>3.66974052197802</v>
      </c>
      <c r="S188" t="inlineStr">
        <is>
          <t>Hubo ejecución por encima de lo programado en SisPT</t>
        </is>
      </c>
      <c r="T188" s="101">
        <v>26000000</v>
      </c>
      <c r="U188" s="101">
        <v>26000000</v>
      </c>
      <c r="V188" s="101">
        <v>26000000</v>
      </c>
      <c r="W188" s="102">
        <v>0.553097345132743</v>
      </c>
      <c r="X188" t="inlineStr">
        <is>
          <t>Lo obligado está por debajo de lo programado en la vigencia</t>
        </is>
      </c>
    </row>
    <row r="189">
      <c r="A189" t="inlineStr">
        <is>
          <t>IP-261</t>
        </is>
      </c>
      <c r="B189" t="inlineStr">
        <is>
          <t>35</t>
        </is>
      </c>
      <c r="C189" t="inlineStr">
        <is>
          <t>Comercio, industria y turismo</t>
        </is>
      </c>
      <c r="D189" t="inlineStr">
        <is>
          <t>3502</t>
        </is>
      </c>
      <c r="E189" t="inlineStr">
        <is>
          <t>Productividad y competitividad de las empresas colombianas</t>
        </is>
      </c>
      <c r="F189" t="inlineStr">
        <is>
          <t>3502045</t>
        </is>
      </c>
      <c r="G189" t="inlineStr">
        <is>
          <t>Servicio de educación informal en asuntos turísticos</t>
        </is>
      </c>
      <c r="H189" t="inlineStr">
        <is>
          <t>Consiste en la capacitación y entrenamiento a personas interesadas en trabajar en el sector turismo. Incluye fortalecimiento de atención al cliente, de conocimientos históricos, entre otros.</t>
        </is>
      </c>
      <c r="I189" t="inlineStr">
        <is>
          <t>2024257580017</t>
        </is>
      </c>
      <c r="J189" s="99">
        <v>37828417</v>
      </c>
      <c r="K189" s="99">
        <v>7800000</v>
      </c>
      <c r="L189" s="99">
        <v>8814000</v>
      </c>
      <c r="M189" s="99">
        <v>9959820</v>
      </c>
      <c r="N189" s="99">
        <v>11254597</v>
      </c>
      <c r="O189" s="99" t="inlineStr">
        <is>
          <t xml:space="preserve"> </t>
        </is>
      </c>
      <c r="P189" s="99" t="inlineStr">
        <is>
          <t xml:space="preserve"> </t>
        </is>
      </c>
      <c r="Q189" s="99" t="inlineStr">
        <is>
          <t xml:space="preserve"> </t>
        </is>
      </c>
      <c r="R189" s="100" t="inlineStr">
        <is>
          <t xml:space="preserve"> </t>
        </is>
      </c>
      <c r="S189" t="inlineStr">
        <is>
          <t>No se encontró ejecución en CUIPO</t>
        </is>
      </c>
      <c r="T189" s="101">
        <v>11220000</v>
      </c>
      <c r="U189" s="101">
        <v>9701120</v>
      </c>
      <c r="V189" s="101">
        <v>9701120</v>
      </c>
      <c r="W189" s="102">
        <v>1.10064896755162</v>
      </c>
      <c r="X189" t="inlineStr">
        <is>
          <t>Hubo ejecución por encima de lo programado en SisPT</t>
        </is>
      </c>
    </row>
    <row r="190">
      <c r="A190" t="inlineStr">
        <is>
          <t>IP-262</t>
        </is>
      </c>
      <c r="B190" t="inlineStr">
        <is>
          <t>35</t>
        </is>
      </c>
      <c r="C190" t="inlineStr">
        <is>
          <t>Comercio, industria y turismo</t>
        </is>
      </c>
      <c r="D190" t="inlineStr">
        <is>
          <t>3502</t>
        </is>
      </c>
      <c r="E190" t="inlineStr">
        <is>
          <t>Productividad y competitividad de las empresas colombianas</t>
        </is>
      </c>
      <c r="F190" t="inlineStr">
        <is>
          <t>3502047</t>
        </is>
      </c>
      <c r="G190" t="inlineStr">
        <is>
          <t>Documentos de planeación</t>
        </is>
      </c>
      <c r="H190" t="inlineStr">
        <is>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is>
      </c>
      <c r="I190" t="inlineStr">
        <is>
          <t>2024257580017</t>
        </is>
      </c>
      <c r="J190" s="99">
        <v>4709731</v>
      </c>
      <c r="K190" s="99">
        <v>1000000</v>
      </c>
      <c r="L190" s="99">
        <v>1110000</v>
      </c>
      <c r="M190" s="99">
        <v>1232100</v>
      </c>
      <c r="N190" s="99">
        <v>1367631</v>
      </c>
      <c r="O190" s="99" t="inlineStr">
        <is>
          <t xml:space="preserve"> </t>
        </is>
      </c>
      <c r="P190" s="99" t="inlineStr">
        <is>
          <t xml:space="preserve"> </t>
        </is>
      </c>
      <c r="Q190" s="99" t="inlineStr">
        <is>
          <t xml:space="preserve"> </t>
        </is>
      </c>
      <c r="R190" s="100" t="inlineStr">
        <is>
          <t xml:space="preserve"> </t>
        </is>
      </c>
      <c r="S190" t="inlineStr">
        <is>
          <t>No se encontró ejecución en CUIPO</t>
        </is>
      </c>
      <c r="T190" s="101">
        <v>10412013</v>
      </c>
      <c r="U190" s="101">
        <v>480333</v>
      </c>
      <c r="V190" s="101">
        <v>480333</v>
      </c>
      <c r="W190" s="102">
        <v>0.432732432432432</v>
      </c>
      <c r="X190" t="inlineStr">
        <is>
          <t>Lo obligado está por debajo de lo programado en la vigencia</t>
        </is>
      </c>
    </row>
    <row r="191">
      <c r="A191" t="inlineStr">
        <is>
          <t>IP-263</t>
        </is>
      </c>
      <c r="B191" t="inlineStr">
        <is>
          <t>35</t>
        </is>
      </c>
      <c r="C191" t="inlineStr">
        <is>
          <t>Comercio, industria y turismo</t>
        </is>
      </c>
      <c r="D191" t="inlineStr">
        <is>
          <t>3502</t>
        </is>
      </c>
      <c r="E191" t="inlineStr">
        <is>
          <t>Productividad y competitividad de las empresas colombianas</t>
        </is>
      </c>
      <c r="F191" t="inlineStr">
        <is>
          <t>3502110</t>
        </is>
      </c>
      <c r="G191" t="inlineStr">
        <is>
          <t>Estudios de preinversión</t>
        </is>
      </c>
      <c r="H191" t="inlineStr">
        <is>
          <t>Corresponde a todos los productos relacionados a la etapa de preinversión en infraestructura , como son estudios de factibilidad, diseños arquitectónicos, planos, estudio de suelos y otros estudios y/o instrumentos similares.</t>
        </is>
      </c>
      <c r="I191" t="inlineStr">
        <is>
          <t>2024257580017</t>
        </is>
      </c>
      <c r="J191" s="99">
        <v>376988397</v>
      </c>
      <c r="K191" s="99">
        <v>30506667</v>
      </c>
      <c r="L191" s="99">
        <v>101700000</v>
      </c>
      <c r="M191" s="99">
        <v>114921000</v>
      </c>
      <c r="N191" s="99">
        <v>129860730</v>
      </c>
      <c r="O191" s="99" t="inlineStr">
        <is>
          <t xml:space="preserve"> </t>
        </is>
      </c>
      <c r="P191" s="99" t="inlineStr">
        <is>
          <t xml:space="preserve"> </t>
        </is>
      </c>
      <c r="Q191" s="99" t="inlineStr">
        <is>
          <t xml:space="preserve"> </t>
        </is>
      </c>
      <c r="R191" s="100" t="inlineStr">
        <is>
          <t xml:space="preserve"> </t>
        </is>
      </c>
      <c r="S191" t="inlineStr">
        <is>
          <t>No se encontró ejecución en CUIPO</t>
        </is>
      </c>
      <c r="T191" s="101">
        <v>31220000</v>
      </c>
      <c r="U191" s="101">
        <v>29094800</v>
      </c>
      <c r="V191" s="101">
        <v>29094800</v>
      </c>
      <c r="W191" s="102">
        <v>0.286084562438545</v>
      </c>
      <c r="X191" t="inlineStr">
        <is>
          <t>Lo obligado está por debajo de lo programado en la vigencia</t>
        </is>
      </c>
    </row>
    <row r="192">
      <c r="A192" t="inlineStr">
        <is>
          <t>IP-264</t>
        </is>
      </c>
      <c r="B192" t="inlineStr">
        <is>
          <t>39</t>
        </is>
      </c>
      <c r="C192" t="inlineStr">
        <is>
          <t xml:space="preserve">Ciencia, tecnología e innovación
</t>
        </is>
      </c>
      <c r="D192" t="inlineStr">
        <is>
          <t>3905</t>
        </is>
      </c>
      <c r="E192" t="inlineStr">
        <is>
          <t>Fortalecimiento de la gobernanza e institucionalidad multinivel del sector de CTeI</t>
        </is>
      </c>
      <c r="F192" t="inlineStr">
        <is>
          <t>3905003</t>
        </is>
      </c>
      <c r="G192" t="inlineStr">
        <is>
          <t>Documentos de evaluación</t>
        </is>
      </c>
      <c r="H192" t="inlineStr">
        <is>
          <t>Documentos técnicos en donde se realiza el seguimiento y el análisis de resultados e impactos de una política pública, planes, programas e instrumentos a través de indicadores, índices y tasas y otras herramientas técnicas para la toma de decisiones.</t>
        </is>
      </c>
      <c r="I192" t="inlineStr">
        <is>
          <t>2024257580008</t>
        </is>
      </c>
      <c r="J192" s="99">
        <v>895786136</v>
      </c>
      <c r="K192" s="99">
        <v>23603776</v>
      </c>
      <c r="L192" s="99">
        <v>335289410</v>
      </c>
      <c r="M192" s="99">
        <v>286044385</v>
      </c>
      <c r="N192" s="99">
        <v>250848565</v>
      </c>
      <c r="O192" s="99" t="inlineStr">
        <is>
          <t xml:space="preserve"> </t>
        </is>
      </c>
      <c r="P192" s="99" t="inlineStr">
        <is>
          <t xml:space="preserve"> </t>
        </is>
      </c>
      <c r="Q192" s="99" t="inlineStr">
        <is>
          <t xml:space="preserve"> </t>
        </is>
      </c>
      <c r="R192" s="100" t="inlineStr">
        <is>
          <t xml:space="preserve"> </t>
        </is>
      </c>
      <c r="S192" t="inlineStr">
        <is>
          <t>No se encontró ejecución en CUIPO</t>
        </is>
      </c>
      <c r="T192" s="101" t="inlineStr">
        <is>
          <t xml:space="preserve"> </t>
        </is>
      </c>
      <c r="U192" s="101" t="inlineStr">
        <is>
          <t xml:space="preserve"> </t>
        </is>
      </c>
      <c r="V192" s="101" t="inlineStr">
        <is>
          <t xml:space="preserve"> </t>
        </is>
      </c>
      <c r="W192" s="102" t="inlineStr">
        <is>
          <t xml:space="preserve"> </t>
        </is>
      </c>
      <c r="X192" t="inlineStr">
        <is>
          <t>No se encontró ejecución en CUIPO</t>
        </is>
      </c>
    </row>
    <row r="193">
      <c r="A193" t="inlineStr">
        <is>
          <t>IP-265</t>
        </is>
      </c>
      <c r="B193" t="inlineStr">
        <is>
          <t>39</t>
        </is>
      </c>
      <c r="C193" t="inlineStr">
        <is>
          <t xml:space="preserve">Ciencia, tecnología e innovación
</t>
        </is>
      </c>
      <c r="D193" t="inlineStr">
        <is>
          <t>3905</t>
        </is>
      </c>
      <c r="E193" t="inlineStr">
        <is>
          <t>Fortalecimiento de la gobernanza e institucionalidad multinivel del sector de CTeI</t>
        </is>
      </c>
      <c r="F193" t="inlineStr">
        <is>
          <t>3905007</t>
        </is>
      </c>
      <c r="G193" t="inlineStr">
        <is>
          <t>Servicio de cooperación internacional para la CTeI</t>
        </is>
      </c>
      <c r="H193" t="inlineStr">
        <is>
          <t>Hace referencia a las acciones desarrolladas en el campo de relaciones y cooperación de CTI con organismos y entidades internacionales.</t>
        </is>
      </c>
      <c r="I193" t="inlineStr">
        <is>
          <t>2024257580008</t>
        </is>
      </c>
      <c r="J193" s="99">
        <v>20994652</v>
      </c>
      <c r="K193" s="99">
        <v>4489067</v>
      </c>
      <c r="L193" s="99">
        <v>6289067</v>
      </c>
      <c r="M193" s="99">
        <v>4969770</v>
      </c>
      <c r="N193" s="99">
        <v>5246748</v>
      </c>
      <c r="O193" s="99" t="inlineStr">
        <is>
          <t xml:space="preserve"> </t>
        </is>
      </c>
      <c r="P193" s="99" t="inlineStr">
        <is>
          <t xml:space="preserve"> </t>
        </is>
      </c>
      <c r="Q193" s="99" t="inlineStr">
        <is>
          <t xml:space="preserve"> </t>
        </is>
      </c>
      <c r="R193" s="100" t="inlineStr">
        <is>
          <t xml:space="preserve"> </t>
        </is>
      </c>
      <c r="S193" t="inlineStr">
        <is>
          <t>No se encontró ejecución en CUIPO</t>
        </is>
      </c>
      <c r="T193" s="101" t="inlineStr">
        <is>
          <t xml:space="preserve"> </t>
        </is>
      </c>
      <c r="U193" s="101" t="inlineStr">
        <is>
          <t xml:space="preserve"> </t>
        </is>
      </c>
      <c r="V193" s="101" t="inlineStr">
        <is>
          <t xml:space="preserve"> </t>
        </is>
      </c>
      <c r="W193" s="102" t="inlineStr">
        <is>
          <t xml:space="preserve"> </t>
        </is>
      </c>
      <c r="X193" t="inlineStr">
        <is>
          <t>No se encontró ejecución en CUIPO</t>
        </is>
      </c>
    </row>
    <row r="194">
      <c r="A194" t="inlineStr">
        <is>
          <t>IP-266, IP-268</t>
        </is>
      </c>
      <c r="B194" t="inlineStr">
        <is>
          <t>39</t>
        </is>
      </c>
      <c r="C194" t="inlineStr">
        <is>
          <t xml:space="preserve">Ciencia, tecnología e innovación
</t>
        </is>
      </c>
      <c r="D194" t="inlineStr">
        <is>
          <t>3906</t>
        </is>
      </c>
      <c r="E194" t="inlineStr">
        <is>
          <t>Fomento a vocaciones y formación, generación, uso y apropiación social del conocimiento de la ciencia, tecnología e innovación</t>
        </is>
      </c>
      <c r="F194" t="inlineStr">
        <is>
          <t>3906011</t>
        </is>
      </c>
      <c r="G194" t="inlineStr">
        <is>
          <t>Servicio de apropiación social del conocimiento</t>
        </is>
      </c>
      <c r="H194" t="inlineStr">
        <is>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is>
      </c>
      <c r="I194" t="inlineStr">
        <is>
          <t>2024257580008</t>
        </is>
      </c>
      <c r="J194" s="99">
        <v>838172781</v>
      </c>
      <c r="K194" s="99">
        <v>240616754</v>
      </c>
      <c r="L194" s="99">
        <v>225716754</v>
      </c>
      <c r="M194" s="99">
        <v>179947273</v>
      </c>
      <c r="N194" s="99">
        <v>191892000</v>
      </c>
      <c r="O194" s="99" t="inlineStr">
        <is>
          <t xml:space="preserve"> </t>
        </is>
      </c>
      <c r="P194" s="99" t="inlineStr">
        <is>
          <t xml:space="preserve"> </t>
        </is>
      </c>
      <c r="Q194" s="99" t="inlineStr">
        <is>
          <t xml:space="preserve"> </t>
        </is>
      </c>
      <c r="R194" s="100" t="inlineStr">
        <is>
          <t xml:space="preserve"> </t>
        </is>
      </c>
      <c r="S194" t="inlineStr">
        <is>
          <t>No se encontró ejecución en CUIPO</t>
        </is>
      </c>
      <c r="T194" s="101">
        <v>47557709</v>
      </c>
      <c r="U194" s="101">
        <v>0</v>
      </c>
      <c r="V194" s="101">
        <v>0</v>
      </c>
      <c r="W194" s="102">
        <v>0</v>
      </c>
      <c r="X194" t="inlineStr">
        <is>
          <t>No se ejecutó en la vigencia</t>
        </is>
      </c>
    </row>
    <row r="195">
      <c r="A195" t="inlineStr">
        <is>
          <t>IP-267</t>
        </is>
      </c>
      <c r="B195" t="inlineStr">
        <is>
          <t>39</t>
        </is>
      </c>
      <c r="C195" t="inlineStr">
        <is>
          <t xml:space="preserve">Ciencia, tecnología e innovación
</t>
        </is>
      </c>
      <c r="D195" t="inlineStr">
        <is>
          <t>3906</t>
        </is>
      </c>
      <c r="E195" t="inlineStr">
        <is>
          <t>Fomento a vocaciones y formación, generación, uso y apropiación social del conocimiento de la ciencia, tecnología e innovación</t>
        </is>
      </c>
      <c r="F195" t="inlineStr">
        <is>
          <t>3906017</t>
        </is>
      </c>
      <c r="G195" t="inlineStr">
        <is>
          <t>Servicios de apoyo para entrenamiento especializado en  I+D+i</t>
        </is>
      </c>
      <c r="H195" t="inlineStr">
        <is>
          <t>Busca promover el entrenamiento especializado para mejorar las competencias de desarrollo tecnológico e innovación, métodos y técnicas de investigación especializados y avanzados, así como los cursos de actualización científica para investigadores.</t>
        </is>
      </c>
      <c r="I195" t="inlineStr">
        <is>
          <t>2024257580008</t>
        </is>
      </c>
      <c r="J195" s="99">
        <v>852449608.8</v>
      </c>
      <c r="K195" s="99">
        <v>250079465</v>
      </c>
      <c r="L195" s="99">
        <v>187439464.8</v>
      </c>
      <c r="M195" s="99">
        <v>217621752</v>
      </c>
      <c r="N195" s="99">
        <v>197308927</v>
      </c>
      <c r="O195" s="99">
        <v>235474124</v>
      </c>
      <c r="P195" s="99">
        <v>90790188</v>
      </c>
      <c r="Q195" s="99">
        <v>90790188</v>
      </c>
      <c r="R195" s="100">
        <v>0.363045354403649</v>
      </c>
      <c r="S195" t="inlineStr">
        <is>
          <t>Lo obligado está por debajo de lo programado en la vigencia</t>
        </is>
      </c>
      <c r="T195" s="101">
        <v>81599696</v>
      </c>
      <c r="U195" s="101">
        <v>3616415</v>
      </c>
      <c r="V195" s="101">
        <v>3616415</v>
      </c>
      <c r="W195" s="102">
        <v>0.0192937757470592</v>
      </c>
      <c r="X195" t="inlineStr">
        <is>
          <t>Lo obligado está por debajo de lo programado en la vigencia</t>
        </is>
      </c>
    </row>
    <row r="196">
      <c r="A196" t="inlineStr">
        <is>
          <t>IP-269</t>
        </is>
      </c>
      <c r="B196" t="inlineStr">
        <is>
          <t>39</t>
        </is>
      </c>
      <c r="C196" t="inlineStr">
        <is>
          <t xml:space="preserve">Ciencia, tecnología e innovación
</t>
        </is>
      </c>
      <c r="D196" t="inlineStr">
        <is>
          <t>3906</t>
        </is>
      </c>
      <c r="E196" t="inlineStr">
        <is>
          <t>Fomento a vocaciones y formación, generación, uso y apropiación social del conocimiento de la ciencia, tecnología e innovación</t>
        </is>
      </c>
      <c r="F196" t="inlineStr">
        <is>
          <t>3906003</t>
        </is>
      </c>
      <c r="G196" t="inlineStr">
        <is>
          <t>Servicio de apoyo financiero para la formación de nivel maestría</t>
        </is>
      </c>
      <c r="H196" t="inlineStr">
        <is>
          <t>Servicio de apoyo financiero para la formación de maestría ya sea nacional o en el exterior, en la modalidad de investigación. Las especializaciones clínicas en medicina humana y odontología se asimilan a las maestrías.</t>
        </is>
      </c>
      <c r="I196" t="inlineStr">
        <is>
          <t>2024257580008</t>
        </is>
      </c>
      <c r="J196" s="99">
        <v>52520000</v>
      </c>
      <c r="K196" s="99">
        <v>0</v>
      </c>
      <c r="L196" s="99">
        <v>16000000</v>
      </c>
      <c r="M196" s="99">
        <v>18040000</v>
      </c>
      <c r="N196" s="99">
        <v>18480000</v>
      </c>
      <c r="O196" s="99" t="inlineStr">
        <is>
          <t xml:space="preserve"> </t>
        </is>
      </c>
      <c r="P196" s="99" t="inlineStr">
        <is>
          <t xml:space="preserve"> </t>
        </is>
      </c>
      <c r="Q196" s="99" t="inlineStr">
        <is>
          <t xml:space="preserve"> </t>
        </is>
      </c>
      <c r="R196" s="100" t="inlineStr">
        <is>
          <t xml:space="preserve"> </t>
        </is>
      </c>
      <c r="S196" t="inlineStr">
        <is>
          <t>No se encontró ejecución en CUIPO</t>
        </is>
      </c>
      <c r="T196" s="101" t="inlineStr">
        <is>
          <t xml:space="preserve"> </t>
        </is>
      </c>
      <c r="U196" s="101" t="inlineStr">
        <is>
          <t xml:space="preserve"> </t>
        </is>
      </c>
      <c r="V196" s="101" t="inlineStr">
        <is>
          <t xml:space="preserve"> </t>
        </is>
      </c>
      <c r="W196" s="102" t="inlineStr">
        <is>
          <t xml:space="preserve"> </t>
        </is>
      </c>
      <c r="X196" t="inlineStr">
        <is>
          <t>No se encontró ejecución en CUIPO</t>
        </is>
      </c>
    </row>
    <row r="197">
      <c r="A197" t="inlineStr">
        <is>
          <t>IP-270</t>
        </is>
      </c>
      <c r="B197" t="inlineStr">
        <is>
          <t>39</t>
        </is>
      </c>
      <c r="C197" t="inlineStr">
        <is>
          <t xml:space="preserve">Ciencia, tecnología e innovación
</t>
        </is>
      </c>
      <c r="D197" t="inlineStr">
        <is>
          <t>3906</t>
        </is>
      </c>
      <c r="E197" t="inlineStr">
        <is>
          <t>Fomento a vocaciones y formación, generación, uso y apropiación social del conocimiento de la ciencia, tecnología e innovación</t>
        </is>
      </c>
      <c r="F197" t="inlineStr">
        <is>
          <t>3906013</t>
        </is>
      </c>
      <c r="G197" t="inlineStr">
        <is>
          <t>Servicio de apoyo para la generación de prototipos de materiales, productos o dispositivos</t>
        </is>
      </c>
      <c r="H197" t="inlineStr">
        <is>
          <t>Servicio mediante el cual se apoya la generación de prototipos mediante los cuales se obtienen nuevos materiales, productos, dispositivos, procesos y servicios o el mejoramiento de los ya existentes.</t>
        </is>
      </c>
      <c r="I197" t="inlineStr">
        <is>
          <t>2024257580008</t>
        </is>
      </c>
      <c r="J197" s="99">
        <v>424000000</v>
      </c>
      <c r="K197" s="99">
        <v>44000000</v>
      </c>
      <c r="L197" s="99">
        <v>160000000</v>
      </c>
      <c r="M197" s="99">
        <v>110000000</v>
      </c>
      <c r="N197" s="99">
        <v>110000000</v>
      </c>
      <c r="O197" s="99">
        <v>11965664</v>
      </c>
      <c r="P197" s="99">
        <v>11965664</v>
      </c>
      <c r="Q197" s="99">
        <v>11965664</v>
      </c>
      <c r="R197" s="100">
        <v>0.271946909090909</v>
      </c>
      <c r="S197" t="inlineStr">
        <is>
          <t>Lo obligado está por debajo de lo programado en la vigencia</t>
        </is>
      </c>
      <c r="T197" s="101">
        <v>61766667</v>
      </c>
      <c r="U197" s="101">
        <v>13200000</v>
      </c>
      <c r="V197" s="101">
        <v>13200000</v>
      </c>
      <c r="W197" s="102">
        <v>0.0825</v>
      </c>
      <c r="X197" t="inlineStr">
        <is>
          <t>Lo obligado está por debajo de lo programado en la vigencia</t>
        </is>
      </c>
    </row>
    <row r="198">
      <c r="A198" t="inlineStr">
        <is>
          <t>IP-271</t>
        </is>
      </c>
      <c r="B198" t="inlineStr">
        <is>
          <t>39</t>
        </is>
      </c>
      <c r="C198" t="inlineStr">
        <is>
          <t xml:space="preserve">Ciencia, tecnología e innovación
</t>
        </is>
      </c>
      <c r="D198" t="inlineStr">
        <is>
          <t>3906</t>
        </is>
      </c>
      <c r="E198" t="inlineStr">
        <is>
          <t>Fomento a vocaciones y formación, generación, uso y apropiación social del conocimiento de la ciencia, tecnología e innovación</t>
        </is>
      </c>
      <c r="F198" t="inlineStr">
        <is>
          <t>3906020</t>
        </is>
      </c>
      <c r="G198" t="inlineStr">
        <is>
          <t xml:space="preserve">Infraestructura para la I+D+i dotada </t>
        </is>
      </c>
      <c r="H198" t="inlineStr">
        <is>
          <t>Incluye el proceso de identificación de necesidades de dotación requeridos para apoyar el desarrollo de las actividades de I+D+i.</t>
        </is>
      </c>
      <c r="I198" t="inlineStr">
        <is>
          <t>2024257580008</t>
        </is>
      </c>
      <c r="J198" s="99">
        <v>175411089</v>
      </c>
      <c r="K198" s="99">
        <v>38628295</v>
      </c>
      <c r="L198" s="99">
        <v>38628295</v>
      </c>
      <c r="M198" s="99">
        <v>46740238</v>
      </c>
      <c r="N198" s="99">
        <v>51414261</v>
      </c>
      <c r="O198" s="99" t="inlineStr">
        <is>
          <t xml:space="preserve"> </t>
        </is>
      </c>
      <c r="P198" s="99" t="inlineStr">
        <is>
          <t xml:space="preserve"> </t>
        </is>
      </c>
      <c r="Q198" s="99" t="inlineStr">
        <is>
          <t xml:space="preserve"> </t>
        </is>
      </c>
      <c r="R198" s="100" t="inlineStr">
        <is>
          <t xml:space="preserve"> </t>
        </is>
      </c>
      <c r="S198" t="inlineStr">
        <is>
          <t>No se encontró ejecución en CUIPO</t>
        </is>
      </c>
      <c r="T198" s="101">
        <v>14705517</v>
      </c>
      <c r="U198" s="101">
        <v>10794048</v>
      </c>
      <c r="V198" s="101">
        <v>10794048</v>
      </c>
      <c r="W198" s="102">
        <v>0.279433715622188</v>
      </c>
      <c r="X198" t="inlineStr">
        <is>
          <t>Lo obligado está por debajo de lo programado en la vigencia</t>
        </is>
      </c>
    </row>
    <row r="199">
      <c r="A199" t="inlineStr">
        <is>
          <t>IP-272</t>
        </is>
      </c>
      <c r="B199" t="inlineStr">
        <is>
          <t>39</t>
        </is>
      </c>
      <c r="C199" t="inlineStr">
        <is>
          <t xml:space="preserve">Ciencia, tecnología e innovación
</t>
        </is>
      </c>
      <c r="D199" t="inlineStr">
        <is>
          <t>3906</t>
        </is>
      </c>
      <c r="E199" t="inlineStr">
        <is>
          <t>Fomento a vocaciones y formación, generación, uso y apropiación social del conocimiento de la ciencia, tecnología e innovación</t>
        </is>
      </c>
      <c r="F199" t="inlineStr">
        <is>
          <t>3906009</t>
        </is>
      </c>
      <c r="G199" t="inlineStr">
        <is>
          <t>Servicios de apoyo financiero para programas y proyectos de CTI que promueven la innovación, la transferencia tecnológica y el emprendimiento</t>
        </is>
      </c>
      <c r="H199" t="inlineStr">
        <is>
          <t>Servicio mediante el cual se realiza apoyo financiero a los programas y proyectos de CTI, que promuevan: la innovación empresarial, emprendimiento, la transferencia tecnológica  y la protección de conocimiento</t>
        </is>
      </c>
      <c r="I199" t="inlineStr">
        <is>
          <t>2024257580008</t>
        </is>
      </c>
      <c r="J199" s="99">
        <v>25000000</v>
      </c>
      <c r="K199" s="99">
        <v>0</v>
      </c>
      <c r="L199" s="99">
        <v>10000000</v>
      </c>
      <c r="M199" s="99">
        <v>0</v>
      </c>
      <c r="N199" s="99">
        <v>15000000</v>
      </c>
      <c r="O199" s="99" t="inlineStr">
        <is>
          <t xml:space="preserve"> </t>
        </is>
      </c>
      <c r="P199" s="99" t="inlineStr">
        <is>
          <t xml:space="preserve"> </t>
        </is>
      </c>
      <c r="Q199" s="99" t="inlineStr">
        <is>
          <t xml:space="preserve"> </t>
        </is>
      </c>
      <c r="R199" s="100" t="inlineStr">
        <is>
          <t xml:space="preserve"> </t>
        </is>
      </c>
      <c r="S199" t="inlineStr">
        <is>
          <t>No se encontró ejecución en CUIPO</t>
        </is>
      </c>
      <c r="T199" s="101" t="inlineStr">
        <is>
          <t xml:space="preserve"> </t>
        </is>
      </c>
      <c r="U199" s="101" t="inlineStr">
        <is>
          <t xml:space="preserve"> </t>
        </is>
      </c>
      <c r="V199" s="101" t="inlineStr">
        <is>
          <t xml:space="preserve"> </t>
        </is>
      </c>
      <c r="W199" s="102" t="inlineStr">
        <is>
          <t xml:space="preserve"> </t>
        </is>
      </c>
      <c r="X199" t="inlineStr">
        <is>
          <t>No se encontró ejecución en CUIPO</t>
        </is>
      </c>
    </row>
    <row r="200">
      <c r="A200" t="inlineStr">
        <is>
          <t>IP-273</t>
        </is>
      </c>
      <c r="B200" t="inlineStr">
        <is>
          <t>17</t>
        </is>
      </c>
      <c r="C200" t="inlineStr">
        <is>
          <t xml:space="preserve">Agricultura y desarrollo rural
</t>
        </is>
      </c>
      <c r="D200" t="inlineStr">
        <is>
          <t>1702</t>
        </is>
      </c>
      <c r="E200" t="inlineStr">
        <is>
          <t>Inclusión productiva de pequeños productores rurales</t>
        </is>
      </c>
      <c r="F200" t="inlineStr">
        <is>
          <t>1702017</t>
        </is>
      </c>
      <c r="G200" t="inlineStr">
        <is>
          <t>Servicio de apoyo para el fomento organizativo de la Agricultura Campesina, Familiar y Comunitaria</t>
        </is>
      </c>
      <c r="H200" t="inlineStr">
        <is>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is>
      </c>
      <c r="I200" t="inlineStr">
        <is>
          <t>2024257580024</t>
        </is>
      </c>
      <c r="J200" s="99">
        <v>120666000</v>
      </c>
      <c r="K200" s="99">
        <v>26000000</v>
      </c>
      <c r="L200" s="99">
        <v>28600000</v>
      </c>
      <c r="M200" s="99">
        <v>31460000</v>
      </c>
      <c r="N200" s="99">
        <v>34606000</v>
      </c>
      <c r="O200" s="99">
        <v>12294086</v>
      </c>
      <c r="P200" s="99">
        <v>12294086</v>
      </c>
      <c r="Q200" s="99">
        <v>12294086</v>
      </c>
      <c r="R200" s="100">
        <v>0.472849461538462</v>
      </c>
      <c r="S200" t="inlineStr">
        <is>
          <t>Lo obligado está por debajo de lo programado en la vigencia</t>
        </is>
      </c>
      <c r="T200" s="101">
        <v>12834532</v>
      </c>
      <c r="U200" s="101">
        <v>12834532</v>
      </c>
      <c r="V200" s="101">
        <v>12834532</v>
      </c>
      <c r="W200" s="102">
        <v>0.44875986013986</v>
      </c>
      <c r="X200" t="inlineStr">
        <is>
          <t>Lo obligado está por debajo de lo programado en la vigencia</t>
        </is>
      </c>
    </row>
    <row r="201">
      <c r="A201" t="inlineStr">
        <is>
          <t>IP-274</t>
        </is>
      </c>
      <c r="B201" t="inlineStr">
        <is>
          <t>17</t>
        </is>
      </c>
      <c r="C201" t="inlineStr">
        <is>
          <t xml:space="preserve">Agricultura y desarrollo rural
</t>
        </is>
      </c>
      <c r="D201" t="inlineStr">
        <is>
          <t>1702</t>
        </is>
      </c>
      <c r="E201" t="inlineStr">
        <is>
          <t>Inclusión productiva de pequeños productores rurales</t>
        </is>
      </c>
      <c r="F201" t="inlineStr">
        <is>
          <t>1702018</t>
        </is>
      </c>
      <c r="G201" t="inlineStr">
        <is>
          <t>Documentos de lineamientos técnicos</t>
        </is>
      </c>
      <c r="H201" t="inlineStr">
        <is>
          <t>Documentos cuyo objetivo es describir y explicar instrumentos, estándares, requisitos y condiciones necesarias para llevar a cabo un proceso o actividad.</t>
        </is>
      </c>
      <c r="I201" t="inlineStr">
        <is>
          <t>2024257580024</t>
        </is>
      </c>
      <c r="J201" s="99">
        <v>0</v>
      </c>
      <c r="K201" s="99">
        <v>0</v>
      </c>
      <c r="L201" s="99">
        <v>0</v>
      </c>
      <c r="M201" s="99">
        <v>0</v>
      </c>
      <c r="N201" s="99">
        <v>0</v>
      </c>
      <c r="O201" s="99">
        <v>19672867</v>
      </c>
      <c r="P201" s="99">
        <v>19672867</v>
      </c>
      <c r="Q201" s="99">
        <v>19672867</v>
      </c>
      <c r="R201" s="100" t="inlineStr">
        <is>
          <t xml:space="preserve"> </t>
        </is>
      </c>
      <c r="S201" t="inlineStr">
        <is>
          <t>Se ejecutó un producto no programado en la vigencia</t>
        </is>
      </c>
      <c r="T201" s="101">
        <v>43766000</v>
      </c>
      <c r="U201" s="101">
        <v>28028967</v>
      </c>
      <c r="V201" s="101">
        <v>28028967</v>
      </c>
      <c r="W201" s="102" t="inlineStr">
        <is>
          <t xml:space="preserve"> </t>
        </is>
      </c>
      <c r="X201" t="inlineStr">
        <is>
          <t>Se ejecutó un producto no programado en la vigencia</t>
        </is>
      </c>
    </row>
    <row r="202">
      <c r="A202" t="inlineStr">
        <is>
          <t>IP-275, IP-276</t>
        </is>
      </c>
      <c r="B202" t="inlineStr">
        <is>
          <t>17</t>
        </is>
      </c>
      <c r="C202" t="inlineStr">
        <is>
          <t xml:space="preserve">Agricultura y desarrollo rural
</t>
        </is>
      </c>
      <c r="D202" t="inlineStr">
        <is>
          <t>1702</t>
        </is>
      </c>
      <c r="E202" t="inlineStr">
        <is>
          <t>Inclusión productiva de pequeños productores rurales</t>
        </is>
      </c>
      <c r="F202" t="inlineStr">
        <is>
          <t>1702014</t>
        </is>
      </c>
      <c r="G202" t="inlineStr">
        <is>
          <t>Servicio de apoyo para el acceso a maquinaria y equipos</t>
        </is>
      </c>
      <c r="H202" t="inlineStr">
        <is>
          <t>Contempla el acceso de los pequeños productores a los bancos de maquinaria a partir de figuras como el arriendo, la adquisición, entre otros, entre otros</t>
        </is>
      </c>
      <c r="I202" t="inlineStr">
        <is>
          <t>2024257580024</t>
        </is>
      </c>
      <c r="J202" s="99">
        <v>1050012170</v>
      </c>
      <c r="K202" s="99">
        <v>202700000</v>
      </c>
      <c r="L202" s="99">
        <v>299107000</v>
      </c>
      <c r="M202" s="99">
        <v>252097700</v>
      </c>
      <c r="N202" s="99">
        <v>296107470</v>
      </c>
      <c r="O202" s="99">
        <v>12564228</v>
      </c>
      <c r="P202" s="99">
        <v>12564228</v>
      </c>
      <c r="Q202" s="99">
        <v>12564228</v>
      </c>
      <c r="R202" s="100">
        <v>0.0619843512580168</v>
      </c>
      <c r="S202" t="inlineStr">
        <is>
          <t>Lo obligado está por debajo de lo programado en la vigencia</t>
        </is>
      </c>
      <c r="T202" s="101">
        <v>103700124</v>
      </c>
      <c r="U202" s="101">
        <v>89189184</v>
      </c>
      <c r="V202" s="101">
        <v>85858784</v>
      </c>
      <c r="W202" s="102">
        <v>0.298184876983822</v>
      </c>
      <c r="X202" t="inlineStr">
        <is>
          <t>Lo obligado está por debajo de lo programado en la vigencia</t>
        </is>
      </c>
    </row>
    <row r="203">
      <c r="A203" t="inlineStr">
        <is>
          <t>IP-277</t>
        </is>
      </c>
      <c r="B203" t="inlineStr">
        <is>
          <t>17</t>
        </is>
      </c>
      <c r="C203" t="inlineStr">
        <is>
          <t xml:space="preserve">Agricultura y desarrollo rural
</t>
        </is>
      </c>
      <c r="D203" t="inlineStr">
        <is>
          <t>1702</t>
        </is>
      </c>
      <c r="E203" t="inlineStr">
        <is>
          <t>Inclusión productiva de pequeños productores rurales</t>
        </is>
      </c>
      <c r="F203" t="inlineStr">
        <is>
          <t>1702035</t>
        </is>
      </c>
      <c r="G203" t="inlineStr">
        <is>
          <t>Servicio de educación informal en Buenas Prácticas Agrícolas y producción sostenible</t>
        </is>
      </c>
      <c r="H203" t="inlineStr">
        <is>
          <t>Realizar capacitación a productores sobre implementación de Buenas Prácticas Agrícolas.</t>
        </is>
      </c>
      <c r="I203" t="inlineStr">
        <is>
          <t>2024257580024</t>
        </is>
      </c>
      <c r="J203" s="99">
        <v>150412700</v>
      </c>
      <c r="K203" s="99">
        <v>28600000</v>
      </c>
      <c r="L203" s="99">
        <v>34606000</v>
      </c>
      <c r="M203" s="99">
        <v>41527000</v>
      </c>
      <c r="N203" s="99">
        <v>45679700</v>
      </c>
      <c r="O203" s="99" t="inlineStr">
        <is>
          <t xml:space="preserve"> </t>
        </is>
      </c>
      <c r="P203" s="99" t="inlineStr">
        <is>
          <t xml:space="preserve"> </t>
        </is>
      </c>
      <c r="Q203" s="99" t="inlineStr">
        <is>
          <t xml:space="preserve"> </t>
        </is>
      </c>
      <c r="R203" s="100" t="inlineStr">
        <is>
          <t xml:space="preserve"> </t>
        </is>
      </c>
      <c r="S203" t="inlineStr">
        <is>
          <t>No se encontró ejecución en CUIPO</t>
        </is>
      </c>
      <c r="T203" s="101">
        <v>30220154</v>
      </c>
      <c r="U203" s="101">
        <v>17526820</v>
      </c>
      <c r="V203" s="101">
        <v>17526820</v>
      </c>
      <c r="W203" s="102">
        <v>0.506467664566838</v>
      </c>
      <c r="X203" t="inlineStr">
        <is>
          <t>Lo obligado está por debajo de lo programado en la vigencia</t>
        </is>
      </c>
    </row>
    <row r="204">
      <c r="A204" t="inlineStr">
        <is>
          <t>IP-278</t>
        </is>
      </c>
      <c r="B204" t="inlineStr">
        <is>
          <t>17</t>
        </is>
      </c>
      <c r="C204" t="inlineStr">
        <is>
          <t xml:space="preserve">Agricultura y desarrollo rural
</t>
        </is>
      </c>
      <c r="D204" t="inlineStr">
        <is>
          <t>1702</t>
        </is>
      </c>
      <c r="E204" t="inlineStr">
        <is>
          <t>Inclusión productiva de pequeños productores rurales</t>
        </is>
      </c>
      <c r="F204" t="inlineStr">
        <is>
          <t>1702038</t>
        </is>
      </c>
      <c r="G204" t="inlineStr">
        <is>
          <t>Servicio de apoyo a la comercialización</t>
        </is>
      </c>
      <c r="H204" t="inlineStr">
        <is>
          <t>Consiste en el acompañamiento para la  identificación de apoyos específicos, la adquisición de competencias comerciales y  en casos requeridos, la inserción o consolidación en  encadenamientos comerciales.</t>
        </is>
      </c>
      <c r="I204" t="inlineStr">
        <is>
          <t>2024257580024</t>
        </is>
      </c>
      <c r="J204" s="99">
        <v>2630560000</v>
      </c>
      <c r="K204" s="99">
        <v>250000000</v>
      </c>
      <c r="L204" s="99">
        <v>546000000</v>
      </c>
      <c r="M204" s="99">
        <v>764400000</v>
      </c>
      <c r="N204" s="99">
        <v>1070160000</v>
      </c>
      <c r="O204" s="99">
        <v>226456089</v>
      </c>
      <c r="P204" s="99">
        <v>226456089</v>
      </c>
      <c r="Q204" s="99">
        <v>215947641</v>
      </c>
      <c r="R204" s="100">
        <v>0.905824356</v>
      </c>
      <c r="S204" t="inlineStr">
        <is>
          <t>Lo obligado está por debajo de lo programado en la vigencia</t>
        </is>
      </c>
      <c r="T204" s="101">
        <v>143391090</v>
      </c>
      <c r="U204" s="101">
        <v>139814090</v>
      </c>
      <c r="V204" s="101">
        <v>139814090</v>
      </c>
      <c r="W204" s="102">
        <v>0.256069761904762</v>
      </c>
      <c r="X204" t="inlineStr">
        <is>
          <t>Lo obligado está por debajo de lo programado en la vigencia</t>
        </is>
      </c>
    </row>
    <row r="205">
      <c r="A205" t="inlineStr">
        <is>
          <t>IP-279, IP-280</t>
        </is>
      </c>
      <c r="B205" t="inlineStr">
        <is>
          <t>17</t>
        </is>
      </c>
      <c r="C205" t="inlineStr">
        <is>
          <t xml:space="preserve">Agricultura y desarrollo rural
</t>
        </is>
      </c>
      <c r="D205" t="inlineStr">
        <is>
          <t>1707</t>
        </is>
      </c>
      <c r="E205" t="inlineStr">
        <is>
          <t>Sanidad agropecuaria e inocuidad agroalimentaria</t>
        </is>
      </c>
      <c r="F205" t="inlineStr">
        <is>
          <t>1707070</t>
        </is>
      </c>
      <c r="G205" t="inlineStr">
        <is>
          <t>Documentos de política</t>
        </is>
      </c>
      <c r="H205" t="inlineStr">
        <is>
          <t>Documentos cuyo objetivo es emitir los lineamientos de política para el Ministerio de Agricultura y Desarrollo Rural, las entidades adscritas y vinculadas, gremios, asociaciones o comités de productores y secretarías de agricultura, entidades del orden departamental, municipal y distrital.</t>
        </is>
      </c>
      <c r="I205" t="inlineStr">
        <is>
          <t>2024257580077</t>
        </is>
      </c>
      <c r="J205" s="99">
        <v>172039160</v>
      </c>
      <c r="K205" s="99">
        <v>52760000</v>
      </c>
      <c r="L205" s="99">
        <v>36036000</v>
      </c>
      <c r="M205" s="99">
        <v>39639600</v>
      </c>
      <c r="N205" s="99">
        <v>43603560</v>
      </c>
      <c r="O205" s="99" t="inlineStr">
        <is>
          <t xml:space="preserve"> </t>
        </is>
      </c>
      <c r="P205" s="99" t="inlineStr">
        <is>
          <t xml:space="preserve"> </t>
        </is>
      </c>
      <c r="Q205" s="99" t="inlineStr">
        <is>
          <t xml:space="preserve"> </t>
        </is>
      </c>
      <c r="R205" s="100" t="inlineStr">
        <is>
          <t xml:space="preserve"> </t>
        </is>
      </c>
      <c r="S205" t="inlineStr">
        <is>
          <t>No se encontró ejecución en CUIPO</t>
        </is>
      </c>
      <c r="T205" s="101">
        <v>13228800</v>
      </c>
      <c r="U205" s="101">
        <v>11016160</v>
      </c>
      <c r="V205" s="101">
        <v>11016160</v>
      </c>
      <c r="W205" s="102">
        <v>0.305698745698746</v>
      </c>
      <c r="X205" t="inlineStr">
        <is>
          <t>Lo obligado está por debajo de lo programado en la vigencia</t>
        </is>
      </c>
    </row>
    <row r="206">
      <c r="A206" t="inlineStr">
        <is>
          <t>IP-281</t>
        </is>
      </c>
      <c r="B206" t="inlineStr">
        <is>
          <t>17</t>
        </is>
      </c>
      <c r="C206" t="inlineStr">
        <is>
          <t xml:space="preserve">Agricultura y desarrollo rural
</t>
        </is>
      </c>
      <c r="D206" t="inlineStr">
        <is>
          <t>1709</t>
        </is>
      </c>
      <c r="E206" t="inlineStr">
        <is>
          <t>Infraestructura productiva y comercialización</t>
        </is>
      </c>
      <c r="F206" t="inlineStr">
        <is>
          <t>1709022</t>
        </is>
      </c>
      <c r="G206" t="inlineStr">
        <is>
          <t>Centros logísticos agropecuarios construidos</t>
        </is>
      </c>
      <c r="H206" t="inlineStr">
        <is>
          <t>Los centros logísticos son entendidos como equipamientos localizados estratégicamente en regiones altamente productivas con el objeto de concentrar y suministrar Servicio complementarios a sus actividades principales.</t>
        </is>
      </c>
      <c r="I206" t="inlineStr">
        <is>
          <t>2024257580052</t>
        </is>
      </c>
      <c r="J206" s="99">
        <v>100000000</v>
      </c>
      <c r="K206" s="99">
        <v>0</v>
      </c>
      <c r="L206" s="99">
        <v>100000000</v>
      </c>
      <c r="M206" s="99">
        <v>0</v>
      </c>
      <c r="N206" s="99">
        <v>0</v>
      </c>
      <c r="O206" s="99" t="inlineStr">
        <is>
          <t xml:space="preserve"> </t>
        </is>
      </c>
      <c r="P206" s="99" t="inlineStr">
        <is>
          <t xml:space="preserve"> </t>
        </is>
      </c>
      <c r="Q206" s="99" t="inlineStr">
        <is>
          <t xml:space="preserve"> </t>
        </is>
      </c>
      <c r="R206" s="100" t="inlineStr">
        <is>
          <t xml:space="preserve"> </t>
        </is>
      </c>
      <c r="S206" t="inlineStr">
        <is>
          <t>No se encontró ejecución en CUIPO</t>
        </is>
      </c>
      <c r="T206" s="101" t="inlineStr">
        <is>
          <t xml:space="preserve"> </t>
        </is>
      </c>
      <c r="U206" s="101" t="inlineStr">
        <is>
          <t xml:space="preserve"> </t>
        </is>
      </c>
      <c r="V206" s="101" t="inlineStr">
        <is>
          <t xml:space="preserve"> </t>
        </is>
      </c>
      <c r="W206" s="102" t="inlineStr">
        <is>
          <t xml:space="preserve"> </t>
        </is>
      </c>
      <c r="X206" t="inlineStr">
        <is>
          <t>No se encontró ejecución en CUIPO</t>
        </is>
      </c>
    </row>
    <row r="207">
      <c r="A207" t="inlineStr">
        <is>
          <t>IP-282</t>
        </is>
      </c>
      <c r="B207" t="inlineStr">
        <is>
          <t>17</t>
        </is>
      </c>
      <c r="C207" t="inlineStr">
        <is>
          <t xml:space="preserve">Agricultura y desarrollo rural
</t>
        </is>
      </c>
      <c r="D207" t="inlineStr">
        <is>
          <t>1709</t>
        </is>
      </c>
      <c r="E207" t="inlineStr">
        <is>
          <t>Infraestructura productiva y comercialización</t>
        </is>
      </c>
      <c r="F207" t="inlineStr">
        <is>
          <t>1709110</t>
        </is>
      </c>
      <c r="G207" t="inlineStr">
        <is>
          <t>Servicio de apoyo financiero para la reforestación comercial</t>
        </is>
      </c>
      <c r="H207" t="inlineStr">
        <is>
          <t>Apoyo para el establecimiento y mantenimiento de nuevas hectáreas de reforestación comercial en los núcleos forestales.</t>
        </is>
      </c>
      <c r="I207" t="inlineStr">
        <is>
          <t>2024257580052</t>
        </is>
      </c>
      <c r="J207" s="99">
        <v>0</v>
      </c>
      <c r="K207" s="99">
        <v>0</v>
      </c>
      <c r="L207" s="99">
        <v>0</v>
      </c>
      <c r="M207" s="99">
        <v>0</v>
      </c>
      <c r="N207" s="99">
        <v>0</v>
      </c>
      <c r="O207" s="99" t="inlineStr">
        <is>
          <t xml:space="preserve"> </t>
        </is>
      </c>
      <c r="P207" s="99" t="inlineStr">
        <is>
          <t xml:space="preserve"> </t>
        </is>
      </c>
      <c r="Q207" s="99" t="inlineStr">
        <is>
          <t xml:space="preserve"> </t>
        </is>
      </c>
      <c r="R207" s="100" t="inlineStr">
        <is>
          <t xml:space="preserve"> </t>
        </is>
      </c>
      <c r="S207" t="inlineStr">
        <is>
          <t>No se encontró ejecución en CUIPO</t>
        </is>
      </c>
      <c r="T207" s="101">
        <v>74000000</v>
      </c>
      <c r="U207" s="101">
        <v>4637327</v>
      </c>
      <c r="V207" s="101">
        <v>4637327</v>
      </c>
      <c r="W207" s="102" t="inlineStr">
        <is>
          <t xml:space="preserve"> </t>
        </is>
      </c>
      <c r="X207" t="inlineStr">
        <is>
          <t>Se ejecutó un producto no programado en la vigencia</t>
        </is>
      </c>
    </row>
    <row r="208">
      <c r="A208" t="inlineStr">
        <is>
          <t>IP-283</t>
        </is>
      </c>
      <c r="B208" t="inlineStr">
        <is>
          <t>17</t>
        </is>
      </c>
      <c r="C208" t="inlineStr">
        <is>
          <t xml:space="preserve">Agricultura y desarrollo rural
</t>
        </is>
      </c>
      <c r="D208" t="inlineStr">
        <is>
          <t>1708</t>
        </is>
      </c>
      <c r="E208" t="inlineStr">
        <is>
          <t>Ciencia, tecnología e innovación agropecuaria</t>
        </is>
      </c>
      <c r="F208" t="inlineStr">
        <is>
          <t>1708032</t>
        </is>
      </c>
      <c r="G208" t="inlineStr">
        <is>
          <t>Parcelas, módulos y unidades demostrativas adecuadas</t>
        </is>
      </c>
      <c r="H208" t="inlineStr">
        <is>
          <t>Corresponde a la adecuación, ajuste o adaptación de un sitio, espacio o área de una edificación, de los espacios para la transferencia de tecnologías u ofertas tecnologicas a través de probar, ajustar, validar y transferir nuevas prácticas, además de servir como medios de difusión.</t>
        </is>
      </c>
      <c r="I208" t="inlineStr">
        <is>
          <t>2024257580038</t>
        </is>
      </c>
      <c r="J208" s="99">
        <v>540607775</v>
      </c>
      <c r="K208" s="99">
        <v>163110925</v>
      </c>
      <c r="L208" s="99">
        <v>114247018</v>
      </c>
      <c r="M208" s="99">
        <v>125357120</v>
      </c>
      <c r="N208" s="99">
        <v>137892712</v>
      </c>
      <c r="O208" s="99" t="inlineStr">
        <is>
          <t xml:space="preserve"> </t>
        </is>
      </c>
      <c r="P208" s="99" t="inlineStr">
        <is>
          <t xml:space="preserve"> </t>
        </is>
      </c>
      <c r="Q208" s="99" t="inlineStr">
        <is>
          <t xml:space="preserve"> </t>
        </is>
      </c>
      <c r="R208" s="100" t="inlineStr">
        <is>
          <t xml:space="preserve"> </t>
        </is>
      </c>
      <c r="S208" t="inlineStr">
        <is>
          <t>No se encontró ejecución en CUIPO</t>
        </is>
      </c>
      <c r="T208" s="101">
        <v>33228324</v>
      </c>
      <c r="U208" s="101">
        <v>18471039</v>
      </c>
      <c r="V208" s="101">
        <v>18471039</v>
      </c>
      <c r="W208" s="102">
        <v>0.161676333643999</v>
      </c>
      <c r="X208" t="inlineStr">
        <is>
          <t>Lo obligado está por debajo de lo programado en la vigencia</t>
        </is>
      </c>
    </row>
    <row r="209">
      <c r="A209" t="inlineStr">
        <is>
          <t>IP-284</t>
        </is>
      </c>
      <c r="B209" t="inlineStr">
        <is>
          <t>17</t>
        </is>
      </c>
      <c r="C209" t="inlineStr">
        <is>
          <t xml:space="preserve">Agricultura y desarrollo rural
</t>
        </is>
      </c>
      <c r="D209" t="inlineStr">
        <is>
          <t>1708</t>
        </is>
      </c>
      <c r="E209" t="inlineStr">
        <is>
          <t>Ciencia, tecnología e innovación agropecuaria</t>
        </is>
      </c>
      <c r="F209" t="inlineStr">
        <is>
          <t>1708053</t>
        </is>
      </c>
      <c r="G209" t="inlineStr">
        <is>
          <t>Servicio de apoyo técnico para el uso eficiente de recursos naturales en ecosistemas estratégicos</t>
        </is>
      </c>
      <c r="H209" t="inlineStr">
        <is>
          <t>Corresponde a acciones de acompañamiento técnico a productores agropecuarios para el uso eficiente de recursos naturales en ecosistemas estratégicos y cuencas hidrográficas con fuertes presiones por actividades productivas.</t>
        </is>
      </c>
      <c r="I209" t="inlineStr">
        <is>
          <t>2024257580038</t>
        </is>
      </c>
      <c r="J209" s="99">
        <v>1939919</v>
      </c>
      <c r="K209" s="99">
        <v>400000</v>
      </c>
      <c r="L209" s="99">
        <v>452000</v>
      </c>
      <c r="M209" s="99">
        <v>510760</v>
      </c>
      <c r="N209" s="99">
        <v>577159</v>
      </c>
      <c r="O209" s="99" t="inlineStr">
        <is>
          <t xml:space="preserve"> </t>
        </is>
      </c>
      <c r="P209" s="99" t="inlineStr">
        <is>
          <t xml:space="preserve"> </t>
        </is>
      </c>
      <c r="Q209" s="99" t="inlineStr">
        <is>
          <t xml:space="preserve"> </t>
        </is>
      </c>
      <c r="R209" s="100" t="inlineStr">
        <is>
          <t xml:space="preserve"> </t>
        </is>
      </c>
      <c r="S209" t="inlineStr">
        <is>
          <t>No se encontró ejecución en CUIPO</t>
        </is>
      </c>
      <c r="T209" s="101">
        <v>77238800</v>
      </c>
      <c r="U209" s="101">
        <v>53710396</v>
      </c>
      <c r="V209" s="101">
        <v>53710396</v>
      </c>
      <c r="W209" s="102">
        <v>118.828309734513</v>
      </c>
      <c r="X209" t="inlineStr">
        <is>
          <t>Hubo ejecución por encima de lo programado en SisPT</t>
        </is>
      </c>
    </row>
    <row r="210">
      <c r="A210" t="inlineStr">
        <is>
          <t>IP-285</t>
        </is>
      </c>
      <c r="B210" t="inlineStr">
        <is>
          <t>17</t>
        </is>
      </c>
      <c r="C210" t="inlineStr">
        <is>
          <t xml:space="preserve">Agricultura y desarrollo rural
</t>
        </is>
      </c>
      <c r="D210" t="inlineStr">
        <is>
          <t>1708</t>
        </is>
      </c>
      <c r="E210" t="inlineStr">
        <is>
          <t>Ciencia, tecnología e innovación agropecuaria</t>
        </is>
      </c>
      <c r="F210" t="inlineStr">
        <is>
          <t>1708017</t>
        </is>
      </c>
      <c r="G210" t="inlineStr">
        <is>
          <t>Documentos metodológicos</t>
        </is>
      </c>
      <c r="H210" t="inlineStr">
        <is>
          <t>Documentos cuyo objetivo es describir y explicar métodos, herramientas analíticas o procesos que determinan un camino o forma de realizar un análisis en particular. Específicamente contienen el protocolo de investigación, gestión documental y archivística en materia de violaciones de Derechos Humanos e Infracciones al Derecho Internacional Humanitario ocurridas con ocasión del conflicto armado interno colombiano.</t>
        </is>
      </c>
      <c r="I210" t="inlineStr">
        <is>
          <t>2024257580052</t>
        </is>
      </c>
      <c r="J210" s="99">
        <v>0</v>
      </c>
      <c r="K210" s="99">
        <v>0</v>
      </c>
      <c r="L210" s="99">
        <v>0</v>
      </c>
      <c r="M210" s="99">
        <v>0</v>
      </c>
      <c r="N210" s="99">
        <v>0</v>
      </c>
      <c r="O210" s="99" t="inlineStr">
        <is>
          <t xml:space="preserve"> </t>
        </is>
      </c>
      <c r="P210" s="99" t="inlineStr">
        <is>
          <t xml:space="preserve"> </t>
        </is>
      </c>
      <c r="Q210" s="99" t="inlineStr">
        <is>
          <t xml:space="preserve"> </t>
        </is>
      </c>
      <c r="R210" s="100" t="inlineStr">
        <is>
          <t xml:space="preserve"> </t>
        </is>
      </c>
      <c r="S210" t="inlineStr">
        <is>
          <t>No se encontró ejecución en CUIPO</t>
        </is>
      </c>
      <c r="T210" s="101" t="inlineStr">
        <is>
          <t xml:space="preserve"> </t>
        </is>
      </c>
      <c r="U210" s="101" t="inlineStr">
        <is>
          <t xml:space="preserve"> </t>
        </is>
      </c>
      <c r="V210" s="101" t="inlineStr">
        <is>
          <t xml:space="preserve"> </t>
        </is>
      </c>
      <c r="W210" s="102" t="inlineStr">
        <is>
          <t xml:space="preserve"> </t>
        </is>
      </c>
      <c r="X210" t="inlineStr">
        <is>
          <t>No se encontró ejecución en CUIPO</t>
        </is>
      </c>
    </row>
    <row r="211">
      <c r="A211" t="inlineStr">
        <is>
          <t>IP-286</t>
        </is>
      </c>
      <c r="B211" t="inlineStr">
        <is>
          <t>17</t>
        </is>
      </c>
      <c r="C211" t="inlineStr">
        <is>
          <t xml:space="preserve">Agricultura y desarrollo rural
</t>
        </is>
      </c>
      <c r="D211" t="inlineStr">
        <is>
          <t>1708</t>
        </is>
      </c>
      <c r="E211" t="inlineStr">
        <is>
          <t>Ciencia, tecnología e innovación agropecuaria</t>
        </is>
      </c>
      <c r="F211" t="inlineStr">
        <is>
          <t>1708056</t>
        </is>
      </c>
      <c r="G211" t="inlineStr">
        <is>
          <t>Servicio de implementación de rutas agroecológicas</t>
        </is>
      </c>
      <c r="H211" t="inlineStr">
        <is>
          <t>Contempla la implementación de estrategias para la articulación, promoción y ejecución de rutas agroecológicas, las cuales incluyen huertas que desarrollan procesos de agricultura urbana.</t>
        </is>
      </c>
      <c r="I211" t="inlineStr">
        <is>
          <t>2024257580038</t>
        </is>
      </c>
      <c r="J211" s="99">
        <v>138761900</v>
      </c>
      <c r="K211" s="99">
        <v>29900000</v>
      </c>
      <c r="L211" s="99">
        <v>32890000</v>
      </c>
      <c r="M211" s="99">
        <v>36179000</v>
      </c>
      <c r="N211" s="99">
        <v>39792900</v>
      </c>
      <c r="O211" s="99" t="inlineStr">
        <is>
          <t xml:space="preserve"> </t>
        </is>
      </c>
      <c r="P211" s="99" t="inlineStr">
        <is>
          <t xml:space="preserve"> </t>
        </is>
      </c>
      <c r="Q211" s="99" t="inlineStr">
        <is>
          <t xml:space="preserve"> </t>
        </is>
      </c>
      <c r="R211" s="100" t="inlineStr">
        <is>
          <t xml:space="preserve"> </t>
        </is>
      </c>
      <c r="S211" t="inlineStr">
        <is>
          <t>No se encontró ejecución en CUIPO</t>
        </is>
      </c>
      <c r="T211" s="101">
        <v>9921600</v>
      </c>
      <c r="U211" s="101">
        <v>1653600</v>
      </c>
      <c r="V211" s="101">
        <v>1653600</v>
      </c>
      <c r="W211" s="102">
        <v>0.0502766798418972</v>
      </c>
      <c r="X211" t="inlineStr">
        <is>
          <t>Lo obligado está por debajo de lo programado en la vigencia</t>
        </is>
      </c>
    </row>
    <row r="212">
      <c r="A212" t="inlineStr">
        <is>
          <t>IP-287, IP-288</t>
        </is>
      </c>
      <c r="B212" t="inlineStr">
        <is>
          <t>24</t>
        </is>
      </c>
      <c r="C212" t="inlineStr">
        <is>
          <t>Transporte</t>
        </is>
      </c>
      <c r="D212" t="inlineStr">
        <is>
          <t>2401</t>
        </is>
      </c>
      <c r="E212" t="inlineStr">
        <is>
          <t>Infraestructura red vial primaria</t>
        </is>
      </c>
      <c r="F212" t="inlineStr">
        <is>
          <t>2401008</t>
        </is>
      </c>
      <c r="G212" t="inlineStr">
        <is>
          <t>Vía primaria mejorada</t>
        </is>
      </c>
      <c r="H212" t="inlineStr">
        <is>
          <t>Incluye la construcción de obras de infraestructura vial en vías de la red vial primaria que mejoren la prestación del servicio, así como los cambios en una infraestructura de transporte con el propósito de mejorar sus especificaciones técnicas iniciales</t>
        </is>
      </c>
      <c r="I212" t="inlineStr">
        <is>
          <t>2024257580075</t>
        </is>
      </c>
      <c r="J212" s="99">
        <v>0</v>
      </c>
      <c r="K212" s="99">
        <v>0</v>
      </c>
      <c r="L212" s="99">
        <v>0</v>
      </c>
      <c r="M212" s="99">
        <v>0</v>
      </c>
      <c r="N212" s="99">
        <v>0</v>
      </c>
      <c r="O212" s="99" t="inlineStr">
        <is>
          <t xml:space="preserve"> </t>
        </is>
      </c>
      <c r="P212" s="99" t="inlineStr">
        <is>
          <t xml:space="preserve"> </t>
        </is>
      </c>
      <c r="Q212" s="99" t="inlineStr">
        <is>
          <t xml:space="preserve"> </t>
        </is>
      </c>
      <c r="R212" s="100" t="inlineStr">
        <is>
          <t xml:space="preserve"> </t>
        </is>
      </c>
      <c r="S212" t="inlineStr">
        <is>
          <t>No se encontró ejecución en CUIPO</t>
        </is>
      </c>
      <c r="T212" s="101" t="inlineStr">
        <is>
          <t xml:space="preserve"> </t>
        </is>
      </c>
      <c r="U212" s="101" t="inlineStr">
        <is>
          <t xml:space="preserve"> </t>
        </is>
      </c>
      <c r="V212" s="101" t="inlineStr">
        <is>
          <t xml:space="preserve"> </t>
        </is>
      </c>
      <c r="W212" s="102" t="inlineStr">
        <is>
          <t xml:space="preserve"> </t>
        </is>
      </c>
      <c r="X212" t="inlineStr">
        <is>
          <t>No se encontró ejecución en CUIPO</t>
        </is>
      </c>
    </row>
    <row r="213">
      <c r="A213" t="inlineStr">
        <is>
          <t>IP-289</t>
        </is>
      </c>
      <c r="B213" t="inlineStr">
        <is>
          <t>24</t>
        </is>
      </c>
      <c r="C213" t="inlineStr">
        <is>
          <t>Transporte</t>
        </is>
      </c>
      <c r="D213" t="inlineStr">
        <is>
          <t>2402</t>
        </is>
      </c>
      <c r="E213" t="inlineStr">
        <is>
          <t>Infraestructura red vial regional</t>
        </is>
      </c>
      <c r="F213" t="inlineStr">
        <is>
          <t>2402006</t>
        </is>
      </c>
      <c r="G213" t="inlineStr">
        <is>
          <t>Vía secundaria mejorada</t>
        </is>
      </c>
      <c r="H213" t="inlineStr">
        <is>
          <t>Incluye la construcción de obras de infraestructura vial en vías de la red vial secundaria que mejoren la prestación del servicio, así como los cambios en una infraestructura de transporte con el propósito de mejorar sus especificaciones técnicas iniciales</t>
        </is>
      </c>
      <c r="I213" t="inlineStr">
        <is>
          <t>2024257580019</t>
        </is>
      </c>
      <c r="J213" s="99">
        <v>7084800000</v>
      </c>
      <c r="K213" s="99">
        <v>592000000</v>
      </c>
      <c r="L213" s="99">
        <v>4302400000</v>
      </c>
      <c r="M213" s="99">
        <v>1420800000</v>
      </c>
      <c r="N213" s="99">
        <v>769600000</v>
      </c>
      <c r="O213" s="99">
        <v>56498246</v>
      </c>
      <c r="P213" s="99">
        <v>40874897</v>
      </c>
      <c r="Q213" s="99">
        <v>40874897</v>
      </c>
      <c r="R213" s="100">
        <v>0.0690454341216216</v>
      </c>
      <c r="S213" t="inlineStr">
        <is>
          <t>Lo obligado está por debajo de lo programado en la vigencia</t>
        </is>
      </c>
      <c r="T213" s="101">
        <v>634856682</v>
      </c>
      <c r="U213" s="101">
        <v>497807352</v>
      </c>
      <c r="V213" s="101">
        <v>497807352</v>
      </c>
      <c r="W213" s="102">
        <v>0.115704572331722</v>
      </c>
      <c r="X213" t="inlineStr">
        <is>
          <t>Lo obligado está por debajo de lo programado en la vigencia</t>
        </is>
      </c>
    </row>
    <row r="214">
      <c r="A214" t="inlineStr">
        <is>
          <t>IP-290</t>
        </is>
      </c>
      <c r="B214" t="inlineStr">
        <is>
          <t>24</t>
        </is>
      </c>
      <c r="C214" t="inlineStr">
        <is>
          <t>Transporte</t>
        </is>
      </c>
      <c r="D214" t="inlineStr">
        <is>
          <t>2402</t>
        </is>
      </c>
      <c r="E214" t="inlineStr">
        <is>
          <t>Infraestructura red vial regional</t>
        </is>
      </c>
      <c r="F214" t="inlineStr">
        <is>
          <t>2402115</t>
        </is>
      </c>
      <c r="G214" t="inlineStr">
        <is>
          <t>Vía urbana con mantenimiento periódico o rutinario</t>
        </is>
      </c>
      <c r="H214" t="inlineStr">
        <is>
          <t>Incluye las acciones de conservación periódica o rutinaria de las vías urbanas con el fin de mantener las condiciones óptimas para el tránsito y  el uso adecuado de la infraestructura de transporte.</t>
        </is>
      </c>
      <c r="I214" t="inlineStr">
        <is>
          <t>2024257580019</t>
        </is>
      </c>
      <c r="J214" s="99">
        <v>5726400000</v>
      </c>
      <c r="K214" s="99">
        <v>1050000000</v>
      </c>
      <c r="L214" s="99">
        <v>1386000000</v>
      </c>
      <c r="M214" s="99">
        <v>1512000000</v>
      </c>
      <c r="N214" s="99">
        <v>1778400000</v>
      </c>
      <c r="O214" s="99">
        <v>6172650</v>
      </c>
      <c r="P214" s="99">
        <v>6172650</v>
      </c>
      <c r="Q214" s="99">
        <v>6172650</v>
      </c>
      <c r="R214" s="100">
        <v>0.00587871428571429</v>
      </c>
      <c r="S214" t="inlineStr">
        <is>
          <t>Lo obligado está por debajo de lo programado en la vigencia</t>
        </is>
      </c>
      <c r="T214" s="101">
        <v>569922777</v>
      </c>
      <c r="U214" s="101">
        <v>511612274</v>
      </c>
      <c r="V214" s="101">
        <v>511612274</v>
      </c>
      <c r="W214" s="102">
        <v>0.369128624819625</v>
      </c>
      <c r="X214" t="inlineStr">
        <is>
          <t>Lo obligado está por debajo de lo programado en la vigencia</t>
        </is>
      </c>
    </row>
    <row r="215">
      <c r="A215" t="inlineStr">
        <is>
          <t>IP-291</t>
        </is>
      </c>
      <c r="B215" t="inlineStr">
        <is>
          <t>24</t>
        </is>
      </c>
      <c r="C215" t="inlineStr">
        <is>
          <t>Transporte</t>
        </is>
      </c>
      <c r="D215" t="inlineStr">
        <is>
          <t>2402</t>
        </is>
      </c>
      <c r="E215" t="inlineStr">
        <is>
          <t>Infraestructura red vial regional</t>
        </is>
      </c>
      <c r="F215" t="inlineStr">
        <is>
          <t>2402041</t>
        </is>
      </c>
      <c r="G215" t="inlineStr">
        <is>
          <t>Vía terciaria mejorada</t>
        </is>
      </c>
      <c r="H215" t="inlineStr">
        <is>
          <t>Incluye la construcción de obras de infraestructura vial en vías de la red vial terciaria que mejoren la prestación del servicio, así como los cambios en una infraestructura de transporte con el propósito de mejorar sus especificaciones técnicas iniciales</t>
        </is>
      </c>
      <c r="I215" t="inlineStr">
        <is>
          <t>2024257580019</t>
        </is>
      </c>
      <c r="J215" s="99">
        <v>3450000000</v>
      </c>
      <c r="K215" s="99">
        <v>375000000</v>
      </c>
      <c r="L215" s="99">
        <v>1237500000</v>
      </c>
      <c r="M215" s="99">
        <v>1350000000</v>
      </c>
      <c r="N215" s="99">
        <v>487500000</v>
      </c>
      <c r="O215" s="99">
        <v>6172650</v>
      </c>
      <c r="P215" s="99">
        <v>6172650</v>
      </c>
      <c r="Q215" s="99">
        <v>6172650</v>
      </c>
      <c r="R215" s="100">
        <v>0.0164604</v>
      </c>
      <c r="S215" t="inlineStr">
        <is>
          <t>Lo obligado está por debajo de lo programado en la vigencia</t>
        </is>
      </c>
      <c r="T215" s="101">
        <v>6597000</v>
      </c>
      <c r="U215" s="101">
        <v>0</v>
      </c>
      <c r="V215" s="101">
        <v>0</v>
      </c>
      <c r="W215" s="102">
        <v>0</v>
      </c>
      <c r="X215" t="inlineStr">
        <is>
          <t>No se ejecutó en la vigencia</t>
        </is>
      </c>
    </row>
    <row r="216">
      <c r="A216" t="inlineStr">
        <is>
          <t>IP-292</t>
        </is>
      </c>
      <c r="B216" t="inlineStr">
        <is>
          <t>24</t>
        </is>
      </c>
      <c r="C216" t="inlineStr">
        <is>
          <t>Transporte</t>
        </is>
      </c>
      <c r="D216" t="inlineStr">
        <is>
          <t>2402</t>
        </is>
      </c>
      <c r="E216" t="inlineStr">
        <is>
          <t>Infraestructura red vial regional</t>
        </is>
      </c>
      <c r="F216" t="inlineStr">
        <is>
          <t>2402125</t>
        </is>
      </c>
      <c r="G216" t="inlineStr">
        <is>
          <t>Banco de maquinaria dotado</t>
        </is>
      </c>
      <c r="H216" t="inlineStr">
        <is>
          <t>Incluye la disposición de maquinaria y equipos requeridos para las intervenciones viales en miras a construir, mejorar, rehabilitar o mantener.</t>
        </is>
      </c>
      <c r="I216" t="inlineStr">
        <is>
          <t>2024257580019</t>
        </is>
      </c>
      <c r="J216" s="99">
        <v>539907737.8</v>
      </c>
      <c r="K216" s="99">
        <v>117153856</v>
      </c>
      <c r="L216" s="99">
        <v>128869242</v>
      </c>
      <c r="M216" s="99">
        <v>140584627</v>
      </c>
      <c r="N216" s="99">
        <v>153300012.8</v>
      </c>
      <c r="O216" s="99">
        <v>3393000</v>
      </c>
      <c r="P216" s="99">
        <v>3393000</v>
      </c>
      <c r="Q216" s="99">
        <v>3393000</v>
      </c>
      <c r="R216" s="100">
        <v>0.028961914834455</v>
      </c>
      <c r="S216" t="inlineStr">
        <is>
          <t>Lo obligado está por debajo de lo programado en la vigencia</t>
        </is>
      </c>
      <c r="T216" s="101">
        <v>44984218</v>
      </c>
      <c r="U216" s="101">
        <v>0</v>
      </c>
      <c r="V216" s="101">
        <v>0</v>
      </c>
      <c r="W216" s="102">
        <v>0</v>
      </c>
      <c r="X216" t="inlineStr">
        <is>
          <t>No se ejecutó en la vigencia</t>
        </is>
      </c>
    </row>
    <row r="217">
      <c r="A217" t="inlineStr">
        <is>
          <t>IP-293</t>
        </is>
      </c>
      <c r="B217" t="inlineStr">
        <is>
          <t>24</t>
        </is>
      </c>
      <c r="C217" t="inlineStr">
        <is>
          <t>Transporte</t>
        </is>
      </c>
      <c r="D217" t="inlineStr">
        <is>
          <t>2402</t>
        </is>
      </c>
      <c r="E217" t="inlineStr">
        <is>
          <t>Infraestructura red vial regional</t>
        </is>
      </c>
      <c r="F217" t="inlineStr">
        <is>
          <t>2402056</t>
        </is>
      </c>
      <c r="G217" t="inlineStr">
        <is>
          <t>Caminos ancestrales con mantenimiento</t>
        </is>
      </c>
      <c r="H217" t="inlineStr">
        <is>
          <t>Incluye la realización de cambios en un camino ancestral con el propósito de mejorar sus especificaciones técnicas iniciales</t>
        </is>
      </c>
      <c r="I217" t="inlineStr">
        <is>
          <t>2024257580019</t>
        </is>
      </c>
      <c r="J217" s="99">
        <v>900000000</v>
      </c>
      <c r="K217" s="99">
        <v>200000000</v>
      </c>
      <c r="L217" s="99">
        <v>600000000</v>
      </c>
      <c r="M217" s="99">
        <v>50000000</v>
      </c>
      <c r="N217" s="99">
        <v>50000000</v>
      </c>
      <c r="O217" s="99">
        <v>6172650</v>
      </c>
      <c r="P217" s="99">
        <v>6172650</v>
      </c>
      <c r="Q217" s="99">
        <v>6172650</v>
      </c>
      <c r="R217" s="100">
        <v>0.03086325</v>
      </c>
      <c r="S217" t="inlineStr">
        <is>
          <t>Lo obligado está por debajo de lo programado en la vigencia</t>
        </is>
      </c>
      <c r="T217" s="101">
        <v>264953109</v>
      </c>
      <c r="U217" s="101">
        <v>0</v>
      </c>
      <c r="V217" s="101">
        <v>0</v>
      </c>
      <c r="W217" s="102">
        <v>0</v>
      </c>
      <c r="X217" t="inlineStr">
        <is>
          <t>No se ejecutó en la vigencia</t>
        </is>
      </c>
    </row>
    <row r="218">
      <c r="A218" t="inlineStr">
        <is>
          <t>IP-294</t>
        </is>
      </c>
      <c r="B218" t="inlineStr">
        <is>
          <t>24</t>
        </is>
      </c>
      <c r="C218" t="inlineStr">
        <is>
          <t>Transporte</t>
        </is>
      </c>
      <c r="D218" t="inlineStr">
        <is>
          <t>2402</t>
        </is>
      </c>
      <c r="E218" t="inlineStr">
        <is>
          <t>Infraestructura red vial regional</t>
        </is>
      </c>
      <c r="F218" t="inlineStr">
        <is>
          <t>2402033</t>
        </is>
      </c>
      <c r="G218" t="inlineStr">
        <is>
          <t>Ciclo infraestructura construida en red vial secundaria</t>
        </is>
      </c>
      <c r="H218" t="inlineStr">
        <is>
          <t>Incluye la construcción de vías o secciones de la calzada destinada al tránsito de bicicletas en forma exclusiva</t>
        </is>
      </c>
      <c r="I218" t="inlineStr">
        <is>
          <t>2024257580019</t>
        </is>
      </c>
      <c r="J218" s="99">
        <v>288250000</v>
      </c>
      <c r="K218" s="99">
        <v>40000000</v>
      </c>
      <c r="L218" s="99">
        <v>75000000</v>
      </c>
      <c r="M218" s="99">
        <v>82500000</v>
      </c>
      <c r="N218" s="99">
        <v>90750000</v>
      </c>
      <c r="O218" s="99">
        <v>10534914</v>
      </c>
      <c r="P218" s="99">
        <v>10534914</v>
      </c>
      <c r="Q218" s="99">
        <v>10534914</v>
      </c>
      <c r="R218" s="100">
        <v>0.26337285</v>
      </c>
      <c r="S218" t="inlineStr">
        <is>
          <t>Lo obligado está por debajo de lo programado en la vigencia</t>
        </is>
      </c>
      <c r="T218" s="101">
        <v>20000000</v>
      </c>
      <c r="U218" s="101">
        <v>7123200</v>
      </c>
      <c r="V218" s="101">
        <v>7123200</v>
      </c>
      <c r="W218" s="102">
        <v>0.094976</v>
      </c>
      <c r="X218" t="inlineStr">
        <is>
          <t>Lo obligado está por debajo de lo programado en la vigencia</t>
        </is>
      </c>
    </row>
    <row r="219">
      <c r="A219" t="inlineStr">
        <is>
          <t>IP-295</t>
        </is>
      </c>
      <c r="B219" t="inlineStr">
        <is>
          <t>24</t>
        </is>
      </c>
      <c r="C219" t="inlineStr">
        <is>
          <t>Transporte</t>
        </is>
      </c>
      <c r="D219" t="inlineStr">
        <is>
          <t>2408</t>
        </is>
      </c>
      <c r="E219" t="inlineStr">
        <is>
          <t>Prestación de servicios de transporte público de pasajeros</t>
        </is>
      </c>
      <c r="F219" t="inlineStr">
        <is>
          <t>2408052</t>
        </is>
      </c>
      <c r="G219" t="inlineStr">
        <is>
          <t>Servicio de apoyo financiero para el desarrollo de los componentes del  Sistema de Transporte Público de Pasajeros</t>
        </is>
      </c>
      <c r="H219" t="inlineStr">
        <is>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is>
      </c>
      <c r="I219" t="inlineStr">
        <is>
          <t>2024257580019</t>
        </is>
      </c>
      <c r="J219" s="99">
        <v>3152000000</v>
      </c>
      <c r="K219" s="99">
        <v>3152000000</v>
      </c>
      <c r="L219" s="99">
        <v>0</v>
      </c>
      <c r="M219" s="99">
        <v>0</v>
      </c>
      <c r="N219" s="99">
        <v>0</v>
      </c>
      <c r="O219" s="99" t="inlineStr">
        <is>
          <t xml:space="preserve"> </t>
        </is>
      </c>
      <c r="P219" s="99" t="inlineStr">
        <is>
          <t xml:space="preserve"> </t>
        </is>
      </c>
      <c r="Q219" s="99" t="inlineStr">
        <is>
          <t xml:space="preserve"> </t>
        </is>
      </c>
      <c r="R219" s="100" t="inlineStr">
        <is>
          <t xml:space="preserve"> </t>
        </is>
      </c>
      <c r="S219" t="inlineStr">
        <is>
          <t>No se encontró ejecución en CUIPO</t>
        </is>
      </c>
      <c r="T219" s="101" t="inlineStr">
        <is>
          <t xml:space="preserve"> </t>
        </is>
      </c>
      <c r="U219" s="101" t="inlineStr">
        <is>
          <t xml:space="preserve"> </t>
        </is>
      </c>
      <c r="V219" s="101" t="inlineStr">
        <is>
          <t xml:space="preserve"> </t>
        </is>
      </c>
      <c r="W219" s="102" t="inlineStr">
        <is>
          <t xml:space="preserve"> </t>
        </is>
      </c>
      <c r="X219" t="inlineStr">
        <is>
          <t>No se encontró ejecución en CUIPO</t>
        </is>
      </c>
    </row>
    <row r="220">
      <c r="A220" t="inlineStr">
        <is>
          <t>IP-296</t>
        </is>
      </c>
      <c r="B220" t="inlineStr">
        <is>
          <t>24</t>
        </is>
      </c>
      <c r="C220" t="inlineStr">
        <is>
          <t>Transporte</t>
        </is>
      </c>
      <c r="D220" t="inlineStr">
        <is>
          <t>2408</t>
        </is>
      </c>
      <c r="E220" t="inlineStr">
        <is>
          <t>Prestación de servicios de transporte público de pasajeros</t>
        </is>
      </c>
      <c r="F220" t="inlineStr">
        <is>
          <t>2408041</t>
        </is>
      </c>
      <c r="G220" t="inlineStr">
        <is>
          <t>Estaciones mejoradas</t>
        </is>
      </c>
      <c r="H220" t="inlineStr">
        <is>
          <t>Incuye la construcción de obras de adecuación y ampliación en busca de mejorar las especificaciones técnicas de la infraestructura existente para que las condiciones de la prestación del servicio de transporte, también mejoren.</t>
        </is>
      </c>
      <c r="I220" t="inlineStr">
        <is>
          <t>2024257580030</t>
        </is>
      </c>
      <c r="J220" s="99">
        <v>165600000</v>
      </c>
      <c r="K220" s="99">
        <v>36000000</v>
      </c>
      <c r="L220" s="99">
        <v>39600000</v>
      </c>
      <c r="M220" s="99">
        <v>43200000</v>
      </c>
      <c r="N220" s="99">
        <v>46800000</v>
      </c>
      <c r="O220" s="99" t="inlineStr">
        <is>
          <t xml:space="preserve"> </t>
        </is>
      </c>
      <c r="P220" s="99" t="inlineStr">
        <is>
          <t xml:space="preserve"> </t>
        </is>
      </c>
      <c r="Q220" s="99" t="inlineStr">
        <is>
          <t xml:space="preserve"> </t>
        </is>
      </c>
      <c r="R220" s="100" t="inlineStr">
        <is>
          <t xml:space="preserve"> </t>
        </is>
      </c>
      <c r="S220" t="inlineStr">
        <is>
          <t>No se encontró ejecución en CUIPO</t>
        </is>
      </c>
      <c r="T220" s="101">
        <v>11681315</v>
      </c>
      <c r="U220" s="101">
        <v>0</v>
      </c>
      <c r="V220" s="101">
        <v>0</v>
      </c>
      <c r="W220" s="102">
        <v>0</v>
      </c>
      <c r="X220" t="inlineStr">
        <is>
          <t>No se ejecutó en la vigencia</t>
        </is>
      </c>
    </row>
    <row r="221">
      <c r="A221" t="inlineStr">
        <is>
          <t>IP-297</t>
        </is>
      </c>
      <c r="B221" t="inlineStr">
        <is>
          <t>24</t>
        </is>
      </c>
      <c r="C221" t="inlineStr">
        <is>
          <t>Transporte</t>
        </is>
      </c>
      <c r="D221" t="inlineStr">
        <is>
          <t>2408</t>
        </is>
      </c>
      <c r="E221" t="inlineStr">
        <is>
          <t>Prestación de servicios de transporte público de pasajeros</t>
        </is>
      </c>
      <c r="F221" t="inlineStr">
        <is>
          <t>2408035</t>
        </is>
      </c>
      <c r="G221" t="inlineStr">
        <is>
          <t>Servicio de educación informal</t>
        </is>
      </c>
      <c r="H221" t="inlineStr">
        <is>
          <t xml:space="preserve">Incluye estrategias de formación a los actores de los Sistemas de Transporte Público Orgnizados para promover la cultura ciudadana, seguridad en los sistemas de tranpsorte, orientación en el uso de los sistemas, entre otros que contubuyan con la adecuada movilidad en los sistemas de transporte público. </t>
        </is>
      </c>
      <c r="I221" t="inlineStr">
        <is>
          <t>2024257580030</t>
        </is>
      </c>
      <c r="J221" s="99">
        <v>90000000</v>
      </c>
      <c r="K221" s="99">
        <v>15000000</v>
      </c>
      <c r="L221" s="99">
        <v>20000000</v>
      </c>
      <c r="M221" s="99">
        <v>25000000</v>
      </c>
      <c r="N221" s="99">
        <v>30000000</v>
      </c>
      <c r="O221" s="99">
        <v>6966666</v>
      </c>
      <c r="P221" s="99">
        <v>6966666</v>
      </c>
      <c r="Q221" s="99">
        <v>6966666</v>
      </c>
      <c r="R221" s="100">
        <v>0.4644444</v>
      </c>
      <c r="S221" t="inlineStr">
        <is>
          <t>Lo obligado está por debajo de lo programado en la vigencia</t>
        </is>
      </c>
      <c r="T221" s="101">
        <v>22000000</v>
      </c>
      <c r="U221" s="101">
        <v>17903333</v>
      </c>
      <c r="V221" s="101">
        <v>17903333</v>
      </c>
      <c r="W221" s="102">
        <v>0.89516665</v>
      </c>
      <c r="X221" t="inlineStr">
        <is>
          <t>Lo obligado está por debajo de lo programado en la vigencia</t>
        </is>
      </c>
    </row>
    <row r="222">
      <c r="A222" t="inlineStr">
        <is>
          <t>IP-298</t>
        </is>
      </c>
      <c r="B222" t="inlineStr">
        <is>
          <t>24</t>
        </is>
      </c>
      <c r="C222" t="inlineStr">
        <is>
          <t>Transporte</t>
        </is>
      </c>
      <c r="D222" t="inlineStr">
        <is>
          <t>2408</t>
        </is>
      </c>
      <c r="E222" t="inlineStr">
        <is>
          <t>Prestación de servicios de transporte público de pasajeros</t>
        </is>
      </c>
      <c r="F222" t="inlineStr">
        <is>
          <t>2408055</t>
        </is>
      </c>
      <c r="G222" t="inlineStr">
        <is>
          <t>Servicio de asistencia técnica</t>
        </is>
      </c>
      <c r="H222" t="inlineStr">
        <is>
          <t>Corresponde al acompañamiento, asesoría y seguimiento técnico para la transferencia de herramientas de gestión y conocimiento a los diferentes actores púlicos y privados en procesos, procedimientos y trámites de su competencia</t>
        </is>
      </c>
      <c r="I222" t="inlineStr">
        <is>
          <t>2024257580030</t>
        </is>
      </c>
      <c r="J222" s="99">
        <v>680000000</v>
      </c>
      <c r="K222" s="99">
        <v>140000000</v>
      </c>
      <c r="L222" s="99">
        <v>160000000</v>
      </c>
      <c r="M222" s="99">
        <v>180000000</v>
      </c>
      <c r="N222" s="99">
        <v>200000000</v>
      </c>
      <c r="O222" s="99" t="inlineStr">
        <is>
          <t xml:space="preserve"> </t>
        </is>
      </c>
      <c r="P222" s="99" t="inlineStr">
        <is>
          <t xml:space="preserve"> </t>
        </is>
      </c>
      <c r="Q222" s="99" t="inlineStr">
        <is>
          <t xml:space="preserve"> </t>
        </is>
      </c>
      <c r="R222" s="100" t="inlineStr">
        <is>
          <t xml:space="preserve"> </t>
        </is>
      </c>
      <c r="S222" t="inlineStr">
        <is>
          <t>No se encontró ejecución en CUIPO</t>
        </is>
      </c>
      <c r="T222" s="101" t="inlineStr">
        <is>
          <t xml:space="preserve"> </t>
        </is>
      </c>
      <c r="U222" s="101" t="inlineStr">
        <is>
          <t xml:space="preserve"> </t>
        </is>
      </c>
      <c r="V222" s="101" t="inlineStr">
        <is>
          <t xml:space="preserve"> </t>
        </is>
      </c>
      <c r="W222" s="102" t="inlineStr">
        <is>
          <t xml:space="preserve"> </t>
        </is>
      </c>
      <c r="X222" t="inlineStr">
        <is>
          <t>No se encontró ejecución en CUIPO</t>
        </is>
      </c>
    </row>
    <row r="223">
      <c r="A223" t="inlineStr">
        <is>
          <t>IP-299</t>
        </is>
      </c>
      <c r="B223" t="inlineStr">
        <is>
          <t>24</t>
        </is>
      </c>
      <c r="C223" t="inlineStr">
        <is>
          <t>Transporte</t>
        </is>
      </c>
      <c r="D223" t="inlineStr">
        <is>
          <t>2409</t>
        </is>
      </c>
      <c r="E223" t="inlineStr">
        <is>
          <t>Seguridad de transporte</t>
        </is>
      </c>
      <c r="F223" t="inlineStr">
        <is>
          <t>2409064</t>
        </is>
      </c>
      <c r="G223" t="inlineStr">
        <is>
          <t>Documentos de estudios técnicos</t>
        </is>
      </c>
      <c r="H223" t="inlineStr">
        <is>
          <t>Documentos cuyo objetivo es la elaboración de informes de base que analizan situaciones, estudios de caso y de una temática específica.</t>
        </is>
      </c>
      <c r="I223" t="inlineStr">
        <is>
          <t>2024257580074</t>
        </is>
      </c>
      <c r="J223" s="99">
        <v>70000000</v>
      </c>
      <c r="K223" s="99">
        <v>10000000</v>
      </c>
      <c r="L223" s="99">
        <v>20000000</v>
      </c>
      <c r="M223" s="99">
        <v>20000000</v>
      </c>
      <c r="N223" s="99">
        <v>20000000</v>
      </c>
      <c r="O223" s="99" t="inlineStr">
        <is>
          <t xml:space="preserve"> </t>
        </is>
      </c>
      <c r="P223" s="99" t="inlineStr">
        <is>
          <t xml:space="preserve"> </t>
        </is>
      </c>
      <c r="Q223" s="99" t="inlineStr">
        <is>
          <t xml:space="preserve"> </t>
        </is>
      </c>
      <c r="R223" s="100" t="inlineStr">
        <is>
          <t xml:space="preserve"> </t>
        </is>
      </c>
      <c r="S223" t="inlineStr">
        <is>
          <t>No se encontró ejecución en CUIPO</t>
        </is>
      </c>
      <c r="T223" s="101" t="inlineStr">
        <is>
          <t xml:space="preserve"> </t>
        </is>
      </c>
      <c r="U223" s="101" t="inlineStr">
        <is>
          <t xml:space="preserve"> </t>
        </is>
      </c>
      <c r="V223" s="101" t="inlineStr">
        <is>
          <t xml:space="preserve"> </t>
        </is>
      </c>
      <c r="W223" s="102" t="inlineStr">
        <is>
          <t xml:space="preserve"> </t>
        </is>
      </c>
      <c r="X223" t="inlineStr">
        <is>
          <t>No se encontró ejecución en CUIPO</t>
        </is>
      </c>
    </row>
    <row r="224">
      <c r="A224" t="inlineStr">
        <is>
          <t>IP-300</t>
        </is>
      </c>
      <c r="B224" t="inlineStr">
        <is>
          <t>24</t>
        </is>
      </c>
      <c r="C224" t="inlineStr">
        <is>
          <t>Transporte</t>
        </is>
      </c>
      <c r="D224" t="inlineStr">
        <is>
          <t>2409</t>
        </is>
      </c>
      <c r="E224" t="inlineStr">
        <is>
          <t>Seguridad de transporte</t>
        </is>
      </c>
      <c r="F224" t="inlineStr">
        <is>
          <t>2409008</t>
        </is>
      </c>
      <c r="G224" t="inlineStr">
        <is>
          <t>Documentos de lineamientos técnicos</t>
        </is>
      </c>
      <c r="H224" t="inlineStr">
        <is>
          <t>Documentos cuyo objetivo es describir y explicar instrumentos, estándares, requisitos y condiciones necesarias para llevar a cabo un proceso o actividad</t>
        </is>
      </c>
      <c r="I224" t="inlineStr">
        <is>
          <t>2024257580074</t>
        </is>
      </c>
      <c r="J224" s="99">
        <v>80000000</v>
      </c>
      <c r="K224" s="99">
        <v>0</v>
      </c>
      <c r="L224" s="99">
        <v>80000000</v>
      </c>
      <c r="M224" s="99">
        <v>0</v>
      </c>
      <c r="N224" s="99">
        <v>0</v>
      </c>
      <c r="O224" s="99" t="inlineStr">
        <is>
          <t xml:space="preserve"> </t>
        </is>
      </c>
      <c r="P224" s="99" t="inlineStr">
        <is>
          <t xml:space="preserve"> </t>
        </is>
      </c>
      <c r="Q224" s="99" t="inlineStr">
        <is>
          <t xml:space="preserve"> </t>
        </is>
      </c>
      <c r="R224" s="100" t="inlineStr">
        <is>
          <t xml:space="preserve"> </t>
        </is>
      </c>
      <c r="S224" t="inlineStr">
        <is>
          <t>No se encontró ejecución en CUIPO</t>
        </is>
      </c>
      <c r="T224" s="101" t="inlineStr">
        <is>
          <t xml:space="preserve"> </t>
        </is>
      </c>
      <c r="U224" s="101" t="inlineStr">
        <is>
          <t xml:space="preserve"> </t>
        </is>
      </c>
      <c r="V224" s="101" t="inlineStr">
        <is>
          <t xml:space="preserve"> </t>
        </is>
      </c>
      <c r="W224" s="102" t="inlineStr">
        <is>
          <t xml:space="preserve"> </t>
        </is>
      </c>
      <c r="X224" t="inlineStr">
        <is>
          <t>No se encontró ejecución en CUIPO</t>
        </is>
      </c>
    </row>
    <row r="225">
      <c r="A225" t="inlineStr">
        <is>
          <t>IP-301</t>
        </is>
      </c>
      <c r="B225" t="inlineStr">
        <is>
          <t>24</t>
        </is>
      </c>
      <c r="C225" t="inlineStr">
        <is>
          <t>Transporte</t>
        </is>
      </c>
      <c r="D225" t="inlineStr">
        <is>
          <t>2409</t>
        </is>
      </c>
      <c r="E225" t="inlineStr">
        <is>
          <t>Seguridad de transporte</t>
        </is>
      </c>
      <c r="F225" t="inlineStr">
        <is>
          <t>2409014</t>
        </is>
      </c>
      <c r="G225" t="inlineStr">
        <is>
          <t>Documentos de planeación</t>
        </is>
      </c>
      <c r="H225"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225" t="inlineStr">
        <is>
          <t>2024257580036</t>
        </is>
      </c>
      <c r="J225" s="99">
        <v>278040000</v>
      </c>
      <c r="K225" s="99">
        <v>0</v>
      </c>
      <c r="L225" s="99">
        <v>84000000</v>
      </c>
      <c r="M225" s="99">
        <v>92400000</v>
      </c>
      <c r="N225" s="99">
        <v>101640000</v>
      </c>
      <c r="O225" s="99" t="inlineStr">
        <is>
          <t xml:space="preserve"> </t>
        </is>
      </c>
      <c r="P225" s="99" t="inlineStr">
        <is>
          <t xml:space="preserve"> </t>
        </is>
      </c>
      <c r="Q225" s="99" t="inlineStr">
        <is>
          <t xml:space="preserve"> </t>
        </is>
      </c>
      <c r="R225" s="100" t="inlineStr">
        <is>
          <t xml:space="preserve"> </t>
        </is>
      </c>
      <c r="S225" t="inlineStr">
        <is>
          <t>No se encontró ejecución en CUIPO</t>
        </is>
      </c>
      <c r="T225" s="101" t="inlineStr">
        <is>
          <t xml:space="preserve"> </t>
        </is>
      </c>
      <c r="U225" s="101" t="inlineStr">
        <is>
          <t xml:space="preserve"> </t>
        </is>
      </c>
      <c r="V225" s="101" t="inlineStr">
        <is>
          <t xml:space="preserve"> </t>
        </is>
      </c>
      <c r="W225" s="102" t="inlineStr">
        <is>
          <t xml:space="preserve"> </t>
        </is>
      </c>
      <c r="X225" t="inlineStr">
        <is>
          <t>No se encontró ejecución en CUIPO</t>
        </is>
      </c>
    </row>
    <row r="226">
      <c r="A226" t="inlineStr">
        <is>
          <t>IP-302</t>
        </is>
      </c>
      <c r="B226" t="inlineStr">
        <is>
          <t>24</t>
        </is>
      </c>
      <c r="C226" t="inlineStr">
        <is>
          <t>Transporte</t>
        </is>
      </c>
      <c r="D226" t="inlineStr">
        <is>
          <t>2409</t>
        </is>
      </c>
      <c r="E226" t="inlineStr">
        <is>
          <t>Seguridad de transporte</t>
        </is>
      </c>
      <c r="F226" t="inlineStr">
        <is>
          <t>2409007</t>
        </is>
      </c>
      <c r="G226" t="inlineStr">
        <is>
          <t>Servicio de asistencia técnica en temas de seguridad de transporte</t>
        </is>
      </c>
      <c r="H226" t="inlineStr">
        <is>
          <t/>
        </is>
      </c>
      <c r="I226" t="inlineStr">
        <is>
          <t>2024257580036</t>
        </is>
      </c>
      <c r="J226" s="99">
        <v>52000000</v>
      </c>
      <c r="K226" s="99">
        <v>10000000</v>
      </c>
      <c r="L226" s="99">
        <v>12000000</v>
      </c>
      <c r="M226" s="99">
        <v>14000000</v>
      </c>
      <c r="N226" s="99">
        <v>16000000</v>
      </c>
      <c r="O226" s="99" t="inlineStr">
        <is>
          <t xml:space="preserve"> </t>
        </is>
      </c>
      <c r="P226" s="99" t="inlineStr">
        <is>
          <t xml:space="preserve"> </t>
        </is>
      </c>
      <c r="Q226" s="99" t="inlineStr">
        <is>
          <t xml:space="preserve"> </t>
        </is>
      </c>
      <c r="R226" s="100" t="inlineStr">
        <is>
          <t xml:space="preserve"> </t>
        </is>
      </c>
      <c r="S226" t="inlineStr">
        <is>
          <t>No se encontró ejecución en CUIPO</t>
        </is>
      </c>
      <c r="T226" s="101" t="inlineStr">
        <is>
          <t xml:space="preserve"> </t>
        </is>
      </c>
      <c r="U226" s="101" t="inlineStr">
        <is>
          <t xml:space="preserve"> </t>
        </is>
      </c>
      <c r="V226" s="101" t="inlineStr">
        <is>
          <t xml:space="preserve"> </t>
        </is>
      </c>
      <c r="W226" s="102" t="inlineStr">
        <is>
          <t xml:space="preserve"> </t>
        </is>
      </c>
      <c r="X226" t="inlineStr">
        <is>
          <t>No se encontró ejecución en CUIPO</t>
        </is>
      </c>
    </row>
    <row r="227">
      <c r="A227" t="inlineStr">
        <is>
          <t>IP-303, IP-305</t>
        </is>
      </c>
      <c r="B227" t="inlineStr">
        <is>
          <t>24</t>
        </is>
      </c>
      <c r="C227" t="inlineStr">
        <is>
          <t>Transporte</t>
        </is>
      </c>
      <c r="D227" t="inlineStr">
        <is>
          <t>2409</t>
        </is>
      </c>
      <c r="E227" t="inlineStr">
        <is>
          <t>Seguridad de transporte</t>
        </is>
      </c>
      <c r="F227" t="inlineStr">
        <is>
          <t>2409002</t>
        </is>
      </c>
      <c r="G227" t="inlineStr">
        <is>
          <t>Servicio de sensibilización a usuarios de los sistemas de transporte, en relación con la seguridad al desplazarse</t>
        </is>
      </c>
      <c r="H227" t="inlineStr">
        <is>
          <t xml:space="preserve">Incluye campañas dirigidas a los usuarios de los sistemas de transporte </t>
        </is>
      </c>
      <c r="I227" t="inlineStr">
        <is>
          <t>2024257580036</t>
        </is>
      </c>
      <c r="J227" s="99">
        <v>298250000</v>
      </c>
      <c r="K227" s="99">
        <v>70000000</v>
      </c>
      <c r="L227" s="99">
        <v>77000000</v>
      </c>
      <c r="M227" s="99">
        <v>84700000</v>
      </c>
      <c r="N227" s="99">
        <v>66550000</v>
      </c>
      <c r="O227" s="99" t="inlineStr">
        <is>
          <t xml:space="preserve"> </t>
        </is>
      </c>
      <c r="P227" s="99" t="inlineStr">
        <is>
          <t xml:space="preserve"> </t>
        </is>
      </c>
      <c r="Q227" s="99" t="inlineStr">
        <is>
          <t xml:space="preserve"> </t>
        </is>
      </c>
      <c r="R227" s="100" t="inlineStr">
        <is>
          <t xml:space="preserve"> </t>
        </is>
      </c>
      <c r="S227" t="inlineStr">
        <is>
          <t>No se encontró ejecución en CUIPO</t>
        </is>
      </c>
      <c r="T227" s="101" t="inlineStr">
        <is>
          <t xml:space="preserve"> </t>
        </is>
      </c>
      <c r="U227" s="101" t="inlineStr">
        <is>
          <t xml:space="preserve"> </t>
        </is>
      </c>
      <c r="V227" s="101" t="inlineStr">
        <is>
          <t xml:space="preserve"> </t>
        </is>
      </c>
      <c r="W227" s="102" t="inlineStr">
        <is>
          <t xml:space="preserve"> </t>
        </is>
      </c>
      <c r="X227" t="inlineStr">
        <is>
          <t>No se encontró ejecución en CUIPO</t>
        </is>
      </c>
    </row>
    <row r="228">
      <c r="A228" t="inlineStr">
        <is>
          <t>IP-304</t>
        </is>
      </c>
      <c r="B228" t="inlineStr">
        <is>
          <t>24</t>
        </is>
      </c>
      <c r="C228" t="inlineStr">
        <is>
          <t>Transporte</t>
        </is>
      </c>
      <c r="D228" t="inlineStr">
        <is>
          <t>2409</t>
        </is>
      </c>
      <c r="E228" t="inlineStr">
        <is>
          <t>Seguridad de transporte</t>
        </is>
      </c>
      <c r="F228" t="inlineStr">
        <is>
          <t>2409059</t>
        </is>
      </c>
      <c r="G228" t="inlineStr">
        <is>
          <t>Servicio de información implementado</t>
        </is>
      </c>
      <c r="H228" t="inlineStr">
        <is>
          <t>Corresponde al proceso que mejora en la disposición de la información para asegurar que sea accesible, confiable y oportuna.</t>
        </is>
      </c>
      <c r="I228" t="inlineStr">
        <is>
          <t>2024257580036</t>
        </is>
      </c>
      <c r="J228" s="99">
        <v>52000000</v>
      </c>
      <c r="K228" s="99">
        <v>10000000</v>
      </c>
      <c r="L228" s="99">
        <v>12000000</v>
      </c>
      <c r="M228" s="99">
        <v>14000000</v>
      </c>
      <c r="N228" s="99">
        <v>16000000</v>
      </c>
      <c r="O228" s="99" t="inlineStr">
        <is>
          <t xml:space="preserve"> </t>
        </is>
      </c>
      <c r="P228" s="99" t="inlineStr">
        <is>
          <t xml:space="preserve"> </t>
        </is>
      </c>
      <c r="Q228" s="99" t="inlineStr">
        <is>
          <t xml:space="preserve"> </t>
        </is>
      </c>
      <c r="R228" s="100" t="inlineStr">
        <is>
          <t xml:space="preserve"> </t>
        </is>
      </c>
      <c r="S228" t="inlineStr">
        <is>
          <t>No se encontró ejecución en CUIPO</t>
        </is>
      </c>
      <c r="T228" s="101" t="inlineStr">
        <is>
          <t xml:space="preserve"> </t>
        </is>
      </c>
      <c r="U228" s="101" t="inlineStr">
        <is>
          <t xml:space="preserve"> </t>
        </is>
      </c>
      <c r="V228" s="101" t="inlineStr">
        <is>
          <t xml:space="preserve"> </t>
        </is>
      </c>
      <c r="W228" s="102" t="inlineStr">
        <is>
          <t xml:space="preserve"> </t>
        </is>
      </c>
      <c r="X228" t="inlineStr">
        <is>
          <t>No se encontró ejecución en CUIPO</t>
        </is>
      </c>
    </row>
    <row r="229">
      <c r="A229" t="inlineStr">
        <is>
          <t>IP-306</t>
        </is>
      </c>
      <c r="B229" t="inlineStr">
        <is>
          <t>24</t>
        </is>
      </c>
      <c r="C229" t="inlineStr">
        <is>
          <t>Transporte</t>
        </is>
      </c>
      <c r="D229" t="inlineStr">
        <is>
          <t>2409</t>
        </is>
      </c>
      <c r="E229" t="inlineStr">
        <is>
          <t>Seguridad de transporte</t>
        </is>
      </c>
      <c r="F229" t="inlineStr">
        <is>
          <t>2409063</t>
        </is>
      </c>
      <c r="G229" t="inlineStr">
        <is>
          <t>Servicio de educación informal</t>
        </is>
      </c>
      <c r="H229" t="inlineStr">
        <is>
          <t xml:space="preserve">Incluye el diseño e implementación de todo tipo de campañas y estrategias formativas e informativas visuales, auditivas y audiovisuales para la promoción del transporte seguro, sostenible y eficiente   </t>
        </is>
      </c>
      <c r="I229" t="inlineStr">
        <is>
          <t>2024257580036</t>
        </is>
      </c>
      <c r="J229" s="99">
        <v>260000000</v>
      </c>
      <c r="K229" s="99">
        <v>50000000</v>
      </c>
      <c r="L229" s="99">
        <v>60000000</v>
      </c>
      <c r="M229" s="99">
        <v>70000000</v>
      </c>
      <c r="N229" s="99">
        <v>80000000</v>
      </c>
      <c r="O229" s="99" t="inlineStr">
        <is>
          <t xml:space="preserve"> </t>
        </is>
      </c>
      <c r="P229" s="99" t="inlineStr">
        <is>
          <t xml:space="preserve"> </t>
        </is>
      </c>
      <c r="Q229" s="99" t="inlineStr">
        <is>
          <t xml:space="preserve"> </t>
        </is>
      </c>
      <c r="R229" s="100" t="inlineStr">
        <is>
          <t xml:space="preserve"> </t>
        </is>
      </c>
      <c r="S229" t="inlineStr">
        <is>
          <t>No se encontró ejecución en CUIPO</t>
        </is>
      </c>
      <c r="T229" s="101" t="inlineStr">
        <is>
          <t xml:space="preserve"> </t>
        </is>
      </c>
      <c r="U229" s="101" t="inlineStr">
        <is>
          <t xml:space="preserve"> </t>
        </is>
      </c>
      <c r="V229" s="101" t="inlineStr">
        <is>
          <t xml:space="preserve"> </t>
        </is>
      </c>
      <c r="W229" s="102" t="inlineStr">
        <is>
          <t xml:space="preserve"> </t>
        </is>
      </c>
      <c r="X229" t="inlineStr">
        <is>
          <t>No se encontró ejecución en CUIPO</t>
        </is>
      </c>
    </row>
    <row r="230">
      <c r="A230" t="inlineStr">
        <is>
          <t>IP-307</t>
        </is>
      </c>
      <c r="B230" t="inlineStr">
        <is>
          <t>40</t>
        </is>
      </c>
      <c r="C230" t="inlineStr">
        <is>
          <t>Vivienda, ciudad y territorio</t>
        </is>
      </c>
      <c r="D230" t="inlineStr">
        <is>
          <t>4001</t>
        </is>
      </c>
      <c r="E230" t="inlineStr">
        <is>
          <t>Acceso a soluciones de vivienda</t>
        </is>
      </c>
      <c r="F230" t="inlineStr">
        <is>
          <t>4001039</t>
        </is>
      </c>
      <c r="G230" t="inlineStr">
        <is>
          <t>Vivienda de Interés Prioritario construidas</t>
        </is>
      </c>
      <c r="H230" t="inlineStr">
        <is>
          <t>Corresponde a la solución de vivienda de interés prioritaria nueva construida y entregada por el estado al hogar que le fue asignado el subsidio familiar de vivienda de interés prioritaria para la adquisición de una vivienda nueva.</t>
        </is>
      </c>
      <c r="I230" t="inlineStr">
        <is>
          <t>2024257580034</t>
        </is>
      </c>
      <c r="J230" s="99">
        <v>1514000000</v>
      </c>
      <c r="K230" s="99">
        <v>1226000000</v>
      </c>
      <c r="L230" s="99">
        <v>288000000</v>
      </c>
      <c r="M230" s="99">
        <v>0</v>
      </c>
      <c r="N230" s="99">
        <v>0</v>
      </c>
      <c r="O230" s="99">
        <v>176000000</v>
      </c>
      <c r="P230" s="99">
        <v>176000000</v>
      </c>
      <c r="Q230" s="99">
        <v>176000000</v>
      </c>
      <c r="R230" s="100">
        <v>0.143556280587276</v>
      </c>
      <c r="S230" t="inlineStr">
        <is>
          <t>Lo obligado está por debajo de lo programado en la vigencia</t>
        </is>
      </c>
      <c r="T230" s="101">
        <v>248000000</v>
      </c>
      <c r="U230" s="101">
        <v>248000000</v>
      </c>
      <c r="V230" s="101">
        <v>248000000</v>
      </c>
      <c r="W230" s="102">
        <v>0.861111111111111</v>
      </c>
      <c r="X230" t="inlineStr">
        <is>
          <t>Lo obligado está por debajo de lo programado en la vigencia</t>
        </is>
      </c>
    </row>
    <row r="231">
      <c r="A231" t="inlineStr">
        <is>
          <t>IP-308</t>
        </is>
      </c>
      <c r="B231" t="inlineStr">
        <is>
          <t>40</t>
        </is>
      </c>
      <c r="C231" t="inlineStr">
        <is>
          <t>Vivienda, ciudad y territorio</t>
        </is>
      </c>
      <c r="D231" t="inlineStr">
        <is>
          <t>4001</t>
        </is>
      </c>
      <c r="E231" t="inlineStr">
        <is>
          <t>Acceso a soluciones de vivienda</t>
        </is>
      </c>
      <c r="F231" t="inlineStr">
        <is>
          <t>4001004</t>
        </is>
      </c>
      <c r="G231" t="inlineStr">
        <is>
          <t>Documentos de planeación</t>
        </is>
      </c>
      <c r="H231" t="inlineStr">
        <is>
          <t>Documentos cuyo objetivo es plasmar una visión de futuro a nivel país, entidad territorial, comunidad, sector, región, entidad o cualquier nivel de desagregación que se requiera. Incluye objetivos, estrategias, metas e indicadores</t>
        </is>
      </c>
      <c r="I231" t="inlineStr">
        <is>
          <t>2024257580034</t>
        </is>
      </c>
      <c r="J231" s="99">
        <v>422180000</v>
      </c>
      <c r="K231" s="99">
        <v>92180000</v>
      </c>
      <c r="L231" s="99">
        <v>101000000</v>
      </c>
      <c r="M231" s="99">
        <v>109000000</v>
      </c>
      <c r="N231" s="99">
        <v>120000000</v>
      </c>
      <c r="O231" s="99" t="inlineStr">
        <is>
          <t xml:space="preserve"> </t>
        </is>
      </c>
      <c r="P231" s="99" t="inlineStr">
        <is>
          <t xml:space="preserve"> </t>
        </is>
      </c>
      <c r="Q231" s="99" t="inlineStr">
        <is>
          <t xml:space="preserve"> </t>
        </is>
      </c>
      <c r="R231" s="100" t="inlineStr">
        <is>
          <t xml:space="preserve"> </t>
        </is>
      </c>
      <c r="S231" t="inlineStr">
        <is>
          <t>No se encontró ejecución en CUIPO</t>
        </is>
      </c>
      <c r="T231" s="101">
        <v>26154439</v>
      </c>
      <c r="U231" s="101">
        <v>26154439</v>
      </c>
      <c r="V231" s="101">
        <v>26154439</v>
      </c>
      <c r="W231" s="102">
        <v>0.258954841584158</v>
      </c>
      <c r="X231" t="inlineStr">
        <is>
          <t>Lo obligado está por debajo de lo programado en la vigencia</t>
        </is>
      </c>
    </row>
    <row r="232">
      <c r="A232" t="inlineStr">
        <is>
          <t>IP-309</t>
        </is>
      </c>
      <c r="B232" t="inlineStr">
        <is>
          <t>40</t>
        </is>
      </c>
      <c r="C232" t="inlineStr">
        <is>
          <t>Vivienda, ciudad y territorio</t>
        </is>
      </c>
      <c r="D232" t="inlineStr">
        <is>
          <t>4001</t>
        </is>
      </c>
      <c r="E232" t="inlineStr">
        <is>
          <t>Acceso a soluciones de vivienda</t>
        </is>
      </c>
      <c r="F232" t="inlineStr">
        <is>
          <t>4001034</t>
        </is>
      </c>
      <c r="G232" t="inlineStr">
        <is>
          <t>Servicio de apoyo financiero para construcción de vivienda en sitio propio</t>
        </is>
      </c>
      <c r="H232" t="inlineStr">
        <is>
          <t>Corresponde al apoyo financiero a través de la asignación de un subsidio familiar de vivienda de interés  social o interés prioritario para construcción  en sitio propio.</t>
        </is>
      </c>
      <c r="I232" t="inlineStr">
        <is>
          <t>2024257580034</t>
        </is>
      </c>
      <c r="J232" s="99">
        <v>606506000</v>
      </c>
      <c r="K232" s="99">
        <v>136506000</v>
      </c>
      <c r="L232" s="99">
        <v>145000000</v>
      </c>
      <c r="M232" s="99">
        <v>158000000</v>
      </c>
      <c r="N232" s="99">
        <v>167000000</v>
      </c>
      <c r="O232" s="99" t="inlineStr">
        <is>
          <t xml:space="preserve"> </t>
        </is>
      </c>
      <c r="P232" s="99" t="inlineStr">
        <is>
          <t xml:space="preserve"> </t>
        </is>
      </c>
      <c r="Q232" s="99" t="inlineStr">
        <is>
          <t xml:space="preserve"> </t>
        </is>
      </c>
      <c r="R232" s="100" t="inlineStr">
        <is>
          <t xml:space="preserve"> </t>
        </is>
      </c>
      <c r="S232" t="inlineStr">
        <is>
          <t>No se encontró ejecución en CUIPO</t>
        </is>
      </c>
      <c r="T232" s="101" t="inlineStr">
        <is>
          <t xml:space="preserve"> </t>
        </is>
      </c>
      <c r="U232" s="101" t="inlineStr">
        <is>
          <t xml:space="preserve"> </t>
        </is>
      </c>
      <c r="V232" s="101" t="inlineStr">
        <is>
          <t xml:space="preserve"> </t>
        </is>
      </c>
      <c r="W232" s="102" t="inlineStr">
        <is>
          <t xml:space="preserve"> </t>
        </is>
      </c>
      <c r="X232" t="inlineStr">
        <is>
          <t>No se encontró ejecución en CUIPO</t>
        </is>
      </c>
    </row>
    <row r="233">
      <c r="A233" t="inlineStr">
        <is>
          <t>IP-310, IP-311, IP-315</t>
        </is>
      </c>
      <c r="B233" t="inlineStr">
        <is>
          <t>40</t>
        </is>
      </c>
      <c r="C233" t="inlineStr">
        <is>
          <t>Vivienda, ciudad y territorio</t>
        </is>
      </c>
      <c r="D233" t="inlineStr">
        <is>
          <t>4001</t>
        </is>
      </c>
      <c r="E233" t="inlineStr">
        <is>
          <t>Acceso a soluciones de vivienda</t>
        </is>
      </c>
      <c r="F233" t="inlineStr">
        <is>
          <t>4001032</t>
        </is>
      </c>
      <c r="G233" t="inlineStr">
        <is>
          <t>Servicio de apoyo financiero para mejoramiento de vivienda</t>
        </is>
      </c>
      <c r="H233" t="inlineStr">
        <is>
          <t>Corresponde al apoyo financiero a través de la asignación de un subsidio familiar de vivienda de interés social para mejoramiento, reparación y/o reconstrucción.</t>
        </is>
      </c>
      <c r="I233" t="inlineStr">
        <is>
          <t>2024257580040</t>
        </is>
      </c>
      <c r="J233" s="99">
        <v>3557000000</v>
      </c>
      <c r="K233" s="99">
        <v>1161000000</v>
      </c>
      <c r="L233" s="99">
        <v>727000000</v>
      </c>
      <c r="M233" s="99">
        <v>804000000</v>
      </c>
      <c r="N233" s="99">
        <v>865000000</v>
      </c>
      <c r="O233" s="99">
        <v>43391483</v>
      </c>
      <c r="P233" s="99">
        <v>43391483</v>
      </c>
      <c r="Q233" s="99">
        <v>43391483</v>
      </c>
      <c r="R233" s="100">
        <v>0.0373742316968131</v>
      </c>
      <c r="S233" t="inlineStr">
        <is>
          <t>Lo obligado está por debajo de lo programado en la vigencia</t>
        </is>
      </c>
      <c r="T233" s="101">
        <v>354225561</v>
      </c>
      <c r="U233" s="101">
        <v>124517453</v>
      </c>
      <c r="V233" s="101">
        <v>124517453</v>
      </c>
      <c r="W233" s="102">
        <v>0.171275726272352</v>
      </c>
      <c r="X233" t="inlineStr">
        <is>
          <t>Lo obligado está por debajo de lo programado en la vigencia</t>
        </is>
      </c>
    </row>
    <row r="234">
      <c r="A234" t="inlineStr">
        <is>
          <t>IP-312</t>
        </is>
      </c>
      <c r="B234" t="inlineStr">
        <is>
          <t>40</t>
        </is>
      </c>
      <c r="C234" t="inlineStr">
        <is>
          <t>Vivienda, ciudad y territorio</t>
        </is>
      </c>
      <c r="D234" t="inlineStr">
        <is>
          <t>4001</t>
        </is>
      </c>
      <c r="E234" t="inlineStr">
        <is>
          <t>Acceso a soluciones de vivienda</t>
        </is>
      </c>
      <c r="F234" t="inlineStr">
        <is>
          <t>4001004</t>
        </is>
      </c>
      <c r="G234" t="inlineStr">
        <is>
          <t>Documentos de planeación</t>
        </is>
      </c>
      <c r="H234" t="inlineStr">
        <is>
          <t>Documentos cuyo objetivo es plasmar una visión de futuro a nivel país, entidad territorial, comunidad, sector, región, entidad o cualquier nivel de desagregación que se requiera. Incluye objetivos, estrategias, metas e indicadores</t>
        </is>
      </c>
      <c r="I234" t="inlineStr">
        <is>
          <t>2024257580040</t>
        </is>
      </c>
      <c r="J234" s="99">
        <v>0</v>
      </c>
      <c r="K234" s="99">
        <v>0</v>
      </c>
      <c r="L234" s="99">
        <v>0</v>
      </c>
      <c r="M234" s="99">
        <v>0</v>
      </c>
      <c r="N234" s="99">
        <v>0</v>
      </c>
      <c r="O234" s="99" t="inlineStr">
        <is>
          <t xml:space="preserve"> </t>
        </is>
      </c>
      <c r="P234" s="99" t="inlineStr">
        <is>
          <t xml:space="preserve"> </t>
        </is>
      </c>
      <c r="Q234" s="99" t="inlineStr">
        <is>
          <t xml:space="preserve"> </t>
        </is>
      </c>
      <c r="R234" s="100" t="inlineStr">
        <is>
          <t xml:space="preserve"> </t>
        </is>
      </c>
      <c r="S234" t="inlineStr">
        <is>
          <t>No se encontró ejecución en CUIPO</t>
        </is>
      </c>
      <c r="T234" s="101" t="inlineStr">
        <is>
          <t xml:space="preserve"> </t>
        </is>
      </c>
      <c r="U234" s="101" t="inlineStr">
        <is>
          <t xml:space="preserve"> </t>
        </is>
      </c>
      <c r="V234" s="101" t="inlineStr">
        <is>
          <t xml:space="preserve"> </t>
        </is>
      </c>
      <c r="W234" s="102" t="inlineStr">
        <is>
          <t xml:space="preserve"> </t>
        </is>
      </c>
      <c r="X234" t="inlineStr">
        <is>
          <t>No se encontró ejecución en CUIPO</t>
        </is>
      </c>
    </row>
    <row r="235">
      <c r="A235" t="inlineStr">
        <is>
          <t>IP-314</t>
        </is>
      </c>
      <c r="B235" t="inlineStr">
        <is>
          <t>40</t>
        </is>
      </c>
      <c r="C235" t="inlineStr">
        <is>
          <t>Vivienda, ciudad y territorio</t>
        </is>
      </c>
      <c r="D235" t="inlineStr">
        <is>
          <t>4001</t>
        </is>
      </c>
      <c r="E235" t="inlineStr">
        <is>
          <t>Acceso a soluciones de vivienda</t>
        </is>
      </c>
      <c r="F235" t="inlineStr">
        <is>
          <t>4001001</t>
        </is>
      </c>
      <c r="G235" t="inlineStr">
        <is>
          <t>Servicio de asistencia técnica y jurídica en saneamiento y titulación de predios</t>
        </is>
      </c>
      <c r="H235" t="inlineStr">
        <is>
          <t>Corresponde al conjunto de acciones de acompañamiento, asesoría, apoyo técnico y jurídico que se deben adelantar para la procesos de saneamiento, titulación  y legalización urbanística de cuerdo establecido en la normativa vigente</t>
        </is>
      </c>
      <c r="I235" t="inlineStr">
        <is>
          <t>2024257580040</t>
        </is>
      </c>
      <c r="J235" s="99">
        <v>357410000</v>
      </c>
      <c r="K235" s="99">
        <v>77000000</v>
      </c>
      <c r="L235" s="99">
        <v>84700000</v>
      </c>
      <c r="M235" s="99">
        <v>93170000</v>
      </c>
      <c r="N235" s="99">
        <v>102540000</v>
      </c>
      <c r="O235" s="99" t="inlineStr">
        <is>
          <t xml:space="preserve"> </t>
        </is>
      </c>
      <c r="P235" s="99" t="inlineStr">
        <is>
          <t xml:space="preserve"> </t>
        </is>
      </c>
      <c r="Q235" s="99" t="inlineStr">
        <is>
          <t xml:space="preserve"> </t>
        </is>
      </c>
      <c r="R235" s="100" t="inlineStr">
        <is>
          <t xml:space="preserve"> </t>
        </is>
      </c>
      <c r="S235" t="inlineStr">
        <is>
          <t>No se encontró ejecución en CUIPO</t>
        </is>
      </c>
      <c r="T235" s="101">
        <v>81620000</v>
      </c>
      <c r="U235" s="101">
        <v>54413333</v>
      </c>
      <c r="V235" s="101">
        <v>54413333</v>
      </c>
      <c r="W235" s="102">
        <v>0.642424238488784</v>
      </c>
      <c r="X235" t="inlineStr">
        <is>
          <t>Lo obligado está por debajo de lo programado en la vigencia</t>
        </is>
      </c>
    </row>
    <row r="236">
      <c r="A236" t="inlineStr">
        <is>
          <t>IP-316</t>
        </is>
      </c>
      <c r="B236" t="inlineStr">
        <is>
          <t>40</t>
        </is>
      </c>
      <c r="C236" t="inlineStr">
        <is>
          <t>Vivienda, ciudad y territorio</t>
        </is>
      </c>
      <c r="D236" t="inlineStr">
        <is>
          <t>4003</t>
        </is>
      </c>
      <c r="E236" t="inlineStr">
        <is>
          <t>Acceso de la población a los servicios de agua potable y saneamiento básico</t>
        </is>
      </c>
      <c r="F236" t="inlineStr">
        <is>
          <t>4003009</t>
        </is>
      </c>
      <c r="G236" t="inlineStr">
        <is>
          <t>Servicio de Acueducto</t>
        </is>
      </c>
      <c r="H236" t="inlineStr">
        <is>
          <t>Es la distribución de agua apta para el consumo humano, incluida su conexión y medición. También forman parte de este servicio las actividades complementarias tales como captación de agua, procesamiento, tratamiento, almacenamiento, conducción, transporte y pago de servicio de energía en municipios prestadores directos conforme a la normatividad vigente.</t>
        </is>
      </c>
      <c r="I236" t="inlineStr">
        <is>
          <t>2024257580076</t>
        </is>
      </c>
      <c r="J236" s="99">
        <v>20142694099</v>
      </c>
      <c r="K236" s="99">
        <v>13936657134</v>
      </c>
      <c r="L236" s="99">
        <v>5364361621</v>
      </c>
      <c r="M236" s="99">
        <v>400797783</v>
      </c>
      <c r="N236" s="99">
        <v>440877561</v>
      </c>
      <c r="O236" s="99">
        <v>259739694</v>
      </c>
      <c r="P236" s="99">
        <v>259739694</v>
      </c>
      <c r="Q236" s="99">
        <v>0</v>
      </c>
      <c r="R236" s="100">
        <v>0.0186371589329221</v>
      </c>
      <c r="S236" t="inlineStr">
        <is>
          <t>Lo obligado está por debajo de lo programado en la vigencia</t>
        </is>
      </c>
      <c r="T236" s="101" t="inlineStr">
        <is>
          <t xml:space="preserve"> </t>
        </is>
      </c>
      <c r="U236" s="101" t="inlineStr">
        <is>
          <t xml:space="preserve"> </t>
        </is>
      </c>
      <c r="V236" s="101" t="inlineStr">
        <is>
          <t xml:space="preserve"> </t>
        </is>
      </c>
      <c r="W236" s="102" t="inlineStr">
        <is>
          <t xml:space="preserve"> </t>
        </is>
      </c>
      <c r="X236" t="inlineStr">
        <is>
          <t>No se encontró ejecución en CUIPO</t>
        </is>
      </c>
    </row>
    <row r="237">
      <c r="A237" t="inlineStr">
        <is>
          <t>IP-317</t>
        </is>
      </c>
      <c r="B237" t="inlineStr">
        <is>
          <t>40</t>
        </is>
      </c>
      <c r="C237" t="inlineStr">
        <is>
          <t>Vivienda, ciudad y territorio</t>
        </is>
      </c>
      <c r="D237" t="inlineStr">
        <is>
          <t>4003</t>
        </is>
      </c>
      <c r="E237" t="inlineStr">
        <is>
          <t>Acceso de la población a los servicios de agua potable y saneamiento básico</t>
        </is>
      </c>
      <c r="F237" t="inlineStr">
        <is>
          <t>4003016</t>
        </is>
      </c>
      <c r="G237" t="inlineStr">
        <is>
          <t>Acueductos ampliados</t>
        </is>
      </c>
      <c r="H237" t="inlineStr">
        <is>
          <t>Conjunto de acciones y obras requeridas para aumentar la capacidad del acueducto en una misma área de cobertura.</t>
        </is>
      </c>
      <c r="I237" t="inlineStr">
        <is>
          <t>2024257580076</t>
        </is>
      </c>
      <c r="J237" s="99">
        <v>0</v>
      </c>
      <c r="K237" s="99">
        <v>0</v>
      </c>
      <c r="L237" s="99">
        <v>0</v>
      </c>
      <c r="M237" s="99">
        <v>0</v>
      </c>
      <c r="N237" s="99">
        <v>0</v>
      </c>
      <c r="O237" s="99" t="inlineStr">
        <is>
          <t xml:space="preserve"> </t>
        </is>
      </c>
      <c r="P237" s="99" t="inlineStr">
        <is>
          <t xml:space="preserve"> </t>
        </is>
      </c>
      <c r="Q237" s="99" t="inlineStr">
        <is>
          <t xml:space="preserve"> </t>
        </is>
      </c>
      <c r="R237" s="100" t="inlineStr">
        <is>
          <t xml:space="preserve"> </t>
        </is>
      </c>
      <c r="S237" t="inlineStr">
        <is>
          <t>No se encontró ejecución en CUIPO</t>
        </is>
      </c>
      <c r="T237" s="101" t="inlineStr">
        <is>
          <t xml:space="preserve"> </t>
        </is>
      </c>
      <c r="U237" s="101" t="inlineStr">
        <is>
          <t xml:space="preserve"> </t>
        </is>
      </c>
      <c r="V237" s="101" t="inlineStr">
        <is>
          <t xml:space="preserve"> </t>
        </is>
      </c>
      <c r="W237" s="102" t="inlineStr">
        <is>
          <t xml:space="preserve"> </t>
        </is>
      </c>
      <c r="X237" t="inlineStr">
        <is>
          <t>No se encontró ejecución en CUIPO</t>
        </is>
      </c>
    </row>
    <row r="238">
      <c r="A238" t="inlineStr">
        <is>
          <t>IP-318, IP-320</t>
        </is>
      </c>
      <c r="B238" t="inlineStr">
        <is>
          <t>40</t>
        </is>
      </c>
      <c r="C238" t="inlineStr">
        <is>
          <t>Vivienda, ciudad y territorio</t>
        </is>
      </c>
      <c r="D238" t="inlineStr">
        <is>
          <t>4003</t>
        </is>
      </c>
      <c r="E238" t="inlineStr">
        <is>
          <t>Acceso de la población a los servicios de agua potable y saneamiento básico</t>
        </is>
      </c>
      <c r="F238" t="inlineStr">
        <is>
          <t>4003017</t>
        </is>
      </c>
      <c r="G238" t="inlineStr">
        <is>
          <t>Acueductos optimizados</t>
        </is>
      </c>
      <c r="H238" t="inlineStr">
        <is>
          <t>Conjunto de acciones encaminadas a mejorar la capacidad, eficiencia y eficacia de la infraestructura componente del sistema de acueducto mediante su intervención parcial o total.</t>
        </is>
      </c>
      <c r="I238" t="inlineStr">
        <is>
          <t>2024257580076</t>
        </is>
      </c>
      <c r="J238" s="99">
        <v>7689459636</v>
      </c>
      <c r="K238" s="99">
        <v>7689459636</v>
      </c>
      <c r="L238" s="99">
        <v>0</v>
      </c>
      <c r="M238" s="99">
        <v>0</v>
      </c>
      <c r="N238" s="99">
        <v>0</v>
      </c>
      <c r="O238" s="99">
        <v>24581466</v>
      </c>
      <c r="P238" s="99">
        <v>24581466</v>
      </c>
      <c r="Q238" s="99">
        <v>24581466</v>
      </c>
      <c r="R238" s="100">
        <v>0.00319677417707171</v>
      </c>
      <c r="S238" t="inlineStr">
        <is>
          <t>Lo obligado está por debajo de lo programado en la vigencia</t>
        </is>
      </c>
      <c r="T238" s="101">
        <v>28500000</v>
      </c>
      <c r="U238" s="101">
        <v>12180000</v>
      </c>
      <c r="V238" s="101">
        <v>12180000</v>
      </c>
      <c r="W238" s="102" t="inlineStr">
        <is>
          <t xml:space="preserve"> </t>
        </is>
      </c>
      <c r="X238" t="inlineStr">
        <is>
          <t>Se ejecutó un producto no programado en la vigencia</t>
        </is>
      </c>
    </row>
    <row r="239">
      <c r="A239" t="inlineStr">
        <is>
          <t>IP-319</t>
        </is>
      </c>
      <c r="B239" t="inlineStr">
        <is>
          <t>40</t>
        </is>
      </c>
      <c r="C239" t="inlineStr">
        <is>
          <t>Vivienda, ciudad y territorio</t>
        </is>
      </c>
      <c r="D239" t="inlineStr">
        <is>
          <t>4003</t>
        </is>
      </c>
      <c r="E239" t="inlineStr">
        <is>
          <t>Acceso de la población a los servicios de agua potable y saneamiento básico</t>
        </is>
      </c>
      <c r="F239" t="inlineStr">
        <is>
          <t>4003052</t>
        </is>
      </c>
      <c r="G239" t="inlineStr">
        <is>
          <t>Servicio de asistencia técnica para la administración y operación de los servicios públicos domiciliarios</t>
        </is>
      </c>
      <c r="H239" t="inlineStr">
        <is>
          <t xml:space="preserve">Acciones orientadas a desarrollar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 </t>
        </is>
      </c>
      <c r="I239" t="inlineStr">
        <is>
          <t>2024257580076</t>
        </is>
      </c>
      <c r="J239" s="99">
        <v>0</v>
      </c>
      <c r="K239" s="99">
        <v>0</v>
      </c>
      <c r="L239" s="99">
        <v>0</v>
      </c>
      <c r="M239" s="99">
        <v>0</v>
      </c>
      <c r="N239" s="99">
        <v>0</v>
      </c>
      <c r="O239" s="99" t="inlineStr">
        <is>
          <t xml:space="preserve"> </t>
        </is>
      </c>
      <c r="P239" s="99" t="inlineStr">
        <is>
          <t xml:space="preserve"> </t>
        </is>
      </c>
      <c r="Q239" s="99" t="inlineStr">
        <is>
          <t xml:space="preserve"> </t>
        </is>
      </c>
      <c r="R239" s="100" t="inlineStr">
        <is>
          <t xml:space="preserve"> </t>
        </is>
      </c>
      <c r="S239" t="inlineStr">
        <is>
          <t>No se encontró ejecución en CUIPO</t>
        </is>
      </c>
      <c r="T239" s="101" t="inlineStr">
        <is>
          <t xml:space="preserve"> </t>
        </is>
      </c>
      <c r="U239" s="101" t="inlineStr">
        <is>
          <t xml:space="preserve"> </t>
        </is>
      </c>
      <c r="V239" s="101" t="inlineStr">
        <is>
          <t xml:space="preserve"> </t>
        </is>
      </c>
      <c r="W239" s="102" t="inlineStr">
        <is>
          <t xml:space="preserve"> </t>
        </is>
      </c>
      <c r="X239" t="inlineStr">
        <is>
          <t>No se encontró ejecución en CUIPO</t>
        </is>
      </c>
    </row>
    <row r="240">
      <c r="A240" t="inlineStr">
        <is>
          <t>IP-321</t>
        </is>
      </c>
      <c r="B240" t="inlineStr">
        <is>
          <t>40</t>
        </is>
      </c>
      <c r="C240" t="inlineStr">
        <is>
          <t>Vivienda, ciudad y territorio</t>
        </is>
      </c>
      <c r="D240" t="inlineStr">
        <is>
          <t>4003</t>
        </is>
      </c>
      <c r="E240" t="inlineStr">
        <is>
          <t>Acceso de la población a los servicios de agua potable y saneamiento básico</t>
        </is>
      </c>
      <c r="F240" t="inlineStr">
        <is>
          <t>4003006</t>
        </is>
      </c>
      <c r="G240" t="inlineStr">
        <is>
          <t>Documentos de planeación</t>
        </is>
      </c>
      <c r="H240" t="inlineStr">
        <is>
          <t>Documentos cuyo objetivo es plasmar una visión de futuro a nivel país, entidad territorial, comunidad, sector, región, entidad o cualquier nivel de desagregación que se requiera. Incluye objetivos, estrategias, metas e indicadores</t>
        </is>
      </c>
      <c r="I240" t="inlineStr">
        <is>
          <t>2024257580076</t>
        </is>
      </c>
      <c r="J240" s="99">
        <v>0</v>
      </c>
      <c r="K240" s="99">
        <v>0</v>
      </c>
      <c r="L240" s="99">
        <v>0</v>
      </c>
      <c r="M240" s="99">
        <v>0</v>
      </c>
      <c r="N240" s="99">
        <v>0</v>
      </c>
      <c r="O240" s="99" t="inlineStr">
        <is>
          <t xml:space="preserve"> </t>
        </is>
      </c>
      <c r="P240" s="99" t="inlineStr">
        <is>
          <t xml:space="preserve"> </t>
        </is>
      </c>
      <c r="Q240" s="99" t="inlineStr">
        <is>
          <t xml:space="preserve"> </t>
        </is>
      </c>
      <c r="R240" s="100" t="inlineStr">
        <is>
          <t xml:space="preserve"> </t>
        </is>
      </c>
      <c r="S240" t="inlineStr">
        <is>
          <t>No se encontró ejecución en CUIPO</t>
        </is>
      </c>
      <c r="T240" s="101" t="inlineStr">
        <is>
          <t xml:space="preserve"> </t>
        </is>
      </c>
      <c r="U240" s="101" t="inlineStr">
        <is>
          <t xml:space="preserve"> </t>
        </is>
      </c>
      <c r="V240" s="101" t="inlineStr">
        <is>
          <t xml:space="preserve"> </t>
        </is>
      </c>
      <c r="W240" s="102" t="inlineStr">
        <is>
          <t xml:space="preserve"> </t>
        </is>
      </c>
      <c r="X240" t="inlineStr">
        <is>
          <t>No se encontró ejecución en CUIPO</t>
        </is>
      </c>
    </row>
    <row r="241">
      <c r="A241" t="inlineStr">
        <is>
          <t>IP-322</t>
        </is>
      </c>
      <c r="B241" t="inlineStr">
        <is>
          <t>40</t>
        </is>
      </c>
      <c r="C241" t="inlineStr">
        <is>
          <t>Vivienda, ciudad y territorio</t>
        </is>
      </c>
      <c r="D241" t="inlineStr">
        <is>
          <t>4003</t>
        </is>
      </c>
      <c r="E241" t="inlineStr">
        <is>
          <t>Acceso de la población a los servicios de agua potable y saneamiento básico</t>
        </is>
      </c>
      <c r="F241" t="inlineStr">
        <is>
          <t>4003014</t>
        </is>
      </c>
      <c r="G241" t="inlineStr">
        <is>
          <t>Servicio de Alcantarillado</t>
        </is>
      </c>
      <c r="H241" t="inlineStr">
        <is>
          <t>Es la recolección municipal de residuos, principalmente líquidos y aguas lluvias, por medio de tuberías y conductos. Forman parte de este servicio las actividades complementarias de transporte, tratamiento, disposición final de tales residuos y pago de servicio de energía en municipios prestadores directos conforme a la normatividad vigente.</t>
        </is>
      </c>
      <c r="I241" t="inlineStr">
        <is>
          <t>2024257580080</t>
        </is>
      </c>
      <c r="J241" s="99">
        <v>11200000000</v>
      </c>
      <c r="K241" s="99">
        <v>11200000000</v>
      </c>
      <c r="L241" s="99">
        <v>0</v>
      </c>
      <c r="M241" s="99">
        <v>0</v>
      </c>
      <c r="N241" s="99">
        <v>0</v>
      </c>
      <c r="O241" s="99" t="inlineStr">
        <is>
          <t xml:space="preserve"> </t>
        </is>
      </c>
      <c r="P241" s="99" t="inlineStr">
        <is>
          <t xml:space="preserve"> </t>
        </is>
      </c>
      <c r="Q241" s="99" t="inlineStr">
        <is>
          <t xml:space="preserve"> </t>
        </is>
      </c>
      <c r="R241" s="100" t="inlineStr">
        <is>
          <t xml:space="preserve"> </t>
        </is>
      </c>
      <c r="S241" t="inlineStr">
        <is>
          <t>No se encontró ejecución en CUIPO</t>
        </is>
      </c>
      <c r="T241" s="101" t="inlineStr">
        <is>
          <t xml:space="preserve"> </t>
        </is>
      </c>
      <c r="U241" s="101" t="inlineStr">
        <is>
          <t xml:space="preserve"> </t>
        </is>
      </c>
      <c r="V241" s="101" t="inlineStr">
        <is>
          <t xml:space="preserve"> </t>
        </is>
      </c>
      <c r="W241" s="102" t="inlineStr">
        <is>
          <t xml:space="preserve"> </t>
        </is>
      </c>
      <c r="X241" t="inlineStr">
        <is>
          <t>No se encontró ejecución en CUIPO</t>
        </is>
      </c>
    </row>
    <row r="242">
      <c r="A242" t="inlineStr">
        <is>
          <t>IP-323</t>
        </is>
      </c>
      <c r="B242" t="inlineStr">
        <is>
          <t>40</t>
        </is>
      </c>
      <c r="C242" t="inlineStr">
        <is>
          <t>Vivienda, ciudad y territorio</t>
        </is>
      </c>
      <c r="D242" t="inlineStr">
        <is>
          <t>4003</t>
        </is>
      </c>
      <c r="E242" t="inlineStr">
        <is>
          <t>Acceso de la población a los servicios de agua potable y saneamiento básico</t>
        </is>
      </c>
      <c r="F242" t="inlineStr">
        <is>
          <t>4003018</t>
        </is>
      </c>
      <c r="G242" t="inlineStr">
        <is>
          <t>Alcantarillados construidos</t>
        </is>
      </c>
      <c r="H242" t="inlineStr">
        <is>
          <t>Conjunto de acciones y obras para la implementación de sistemas de alcantarillado nuevos.</t>
        </is>
      </c>
      <c r="I242" t="inlineStr">
        <is>
          <t>2024257580080</t>
        </is>
      </c>
      <c r="J242" s="99">
        <v>0</v>
      </c>
      <c r="K242" s="99">
        <v>0</v>
      </c>
      <c r="L242" s="99">
        <v>0</v>
      </c>
      <c r="M242" s="99">
        <v>0</v>
      </c>
      <c r="N242" s="99">
        <v>0</v>
      </c>
      <c r="O242" s="99" t="inlineStr">
        <is>
          <t xml:space="preserve"> </t>
        </is>
      </c>
      <c r="P242" s="99" t="inlineStr">
        <is>
          <t xml:space="preserve"> </t>
        </is>
      </c>
      <c r="Q242" s="99" t="inlineStr">
        <is>
          <t xml:space="preserve"> </t>
        </is>
      </c>
      <c r="R242" s="100" t="inlineStr">
        <is>
          <t xml:space="preserve"> </t>
        </is>
      </c>
      <c r="S242" t="inlineStr">
        <is>
          <t>No se encontró ejecución en CUIPO</t>
        </is>
      </c>
      <c r="T242" s="101" t="inlineStr">
        <is>
          <t xml:space="preserve"> </t>
        </is>
      </c>
      <c r="U242" s="101" t="inlineStr">
        <is>
          <t xml:space="preserve"> </t>
        </is>
      </c>
      <c r="V242" s="101" t="inlineStr">
        <is>
          <t xml:space="preserve"> </t>
        </is>
      </c>
      <c r="W242" s="102" t="inlineStr">
        <is>
          <t xml:space="preserve"> </t>
        </is>
      </c>
      <c r="X242" t="inlineStr">
        <is>
          <t>No se encontró ejecución en CUIPO</t>
        </is>
      </c>
    </row>
    <row r="243">
      <c r="A243" t="inlineStr">
        <is>
          <t>IP-324</t>
        </is>
      </c>
      <c r="B243" t="inlineStr">
        <is>
          <t>40</t>
        </is>
      </c>
      <c r="C243" t="inlineStr">
        <is>
          <t>Vivienda, ciudad y territorio</t>
        </is>
      </c>
      <c r="D243" t="inlineStr">
        <is>
          <t>4003</t>
        </is>
      </c>
      <c r="E243" t="inlineStr">
        <is>
          <t>Acceso de la población a los servicios de agua potable y saneamiento básico</t>
        </is>
      </c>
      <c r="F243" t="inlineStr">
        <is>
          <t>4003026</t>
        </is>
      </c>
      <c r="G243" t="inlineStr">
        <is>
          <t>Servicios de apoyo financiero para la ejecución de proyectos de acueductos y de manejo de aguas residuales</t>
        </is>
      </c>
      <c r="H243" t="inlineStr">
        <is>
          <t/>
        </is>
      </c>
      <c r="I243" t="inlineStr">
        <is>
          <t>2024257580080</t>
        </is>
      </c>
      <c r="J243" s="99">
        <v>15616000000</v>
      </c>
      <c r="K243" s="99">
        <v>15616000000</v>
      </c>
      <c r="L243" s="99">
        <v>0</v>
      </c>
      <c r="M243" s="99">
        <v>0</v>
      </c>
      <c r="N243" s="99">
        <v>0</v>
      </c>
      <c r="O243" s="99" t="inlineStr">
        <is>
          <t xml:space="preserve"> </t>
        </is>
      </c>
      <c r="P243" s="99" t="inlineStr">
        <is>
          <t xml:space="preserve"> </t>
        </is>
      </c>
      <c r="Q243" s="99" t="inlineStr">
        <is>
          <t xml:space="preserve"> </t>
        </is>
      </c>
      <c r="R243" s="100" t="inlineStr">
        <is>
          <t xml:space="preserve"> </t>
        </is>
      </c>
      <c r="S243" t="inlineStr">
        <is>
          <t>No se encontró ejecución en CUIPO</t>
        </is>
      </c>
      <c r="T243" s="101">
        <v>250000000</v>
      </c>
      <c r="U243" s="101">
        <v>250000000</v>
      </c>
      <c r="V243" s="101">
        <v>250000000</v>
      </c>
      <c r="W243" s="102" t="inlineStr">
        <is>
          <t xml:space="preserve"> </t>
        </is>
      </c>
      <c r="X243" t="inlineStr">
        <is>
          <t>Se ejecutó un producto no programado en la vigencia</t>
        </is>
      </c>
    </row>
    <row r="244">
      <c r="A244" t="inlineStr">
        <is>
          <t>IP-325</t>
        </is>
      </c>
      <c r="B244" t="inlineStr">
        <is>
          <t>40</t>
        </is>
      </c>
      <c r="C244" t="inlineStr">
        <is>
          <t>Vivienda, ciudad y territorio</t>
        </is>
      </c>
      <c r="D244" t="inlineStr">
        <is>
          <t>4003</t>
        </is>
      </c>
      <c r="E244" t="inlineStr">
        <is>
          <t>Acceso de la población a los servicios de agua potable y saneamiento básico</t>
        </is>
      </c>
      <c r="F244" t="inlineStr">
        <is>
          <t>4003020</t>
        </is>
      </c>
      <c r="G244" t="inlineStr">
        <is>
          <t>Alcantarillados optimizados</t>
        </is>
      </c>
      <c r="H244" t="inlineStr">
        <is>
          <t>Conjunto de acciones encaminadas a mejorar la capacidad, eficiencia y eficacia de la infraestructura componente del sistema de alcantarillado mediante su intervención parcial o total.</t>
        </is>
      </c>
      <c r="I244" t="inlineStr">
        <is>
          <t>2024257580080</t>
        </is>
      </c>
      <c r="J244" s="99">
        <v>0</v>
      </c>
      <c r="K244" s="99">
        <v>0</v>
      </c>
      <c r="L244" s="99">
        <v>0</v>
      </c>
      <c r="M244" s="99">
        <v>0</v>
      </c>
      <c r="N244" s="99">
        <v>0</v>
      </c>
      <c r="O244" s="99" t="inlineStr">
        <is>
          <t xml:space="preserve"> </t>
        </is>
      </c>
      <c r="P244" s="99" t="inlineStr">
        <is>
          <t xml:space="preserve"> </t>
        </is>
      </c>
      <c r="Q244" s="99" t="inlineStr">
        <is>
          <t xml:space="preserve"> </t>
        </is>
      </c>
      <c r="R244" s="100" t="inlineStr">
        <is>
          <t xml:space="preserve"> </t>
        </is>
      </c>
      <c r="S244" t="inlineStr">
        <is>
          <t>No se encontró ejecución en CUIPO</t>
        </is>
      </c>
      <c r="T244" s="101" t="inlineStr">
        <is>
          <t xml:space="preserve"> </t>
        </is>
      </c>
      <c r="U244" s="101" t="inlineStr">
        <is>
          <t xml:space="preserve"> </t>
        </is>
      </c>
      <c r="V244" s="101" t="inlineStr">
        <is>
          <t xml:space="preserve"> </t>
        </is>
      </c>
      <c r="W244" s="102" t="inlineStr">
        <is>
          <t xml:space="preserve"> </t>
        </is>
      </c>
      <c r="X244" t="inlineStr">
        <is>
          <t>No se encontró ejecución en CUIPO</t>
        </is>
      </c>
    </row>
    <row r="245">
      <c r="A245" t="inlineStr">
        <is>
          <t>IP-326</t>
        </is>
      </c>
      <c r="B245" t="inlineStr">
        <is>
          <t>40</t>
        </is>
      </c>
      <c r="C245" t="inlineStr">
        <is>
          <t>Vivienda, ciudad y territorio</t>
        </is>
      </c>
      <c r="D245" t="inlineStr">
        <is>
          <t>4003</t>
        </is>
      </c>
      <c r="E245" t="inlineStr">
        <is>
          <t>Acceso de la población a los servicios de agua potable y saneamiento básico</t>
        </is>
      </c>
      <c r="F245" t="inlineStr">
        <is>
          <t>4003041</t>
        </is>
      </c>
      <c r="G245" t="inlineStr">
        <is>
          <t>Servicio de regulación en Agua Potable y Saneamiento Básico</t>
        </is>
      </c>
      <c r="H245" t="inlineStr">
        <is>
          <t>Es el conjunto de actividades que permiten la expedición de la regulación de carácter general y particular en agua potable y saneamiento básico, basado en el conocimiento jurídico y técnico de la entidad.</t>
        </is>
      </c>
      <c r="I245" t="inlineStr">
        <is>
          <t>2024257580080</t>
        </is>
      </c>
      <c r="J245" s="99">
        <v>0</v>
      </c>
      <c r="K245" s="99">
        <v>0</v>
      </c>
      <c r="L245" s="99">
        <v>0</v>
      </c>
      <c r="M245" s="99">
        <v>0</v>
      </c>
      <c r="N245" s="99">
        <v>0</v>
      </c>
      <c r="O245" s="99" t="inlineStr">
        <is>
          <t xml:space="preserve"> </t>
        </is>
      </c>
      <c r="P245" s="99" t="inlineStr">
        <is>
          <t xml:space="preserve"> </t>
        </is>
      </c>
      <c r="Q245" s="99" t="inlineStr">
        <is>
          <t xml:space="preserve"> </t>
        </is>
      </c>
      <c r="R245" s="100" t="inlineStr">
        <is>
          <t xml:space="preserve"> </t>
        </is>
      </c>
      <c r="S245" t="inlineStr">
        <is>
          <t>No se encontró ejecución en CUIPO</t>
        </is>
      </c>
      <c r="T245" s="101" t="inlineStr">
        <is>
          <t xml:space="preserve"> </t>
        </is>
      </c>
      <c r="U245" s="101" t="inlineStr">
        <is>
          <t xml:space="preserve"> </t>
        </is>
      </c>
      <c r="V245" s="101" t="inlineStr">
        <is>
          <t xml:space="preserve"> </t>
        </is>
      </c>
      <c r="W245" s="102" t="inlineStr">
        <is>
          <t xml:space="preserve"> </t>
        </is>
      </c>
      <c r="X245" t="inlineStr">
        <is>
          <t>No se encontró ejecución en CUIPO</t>
        </is>
      </c>
    </row>
    <row r="246">
      <c r="A246" t="inlineStr">
        <is>
          <t>IP-327</t>
        </is>
      </c>
      <c r="B246" t="inlineStr">
        <is>
          <t>40</t>
        </is>
      </c>
      <c r="C246" t="inlineStr">
        <is>
          <t>Vivienda, ciudad y territorio</t>
        </is>
      </c>
      <c r="D246" t="inlineStr">
        <is>
          <t>4003</t>
        </is>
      </c>
      <c r="E246" t="inlineStr">
        <is>
          <t>Acceso de la población a los servicios de agua potable y saneamiento básico</t>
        </is>
      </c>
      <c r="F246" t="inlineStr">
        <is>
          <t>4003032</t>
        </is>
      </c>
      <c r="G246" t="inlineStr">
        <is>
          <t>Servicio de apoyo técnico para el tratamiento de aguas residuales</t>
        </is>
      </c>
      <c r="H246" t="inlineStr">
        <is>
          <t>Gestiones necesarias que se realizan para la obtención y análisis de información que requieren los Entes Territoriales en la implementación de sistemas de descontaminación de aguas.</t>
        </is>
      </c>
      <c r="I246" t="inlineStr">
        <is>
          <t>2024257580080</t>
        </is>
      </c>
      <c r="J246" s="99">
        <v>0</v>
      </c>
      <c r="K246" s="99">
        <v>0</v>
      </c>
      <c r="L246" s="99">
        <v>0</v>
      </c>
      <c r="M246" s="99">
        <v>0</v>
      </c>
      <c r="N246" s="99">
        <v>0</v>
      </c>
      <c r="O246" s="99" t="inlineStr">
        <is>
          <t xml:space="preserve"> </t>
        </is>
      </c>
      <c r="P246" s="99" t="inlineStr">
        <is>
          <t xml:space="preserve"> </t>
        </is>
      </c>
      <c r="Q246" s="99" t="inlineStr">
        <is>
          <t xml:space="preserve"> </t>
        </is>
      </c>
      <c r="R246" s="100" t="inlineStr">
        <is>
          <t xml:space="preserve"> </t>
        </is>
      </c>
      <c r="S246" t="inlineStr">
        <is>
          <t>No se encontró ejecución en CUIPO</t>
        </is>
      </c>
      <c r="T246" s="101" t="inlineStr">
        <is>
          <t xml:space="preserve"> </t>
        </is>
      </c>
      <c r="U246" s="101" t="inlineStr">
        <is>
          <t xml:space="preserve"> </t>
        </is>
      </c>
      <c r="V246" s="101" t="inlineStr">
        <is>
          <t xml:space="preserve"> </t>
        </is>
      </c>
      <c r="W246" s="102" t="inlineStr">
        <is>
          <t xml:space="preserve"> </t>
        </is>
      </c>
      <c r="X246" t="inlineStr">
        <is>
          <t>No se encontró ejecución en CUIPO</t>
        </is>
      </c>
    </row>
    <row r="247">
      <c r="A247" t="inlineStr">
        <is>
          <t>IP-328</t>
        </is>
      </c>
      <c r="B247" t="inlineStr">
        <is>
          <t>40</t>
        </is>
      </c>
      <c r="C247" t="inlineStr">
        <is>
          <t>Vivienda, ciudad y territorio</t>
        </is>
      </c>
      <c r="D247" t="inlineStr">
        <is>
          <t>4003</t>
        </is>
      </c>
      <c r="E247" t="inlineStr">
        <is>
          <t>Acceso de la población a los servicios de agua potable y saneamiento básico</t>
        </is>
      </c>
      <c r="F247" t="inlineStr">
        <is>
          <t>4003010</t>
        </is>
      </c>
      <c r="G247" t="inlineStr">
        <is>
          <t>Servicio de Aseo</t>
        </is>
      </c>
      <c r="H247" t="inlineStr">
        <is>
          <t>Es el servicio de recolección municipal de residuos, principalmente sólidos. También se aplicará este servicio a las actividades complementarias de transporte, tratamiento, aprovechamiento y disposición final de tales residuos.</t>
        </is>
      </c>
      <c r="I247" t="inlineStr">
        <is>
          <t>2024257580004</t>
        </is>
      </c>
      <c r="J247" s="99">
        <v>1900000000</v>
      </c>
      <c r="K247" s="99">
        <v>1900000000</v>
      </c>
      <c r="L247" s="99">
        <v>0</v>
      </c>
      <c r="M247" s="99">
        <v>0</v>
      </c>
      <c r="N247" s="99">
        <v>0</v>
      </c>
      <c r="O247" s="99">
        <v>1834504000</v>
      </c>
      <c r="P247" s="99">
        <v>1834504000</v>
      </c>
      <c r="Q247" s="99">
        <v>1834504000</v>
      </c>
      <c r="R247" s="100">
        <v>0.965528421052632</v>
      </c>
      <c r="S247" t="inlineStr">
        <is>
          <t>Lo obligado está por debajo de lo programado en la vigencia</t>
        </is>
      </c>
      <c r="T247" s="101" t="inlineStr">
        <is>
          <t xml:space="preserve"> </t>
        </is>
      </c>
      <c r="U247" s="101" t="inlineStr">
        <is>
          <t xml:space="preserve"> </t>
        </is>
      </c>
      <c r="V247" s="101" t="inlineStr">
        <is>
          <t xml:space="preserve"> </t>
        </is>
      </c>
      <c r="W247" s="102" t="inlineStr">
        <is>
          <t xml:space="preserve"> </t>
        </is>
      </c>
      <c r="X247" t="inlineStr">
        <is>
          <t>No se encontró ejecución en CUIPO</t>
        </is>
      </c>
    </row>
    <row r="248">
      <c r="A248" t="inlineStr">
        <is>
          <t>IP-329, IP-330</t>
        </is>
      </c>
      <c r="B248" t="inlineStr">
        <is>
          <t>40</t>
        </is>
      </c>
      <c r="C248" t="inlineStr">
        <is>
          <t>Vivienda, ciudad y territorio</t>
        </is>
      </c>
      <c r="D248" t="inlineStr">
        <is>
          <t>4003</t>
        </is>
      </c>
      <c r="E248" t="inlineStr">
        <is>
          <t>Acceso de la población a los servicios de agua potable y saneamiento básico</t>
        </is>
      </c>
      <c r="F248" t="inlineStr">
        <is>
          <t>4003022</t>
        </is>
      </c>
      <c r="G248" t="inlineStr">
        <is>
          <t>Servicios de implementación del Plan de Gestión Integral de Residuos Solidos PGIRS</t>
        </is>
      </c>
      <c r="H248" t="inlineStr">
        <is>
          <t>Contempla acciones realizadas para implementar el Plan de Gestión Integral de Residuos Solidos </t>
        </is>
      </c>
      <c r="I248" t="inlineStr">
        <is>
          <t>2024257580004</t>
        </is>
      </c>
      <c r="J248" s="99">
        <v>488051705</v>
      </c>
      <c r="K248" s="99">
        <v>105160893</v>
      </c>
      <c r="L248" s="99">
        <v>115676982</v>
      </c>
      <c r="M248" s="99">
        <v>127244681</v>
      </c>
      <c r="N248" s="99">
        <v>139969149</v>
      </c>
      <c r="O248" s="99" t="inlineStr">
        <is>
          <t xml:space="preserve"> </t>
        </is>
      </c>
      <c r="P248" s="99" t="inlineStr">
        <is>
          <t xml:space="preserve"> </t>
        </is>
      </c>
      <c r="Q248" s="99" t="inlineStr">
        <is>
          <t xml:space="preserve"> </t>
        </is>
      </c>
      <c r="R248" s="100" t="inlineStr">
        <is>
          <t xml:space="preserve"> </t>
        </is>
      </c>
      <c r="S248" t="inlineStr">
        <is>
          <t>No se encontró ejecución en CUIPO</t>
        </is>
      </c>
      <c r="T248" s="101" t="inlineStr">
        <is>
          <t xml:space="preserve"> </t>
        </is>
      </c>
      <c r="U248" s="101" t="inlineStr">
        <is>
          <t xml:space="preserve"> </t>
        </is>
      </c>
      <c r="V248" s="101" t="inlineStr">
        <is>
          <t xml:space="preserve"> </t>
        </is>
      </c>
      <c r="W248" s="102" t="inlineStr">
        <is>
          <t xml:space="preserve"> </t>
        </is>
      </c>
      <c r="X248" t="inlineStr">
        <is>
          <t>No se encontró ejecución en CUIPO</t>
        </is>
      </c>
    </row>
    <row r="249">
      <c r="A249" t="inlineStr">
        <is>
          <t>IP-331</t>
        </is>
      </c>
      <c r="B249" t="inlineStr">
        <is>
          <t>40</t>
        </is>
      </c>
      <c r="C249" t="inlineStr">
        <is>
          <t>Vivienda, ciudad y territorio</t>
        </is>
      </c>
      <c r="D249" t="inlineStr">
        <is>
          <t>4003</t>
        </is>
      </c>
      <c r="E249" t="inlineStr">
        <is>
          <t>Acceso de la población a los servicios de agua potable y saneamiento básico</t>
        </is>
      </c>
      <c r="F249" t="inlineStr">
        <is>
          <t>4003047</t>
        </is>
      </c>
      <c r="G249" t="inlineStr">
        <is>
          <t>Servicio de apoyo financiero para subsidios al consumo en los servicios públicos domiciliarios</t>
        </is>
      </c>
      <c r="H249" t="inlineStr">
        <is>
          <t>Los subsidios al consumo están destinados a satisfacer necesidades básicas de los usuarios de los estratos 1, 2 y 3 en el servicio público domiciliario de acueducto, alcantarillado y aseo.</t>
        </is>
      </c>
      <c r="I249" t="inlineStr">
        <is>
          <t>2024257580054</t>
        </is>
      </c>
      <c r="J249" s="99">
        <v>2878219490</v>
      </c>
      <c r="K249" s="99">
        <v>1474435090</v>
      </c>
      <c r="L249" s="99">
        <v>423499400</v>
      </c>
      <c r="M249" s="99">
        <v>465850000</v>
      </c>
      <c r="N249" s="99">
        <v>514435000</v>
      </c>
      <c r="O249" s="99" t="inlineStr">
        <is>
          <t xml:space="preserve"> </t>
        </is>
      </c>
      <c r="P249" s="99" t="inlineStr">
        <is>
          <t xml:space="preserve"> </t>
        </is>
      </c>
      <c r="Q249" s="99" t="inlineStr">
        <is>
          <t xml:space="preserve"> </t>
        </is>
      </c>
      <c r="R249" s="100" t="inlineStr">
        <is>
          <t xml:space="preserve"> </t>
        </is>
      </c>
      <c r="S249" t="inlineStr">
        <is>
          <t>No se encontró ejecución en CUIPO</t>
        </is>
      </c>
      <c r="T249" s="101">
        <v>291802053</v>
      </c>
      <c r="U249" s="101">
        <v>131215765</v>
      </c>
      <c r="V249" s="101">
        <v>131215765</v>
      </c>
      <c r="W249" s="102">
        <v>0.309836956085416</v>
      </c>
      <c r="X249" t="inlineStr">
        <is>
          <t>Lo obligado está por debajo de lo programado en la vigencia</t>
        </is>
      </c>
    </row>
    <row r="250">
      <c r="A250" t="inlineStr">
        <is>
          <t>IP-332</t>
        </is>
      </c>
      <c r="B250" t="inlineStr">
        <is>
          <t>40</t>
        </is>
      </c>
      <c r="C250" t="inlineStr">
        <is>
          <t>Vivienda, ciudad y territorio</t>
        </is>
      </c>
      <c r="D250" t="inlineStr">
        <is>
          <t>4003</t>
        </is>
      </c>
      <c r="E250" t="inlineStr">
        <is>
          <t>Acceso de la población a los servicios de agua potable y saneamiento básico</t>
        </is>
      </c>
      <c r="F250" t="inlineStr">
        <is>
          <t>4003008</t>
        </is>
      </c>
      <c r="G250" t="inlineStr">
        <is>
          <t>Servicio de apoyo financiero a los planes, programas y proyectos de Agua Potable y Saneamiento Básico</t>
        </is>
      </c>
      <c r="H250" t="inlineStr">
        <is>
          <t>Financiación o Cofinanciación a planes, programas y proyectos relacionados con Agua Potable y Saneamiento Básico</t>
        </is>
      </c>
      <c r="I250" t="inlineStr">
        <is>
          <t>2024257580018</t>
        </is>
      </c>
      <c r="J250" s="99">
        <v>2067148818</v>
      </c>
      <c r="K250" s="99">
        <v>445410217</v>
      </c>
      <c r="L250" s="99">
        <v>489951239</v>
      </c>
      <c r="M250" s="99">
        <v>538946363</v>
      </c>
      <c r="N250" s="99">
        <v>592840999</v>
      </c>
      <c r="O250" s="99">
        <v>12249960</v>
      </c>
      <c r="P250" s="99">
        <v>12249960</v>
      </c>
      <c r="Q250" s="99">
        <v>12249960</v>
      </c>
      <c r="R250" s="100">
        <v>0.0275026470710707</v>
      </c>
      <c r="S250" t="inlineStr">
        <is>
          <t>Lo obligado está por debajo de lo programado en la vigencia</t>
        </is>
      </c>
      <c r="T250" s="101">
        <v>602821587</v>
      </c>
      <c r="U250" s="101">
        <v>602821587</v>
      </c>
      <c r="V250" s="101">
        <v>602821587</v>
      </c>
      <c r="W250" s="102">
        <v>1.23037057367254</v>
      </c>
      <c r="X250" t="inlineStr">
        <is>
          <t>Hubo ejecución por encima de lo programado en SisPT</t>
        </is>
      </c>
    </row>
    <row r="251">
      <c r="A251" t="inlineStr">
        <is>
          <t>IP-333</t>
        </is>
      </c>
      <c r="B251" t="inlineStr">
        <is>
          <t>21</t>
        </is>
      </c>
      <c r="C251" t="inlineStr">
        <is>
          <t>Minas y Energía</t>
        </is>
      </c>
      <c r="D251" t="inlineStr">
        <is>
          <t>2102</t>
        </is>
      </c>
      <c r="E251" t="inlineStr">
        <is>
          <t>Consolidación productiva del sector de energía eléctrica</t>
        </is>
      </c>
      <c r="F251" t="inlineStr">
        <is>
          <t>2102069</t>
        </is>
      </c>
      <c r="G251" t="inlineStr">
        <is>
          <t>Servicio de alumbrado público</t>
        </is>
      </c>
      <c r="H251" t="inlineStr">
        <is>
          <t>Corresponde a la prestación del servicio público no domiciliario de iluminación, inherente al servicio de energía eléctrica, que se presta con el fin de dar visibilidad al espacio público, bienes de uso público y demás espacios de libre circulación, con tránsito vehicular o peatonal, dentro del perímetro urbano y rural de un municipio o distrito, para el normal desarrollo de las actividades. El servicio de alumbrado público comprende las actividades de suministro de energía eléctrica al sistema de alumbrado público, la administración y operación de dicho sistema.</t>
        </is>
      </c>
      <c r="I251" t="inlineStr">
        <is>
          <t>2024257580027</t>
        </is>
      </c>
      <c r="J251" s="99">
        <v>15495307857</v>
      </c>
      <c r="K251" s="99">
        <v>4473007857</v>
      </c>
      <c r="L251" s="99">
        <v>3330000000</v>
      </c>
      <c r="M251" s="99">
        <v>3663000000</v>
      </c>
      <c r="N251" s="99">
        <v>4029300000</v>
      </c>
      <c r="O251" s="99">
        <v>1846931595</v>
      </c>
      <c r="P251" s="99">
        <v>1846931595</v>
      </c>
      <c r="Q251" s="99">
        <v>1768727957</v>
      </c>
      <c r="R251" s="100">
        <v>0.412905958148421</v>
      </c>
      <c r="S251" t="inlineStr">
        <is>
          <t>Lo obligado está por debajo de lo programado en la vigencia</t>
        </is>
      </c>
      <c r="T251" s="101">
        <v>2674062349</v>
      </c>
      <c r="U251" s="101">
        <v>2508607969</v>
      </c>
      <c r="V251" s="101">
        <v>2370426750</v>
      </c>
      <c r="W251" s="102">
        <v>0.753335726426426</v>
      </c>
      <c r="X251" t="inlineStr">
        <is>
          <t>Lo obligado está por debajo de lo programado en la vigencia</t>
        </is>
      </c>
    </row>
    <row r="252">
      <c r="A252" t="inlineStr">
        <is>
          <t>IP-334</t>
        </is>
      </c>
      <c r="B252" t="inlineStr">
        <is>
          <t>21</t>
        </is>
      </c>
      <c r="C252" t="inlineStr">
        <is>
          <t>Minas y Energía</t>
        </is>
      </c>
      <c r="D252" t="inlineStr">
        <is>
          <t>2102</t>
        </is>
      </c>
      <c r="E252" t="inlineStr">
        <is>
          <t>Consolidación productiva del sector de energía eléctrica</t>
        </is>
      </c>
      <c r="F252" t="inlineStr">
        <is>
          <t>2102036</t>
        </is>
      </c>
      <c r="G252" t="inlineStr">
        <is>
          <t>Servicio de educación informal a las comunidades en temas de eficiencia energética y el uso racional de la energía</t>
        </is>
      </c>
      <c r="H252" t="inlineStr">
        <is>
          <t>Hace referencia a la capacitación a las comunidades en temas asociados a la prestación del servicio, la eficiencia energética y el uso racional de la energía como factor de sostenibilidad de la infraestructura energética.</t>
        </is>
      </c>
      <c r="I252" t="inlineStr">
        <is>
          <t>2024257580027</t>
        </is>
      </c>
      <c r="J252" s="99">
        <v>20000000</v>
      </c>
      <c r="K252" s="99">
        <v>5000000</v>
      </c>
      <c r="L252" s="99">
        <v>5000000</v>
      </c>
      <c r="M252" s="99">
        <v>5000000</v>
      </c>
      <c r="N252" s="99">
        <v>5000000</v>
      </c>
      <c r="O252" s="99" t="inlineStr">
        <is>
          <t xml:space="preserve"> </t>
        </is>
      </c>
      <c r="P252" s="99" t="inlineStr">
        <is>
          <t xml:space="preserve"> </t>
        </is>
      </c>
      <c r="Q252" s="99" t="inlineStr">
        <is>
          <t xml:space="preserve"> </t>
        </is>
      </c>
      <c r="R252" s="100" t="inlineStr">
        <is>
          <t xml:space="preserve"> </t>
        </is>
      </c>
      <c r="S252" t="inlineStr">
        <is>
          <t>No se encontró ejecución en CUIPO</t>
        </is>
      </c>
      <c r="T252" s="101">
        <v>8250000</v>
      </c>
      <c r="U252" s="101">
        <v>8250000</v>
      </c>
      <c r="V252" s="101">
        <v>8250000</v>
      </c>
      <c r="W252" s="102">
        <v>1.65</v>
      </c>
      <c r="X252" t="inlineStr">
        <is>
          <t>Hubo ejecución por encima de lo programado en SisPT</t>
        </is>
      </c>
    </row>
    <row r="253">
      <c r="A253" t="inlineStr">
        <is>
          <t>IP-335</t>
        </is>
      </c>
      <c r="B253" t="inlineStr">
        <is>
          <t>21</t>
        </is>
      </c>
      <c r="C253" t="inlineStr">
        <is>
          <t>Minas y Energía</t>
        </is>
      </c>
      <c r="D253" t="inlineStr">
        <is>
          <t>2101</t>
        </is>
      </c>
      <c r="E253" t="inlineStr">
        <is>
          <t>Acceso al servicio público domiciliario de gas combustible</t>
        </is>
      </c>
      <c r="F253" t="inlineStr">
        <is>
          <t>2101016</t>
        </is>
      </c>
      <c r="G253" t="inlineStr">
        <is>
          <t>Redes domiciliarias de gas combustible instaladas</t>
        </is>
      </c>
      <c r="H253" t="inlineStr">
        <is>
          <t>Permite la conexión de las viviendas a la red de distribución local de gas domiciliario. Incluye acometida y medidor.</t>
        </is>
      </c>
      <c r="I253" t="inlineStr">
        <is>
          <t>2024257580026</t>
        </is>
      </c>
      <c r="J253" s="99">
        <v>0</v>
      </c>
      <c r="K253" s="99">
        <v>0</v>
      </c>
      <c r="L253" s="99">
        <v>0</v>
      </c>
      <c r="M253" s="99">
        <v>0</v>
      </c>
      <c r="N253" s="99">
        <v>0</v>
      </c>
      <c r="O253" s="99" t="inlineStr">
        <is>
          <t xml:space="preserve"> </t>
        </is>
      </c>
      <c r="P253" s="99" t="inlineStr">
        <is>
          <t xml:space="preserve"> </t>
        </is>
      </c>
      <c r="Q253" s="99" t="inlineStr">
        <is>
          <t xml:space="preserve"> </t>
        </is>
      </c>
      <c r="R253" s="100" t="inlineStr">
        <is>
          <t xml:space="preserve"> </t>
        </is>
      </c>
      <c r="S253" t="inlineStr">
        <is>
          <t>No se encontró ejecución en CUIPO</t>
        </is>
      </c>
      <c r="T253" s="101" t="inlineStr">
        <is>
          <t xml:space="preserve"> </t>
        </is>
      </c>
      <c r="U253" s="101" t="inlineStr">
        <is>
          <t xml:space="preserve"> </t>
        </is>
      </c>
      <c r="V253" s="101" t="inlineStr">
        <is>
          <t xml:space="preserve"> </t>
        </is>
      </c>
      <c r="W253" s="102" t="inlineStr">
        <is>
          <t xml:space="preserve"> </t>
        </is>
      </c>
      <c r="X253" t="inlineStr">
        <is>
          <t>No se encontró ejecución en CUIPO</t>
        </is>
      </c>
    </row>
    <row r="254">
      <c r="A254" t="inlineStr">
        <is>
          <t>IP-336, IP-341</t>
        </is>
      </c>
      <c r="B254" t="inlineStr">
        <is>
          <t>40</t>
        </is>
      </c>
      <c r="C254" t="inlineStr">
        <is>
          <t>Vivienda, ciudad y territorio</t>
        </is>
      </c>
      <c r="D254" t="inlineStr">
        <is>
          <t>4002</t>
        </is>
      </c>
      <c r="E254" t="inlineStr">
        <is>
          <t>Ordenamiento territorial y desarrollo urbano</t>
        </is>
      </c>
      <c r="F254" t="inlineStr">
        <is>
          <t>4002034</t>
        </is>
      </c>
      <c r="G254" t="inlineStr">
        <is>
          <t>Estudios de pre inversión e inversión</t>
        </is>
      </c>
      <c r="H254" t="inlineStr">
        <is>
          <t>Incluye la realización de estudios de pre factibilidad, factibilidad o definitivos para la ejecución de proyectos</t>
        </is>
      </c>
      <c r="I254" t="inlineStr">
        <is>
          <t>2024257580037</t>
        </is>
      </c>
      <c r="J254" s="99">
        <v>6560000000</v>
      </c>
      <c r="K254" s="99">
        <v>310000000</v>
      </c>
      <c r="L254" s="99">
        <v>6030000000</v>
      </c>
      <c r="M254" s="99">
        <v>0</v>
      </c>
      <c r="N254" s="99">
        <v>220000000</v>
      </c>
      <c r="O254" s="99">
        <v>17800000</v>
      </c>
      <c r="P254" s="99">
        <v>17800000</v>
      </c>
      <c r="Q254" s="99">
        <v>17800000</v>
      </c>
      <c r="R254" s="100">
        <v>0.0574193548387097</v>
      </c>
      <c r="S254" t="inlineStr">
        <is>
          <t>Lo obligado está por debajo de lo programado en la vigencia</t>
        </is>
      </c>
      <c r="T254" s="101" t="inlineStr">
        <is>
          <t xml:space="preserve"> </t>
        </is>
      </c>
      <c r="U254" s="101" t="inlineStr">
        <is>
          <t xml:space="preserve"> </t>
        </is>
      </c>
      <c r="V254" s="101" t="inlineStr">
        <is>
          <t xml:space="preserve"> </t>
        </is>
      </c>
      <c r="W254" s="102" t="inlineStr">
        <is>
          <t xml:space="preserve"> </t>
        </is>
      </c>
      <c r="X254" t="inlineStr">
        <is>
          <t>No se encontró ejecución en CUIPO</t>
        </is>
      </c>
    </row>
    <row r="255">
      <c r="A255" t="inlineStr">
        <is>
          <t>IP-337</t>
        </is>
      </c>
      <c r="B255" t="inlineStr">
        <is>
          <t>40</t>
        </is>
      </c>
      <c r="C255" t="inlineStr">
        <is>
          <t>Vivienda, ciudad y territorio</t>
        </is>
      </c>
      <c r="D255" t="inlineStr">
        <is>
          <t>4002</t>
        </is>
      </c>
      <c r="E255" t="inlineStr">
        <is>
          <t>Ordenamiento territorial y desarrollo urbano</t>
        </is>
      </c>
      <c r="F255" t="inlineStr">
        <is>
          <t>4002031</t>
        </is>
      </c>
      <c r="G255" t="inlineStr">
        <is>
          <t>Plazas mantenidas</t>
        </is>
      </c>
      <c r="H255" t="inlineStr">
        <is>
          <t/>
        </is>
      </c>
      <c r="I255" t="inlineStr">
        <is>
          <t>2024257580037</t>
        </is>
      </c>
      <c r="J255" s="99">
        <v>0</v>
      </c>
      <c r="K255" s="99">
        <v>0</v>
      </c>
      <c r="L255" s="99">
        <v>0</v>
      </c>
      <c r="M255" s="99">
        <v>0</v>
      </c>
      <c r="N255" s="99">
        <v>0</v>
      </c>
      <c r="O255" s="99" t="inlineStr">
        <is>
          <t xml:space="preserve"> </t>
        </is>
      </c>
      <c r="P255" s="99" t="inlineStr">
        <is>
          <t xml:space="preserve"> </t>
        </is>
      </c>
      <c r="Q255" s="99" t="inlineStr">
        <is>
          <t xml:space="preserve"> </t>
        </is>
      </c>
      <c r="R255" s="100" t="inlineStr">
        <is>
          <t xml:space="preserve"> </t>
        </is>
      </c>
      <c r="S255" t="inlineStr">
        <is>
          <t>No se encontró ejecución en CUIPO</t>
        </is>
      </c>
      <c r="T255" s="101" t="inlineStr">
        <is>
          <t xml:space="preserve"> </t>
        </is>
      </c>
      <c r="U255" s="101" t="inlineStr">
        <is>
          <t xml:space="preserve"> </t>
        </is>
      </c>
      <c r="V255" s="101" t="inlineStr">
        <is>
          <t xml:space="preserve"> </t>
        </is>
      </c>
      <c r="W255" s="102" t="inlineStr">
        <is>
          <t xml:space="preserve"> </t>
        </is>
      </c>
      <c r="X255" t="inlineStr">
        <is>
          <t>No se encontró ejecución en CUIPO</t>
        </is>
      </c>
    </row>
    <row r="256">
      <c r="A256" t="inlineStr">
        <is>
          <t>IP-338, IP-339</t>
        </is>
      </c>
      <c r="B256" t="inlineStr">
        <is>
          <t>40</t>
        </is>
      </c>
      <c r="C256" t="inlineStr">
        <is>
          <t>Vivienda, ciudad y territorio</t>
        </is>
      </c>
      <c r="D256" t="inlineStr">
        <is>
          <t>4002</t>
        </is>
      </c>
      <c r="E256" t="inlineStr">
        <is>
          <t>Ordenamiento territorial y desarrollo urbano</t>
        </is>
      </c>
      <c r="F256" t="inlineStr">
        <is>
          <t>4002023</t>
        </is>
      </c>
      <c r="G256" t="inlineStr">
        <is>
          <t>Parques mejorados</t>
        </is>
      </c>
      <c r="H256" t="inlineStr">
        <is>
          <t/>
        </is>
      </c>
      <c r="I256" t="inlineStr">
        <is>
          <t>2024257580037</t>
        </is>
      </c>
      <c r="J256" s="99">
        <v>859951913</v>
      </c>
      <c r="K256" s="99">
        <v>186946068</v>
      </c>
      <c r="L256" s="99">
        <v>205640675</v>
      </c>
      <c r="M256" s="99">
        <v>224335282</v>
      </c>
      <c r="N256" s="99">
        <v>243029888</v>
      </c>
      <c r="O256" s="99">
        <v>117053985</v>
      </c>
      <c r="P256" s="99">
        <v>117053985</v>
      </c>
      <c r="Q256" s="99">
        <v>116566977</v>
      </c>
      <c r="R256" s="100">
        <v>0.626137721174216</v>
      </c>
      <c r="S256" t="inlineStr">
        <is>
          <t>Lo obligado está por debajo de lo programado en la vigencia</t>
        </is>
      </c>
      <c r="T256" s="101">
        <v>350617110</v>
      </c>
      <c r="U256" s="101">
        <v>212888645</v>
      </c>
      <c r="V256" s="101">
        <v>212888645</v>
      </c>
      <c r="W256" s="102">
        <v>1.03524579949954</v>
      </c>
      <c r="X256" t="inlineStr">
        <is>
          <t>Hubo ejecución por encima de lo programado en SisPT</t>
        </is>
      </c>
    </row>
    <row r="257">
      <c r="A257" t="inlineStr">
        <is>
          <t>IP-340</t>
        </is>
      </c>
      <c r="B257" t="inlineStr">
        <is>
          <t>40</t>
        </is>
      </c>
      <c r="C257" t="inlineStr">
        <is>
          <t>Vivienda, ciudad y territorio</t>
        </is>
      </c>
      <c r="D257" t="inlineStr">
        <is>
          <t>4002</t>
        </is>
      </c>
      <c r="E257" t="inlineStr">
        <is>
          <t>Ordenamiento territorial y desarrollo urbano</t>
        </is>
      </c>
      <c r="F257" t="inlineStr">
        <is>
          <t>4002019</t>
        </is>
      </c>
      <c r="G257" t="inlineStr">
        <is>
          <t>Espacio publico construido</t>
        </is>
      </c>
      <c r="H257" t="inlineStr">
        <is>
          <t>Construcción de obras de infraestructura que intervienen los elementos constitutivos y complementarios del espacio público contenidos en el Decreto 1504 de 1998</t>
        </is>
      </c>
      <c r="I257" t="inlineStr">
        <is>
          <t>2024257580037</t>
        </is>
      </c>
      <c r="J257" s="99">
        <v>1000000000</v>
      </c>
      <c r="K257" s="99">
        <v>0</v>
      </c>
      <c r="L257" s="99">
        <v>1000000000</v>
      </c>
      <c r="M257" s="99">
        <v>0</v>
      </c>
      <c r="N257" s="99">
        <v>0</v>
      </c>
      <c r="O257" s="99">
        <v>150383341</v>
      </c>
      <c r="P257" s="99">
        <v>150383341</v>
      </c>
      <c r="Q257" s="99">
        <v>150383341</v>
      </c>
      <c r="R257" s="100" t="inlineStr">
        <is>
          <t xml:space="preserve"> </t>
        </is>
      </c>
      <c r="S257" t="inlineStr">
        <is>
          <t>Se ejecutó un producto no programado en la vigencia</t>
        </is>
      </c>
      <c r="T257" s="101">
        <v>383438366</v>
      </c>
      <c r="U257" s="101">
        <v>352523569</v>
      </c>
      <c r="V257" s="101">
        <v>352523569</v>
      </c>
      <c r="W257" s="102">
        <v>0.352523569</v>
      </c>
      <c r="X257" t="inlineStr">
        <is>
          <t>Lo obligado está por debajo de lo programado en la vigencia</t>
        </is>
      </c>
    </row>
    <row r="258">
      <c r="A258" t="inlineStr">
        <is>
          <t>IP-342</t>
        </is>
      </c>
      <c r="B258" t="inlineStr">
        <is>
          <t>40</t>
        </is>
      </c>
      <c r="C258" t="inlineStr">
        <is>
          <t>Vivienda, ciudad y territorio</t>
        </is>
      </c>
      <c r="D258" t="inlineStr">
        <is>
          <t>4002</t>
        </is>
      </c>
      <c r="E258" t="inlineStr">
        <is>
          <t>Ordenamiento territorial y desarrollo urbano</t>
        </is>
      </c>
      <c r="F258" t="inlineStr">
        <is>
          <t>4002040</t>
        </is>
      </c>
      <c r="G258" t="inlineStr">
        <is>
          <t>Servicio de adquisición de predios en zonas de alto riesgo</t>
        </is>
      </c>
      <c r="H258" t="inlineStr">
        <is>
          <t>Corresponde a la adquisición de predios localizados en zonas de alto riesgo no mitigable, o los ordenados mediante sentencias judiciales  o actos administrativos, para la relocalización transitoria y reubicación definitiva de hogares.</t>
        </is>
      </c>
      <c r="I258" t="inlineStr">
        <is>
          <t>2024257580037</t>
        </is>
      </c>
      <c r="J258" s="99">
        <v>0</v>
      </c>
      <c r="K258" s="99">
        <v>0</v>
      </c>
      <c r="L258" s="99">
        <v>0</v>
      </c>
      <c r="M258" s="99">
        <v>0</v>
      </c>
      <c r="N258" s="99">
        <v>0</v>
      </c>
      <c r="O258" s="99" t="inlineStr">
        <is>
          <t xml:space="preserve"> </t>
        </is>
      </c>
      <c r="P258" s="99" t="inlineStr">
        <is>
          <t xml:space="preserve"> </t>
        </is>
      </c>
      <c r="Q258" s="99" t="inlineStr">
        <is>
          <t xml:space="preserve"> </t>
        </is>
      </c>
      <c r="R258" s="100" t="inlineStr">
        <is>
          <t xml:space="preserve"> </t>
        </is>
      </c>
      <c r="S258" t="inlineStr">
        <is>
          <t>No se encontró ejecución en CUIPO</t>
        </is>
      </c>
      <c r="T258" s="101" t="inlineStr">
        <is>
          <t xml:space="preserve"> </t>
        </is>
      </c>
      <c r="U258" s="101" t="inlineStr">
        <is>
          <t xml:space="preserve"> </t>
        </is>
      </c>
      <c r="V258" s="101" t="inlineStr">
        <is>
          <t xml:space="preserve"> </t>
        </is>
      </c>
      <c r="W258" s="102" t="inlineStr">
        <is>
          <t xml:space="preserve"> </t>
        </is>
      </c>
      <c r="X258" t="inlineStr">
        <is>
          <t>No se encontró ejecución en CUIPO</t>
        </is>
      </c>
    </row>
    <row r="259">
      <c r="A259" t="inlineStr">
        <is>
          <t>IP-343</t>
        </is>
      </c>
      <c r="B259" t="inlineStr">
        <is>
          <t>45</t>
        </is>
      </c>
      <c r="C259" t="inlineStr">
        <is>
          <t>Gobierno Territorial</t>
        </is>
      </c>
      <c r="D259" t="inlineStr">
        <is>
          <t>4501</t>
        </is>
      </c>
      <c r="E259" t="inlineStr">
        <is>
          <t>Fortalecimiento de la convivencia y la seguridad ciudadana</t>
        </is>
      </c>
      <c r="F259" t="inlineStr">
        <is>
          <t>4501031</t>
        </is>
      </c>
      <c r="G259" t="inlineStr">
        <is>
          <t>Documentos normativos</t>
        </is>
      </c>
      <c r="H259" t="inlineStr">
        <is>
          <t>Incluye la realización de documentos de contenido normativo para la reglamentación de los proyectos de ley presentados y aprobados.</t>
        </is>
      </c>
      <c r="I259" t="inlineStr">
        <is>
          <t>2024257580035</t>
        </is>
      </c>
      <c r="J259" s="99">
        <v>1105889967</v>
      </c>
      <c r="K259" s="99">
        <v>238287000</v>
      </c>
      <c r="L259" s="99">
        <v>262115700</v>
      </c>
      <c r="M259" s="99">
        <v>288327270</v>
      </c>
      <c r="N259" s="99">
        <v>317159997</v>
      </c>
      <c r="O259" s="99">
        <v>64489958</v>
      </c>
      <c r="P259" s="99">
        <v>64489958</v>
      </c>
      <c r="Q259" s="99">
        <v>62306846</v>
      </c>
      <c r="R259" s="100">
        <v>0.270639850264597</v>
      </c>
      <c r="S259" t="inlineStr">
        <is>
          <t>Lo obligado está por debajo de lo programado en la vigencia</t>
        </is>
      </c>
      <c r="T259" s="101">
        <v>80874539</v>
      </c>
      <c r="U259" s="101">
        <v>60325584</v>
      </c>
      <c r="V259" s="101">
        <v>60325584</v>
      </c>
      <c r="W259" s="102">
        <v>0.230148686248096</v>
      </c>
      <c r="X259" t="inlineStr">
        <is>
          <t>Lo obligado está por debajo de lo programado en la vigencia</t>
        </is>
      </c>
    </row>
    <row r="260">
      <c r="A260" t="inlineStr">
        <is>
          <t>IP-344, IP-345</t>
        </is>
      </c>
      <c r="B260" t="inlineStr">
        <is>
          <t>45</t>
        </is>
      </c>
      <c r="C260" t="inlineStr">
        <is>
          <t>Gobierno Territorial</t>
        </is>
      </c>
      <c r="D260" t="inlineStr">
        <is>
          <t>4501</t>
        </is>
      </c>
      <c r="E260" t="inlineStr">
        <is>
          <t>Fortalecimiento de la convivencia y la seguridad ciudadana</t>
        </is>
      </c>
      <c r="F260" t="inlineStr">
        <is>
          <t>4501028</t>
        </is>
      </c>
      <c r="G260" t="inlineStr">
        <is>
          <t>Servicio de vigilancia a través de cámaras de seguridad</t>
        </is>
      </c>
      <c r="H260" t="inlineStr">
        <is>
          <t>Incluye la disposición tecnológica de cámaras de seguridad para la implementación de estrategias de convivencia y seguridad ciudadana.</t>
        </is>
      </c>
      <c r="I260" t="inlineStr">
        <is>
          <t>2024257580035</t>
        </is>
      </c>
      <c r="J260" s="99">
        <v>5324387250</v>
      </c>
      <c r="K260" s="99">
        <v>1147250000</v>
      </c>
      <c r="L260" s="99">
        <v>1261975000</v>
      </c>
      <c r="M260" s="99">
        <v>1388172500</v>
      </c>
      <c r="N260" s="99">
        <v>1526989750</v>
      </c>
      <c r="O260" s="99">
        <v>331799249</v>
      </c>
      <c r="P260" s="99">
        <v>331799249</v>
      </c>
      <c r="Q260" s="99">
        <v>204179246</v>
      </c>
      <c r="R260" s="100">
        <v>0.289212681629985</v>
      </c>
      <c r="S260" t="inlineStr">
        <is>
          <t>Lo obligado está por debajo de lo programado en la vigencia</t>
        </is>
      </c>
      <c r="T260" s="101">
        <v>333041600</v>
      </c>
      <c r="U260" s="101">
        <v>93746058</v>
      </c>
      <c r="V260" s="101">
        <v>93746058</v>
      </c>
      <c r="W260" s="102">
        <v>0.0742851942391886</v>
      </c>
      <c r="X260" t="inlineStr">
        <is>
          <t>Lo obligado está por debajo de lo programado en la vigencia</t>
        </is>
      </c>
    </row>
    <row r="261">
      <c r="A261" t="inlineStr">
        <is>
          <t>IP-346</t>
        </is>
      </c>
      <c r="B261" t="inlineStr">
        <is>
          <t>45</t>
        </is>
      </c>
      <c r="C261" t="inlineStr">
        <is>
          <t>Gobierno Territorial</t>
        </is>
      </c>
      <c r="D261" t="inlineStr">
        <is>
          <t>4501</t>
        </is>
      </c>
      <c r="E261" t="inlineStr">
        <is>
          <t>Fortalecimiento de la convivencia y la seguridad ciudadana</t>
        </is>
      </c>
      <c r="F261" t="inlineStr">
        <is>
          <t>4501043</t>
        </is>
      </c>
      <c r="G261" t="inlineStr">
        <is>
          <t>Infraestructura para la promoción a la cultura de la legalidad y a la convivencia adecuada</t>
        </is>
      </c>
      <c r="H261" t="inlineStr">
        <is>
          <t xml:space="preserve">Acciones orientadas a  cambiar el uso de una edificación o parte de ella, garantizando la permanencia total o parcial del inmueble original de acuerdo con las necesidades focalizadas en materia del programa en las zonas rurales y urbanas. </t>
        </is>
      </c>
      <c r="I261" t="inlineStr">
        <is>
          <t>2024257580035</t>
        </is>
      </c>
      <c r="J261" s="99">
        <v>185640000</v>
      </c>
      <c r="K261" s="99">
        <v>40000000</v>
      </c>
      <c r="L261" s="99">
        <v>44000000</v>
      </c>
      <c r="M261" s="99">
        <v>48400000</v>
      </c>
      <c r="N261" s="99">
        <v>53240000</v>
      </c>
      <c r="O261" s="99">
        <v>53529015</v>
      </c>
      <c r="P261" s="99">
        <v>53529015</v>
      </c>
      <c r="Q261" s="99">
        <v>53529015</v>
      </c>
      <c r="R261" s="100">
        <v>1.338225375</v>
      </c>
      <c r="S261" t="inlineStr">
        <is>
          <t>Hubo ejecución por encima de lo programado en SisPT</t>
        </is>
      </c>
      <c r="T261" s="101">
        <v>2967463</v>
      </c>
      <c r="U261" s="101">
        <v>0</v>
      </c>
      <c r="V261" s="101">
        <v>0</v>
      </c>
      <c r="W261" s="102">
        <v>0</v>
      </c>
      <c r="X261" t="inlineStr">
        <is>
          <t>No se ejecutó en la vigencia</t>
        </is>
      </c>
    </row>
    <row r="262">
      <c r="A262" t="inlineStr">
        <is>
          <t>IP-347</t>
        </is>
      </c>
      <c r="B262" t="inlineStr">
        <is>
          <t>45</t>
        </is>
      </c>
      <c r="C262" t="inlineStr">
        <is>
          <t>Gobierno Territorial</t>
        </is>
      </c>
      <c r="D262" t="inlineStr">
        <is>
          <t>4501</t>
        </is>
      </c>
      <c r="E262" t="inlineStr">
        <is>
          <t>Fortalecimiento de la convivencia y la seguridad ciudadana</t>
        </is>
      </c>
      <c r="F262" t="inlineStr">
        <is>
          <t>4501057</t>
        </is>
      </c>
      <c r="G262" t="inlineStr">
        <is>
          <t>Servicio de apoyo financiero para dotar a miembros de la fuerza publica</t>
        </is>
      </c>
      <c r="H262" t="inlineStr">
        <is>
          <t xml:space="preserve">Corresponde a los recursos del Fondos de Seguridad de las Entidades Territoriales (FONSET) destinados a la adquisición de dotación para nuevos policias, soldados y auxiliares en tanto se inicia la nueva vigencia.
</t>
        </is>
      </c>
      <c r="I262" t="inlineStr">
        <is>
          <t>2024257580035</t>
        </is>
      </c>
      <c r="J262" s="99">
        <v>691509000</v>
      </c>
      <c r="K262" s="99">
        <v>149000000</v>
      </c>
      <c r="L262" s="99">
        <v>163900000</v>
      </c>
      <c r="M262" s="99">
        <v>180290000</v>
      </c>
      <c r="N262" s="99">
        <v>198319000</v>
      </c>
      <c r="O262" s="99">
        <v>7643730</v>
      </c>
      <c r="P262" s="99">
        <v>7643730</v>
      </c>
      <c r="Q262" s="99">
        <v>0</v>
      </c>
      <c r="R262" s="100">
        <v>0.0513002013422819</v>
      </c>
      <c r="S262" t="inlineStr">
        <is>
          <t>Lo obligado está por debajo de lo programado en la vigencia</t>
        </is>
      </c>
      <c r="T262" s="101">
        <v>248729708</v>
      </c>
      <c r="U262" s="101">
        <v>67641349</v>
      </c>
      <c r="V262" s="101">
        <v>67641349</v>
      </c>
      <c r="W262" s="102">
        <v>0.41269889566809</v>
      </c>
      <c r="X262" t="inlineStr">
        <is>
          <t>Lo obligado está por debajo de lo programado en la vigencia</t>
        </is>
      </c>
    </row>
    <row r="263">
      <c r="A263" t="inlineStr">
        <is>
          <t>IP-348</t>
        </is>
      </c>
      <c r="B263" t="inlineStr">
        <is>
          <t>45</t>
        </is>
      </c>
      <c r="C263" t="inlineStr">
        <is>
          <t>Gobierno Territorial</t>
        </is>
      </c>
      <c r="D263" t="inlineStr">
        <is>
          <t>4501</t>
        </is>
      </c>
      <c r="E263" t="inlineStr">
        <is>
          <t>Fortalecimiento de la convivencia y la seguridad ciudadana</t>
        </is>
      </c>
      <c r="F263" t="inlineStr">
        <is>
          <t>4501090</t>
        </is>
      </c>
      <c r="G263" t="inlineStr">
        <is>
          <t>Infraestructura de promoción de la convivencia y seguridad ciudadana adecuada</t>
        </is>
      </c>
      <c r="H263"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263" t="inlineStr">
        <is>
          <t>2024257580035</t>
        </is>
      </c>
      <c r="J263" s="99">
        <v>0</v>
      </c>
      <c r="K263" s="99">
        <v>0</v>
      </c>
      <c r="L263" s="99">
        <v>0</v>
      </c>
      <c r="M263" s="99">
        <v>0</v>
      </c>
      <c r="N263" s="99">
        <v>0</v>
      </c>
      <c r="O263" s="99" t="inlineStr">
        <is>
          <t xml:space="preserve"> </t>
        </is>
      </c>
      <c r="P263" s="99" t="inlineStr">
        <is>
          <t xml:space="preserve"> </t>
        </is>
      </c>
      <c r="Q263" s="99" t="inlineStr">
        <is>
          <t xml:space="preserve"> </t>
        </is>
      </c>
      <c r="R263" s="100" t="inlineStr">
        <is>
          <t xml:space="preserve"> </t>
        </is>
      </c>
      <c r="S263" t="inlineStr">
        <is>
          <t>No se encontró ejecución en CUIPO</t>
        </is>
      </c>
      <c r="T263" s="101" t="inlineStr">
        <is>
          <t xml:space="preserve"> </t>
        </is>
      </c>
      <c r="U263" s="101" t="inlineStr">
        <is>
          <t xml:space="preserve"> </t>
        </is>
      </c>
      <c r="V263" s="101" t="inlineStr">
        <is>
          <t xml:space="preserve"> </t>
        </is>
      </c>
      <c r="W263" s="102" t="inlineStr">
        <is>
          <t xml:space="preserve"> </t>
        </is>
      </c>
      <c r="X263" t="inlineStr">
        <is>
          <t>No se encontró ejecución en CUIPO</t>
        </is>
      </c>
    </row>
    <row r="264">
      <c r="A264" t="inlineStr">
        <is>
          <t>IP-349</t>
        </is>
      </c>
      <c r="B264" t="inlineStr">
        <is>
          <t>45</t>
        </is>
      </c>
      <c r="C264" t="inlineStr">
        <is>
          <t>Gobierno Territorial</t>
        </is>
      </c>
      <c r="D264" t="inlineStr">
        <is>
          <t>4501</t>
        </is>
      </c>
      <c r="E264" t="inlineStr">
        <is>
          <t>Fortalecimiento de la convivencia y la seguridad ciudadana</t>
        </is>
      </c>
      <c r="F264" t="inlineStr">
        <is>
          <t>4501007</t>
        </is>
      </c>
      <c r="G264" t="inlineStr">
        <is>
          <t>Servicio información implementado</t>
        </is>
      </c>
      <c r="H264" t="inlineStr">
        <is>
          <t>Diseño e implementación de las Tics orientadas a atender las necesidades de las dependencias de la entidad en Sistemas de Información, infraestructura computacional, y  redes, que apoyen los proceso de toma de decisiones y la accesibilidad a la ciudadanía.</t>
        </is>
      </c>
      <c r="I264" t="inlineStr">
        <is>
          <t>2024257580081</t>
        </is>
      </c>
      <c r="J264" s="99">
        <v>701951250</v>
      </c>
      <c r="K264" s="99">
        <v>151250000</v>
      </c>
      <c r="L264" s="99">
        <v>166375000</v>
      </c>
      <c r="M264" s="99">
        <v>183012500</v>
      </c>
      <c r="N264" s="99">
        <v>201313750</v>
      </c>
      <c r="O264" s="99" t="inlineStr">
        <is>
          <t xml:space="preserve"> </t>
        </is>
      </c>
      <c r="P264" s="99" t="inlineStr">
        <is>
          <t xml:space="preserve"> </t>
        </is>
      </c>
      <c r="Q264" s="99" t="inlineStr">
        <is>
          <t xml:space="preserve"> </t>
        </is>
      </c>
      <c r="R264" s="100" t="inlineStr">
        <is>
          <t xml:space="preserve"> </t>
        </is>
      </c>
      <c r="S264" t="inlineStr">
        <is>
          <t>No se encontró ejecución en CUIPO</t>
        </is>
      </c>
      <c r="T264" s="101">
        <v>22795025</v>
      </c>
      <c r="U264" s="101">
        <v>9347525</v>
      </c>
      <c r="V264" s="101">
        <v>9347525</v>
      </c>
      <c r="W264" s="102">
        <v>0.0561834710743802</v>
      </c>
      <c r="X264" t="inlineStr">
        <is>
          <t>Lo obligado está por debajo de lo programado en la vigencia</t>
        </is>
      </c>
    </row>
    <row r="265">
      <c r="A265" t="inlineStr">
        <is>
          <t>IP-350</t>
        </is>
      </c>
      <c r="B265" t="inlineStr">
        <is>
          <t>45</t>
        </is>
      </c>
      <c r="C265" t="inlineStr">
        <is>
          <t>Gobierno Territorial</t>
        </is>
      </c>
      <c r="D265" t="inlineStr">
        <is>
          <t>4501</t>
        </is>
      </c>
      <c r="E265" t="inlineStr">
        <is>
          <t>Fortalecimiento de la convivencia y la seguridad ciudadana</t>
        </is>
      </c>
      <c r="F265" t="inlineStr">
        <is>
          <t>4501046</t>
        </is>
      </c>
      <c r="G265" t="inlineStr">
        <is>
          <t>Documentos de lineamientos técnicos</t>
        </is>
      </c>
      <c r="H265" t="inlineStr">
        <is>
          <t>Documentos cuyo objetivo es describir y explicar instrumentos, estándares, requisitos y condiciones necesarias para llevar a cabo un proceso o actividad.</t>
        </is>
      </c>
      <c r="I265" t="inlineStr">
        <is>
          <t>2024257580081</t>
        </is>
      </c>
      <c r="J265" s="99">
        <v>556920000</v>
      </c>
      <c r="K265" s="99">
        <v>120000000</v>
      </c>
      <c r="L265" s="99">
        <v>132000000</v>
      </c>
      <c r="M265" s="99">
        <v>145200000</v>
      </c>
      <c r="N265" s="99">
        <v>159720000</v>
      </c>
      <c r="O265" s="99">
        <v>40357220</v>
      </c>
      <c r="P265" s="99">
        <v>13452407</v>
      </c>
      <c r="Q265" s="99">
        <v>0</v>
      </c>
      <c r="R265" s="100">
        <v>0.112103391666667</v>
      </c>
      <c r="S265" t="inlineStr">
        <is>
          <t>Lo obligado está por debajo de lo programado en la vigencia</t>
        </is>
      </c>
      <c r="T265" s="101">
        <v>456305645</v>
      </c>
      <c r="U265" s="101">
        <v>456305645</v>
      </c>
      <c r="V265" s="101">
        <v>456305645</v>
      </c>
      <c r="W265" s="102">
        <v>3.4568609469697</v>
      </c>
      <c r="X265" t="inlineStr">
        <is>
          <t>Hubo ejecución por encima de lo programado en SisPT</t>
        </is>
      </c>
    </row>
    <row r="266">
      <c r="A266" t="inlineStr">
        <is>
          <t>IP-351, IP-352, IP-353, IP-354</t>
        </is>
      </c>
      <c r="B266" t="inlineStr">
        <is>
          <t>45</t>
        </is>
      </c>
      <c r="C266" t="inlineStr">
        <is>
          <t>Gobierno Territorial</t>
        </is>
      </c>
      <c r="D266" t="inlineStr">
        <is>
          <t>4501</t>
        </is>
      </c>
      <c r="E266" t="inlineStr">
        <is>
          <t>Fortalecimiento de la convivencia y la seguridad ciudadana</t>
        </is>
      </c>
      <c r="F266" t="inlineStr">
        <is>
          <t>4501048</t>
        </is>
      </c>
      <c r="G266" t="inlineStr">
        <is>
          <t>Servicio de apoyo para el acceso a la justicia policiva</t>
        </is>
      </c>
      <c r="H266" t="inlineStr">
        <is>
          <t>Comprende la estructuración , definición , implementacion y evaluación de estrategias que permitan garantizar el  efectivo cumplimiento de las normas para la prestación de los servicios de justicia policiva.</t>
        </is>
      </c>
      <c r="I266" t="inlineStr">
        <is>
          <t>2024257580081</t>
        </is>
      </c>
      <c r="J266" s="99">
        <v>298987887</v>
      </c>
      <c r="K266" s="99">
        <v>89407000</v>
      </c>
      <c r="L266" s="99">
        <v>63347700</v>
      </c>
      <c r="M266" s="99">
        <v>69582470</v>
      </c>
      <c r="N266" s="99">
        <v>76650717</v>
      </c>
      <c r="O266" s="99" t="inlineStr">
        <is>
          <t xml:space="preserve"> </t>
        </is>
      </c>
      <c r="P266" s="99" t="inlineStr">
        <is>
          <t xml:space="preserve"> </t>
        </is>
      </c>
      <c r="Q266" s="99" t="inlineStr">
        <is>
          <t xml:space="preserve"> </t>
        </is>
      </c>
      <c r="R266" s="100" t="inlineStr">
        <is>
          <t xml:space="preserve"> </t>
        </is>
      </c>
      <c r="S266" t="inlineStr">
        <is>
          <t>No se encontró ejecución en CUIPO</t>
        </is>
      </c>
      <c r="T266" s="101">
        <v>242412373</v>
      </c>
      <c r="U266" s="101">
        <v>242412373</v>
      </c>
      <c r="V266" s="101">
        <v>242412373</v>
      </c>
      <c r="W266" s="102">
        <v>3.82669572849527</v>
      </c>
      <c r="X266" t="inlineStr">
        <is>
          <t>Hubo ejecución por encima de lo programado en SisPT</t>
        </is>
      </c>
    </row>
    <row r="267">
      <c r="A267" t="inlineStr">
        <is>
          <t>IP-355</t>
        </is>
      </c>
      <c r="B267" t="inlineStr">
        <is>
          <t>45</t>
        </is>
      </c>
      <c r="C267" t="inlineStr">
        <is>
          <t>Gobierno Territorial</t>
        </is>
      </c>
      <c r="D267" t="inlineStr">
        <is>
          <t>4501</t>
        </is>
      </c>
      <c r="E267" t="inlineStr">
        <is>
          <t>Fortalecimiento de la convivencia y la seguridad ciudadana</t>
        </is>
      </c>
      <c r="F267" t="inlineStr">
        <is>
          <t>4501003</t>
        </is>
      </c>
      <c r="G267" t="inlineStr">
        <is>
          <t>Escuelas territoriales de convivencia ciudadana construidas</t>
        </is>
      </c>
      <c r="H267" t="inlineStr">
        <is>
          <t>Acciones enfocadas a dotar a la ciudadanía de conocimientos, herramientas, habilidades y destrezas que  aporten a su desarrollo personal, social, político y cultural ,  con énfasis en la construcción de la paz, la convivencia y la reconciliación.</t>
        </is>
      </c>
      <c r="I267" t="inlineStr">
        <is>
          <t>2024257580086</t>
        </is>
      </c>
      <c r="J267" s="99">
        <v>69615000</v>
      </c>
      <c r="K267" s="99">
        <v>15000000</v>
      </c>
      <c r="L267" s="99">
        <v>16500000</v>
      </c>
      <c r="M267" s="99">
        <v>18150000</v>
      </c>
      <c r="N267" s="99">
        <v>19965000</v>
      </c>
      <c r="O267" s="99" t="inlineStr">
        <is>
          <t xml:space="preserve"> </t>
        </is>
      </c>
      <c r="P267" s="99" t="inlineStr">
        <is>
          <t xml:space="preserve"> </t>
        </is>
      </c>
      <c r="Q267" s="99" t="inlineStr">
        <is>
          <t xml:space="preserve"> </t>
        </is>
      </c>
      <c r="R267" s="100" t="inlineStr">
        <is>
          <t xml:space="preserve"> </t>
        </is>
      </c>
      <c r="S267" t="inlineStr">
        <is>
          <t>No se encontró ejecución en CUIPO</t>
        </is>
      </c>
      <c r="T267" s="101">
        <v>42569100</v>
      </c>
      <c r="U267" s="101">
        <v>27668777</v>
      </c>
      <c r="V267" s="101">
        <v>27668777</v>
      </c>
      <c r="W267" s="102">
        <v>1.67689557575758</v>
      </c>
      <c r="X267" t="inlineStr">
        <is>
          <t>Hubo ejecución por encima de lo programado en SisPT</t>
        </is>
      </c>
    </row>
    <row r="268">
      <c r="A268" t="inlineStr">
        <is>
          <t>IP-356</t>
        </is>
      </c>
      <c r="B268" t="inlineStr">
        <is>
          <t>45</t>
        </is>
      </c>
      <c r="C268" t="inlineStr">
        <is>
          <t>Gobierno Territorial</t>
        </is>
      </c>
      <c r="D268" t="inlineStr">
        <is>
          <t>4501</t>
        </is>
      </c>
      <c r="E268" t="inlineStr">
        <is>
          <t>Fortalecimiento de la convivencia y la seguridad ciudadana</t>
        </is>
      </c>
      <c r="F268" t="inlineStr">
        <is>
          <t>4501042</t>
        </is>
      </c>
      <c r="G268" t="inlineStr">
        <is>
          <t>Infraestructura para la promoción a la cultura de la legalidad y a la convivencia construida y dotada</t>
        </is>
      </c>
      <c r="H268" t="inlineStr">
        <is>
          <t xml:space="preserve">Incluye la construcción de Infraestructura para la promoción a la cultura de la legalidad y a la convivencia en terrenos no construidos o cuya área esté libre por autorización de demolición total. A su vez, contiene la dotación a la infraestructura construida. </t>
        </is>
      </c>
      <c r="I268" t="inlineStr">
        <is>
          <t>2024257580086</t>
        </is>
      </c>
      <c r="J268" s="99">
        <v>2383023552</v>
      </c>
      <c r="K268" s="99">
        <v>2383023552</v>
      </c>
      <c r="L268" s="99">
        <v>0</v>
      </c>
      <c r="M268" s="99">
        <v>0</v>
      </c>
      <c r="N268" s="99">
        <v>0</v>
      </c>
      <c r="O268" s="99" t="inlineStr">
        <is>
          <t xml:space="preserve"> </t>
        </is>
      </c>
      <c r="P268" s="99" t="inlineStr">
        <is>
          <t xml:space="preserve"> </t>
        </is>
      </c>
      <c r="Q268" s="99" t="inlineStr">
        <is>
          <t xml:space="preserve"> </t>
        </is>
      </c>
      <c r="R268" s="100" t="inlineStr">
        <is>
          <t xml:space="preserve"> </t>
        </is>
      </c>
      <c r="S268" t="inlineStr">
        <is>
          <t>No se encontró ejecución en CUIPO</t>
        </is>
      </c>
      <c r="T268" s="101" t="inlineStr">
        <is>
          <t xml:space="preserve"> </t>
        </is>
      </c>
      <c r="U268" s="101" t="inlineStr">
        <is>
          <t xml:space="preserve"> </t>
        </is>
      </c>
      <c r="V268" s="101" t="inlineStr">
        <is>
          <t xml:space="preserve"> </t>
        </is>
      </c>
      <c r="W268" s="102" t="inlineStr">
        <is>
          <t xml:space="preserve"> </t>
        </is>
      </c>
      <c r="X268" t="inlineStr">
        <is>
          <t>No se encontró ejecución en CUIPO</t>
        </is>
      </c>
    </row>
    <row r="269">
      <c r="A269" t="inlineStr">
        <is>
          <t>IP-357</t>
        </is>
      </c>
      <c r="B269" t="inlineStr">
        <is>
          <t>45</t>
        </is>
      </c>
      <c r="C269" t="inlineStr">
        <is>
          <t>Gobierno Territorial</t>
        </is>
      </c>
      <c r="D269" t="inlineStr">
        <is>
          <t>4501</t>
        </is>
      </c>
      <c r="E269" t="inlineStr">
        <is>
          <t>Fortalecimiento de la convivencia y la seguridad ciudadana</t>
        </is>
      </c>
      <c r="F269" t="inlineStr">
        <is>
          <t>4501082</t>
        </is>
      </c>
      <c r="G269" t="inlineStr">
        <is>
          <t>Servicio de apoyo para la atención especializada e interdisciplinaria en las comisarias de familia</t>
        </is>
      </c>
      <c r="H269" t="inlineStr">
        <is>
          <t>Recursos para garantizar la atención de las comisarías de familia a aquellas personas que han sido victimas de violencia en el contexto familiar según lo establecido en la normatividad vigente.</t>
        </is>
      </c>
      <c r="I269" t="inlineStr">
        <is>
          <t>2024257580056</t>
        </is>
      </c>
      <c r="J269" s="99">
        <v>348075000</v>
      </c>
      <c r="K269" s="99">
        <v>75000000</v>
      </c>
      <c r="L269" s="99">
        <v>82500000</v>
      </c>
      <c r="M269" s="99">
        <v>90750000</v>
      </c>
      <c r="N269" s="99">
        <v>99825000</v>
      </c>
      <c r="O269" s="99">
        <v>33461395</v>
      </c>
      <c r="P269" s="99">
        <v>33461395</v>
      </c>
      <c r="Q269" s="99">
        <v>33461395</v>
      </c>
      <c r="R269" s="100">
        <v>0.446151933333333</v>
      </c>
      <c r="S269" t="inlineStr">
        <is>
          <t>Lo obligado está por debajo de lo programado en la vigencia</t>
        </is>
      </c>
      <c r="T269" s="101">
        <v>463010288</v>
      </c>
      <c r="U269" s="101">
        <v>442217434</v>
      </c>
      <c r="V269" s="101">
        <v>427913834</v>
      </c>
      <c r="W269" s="102">
        <v>5.36021132121212</v>
      </c>
      <c r="X269" t="inlineStr">
        <is>
          <t>Hubo ejecución por encima de lo programado en SisPT</t>
        </is>
      </c>
    </row>
    <row r="270">
      <c r="A270" t="inlineStr">
        <is>
          <t>IP-358</t>
        </is>
      </c>
      <c r="B270" t="inlineStr">
        <is>
          <t>45</t>
        </is>
      </c>
      <c r="C270" t="inlineStr">
        <is>
          <t>Gobierno Territorial</t>
        </is>
      </c>
      <c r="D270" t="inlineStr">
        <is>
          <t>4501</t>
        </is>
      </c>
      <c r="E270" t="inlineStr">
        <is>
          <t>Fortalecimiento de la convivencia y la seguridad ciudadana</t>
        </is>
      </c>
      <c r="F270" t="inlineStr">
        <is>
          <t>4501048</t>
        </is>
      </c>
      <c r="G270" t="inlineStr">
        <is>
          <t>Servicio de apoyo para el acceso a la justicia policiva</t>
        </is>
      </c>
      <c r="H270" t="inlineStr">
        <is>
          <t>Comprende la estructuración , definición , implementacion y evaluación de estrategias que permitan garantizar el  efectivo cumplimiento de las normas para la prestación de los servicios de justicia policiva.</t>
        </is>
      </c>
      <c r="I270" t="inlineStr">
        <is>
          <t>2024257580056</t>
        </is>
      </c>
      <c r="J270" s="99">
        <v>116025000</v>
      </c>
      <c r="K270" s="99">
        <v>25000000</v>
      </c>
      <c r="L270" s="99">
        <v>27500000</v>
      </c>
      <c r="M270" s="99">
        <v>30250000</v>
      </c>
      <c r="N270" s="99">
        <v>33275000</v>
      </c>
      <c r="O270" s="99" t="inlineStr">
        <is>
          <t xml:space="preserve"> </t>
        </is>
      </c>
      <c r="P270" s="99" t="inlineStr">
        <is>
          <t xml:space="preserve"> </t>
        </is>
      </c>
      <c r="Q270" s="99" t="inlineStr">
        <is>
          <t xml:space="preserve"> </t>
        </is>
      </c>
      <c r="R270" s="100" t="inlineStr">
        <is>
          <t xml:space="preserve"> </t>
        </is>
      </c>
      <c r="S270" t="inlineStr">
        <is>
          <t>No se encontró ejecución en CUIPO</t>
        </is>
      </c>
      <c r="T270" s="101">
        <v>14377574</v>
      </c>
      <c r="U270" s="101">
        <v>10877685</v>
      </c>
      <c r="V270" s="101">
        <v>10877685</v>
      </c>
      <c r="W270" s="102">
        <v>0.395552181818182</v>
      </c>
      <c r="X270" t="inlineStr">
        <is>
          <t>Lo obligado está por debajo de lo programado en la vigencia</t>
        </is>
      </c>
    </row>
    <row r="271">
      <c r="A271" t="inlineStr">
        <is>
          <t>IP-359</t>
        </is>
      </c>
      <c r="B271" t="inlineStr">
        <is>
          <t>45</t>
        </is>
      </c>
      <c r="C271" t="inlineStr">
        <is>
          <t>Gobierno Territorial</t>
        </is>
      </c>
      <c r="D271" t="inlineStr">
        <is>
          <t>4501</t>
        </is>
      </c>
      <c r="E271" t="inlineStr">
        <is>
          <t>Fortalecimiento de la convivencia y la seguridad ciudadana</t>
        </is>
      </c>
      <c r="F271" t="inlineStr">
        <is>
          <t>4501054</t>
        </is>
      </c>
      <c r="G271" t="inlineStr">
        <is>
          <t>Servicio de sanidad animal</t>
        </is>
      </c>
      <c r="H271" t="inlineStr">
        <is>
          <t>Corresponde a la atención médica veterinaria recibida en el coso municipal para prevenir, diagnosticar y curar las enfermedades de los animales recuperados por el ente territorial.</t>
        </is>
      </c>
      <c r="I271" t="inlineStr">
        <is>
          <t>2024257580078</t>
        </is>
      </c>
      <c r="J271" s="99">
        <v>81217500</v>
      </c>
      <c r="K271" s="99">
        <v>17500000</v>
      </c>
      <c r="L271" s="99">
        <v>19250000</v>
      </c>
      <c r="M271" s="99">
        <v>21175000</v>
      </c>
      <c r="N271" s="99">
        <v>23292500</v>
      </c>
      <c r="O271" s="99" t="inlineStr">
        <is>
          <t xml:space="preserve"> </t>
        </is>
      </c>
      <c r="P271" s="99" t="inlineStr">
        <is>
          <t xml:space="preserve"> </t>
        </is>
      </c>
      <c r="Q271" s="99" t="inlineStr">
        <is>
          <t xml:space="preserve"> </t>
        </is>
      </c>
      <c r="R271" s="100" t="inlineStr">
        <is>
          <t xml:space="preserve"> </t>
        </is>
      </c>
      <c r="S271" t="inlineStr">
        <is>
          <t>No se encontró ejecución en CUIPO</t>
        </is>
      </c>
      <c r="T271" s="101" t="inlineStr">
        <is>
          <t xml:space="preserve"> </t>
        </is>
      </c>
      <c r="U271" s="101" t="inlineStr">
        <is>
          <t xml:space="preserve"> </t>
        </is>
      </c>
      <c r="V271" s="101" t="inlineStr">
        <is>
          <t xml:space="preserve"> </t>
        </is>
      </c>
      <c r="W271" s="102" t="inlineStr">
        <is>
          <t xml:space="preserve"> </t>
        </is>
      </c>
      <c r="X271" t="inlineStr">
        <is>
          <t>No se encontró ejecución en CUIPO</t>
        </is>
      </c>
    </row>
    <row r="272">
      <c r="A272" t="inlineStr">
        <is>
          <t>IP-360</t>
        </is>
      </c>
      <c r="B272" t="inlineStr">
        <is>
          <t>45</t>
        </is>
      </c>
      <c r="C272" t="inlineStr">
        <is>
          <t>Gobierno Territorial</t>
        </is>
      </c>
      <c r="D272" t="inlineStr">
        <is>
          <t>4501</t>
        </is>
      </c>
      <c r="E272" t="inlineStr">
        <is>
          <t>Fortalecimiento de la convivencia y la seguridad ciudadana</t>
        </is>
      </c>
      <c r="F272" t="inlineStr">
        <is>
          <t>4501060</t>
        </is>
      </c>
      <c r="G272" t="inlineStr">
        <is>
          <t>Infraestructura para el bienestar animal adecuada</t>
        </is>
      </c>
      <c r="H272" t="inlineStr">
        <is>
          <t>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272" t="inlineStr">
        <is>
          <t>2024257580078</t>
        </is>
      </c>
      <c r="J272" s="99">
        <v>128137500</v>
      </c>
      <c r="K272" s="99">
        <v>27500000</v>
      </c>
      <c r="L272" s="99">
        <v>30750000</v>
      </c>
      <c r="M272" s="99">
        <v>33275000</v>
      </c>
      <c r="N272" s="99">
        <v>36612500</v>
      </c>
      <c r="O272" s="99" t="inlineStr">
        <is>
          <t xml:space="preserve"> </t>
        </is>
      </c>
      <c r="P272" s="99" t="inlineStr">
        <is>
          <t xml:space="preserve"> </t>
        </is>
      </c>
      <c r="Q272" s="99" t="inlineStr">
        <is>
          <t xml:space="preserve"> </t>
        </is>
      </c>
      <c r="R272" s="100" t="inlineStr">
        <is>
          <t xml:space="preserve"> </t>
        </is>
      </c>
      <c r="S272" t="inlineStr">
        <is>
          <t>No se encontró ejecución en CUIPO</t>
        </is>
      </c>
      <c r="T272" s="101" t="inlineStr">
        <is>
          <t xml:space="preserve"> </t>
        </is>
      </c>
      <c r="U272" s="101" t="inlineStr">
        <is>
          <t xml:space="preserve"> </t>
        </is>
      </c>
      <c r="V272" s="101" t="inlineStr">
        <is>
          <t xml:space="preserve"> </t>
        </is>
      </c>
      <c r="W272" s="102" t="inlineStr">
        <is>
          <t xml:space="preserve"> </t>
        </is>
      </c>
      <c r="X272" t="inlineStr">
        <is>
          <t>No se encontró ejecución en CUIPO</t>
        </is>
      </c>
    </row>
    <row r="273">
      <c r="A273" t="inlineStr">
        <is>
          <t>IP-361, IP-364, IP-365</t>
        </is>
      </c>
      <c r="B273" t="inlineStr">
        <is>
          <t>12</t>
        </is>
      </c>
      <c r="C273" t="inlineStr">
        <is>
          <t>Justicia y del derecho</t>
        </is>
      </c>
      <c r="D273" t="inlineStr">
        <is>
          <t>1202</t>
        </is>
      </c>
      <c r="E273" t="inlineStr">
        <is>
          <t>Promoción al acceso a la justicia</t>
        </is>
      </c>
      <c r="F273" t="inlineStr">
        <is>
          <t>1202019</t>
        </is>
      </c>
      <c r="G273" t="inlineStr">
        <is>
          <t>Servicio de promoción del acceso a la justicia</t>
        </is>
      </c>
      <c r="H273" t="inlineStr">
        <is>
          <t>Comprende el desarrollo de estrategias para la promoción del acceso a la justicia </t>
        </is>
      </c>
      <c r="I273" t="inlineStr">
        <is>
          <t>2024257580082</t>
        </is>
      </c>
      <c r="J273" s="99">
        <v>584766000</v>
      </c>
      <c r="K273" s="99">
        <v>126000000</v>
      </c>
      <c r="L273" s="99">
        <v>138600000</v>
      </c>
      <c r="M273" s="99">
        <v>152460000</v>
      </c>
      <c r="N273" s="99">
        <v>167706000</v>
      </c>
      <c r="O273" s="99" t="inlineStr">
        <is>
          <t xml:space="preserve"> </t>
        </is>
      </c>
      <c r="P273" s="99" t="inlineStr">
        <is>
          <t xml:space="preserve"> </t>
        </is>
      </c>
      <c r="Q273" s="99" t="inlineStr">
        <is>
          <t xml:space="preserve"> </t>
        </is>
      </c>
      <c r="R273" s="100" t="inlineStr">
        <is>
          <t xml:space="preserve"> </t>
        </is>
      </c>
      <c r="S273" t="inlineStr">
        <is>
          <t>No se encontró ejecución en CUIPO</t>
        </is>
      </c>
      <c r="T273" s="101">
        <v>45786034</v>
      </c>
      <c r="U273" s="101">
        <v>28260536</v>
      </c>
      <c r="V273" s="101">
        <v>28260536</v>
      </c>
      <c r="W273" s="102">
        <v>0.203899971139971</v>
      </c>
      <c r="X273" t="inlineStr">
        <is>
          <t>Lo obligado está por debajo de lo programado en la vigencia</t>
        </is>
      </c>
    </row>
    <row r="274">
      <c r="A274" t="inlineStr">
        <is>
          <t>IP-362</t>
        </is>
      </c>
      <c r="B274" t="inlineStr">
        <is>
          <t>12</t>
        </is>
      </c>
      <c r="C274" t="inlineStr">
        <is>
          <t>Justicia y del derecho</t>
        </is>
      </c>
      <c r="D274" t="inlineStr">
        <is>
          <t>1202</t>
        </is>
      </c>
      <c r="E274" t="inlineStr">
        <is>
          <t>Promoción al acceso a la justicia</t>
        </is>
      </c>
      <c r="F274" t="inlineStr">
        <is>
          <t>1202001</t>
        </is>
      </c>
      <c r="G274" t="inlineStr">
        <is>
          <t>Casas de Justicia en operación</t>
        </is>
      </c>
      <c r="H274" t="inlineStr">
        <is>
          <t>"Modelo de atención (infraestructura y equipamiento) para el acceso a la justicia donde se ofrecen servicios de información, orientación, resolución de conflictos y se aplican y ejecutan los mecanismos de justicia formal y no formal existentes en el municipio, a través de entidades del orden nacional y local"</t>
        </is>
      </c>
      <c r="I274" t="inlineStr">
        <is>
          <t>2024257580082</t>
        </is>
      </c>
      <c r="J274" s="99">
        <v>16650000000</v>
      </c>
      <c r="K274" s="99">
        <v>16650000000</v>
      </c>
      <c r="L274" s="99">
        <v>0</v>
      </c>
      <c r="M274" s="99">
        <v>0</v>
      </c>
      <c r="N274" s="99">
        <v>0</v>
      </c>
      <c r="O274" s="99">
        <v>9038890</v>
      </c>
      <c r="P274" s="99">
        <v>6887686</v>
      </c>
      <c r="Q274" s="99">
        <v>3660880</v>
      </c>
      <c r="R274" s="100">
        <v>0.000413674834834835</v>
      </c>
      <c r="S274" t="inlineStr">
        <is>
          <t>Lo obligado está por debajo de lo programado en la vigencia</t>
        </is>
      </c>
      <c r="T274" s="101">
        <v>11170320</v>
      </c>
      <c r="U274" s="101">
        <v>11170320</v>
      </c>
      <c r="V274" s="101">
        <v>11170320</v>
      </c>
      <c r="W274" s="102" t="inlineStr">
        <is>
          <t xml:space="preserve"> </t>
        </is>
      </c>
      <c r="X274" t="inlineStr">
        <is>
          <t>Se ejecutó un producto no programado en la vigencia</t>
        </is>
      </c>
    </row>
    <row r="275">
      <c r="A275" t="inlineStr">
        <is>
          <t>IP-363</t>
        </is>
      </c>
      <c r="B275" t="inlineStr">
        <is>
          <t>12</t>
        </is>
      </c>
      <c r="C275" t="inlineStr">
        <is>
          <t>Justicia y del derecho</t>
        </is>
      </c>
      <c r="D275" t="inlineStr">
        <is>
          <t>1202</t>
        </is>
      </c>
      <c r="E275" t="inlineStr">
        <is>
          <t>Promoción al acceso a la justicia</t>
        </is>
      </c>
      <c r="F275" t="inlineStr">
        <is>
          <t>1202025</t>
        </is>
      </c>
      <c r="G275" t="inlineStr">
        <is>
          <t>Servicio de asistencia técnica en fortalecimiento de justicia propia</t>
        </is>
      </c>
      <c r="H275" t="inlineStr">
        <is>
          <t>Comprende el apoyo técnico para la formulación, viabilizarían, ejecución y seguimiento de las iniciativas encaminadas al fortalecimiento de sus sistemas de justicia propia.</t>
        </is>
      </c>
      <c r="I275" t="inlineStr">
        <is>
          <t>2024257580082</t>
        </is>
      </c>
      <c r="J275" s="99">
        <v>0</v>
      </c>
      <c r="K275" s="99">
        <v>0</v>
      </c>
      <c r="L275" s="99">
        <v>0</v>
      </c>
      <c r="M275" s="99">
        <v>0</v>
      </c>
      <c r="N275" s="99">
        <v>0</v>
      </c>
      <c r="O275" s="99" t="inlineStr">
        <is>
          <t xml:space="preserve"> </t>
        </is>
      </c>
      <c r="P275" s="99" t="inlineStr">
        <is>
          <t xml:space="preserve"> </t>
        </is>
      </c>
      <c r="Q275" s="99" t="inlineStr">
        <is>
          <t xml:space="preserve"> </t>
        </is>
      </c>
      <c r="R275" s="100" t="inlineStr">
        <is>
          <t xml:space="preserve"> </t>
        </is>
      </c>
      <c r="S275" t="inlineStr">
        <is>
          <t>No se encontró ejecución en CUIPO</t>
        </is>
      </c>
      <c r="T275" s="101" t="inlineStr">
        <is>
          <t xml:space="preserve"> </t>
        </is>
      </c>
      <c r="U275" s="101" t="inlineStr">
        <is>
          <t xml:space="preserve"> </t>
        </is>
      </c>
      <c r="V275" s="101" t="inlineStr">
        <is>
          <t xml:space="preserve"> </t>
        </is>
      </c>
      <c r="W275" s="102" t="inlineStr">
        <is>
          <t xml:space="preserve"> </t>
        </is>
      </c>
      <c r="X275" t="inlineStr">
        <is>
          <t>No se encontró ejecución en CUIPO</t>
        </is>
      </c>
    </row>
    <row r="276">
      <c r="A276" t="inlineStr">
        <is>
          <t>IP-366</t>
        </is>
      </c>
      <c r="B276" t="inlineStr">
        <is>
          <t>12</t>
        </is>
      </c>
      <c r="C276" t="inlineStr">
        <is>
          <t>Justicia y del derecho</t>
        </is>
      </c>
      <c r="D276" t="inlineStr">
        <is>
          <t>1202</t>
        </is>
      </c>
      <c r="E276" t="inlineStr">
        <is>
          <t>Promoción al acceso a la justicia</t>
        </is>
      </c>
      <c r="F276" t="inlineStr">
        <is>
          <t>1202010</t>
        </is>
      </c>
      <c r="G276" t="inlineStr">
        <is>
          <t>Documentos de lineamientos técnicos</t>
        </is>
      </c>
      <c r="H276" t="inlineStr">
        <is>
          <t>Documentos cuyo objetivo es describir y explicar instrumentos, estándares, requisitos y condiciones necesarias para llevar a cabo un proceso o actividad</t>
        </is>
      </c>
      <c r="I276" t="inlineStr">
        <is>
          <t>2024257580082</t>
        </is>
      </c>
      <c r="J276" s="99">
        <v>0</v>
      </c>
      <c r="K276" s="99">
        <v>0</v>
      </c>
      <c r="L276" s="99">
        <v>0</v>
      </c>
      <c r="M276" s="99">
        <v>0</v>
      </c>
      <c r="N276" s="99">
        <v>0</v>
      </c>
      <c r="O276" s="99" t="inlineStr">
        <is>
          <t xml:space="preserve"> </t>
        </is>
      </c>
      <c r="P276" s="99" t="inlineStr">
        <is>
          <t xml:space="preserve"> </t>
        </is>
      </c>
      <c r="Q276" s="99" t="inlineStr">
        <is>
          <t xml:space="preserve"> </t>
        </is>
      </c>
      <c r="R276" s="100" t="inlineStr">
        <is>
          <t xml:space="preserve"> </t>
        </is>
      </c>
      <c r="S276" t="inlineStr">
        <is>
          <t>No se encontró ejecución en CUIPO</t>
        </is>
      </c>
      <c r="T276" s="101">
        <v>1000000</v>
      </c>
      <c r="U276" s="101">
        <v>1000000</v>
      </c>
      <c r="V276" s="101">
        <v>1000000</v>
      </c>
      <c r="W276" s="102" t="inlineStr">
        <is>
          <t xml:space="preserve"> </t>
        </is>
      </c>
      <c r="X276" t="inlineStr">
        <is>
          <t>Se ejecutó un producto no programado en la vigencia</t>
        </is>
      </c>
    </row>
    <row r="277">
      <c r="A277" t="inlineStr">
        <is>
          <t>IP-367, IP-368</t>
        </is>
      </c>
      <c r="B277" t="inlineStr">
        <is>
          <t>12</t>
        </is>
      </c>
      <c r="C277" t="inlineStr">
        <is>
          <t>Justicia y del derecho</t>
        </is>
      </c>
      <c r="D277" t="inlineStr">
        <is>
          <t>1207</t>
        </is>
      </c>
      <c r="E277" t="inlineStr">
        <is>
          <t>Fortalecimiento de la política criminal del Estado colombiano</t>
        </is>
      </c>
      <c r="F277" t="inlineStr">
        <is>
          <t>1207017</t>
        </is>
      </c>
      <c r="G277" t="inlineStr">
        <is>
          <t>Servicio de asistencia técnica en prevención del delito</t>
        </is>
      </c>
      <c r="H277" t="inlineStr">
        <is>
          <t>Hace referencia al apoyo técnico y de conocimiento que se brinda durante los espacios de orientación, acompañamiento y asistencia en materia de prevención del delito.</t>
        </is>
      </c>
      <c r="I277" t="inlineStr">
        <is>
          <t>2024257580085</t>
        </is>
      </c>
      <c r="J277" s="99">
        <v>346682700</v>
      </c>
      <c r="K277" s="99">
        <v>74700000</v>
      </c>
      <c r="L277" s="99">
        <v>82170000</v>
      </c>
      <c r="M277" s="99">
        <v>90387000</v>
      </c>
      <c r="N277" s="99">
        <v>99425700</v>
      </c>
      <c r="O277" s="99" t="inlineStr">
        <is>
          <t xml:space="preserve"> </t>
        </is>
      </c>
      <c r="P277" s="99" t="inlineStr">
        <is>
          <t xml:space="preserve"> </t>
        </is>
      </c>
      <c r="Q277" s="99" t="inlineStr">
        <is>
          <t xml:space="preserve"> </t>
        </is>
      </c>
      <c r="R277" s="100" t="inlineStr">
        <is>
          <t xml:space="preserve"> </t>
        </is>
      </c>
      <c r="S277" t="inlineStr">
        <is>
          <t>No se encontró ejecución en CUIPO</t>
        </is>
      </c>
      <c r="T277" s="101">
        <v>16500000</v>
      </c>
      <c r="U277" s="101">
        <v>13854573</v>
      </c>
      <c r="V277" s="101">
        <v>13854573</v>
      </c>
      <c r="W277" s="102">
        <v>0.16860865279299</v>
      </c>
      <c r="X277" t="inlineStr">
        <is>
          <t>Lo obligado está por debajo de lo programado en la vigencia</t>
        </is>
      </c>
    </row>
    <row r="278">
      <c r="A278" t="inlineStr">
        <is>
          <t>IP-369</t>
        </is>
      </c>
      <c r="B278" t="inlineStr">
        <is>
          <t>12</t>
        </is>
      </c>
      <c r="C278" t="inlineStr">
        <is>
          <t>Justicia y del derecho</t>
        </is>
      </c>
      <c r="D278" t="inlineStr">
        <is>
          <t>1203</t>
        </is>
      </c>
      <c r="E278" t="inlineStr">
        <is>
          <t>Promoción de los métodos de resolución de conflictos</t>
        </is>
      </c>
      <c r="F278" t="inlineStr">
        <is>
          <t>1203001</t>
        </is>
      </c>
      <c r="G278" t="inlineStr">
        <is>
          <t>Servicio de divulgación para promover los métodos de resolución de conflictos</t>
        </is>
      </c>
      <c r="H278" t="inlineStr">
        <is>
          <t>Con este producto se busca promover los métodos de resolución de conflictos por diferentes medios de comunicación</t>
        </is>
      </c>
      <c r="I278" t="inlineStr">
        <is>
          <t>2024257580055</t>
        </is>
      </c>
      <c r="J278" s="99">
        <v>84466200</v>
      </c>
      <c r="K278" s="99">
        <v>18200000</v>
      </c>
      <c r="L278" s="99">
        <v>20020000</v>
      </c>
      <c r="M278" s="99">
        <v>22022000</v>
      </c>
      <c r="N278" s="99">
        <v>24224200</v>
      </c>
      <c r="O278" s="99" t="inlineStr">
        <is>
          <t xml:space="preserve"> </t>
        </is>
      </c>
      <c r="P278" s="99" t="inlineStr">
        <is>
          <t xml:space="preserve"> </t>
        </is>
      </c>
      <c r="Q278" s="99" t="inlineStr">
        <is>
          <t xml:space="preserve"> </t>
        </is>
      </c>
      <c r="R278" s="100" t="inlineStr">
        <is>
          <t xml:space="preserve"> </t>
        </is>
      </c>
      <c r="S278" t="inlineStr">
        <is>
          <t>No se encontró ejecución en CUIPO</t>
        </is>
      </c>
      <c r="T278" s="101" t="inlineStr">
        <is>
          <t xml:space="preserve"> </t>
        </is>
      </c>
      <c r="U278" s="101" t="inlineStr">
        <is>
          <t xml:space="preserve"> </t>
        </is>
      </c>
      <c r="V278" s="101" t="inlineStr">
        <is>
          <t xml:space="preserve"> </t>
        </is>
      </c>
      <c r="W278" s="102" t="inlineStr">
        <is>
          <t xml:space="preserve"> </t>
        </is>
      </c>
      <c r="X278" t="inlineStr">
        <is>
          <t>No se encontró ejecución en CUIPO</t>
        </is>
      </c>
    </row>
    <row r="279">
      <c r="A279" t="inlineStr">
        <is>
          <t>IP-370</t>
        </is>
      </c>
      <c r="B279" t="inlineStr">
        <is>
          <t>12</t>
        </is>
      </c>
      <c r="C279" t="inlineStr">
        <is>
          <t>Justicia y del derecho</t>
        </is>
      </c>
      <c r="D279" t="inlineStr">
        <is>
          <t>1207</t>
        </is>
      </c>
      <c r="E279" t="inlineStr">
        <is>
          <t>Fortalecimiento de la política criminal del Estado colombiano</t>
        </is>
      </c>
      <c r="F279" t="inlineStr">
        <is>
          <t>1207018</t>
        </is>
      </c>
      <c r="G279" t="inlineStr">
        <is>
          <t>Servicio de asistencia técnica en justicia restaurativa</t>
        </is>
      </c>
      <c r="H279" t="inlineStr">
        <is>
          <t>Hace referencia al apoyo técnico y de conocimiento que se brinda durante los espacios de orientación, acompañamiento y asistencia en materia de justicia restaurativa, tanto para los programas orientados a adolescentes y jóvenes como al programa a orientado adultos.</t>
        </is>
      </c>
      <c r="I279" t="inlineStr">
        <is>
          <t>2024257580055</t>
        </is>
      </c>
      <c r="J279" s="99">
        <v>389844000</v>
      </c>
      <c r="K279" s="99">
        <v>84000000</v>
      </c>
      <c r="L279" s="99">
        <v>92400000</v>
      </c>
      <c r="M279" s="99">
        <v>101640000</v>
      </c>
      <c r="N279" s="99">
        <v>111804000</v>
      </c>
      <c r="O279" s="99" t="inlineStr">
        <is>
          <t xml:space="preserve"> </t>
        </is>
      </c>
      <c r="P279" s="99" t="inlineStr">
        <is>
          <t xml:space="preserve"> </t>
        </is>
      </c>
      <c r="Q279" s="99" t="inlineStr">
        <is>
          <t xml:space="preserve"> </t>
        </is>
      </c>
      <c r="R279" s="100" t="inlineStr">
        <is>
          <t xml:space="preserve"> </t>
        </is>
      </c>
      <c r="S279" t="inlineStr">
        <is>
          <t>No se encontró ejecución en CUIPO</t>
        </is>
      </c>
      <c r="T279" s="101" t="inlineStr">
        <is>
          <t xml:space="preserve"> </t>
        </is>
      </c>
      <c r="U279" s="101" t="inlineStr">
        <is>
          <t xml:space="preserve"> </t>
        </is>
      </c>
      <c r="V279" s="101" t="inlineStr">
        <is>
          <t xml:space="preserve"> </t>
        </is>
      </c>
      <c r="W279" s="102" t="inlineStr">
        <is>
          <t xml:space="preserve"> </t>
        </is>
      </c>
      <c r="X279" t="inlineStr">
        <is>
          <t>No se encontró ejecución en CUIPO</t>
        </is>
      </c>
    </row>
    <row r="280">
      <c r="A280" t="inlineStr">
        <is>
          <t>IP-371</t>
        </is>
      </c>
      <c r="B280" t="inlineStr">
        <is>
          <t>12</t>
        </is>
      </c>
      <c r="C280" t="inlineStr">
        <is>
          <t>Justicia y del derecho</t>
        </is>
      </c>
      <c r="D280" t="inlineStr">
        <is>
          <t>1204</t>
        </is>
      </c>
      <c r="E280" t="inlineStr">
        <is>
          <t>Justicia transicional</t>
        </is>
      </c>
      <c r="F280" t="inlineStr">
        <is>
          <t>1204009</t>
        </is>
      </c>
      <c r="G280" t="inlineStr">
        <is>
          <t>Servicio de educación informal en temas de justicia transicional</t>
        </is>
      </c>
      <c r="H280" t="inlineStr">
        <is>
          <t>Jornadas, capacitaciones, talleres, foros y otro tipo de reuniones que se acuerdan con víctimas, funcionarios y ciudadanía para que adquieran conocimientos acerca de los mecanismos y procesos de justicia transicional</t>
        </is>
      </c>
      <c r="I280" t="inlineStr">
        <is>
          <t>2024257580084</t>
        </is>
      </c>
      <c r="J280" s="99">
        <v>23205000</v>
      </c>
      <c r="K280" s="99">
        <v>5000000</v>
      </c>
      <c r="L280" s="99">
        <v>5500000</v>
      </c>
      <c r="M280" s="99">
        <v>6050000</v>
      </c>
      <c r="N280" s="99">
        <v>6655000</v>
      </c>
      <c r="O280" s="99" t="inlineStr">
        <is>
          <t xml:space="preserve"> </t>
        </is>
      </c>
      <c r="P280" s="99" t="inlineStr">
        <is>
          <t xml:space="preserve"> </t>
        </is>
      </c>
      <c r="Q280" s="99" t="inlineStr">
        <is>
          <t xml:space="preserve"> </t>
        </is>
      </c>
      <c r="R280" s="100" t="inlineStr">
        <is>
          <t xml:space="preserve"> </t>
        </is>
      </c>
      <c r="S280" t="inlineStr">
        <is>
          <t>No se encontró ejecución en CUIPO</t>
        </is>
      </c>
      <c r="T280" s="101">
        <v>6958918</v>
      </c>
      <c r="U280" s="101">
        <v>5636380</v>
      </c>
      <c r="V280" s="101">
        <v>5636380</v>
      </c>
      <c r="W280" s="102">
        <v>1.02479636363636</v>
      </c>
      <c r="X280" t="inlineStr">
        <is>
          <t>Hubo ejecución por encima de lo programado en SisPT</t>
        </is>
      </c>
    </row>
    <row r="281">
      <c r="A281" t="inlineStr">
        <is>
          <t>IP-372</t>
        </is>
      </c>
      <c r="B281" t="inlineStr">
        <is>
          <t>12</t>
        </is>
      </c>
      <c r="C281" t="inlineStr">
        <is>
          <t>Justicia y del derecho</t>
        </is>
      </c>
      <c r="D281" t="inlineStr">
        <is>
          <t>1206</t>
        </is>
      </c>
      <c r="E281" t="inlineStr">
        <is>
          <t>Sistema penitenciario y carcelario en el marco de los derechos humanos</t>
        </is>
      </c>
      <c r="F281" t="inlineStr">
        <is>
          <t>1206007</t>
        </is>
      </c>
      <c r="G281" t="inlineStr">
        <is>
          <t>Servicio de bienestar a la población privada de libertad</t>
        </is>
      </c>
      <c r="H281" t="inlineStr">
        <is>
          <t>Hace referencia a los diferentes Servicio de bienestar que reciben las personas privadas de la libertad</t>
        </is>
      </c>
      <c r="I281" t="inlineStr">
        <is>
          <t>2024257580051</t>
        </is>
      </c>
      <c r="J281" s="99">
        <v>139230000</v>
      </c>
      <c r="K281" s="99">
        <v>30000000</v>
      </c>
      <c r="L281" s="99">
        <v>33000000</v>
      </c>
      <c r="M281" s="99">
        <v>36300000</v>
      </c>
      <c r="N281" s="99">
        <v>39930000</v>
      </c>
      <c r="O281" s="99">
        <v>39054340</v>
      </c>
      <c r="P281" s="99">
        <v>39054340</v>
      </c>
      <c r="Q281" s="99">
        <v>14997300</v>
      </c>
      <c r="R281" s="100">
        <v>1.30181133333333</v>
      </c>
      <c r="S281" t="inlineStr">
        <is>
          <t>Hubo ejecución por encima de lo programado en SisPT</t>
        </is>
      </c>
      <c r="T281" s="101">
        <v>60000000</v>
      </c>
      <c r="U281" s="101">
        <v>18000000</v>
      </c>
      <c r="V281" s="101">
        <v>18000000</v>
      </c>
      <c r="W281" s="102">
        <v>0.545454545454545</v>
      </c>
      <c r="X281" t="inlineStr">
        <is>
          <t>Lo obligado está por debajo de lo programado en la vigencia</t>
        </is>
      </c>
    </row>
    <row r="282">
      <c r="A282" t="inlineStr">
        <is>
          <t>IP-373</t>
        </is>
      </c>
      <c r="B282" t="inlineStr">
        <is>
          <t>45</t>
        </is>
      </c>
      <c r="C282" t="inlineStr">
        <is>
          <t>Gobierno Territorial</t>
        </is>
      </c>
      <c r="D282" t="inlineStr">
        <is>
          <t>4502</t>
        </is>
      </c>
      <c r="E282" t="inlineStr">
        <is>
          <t>Fortalecimiento del buen gobierno para el respeto y garantía de los derechos humanos.</t>
        </is>
      </c>
      <c r="F282" t="inlineStr">
        <is>
          <t>4502034</t>
        </is>
      </c>
      <c r="G282" t="inlineStr">
        <is>
          <t xml:space="preserve">Servicio de educación informal </t>
        </is>
      </c>
      <c r="H282" t="inlineStr">
        <is>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is>
      </c>
      <c r="I282" t="inlineStr">
        <is>
          <t>2024257580039</t>
        </is>
      </c>
      <c r="J282" s="99">
        <v>155009400</v>
      </c>
      <c r="K282" s="99">
        <v>33400000</v>
      </c>
      <c r="L282" s="99">
        <v>36740000</v>
      </c>
      <c r="M282" s="99">
        <v>40414000</v>
      </c>
      <c r="N282" s="99">
        <v>44455400</v>
      </c>
      <c r="O282" s="99" t="inlineStr">
        <is>
          <t xml:space="preserve"> </t>
        </is>
      </c>
      <c r="P282" s="99" t="inlineStr">
        <is>
          <t xml:space="preserve"> </t>
        </is>
      </c>
      <c r="Q282" s="99" t="inlineStr">
        <is>
          <t xml:space="preserve"> </t>
        </is>
      </c>
      <c r="R282" s="100" t="inlineStr">
        <is>
          <t xml:space="preserve"> </t>
        </is>
      </c>
      <c r="S282" t="inlineStr">
        <is>
          <t>No se encontró ejecución en CUIPO</t>
        </is>
      </c>
      <c r="T282" s="101">
        <v>11459901</v>
      </c>
      <c r="U282" s="101">
        <v>8427879</v>
      </c>
      <c r="V282" s="101">
        <v>8427879</v>
      </c>
      <c r="W282" s="102">
        <v>0.229392460533479</v>
      </c>
      <c r="X282" t="inlineStr">
        <is>
          <t>Lo obligado está por debajo de lo programado en la vigencia</t>
        </is>
      </c>
    </row>
    <row r="283">
      <c r="A283" t="inlineStr">
        <is>
          <t>IP-374, IP-375, IP-379, IP-380, IP-381, IP-382, IP-383</t>
        </is>
      </c>
      <c r="B283" t="inlineStr">
        <is>
          <t>45</t>
        </is>
      </c>
      <c r="C283" t="inlineStr">
        <is>
          <t>Gobierno Territorial</t>
        </is>
      </c>
      <c r="D283" t="inlineStr">
        <is>
          <t>4502</t>
        </is>
      </c>
      <c r="E283" t="inlineStr">
        <is>
          <t>Fortalecimiento del buen gobierno para el respeto y garantía de los derechos humanos.</t>
        </is>
      </c>
      <c r="F283" t="inlineStr">
        <is>
          <t>4502001</t>
        </is>
      </c>
      <c r="G283" t="inlineStr">
        <is>
          <t>Servicio de promoción a la participación ciudadana</t>
        </is>
      </c>
      <c r="H283" t="inlineStr">
        <is>
          <t>Corresponde al diseño e implementación de acciones y estrategias que promuevan el ejercicio de la participación ciudadana para el respeto y garantía de los derechos humanos</t>
        </is>
      </c>
      <c r="I283" t="inlineStr">
        <is>
          <t>2024257580039</t>
        </is>
      </c>
      <c r="J283" s="99">
        <v>4605977910</v>
      </c>
      <c r="K283" s="99">
        <v>671510000</v>
      </c>
      <c r="L283" s="99">
        <v>1188661000</v>
      </c>
      <c r="M283" s="99">
        <v>1307527100</v>
      </c>
      <c r="N283" s="99">
        <v>1438279810</v>
      </c>
      <c r="O283" s="99" t="inlineStr">
        <is>
          <t xml:space="preserve"> </t>
        </is>
      </c>
      <c r="P283" s="99" t="inlineStr">
        <is>
          <t xml:space="preserve"> </t>
        </is>
      </c>
      <c r="Q283" s="99" t="inlineStr">
        <is>
          <t xml:space="preserve"> </t>
        </is>
      </c>
      <c r="R283" s="100" t="inlineStr">
        <is>
          <t xml:space="preserve"> </t>
        </is>
      </c>
      <c r="S283" t="inlineStr">
        <is>
          <t>No se encontró ejecución en CUIPO</t>
        </is>
      </c>
      <c r="T283" s="101">
        <v>82146956</v>
      </c>
      <c r="U283" s="101">
        <v>39773103</v>
      </c>
      <c r="V283" s="101">
        <v>39773103</v>
      </c>
      <c r="W283" s="102">
        <v>0.0334604256385967</v>
      </c>
      <c r="X283" t="inlineStr">
        <is>
          <t>Lo obligado está por debajo de lo programado en la vigencia</t>
        </is>
      </c>
    </row>
    <row r="284">
      <c r="A284" t="inlineStr">
        <is>
          <t>IP-376</t>
        </is>
      </c>
      <c r="B284" t="inlineStr">
        <is>
          <t>45</t>
        </is>
      </c>
      <c r="C284" t="inlineStr">
        <is>
          <t>Gobierno Territorial</t>
        </is>
      </c>
      <c r="D284" t="inlineStr">
        <is>
          <t>4502</t>
        </is>
      </c>
      <c r="E284" t="inlineStr">
        <is>
          <t>Fortalecimiento del buen gobierno para el respeto y garantía de los derechos humanos.</t>
        </is>
      </c>
      <c r="F284" t="inlineStr">
        <is>
          <t>4502003</t>
        </is>
      </c>
      <c r="G284" t="inlineStr">
        <is>
          <t>Salón comunal adecuado</t>
        </is>
      </c>
      <c r="H284" t="inlineStr">
        <is>
          <t xml:space="preserve">Acciones orientadas a  cambiar el uso de una edificación o parte de ella, garantizando la permanencia total o parcial del inmueble original de acuerdo con las necesidades focalizadas en materia del programa en las zonas rurales y urbanas. </t>
        </is>
      </c>
      <c r="I284" t="inlineStr">
        <is>
          <t>2024257580039</t>
        </is>
      </c>
      <c r="J284" s="99">
        <v>162435000</v>
      </c>
      <c r="K284" s="99">
        <v>35000000</v>
      </c>
      <c r="L284" s="99">
        <v>38500000</v>
      </c>
      <c r="M284" s="99">
        <v>42350000</v>
      </c>
      <c r="N284" s="99">
        <v>46585000</v>
      </c>
      <c r="O284" s="99">
        <v>83693902</v>
      </c>
      <c r="P284" s="99">
        <v>83693902</v>
      </c>
      <c r="Q284" s="99">
        <v>81137710</v>
      </c>
      <c r="R284" s="100">
        <v>2.39125434285714</v>
      </c>
      <c r="S284" t="inlineStr">
        <is>
          <t>Hubo ejecución por encima de lo programado en SisPT</t>
        </is>
      </c>
      <c r="T284" s="101">
        <v>94561679</v>
      </c>
      <c r="U284" s="101">
        <v>50443464</v>
      </c>
      <c r="V284" s="101">
        <v>50443464</v>
      </c>
      <c r="W284" s="102">
        <v>1.31021984415584</v>
      </c>
      <c r="X284" t="inlineStr">
        <is>
          <t>Hubo ejecución por encima de lo programado en SisPT</t>
        </is>
      </c>
    </row>
    <row r="285">
      <c r="A285" t="inlineStr">
        <is>
          <t>IP-377</t>
        </is>
      </c>
      <c r="B285" t="inlineStr">
        <is>
          <t>45</t>
        </is>
      </c>
      <c r="C285" t="inlineStr">
        <is>
          <t>Gobierno Territorial</t>
        </is>
      </c>
      <c r="D285" t="inlineStr">
        <is>
          <t>4502</t>
        </is>
      </c>
      <c r="E285" t="inlineStr">
        <is>
          <t>Fortalecimiento del buen gobierno para el respeto y garantía de los derechos humanos.</t>
        </is>
      </c>
      <c r="F285" t="inlineStr">
        <is>
          <t>4502008</t>
        </is>
      </c>
      <c r="G285" t="inlineStr">
        <is>
          <t>Salón comunal dotado</t>
        </is>
      </c>
      <c r="H285" t="inlineStr">
        <is>
          <t xml:space="preserve">Incluye la dotación a la infraestructura construida. </t>
        </is>
      </c>
      <c r="I285" t="inlineStr">
        <is>
          <t>2024257580039</t>
        </is>
      </c>
      <c r="J285" s="99">
        <v>154545300</v>
      </c>
      <c r="K285" s="99">
        <v>33300000</v>
      </c>
      <c r="L285" s="99">
        <v>36630000</v>
      </c>
      <c r="M285" s="99">
        <v>40293000</v>
      </c>
      <c r="N285" s="99">
        <v>44322300</v>
      </c>
      <c r="O285" s="99" t="inlineStr">
        <is>
          <t xml:space="preserve"> </t>
        </is>
      </c>
      <c r="P285" s="99" t="inlineStr">
        <is>
          <t xml:space="preserve"> </t>
        </is>
      </c>
      <c r="Q285" s="99" t="inlineStr">
        <is>
          <t xml:space="preserve"> </t>
        </is>
      </c>
      <c r="R285" s="100" t="inlineStr">
        <is>
          <t xml:space="preserve"> </t>
        </is>
      </c>
      <c r="S285" t="inlineStr">
        <is>
          <t>No se encontró ejecución en CUIPO</t>
        </is>
      </c>
      <c r="T285" s="101">
        <v>53000000</v>
      </c>
      <c r="U285" s="101">
        <v>0</v>
      </c>
      <c r="V285" s="101">
        <v>0</v>
      </c>
      <c r="W285" s="102">
        <v>0</v>
      </c>
      <c r="X285" t="inlineStr">
        <is>
          <t>No se ejecutó en la vigencia</t>
        </is>
      </c>
    </row>
    <row r="286">
      <c r="A286" t="inlineStr">
        <is>
          <t>IP-378</t>
        </is>
      </c>
      <c r="B286" t="inlineStr">
        <is>
          <t>45</t>
        </is>
      </c>
      <c r="C286" t="inlineStr">
        <is>
          <t>Gobierno Territorial</t>
        </is>
      </c>
      <c r="D286" t="inlineStr">
        <is>
          <t>4502</t>
        </is>
      </c>
      <c r="E286" t="inlineStr">
        <is>
          <t>Fortalecimiento del buen gobierno para el respeto y garantía de los derechos humanos.</t>
        </is>
      </c>
      <c r="F286" t="inlineStr">
        <is>
          <t>4502035</t>
        </is>
      </c>
      <c r="G286" t="inlineStr">
        <is>
          <t>Documentos de planeación</t>
        </is>
      </c>
      <c r="H286" t="inlineStr">
        <is>
          <t>Documentos cuyo objetivo es plasmar una visión de futuro a nivel país, entidad territorial, comunidad, sector, región, entidad o cualquier nivel de desagregación que se requiera. Incluye objetivos, estrategias, metas e indicadores.</t>
        </is>
      </c>
      <c r="I286" t="inlineStr">
        <is>
          <t>2024257580039</t>
        </is>
      </c>
      <c r="J286" s="99">
        <v>155473500</v>
      </c>
      <c r="K286" s="99">
        <v>33500000</v>
      </c>
      <c r="L286" s="99">
        <v>36850000</v>
      </c>
      <c r="M286" s="99">
        <v>40535000</v>
      </c>
      <c r="N286" s="99">
        <v>44588500</v>
      </c>
      <c r="O286" s="99" t="inlineStr">
        <is>
          <t xml:space="preserve"> </t>
        </is>
      </c>
      <c r="P286" s="99" t="inlineStr">
        <is>
          <t xml:space="preserve"> </t>
        </is>
      </c>
      <c r="Q286" s="99" t="inlineStr">
        <is>
          <t xml:space="preserve"> </t>
        </is>
      </c>
      <c r="R286" s="100" t="inlineStr">
        <is>
          <t xml:space="preserve"> </t>
        </is>
      </c>
      <c r="S286" t="inlineStr">
        <is>
          <t>No se encontró ejecución en CUIPO</t>
        </is>
      </c>
      <c r="T286" s="101">
        <v>47871920</v>
      </c>
      <c r="U286" s="101">
        <v>17697000</v>
      </c>
      <c r="V286" s="101">
        <v>17697000</v>
      </c>
      <c r="W286" s="102">
        <v>0.480244233378562</v>
      </c>
      <c r="X286" t="inlineStr">
        <is>
          <t>Lo obligado está por debajo de lo programado en la vigencia</t>
        </is>
      </c>
    </row>
    <row r="287">
      <c r="A287" t="inlineStr">
        <is>
          <t>IP-384, IP-385</t>
        </is>
      </c>
      <c r="B287" t="inlineStr">
        <is>
          <t>45</t>
        </is>
      </c>
      <c r="C287" t="inlineStr">
        <is>
          <t>Gobierno Territorial</t>
        </is>
      </c>
      <c r="D287" t="inlineStr">
        <is>
          <t>4502</t>
        </is>
      </c>
      <c r="E287" t="inlineStr">
        <is>
          <t>Fortalecimiento del buen gobierno para el respeto y garantía de los derechos humanos.</t>
        </is>
      </c>
      <c r="F287" t="inlineStr">
        <is>
          <t>4502001</t>
        </is>
      </c>
      <c r="G287" t="inlineStr">
        <is>
          <t>Servicio de promoción a la participación ciudadana</t>
        </is>
      </c>
      <c r="H287" t="inlineStr">
        <is>
          <t>Corresponde al diseño e implementación de acciones y estrategias que promuevan el ejercicio de la participación ciudadana para el respeto y garantía de los derechos humanos</t>
        </is>
      </c>
      <c r="I287" t="inlineStr">
        <is>
          <t>2024257580071</t>
        </is>
      </c>
      <c r="J287" s="99">
        <v>71935500</v>
      </c>
      <c r="K287" s="99">
        <v>15500000</v>
      </c>
      <c r="L287" s="99">
        <v>17050000</v>
      </c>
      <c r="M287" s="99">
        <v>18755000</v>
      </c>
      <c r="N287" s="99">
        <v>20630500</v>
      </c>
      <c r="O287" s="99">
        <v>48000000</v>
      </c>
      <c r="P287" s="99">
        <v>48000000</v>
      </c>
      <c r="Q287" s="99">
        <v>48000000</v>
      </c>
      <c r="R287" s="100">
        <v>3.09677419354839</v>
      </c>
      <c r="S287" t="inlineStr">
        <is>
          <t>Hubo ejecución por encima de lo programado en SisPT</t>
        </is>
      </c>
      <c r="T287" s="101">
        <v>5000000</v>
      </c>
      <c r="U287" s="101">
        <v>5000000</v>
      </c>
      <c r="V287" s="101">
        <v>5000000</v>
      </c>
      <c r="W287" s="102">
        <v>0.293255131964809</v>
      </c>
      <c r="X287" t="inlineStr">
        <is>
          <t>Lo obligado está por debajo de lo programado en la vigencia</t>
        </is>
      </c>
    </row>
    <row r="288">
      <c r="A288" t="inlineStr">
        <is>
          <t>IP-386</t>
        </is>
      </c>
      <c r="B288" t="inlineStr">
        <is>
          <t>45</t>
        </is>
      </c>
      <c r="C288" t="inlineStr">
        <is>
          <t>Gobierno Territorial</t>
        </is>
      </c>
      <c r="D288" t="inlineStr">
        <is>
          <t>4501</t>
        </is>
      </c>
      <c r="E288" t="inlineStr">
        <is>
          <t>Fortalecimiento de la convivencia y la seguridad ciudadana</t>
        </is>
      </c>
      <c r="F288" t="inlineStr">
        <is>
          <t>4501026</t>
        </is>
      </c>
      <c r="G288" t="inlineStr">
        <is>
          <t>Documentos Planeacion</t>
        </is>
      </c>
      <c r="H288" t="inlineStr">
        <is>
          <t>Documentos cuyo objetivo es plasmar una visión de futuro a anivel de entidad territorial, comunidad, sector, región, entidad o cualquier nivel de desagregación que se requiera. Incluye objetivos, estrategias, metas e indicadores.</t>
        </is>
      </c>
      <c r="I288" t="inlineStr">
        <is>
          <t>2024257580058</t>
        </is>
      </c>
      <c r="J288" s="99">
        <v>169300000</v>
      </c>
      <c r="K288" s="99">
        <v>70000000</v>
      </c>
      <c r="L288" s="99">
        <v>30000000</v>
      </c>
      <c r="M288" s="99">
        <v>33000000</v>
      </c>
      <c r="N288" s="99">
        <v>36300000</v>
      </c>
      <c r="O288" s="99">
        <v>50950000</v>
      </c>
      <c r="P288" s="99">
        <v>50950000</v>
      </c>
      <c r="Q288" s="99">
        <v>50950000</v>
      </c>
      <c r="R288" s="100">
        <v>0.727857142857143</v>
      </c>
      <c r="S288" t="inlineStr">
        <is>
          <t>Lo obligado está por debajo de lo programado en la vigencia</t>
        </is>
      </c>
      <c r="T288" s="101">
        <v>37882417</v>
      </c>
      <c r="U288" s="101">
        <v>35007417</v>
      </c>
      <c r="V288" s="101">
        <v>35007417</v>
      </c>
      <c r="W288" s="102">
        <v>1.1669139</v>
      </c>
      <c r="X288" t="inlineStr">
        <is>
          <t>Hubo ejecución por encima de lo programado en SisPT</t>
        </is>
      </c>
    </row>
    <row r="289">
      <c r="A289" t="inlineStr">
        <is>
          <t>IP-387</t>
        </is>
      </c>
      <c r="B289" t="inlineStr">
        <is>
          <t>45</t>
        </is>
      </c>
      <c r="C289" t="inlineStr">
        <is>
          <t>Gobierno Territorial</t>
        </is>
      </c>
      <c r="D289" t="inlineStr">
        <is>
          <t>4501</t>
        </is>
      </c>
      <c r="E289" t="inlineStr">
        <is>
          <t>Fortalecimiento de la convivencia y la seguridad ciudadana</t>
        </is>
      </c>
      <c r="F289" t="inlineStr">
        <is>
          <t>4501081</t>
        </is>
      </c>
      <c r="G289" t="inlineStr">
        <is>
          <t>Servicio de apoyo para la atención de contravenciones y solución de conflictos de convivencia ciudadana</t>
        </is>
      </c>
      <c r="H289" t="inlineStr">
        <is>
          <t>Recursos para garantizar la atención de contravenciones y de más actividades de policía a nivel municipal a cargo de los inspectores de policía y corregidores del municipio.</t>
        </is>
      </c>
      <c r="I289" t="inlineStr">
        <is>
          <t>2024257580058</t>
        </is>
      </c>
      <c r="J289" s="99">
        <v>84466200</v>
      </c>
      <c r="K289" s="99">
        <v>18200000</v>
      </c>
      <c r="L289" s="99">
        <v>20020000</v>
      </c>
      <c r="M289" s="99">
        <v>22022000</v>
      </c>
      <c r="N289" s="99">
        <v>24224200</v>
      </c>
      <c r="O289" s="99" t="inlineStr">
        <is>
          <t xml:space="preserve"> </t>
        </is>
      </c>
      <c r="P289" s="99" t="inlineStr">
        <is>
          <t xml:space="preserve"> </t>
        </is>
      </c>
      <c r="Q289" s="99" t="inlineStr">
        <is>
          <t xml:space="preserve"> </t>
        </is>
      </c>
      <c r="R289" s="100" t="inlineStr">
        <is>
          <t xml:space="preserve"> </t>
        </is>
      </c>
      <c r="S289" t="inlineStr">
        <is>
          <t>No se encontró ejecución en CUIPO</t>
        </is>
      </c>
      <c r="T289" s="101">
        <v>15000000</v>
      </c>
      <c r="U289" s="101">
        <v>118000</v>
      </c>
      <c r="V289" s="101">
        <v>118000</v>
      </c>
      <c r="W289" s="102">
        <v>0.00589410589410589</v>
      </c>
      <c r="X289" t="inlineStr">
        <is>
          <t>Lo obligado está por debajo de lo programado en la vigencia</t>
        </is>
      </c>
    </row>
    <row r="290">
      <c r="A290" t="inlineStr">
        <is>
          <t>IP-388</t>
        </is>
      </c>
      <c r="B290" t="inlineStr">
        <is>
          <t>45</t>
        </is>
      </c>
      <c r="C290" t="inlineStr">
        <is>
          <t>Gobierno Territorial</t>
        </is>
      </c>
      <c r="D290" t="inlineStr">
        <is>
          <t>4501</t>
        </is>
      </c>
      <c r="E290" t="inlineStr">
        <is>
          <t>Fortalecimiento de la convivencia y la seguridad ciudadana</t>
        </is>
      </c>
      <c r="F290" t="inlineStr">
        <is>
          <t>4501004</t>
        </is>
      </c>
      <c r="G290" t="inlineStr">
        <is>
          <t>Servicio de promoción de convivencia y no repetición</t>
        </is>
      </c>
      <c r="H290" t="inlineStr">
        <is>
          <t>Incluye acciones e iniciativas de carácter institucional e interinstitucional que promuevan la desactivación de los patrones del conflicto armado interno, la construcción de la cultura de respeto y tolerancia en democracia, en perspectiva de crear y mejorar las condiciones de convivencia y de no repetición en los territorios.</t>
        </is>
      </c>
      <c r="I290" t="inlineStr">
        <is>
          <t>2024257580058</t>
        </is>
      </c>
      <c r="J290" s="99">
        <v>134589000</v>
      </c>
      <c r="K290" s="99">
        <v>29000000</v>
      </c>
      <c r="L290" s="99">
        <v>31900000</v>
      </c>
      <c r="M290" s="99">
        <v>35090000</v>
      </c>
      <c r="N290" s="99">
        <v>38599000</v>
      </c>
      <c r="O290" s="99" t="inlineStr">
        <is>
          <t xml:space="preserve"> </t>
        </is>
      </c>
      <c r="P290" s="99" t="inlineStr">
        <is>
          <t xml:space="preserve"> </t>
        </is>
      </c>
      <c r="Q290" s="99" t="inlineStr">
        <is>
          <t xml:space="preserve"> </t>
        </is>
      </c>
      <c r="R290" s="100" t="inlineStr">
        <is>
          <t xml:space="preserve"> </t>
        </is>
      </c>
      <c r="S290" t="inlineStr">
        <is>
          <t>No se encontró ejecución en CUIPO</t>
        </is>
      </c>
      <c r="T290" s="101">
        <v>24500000</v>
      </c>
      <c r="U290" s="101">
        <v>17370640</v>
      </c>
      <c r="V290" s="101">
        <v>17370640</v>
      </c>
      <c r="W290" s="102">
        <v>0.544534169278997</v>
      </c>
      <c r="X290" t="inlineStr">
        <is>
          <t>Lo obligado está por debajo de lo programado en la vigencia</t>
        </is>
      </c>
    </row>
    <row r="291">
      <c r="A291" t="inlineStr">
        <is>
          <t>IP-389</t>
        </is>
      </c>
      <c r="B291" t="inlineStr">
        <is>
          <t>04</t>
        </is>
      </c>
      <c r="C291" t="inlineStr">
        <is>
          <t>Información Estadística</t>
        </is>
      </c>
      <c r="D291" t="inlineStr">
        <is>
          <t>0401</t>
        </is>
      </c>
      <c r="E291" t="inlineStr">
        <is>
          <t>Levantamiento y actualización de información estadística de calidad</t>
        </is>
      </c>
      <c r="F291" t="inlineStr">
        <is>
          <t>0401106</t>
        </is>
      </c>
      <c r="G291" t="inlineStr">
        <is>
          <t xml:space="preserve">SERVICIO DE APOYO A LA GESTIÓN DE CONOCIMIENTO Y CONSOLIDACIÓN DE LA CULTURA ESTADÍSTICA </t>
        </is>
      </c>
      <c r="H291" t="inlineStr">
        <is>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is>
      </c>
      <c r="I291" t="inlineStr">
        <is>
          <t>2024257580011</t>
        </is>
      </c>
      <c r="J291" s="99">
        <v>54615000</v>
      </c>
      <c r="K291" s="99">
        <v>0</v>
      </c>
      <c r="L291" s="99">
        <v>16500000</v>
      </c>
      <c r="M291" s="99">
        <v>18150000</v>
      </c>
      <c r="N291" s="99">
        <v>19965000</v>
      </c>
      <c r="O291" s="99" t="inlineStr">
        <is>
          <t xml:space="preserve"> </t>
        </is>
      </c>
      <c r="P291" s="99" t="inlineStr">
        <is>
          <t xml:space="preserve"> </t>
        </is>
      </c>
      <c r="Q291" s="99" t="inlineStr">
        <is>
          <t xml:space="preserve"> </t>
        </is>
      </c>
      <c r="R291" s="100" t="inlineStr">
        <is>
          <t xml:space="preserve"> </t>
        </is>
      </c>
      <c r="S291" t="inlineStr">
        <is>
          <t>No se encontró ejecución en CUIPO</t>
        </is>
      </c>
      <c r="T291" s="101">
        <v>30718270</v>
      </c>
      <c r="U291" s="101">
        <v>22886248</v>
      </c>
      <c r="V291" s="101">
        <v>22886248</v>
      </c>
      <c r="W291" s="102">
        <v>1.38704533333333</v>
      </c>
      <c r="X291" t="inlineStr">
        <is>
          <t>Hubo ejecución por encima de lo programado en SisPT</t>
        </is>
      </c>
    </row>
    <row r="292">
      <c r="A292" t="inlineStr">
        <is>
          <t>IP-390</t>
        </is>
      </c>
      <c r="B292" t="inlineStr">
        <is>
          <t>04</t>
        </is>
      </c>
      <c r="C292" t="inlineStr">
        <is>
          <t>Información Estadística</t>
        </is>
      </c>
      <c r="D292" t="inlineStr">
        <is>
          <t>0401</t>
        </is>
      </c>
      <c r="E292" t="inlineStr">
        <is>
          <t>Levantamiento y actualización de información estadística de calidad</t>
        </is>
      </c>
      <c r="F292" t="inlineStr">
        <is>
          <t>0401005</t>
        </is>
      </c>
      <c r="G292" t="inlineStr">
        <is>
          <t>Bases de Datos de la temática de Pobreza y Condiciones de Vida</t>
        </is>
      </c>
      <c r="H292" t="inlineStr">
        <is>
          <t xml:space="preserve">Consolidación de la información resultado del operativo de la Encuesta nacional de presupuesto de hogares </t>
        </is>
      </c>
      <c r="I292" t="inlineStr">
        <is>
          <t>2024257580011</t>
        </is>
      </c>
      <c r="J292" s="99">
        <v>226800000</v>
      </c>
      <c r="K292" s="99">
        <v>27500000</v>
      </c>
      <c r="L292" s="99">
        <v>130000000</v>
      </c>
      <c r="M292" s="99">
        <v>33000000</v>
      </c>
      <c r="N292" s="99">
        <v>36300000</v>
      </c>
      <c r="O292" s="99" t="inlineStr">
        <is>
          <t xml:space="preserve"> </t>
        </is>
      </c>
      <c r="P292" s="99" t="inlineStr">
        <is>
          <t xml:space="preserve"> </t>
        </is>
      </c>
      <c r="Q292" s="99" t="inlineStr">
        <is>
          <t xml:space="preserve"> </t>
        </is>
      </c>
      <c r="R292" s="100" t="inlineStr">
        <is>
          <t xml:space="preserve"> </t>
        </is>
      </c>
      <c r="S292" t="inlineStr">
        <is>
          <t>No se encontró ejecución en CUIPO</t>
        </is>
      </c>
      <c r="T292" s="101">
        <v>28800200</v>
      </c>
      <c r="U292" s="101">
        <v>19636500</v>
      </c>
      <c r="V292" s="101">
        <v>19636500</v>
      </c>
      <c r="W292" s="102">
        <v>0.15105</v>
      </c>
      <c r="X292" t="inlineStr">
        <is>
          <t>Lo obligado está por debajo de lo programado en la vigencia</t>
        </is>
      </c>
    </row>
    <row r="293">
      <c r="A293" t="inlineStr">
        <is>
          <t>IP-391</t>
        </is>
      </c>
      <c r="B293" t="inlineStr">
        <is>
          <t>04</t>
        </is>
      </c>
      <c r="C293" t="inlineStr">
        <is>
          <t>Información Estadística</t>
        </is>
      </c>
      <c r="D293" t="inlineStr">
        <is>
          <t>0401</t>
        </is>
      </c>
      <c r="E293" t="inlineStr">
        <is>
          <t>Levantamiento y actualización de información estadística de calidad</t>
        </is>
      </c>
      <c r="F293" t="inlineStr">
        <is>
          <t>0401102</t>
        </is>
      </c>
      <c r="G293" t="inlineStr">
        <is>
          <t>Servicio de información implementado</t>
        </is>
      </c>
      <c r="H293" t="inlineStr">
        <is>
          <t>Corresponde al proceso que asegura la disposición de la información de manera accesible, confiable y oportuna.</t>
        </is>
      </c>
      <c r="I293" t="inlineStr">
        <is>
          <t>2024257580011</t>
        </is>
      </c>
      <c r="J293" s="99">
        <v>327103464</v>
      </c>
      <c r="K293" s="99">
        <v>66201996</v>
      </c>
      <c r="L293" s="99">
        <v>78822196</v>
      </c>
      <c r="M293" s="99">
        <v>86704415</v>
      </c>
      <c r="N293" s="99">
        <v>95374857</v>
      </c>
      <c r="O293" s="99">
        <v>4000000</v>
      </c>
      <c r="P293" s="99">
        <v>4000000</v>
      </c>
      <c r="Q293" s="99">
        <v>4000000</v>
      </c>
      <c r="R293" s="100">
        <v>0.0604211389638463</v>
      </c>
      <c r="S293" t="inlineStr">
        <is>
          <t>Lo obligado está por debajo de lo programado en la vigencia</t>
        </is>
      </c>
      <c r="T293" s="101">
        <v>30795226</v>
      </c>
      <c r="U293" s="101">
        <v>17056248</v>
      </c>
      <c r="V293" s="101">
        <v>17056248</v>
      </c>
      <c r="W293" s="102">
        <v>0.216388896345897</v>
      </c>
      <c r="X293" t="inlineStr">
        <is>
          <t>Lo obligado está por debajo de lo programado en la vigencia</t>
        </is>
      </c>
    </row>
    <row r="294">
      <c r="A294" t="inlineStr">
        <is>
          <t>IP-392</t>
        </is>
      </c>
      <c r="B294" t="inlineStr">
        <is>
          <t>04</t>
        </is>
      </c>
      <c r="C294" t="inlineStr">
        <is>
          <t>Información Estadística</t>
        </is>
      </c>
      <c r="D294" t="inlineStr">
        <is>
          <t>0406</t>
        </is>
      </c>
      <c r="E294" t="inlineStr">
        <is>
          <t>Generación de la información geográfica del territorio nacional</t>
        </is>
      </c>
      <c r="F294" t="inlineStr">
        <is>
          <t>0406016</t>
        </is>
      </c>
      <c r="G294" t="inlineStr">
        <is>
          <t>Servicio de actualización catastral con enfoque multipropósito</t>
        </is>
      </c>
      <c r="H294" t="inlineStr">
        <is>
          <t>Acciones orientadas a renovar el inventario o censo predial en sus componentes físico, jurídico y económico con enfoque multipropósito, de acuerdo con los cambios experimentados por los inmuebles en cada uno de sus componentes. Entregable: base catastral actualizada.</t>
        </is>
      </c>
      <c r="I294" t="inlineStr">
        <is>
          <t>2024257580002</t>
        </is>
      </c>
      <c r="J294" s="99">
        <v>3238500000</v>
      </c>
      <c r="K294" s="99">
        <v>0</v>
      </c>
      <c r="L294" s="99">
        <v>996992420</v>
      </c>
      <c r="M294" s="99">
        <v>1995334000</v>
      </c>
      <c r="N294" s="99">
        <v>246173580</v>
      </c>
      <c r="O294" s="99">
        <v>571499999</v>
      </c>
      <c r="P294" s="99">
        <v>0</v>
      </c>
      <c r="Q294" s="99">
        <v>0</v>
      </c>
      <c r="R294" s="100" t="inlineStr">
        <is>
          <t xml:space="preserve"> </t>
        </is>
      </c>
      <c r="S294" t="inlineStr">
        <is>
          <t>No se programó ni ejecutó en la vigencia</t>
        </is>
      </c>
      <c r="T294" s="101">
        <v>1406992420</v>
      </c>
      <c r="U294" s="101">
        <v>996992420</v>
      </c>
      <c r="V294" s="101">
        <v>996992420</v>
      </c>
      <c r="W294" s="102">
        <v>1</v>
      </c>
      <c r="X294" t="inlineStr">
        <is>
          <t>Se ejecutó el 100% de lo programado en la vigencia</t>
        </is>
      </c>
    </row>
    <row r="295">
      <c r="A295" t="inlineStr">
        <is>
          <t>IP-393</t>
        </is>
      </c>
      <c r="B295" t="inlineStr">
        <is>
          <t>23</t>
        </is>
      </c>
      <c r="C295" t="inlineStr">
        <is>
          <t>Tecnologías de la información y las comunicaciones</t>
        </is>
      </c>
      <c r="D295" t="inlineStr">
        <is>
          <t>2301</t>
        </is>
      </c>
      <c r="E295" t="inlineStr">
        <is>
          <t>Facilitar el acceso y uso de las Tecnologías de la Información y las Comunicaciones (TIC) en todo el territorio nacional</t>
        </is>
      </c>
      <c r="F295" t="inlineStr">
        <is>
          <t>2301029</t>
        </is>
      </c>
      <c r="G295" t="inlineStr">
        <is>
          <t>Servicio de divulgación de la regulación en materia de Tecnologías de la Información y las comunicaciones, y en materia postal</t>
        </is>
      </c>
      <c r="H295" t="inlineStr">
        <is>
          <t xml:space="preserve">Este producto incluye los eventos que se realizan en el marco de la promoción y diivulgación que realizan las entidades del sector de las Tecnologías de la Informacion y las Comunicaciones </t>
        </is>
      </c>
      <c r="I295" t="inlineStr">
        <is>
          <t>2024257580021</t>
        </is>
      </c>
      <c r="J295" s="99">
        <v>0</v>
      </c>
      <c r="K295" s="99">
        <v>0</v>
      </c>
      <c r="L295" s="99">
        <v>0</v>
      </c>
      <c r="M295" s="99">
        <v>0</v>
      </c>
      <c r="N295" s="99">
        <v>0</v>
      </c>
      <c r="O295" s="99" t="inlineStr">
        <is>
          <t xml:space="preserve"> </t>
        </is>
      </c>
      <c r="P295" s="99" t="inlineStr">
        <is>
          <t xml:space="preserve"> </t>
        </is>
      </c>
      <c r="Q295" s="99" t="inlineStr">
        <is>
          <t xml:space="preserve"> </t>
        </is>
      </c>
      <c r="R295" s="100" t="inlineStr">
        <is>
          <t xml:space="preserve"> </t>
        </is>
      </c>
      <c r="S295" t="inlineStr">
        <is>
          <t>No se encontró ejecución en CUIPO</t>
        </is>
      </c>
      <c r="T295" s="101">
        <v>94025533</v>
      </c>
      <c r="U295" s="101">
        <v>58105667</v>
      </c>
      <c r="V295" s="101">
        <v>58105667</v>
      </c>
      <c r="W295" s="102" t="inlineStr">
        <is>
          <t xml:space="preserve"> </t>
        </is>
      </c>
      <c r="X295" t="inlineStr">
        <is>
          <t>Se ejecutó un producto no programado en la vigencia</t>
        </is>
      </c>
    </row>
    <row r="296">
      <c r="A296" t="inlineStr">
        <is>
          <t>IP-394</t>
        </is>
      </c>
      <c r="B296" t="inlineStr">
        <is>
          <t>23</t>
        </is>
      </c>
      <c r="C296" t="inlineStr">
        <is>
          <t>Tecnologías de la información y las comunicaciones</t>
        </is>
      </c>
      <c r="D296" t="inlineStr">
        <is>
          <t>2301</t>
        </is>
      </c>
      <c r="E296" t="inlineStr">
        <is>
          <t>Facilitar el acceso y uso de las Tecnologías de la Información y las Comunicaciones (TIC) en todo el territorio nacional</t>
        </is>
      </c>
      <c r="F296" t="inlineStr">
        <is>
          <t>2301077</t>
        </is>
      </c>
      <c r="G296" t="inlineStr">
        <is>
          <t>Servicio de información actualizado</t>
        </is>
      </c>
      <c r="H296" t="inlineStr">
        <is>
          <t>Corresponde al proceso que mejora en la disposición de la información para asegurar que sea accesible, confiable y oportuna.</t>
        </is>
      </c>
      <c r="I296" t="inlineStr">
        <is>
          <t>2024257580021</t>
        </is>
      </c>
      <c r="J296" s="99">
        <v>102102000</v>
      </c>
      <c r="K296" s="99">
        <v>22000000</v>
      </c>
      <c r="L296" s="99">
        <v>24200000</v>
      </c>
      <c r="M296" s="99">
        <v>26620000</v>
      </c>
      <c r="N296" s="99">
        <v>29282000</v>
      </c>
      <c r="O296" s="99" t="inlineStr">
        <is>
          <t xml:space="preserve"> </t>
        </is>
      </c>
      <c r="P296" s="99" t="inlineStr">
        <is>
          <t xml:space="preserve"> </t>
        </is>
      </c>
      <c r="Q296" s="99" t="inlineStr">
        <is>
          <t xml:space="preserve"> </t>
        </is>
      </c>
      <c r="R296" s="100" t="inlineStr">
        <is>
          <t xml:space="preserve"> </t>
        </is>
      </c>
      <c r="S296" t="inlineStr">
        <is>
          <t>No se encontró ejecución en CUIPO</t>
        </is>
      </c>
      <c r="T296" s="101">
        <v>19933333</v>
      </c>
      <c r="U296" s="101">
        <v>9880000</v>
      </c>
      <c r="V296" s="101">
        <v>9880000</v>
      </c>
      <c r="W296" s="102">
        <v>0.408264462809917</v>
      </c>
      <c r="X296" t="inlineStr">
        <is>
          <t>Lo obligado está por debajo de lo programado en la vigencia</t>
        </is>
      </c>
    </row>
    <row r="297">
      <c r="A297" t="inlineStr">
        <is>
          <t>IP-395</t>
        </is>
      </c>
      <c r="B297" t="inlineStr">
        <is>
          <t>23</t>
        </is>
      </c>
      <c r="C297" t="inlineStr">
        <is>
          <t>Tecnologías de la información y las comunicaciones</t>
        </is>
      </c>
      <c r="D297" t="inlineStr">
        <is>
          <t>2301</t>
        </is>
      </c>
      <c r="E297" t="inlineStr">
        <is>
          <t>Facilitar el acceso y uso de las Tecnologías de la Información y las Comunicaciones (TIC) en todo el territorio nacional</t>
        </is>
      </c>
      <c r="F297" t="inlineStr">
        <is>
          <t>2301008</t>
        </is>
      </c>
      <c r="G297" t="inlineStr">
        <is>
          <t>Estaciones de radiodifusión</t>
        </is>
      </c>
      <c r="H297" t="inlineStr">
        <is>
          <t>Corresponde a las estaciones terrenas de radiodifusión de radio y/o televisión con elementos de recepción, transmisión, enlace de comunicaciones, repuestos y energía. Así mismo, contempla planes de mitigación al impacto ambiental, estudios de medición de exposición a campos electromagnéticos, estudios de cobertura e interferencia y soluciones de monitoreo.</t>
        </is>
      </c>
      <c r="I297" t="inlineStr">
        <is>
          <t>2024257580021</t>
        </is>
      </c>
      <c r="J297" s="99">
        <v>155740000</v>
      </c>
      <c r="K297" s="99">
        <v>0</v>
      </c>
      <c r="L297" s="99">
        <v>47050000</v>
      </c>
      <c r="M297" s="99">
        <v>51755000</v>
      </c>
      <c r="N297" s="99">
        <v>56935000</v>
      </c>
      <c r="O297" s="99">
        <v>77616252</v>
      </c>
      <c r="P297" s="99">
        <v>77616252</v>
      </c>
      <c r="Q297" s="99">
        <v>1575728</v>
      </c>
      <c r="R297" s="100" t="inlineStr">
        <is>
          <t xml:space="preserve"> </t>
        </is>
      </c>
      <c r="S297" t="inlineStr">
        <is>
          <t>Se ejecutó un producto no programado en la vigencia</t>
        </is>
      </c>
      <c r="T297" s="101">
        <v>98721030</v>
      </c>
      <c r="U297" s="101">
        <v>68703978</v>
      </c>
      <c r="V297" s="101">
        <v>68703978</v>
      </c>
      <c r="W297" s="102">
        <v>1.46023332624867</v>
      </c>
      <c r="X297" t="inlineStr">
        <is>
          <t>Hubo ejecución por encima de lo programado en SisPT</t>
        </is>
      </c>
    </row>
    <row r="298">
      <c r="A298" t="inlineStr">
        <is>
          <t>IP-396</t>
        </is>
      </c>
      <c r="B298" t="inlineStr">
        <is>
          <t>23</t>
        </is>
      </c>
      <c r="C298" t="inlineStr">
        <is>
          <t>Tecnologías de la información y las comunicaciones</t>
        </is>
      </c>
      <c r="D298" t="inlineStr">
        <is>
          <t>2301</t>
        </is>
      </c>
      <c r="E298" t="inlineStr">
        <is>
          <t>Facilitar el acceso y uso de las Tecnologías de la Información y las Comunicaciones (TIC) en todo el territorio nacional</t>
        </is>
      </c>
      <c r="F298" t="inlineStr">
        <is>
          <t>2301075</t>
        </is>
      </c>
      <c r="G298" t="inlineStr">
        <is>
          <t>Servicio de Información implementado</t>
        </is>
      </c>
      <c r="H298" t="inlineStr">
        <is>
          <t>Corresponde al proceso que asegura la disposición de la información de manera accesible, confiable y oportuna.</t>
        </is>
      </c>
      <c r="I298" t="inlineStr">
        <is>
          <t>2024257580021</t>
        </is>
      </c>
      <c r="J298" s="99">
        <v>0</v>
      </c>
      <c r="K298" s="99">
        <v>0</v>
      </c>
      <c r="L298" s="99">
        <v>0</v>
      </c>
      <c r="M298" s="99">
        <v>0</v>
      </c>
      <c r="N298" s="99">
        <v>0</v>
      </c>
      <c r="O298" s="99" t="inlineStr">
        <is>
          <t xml:space="preserve"> </t>
        </is>
      </c>
      <c r="P298" s="99" t="inlineStr">
        <is>
          <t xml:space="preserve"> </t>
        </is>
      </c>
      <c r="Q298" s="99" t="inlineStr">
        <is>
          <t xml:space="preserve"> </t>
        </is>
      </c>
      <c r="R298" s="100" t="inlineStr">
        <is>
          <t xml:space="preserve"> </t>
        </is>
      </c>
      <c r="S298" t="inlineStr">
        <is>
          <t>No se encontró ejecución en CUIPO</t>
        </is>
      </c>
      <c r="T298" s="101" t="inlineStr">
        <is>
          <t xml:space="preserve"> </t>
        </is>
      </c>
      <c r="U298" s="101" t="inlineStr">
        <is>
          <t xml:space="preserve"> </t>
        </is>
      </c>
      <c r="V298" s="101" t="inlineStr">
        <is>
          <t xml:space="preserve"> </t>
        </is>
      </c>
      <c r="W298" s="102" t="inlineStr">
        <is>
          <t xml:space="preserve"> </t>
        </is>
      </c>
      <c r="X298" t="inlineStr">
        <is>
          <t>No se encontró ejecución en CUIPO</t>
        </is>
      </c>
    </row>
    <row r="299">
      <c r="A299" t="inlineStr">
        <is>
          <t>IP-397</t>
        </is>
      </c>
      <c r="B299" t="inlineStr">
        <is>
          <t>23</t>
        </is>
      </c>
      <c r="C299" t="inlineStr">
        <is>
          <t>Tecnologías de la información y las comunicaciones</t>
        </is>
      </c>
      <c r="D299" t="inlineStr">
        <is>
          <t>2301</t>
        </is>
      </c>
      <c r="E299" t="inlineStr">
        <is>
          <t>Facilitar el acceso y uso de las Tecnologías de la Información y las Comunicaciones (TIC) en todo el territorio nacional</t>
        </is>
      </c>
      <c r="F299" t="inlineStr">
        <is>
          <t>2301079</t>
        </is>
      </c>
      <c r="G299" t="inlineStr">
        <is>
          <t xml:space="preserve"> Servicio de acceso zonas digitales</t>
        </is>
      </c>
      <c r="H299" t="inlineStr">
        <is>
          <t>Corresponde al montaje y puesta en servicio de la zona digital (wifi), medido a través de la cantidad de usuarios (dispositivos a la zona) y la asistencia personalizada y virtual a los mismos.</t>
        </is>
      </c>
      <c r="I299" t="inlineStr">
        <is>
          <t>2024257580022</t>
        </is>
      </c>
      <c r="J299" s="99">
        <v>0</v>
      </c>
      <c r="K299" s="99">
        <v>0</v>
      </c>
      <c r="L299" s="99">
        <v>0</v>
      </c>
      <c r="M299" s="99">
        <v>0</v>
      </c>
      <c r="N299" s="99">
        <v>0</v>
      </c>
      <c r="O299" s="99" t="inlineStr">
        <is>
          <t xml:space="preserve"> </t>
        </is>
      </c>
      <c r="P299" s="99" t="inlineStr">
        <is>
          <t xml:space="preserve"> </t>
        </is>
      </c>
      <c r="Q299" s="99" t="inlineStr">
        <is>
          <t xml:space="preserve"> </t>
        </is>
      </c>
      <c r="R299" s="100" t="inlineStr">
        <is>
          <t xml:space="preserve"> </t>
        </is>
      </c>
      <c r="S299" t="inlineStr">
        <is>
          <t>No se encontró ejecución en CUIPO</t>
        </is>
      </c>
      <c r="T299" s="101" t="inlineStr">
        <is>
          <t xml:space="preserve"> </t>
        </is>
      </c>
      <c r="U299" s="101" t="inlineStr">
        <is>
          <t xml:space="preserve"> </t>
        </is>
      </c>
      <c r="V299" s="101" t="inlineStr">
        <is>
          <t xml:space="preserve"> </t>
        </is>
      </c>
      <c r="W299" s="102" t="inlineStr">
        <is>
          <t xml:space="preserve"> </t>
        </is>
      </c>
      <c r="X299" t="inlineStr">
        <is>
          <t>No se encontró ejecución en CUIPO</t>
        </is>
      </c>
    </row>
    <row r="300">
      <c r="A300" t="inlineStr">
        <is>
          <t>IP-398</t>
        </is>
      </c>
      <c r="B300" t="inlineStr">
        <is>
          <t>23</t>
        </is>
      </c>
      <c r="C300" t="inlineStr">
        <is>
          <t>Tecnologías de la información y las comunicaciones</t>
        </is>
      </c>
      <c r="D300" t="inlineStr">
        <is>
          <t>2301</t>
        </is>
      </c>
      <c r="E300" t="inlineStr">
        <is>
          <t>Facilitar el acceso y uso de las Tecnologías de la Información y las Comunicaciones (TIC) en todo el territorio nacional</t>
        </is>
      </c>
      <c r="F300" t="inlineStr">
        <is>
          <t>2301027</t>
        </is>
      </c>
      <c r="G300" t="inlineStr">
        <is>
          <t>Servicio de conexiones a redes de acceso</t>
        </is>
      </c>
      <c r="H300" t="inlineStr">
        <is>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is>
      </c>
      <c r="I300" t="inlineStr">
        <is>
          <t>2024257580022</t>
        </is>
      </c>
      <c r="J300" s="99">
        <v>0</v>
      </c>
      <c r="K300" s="99">
        <v>0</v>
      </c>
      <c r="L300" s="99">
        <v>0</v>
      </c>
      <c r="M300" s="99">
        <v>0</v>
      </c>
      <c r="N300" s="99">
        <v>0</v>
      </c>
      <c r="O300" s="99" t="inlineStr">
        <is>
          <t xml:space="preserve"> </t>
        </is>
      </c>
      <c r="P300" s="99" t="inlineStr">
        <is>
          <t xml:space="preserve"> </t>
        </is>
      </c>
      <c r="Q300" s="99" t="inlineStr">
        <is>
          <t xml:space="preserve"> </t>
        </is>
      </c>
      <c r="R300" s="100" t="inlineStr">
        <is>
          <t xml:space="preserve"> </t>
        </is>
      </c>
      <c r="S300" t="inlineStr">
        <is>
          <t>No se encontró ejecución en CUIPO</t>
        </is>
      </c>
      <c r="T300" s="101" t="inlineStr">
        <is>
          <t xml:space="preserve"> </t>
        </is>
      </c>
      <c r="U300" s="101" t="inlineStr">
        <is>
          <t xml:space="preserve"> </t>
        </is>
      </c>
      <c r="V300" s="101" t="inlineStr">
        <is>
          <t xml:space="preserve"> </t>
        </is>
      </c>
      <c r="W300" s="102" t="inlineStr">
        <is>
          <t xml:space="preserve"> </t>
        </is>
      </c>
      <c r="X300" t="inlineStr">
        <is>
          <t>No se encontró ejecución en CUIPO</t>
        </is>
      </c>
    </row>
    <row r="301">
      <c r="A301" t="inlineStr">
        <is>
          <t>IP-399</t>
        </is>
      </c>
      <c r="B301" t="inlineStr">
        <is>
          <t>23</t>
        </is>
      </c>
      <c r="C301" t="inlineStr">
        <is>
          <t>Tecnologías de la información y las comunicaciones</t>
        </is>
      </c>
      <c r="D301" t="inlineStr">
        <is>
          <t>2301</t>
        </is>
      </c>
      <c r="E301" t="inlineStr">
        <is>
          <t>Facilitar el acceso y uso de las Tecnologías de la Información y las Comunicaciones (TIC) en todo el territorio nacional</t>
        </is>
      </c>
      <c r="F301" t="inlineStr">
        <is>
          <t>2301063</t>
        </is>
      </c>
      <c r="G301" t="inlineStr">
        <is>
          <t>Servicio de educación informal para la adecuada disposición de residuos de aparatos eléctricos y electrónicos</t>
        </is>
      </c>
      <c r="H301" t="inlineStr">
        <is>
          <t>Hace referencia a las acciones de formación o capacitaciones para sensibilizar a la comunidad educativa en el almacenamiento, manejo y disposición final de  residuos de aparatos eléctricos y electrónicos.</t>
        </is>
      </c>
      <c r="I301" t="inlineStr">
        <is>
          <t>2024257580022</t>
        </is>
      </c>
      <c r="J301" s="99">
        <v>0</v>
      </c>
      <c r="K301" s="99">
        <v>0</v>
      </c>
      <c r="L301" s="99">
        <v>0</v>
      </c>
      <c r="M301" s="99">
        <v>0</v>
      </c>
      <c r="N301" s="99">
        <v>0</v>
      </c>
      <c r="O301" s="99" t="inlineStr">
        <is>
          <t xml:space="preserve"> </t>
        </is>
      </c>
      <c r="P301" s="99" t="inlineStr">
        <is>
          <t xml:space="preserve"> </t>
        </is>
      </c>
      <c r="Q301" s="99" t="inlineStr">
        <is>
          <t xml:space="preserve"> </t>
        </is>
      </c>
      <c r="R301" s="100" t="inlineStr">
        <is>
          <t xml:space="preserve"> </t>
        </is>
      </c>
      <c r="S301" t="inlineStr">
        <is>
          <t>No se encontró ejecución en CUIPO</t>
        </is>
      </c>
      <c r="T301" s="101" t="inlineStr">
        <is>
          <t xml:space="preserve"> </t>
        </is>
      </c>
      <c r="U301" s="101" t="inlineStr">
        <is>
          <t xml:space="preserve"> </t>
        </is>
      </c>
      <c r="V301" s="101" t="inlineStr">
        <is>
          <t xml:space="preserve"> </t>
        </is>
      </c>
      <c r="W301" s="102" t="inlineStr">
        <is>
          <t xml:space="preserve"> </t>
        </is>
      </c>
      <c r="X301" t="inlineStr">
        <is>
          <t>No se encontró ejecución en CUIPO</t>
        </is>
      </c>
    </row>
    <row r="302">
      <c r="A302" t="inlineStr">
        <is>
          <t>IP-400</t>
        </is>
      </c>
      <c r="B302" t="inlineStr">
        <is>
          <t>23</t>
        </is>
      </c>
      <c r="C302" t="inlineStr">
        <is>
          <t>Tecnologías de la información y las comunicaciones</t>
        </is>
      </c>
      <c r="D302" t="inlineStr">
        <is>
          <t>2302</t>
        </is>
      </c>
      <c r="E302" t="inlineStr">
        <is>
          <t>Fomento del desarrollo de aplicaciones, software y contenidos para impulsar la apropiación de las Tecnologías de la Información y las Comunicaciones (TIC)</t>
        </is>
      </c>
      <c r="F302" t="inlineStr">
        <is>
          <t>2302002</t>
        </is>
      </c>
      <c r="G302" t="inlineStr">
        <is>
          <t>Contenidos digitales</t>
        </is>
      </c>
      <c r="H302" t="inlineStr">
        <is>
          <t>Corresponde a contenidos en formatos tales como piezas gráficas, posteos para redes sociales, videos de historias de éxito, videos tutoriales y pedagógicos, artículos y crónicas que evidencian la importancia de la apropiación TIC</t>
        </is>
      </c>
      <c r="I302" t="inlineStr">
        <is>
          <t>2024257580020</t>
        </is>
      </c>
      <c r="J302" s="99">
        <v>2102373000</v>
      </c>
      <c r="K302" s="99">
        <v>453000000</v>
      </c>
      <c r="L302" s="99">
        <v>498300000</v>
      </c>
      <c r="M302" s="99">
        <v>548130000</v>
      </c>
      <c r="N302" s="99">
        <v>602943000</v>
      </c>
      <c r="O302" s="99">
        <v>2860000</v>
      </c>
      <c r="P302" s="99">
        <v>2860000</v>
      </c>
      <c r="Q302" s="99">
        <v>2860000</v>
      </c>
      <c r="R302" s="100">
        <v>0.00631346578366446</v>
      </c>
      <c r="S302" t="inlineStr">
        <is>
          <t>Lo obligado está por debajo de lo programado en la vigencia</t>
        </is>
      </c>
      <c r="T302" s="101">
        <v>180338360</v>
      </c>
      <c r="U302" s="101">
        <v>119031619</v>
      </c>
      <c r="V302" s="101">
        <v>119031619</v>
      </c>
      <c r="W302" s="102">
        <v>0.238875414408991</v>
      </c>
      <c r="X302" t="inlineStr">
        <is>
          <t>Lo obligado está por debajo de lo programado en la vigencia</t>
        </is>
      </c>
    </row>
    <row r="303">
      <c r="A303" t="inlineStr">
        <is>
          <t>IP-401</t>
        </is>
      </c>
      <c r="B303" t="inlineStr">
        <is>
          <t>23</t>
        </is>
      </c>
      <c r="C303" t="inlineStr">
        <is>
          <t>Tecnologías de la información y las comunicaciones</t>
        </is>
      </c>
      <c r="D303" t="inlineStr">
        <is>
          <t>2302</t>
        </is>
      </c>
      <c r="E303" t="inlineStr">
        <is>
          <t>Fomento del desarrollo de aplicaciones, software y contenidos para impulsar la apropiación de las Tecnologías de la Información y las Comunicaciones (TIC)</t>
        </is>
      </c>
      <c r="F303" t="inlineStr">
        <is>
          <t>2302074</t>
        </is>
      </c>
      <c r="G303" t="inlineStr">
        <is>
          <t>Servicio de producción y/o coproducción de contenidos convergentes</t>
        </is>
      </c>
      <c r="H303" t="inlineStr">
        <is>
          <t>servicio de crear, producir o coproducir productos que incluyen: proyectos transmedia, ficciones, documentales, animaciones y aplicaciones para diferentes plataformas y dispositivos, videojuegos, libros interactivos y documentales interactivos.</t>
        </is>
      </c>
      <c r="I303" t="inlineStr">
        <is>
          <t>2024257580020</t>
        </is>
      </c>
      <c r="J303" s="99">
        <v>0</v>
      </c>
      <c r="K303" s="99">
        <v>0</v>
      </c>
      <c r="L303" s="99">
        <v>0</v>
      </c>
      <c r="M303" s="99">
        <v>0</v>
      </c>
      <c r="N303" s="99">
        <v>0</v>
      </c>
      <c r="O303" s="99" t="inlineStr">
        <is>
          <t xml:space="preserve"> </t>
        </is>
      </c>
      <c r="P303" s="99" t="inlineStr">
        <is>
          <t xml:space="preserve"> </t>
        </is>
      </c>
      <c r="Q303" s="99" t="inlineStr">
        <is>
          <t xml:space="preserve"> </t>
        </is>
      </c>
      <c r="R303" s="100" t="inlineStr">
        <is>
          <t xml:space="preserve"> </t>
        </is>
      </c>
      <c r="S303" t="inlineStr">
        <is>
          <t>No se encontró ejecución en CUIPO</t>
        </is>
      </c>
      <c r="T303" s="101">
        <v>45956300</v>
      </c>
      <c r="U303" s="101">
        <v>30770740</v>
      </c>
      <c r="V303" s="101">
        <v>30770740</v>
      </c>
      <c r="W303" s="102" t="inlineStr">
        <is>
          <t xml:space="preserve"> </t>
        </is>
      </c>
      <c r="X303" t="inlineStr">
        <is>
          <t>Se ejecutó un producto no programado en la vigencia</t>
        </is>
      </c>
    </row>
    <row r="304">
      <c r="A304" t="inlineStr">
        <is>
          <t>IP-402</t>
        </is>
      </c>
      <c r="B304" t="inlineStr">
        <is>
          <t>23</t>
        </is>
      </c>
      <c r="C304" t="inlineStr">
        <is>
          <t>Tecnologías de la información y las comunicaciones</t>
        </is>
      </c>
      <c r="D304" t="inlineStr">
        <is>
          <t>2302</t>
        </is>
      </c>
      <c r="E304" t="inlineStr">
        <is>
          <t>Fomento del desarrollo de aplicaciones, software y contenidos para impulsar la apropiación de las Tecnologías de la Información y las Comunicaciones (TIC)</t>
        </is>
      </c>
      <c r="F304" t="inlineStr">
        <is>
          <t>2302086</t>
        </is>
      </c>
      <c r="G304" t="inlineStr">
        <is>
          <t>Servicios de Información para la implementación de la Estrategia de Gobierno digital</t>
        </is>
      </c>
      <c r="H304" t="inlineStr">
        <is>
          <t>Son aquellos aplicativos o herramientas y servicios tecnológicos diseñados y desarrollados en el marco de la implementación de la estrategia de Gobierno Digital para que sean gestionadas y mejoradas por las entidades del Estado o por la Industria.</t>
        </is>
      </c>
      <c r="I304" t="inlineStr">
        <is>
          <t>2024257580020</t>
        </is>
      </c>
      <c r="J304" s="99">
        <v>0</v>
      </c>
      <c r="K304" s="99">
        <v>0</v>
      </c>
      <c r="L304" s="99">
        <v>0</v>
      </c>
      <c r="M304" s="99">
        <v>0</v>
      </c>
      <c r="N304" s="99">
        <v>0</v>
      </c>
      <c r="O304" s="99" t="inlineStr">
        <is>
          <t xml:space="preserve"> </t>
        </is>
      </c>
      <c r="P304" s="99" t="inlineStr">
        <is>
          <t xml:space="preserve"> </t>
        </is>
      </c>
      <c r="Q304" s="99" t="inlineStr">
        <is>
          <t xml:space="preserve"> </t>
        </is>
      </c>
      <c r="R304" s="100" t="inlineStr">
        <is>
          <t xml:space="preserve"> </t>
        </is>
      </c>
      <c r="S304" t="inlineStr">
        <is>
          <t>No se encontró ejecución en CUIPO</t>
        </is>
      </c>
      <c r="T304" s="101" t="inlineStr">
        <is>
          <t xml:space="preserve"> </t>
        </is>
      </c>
      <c r="U304" s="101" t="inlineStr">
        <is>
          <t xml:space="preserve"> </t>
        </is>
      </c>
      <c r="V304" s="101" t="inlineStr">
        <is>
          <t xml:space="preserve"> </t>
        </is>
      </c>
      <c r="W304" s="102" t="inlineStr">
        <is>
          <t xml:space="preserve"> </t>
        </is>
      </c>
      <c r="X304" t="inlineStr">
        <is>
          <t>No se encontró ejecución en CUIPO</t>
        </is>
      </c>
    </row>
    <row r="305">
      <c r="A305" t="inlineStr">
        <is>
          <t>IP-403</t>
        </is>
      </c>
      <c r="B305" t="inlineStr">
        <is>
          <t>45</t>
        </is>
      </c>
      <c r="C305" t="inlineStr">
        <is>
          <t>Gobierno Territorial</t>
        </is>
      </c>
      <c r="D305" t="inlineStr">
        <is>
          <t>4599</t>
        </is>
      </c>
      <c r="E305" t="inlineStr">
        <is>
          <t>Fortalecimiento a la gestión y dirección de la administración pública territorial</t>
        </is>
      </c>
      <c r="F305" t="inlineStr">
        <is>
          <t>4599005</t>
        </is>
      </c>
      <c r="G305" t="inlineStr">
        <is>
          <t>Documento para la planeación estratégica en TI</t>
        </is>
      </c>
      <c r="H305" t="inlineStr">
        <is>
          <t xml:space="preserve">Consiste en la formulación de documento cuyo objetivo es definir el marco de referencia que alinea la gestión de tecnologías  de la información con las políticas de estado y sectoriales que se definan en la materia. </t>
        </is>
      </c>
      <c r="I305" t="inlineStr">
        <is>
          <t>2024257580031</t>
        </is>
      </c>
      <c r="J305" s="99">
        <v>827536710</v>
      </c>
      <c r="K305" s="99">
        <v>178310000</v>
      </c>
      <c r="L305" s="99">
        <v>196141000</v>
      </c>
      <c r="M305" s="99">
        <v>215755100</v>
      </c>
      <c r="N305" s="99">
        <v>237330610</v>
      </c>
      <c r="O305" s="99" t="inlineStr">
        <is>
          <t xml:space="preserve"> </t>
        </is>
      </c>
      <c r="P305" s="99" t="inlineStr">
        <is>
          <t xml:space="preserve"> </t>
        </is>
      </c>
      <c r="Q305" s="99" t="inlineStr">
        <is>
          <t xml:space="preserve"> </t>
        </is>
      </c>
      <c r="R305" s="100" t="inlineStr">
        <is>
          <t xml:space="preserve"> </t>
        </is>
      </c>
      <c r="S305" t="inlineStr">
        <is>
          <t>No se encontró ejecución en CUIPO</t>
        </is>
      </c>
      <c r="T305" s="101">
        <v>118884957</v>
      </c>
      <c r="U305" s="101">
        <v>95067214</v>
      </c>
      <c r="V305" s="101">
        <v>95067214</v>
      </c>
      <c r="W305" s="102">
        <v>0.484688127418541</v>
      </c>
      <c r="X305" t="inlineStr">
        <is>
          <t>Lo obligado está por debajo de lo programado en la vigencia</t>
        </is>
      </c>
    </row>
    <row r="306">
      <c r="A306" t="inlineStr">
        <is>
          <t>IP-404, IP-405</t>
        </is>
      </c>
      <c r="B306" t="inlineStr">
        <is>
          <t>45</t>
        </is>
      </c>
      <c r="C306" t="inlineStr">
        <is>
          <t>Gobierno Territorial</t>
        </is>
      </c>
      <c r="D306" t="inlineStr">
        <is>
          <t>4599</t>
        </is>
      </c>
      <c r="E306" t="inlineStr">
        <is>
          <t>Fortalecimiento a la gestión y dirección de la administración pública territorial</t>
        </is>
      </c>
      <c r="F306" t="inlineStr">
        <is>
          <t>4599007</t>
        </is>
      </c>
      <c r="G306" t="inlineStr">
        <is>
          <t>Servicios tecnológicos</t>
        </is>
      </c>
      <c r="H306" t="inlineStr">
        <is>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is>
      </c>
      <c r="I306" t="inlineStr">
        <is>
          <t>2024257580031</t>
        </is>
      </c>
      <c r="J306" s="99">
        <v>1226039729</v>
      </c>
      <c r="K306" s="99">
        <v>193860000</v>
      </c>
      <c r="L306" s="99">
        <v>311836776</v>
      </c>
      <c r="M306" s="99">
        <v>343020454</v>
      </c>
      <c r="N306" s="99">
        <v>377322499</v>
      </c>
      <c r="O306" s="99">
        <v>147948598</v>
      </c>
      <c r="P306" s="99">
        <v>147948598</v>
      </c>
      <c r="Q306" s="99">
        <v>147948598</v>
      </c>
      <c r="R306" s="100">
        <v>0.763172382131435</v>
      </c>
      <c r="S306" t="inlineStr">
        <is>
          <t>Lo obligado está por debajo de lo programado en la vigencia</t>
        </is>
      </c>
      <c r="T306" s="101" t="inlineStr">
        <is>
          <t xml:space="preserve"> </t>
        </is>
      </c>
      <c r="U306" s="101" t="inlineStr">
        <is>
          <t xml:space="preserve"> </t>
        </is>
      </c>
      <c r="V306" s="101" t="inlineStr">
        <is>
          <t xml:space="preserve"> </t>
        </is>
      </c>
      <c r="W306" s="102" t="inlineStr">
        <is>
          <t xml:space="preserve"> </t>
        </is>
      </c>
      <c r="X306" t="inlineStr">
        <is>
          <t>No se encontró ejecución en CUIPO</t>
        </is>
      </c>
    </row>
    <row r="307">
      <c r="A307" t="inlineStr">
        <is>
          <t>IP-406, IP-407</t>
        </is>
      </c>
      <c r="B307" t="inlineStr">
        <is>
          <t>45</t>
        </is>
      </c>
      <c r="C307" t="inlineStr">
        <is>
          <t>Gobierno Territorial</t>
        </is>
      </c>
      <c r="D307" t="inlineStr">
        <is>
          <t>4599</t>
        </is>
      </c>
      <c r="E307" t="inlineStr">
        <is>
          <t>Fortalecimiento a la gestión y dirección de la administración pública territorial</t>
        </is>
      </c>
      <c r="F307" t="inlineStr">
        <is>
          <t>4599023</t>
        </is>
      </c>
      <c r="G307" t="inlineStr">
        <is>
          <t>Servicio de Implementación Sistemas de Gestión</t>
        </is>
      </c>
      <c r="H307" t="inlineStr">
        <is>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is>
      </c>
      <c r="I307" t="inlineStr">
        <is>
          <t>2024257580023</t>
        </is>
      </c>
      <c r="J307" s="99">
        <v>654819030</v>
      </c>
      <c r="K307" s="99">
        <v>126830000</v>
      </c>
      <c r="L307" s="99">
        <v>159513000</v>
      </c>
      <c r="M307" s="99">
        <v>175464300</v>
      </c>
      <c r="N307" s="99">
        <v>193011730</v>
      </c>
      <c r="O307" s="99">
        <v>52700000</v>
      </c>
      <c r="P307" s="99">
        <v>52700000</v>
      </c>
      <c r="Q307" s="99">
        <v>52700000</v>
      </c>
      <c r="R307" s="100">
        <v>0.415516833556729</v>
      </c>
      <c r="S307" t="inlineStr">
        <is>
          <t>Lo obligado está por debajo de lo programado en la vigencia</t>
        </is>
      </c>
      <c r="T307" s="101">
        <v>159330524</v>
      </c>
      <c r="U307" s="101">
        <v>78004733</v>
      </c>
      <c r="V307" s="101">
        <v>78004733</v>
      </c>
      <c r="W307" s="102">
        <v>0.489018029878443</v>
      </c>
      <c r="X307" t="inlineStr">
        <is>
          <t>Lo obligado está por debajo de lo programado en la vigencia</t>
        </is>
      </c>
    </row>
    <row r="308">
      <c r="A308" t="inlineStr">
        <is>
          <t>IP-408</t>
        </is>
      </c>
      <c r="B308" t="inlineStr">
        <is>
          <t>45</t>
        </is>
      </c>
      <c r="C308" t="inlineStr">
        <is>
          <t>Gobierno Territorial</t>
        </is>
      </c>
      <c r="D308" t="inlineStr">
        <is>
          <t>4599</t>
        </is>
      </c>
      <c r="E308" t="inlineStr">
        <is>
          <t>Fortalecimiento a la gestión y dirección de la administración pública territorial</t>
        </is>
      </c>
      <c r="F308" t="inlineStr">
        <is>
          <t>4599011</t>
        </is>
      </c>
      <c r="G308" t="inlineStr">
        <is>
          <t>Sedes adecuadas</t>
        </is>
      </c>
      <c r="H308" t="inlineStr">
        <is>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is>
      </c>
      <c r="I308" t="inlineStr">
        <is>
          <t>2024257580023</t>
        </is>
      </c>
      <c r="J308" s="99">
        <v>603330000</v>
      </c>
      <c r="K308" s="99">
        <v>130000000</v>
      </c>
      <c r="L308" s="99">
        <v>143000000</v>
      </c>
      <c r="M308" s="99">
        <v>157300000</v>
      </c>
      <c r="N308" s="99">
        <v>173030000</v>
      </c>
      <c r="O308" s="99" t="inlineStr">
        <is>
          <t xml:space="preserve"> </t>
        </is>
      </c>
      <c r="P308" s="99" t="inlineStr">
        <is>
          <t xml:space="preserve"> </t>
        </is>
      </c>
      <c r="Q308" s="99" t="inlineStr">
        <is>
          <t xml:space="preserve"> </t>
        </is>
      </c>
      <c r="R308" s="100" t="inlineStr">
        <is>
          <t xml:space="preserve"> </t>
        </is>
      </c>
      <c r="S308" t="inlineStr">
        <is>
          <t>No se encontró ejecución en CUIPO</t>
        </is>
      </c>
      <c r="T308" s="101" t="inlineStr">
        <is>
          <t xml:space="preserve"> </t>
        </is>
      </c>
      <c r="U308" s="101" t="inlineStr">
        <is>
          <t xml:space="preserve"> </t>
        </is>
      </c>
      <c r="V308" s="101" t="inlineStr">
        <is>
          <t xml:space="preserve"> </t>
        </is>
      </c>
      <c r="W308" s="102" t="inlineStr">
        <is>
          <t xml:space="preserve"> </t>
        </is>
      </c>
      <c r="X308" t="inlineStr">
        <is>
          <t>No se encontró ejecución en CUIPO</t>
        </is>
      </c>
    </row>
    <row r="309">
      <c r="A309" t="inlineStr">
        <is>
          <t>IP-409</t>
        </is>
      </c>
      <c r="B309" t="inlineStr">
        <is>
          <t>45</t>
        </is>
      </c>
      <c r="C309" t="inlineStr">
        <is>
          <t>Gobierno Territorial</t>
        </is>
      </c>
      <c r="D309" t="inlineStr">
        <is>
          <t>4599</t>
        </is>
      </c>
      <c r="E309" t="inlineStr">
        <is>
          <t>Fortalecimiento a la gestión y dirección de la administración pública territorial</t>
        </is>
      </c>
      <c r="F309" t="inlineStr">
        <is>
          <t>4599020</t>
        </is>
      </c>
      <c r="G309" t="inlineStr">
        <is>
          <t>Documentos metodológicos</t>
        </is>
      </c>
      <c r="H309" t="inlineStr">
        <is>
          <t>Documentos cuyo objetivo es describir y explicar métodos, herramientas analíticas, o procesos que determinan un camino o forma de realizar un análisis en particular.</t>
        </is>
      </c>
      <c r="I309" t="inlineStr">
        <is>
          <t>2024257580023</t>
        </is>
      </c>
      <c r="J309" s="99">
        <v>0</v>
      </c>
      <c r="K309" s="99">
        <v>0</v>
      </c>
      <c r="L309" s="99">
        <v>0</v>
      </c>
      <c r="M309" s="99">
        <v>0</v>
      </c>
      <c r="N309" s="99">
        <v>0</v>
      </c>
      <c r="O309" s="99" t="inlineStr">
        <is>
          <t xml:space="preserve"> </t>
        </is>
      </c>
      <c r="P309" s="99" t="inlineStr">
        <is>
          <t xml:space="preserve"> </t>
        </is>
      </c>
      <c r="Q309" s="99" t="inlineStr">
        <is>
          <t xml:space="preserve"> </t>
        </is>
      </c>
      <c r="R309" s="100" t="inlineStr">
        <is>
          <t xml:space="preserve"> </t>
        </is>
      </c>
      <c r="S309" t="inlineStr">
        <is>
          <t>No se encontró ejecución en CUIPO</t>
        </is>
      </c>
      <c r="T309" s="101" t="inlineStr">
        <is>
          <t xml:space="preserve"> </t>
        </is>
      </c>
      <c r="U309" s="101" t="inlineStr">
        <is>
          <t xml:space="preserve"> </t>
        </is>
      </c>
      <c r="V309" s="101" t="inlineStr">
        <is>
          <t xml:space="preserve"> </t>
        </is>
      </c>
      <c r="W309" s="102" t="inlineStr">
        <is>
          <t xml:space="preserve"> </t>
        </is>
      </c>
      <c r="X309" t="inlineStr">
        <is>
          <t>No se encontró ejecución en CUIPO</t>
        </is>
      </c>
    </row>
    <row r="310">
      <c r="A310" t="inlineStr">
        <is>
          <t>IP-410</t>
        </is>
      </c>
      <c r="B310" t="inlineStr">
        <is>
          <t>45</t>
        </is>
      </c>
      <c r="C310" t="inlineStr">
        <is>
          <t>Gobierno Territorial</t>
        </is>
      </c>
      <c r="D310" t="inlineStr">
        <is>
          <t>4599</t>
        </is>
      </c>
      <c r="E310" t="inlineStr">
        <is>
          <t>Fortalecimiento a la gestión y dirección de la administración pública territorial</t>
        </is>
      </c>
      <c r="F310" t="inlineStr">
        <is>
          <t>4599032</t>
        </is>
      </c>
      <c r="G310" t="inlineStr">
        <is>
          <t>Documentos de política</t>
        </is>
      </c>
      <c r="H310" t="inlineStr">
        <is>
          <t>Documentos cuyo objetivo es dar una orientación frente a las acciones que el Estado debe realizar en el marco de una tema específico con el fin de suplir necesidades de interés público, materializables en los diferentes instrumentos de planeación y presupuestación.</t>
        </is>
      </c>
      <c r="I310" t="inlineStr">
        <is>
          <t>2024257580012</t>
        </is>
      </c>
      <c r="J310" s="99">
        <v>0</v>
      </c>
      <c r="K310" s="99">
        <v>0</v>
      </c>
      <c r="L310" s="99">
        <v>0</v>
      </c>
      <c r="M310" s="99">
        <v>0</v>
      </c>
      <c r="N310" s="99">
        <v>0</v>
      </c>
      <c r="O310" s="99">
        <v>175934475</v>
      </c>
      <c r="P310" s="99">
        <v>175934475</v>
      </c>
      <c r="Q310" s="99">
        <v>175934475</v>
      </c>
      <c r="R310" s="100" t="inlineStr">
        <is>
          <t xml:space="preserve"> </t>
        </is>
      </c>
      <c r="S310" t="inlineStr">
        <is>
          <t>Se ejecutó un producto no programado en la vigencia</t>
        </is>
      </c>
      <c r="T310" s="101">
        <v>199612412</v>
      </c>
      <c r="U310" s="101">
        <v>39108736</v>
      </c>
      <c r="V310" s="101">
        <v>39108736</v>
      </c>
      <c r="W310" s="102" t="inlineStr">
        <is>
          <t xml:space="preserve"> </t>
        </is>
      </c>
      <c r="X310" t="inlineStr">
        <is>
          <t>Se ejecutó un producto no programado en la vigencia</t>
        </is>
      </c>
    </row>
    <row r="311">
      <c r="A311" t="inlineStr">
        <is>
          <t>IP-412, IP-413, IP-415</t>
        </is>
      </c>
      <c r="B311" t="inlineStr">
        <is>
          <t>45</t>
        </is>
      </c>
      <c r="C311" t="inlineStr">
        <is>
          <t>Gobierno Territorial</t>
        </is>
      </c>
      <c r="D311" t="inlineStr">
        <is>
          <t>4599</t>
        </is>
      </c>
      <c r="E311" t="inlineStr">
        <is>
          <t>Fortalecimiento a la gestión y dirección de la administración pública territorial</t>
        </is>
      </c>
      <c r="F311" t="inlineStr">
        <is>
          <t>4599018</t>
        </is>
      </c>
      <c r="G311" t="inlineStr">
        <is>
          <t>Documentos de lineamientos técnicos</t>
        </is>
      </c>
      <c r="H311" t="inlineStr">
        <is>
          <t>Documentos cuyo objetivo es describir y explicar instrumentos, estándares, requisitos y condiciones necesarias para llevar a cabo un proceso o actividad.</t>
        </is>
      </c>
      <c r="I311" t="inlineStr">
        <is>
          <t>2024257580012</t>
        </is>
      </c>
      <c r="J311" s="99">
        <v>1774387297</v>
      </c>
      <c r="K311" s="99">
        <v>382328657</v>
      </c>
      <c r="L311" s="99">
        <v>420561523</v>
      </c>
      <c r="M311" s="99">
        <v>462617675</v>
      </c>
      <c r="N311" s="99">
        <v>508879442</v>
      </c>
      <c r="O311" s="99" t="inlineStr">
        <is>
          <t xml:space="preserve"> </t>
        </is>
      </c>
      <c r="P311" s="99" t="inlineStr">
        <is>
          <t xml:space="preserve"> </t>
        </is>
      </c>
      <c r="Q311" s="99" t="inlineStr">
        <is>
          <t xml:space="preserve"> </t>
        </is>
      </c>
      <c r="R311" s="100" t="inlineStr">
        <is>
          <t xml:space="preserve"> </t>
        </is>
      </c>
      <c r="S311" t="inlineStr">
        <is>
          <t>No se encontró ejecución en CUIPO</t>
        </is>
      </c>
      <c r="T311" s="101">
        <v>148917408</v>
      </c>
      <c r="U311" s="101">
        <v>72169293</v>
      </c>
      <c r="V311" s="101">
        <v>72169293</v>
      </c>
      <c r="W311" s="102">
        <v>0.171602224771285</v>
      </c>
      <c r="X311" t="inlineStr">
        <is>
          <t>Lo obligado está por debajo de lo programado en la vigencia</t>
        </is>
      </c>
    </row>
    <row r="312">
      <c r="A312" t="inlineStr">
        <is>
          <t>IP-414</t>
        </is>
      </c>
      <c r="B312" t="inlineStr">
        <is>
          <t>45</t>
        </is>
      </c>
      <c r="C312" t="inlineStr">
        <is>
          <t>Gobierno Territorial</t>
        </is>
      </c>
      <c r="D312" t="inlineStr">
        <is>
          <t>4599</t>
        </is>
      </c>
      <c r="E312" t="inlineStr">
        <is>
          <t>Fortalecimiento a la gestión y dirección de la administración pública territorial</t>
        </is>
      </c>
      <c r="F312" t="inlineStr">
        <is>
          <t>4599019</t>
        </is>
      </c>
      <c r="G312" t="inlineStr">
        <is>
          <t>Documentos de planeación</t>
        </is>
      </c>
      <c r="H312" t="inlineStr">
        <is>
          <t>Consiste en la formulación de documentos cuyo objetivo es plasmar una visión de futuro a nivel país, entidad territorial, comunidad, sector, región, entidad o cualquier nivel de desagregación que se requiera, plasmando elementos como objetivos, estrategias, metas e indicadores.</t>
        </is>
      </c>
      <c r="I312" t="inlineStr">
        <is>
          <t>2024257580012</t>
        </is>
      </c>
      <c r="J312" s="99">
        <v>232050000</v>
      </c>
      <c r="K312" s="99">
        <v>50000000</v>
      </c>
      <c r="L312" s="99">
        <v>55000000</v>
      </c>
      <c r="M312" s="99">
        <v>60500000</v>
      </c>
      <c r="N312" s="99">
        <v>66550000</v>
      </c>
      <c r="O312" s="99" t="inlineStr">
        <is>
          <t xml:space="preserve"> </t>
        </is>
      </c>
      <c r="P312" s="99" t="inlineStr">
        <is>
          <t xml:space="preserve"> </t>
        </is>
      </c>
      <c r="Q312" s="99" t="inlineStr">
        <is>
          <t xml:space="preserve"> </t>
        </is>
      </c>
      <c r="R312" s="100" t="inlineStr">
        <is>
          <t xml:space="preserve"> </t>
        </is>
      </c>
      <c r="S312" t="inlineStr">
        <is>
          <t>No se encontró ejecución en CUIPO</t>
        </is>
      </c>
      <c r="T312" s="101" t="inlineStr">
        <is>
          <t xml:space="preserve"> </t>
        </is>
      </c>
      <c r="U312" s="101" t="inlineStr">
        <is>
          <t xml:space="preserve"> </t>
        </is>
      </c>
      <c r="V312" s="101" t="inlineStr">
        <is>
          <t xml:space="preserve"> </t>
        </is>
      </c>
      <c r="W312" s="102" t="inlineStr">
        <is>
          <t xml:space="preserve"> </t>
        </is>
      </c>
      <c r="X312" t="inlineStr">
        <is>
          <t>No se encontró ejecución en CUIPO</t>
        </is>
      </c>
    </row>
    <row r="313">
      <c r="A313" t="inlineStr">
        <is>
          <t>IP-416</t>
        </is>
      </c>
      <c r="B313" t="inlineStr">
        <is>
          <t>45</t>
        </is>
      </c>
      <c r="C313" t="inlineStr">
        <is>
          <t>Gobierno Territorial</t>
        </is>
      </c>
      <c r="D313" t="inlineStr">
        <is>
          <t>4599</t>
        </is>
      </c>
      <c r="E313" t="inlineStr">
        <is>
          <t>Fortalecimiento a la gestión y dirección de la administración pública territorial</t>
        </is>
      </c>
      <c r="F313" t="inlineStr">
        <is>
          <t>4599018</t>
        </is>
      </c>
      <c r="G313" t="inlineStr">
        <is>
          <t>Documentos de lineamientos técnicos</t>
        </is>
      </c>
      <c r="H313" t="inlineStr">
        <is>
          <t>Documentos cuyo objetivo es describir y explicar instrumentos, estándares, requisitos y condiciones necesarias para llevar a cabo un proceso o actividad.</t>
        </is>
      </c>
      <c r="I313" t="inlineStr">
        <is>
          <t>2024257580032</t>
        </is>
      </c>
      <c r="J313" s="99">
        <v>0</v>
      </c>
      <c r="K313" s="99">
        <v>0</v>
      </c>
      <c r="L313" s="99">
        <v>0</v>
      </c>
      <c r="M313" s="99">
        <v>0</v>
      </c>
      <c r="N313" s="99">
        <v>0</v>
      </c>
      <c r="O313" s="99" t="inlineStr">
        <is>
          <t xml:space="preserve"> </t>
        </is>
      </c>
      <c r="P313" s="99" t="inlineStr">
        <is>
          <t xml:space="preserve"> </t>
        </is>
      </c>
      <c r="Q313" s="99" t="inlineStr">
        <is>
          <t xml:space="preserve"> </t>
        </is>
      </c>
      <c r="R313" s="100" t="inlineStr">
        <is>
          <t xml:space="preserve"> </t>
        </is>
      </c>
      <c r="S313" t="inlineStr">
        <is>
          <t>No se encontró ejecución en CUIPO</t>
        </is>
      </c>
      <c r="T313" s="101" t="inlineStr">
        <is>
          <t xml:space="preserve"> </t>
        </is>
      </c>
      <c r="U313" s="101" t="inlineStr">
        <is>
          <t xml:space="preserve"> </t>
        </is>
      </c>
      <c r="V313" s="101" t="inlineStr">
        <is>
          <t xml:space="preserve"> </t>
        </is>
      </c>
      <c r="W313" s="102" t="inlineStr">
        <is>
          <t xml:space="preserve"> </t>
        </is>
      </c>
      <c r="X313" t="inlineStr">
        <is>
          <t>No se encontró ejecución en CUIPO</t>
        </is>
      </c>
    </row>
    <row r="314">
      <c r="A314" t="inlineStr">
        <is>
          <t>IP-417, IP-418, IP-419</t>
        </is>
      </c>
      <c r="B314" t="inlineStr">
        <is>
          <t>45</t>
        </is>
      </c>
      <c r="C314" t="inlineStr">
        <is>
          <t>Gobierno Territorial</t>
        </is>
      </c>
      <c r="D314" t="inlineStr">
        <is>
          <t>4599</t>
        </is>
      </c>
      <c r="E314" t="inlineStr">
        <is>
          <t>Fortalecimiento a la gestión y dirección de la administración pública territorial</t>
        </is>
      </c>
      <c r="F314" t="inlineStr">
        <is>
          <t>4599017</t>
        </is>
      </c>
      <c r="G314" t="inlineStr">
        <is>
          <t>Servicio de gestión documental</t>
        </is>
      </c>
      <c r="H314" t="inlineStr">
        <is>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is>
      </c>
      <c r="I314" t="inlineStr">
        <is>
          <t>2024257580064</t>
        </is>
      </c>
      <c r="J314" s="99">
        <v>2153286800</v>
      </c>
      <c r="K314" s="99">
        <v>214800000</v>
      </c>
      <c r="L314" s="99">
        <v>376280000</v>
      </c>
      <c r="M314" s="99">
        <v>743908000</v>
      </c>
      <c r="N314" s="99">
        <v>818298800</v>
      </c>
      <c r="O314" s="99">
        <v>10530000</v>
      </c>
      <c r="P314" s="99">
        <v>10530000</v>
      </c>
      <c r="Q314" s="99">
        <v>10530000</v>
      </c>
      <c r="R314" s="100">
        <v>0.0490223463687151</v>
      </c>
      <c r="S314" t="inlineStr">
        <is>
          <t>Lo obligado está por debajo de lo programado en la vigencia</t>
        </is>
      </c>
      <c r="T314" s="101">
        <v>259040000</v>
      </c>
      <c r="U314" s="101">
        <v>187979891</v>
      </c>
      <c r="V314" s="101">
        <v>187979891</v>
      </c>
      <c r="W314" s="102">
        <v>0.499574495056873</v>
      </c>
      <c r="X314" t="inlineStr">
        <is>
          <t>Lo obligado está por debajo de lo programado en la vigencia</t>
        </is>
      </c>
    </row>
    <row r="315">
      <c r="A315" t="inlineStr">
        <is>
          <t>IP-420, IP-421, IP-422, IP-423</t>
        </is>
      </c>
      <c r="B315" t="inlineStr">
        <is>
          <t>45</t>
        </is>
      </c>
      <c r="C315" t="inlineStr">
        <is>
          <t>Gobierno Territorial</t>
        </is>
      </c>
      <c r="D315" t="inlineStr">
        <is>
          <t>4599</t>
        </is>
      </c>
      <c r="E315" t="inlineStr">
        <is>
          <t>Fortalecimiento a la gestión y dirección de la administración pública territorial</t>
        </is>
      </c>
      <c r="F315" t="inlineStr">
        <is>
          <t>4599002</t>
        </is>
      </c>
      <c r="G315" t="inlineStr">
        <is>
          <t>Servicio de saneamiento fiscal y financiero</t>
        </is>
      </c>
      <c r="H315"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315" t="inlineStr">
        <is>
          <t>2024257580073</t>
        </is>
      </c>
      <c r="J315" s="99">
        <v>6344106000</v>
      </c>
      <c r="K315" s="99">
        <v>820000000</v>
      </c>
      <c r="L315" s="99">
        <v>2285800000</v>
      </c>
      <c r="M315" s="99">
        <v>2340860000</v>
      </c>
      <c r="N315" s="99">
        <v>897446000</v>
      </c>
      <c r="O315" s="99">
        <v>20100000</v>
      </c>
      <c r="P315" s="99">
        <v>20100000</v>
      </c>
      <c r="Q315" s="99">
        <v>20100000</v>
      </c>
      <c r="R315" s="100">
        <v>0.0245121951219512</v>
      </c>
      <c r="S315" t="inlineStr">
        <is>
          <t>Lo obligado está por debajo de lo programado en la vigencia</t>
        </is>
      </c>
      <c r="T315" s="101">
        <v>223126667</v>
      </c>
      <c r="U315" s="101">
        <v>145241000</v>
      </c>
      <c r="V315" s="101">
        <v>145241000</v>
      </c>
      <c r="W315" s="102">
        <v>0.0635405547291977</v>
      </c>
      <c r="X315" t="inlineStr">
        <is>
          <t>Lo obligado está por debajo de lo programado en la vigencia</t>
        </is>
      </c>
    </row>
    <row r="316">
      <c r="A316" t="inlineStr">
        <is>
          <t>IP-424</t>
        </is>
      </c>
      <c r="B316" t="inlineStr">
        <is>
          <t>45</t>
        </is>
      </c>
      <c r="C316" t="inlineStr">
        <is>
          <t>Gobierno Territorial</t>
        </is>
      </c>
      <c r="D316" t="inlineStr">
        <is>
          <t>4599</t>
        </is>
      </c>
      <c r="E316" t="inlineStr">
        <is>
          <t>Fortalecimiento a la gestión y dirección de la administración pública territorial</t>
        </is>
      </c>
      <c r="F316" t="inlineStr">
        <is>
          <t>4599021</t>
        </is>
      </c>
      <c r="G316" t="inlineStr">
        <is>
          <t>Documentos normativos</t>
        </is>
      </c>
      <c r="H316" t="inlineStr">
        <is>
          <t>Incluye la realización de documentos de contenido normativo para la reglamentación de los proyectos de ley presentados y aprobados.</t>
        </is>
      </c>
      <c r="I316" t="inlineStr">
        <is>
          <t>2024257580073</t>
        </is>
      </c>
      <c r="J316" s="99">
        <v>0</v>
      </c>
      <c r="K316" s="99">
        <v>0</v>
      </c>
      <c r="L316" s="99">
        <v>0</v>
      </c>
      <c r="M316" s="99">
        <v>0</v>
      </c>
      <c r="N316" s="99">
        <v>0</v>
      </c>
      <c r="O316" s="99" t="inlineStr">
        <is>
          <t xml:space="preserve"> </t>
        </is>
      </c>
      <c r="P316" s="99" t="inlineStr">
        <is>
          <t xml:space="preserve"> </t>
        </is>
      </c>
      <c r="Q316" s="99" t="inlineStr">
        <is>
          <t xml:space="preserve"> </t>
        </is>
      </c>
      <c r="R316" s="100" t="inlineStr">
        <is>
          <t xml:space="preserve"> </t>
        </is>
      </c>
      <c r="S316" t="inlineStr">
        <is>
          <t>No se encontró ejecución en CUIPO</t>
        </is>
      </c>
      <c r="T316" s="101" t="inlineStr">
        <is>
          <t xml:space="preserve"> </t>
        </is>
      </c>
      <c r="U316" s="101" t="inlineStr">
        <is>
          <t xml:space="preserve"> </t>
        </is>
      </c>
      <c r="V316" s="101" t="inlineStr">
        <is>
          <t xml:space="preserve"> </t>
        </is>
      </c>
      <c r="W316" s="102" t="inlineStr">
        <is>
          <t xml:space="preserve"> </t>
        </is>
      </c>
      <c r="X316" t="inlineStr">
        <is>
          <t>No se encontró ejecución en CUIPO</t>
        </is>
      </c>
    </row>
    <row r="317">
      <c r="A317" t="inlineStr">
        <is>
          <t>IP-425</t>
        </is>
      </c>
      <c r="B317" t="inlineStr">
        <is>
          <t>45</t>
        </is>
      </c>
      <c r="C317" t="inlineStr">
        <is>
          <t>Gobierno Territorial</t>
        </is>
      </c>
      <c r="D317" t="inlineStr">
        <is>
          <t>4599</t>
        </is>
      </c>
      <c r="E317" t="inlineStr">
        <is>
          <t>Fortalecimiento a la gestión y dirección de la administración pública territorial</t>
        </is>
      </c>
      <c r="F317" t="inlineStr">
        <is>
          <t>4599002</t>
        </is>
      </c>
      <c r="G317" t="inlineStr">
        <is>
          <t>Servicio de saneamiento fiscal y financiero</t>
        </is>
      </c>
      <c r="H317" t="inlineStr">
        <is>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is>
      </c>
      <c r="I317" t="inlineStr">
        <is>
          <t>2024257580072</t>
        </is>
      </c>
      <c r="J317" s="99">
        <v>800000000</v>
      </c>
      <c r="K317" s="99">
        <v>200000000</v>
      </c>
      <c r="L317" s="99">
        <v>200000000</v>
      </c>
      <c r="M317" s="99">
        <v>200000000</v>
      </c>
      <c r="N317" s="99">
        <v>200000000</v>
      </c>
      <c r="O317" s="99" t="inlineStr">
        <is>
          <t xml:space="preserve"> </t>
        </is>
      </c>
      <c r="P317" s="99" t="inlineStr">
        <is>
          <t xml:space="preserve"> </t>
        </is>
      </c>
      <c r="Q317" s="99" t="inlineStr">
        <is>
          <t xml:space="preserve"> </t>
        </is>
      </c>
      <c r="R317" s="100" t="inlineStr">
        <is>
          <t xml:space="preserve"> </t>
        </is>
      </c>
      <c r="S317" t="inlineStr">
        <is>
          <t>No se encontró ejecución en CUIPO</t>
        </is>
      </c>
      <c r="T317" s="101" t="inlineStr">
        <is>
          <t xml:space="preserve"> </t>
        </is>
      </c>
      <c r="U317" s="101" t="inlineStr">
        <is>
          <t xml:space="preserve"> </t>
        </is>
      </c>
      <c r="V317" s="101" t="inlineStr">
        <is>
          <t xml:space="preserve"> </t>
        </is>
      </c>
      <c r="W317" s="102" t="inlineStr">
        <is>
          <t xml:space="preserve"> </t>
        </is>
      </c>
      <c r="X317" t="inlineStr">
        <is>
          <t>No se encontró ejecución en CUIPO</t>
        </is>
      </c>
    </row>
    <row r="318">
      <c r="J318" s="99"/>
      <c r="K318" s="99"/>
      <c r="L318" s="99"/>
      <c r="M318" s="99"/>
      <c r="N318" s="99"/>
      <c r="O318" s="99"/>
      <c r="P318" s="99"/>
      <c r="Q318" s="99"/>
      <c r="R318" s="100"/>
      <c r="T318" s="101"/>
      <c r="U318" s="101"/>
      <c r="V318" s="101"/>
      <c r="W318" s="102"/>
    </row>
  </sheetData>
  <mergeCells count="6">
    <mergeCell ref="T6:X6"/>
    <mergeCell ref="K6:N6"/>
    <mergeCell ref="O6:S6"/>
    <mergeCell ref="A2:L2"/>
    <mergeCell ref="A3:L3"/>
    <mergeCell ref="A4:L4"/>
  </mergeCells>
  <conditionalFormatting sqref="R8:R1048576">
    <cfRule type="cellIs" dxfId="3" priority="1" operator="between">
      <formula>1.00000001</formula>
      <formula>9999999999</formula>
    </cfRule>
  </conditionalFormatting>
  <conditionalFormatting sqref="R8:R1048576">
    <cfRule type="colorScale" priority="3">
      <colorScale>
        <cfvo type="num" val="0"/>
        <cfvo type="num" val="0.5"/>
        <cfvo type="num" val="1"/>
        <color rgb="FFFB9985"/>
        <color rgb="FFFCF797"/>
        <color rgb="FFADEC9E"/>
      </colorScale>
    </cfRule>
  </conditionalFormatting>
  <conditionalFormatting sqref="W8:W1048576">
    <cfRule type="cellIs" dxfId="2" priority="2" operator="between">
      <formula>1.00000001</formula>
      <formula>9999999999</formula>
    </cfRule>
  </conditionalFormatting>
  <conditionalFormatting sqref="W8:W1048576">
    <cfRule type="colorScale" priority="5">
      <colorScale>
        <cfvo type="num" val="0"/>
        <cfvo type="num" val="0.5"/>
        <cfvo type="num" val="1"/>
        <color rgb="FFFB9985"/>
        <color rgb="FFFCF797"/>
        <color rgb="FFADEC9E"/>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2EF"/>
  </sheetPr>
  <dimension ref="A1:W365"/>
  <sheetViews>
    <sheetView showGridLines="0" zoomScale="85" zoomScaleNormal="85" workbookViewId="0">
      <selection activeCell="A7" sqref="A7"/>
    </sheetView>
  </sheetViews>
  <sheetFormatPr baseColWidth="10" defaultColWidth="11.42578125" defaultRowHeight="15" x14ac:dyDescent="0.25"/>
  <cols>
    <col min="1" max="1" width="13.42578125" customWidth="1"/>
    <col min="2" max="2" width="9" customWidth="1"/>
    <col min="3" max="3" width="19.28515625" customWidth="1"/>
    <col min="4" max="4" width="10.7109375" customWidth="1"/>
    <col min="5" max="5" width="19.28515625" customWidth="1"/>
    <col min="6" max="6" width="10.42578125" customWidth="1"/>
    <col min="7" max="7" width="18" customWidth="1"/>
    <col min="8" max="8" width="11.28515625" customWidth="1"/>
    <col min="9" max="9" width="19.28515625" customWidth="1"/>
    <col min="10" max="10" width="14.7109375" customWidth="1"/>
    <col min="11" max="11" width="12.85546875" customWidth="1"/>
    <col min="12" max="12" width="12" customWidth="1"/>
    <col min="13" max="13" width="10.85546875" customWidth="1"/>
    <col min="14" max="17" width="13.28515625" customWidth="1"/>
    <col min="18" max="18" width="17.7109375" customWidth="1"/>
    <col min="19" max="19" width="11.7109375" style="48" customWidth="1"/>
    <col min="20" max="20" width="28.140625" customWidth="1"/>
    <col min="21" max="21" width="17.7109375" customWidth="1"/>
    <col min="22" max="22" width="11.7109375" customWidth="1"/>
    <col min="23" max="23" width="28.140625" customWidth="1"/>
  </cols>
  <sheetData>
    <row r="1" spans="1:23" s="20" ht="26.25" customFormat="1" x14ac:dyDescent="0.3">
      <c r="A1" s="31" t="s">
        <v>116</v>
      </c>
      <c r="B1" s="4"/>
      <c r="C1" s="4"/>
      <c r="D1" s="4"/>
      <c r="E1" s="4"/>
      <c r="F1" s="4"/>
      <c r="G1" s="4"/>
      <c r="H1" s="4"/>
      <c r="I1" s="4"/>
      <c r="J1" s="4"/>
      <c r="K1" s="4"/>
      <c r="L1" s="4"/>
      <c r="M1" s="4"/>
      <c r="N1" s="4"/>
      <c r="O1" s="4"/>
      <c r="P1" s="4"/>
      <c r="Q1" s="4"/>
      <c r="R1" s="4"/>
      <c r="S1" s="47"/>
      <c r="T1" s="4"/>
      <c r="U1" s="4"/>
      <c r="V1" s="4"/>
      <c r="W1" s="4"/>
    </row>
    <row r="2" spans="1:23" s="20" ht="65.25" customFormat="1" customHeight="1" x14ac:dyDescent="0.3">
      <c r="A2" s="94" t="s">
        <v>117</v>
      </c>
      <c r="B2" s="94"/>
      <c r="C2" s="94"/>
      <c r="D2" s="94"/>
      <c r="E2" s="94"/>
      <c r="F2" s="94"/>
      <c r="G2" s="94"/>
      <c r="H2" s="94"/>
      <c r="I2" s="94"/>
      <c r="J2" s="94"/>
      <c r="K2" s="94"/>
      <c r="L2" s="94"/>
      <c r="M2" s="94"/>
      <c r="N2" s="46"/>
      <c r="O2" s="46"/>
      <c r="P2" s="46"/>
      <c r="Q2" s="4"/>
      <c r="R2" s="4"/>
      <c r="S2" s="47"/>
      <c r="T2" s="4"/>
      <c r="U2" s="4"/>
      <c r="V2" s="4"/>
      <c r="W2" s="4"/>
    </row>
    <row r="3" spans="1:23" s="20" ht="35.25" customFormat="1" customHeight="1" x14ac:dyDescent="0.3">
      <c r="A3" s="94" t="s">
        <v>119</v>
      </c>
      <c r="B3" s="94"/>
      <c r="C3" s="94"/>
      <c r="D3" s="94"/>
      <c r="E3" s="94"/>
      <c r="F3" s="94"/>
      <c r="G3" s="94"/>
      <c r="H3" s="94"/>
      <c r="I3" s="94"/>
      <c r="J3" s="94"/>
      <c r="K3" s="94"/>
      <c r="L3" s="94"/>
      <c r="M3" s="94"/>
      <c r="N3" s="46"/>
      <c r="O3" s="46"/>
      <c r="P3" s="46"/>
      <c r="Q3" s="4"/>
      <c r="R3" s="4"/>
      <c r="S3" s="47"/>
      <c r="T3" s="4"/>
      <c r="U3" s="4"/>
      <c r="V3" s="4"/>
      <c r="W3" s="4"/>
    </row>
    <row r="4" spans="1:23" s="20" ht="16.5" customFormat="1" x14ac:dyDescent="0.3">
      <c r="A4" s="95" t="s">
        <v>132</v>
      </c>
      <c r="B4" s="95"/>
      <c r="C4" s="95"/>
      <c r="D4" s="95"/>
      <c r="E4" s="95"/>
      <c r="F4" s="95"/>
      <c r="G4" s="95"/>
      <c r="H4" s="95"/>
      <c r="I4" s="95"/>
      <c r="J4" s="95"/>
      <c r="K4" s="95"/>
      <c r="L4" s="46"/>
      <c r="M4" s="46"/>
      <c r="N4" s="46"/>
      <c r="O4" s="46"/>
      <c r="P4" s="46"/>
      <c r="Q4" s="4"/>
      <c r="R4" s="4"/>
      <c r="S4" s="47"/>
      <c r="T4" s="4"/>
      <c r="U4" s="4"/>
      <c r="V4" s="4"/>
      <c r="W4" s="4"/>
    </row>
    <row r="5" spans="1:23" s="20" ht="9.75" customFormat="1" customHeight="1" x14ac:dyDescent="0.3">
      <c r="A5" s="46"/>
      <c r="B5" s="46"/>
      <c r="C5" s="46"/>
      <c r="D5" s="46"/>
      <c r="E5" s="46"/>
      <c r="F5" s="46"/>
      <c r="G5" s="46"/>
      <c r="H5" s="46"/>
      <c r="I5" s="46"/>
      <c r="J5" s="46"/>
      <c r="K5" s="46"/>
      <c r="L5" s="46"/>
      <c r="M5" s="46"/>
      <c r="N5" s="46"/>
      <c r="O5" s="46"/>
      <c r="P5" s="46"/>
      <c r="Q5" s="4"/>
      <c r="R5" s="4"/>
      <c r="S5" s="47"/>
      <c r="T5" s="4"/>
      <c r="U5" s="4"/>
      <c r="V5" s="4"/>
      <c r="W5" s="4"/>
    </row>
    <row r="6" spans="1:23" s="20" ht="20.45" customFormat="1" customHeight="1" x14ac:dyDescent="0.3">
      <c r="A6" s="4"/>
      <c r="B6" s="4"/>
      <c r="C6" s="4"/>
      <c r="D6" s="4"/>
      <c r="E6" s="4"/>
      <c r="F6" s="4"/>
      <c r="G6" s="4"/>
      <c r="H6" s="4"/>
      <c r="I6" s="4"/>
      <c r="J6" s="4"/>
      <c r="K6" s="4"/>
      <c r="L6" s="4"/>
      <c r="M6" s="4"/>
      <c r="N6" s="91" t="s">
        <v>133</v>
      </c>
      <c r="O6" s="92"/>
      <c r="P6" s="92"/>
      <c r="Q6" s="93"/>
      <c r="R6" s="96" t="s">
        <v>75</v>
      </c>
      <c r="S6" s="97"/>
      <c r="T6" s="98"/>
      <c r="U6" s="96" t="str">
        <f>CONCATENATE("Ejecución PIIP ",Resumen!$X$1)</f>
        <v>Ejecución PIIP (Dar clic en Habilitar Edición)</v>
      </c>
      <c r="V6" s="97"/>
      <c r="W6" s="98"/>
    </row>
    <row r="7" spans="1:23" s="20" ht="66" customFormat="1" x14ac:dyDescent="0.3">
      <c r="A7" s="16" t="inlineStr">
        <is>
          <t>Consecutivos IP (SisPT)</t>
        </is>
      </c>
      <c r="B7" s="16" t="inlineStr">
        <is>
          <t>Código Sector (MGA)</t>
        </is>
      </c>
      <c r="C7" s="16" t="inlineStr">
        <is>
          <t>Sector (MGA)</t>
        </is>
      </c>
      <c r="D7" s="16" t="inlineStr">
        <is>
          <t>Código Programa (MGA)</t>
        </is>
      </c>
      <c r="E7" s="16" t="inlineStr">
        <is>
          <t>Programa (MGA)</t>
        </is>
      </c>
      <c r="F7" s="16" t="inlineStr">
        <is>
          <t>Código Producto (MGA)</t>
        </is>
      </c>
      <c r="G7" s="16" t="inlineStr">
        <is>
          <t>Producto (MGA)</t>
        </is>
      </c>
      <c r="H7" s="16" t="inlineStr">
        <is>
          <t>Código Indicador Producto (MGA)</t>
        </is>
      </c>
      <c r="I7" s="16" t="inlineStr">
        <is>
          <t>Indicador Producto (MGA)</t>
        </is>
      </c>
      <c r="J7" s="16" t="inlineStr">
        <is>
          <t>Códigos BPIN Asociados</t>
        </is>
      </c>
      <c r="K7" s="16" t="inlineStr">
        <is>
          <t>Acumulativo</t>
        </is>
      </c>
      <c r="L7" s="16" t="inlineStr">
        <is>
          <t>Unidad de Medida</t>
        </is>
      </c>
      <c r="M7" s="16" t="inlineStr">
        <is>
          <t>Meta del Cuatrenio (SisPT)</t>
        </is>
      </c>
      <c r="N7" s="61" t="inlineStr">
        <is>
          <t>Programado 2024 (SisPT)</t>
        </is>
      </c>
      <c r="O7" s="16" t="inlineStr">
        <is>
          <t>Programado 2025 (SisPT)</t>
        </is>
      </c>
      <c r="P7" s="16" t="inlineStr">
        <is>
          <t>Programado 2026 (SisPT)</t>
        </is>
      </c>
      <c r="Q7" s="54" t="inlineStr">
        <is>
          <t>Programado 2027 (SisPT)</t>
        </is>
      </c>
      <c r="R7" s="57" t="inlineStr">
        <is>
          <t>Ejecución Física 2024 (PIIP)</t>
        </is>
      </c>
      <c r="S7" s="65" t="inlineStr">
        <is>
          <t>Avance físico 2024 (%)</t>
        </is>
      </c>
      <c r="T7" s="66" t="inlineStr">
        <is>
          <t>Explicación del valor 2024</t>
        </is>
      </c>
      <c r="U7" s="57" t="inlineStr">
        <is>
          <t>Ejecución Física 2025 (PIIP)</t>
        </is>
      </c>
      <c r="V7" s="65" t="inlineStr">
        <is>
          <t>Avance físico 2025 (%)</t>
        </is>
      </c>
      <c r="W7" s="66" t="inlineStr">
        <is>
          <t>Explicación del valor 2025</t>
        </is>
      </c>
    </row>
    <row r="8">
      <c r="A8" t="inlineStr">
        <is>
          <t>IP-1</t>
        </is>
      </c>
      <c r="B8" t="inlineStr">
        <is>
          <t>22</t>
        </is>
      </c>
      <c r="C8" t="inlineStr">
        <is>
          <t>Educación</t>
        </is>
      </c>
      <c r="D8" t="inlineStr">
        <is>
          <t>2201</t>
        </is>
      </c>
      <c r="E8" t="inlineStr">
        <is>
          <t>Calidad, cobertura y fortalecimiento de la educación inicial, prescolar, básica y media</t>
        </is>
      </c>
      <c r="F8" t="inlineStr">
        <is>
          <t>2201062</t>
        </is>
      </c>
      <c r="G8" t="inlineStr">
        <is>
          <t>Infraestructura educativa mantenida</t>
        </is>
      </c>
      <c r="H8" t="inlineStr">
        <is>
          <t>220106200</t>
        </is>
      </c>
      <c r="I8" t="inlineStr">
        <is>
          <t>Sedes mantenidas</t>
        </is>
      </c>
      <c r="J8" t="inlineStr">
        <is>
          <t>2024257580046</t>
        </is>
      </c>
      <c r="K8" t="inlineStr">
        <is>
          <t>Si</t>
        </is>
      </c>
      <c r="L8" t="inlineStr">
        <is>
          <t>Número</t>
        </is>
      </c>
      <c r="M8">
        <v>11</v>
      </c>
      <c r="N8">
        <v>4</v>
      </c>
      <c r="O8">
        <v>7</v>
      </c>
      <c r="P8">
        <v>9</v>
      </c>
      <c r="Q8">
        <v>11</v>
      </c>
      <c r="R8">
        <v>4</v>
      </c>
      <c r="S8" s="103">
        <v>1</v>
      </c>
      <c r="T8" t="inlineStr">
        <is>
          <t>Se ejecutó el 100% de lo programado en la vigencia</t>
        </is>
      </c>
      <c r="U8">
        <v>8</v>
      </c>
      <c r="V8" s="104">
        <v>1.14285714285714</v>
      </c>
      <c r="W8" t="inlineStr">
        <is>
          <t>Hubo ejecución por encima de lo programado en SisPT</t>
        </is>
      </c>
    </row>
    <row r="9">
      <c r="A9" t="inlineStr">
        <is>
          <t>IP-2</t>
        </is>
      </c>
      <c r="B9" t="inlineStr">
        <is>
          <t>22</t>
        </is>
      </c>
      <c r="C9" t="inlineStr">
        <is>
          <t>Educación</t>
        </is>
      </c>
      <c r="D9" t="inlineStr">
        <is>
          <t>2201</t>
        </is>
      </c>
      <c r="E9" t="inlineStr">
        <is>
          <t>Calidad, cobertura y fortalecimiento de la educación inicial, prescolar, básica y media</t>
        </is>
      </c>
      <c r="F9" t="inlineStr">
        <is>
          <t>2201052</t>
        </is>
      </c>
      <c r="G9" t="inlineStr">
        <is>
          <t>Infraestructura educativa mejorada</t>
        </is>
      </c>
      <c r="H9" t="inlineStr">
        <is>
          <t>220105200</t>
        </is>
      </c>
      <c r="I9" t="inlineStr">
        <is>
          <t xml:space="preserve">Sedes educativas mejoradas </t>
        </is>
      </c>
      <c r="J9" t="inlineStr">
        <is>
          <t>2024257580046</t>
        </is>
      </c>
      <c r="K9" t="inlineStr">
        <is>
          <t>No</t>
        </is>
      </c>
      <c r="L9" t="inlineStr">
        <is>
          <t>Número</t>
        </is>
      </c>
      <c r="M9">
        <v>3</v>
      </c>
      <c r="N9">
        <v>1</v>
      </c>
      <c r="O9">
        <v>1</v>
      </c>
      <c r="P9">
        <v>1</v>
      </c>
      <c r="Q9">
        <v>0</v>
      </c>
      <c r="R9" t="inlineStr">
        <is>
          <t xml:space="preserve"> </t>
        </is>
      </c>
      <c r="S9" s="103" t="inlineStr">
        <is>
          <t xml:space="preserve"> </t>
        </is>
      </c>
      <c r="T9" t="inlineStr">
        <is>
          <t>No se encontró ejecución en PIIP</t>
        </is>
      </c>
      <c r="U9" t="inlineStr">
        <is>
          <t xml:space="preserve"> </t>
        </is>
      </c>
      <c r="V9" s="104" t="inlineStr">
        <is>
          <t xml:space="preserve"> </t>
        </is>
      </c>
      <c r="W9" t="inlineStr">
        <is>
          <t>No se encontró ejecución en PIIP</t>
        </is>
      </c>
    </row>
    <row r="10">
      <c r="A10" t="inlineStr">
        <is>
          <t>IP-3</t>
        </is>
      </c>
      <c r="B10" t="inlineStr">
        <is>
          <t>22</t>
        </is>
      </c>
      <c r="C10" t="inlineStr">
        <is>
          <t>Educación</t>
        </is>
      </c>
      <c r="D10" t="inlineStr">
        <is>
          <t>2201</t>
        </is>
      </c>
      <c r="E10" t="inlineStr">
        <is>
          <t>Calidad, cobertura y fortalecimiento de la educación inicial, prescolar, básica y media</t>
        </is>
      </c>
      <c r="F10" t="inlineStr">
        <is>
          <t>2201051</t>
        </is>
      </c>
      <c r="G10" t="inlineStr">
        <is>
          <t>Infraestructura educativa construida</t>
        </is>
      </c>
      <c r="H10" t="inlineStr">
        <is>
          <t>220105100</t>
        </is>
      </c>
      <c r="I10" t="inlineStr">
        <is>
          <t xml:space="preserve">Sedes educativas nuevas construidas </t>
        </is>
      </c>
      <c r="J10" t="inlineStr">
        <is>
          <t>2024257580046</t>
        </is>
      </c>
      <c r="K10" t="inlineStr">
        <is>
          <t>Si</t>
        </is>
      </c>
      <c r="L10" t="inlineStr">
        <is>
          <t>Número</t>
        </is>
      </c>
      <c r="M10">
        <v>1</v>
      </c>
      <c r="N10">
        <v>97</v>
      </c>
      <c r="O10">
        <v>100</v>
      </c>
      <c r="P10">
        <v>100</v>
      </c>
      <c r="Q10">
        <v>100</v>
      </c>
      <c r="R10" t="inlineStr">
        <is>
          <t xml:space="preserve"> </t>
        </is>
      </c>
      <c r="S10" s="103" t="inlineStr">
        <is>
          <t xml:space="preserve"> </t>
        </is>
      </c>
      <c r="T10" t="inlineStr">
        <is>
          <t>No se encontró ejecución en PIIP</t>
        </is>
      </c>
      <c r="U10" t="inlineStr">
        <is>
          <t xml:space="preserve"> </t>
        </is>
      </c>
      <c r="V10" s="104" t="inlineStr">
        <is>
          <t xml:space="preserve"> </t>
        </is>
      </c>
      <c r="W10" t="inlineStr">
        <is>
          <t>No se encontró ejecución en PIIP</t>
        </is>
      </c>
    </row>
    <row r="11">
      <c r="A11" t="inlineStr">
        <is>
          <t>IP-4</t>
        </is>
      </c>
      <c r="B11" t="inlineStr">
        <is>
          <t>22</t>
        </is>
      </c>
      <c r="C11" t="inlineStr">
        <is>
          <t>Educación</t>
        </is>
      </c>
      <c r="D11" t="inlineStr">
        <is>
          <t>2201</t>
        </is>
      </c>
      <c r="E11" t="inlineStr">
        <is>
          <t>Calidad, cobertura y fortalecimiento de la educación inicial, prescolar, básica y media</t>
        </is>
      </c>
      <c r="F11" t="inlineStr">
        <is>
          <t>2201052</t>
        </is>
      </c>
      <c r="G11" t="inlineStr">
        <is>
          <t>Infraestructura educativa mejorada</t>
        </is>
      </c>
      <c r="H11" t="inlineStr">
        <is>
          <t>220105200</t>
        </is>
      </c>
      <c r="I11" t="inlineStr">
        <is>
          <t xml:space="preserve">Sedes educativas mejoradas </t>
        </is>
      </c>
      <c r="J11" t="inlineStr">
        <is>
          <t>2024257580046</t>
        </is>
      </c>
      <c r="K11" t="inlineStr">
        <is>
          <t>Si</t>
        </is>
      </c>
      <c r="L11" t="inlineStr">
        <is>
          <t>Número</t>
        </is>
      </c>
      <c r="M11">
        <v>7</v>
      </c>
      <c r="N11">
        <v>7</v>
      </c>
      <c r="O11">
        <v>7</v>
      </c>
      <c r="P11">
        <v>7</v>
      </c>
      <c r="Q11">
        <v>7</v>
      </c>
      <c r="R11" t="inlineStr">
        <is>
          <t xml:space="preserve"> </t>
        </is>
      </c>
      <c r="S11" s="103" t="inlineStr">
        <is>
          <t xml:space="preserve"> </t>
        </is>
      </c>
      <c r="T11" t="inlineStr">
        <is>
          <t>No se encontró ejecución en PIIP</t>
        </is>
      </c>
      <c r="U11" t="inlineStr">
        <is>
          <t xml:space="preserve"> </t>
        </is>
      </c>
      <c r="V11" s="104" t="inlineStr">
        <is>
          <t xml:space="preserve"> </t>
        </is>
      </c>
      <c r="W11" t="inlineStr">
        <is>
          <t>No se encontró ejecución en PIIP</t>
        </is>
      </c>
    </row>
    <row r="12">
      <c r="A12" t="inlineStr">
        <is>
          <t>IP-5</t>
        </is>
      </c>
      <c r="B12" t="inlineStr">
        <is>
          <t>22</t>
        </is>
      </c>
      <c r="C12" t="inlineStr">
        <is>
          <t>Educación</t>
        </is>
      </c>
      <c r="D12" t="inlineStr">
        <is>
          <t>2201</t>
        </is>
      </c>
      <c r="E12" t="inlineStr">
        <is>
          <t>Calidad, cobertura y fortalecimiento de la educación inicial, prescolar, básica y media</t>
        </is>
      </c>
      <c r="F12" t="inlineStr">
        <is>
          <t>2201069</t>
        </is>
      </c>
      <c r="G12" t="inlineStr">
        <is>
          <t>Infraestructura educativa dotada</t>
        </is>
      </c>
      <c r="H12" t="inlineStr">
        <is>
          <t>220106900</t>
        </is>
      </c>
      <c r="I12" t="inlineStr">
        <is>
          <t>Sedes dotadas</t>
        </is>
      </c>
      <c r="J12" t="inlineStr">
        <is>
          <t>2024257580046</t>
        </is>
      </c>
      <c r="K12" t="inlineStr">
        <is>
          <t>Si</t>
        </is>
      </c>
      <c r="L12" t="inlineStr">
        <is>
          <t>Número</t>
        </is>
      </c>
      <c r="M12">
        <v>11</v>
      </c>
      <c r="N12">
        <v>4</v>
      </c>
      <c r="O12">
        <v>7</v>
      </c>
      <c r="P12">
        <v>9</v>
      </c>
      <c r="Q12">
        <v>11</v>
      </c>
      <c r="R12" t="inlineStr">
        <is>
          <t xml:space="preserve"> </t>
        </is>
      </c>
      <c r="S12" s="103" t="inlineStr">
        <is>
          <t xml:space="preserve"> </t>
        </is>
      </c>
      <c r="T12" t="inlineStr">
        <is>
          <t>No se encontró ejecución en PIIP</t>
        </is>
      </c>
      <c r="U12" t="inlineStr">
        <is>
          <t xml:space="preserve"> </t>
        </is>
      </c>
      <c r="V12" s="104" t="inlineStr">
        <is>
          <t xml:space="preserve"> </t>
        </is>
      </c>
      <c r="W12" t="inlineStr">
        <is>
          <t>No se encontró ejecución en PIIP</t>
        </is>
      </c>
    </row>
    <row r="13">
      <c r="A13" t="inlineStr">
        <is>
          <t>IP-6</t>
        </is>
      </c>
      <c r="B13" t="inlineStr">
        <is>
          <t>22</t>
        </is>
      </c>
      <c r="C13" t="inlineStr">
        <is>
          <t>Educación</t>
        </is>
      </c>
      <c r="D13" t="inlineStr">
        <is>
          <t>2201</t>
        </is>
      </c>
      <c r="E13" t="inlineStr">
        <is>
          <t>Calidad, cobertura y fortalecimiento de la educación inicial, prescolar, básica y media</t>
        </is>
      </c>
      <c r="F13" t="inlineStr">
        <is>
          <t>2201084</t>
        </is>
      </c>
      <c r="G13" t="inlineStr">
        <is>
          <t>Servicio de apoyo pedagógico para  la oferta de educación inclusiva para preescolar, básica y media</t>
        </is>
      </c>
      <c r="H13" t="inlineStr">
        <is>
          <t>220108400</t>
        </is>
      </c>
      <c r="I13" t="inlineStr">
        <is>
          <t>Sedes educativas con apoyo pedagógico para  la oferta de educación inclusiva para preescolar, básica y media</t>
        </is>
      </c>
      <c r="J13" t="inlineStr">
        <is>
          <t>2024257580046</t>
        </is>
      </c>
      <c r="K13" t="inlineStr">
        <is>
          <t>No</t>
        </is>
      </c>
      <c r="L13" t="inlineStr">
        <is>
          <t>Número</t>
        </is>
      </c>
      <c r="M13">
        <v>2</v>
      </c>
      <c r="N13">
        <v>1</v>
      </c>
      <c r="O13">
        <v>1</v>
      </c>
      <c r="P13">
        <v>0</v>
      </c>
      <c r="Q13">
        <v>0</v>
      </c>
      <c r="R13" t="inlineStr">
        <is>
          <t xml:space="preserve"> </t>
        </is>
      </c>
      <c r="S13" s="103" t="inlineStr">
        <is>
          <t xml:space="preserve"> </t>
        </is>
      </c>
      <c r="T13" t="inlineStr">
        <is>
          <t>No se encontró ejecución en PIIP</t>
        </is>
      </c>
      <c r="U13" t="inlineStr">
        <is>
          <t xml:space="preserve"> </t>
        </is>
      </c>
      <c r="V13" s="104" t="inlineStr">
        <is>
          <t xml:space="preserve"> </t>
        </is>
      </c>
      <c r="W13" t="inlineStr">
        <is>
          <t>No se encontró ejecución en PIIP</t>
        </is>
      </c>
    </row>
    <row r="14">
      <c r="A14" t="inlineStr">
        <is>
          <t>IP-7, IP-9</t>
        </is>
      </c>
      <c r="B14" t="inlineStr">
        <is>
          <t>22</t>
        </is>
      </c>
      <c r="C14" t="inlineStr">
        <is>
          <t>Educación</t>
        </is>
      </c>
      <c r="D14" t="inlineStr">
        <is>
          <t>2201</t>
        </is>
      </c>
      <c r="E14" t="inlineStr">
        <is>
          <t>Calidad, cobertura y fortalecimiento de la educación inicial, prescolar, básica y media</t>
        </is>
      </c>
      <c r="F14" t="inlineStr">
        <is>
          <t>2201030</t>
        </is>
      </c>
      <c r="G14" t="inlineStr">
        <is>
          <t>Servicio educación formal por modelos educativos flexibles</t>
        </is>
      </c>
      <c r="H14" t="inlineStr">
        <is>
          <t>220103000</t>
        </is>
      </c>
      <c r="I14" t="inlineStr">
        <is>
          <t>Beneficiarios atendidos con modelos educativos flexibles</t>
        </is>
      </c>
      <c r="J14" t="inlineStr">
        <is>
          <t>2024257580046</t>
        </is>
      </c>
      <c r="K14" t="inlineStr">
        <is>
          <t>Si</t>
        </is>
      </c>
      <c r="L14" t="inlineStr">
        <is>
          <t>Número</t>
        </is>
      </c>
      <c r="M14">
        <v>104</v>
      </c>
      <c r="N14">
        <v>101</v>
      </c>
      <c r="O14">
        <v>101</v>
      </c>
      <c r="P14">
        <v>101</v>
      </c>
      <c r="Q14">
        <v>101</v>
      </c>
      <c r="R14" t="inlineStr">
        <is>
          <t xml:space="preserve"> </t>
        </is>
      </c>
      <c r="S14" s="103" t="inlineStr">
        <is>
          <t xml:space="preserve"> </t>
        </is>
      </c>
      <c r="T14" t="inlineStr">
        <is>
          <t>No se encontró ejecución en PIIP</t>
        </is>
      </c>
      <c r="U14" t="inlineStr">
        <is>
          <t xml:space="preserve"> </t>
        </is>
      </c>
      <c r="V14" s="104" t="inlineStr">
        <is>
          <t xml:space="preserve"> </t>
        </is>
      </c>
      <c r="W14" t="inlineStr">
        <is>
          <t>No se encontró ejecución en PIIP</t>
        </is>
      </c>
    </row>
    <row r="15">
      <c r="A15" t="inlineStr">
        <is>
          <t>IP-8</t>
        </is>
      </c>
      <c r="B15" t="inlineStr">
        <is>
          <t>22</t>
        </is>
      </c>
      <c r="C15" t="inlineStr">
        <is>
          <t>Educación</t>
        </is>
      </c>
      <c r="D15" t="inlineStr">
        <is>
          <t>2201</t>
        </is>
      </c>
      <c r="E15" t="inlineStr">
        <is>
          <t>Calidad, cobertura y fortalecimiento de la educación inicial, prescolar, básica y media</t>
        </is>
      </c>
      <c r="F15" t="inlineStr">
        <is>
          <t>2201069</t>
        </is>
      </c>
      <c r="G15" t="inlineStr">
        <is>
          <t>Infraestructura educativa dotada</t>
        </is>
      </c>
      <c r="H15" t="inlineStr">
        <is>
          <t>220106902</t>
        </is>
      </c>
      <c r="I15" t="inlineStr">
        <is>
          <t>Sedes dotadas con materiales pedagógicos</t>
        </is>
      </c>
      <c r="J15" t="inlineStr">
        <is>
          <t>2024257580046</t>
        </is>
      </c>
      <c r="K15" t="inlineStr">
        <is>
          <t>Si</t>
        </is>
      </c>
      <c r="L15" t="inlineStr">
        <is>
          <t>Número</t>
        </is>
      </c>
      <c r="M15">
        <v>4</v>
      </c>
      <c r="N15">
        <v>0</v>
      </c>
      <c r="O15">
        <v>4</v>
      </c>
      <c r="P15">
        <v>4</v>
      </c>
      <c r="Q15">
        <v>4</v>
      </c>
      <c r="R15" t="inlineStr">
        <is>
          <t xml:space="preserve"> </t>
        </is>
      </c>
      <c r="S15" s="103" t="inlineStr">
        <is>
          <t xml:space="preserve"> </t>
        </is>
      </c>
      <c r="T15" t="inlineStr">
        <is>
          <t>No se encontró ejecución en PIIP</t>
        </is>
      </c>
      <c r="U15" t="inlineStr">
        <is>
          <t xml:space="preserve"> </t>
        </is>
      </c>
      <c r="V15" s="104" t="inlineStr">
        <is>
          <t xml:space="preserve"> </t>
        </is>
      </c>
      <c r="W15" t="inlineStr">
        <is>
          <t>No se encontró ejecución en PIIP</t>
        </is>
      </c>
    </row>
    <row r="16">
      <c r="A16" t="inlineStr">
        <is>
          <t>IP-10</t>
        </is>
      </c>
      <c r="B16" t="inlineStr">
        <is>
          <t>22</t>
        </is>
      </c>
      <c r="C16" t="inlineStr">
        <is>
          <t>Educación</t>
        </is>
      </c>
      <c r="D16" t="inlineStr">
        <is>
          <t>2201</t>
        </is>
      </c>
      <c r="E16" t="inlineStr">
        <is>
          <t>Calidad, cobertura y fortalecimiento de la educación inicial, prescolar, básica y media</t>
        </is>
      </c>
      <c r="F16" t="inlineStr">
        <is>
          <t>2201084</t>
        </is>
      </c>
      <c r="G16" t="inlineStr">
        <is>
          <t>Servicio de apoyo pedagógico para  la oferta de educación inclusiva para preescolar, básica y media</t>
        </is>
      </c>
      <c r="H16" t="inlineStr">
        <is>
          <t>220108401</t>
        </is>
      </c>
      <c r="I16" t="inlineStr">
        <is>
          <t>Beneficiarios de apoyo pedagógico para  la oferta de educación inclusiva para preescolar, básica y media</t>
        </is>
      </c>
      <c r="J16" t="inlineStr">
        <is>
          <t>2024257580046</t>
        </is>
      </c>
      <c r="K16" t="inlineStr">
        <is>
          <t>Si</t>
        </is>
      </c>
      <c r="L16" t="inlineStr">
        <is>
          <t>Número</t>
        </is>
      </c>
      <c r="M16">
        <v>100</v>
      </c>
      <c r="N16">
        <v>100</v>
      </c>
      <c r="O16">
        <v>100</v>
      </c>
      <c r="P16">
        <v>100</v>
      </c>
      <c r="Q16">
        <v>100</v>
      </c>
      <c r="R16" t="inlineStr">
        <is>
          <t xml:space="preserve"> </t>
        </is>
      </c>
      <c r="S16" s="103" t="inlineStr">
        <is>
          <t xml:space="preserve"> </t>
        </is>
      </c>
      <c r="T16" t="inlineStr">
        <is>
          <t>No se encontró ejecución en PIIP</t>
        </is>
      </c>
      <c r="U16" t="inlineStr">
        <is>
          <t xml:space="preserve"> </t>
        </is>
      </c>
      <c r="V16" s="104" t="inlineStr">
        <is>
          <t xml:space="preserve"> </t>
        </is>
      </c>
      <c r="W16" t="inlineStr">
        <is>
          <t>No se encontró ejecución en PIIP</t>
        </is>
      </c>
    </row>
    <row r="17">
      <c r="A17" t="inlineStr">
        <is>
          <t>IP-11</t>
        </is>
      </c>
      <c r="B17" t="inlineStr">
        <is>
          <t>22</t>
        </is>
      </c>
      <c r="C17" t="inlineStr">
        <is>
          <t>Educación</t>
        </is>
      </c>
      <c r="D17" t="inlineStr">
        <is>
          <t>2201</t>
        </is>
      </c>
      <c r="E17" t="inlineStr">
        <is>
          <t>Calidad, cobertura y fortalecimiento de la educación inicial, prescolar, básica y media</t>
        </is>
      </c>
      <c r="F17" t="inlineStr">
        <is>
          <t>2201001</t>
        </is>
      </c>
      <c r="G17" t="inlineStr">
        <is>
          <t>Documentos de planeación</t>
        </is>
      </c>
      <c r="H17" t="inlineStr">
        <is>
          <t>220100103</t>
        </is>
      </c>
      <c r="I17" t="inlineStr">
        <is>
          <t xml:space="preserve">Documentos de política educativa con enfoque poblacional emitidos </t>
        </is>
      </c>
      <c r="J17" t="inlineStr">
        <is>
          <t>2024257580062</t>
        </is>
      </c>
      <c r="K17" t="inlineStr">
        <is>
          <t>Si</t>
        </is>
      </c>
      <c r="L17" t="inlineStr">
        <is>
          <t>Número</t>
        </is>
      </c>
      <c r="M17">
        <v>30</v>
      </c>
      <c r="N17">
        <v>2</v>
      </c>
      <c r="O17">
        <v>10</v>
      </c>
      <c r="P17">
        <v>20</v>
      </c>
      <c r="Q17">
        <v>30</v>
      </c>
      <c r="R17" t="inlineStr">
        <is>
          <t xml:space="preserve"> </t>
        </is>
      </c>
      <c r="S17" s="103" t="inlineStr">
        <is>
          <t xml:space="preserve"> </t>
        </is>
      </c>
      <c r="T17" t="inlineStr">
        <is>
          <t>No se encontró ejecución en PIIP</t>
        </is>
      </c>
      <c r="U17" t="inlineStr">
        <is>
          <t xml:space="preserve"> </t>
        </is>
      </c>
      <c r="V17" s="104" t="inlineStr">
        <is>
          <t xml:space="preserve"> </t>
        </is>
      </c>
      <c r="W17" t="inlineStr">
        <is>
          <t>No se encontró ejecución en PIIP</t>
        </is>
      </c>
    </row>
    <row r="18">
      <c r="A18" t="inlineStr">
        <is>
          <t>IP-12</t>
        </is>
      </c>
      <c r="B18" t="inlineStr">
        <is>
          <t>22</t>
        </is>
      </c>
      <c r="C18" t="inlineStr">
        <is>
          <t>Educación</t>
        </is>
      </c>
      <c r="D18" t="inlineStr">
        <is>
          <t>2201</t>
        </is>
      </c>
      <c r="E18" t="inlineStr">
        <is>
          <t>Calidad, cobertura y fortalecimiento de la educación inicial, prescolar, básica y media</t>
        </is>
      </c>
      <c r="F18" t="inlineStr">
        <is>
          <t>2201072</t>
        </is>
      </c>
      <c r="G18" t="inlineStr">
        <is>
          <t>Servicio de evaluación de las estrategias educativas implementadas en la educación inicial, preescolar, básica y media</t>
        </is>
      </c>
      <c r="H18" t="inlineStr">
        <is>
          <t>220107200</t>
        </is>
      </c>
      <c r="I18" t="inlineStr">
        <is>
          <t>Programas, proyectos y estrategias evaluadas</t>
        </is>
      </c>
      <c r="J18" t="inlineStr">
        <is>
          <t>2024257580062</t>
        </is>
      </c>
      <c r="K18" t="inlineStr">
        <is>
          <t>Si</t>
        </is>
      </c>
      <c r="L18" t="inlineStr">
        <is>
          <t>Número</t>
        </is>
      </c>
      <c r="M18">
        <v>7</v>
      </c>
      <c r="N18">
        <v>0</v>
      </c>
      <c r="O18">
        <v>7</v>
      </c>
      <c r="P18">
        <v>7</v>
      </c>
      <c r="Q18">
        <v>7</v>
      </c>
      <c r="R18">
        <v>0</v>
      </c>
      <c r="S18" s="103" t="inlineStr">
        <is>
          <t xml:space="preserve"> </t>
        </is>
      </c>
      <c r="T18" t="inlineStr">
        <is>
          <t>No se programó ni ejecutó en la vigencia</t>
        </is>
      </c>
      <c r="U18">
        <v>23</v>
      </c>
      <c r="V18" s="104">
        <v>3.28571428571429</v>
      </c>
      <c r="W18" t="inlineStr">
        <is>
          <t>Hubo ejecución por encima de lo programado en SisPT</t>
        </is>
      </c>
    </row>
    <row r="19">
      <c r="A19" t="inlineStr">
        <is>
          <t>IP-13</t>
        </is>
      </c>
      <c r="B19" t="inlineStr">
        <is>
          <t>22</t>
        </is>
      </c>
      <c r="C19" t="inlineStr">
        <is>
          <t>Educación</t>
        </is>
      </c>
      <c r="D19" t="inlineStr">
        <is>
          <t>2201</t>
        </is>
      </c>
      <c r="E19" t="inlineStr">
        <is>
          <t>Calidad, cobertura y fortalecimiento de la educación inicial, prescolar, básica y media</t>
        </is>
      </c>
      <c r="F19" t="inlineStr">
        <is>
          <t>2201034</t>
        </is>
      </c>
      <c r="G19" t="inlineStr">
        <is>
          <t>Servicio educativos de promoción del bilingüismo</t>
        </is>
      </c>
      <c r="H19" t="inlineStr">
        <is>
          <t>220103400</t>
        </is>
      </c>
      <c r="I19" t="inlineStr">
        <is>
          <t>Estudiantes beneficiados con estrategias de promoción del bilingüismo</t>
        </is>
      </c>
      <c r="J19" t="inlineStr">
        <is>
          <t>2024257580062</t>
        </is>
      </c>
      <c r="K19" t="inlineStr">
        <is>
          <t>Si</t>
        </is>
      </c>
      <c r="L19" t="inlineStr">
        <is>
          <t>Número</t>
        </is>
      </c>
      <c r="M19">
        <v>300</v>
      </c>
      <c r="N19">
        <v>300</v>
      </c>
      <c r="O19">
        <v>300</v>
      </c>
      <c r="P19">
        <v>300</v>
      </c>
      <c r="Q19">
        <v>300</v>
      </c>
      <c r="R19" t="inlineStr">
        <is>
          <t xml:space="preserve"> </t>
        </is>
      </c>
      <c r="S19" s="103" t="inlineStr">
        <is>
          <t xml:space="preserve"> </t>
        </is>
      </c>
      <c r="T19" t="inlineStr">
        <is>
          <t>No se encontró ejecución en PIIP</t>
        </is>
      </c>
      <c r="U19" t="inlineStr">
        <is>
          <t xml:space="preserve"> </t>
        </is>
      </c>
      <c r="V19" s="104" t="inlineStr">
        <is>
          <t xml:space="preserve"> </t>
        </is>
      </c>
      <c r="W19" t="inlineStr">
        <is>
          <t>No se encontró ejecución en PIIP</t>
        </is>
      </c>
    </row>
    <row r="20">
      <c r="A20" t="inlineStr">
        <is>
          <t>IP-14</t>
        </is>
      </c>
      <c r="B20" t="inlineStr">
        <is>
          <t>22</t>
        </is>
      </c>
      <c r="C20" t="inlineStr">
        <is>
          <t>Educación</t>
        </is>
      </c>
      <c r="D20" t="inlineStr">
        <is>
          <t>2201</t>
        </is>
      </c>
      <c r="E20" t="inlineStr">
        <is>
          <t>Calidad, cobertura y fortalecimiento de la educación inicial, prescolar, básica y media</t>
        </is>
      </c>
      <c r="F20" t="inlineStr">
        <is>
          <t>2201060</t>
        </is>
      </c>
      <c r="G20" t="inlineStr">
        <is>
          <t>Servicio educativo de promoción del bilingüismo para docentes</t>
        </is>
      </c>
      <c r="H20" t="inlineStr">
        <is>
          <t>220106000</t>
        </is>
      </c>
      <c r="I20" t="inlineStr">
        <is>
          <t>Docentes beneficiados con estrategias de promoción del bilingüismo</t>
        </is>
      </c>
      <c r="J20" t="inlineStr">
        <is>
          <t>2024257580062</t>
        </is>
      </c>
      <c r="K20" t="inlineStr">
        <is>
          <t>Si</t>
        </is>
      </c>
      <c r="L20" t="inlineStr">
        <is>
          <t>Número</t>
        </is>
      </c>
      <c r="M20">
        <v>430</v>
      </c>
      <c r="N20">
        <v>430</v>
      </c>
      <c r="O20">
        <v>430</v>
      </c>
      <c r="P20">
        <v>430</v>
      </c>
      <c r="Q20">
        <v>430</v>
      </c>
      <c r="R20" t="inlineStr">
        <is>
          <t xml:space="preserve"> </t>
        </is>
      </c>
      <c r="S20" s="103" t="inlineStr">
        <is>
          <t xml:space="preserve"> </t>
        </is>
      </c>
      <c r="T20" t="inlineStr">
        <is>
          <t>No se encontró ejecución en PIIP</t>
        </is>
      </c>
      <c r="U20" t="inlineStr">
        <is>
          <t xml:space="preserve"> </t>
        </is>
      </c>
      <c r="V20" s="104" t="inlineStr">
        <is>
          <t xml:space="preserve"> </t>
        </is>
      </c>
      <c r="W20" t="inlineStr">
        <is>
          <t>No se encontró ejecución en PIIP</t>
        </is>
      </c>
    </row>
    <row r="21">
      <c r="A21" t="inlineStr">
        <is>
          <t>IP-15</t>
        </is>
      </c>
      <c r="B21" t="inlineStr">
        <is>
          <t>22</t>
        </is>
      </c>
      <c r="C21" t="inlineStr">
        <is>
          <t>Educación</t>
        </is>
      </c>
      <c r="D21" t="inlineStr">
        <is>
          <t>2201</t>
        </is>
      </c>
      <c r="E21" t="inlineStr">
        <is>
          <t>Calidad, cobertura y fortalecimiento de la educación inicial, prescolar, básica y media</t>
        </is>
      </c>
      <c r="F21" t="inlineStr">
        <is>
          <t>2201036</t>
        </is>
      </c>
      <c r="G21" t="inlineStr">
        <is>
          <t>Servicio de desarrollo de contenidos educativos para la educación inicial, preescolar, básica y media</t>
        </is>
      </c>
      <c r="H21" t="inlineStr">
        <is>
          <t>220103600</t>
        </is>
      </c>
      <c r="I21" t="inlineStr">
        <is>
          <t xml:space="preserve">Contenidos educativos para la educación inicial, preescolar, básica y media producidos </t>
        </is>
      </c>
      <c r="J21" t="inlineStr">
        <is>
          <t>2024257580062</t>
        </is>
      </c>
      <c r="K21" t="inlineStr">
        <is>
          <t>Si</t>
        </is>
      </c>
      <c r="L21" t="inlineStr">
        <is>
          <t>Número</t>
        </is>
      </c>
      <c r="M21">
        <v>1</v>
      </c>
      <c r="N21">
        <v>1</v>
      </c>
      <c r="O21">
        <v>1</v>
      </c>
      <c r="P21">
        <v>1</v>
      </c>
      <c r="Q21">
        <v>1</v>
      </c>
      <c r="R21" t="inlineStr">
        <is>
          <t xml:space="preserve"> </t>
        </is>
      </c>
      <c r="S21" s="103" t="inlineStr">
        <is>
          <t xml:space="preserve"> </t>
        </is>
      </c>
      <c r="T21" t="inlineStr">
        <is>
          <t>No se encontró ejecución en PIIP</t>
        </is>
      </c>
      <c r="U21" t="inlineStr">
        <is>
          <t xml:space="preserve"> </t>
        </is>
      </c>
      <c r="V21" s="104" t="inlineStr">
        <is>
          <t xml:space="preserve"> </t>
        </is>
      </c>
      <c r="W21" t="inlineStr">
        <is>
          <t>No se encontró ejecución en PIIP</t>
        </is>
      </c>
    </row>
    <row r="22">
      <c r="A22" t="inlineStr">
        <is>
          <t>IP-16</t>
        </is>
      </c>
      <c r="B22" t="inlineStr">
        <is>
          <t>22</t>
        </is>
      </c>
      <c r="C22" t="inlineStr">
        <is>
          <t>Educación</t>
        </is>
      </c>
      <c r="D22" t="inlineStr">
        <is>
          <t>2201</t>
        </is>
      </c>
      <c r="E22" t="inlineStr">
        <is>
          <t>Calidad, cobertura y fortalecimiento de la educación inicial, prescolar, básica y media</t>
        </is>
      </c>
      <c r="F22" t="inlineStr">
        <is>
          <t>2201050</t>
        </is>
      </c>
      <c r="G22" t="inlineStr">
        <is>
          <t>Servicio de accesibilidad a contenidos web para fines pedagógicos</t>
        </is>
      </c>
      <c r="H22" t="inlineStr">
        <is>
          <t>220105001</t>
        </is>
      </c>
      <c r="I22" t="inlineStr">
        <is>
          <t>Establecimientos educativos conectados a internet</t>
        </is>
      </c>
      <c r="J22" t="inlineStr">
        <is>
          <t>2024257580062</t>
        </is>
      </c>
      <c r="K22" t="inlineStr">
        <is>
          <t>Si</t>
        </is>
      </c>
      <c r="L22" t="inlineStr">
        <is>
          <t>Número</t>
        </is>
      </c>
      <c r="M22">
        <v>4</v>
      </c>
      <c r="N22">
        <v>7</v>
      </c>
      <c r="O22">
        <v>7</v>
      </c>
      <c r="P22">
        <v>7</v>
      </c>
      <c r="Q22">
        <v>7</v>
      </c>
      <c r="R22" t="inlineStr">
        <is>
          <t xml:space="preserve"> </t>
        </is>
      </c>
      <c r="S22" s="103" t="inlineStr">
        <is>
          <t xml:space="preserve"> </t>
        </is>
      </c>
      <c r="T22" t="inlineStr">
        <is>
          <t>No se encontró ejecución en PIIP</t>
        </is>
      </c>
      <c r="U22" t="inlineStr">
        <is>
          <t xml:space="preserve"> </t>
        </is>
      </c>
      <c r="V22" s="104" t="inlineStr">
        <is>
          <t xml:space="preserve"> </t>
        </is>
      </c>
      <c r="W22" t="inlineStr">
        <is>
          <t>No se encontró ejecución en PIIP</t>
        </is>
      </c>
    </row>
    <row r="23">
      <c r="A23" t="inlineStr">
        <is>
          <t>IP-17</t>
        </is>
      </c>
      <c r="B23" t="inlineStr">
        <is>
          <t>22</t>
        </is>
      </c>
      <c r="C23" t="inlineStr">
        <is>
          <t>Educación</t>
        </is>
      </c>
      <c r="D23" t="inlineStr">
        <is>
          <t>2201</t>
        </is>
      </c>
      <c r="E23" t="inlineStr">
        <is>
          <t>Calidad, cobertura y fortalecimiento de la educación inicial, prescolar, básica y media</t>
        </is>
      </c>
      <c r="F23" t="inlineStr">
        <is>
          <t>2201035</t>
        </is>
      </c>
      <c r="G23" t="inlineStr">
        <is>
          <t>Servicio de articulación entre la educación media y el sector productivo.</t>
        </is>
      </c>
      <c r="H23" t="inlineStr">
        <is>
          <t>220103500</t>
        </is>
      </c>
      <c r="I23" t="inlineStr">
        <is>
          <t xml:space="preserve">Programas y proyectos de educación pertinente articulados con el sector productivo </t>
        </is>
      </c>
      <c r="J23" t="inlineStr">
        <is>
          <t>2024257580062</t>
        </is>
      </c>
      <c r="K23" t="inlineStr">
        <is>
          <t>Si</t>
        </is>
      </c>
      <c r="L23" t="inlineStr">
        <is>
          <t>Número</t>
        </is>
      </c>
      <c r="M23">
        <v>1</v>
      </c>
      <c r="N23">
        <v>0</v>
      </c>
      <c r="O23">
        <v>1</v>
      </c>
      <c r="P23">
        <v>1</v>
      </c>
      <c r="Q23">
        <v>1</v>
      </c>
      <c r="R23" t="inlineStr">
        <is>
          <t xml:space="preserve"> </t>
        </is>
      </c>
      <c r="S23" s="103" t="inlineStr">
        <is>
          <t xml:space="preserve"> </t>
        </is>
      </c>
      <c r="T23" t="inlineStr">
        <is>
          <t>No se encontró ejecución en PIIP</t>
        </is>
      </c>
      <c r="U23" t="inlineStr">
        <is>
          <t xml:space="preserve"> </t>
        </is>
      </c>
      <c r="V23" s="104" t="inlineStr">
        <is>
          <t xml:space="preserve"> </t>
        </is>
      </c>
      <c r="W23" t="inlineStr">
        <is>
          <t>No se encontró ejecución en PIIP</t>
        </is>
      </c>
    </row>
    <row r="24">
      <c r="A24" t="inlineStr">
        <is>
          <t>IP-18</t>
        </is>
      </c>
      <c r="B24" t="inlineStr">
        <is>
          <t>22</t>
        </is>
      </c>
      <c r="C24" t="inlineStr">
        <is>
          <t>Educación</t>
        </is>
      </c>
      <c r="D24" t="inlineStr">
        <is>
          <t>2201</t>
        </is>
      </c>
      <c r="E24" t="inlineStr">
        <is>
          <t>Calidad, cobertura y fortalecimiento de la educación inicial, prescolar, básica y media</t>
        </is>
      </c>
      <c r="F24" t="inlineStr">
        <is>
          <t>2201061</t>
        </is>
      </c>
      <c r="G24" t="inlineStr">
        <is>
          <t>Servicio de apoyo a proyectos pedagógicos productivos</t>
        </is>
      </c>
      <c r="H24" t="inlineStr">
        <is>
          <t>220106102</t>
        </is>
      </c>
      <c r="I24" t="inlineStr">
        <is>
          <t>Proyectos apoyados</t>
        </is>
      </c>
      <c r="J24" t="inlineStr">
        <is>
          <t>2024257580062</t>
        </is>
      </c>
      <c r="K24" t="inlineStr">
        <is>
          <t>Si</t>
        </is>
      </c>
      <c r="L24" t="inlineStr">
        <is>
          <t>Número</t>
        </is>
      </c>
      <c r="M24">
        <v>13</v>
      </c>
      <c r="N24">
        <v>0</v>
      </c>
      <c r="O24">
        <v>13</v>
      </c>
      <c r="P24">
        <v>13</v>
      </c>
      <c r="Q24">
        <v>13</v>
      </c>
      <c r="R24" t="inlineStr">
        <is>
          <t xml:space="preserve"> </t>
        </is>
      </c>
      <c r="S24" s="103" t="inlineStr">
        <is>
          <t xml:space="preserve"> </t>
        </is>
      </c>
      <c r="T24" t="inlineStr">
        <is>
          <t>No se encontró ejecución en PIIP</t>
        </is>
      </c>
      <c r="U24" t="inlineStr">
        <is>
          <t xml:space="preserve"> </t>
        </is>
      </c>
      <c r="V24" s="104" t="inlineStr">
        <is>
          <t xml:space="preserve"> </t>
        </is>
      </c>
      <c r="W24" t="inlineStr">
        <is>
          <t>No se encontró ejecución en PIIP</t>
        </is>
      </c>
    </row>
    <row r="25">
      <c r="A25" t="inlineStr">
        <is>
          <t>IP-19</t>
        </is>
      </c>
      <c r="B25" t="inlineStr">
        <is>
          <t>22</t>
        </is>
      </c>
      <c r="C25" t="inlineStr">
        <is>
          <t>Educación</t>
        </is>
      </c>
      <c r="D25" t="inlineStr">
        <is>
          <t>2201</t>
        </is>
      </c>
      <c r="E25" t="inlineStr">
        <is>
          <t>Calidad, cobertura y fortalecimiento de la educación inicial, prescolar, básica y media</t>
        </is>
      </c>
      <c r="F25" t="inlineStr">
        <is>
          <t>2201067</t>
        </is>
      </c>
      <c r="G25" t="inlineStr">
        <is>
          <t>Servicio de apoyo para el fortalecimiento de escuelas de padres</t>
        </is>
      </c>
      <c r="H25" t="inlineStr">
        <is>
          <t>220106700</t>
        </is>
      </c>
      <c r="I25" t="inlineStr">
        <is>
          <t>Escuelas de padres apoyadas</t>
        </is>
      </c>
      <c r="J25" t="inlineStr">
        <is>
          <t>2024257580062</t>
        </is>
      </c>
      <c r="K25" t="inlineStr">
        <is>
          <t>Si</t>
        </is>
      </c>
      <c r="L25" t="inlineStr">
        <is>
          <t>Número</t>
        </is>
      </c>
      <c r="M25">
        <v>4</v>
      </c>
      <c r="N25">
        <v>4</v>
      </c>
      <c r="O25">
        <v>4</v>
      </c>
      <c r="P25">
        <v>4</v>
      </c>
      <c r="Q25">
        <v>4</v>
      </c>
      <c r="R25" t="inlineStr">
        <is>
          <t xml:space="preserve"> </t>
        </is>
      </c>
      <c r="S25" s="103" t="inlineStr">
        <is>
          <t xml:space="preserve"> </t>
        </is>
      </c>
      <c r="T25" t="inlineStr">
        <is>
          <t>No se encontró ejecución en PIIP</t>
        </is>
      </c>
      <c r="U25" t="inlineStr">
        <is>
          <t xml:space="preserve"> </t>
        </is>
      </c>
      <c r="V25" s="104" t="inlineStr">
        <is>
          <t xml:space="preserve"> </t>
        </is>
      </c>
      <c r="W25" t="inlineStr">
        <is>
          <t>No se encontró ejecución en PIIP</t>
        </is>
      </c>
    </row>
    <row r="26">
      <c r="A26" t="inlineStr">
        <is>
          <t>IP-20</t>
        </is>
      </c>
      <c r="B26" t="inlineStr">
        <is>
          <t>22</t>
        </is>
      </c>
      <c r="C26" t="inlineStr">
        <is>
          <t>Educación</t>
        </is>
      </c>
      <c r="D26" t="inlineStr">
        <is>
          <t>2201</t>
        </is>
      </c>
      <c r="E26" t="inlineStr">
        <is>
          <t>Calidad, cobertura y fortalecimiento de la educación inicial, prescolar, básica y media</t>
        </is>
      </c>
      <c r="F26" t="inlineStr">
        <is>
          <t>2201081</t>
        </is>
      </c>
      <c r="G26" t="inlineStr">
        <is>
          <t>Servicio de apoyo a la atención integral para la convivencia escolar</t>
        </is>
      </c>
      <c r="H26" t="inlineStr">
        <is>
          <t>220108102</t>
        </is>
      </c>
      <c r="I26" t="inlineStr">
        <is>
          <t>Instituciones educativas con rutas de atención integral para la convivencia escolar implementadas</t>
        </is>
      </c>
      <c r="J26" t="inlineStr">
        <is>
          <t>2024257580062</t>
        </is>
      </c>
      <c r="K26" t="inlineStr">
        <is>
          <t>Si</t>
        </is>
      </c>
      <c r="L26" t="inlineStr">
        <is>
          <t>Número</t>
        </is>
      </c>
      <c r="M26">
        <v>4</v>
      </c>
      <c r="N26">
        <v>4</v>
      </c>
      <c r="O26">
        <v>4</v>
      </c>
      <c r="P26">
        <v>4</v>
      </c>
      <c r="Q26">
        <v>4</v>
      </c>
      <c r="R26" t="inlineStr">
        <is>
          <t xml:space="preserve"> </t>
        </is>
      </c>
      <c r="S26" s="103" t="inlineStr">
        <is>
          <t xml:space="preserve"> </t>
        </is>
      </c>
      <c r="T26" t="inlineStr">
        <is>
          <t>No se encontró ejecución en PIIP</t>
        </is>
      </c>
      <c r="U26" t="inlineStr">
        <is>
          <t xml:space="preserve"> </t>
        </is>
      </c>
      <c r="V26" s="104" t="inlineStr">
        <is>
          <t xml:space="preserve"> </t>
        </is>
      </c>
      <c r="W26" t="inlineStr">
        <is>
          <t>No se encontró ejecución en PIIP</t>
        </is>
      </c>
    </row>
    <row r="27">
      <c r="A27" t="inlineStr">
        <is>
          <t>IP-21</t>
        </is>
      </c>
      <c r="B27" t="inlineStr">
        <is>
          <t>22</t>
        </is>
      </c>
      <c r="C27" t="inlineStr">
        <is>
          <t>Educación</t>
        </is>
      </c>
      <c r="D27" t="inlineStr">
        <is>
          <t>2201</t>
        </is>
      </c>
      <c r="E27" t="inlineStr">
        <is>
          <t>Calidad, cobertura y fortalecimiento de la educación inicial, prescolar, básica y media</t>
        </is>
      </c>
      <c r="F27" t="inlineStr">
        <is>
          <t>2201074</t>
        </is>
      </c>
      <c r="G27" t="inlineStr">
        <is>
          <t>Servicio de fortalecimiento a las capacidades de los docentes de educación Inicial, preescolar, básica y media</t>
        </is>
      </c>
      <c r="H27" t="inlineStr">
        <is>
          <t>220107400</t>
        </is>
      </c>
      <c r="I27" t="inlineStr">
        <is>
          <t>Docentes y agentes educativos  de educación inicial, preescolar, básica y media beneficiados con estrategias de mejoramiento de sus capacidades</t>
        </is>
      </c>
      <c r="J27" t="inlineStr">
        <is>
          <t>2024257580062</t>
        </is>
      </c>
      <c r="K27" t="inlineStr">
        <is>
          <t>No</t>
        </is>
      </c>
      <c r="L27" t="inlineStr">
        <is>
          <t>Número</t>
        </is>
      </c>
      <c r="M27">
        <v>4</v>
      </c>
      <c r="N27">
        <v>0</v>
      </c>
      <c r="O27">
        <v>1</v>
      </c>
      <c r="P27">
        <v>2</v>
      </c>
      <c r="Q27">
        <v>1</v>
      </c>
      <c r="R27" t="inlineStr">
        <is>
          <t xml:space="preserve"> </t>
        </is>
      </c>
      <c r="S27" s="103" t="inlineStr">
        <is>
          <t xml:space="preserve"> </t>
        </is>
      </c>
      <c r="T27" t="inlineStr">
        <is>
          <t>No se encontró ejecución en PIIP</t>
        </is>
      </c>
      <c r="U27" t="inlineStr">
        <is>
          <t xml:space="preserve"> </t>
        </is>
      </c>
      <c r="V27" s="104" t="inlineStr">
        <is>
          <t xml:space="preserve"> </t>
        </is>
      </c>
      <c r="W27" t="inlineStr">
        <is>
          <t>No se encontró ejecución en PIIP</t>
        </is>
      </c>
    </row>
    <row r="28">
      <c r="A28" t="inlineStr">
        <is>
          <t>IP-22</t>
        </is>
      </c>
      <c r="B28" t="inlineStr">
        <is>
          <t>22</t>
        </is>
      </c>
      <c r="C28" t="inlineStr">
        <is>
          <t>Educación</t>
        </is>
      </c>
      <c r="D28" t="inlineStr">
        <is>
          <t>2201</t>
        </is>
      </c>
      <c r="E28" t="inlineStr">
        <is>
          <t>Calidad, cobertura y fortalecimiento de la educación inicial, prescolar, básica y media</t>
        </is>
      </c>
      <c r="F28" t="inlineStr">
        <is>
          <t>2201086</t>
        </is>
      </c>
      <c r="G28" t="inlineStr">
        <is>
          <t>Servicio de atención psicosocial a estudiantes</t>
        </is>
      </c>
      <c r="H28" t="inlineStr">
        <is>
          <t>220108600</t>
        </is>
      </c>
      <c r="I28" t="inlineStr">
        <is>
          <t>Alumnos atendidos</t>
        </is>
      </c>
      <c r="J28" t="inlineStr">
        <is>
          <t>2024257580062</t>
        </is>
      </c>
      <c r="K28" t="inlineStr">
        <is>
          <t>Si</t>
        </is>
      </c>
      <c r="L28" t="inlineStr">
        <is>
          <t>Número</t>
        </is>
      </c>
      <c r="M28">
        <v>4</v>
      </c>
      <c r="N28">
        <v>4</v>
      </c>
      <c r="O28">
        <v>4</v>
      </c>
      <c r="P28">
        <v>4</v>
      </c>
      <c r="Q28">
        <v>4</v>
      </c>
      <c r="R28" t="inlineStr">
        <is>
          <t xml:space="preserve"> </t>
        </is>
      </c>
      <c r="S28" s="103" t="inlineStr">
        <is>
          <t xml:space="preserve"> </t>
        </is>
      </c>
      <c r="T28" t="inlineStr">
        <is>
          <t>No se encontró ejecución en PIIP</t>
        </is>
      </c>
      <c r="U28" t="inlineStr">
        <is>
          <t xml:space="preserve"> </t>
        </is>
      </c>
      <c r="V28" s="104" t="inlineStr">
        <is>
          <t xml:space="preserve"> </t>
        </is>
      </c>
      <c r="W28" t="inlineStr">
        <is>
          <t>No se encontró ejecución en PIIP</t>
        </is>
      </c>
    </row>
    <row r="29">
      <c r="A29" t="inlineStr">
        <is>
          <t>IP-23</t>
        </is>
      </c>
      <c r="B29" t="inlineStr">
        <is>
          <t>22</t>
        </is>
      </c>
      <c r="C29" t="inlineStr">
        <is>
          <t>Educación</t>
        </is>
      </c>
      <c r="D29" t="inlineStr">
        <is>
          <t>2201</t>
        </is>
      </c>
      <c r="E29" t="inlineStr">
        <is>
          <t>Calidad, cobertura y fortalecimiento de la educación inicial, prescolar, básica y media</t>
        </is>
      </c>
      <c r="F29" t="inlineStr">
        <is>
          <t>2201073</t>
        </is>
      </c>
      <c r="G29" t="inlineStr">
        <is>
          <t>Servicio de evaluación de la calidad de la educación inicial, preescolar, básica y media</t>
        </is>
      </c>
      <c r="H29" t="inlineStr">
        <is>
          <t>220107300</t>
        </is>
      </c>
      <c r="I29" t="inlineStr">
        <is>
          <t>Estudiantes evaluados con pruebas de calidad educativa</t>
        </is>
      </c>
      <c r="J29" t="inlineStr">
        <is>
          <t>2024257580062</t>
        </is>
      </c>
      <c r="K29" t="inlineStr">
        <is>
          <t>Si</t>
        </is>
      </c>
      <c r="L29" t="inlineStr">
        <is>
          <t>Número</t>
        </is>
      </c>
      <c r="M29">
        <v>4</v>
      </c>
      <c r="N29">
        <v>4</v>
      </c>
      <c r="O29">
        <v>4</v>
      </c>
      <c r="P29">
        <v>4</v>
      </c>
      <c r="Q29">
        <v>4</v>
      </c>
      <c r="R29" t="inlineStr">
        <is>
          <t xml:space="preserve"> </t>
        </is>
      </c>
      <c r="S29" s="103" t="inlineStr">
        <is>
          <t xml:space="preserve"> </t>
        </is>
      </c>
      <c r="T29" t="inlineStr">
        <is>
          <t>No se encontró ejecución en PIIP</t>
        </is>
      </c>
      <c r="U29" t="inlineStr">
        <is>
          <t xml:space="preserve"> </t>
        </is>
      </c>
      <c r="V29" s="104" t="inlineStr">
        <is>
          <t xml:space="preserve"> </t>
        </is>
      </c>
      <c r="W29" t="inlineStr">
        <is>
          <t>No se encontró ejecución en PIIP</t>
        </is>
      </c>
    </row>
    <row r="30">
      <c r="A30" t="inlineStr">
        <is>
          <t>IP-24</t>
        </is>
      </c>
      <c r="B30" t="inlineStr">
        <is>
          <t>22</t>
        </is>
      </c>
      <c r="C30" t="inlineStr">
        <is>
          <t>Educación</t>
        </is>
      </c>
      <c r="D30" t="inlineStr">
        <is>
          <t>2201</t>
        </is>
      </c>
      <c r="E30" t="inlineStr">
        <is>
          <t>Calidad, cobertura y fortalecimiento de la educación inicial, prescolar, básica y media</t>
        </is>
      </c>
      <c r="F30" t="inlineStr">
        <is>
          <t>2201026</t>
        </is>
      </c>
      <c r="G30" t="inlineStr">
        <is>
          <t>Servicio de acondicionamiento de ambientes de aprendizaje</t>
        </is>
      </c>
      <c r="H30" t="inlineStr">
        <is>
          <t>220102600</t>
        </is>
      </c>
      <c r="I30" t="inlineStr">
        <is>
          <t>Ambientes de aprendizaje en funcionamiento</t>
        </is>
      </c>
      <c r="J30" t="inlineStr">
        <is>
          <t>2024257580062</t>
        </is>
      </c>
      <c r="K30" t="inlineStr">
        <is>
          <t>No</t>
        </is>
      </c>
      <c r="L30" t="inlineStr">
        <is>
          <t>Número</t>
        </is>
      </c>
      <c r="M30">
        <v>4</v>
      </c>
      <c r="N30">
        <v>0</v>
      </c>
      <c r="O30">
        <v>2</v>
      </c>
      <c r="P30">
        <v>1</v>
      </c>
      <c r="Q30">
        <v>1</v>
      </c>
      <c r="R30" t="inlineStr">
        <is>
          <t xml:space="preserve"> </t>
        </is>
      </c>
      <c r="S30" s="103" t="inlineStr">
        <is>
          <t xml:space="preserve"> </t>
        </is>
      </c>
      <c r="T30" t="inlineStr">
        <is>
          <t>No se encontró ejecución en PIIP</t>
        </is>
      </c>
      <c r="U30" t="inlineStr">
        <is>
          <t xml:space="preserve"> </t>
        </is>
      </c>
      <c r="V30" s="104" t="inlineStr">
        <is>
          <t xml:space="preserve"> </t>
        </is>
      </c>
      <c r="W30" t="inlineStr">
        <is>
          <t>No se encontró ejecución en PIIP</t>
        </is>
      </c>
    </row>
    <row r="31">
      <c r="A31" t="inlineStr">
        <is>
          <t>IP-25</t>
        </is>
      </c>
      <c r="B31" t="inlineStr">
        <is>
          <t>22</t>
        </is>
      </c>
      <c r="C31" t="inlineStr">
        <is>
          <t>Educación</t>
        </is>
      </c>
      <c r="D31" t="inlineStr">
        <is>
          <t>2202</t>
        </is>
      </c>
      <c r="E31" t="inlineStr">
        <is>
          <t>Calidad y fomento de la educación superior</t>
        </is>
      </c>
      <c r="F31" t="inlineStr">
        <is>
          <t>2202067</t>
        </is>
      </c>
      <c r="G31" t="inlineStr">
        <is>
          <t>Servicio de articulación entre la educación superior  y el sector productivo.</t>
        </is>
      </c>
      <c r="H31" t="inlineStr">
        <is>
          <t>220206700</t>
        </is>
      </c>
      <c r="I31" t="inlineStr">
        <is>
          <t xml:space="preserve">Programas y proyectos de educación o investigación articulados con el sector productivo </t>
        </is>
      </c>
      <c r="J31" t="inlineStr">
        <is>
          <t>2024257580062</t>
        </is>
      </c>
      <c r="K31" t="inlineStr">
        <is>
          <t>Si</t>
        </is>
      </c>
      <c r="L31" t="inlineStr">
        <is>
          <t>Número</t>
        </is>
      </c>
      <c r="M31">
        <v>1</v>
      </c>
      <c r="N31">
        <v>0</v>
      </c>
      <c r="O31">
        <v>1</v>
      </c>
      <c r="P31">
        <v>1</v>
      </c>
      <c r="Q31">
        <v>1</v>
      </c>
      <c r="R31" t="inlineStr">
        <is>
          <t xml:space="preserve"> </t>
        </is>
      </c>
      <c r="S31" s="103" t="inlineStr">
        <is>
          <t xml:space="preserve"> </t>
        </is>
      </c>
      <c r="T31" t="inlineStr">
        <is>
          <t>No se encontró ejecución en PIIP</t>
        </is>
      </c>
      <c r="U31" t="inlineStr">
        <is>
          <t xml:space="preserve"> </t>
        </is>
      </c>
      <c r="V31" s="104" t="inlineStr">
        <is>
          <t xml:space="preserve"> </t>
        </is>
      </c>
      <c r="W31" t="inlineStr">
        <is>
          <t>No se encontró ejecución en PIIP</t>
        </is>
      </c>
    </row>
    <row r="32">
      <c r="A32" t="inlineStr">
        <is>
          <t>IP-27</t>
        </is>
      </c>
      <c r="B32" t="inlineStr">
        <is>
          <t>22</t>
        </is>
      </c>
      <c r="C32" t="inlineStr">
        <is>
          <t>Educación</t>
        </is>
      </c>
      <c r="D32" t="inlineStr">
        <is>
          <t>2201</t>
        </is>
      </c>
      <c r="E32" t="inlineStr">
        <is>
          <t>Calidad, cobertura y fortalecimiento de la educación inicial, prescolar, básica y media</t>
        </is>
      </c>
      <c r="F32" t="inlineStr">
        <is>
          <t>2201033</t>
        </is>
      </c>
      <c r="G32" t="inlineStr">
        <is>
          <t>Servicio de fomento para la permanencia en programas de educación formal</t>
        </is>
      </c>
      <c r="H32" t="inlineStr">
        <is>
          <t>220103304</t>
        </is>
      </c>
      <c r="I32" t="inlineStr">
        <is>
          <t>Estrategias implementadas</t>
        </is>
      </c>
      <c r="J32" t="inlineStr">
        <is>
          <t>2024257580010</t>
        </is>
      </c>
      <c r="K32" t="inlineStr">
        <is>
          <t>Si</t>
        </is>
      </c>
      <c r="L32" t="inlineStr">
        <is>
          <t>Número</t>
        </is>
      </c>
      <c r="M32">
        <v>1</v>
      </c>
      <c r="N32">
        <v>1</v>
      </c>
      <c r="O32">
        <v>1</v>
      </c>
      <c r="P32">
        <v>1</v>
      </c>
      <c r="Q32">
        <v>1</v>
      </c>
      <c r="R32" t="inlineStr">
        <is>
          <t xml:space="preserve"> </t>
        </is>
      </c>
      <c r="S32" s="103" t="inlineStr">
        <is>
          <t xml:space="preserve"> </t>
        </is>
      </c>
      <c r="T32" t="inlineStr">
        <is>
          <t>No se encontró ejecución en PIIP</t>
        </is>
      </c>
      <c r="U32" t="inlineStr">
        <is>
          <t xml:space="preserve"> </t>
        </is>
      </c>
      <c r="V32" s="104" t="inlineStr">
        <is>
          <t xml:space="preserve"> </t>
        </is>
      </c>
      <c r="W32" t="inlineStr">
        <is>
          <t>No se encontró ejecución en PIIP</t>
        </is>
      </c>
    </row>
    <row r="33">
      <c r="A33" t="inlineStr">
        <is>
          <t>IP-28</t>
        </is>
      </c>
      <c r="B33" t="inlineStr">
        <is>
          <t>22</t>
        </is>
      </c>
      <c r="C33" t="inlineStr">
        <is>
          <t>Educación</t>
        </is>
      </c>
      <c r="D33" t="inlineStr">
        <is>
          <t>2201</t>
        </is>
      </c>
      <c r="E33" t="inlineStr">
        <is>
          <t>Calidad, cobertura y fortalecimiento de la educación inicial, prescolar, básica y media</t>
        </is>
      </c>
      <c r="F33" t="inlineStr">
        <is>
          <t>2201028</t>
        </is>
      </c>
      <c r="G33" t="inlineStr">
        <is>
          <t>Servicio de apoyo a la permanencia con alimentación escolar</t>
        </is>
      </c>
      <c r="H33" t="inlineStr">
        <is>
          <t>220102801</t>
        </is>
      </c>
      <c r="I33" t="inlineStr">
        <is>
          <t>Beneficiarios de la alimentación escolar</t>
        </is>
      </c>
      <c r="J33" t="inlineStr">
        <is>
          <t>2024257580010</t>
        </is>
      </c>
      <c r="K33" t="inlineStr">
        <is>
          <t>Si</t>
        </is>
      </c>
      <c r="L33" t="inlineStr">
        <is>
          <t>Número</t>
        </is>
      </c>
      <c r="M33">
        <v>100</v>
      </c>
      <c r="N33">
        <v>95</v>
      </c>
      <c r="O33">
        <v>100</v>
      </c>
      <c r="P33">
        <v>100</v>
      </c>
      <c r="Q33">
        <v>100</v>
      </c>
      <c r="R33" t="inlineStr">
        <is>
          <t xml:space="preserve"> </t>
        </is>
      </c>
      <c r="S33" s="103" t="inlineStr">
        <is>
          <t xml:space="preserve"> </t>
        </is>
      </c>
      <c r="T33" t="inlineStr">
        <is>
          <t>No se encontró ejecución en PIIP</t>
        </is>
      </c>
      <c r="U33" t="inlineStr">
        <is>
          <t xml:space="preserve"> </t>
        </is>
      </c>
      <c r="V33" s="104" t="inlineStr">
        <is>
          <t xml:space="preserve"> </t>
        </is>
      </c>
      <c r="W33" t="inlineStr">
        <is>
          <t>No se encontró ejecución en PIIP</t>
        </is>
      </c>
    </row>
    <row r="34">
      <c r="A34" t="inlineStr">
        <is>
          <t>IP-29</t>
        </is>
      </c>
      <c r="B34" t="inlineStr">
        <is>
          <t>22</t>
        </is>
      </c>
      <c r="C34" t="inlineStr">
        <is>
          <t>Educación</t>
        </is>
      </c>
      <c r="D34" t="inlineStr">
        <is>
          <t>2201</t>
        </is>
      </c>
      <c r="E34" t="inlineStr">
        <is>
          <t>Calidad, cobertura y fortalecimiento de la educación inicial, prescolar, básica y media</t>
        </is>
      </c>
      <c r="F34" t="inlineStr">
        <is>
          <t>2201029</t>
        </is>
      </c>
      <c r="G34" t="inlineStr">
        <is>
          <t>Servicio de apoyo a la permanencia con transporte escolar</t>
        </is>
      </c>
      <c r="H34" t="inlineStr">
        <is>
          <t>220102900</t>
        </is>
      </c>
      <c r="I34" t="inlineStr">
        <is>
          <t>Beneficiarios de transporte escolar</t>
        </is>
      </c>
      <c r="J34" t="inlineStr">
        <is>
          <t>2024257580010</t>
        </is>
      </c>
      <c r="K34" t="inlineStr">
        <is>
          <t>Si</t>
        </is>
      </c>
      <c r="L34" t="inlineStr">
        <is>
          <t>Número</t>
        </is>
      </c>
      <c r="M34">
        <v>3250</v>
      </c>
      <c r="N34">
        <v>3150</v>
      </c>
      <c r="O34">
        <v>3185</v>
      </c>
      <c r="P34">
        <v>3220</v>
      </c>
      <c r="Q34">
        <v>3250</v>
      </c>
      <c r="R34" t="inlineStr">
        <is>
          <t xml:space="preserve"> </t>
        </is>
      </c>
      <c r="S34" s="103" t="inlineStr">
        <is>
          <t xml:space="preserve"> </t>
        </is>
      </c>
      <c r="T34" t="inlineStr">
        <is>
          <t>No se encontró ejecución en PIIP</t>
        </is>
      </c>
      <c r="U34" t="inlineStr">
        <is>
          <t xml:space="preserve"> </t>
        </is>
      </c>
      <c r="V34" s="104" t="inlineStr">
        <is>
          <t xml:space="preserve"> </t>
        </is>
      </c>
      <c r="W34" t="inlineStr">
        <is>
          <t>No se encontró ejecución en PIIP</t>
        </is>
      </c>
    </row>
    <row r="35">
      <c r="A35" t="inlineStr">
        <is>
          <t>IP-30</t>
        </is>
      </c>
      <c r="B35" t="inlineStr">
        <is>
          <t>22</t>
        </is>
      </c>
      <c r="C35" t="inlineStr">
        <is>
          <t>Educación</t>
        </is>
      </c>
      <c r="D35" t="inlineStr">
        <is>
          <t>2201</t>
        </is>
      </c>
      <c r="E35" t="inlineStr">
        <is>
          <t>Calidad, cobertura y fortalecimiento de la educación inicial, prescolar, básica y media</t>
        </is>
      </c>
      <c r="F35" t="inlineStr">
        <is>
          <t>2201033</t>
        </is>
      </c>
      <c r="G35" t="inlineStr">
        <is>
          <t>Servicio de fomento para la permanencia en programas de educación formal</t>
        </is>
      </c>
      <c r="H35" t="inlineStr">
        <is>
          <t>220103302</t>
        </is>
      </c>
      <c r="I35" t="inlineStr">
        <is>
          <t>Personas en situación de vulnerabilidad beneficiarias de estrategias de permanencia</t>
        </is>
      </c>
      <c r="J35" t="inlineStr">
        <is>
          <t>2024257580050</t>
        </is>
      </c>
      <c r="K35" t="inlineStr">
        <is>
          <t>Si</t>
        </is>
      </c>
      <c r="L35" t="inlineStr">
        <is>
          <t>Número</t>
        </is>
      </c>
      <c r="M35">
        <v>200</v>
      </c>
      <c r="N35">
        <v>200</v>
      </c>
      <c r="O35">
        <v>200</v>
      </c>
      <c r="P35">
        <v>200</v>
      </c>
      <c r="Q35">
        <v>200</v>
      </c>
      <c r="R35" t="inlineStr">
        <is>
          <t xml:space="preserve"> </t>
        </is>
      </c>
      <c r="S35" s="103" t="inlineStr">
        <is>
          <t xml:space="preserve"> </t>
        </is>
      </c>
      <c r="T35" t="inlineStr">
        <is>
          <t>No se encontró ejecución en PIIP</t>
        </is>
      </c>
      <c r="U35" t="inlineStr">
        <is>
          <t xml:space="preserve"> </t>
        </is>
      </c>
      <c r="V35" s="104" t="inlineStr">
        <is>
          <t xml:space="preserve"> </t>
        </is>
      </c>
      <c r="W35" t="inlineStr">
        <is>
          <t>No se encontró ejecución en PIIP</t>
        </is>
      </c>
    </row>
    <row r="36">
      <c r="A36" t="inlineStr">
        <is>
          <t>IP-31</t>
        </is>
      </c>
      <c r="B36" t="inlineStr">
        <is>
          <t>22</t>
        </is>
      </c>
      <c r="C36" t="inlineStr">
        <is>
          <t>Educación</t>
        </is>
      </c>
      <c r="D36" t="inlineStr">
        <is>
          <t>2201</t>
        </is>
      </c>
      <c r="E36" t="inlineStr">
        <is>
          <t>Calidad, cobertura y fortalecimiento de la educación inicial, prescolar, básica y media</t>
        </is>
      </c>
      <c r="F36" t="inlineStr">
        <is>
          <t>2201032</t>
        </is>
      </c>
      <c r="G36" t="inlineStr">
        <is>
          <t>Servicio de alfabetización</t>
        </is>
      </c>
      <c r="H36" t="inlineStr">
        <is>
          <t>220103200</t>
        </is>
      </c>
      <c r="I36" t="inlineStr">
        <is>
          <t xml:space="preserve">Personas beneficiarias con modelos de alfabetización </t>
        </is>
      </c>
      <c r="J36" t="inlineStr">
        <is>
          <t>2024257580067</t>
        </is>
      </c>
      <c r="K36" t="inlineStr">
        <is>
          <t>Si</t>
        </is>
      </c>
      <c r="L36" t="inlineStr">
        <is>
          <t>Número</t>
        </is>
      </c>
      <c r="M36">
        <v>181</v>
      </c>
      <c r="N36">
        <v>132</v>
      </c>
      <c r="O36">
        <v>148</v>
      </c>
      <c r="P36">
        <v>164</v>
      </c>
      <c r="Q36">
        <v>181</v>
      </c>
      <c r="R36" t="inlineStr">
        <is>
          <t xml:space="preserve"> </t>
        </is>
      </c>
      <c r="S36" s="103" t="inlineStr">
        <is>
          <t xml:space="preserve"> </t>
        </is>
      </c>
      <c r="T36" t="inlineStr">
        <is>
          <t>No se encontró ejecución en PIIP</t>
        </is>
      </c>
      <c r="U36" t="inlineStr">
        <is>
          <t xml:space="preserve"> </t>
        </is>
      </c>
      <c r="V36" s="104" t="inlineStr">
        <is>
          <t xml:space="preserve"> </t>
        </is>
      </c>
      <c r="W36" t="inlineStr">
        <is>
          <t>No se encontró ejecución en PIIP</t>
        </is>
      </c>
    </row>
    <row r="37">
      <c r="A37" t="inlineStr">
        <is>
          <t>IP-32</t>
        </is>
      </c>
      <c r="B37" t="inlineStr">
        <is>
          <t>22</t>
        </is>
      </c>
      <c r="C37" t="inlineStr">
        <is>
          <t>Educación</t>
        </is>
      </c>
      <c r="D37" t="inlineStr">
        <is>
          <t>2201</t>
        </is>
      </c>
      <c r="E37" t="inlineStr">
        <is>
          <t>Calidad, cobertura y fortalecimiento de la educación inicial, prescolar, básica y media</t>
        </is>
      </c>
      <c r="F37" t="inlineStr">
        <is>
          <t>2201002</t>
        </is>
      </c>
      <c r="G37" t="inlineStr">
        <is>
          <t>Servicio de divulgación para la educación inicial, preescolar, básica y media</t>
        </is>
      </c>
      <c r="H37" t="inlineStr">
        <is>
          <t>220100200</t>
        </is>
      </c>
      <c r="I37" t="inlineStr">
        <is>
          <t xml:space="preserve">Procesos de socialización de lineamientos, política y normativa para la educación inicial, preescolar, básica y media realizados </t>
        </is>
      </c>
      <c r="J37" t="inlineStr">
        <is>
          <t>2024257580067</t>
        </is>
      </c>
      <c r="K37" t="inlineStr">
        <is>
          <t>Si</t>
        </is>
      </c>
      <c r="L37" t="inlineStr">
        <is>
          <t>Número</t>
        </is>
      </c>
      <c r="M37">
        <v>1</v>
      </c>
      <c r="N37">
        <v>1</v>
      </c>
      <c r="O37">
        <v>1</v>
      </c>
      <c r="P37">
        <v>1</v>
      </c>
      <c r="Q37">
        <v>1</v>
      </c>
      <c r="R37" t="inlineStr">
        <is>
          <t xml:space="preserve"> </t>
        </is>
      </c>
      <c r="S37" s="103" t="inlineStr">
        <is>
          <t xml:space="preserve"> </t>
        </is>
      </c>
      <c r="T37" t="inlineStr">
        <is>
          <t>No se encontró ejecución en PIIP</t>
        </is>
      </c>
      <c r="U37" t="inlineStr">
        <is>
          <t xml:space="preserve"> </t>
        </is>
      </c>
      <c r="V37" s="104" t="inlineStr">
        <is>
          <t xml:space="preserve"> </t>
        </is>
      </c>
      <c r="W37" t="inlineStr">
        <is>
          <t>No se encontró ejecución en PIIP</t>
        </is>
      </c>
    </row>
    <row r="38">
      <c r="A38" t="inlineStr">
        <is>
          <t>IP-33</t>
        </is>
      </c>
      <c r="B38" t="inlineStr">
        <is>
          <t>22</t>
        </is>
      </c>
      <c r="C38" t="inlineStr">
        <is>
          <t>Educación</t>
        </is>
      </c>
      <c r="D38" t="inlineStr">
        <is>
          <t>2201</t>
        </is>
      </c>
      <c r="E38" t="inlineStr">
        <is>
          <t>Calidad, cobertura y fortalecimiento de la educación inicial, prescolar, básica y media</t>
        </is>
      </c>
      <c r="F38" t="inlineStr">
        <is>
          <t>2201069</t>
        </is>
      </c>
      <c r="G38" t="inlineStr">
        <is>
          <t>Infraestructura educativa dotada</t>
        </is>
      </c>
      <c r="H38" t="inlineStr">
        <is>
          <t>220106900</t>
        </is>
      </c>
      <c r="I38" t="inlineStr">
        <is>
          <t>Sedes dotadas</t>
        </is>
      </c>
      <c r="J38" t="inlineStr">
        <is>
          <t>2024257580067</t>
        </is>
      </c>
      <c r="K38" t="inlineStr">
        <is>
          <t>No</t>
        </is>
      </c>
      <c r="L38" t="inlineStr">
        <is>
          <t>Número</t>
        </is>
      </c>
      <c r="M38">
        <v>3</v>
      </c>
      <c r="N38">
        <v>0</v>
      </c>
      <c r="O38">
        <v>3</v>
      </c>
      <c r="P38">
        <v>0</v>
      </c>
      <c r="Q38">
        <v>0</v>
      </c>
      <c r="R38" t="inlineStr">
        <is>
          <t xml:space="preserve"> </t>
        </is>
      </c>
      <c r="S38" s="103" t="inlineStr">
        <is>
          <t xml:space="preserve"> </t>
        </is>
      </c>
      <c r="T38" t="inlineStr">
        <is>
          <t>No se encontró ejecución en PIIP</t>
        </is>
      </c>
      <c r="U38" t="inlineStr">
        <is>
          <t xml:space="preserve"> </t>
        </is>
      </c>
      <c r="V38" s="104" t="inlineStr">
        <is>
          <t xml:space="preserve"> </t>
        </is>
      </c>
      <c r="W38" t="inlineStr">
        <is>
          <t>No se encontró ejecución en PIIP</t>
        </is>
      </c>
    </row>
    <row r="39">
      <c r="A39" t="inlineStr">
        <is>
          <t>IP-34</t>
        </is>
      </c>
      <c r="B39" t="inlineStr">
        <is>
          <t>22</t>
        </is>
      </c>
      <c r="C39" t="inlineStr">
        <is>
          <t>Educación</t>
        </is>
      </c>
      <c r="D39" t="inlineStr">
        <is>
          <t>2201</t>
        </is>
      </c>
      <c r="E39" t="inlineStr">
        <is>
          <t>Calidad, cobertura y fortalecimiento de la educación inicial, prescolar, básica y media</t>
        </is>
      </c>
      <c r="F39" t="inlineStr">
        <is>
          <t>2201031</t>
        </is>
      </c>
      <c r="G39" t="inlineStr">
        <is>
          <t>Servicio de formación por ciclos lectivos especiales integrados</t>
        </is>
      </c>
      <c r="H39" t="inlineStr">
        <is>
          <t>220103100</t>
        </is>
      </c>
      <c r="I39" t="inlineStr">
        <is>
          <t>Personas beneficiarias de ciclos lectivos especiales integrados</t>
        </is>
      </c>
      <c r="J39" t="inlineStr">
        <is>
          <t>2024257580067</t>
        </is>
      </c>
      <c r="K39" t="inlineStr">
        <is>
          <t>Si</t>
        </is>
      </c>
      <c r="L39" t="inlineStr">
        <is>
          <t>Número</t>
        </is>
      </c>
      <c r="M39">
        <v>1</v>
      </c>
      <c r="N39">
        <v>1</v>
      </c>
      <c r="O39">
        <v>1</v>
      </c>
      <c r="P39">
        <v>1</v>
      </c>
      <c r="Q39">
        <v>1</v>
      </c>
      <c r="R39" t="inlineStr">
        <is>
          <t xml:space="preserve"> </t>
        </is>
      </c>
      <c r="S39" s="103" t="inlineStr">
        <is>
          <t xml:space="preserve"> </t>
        </is>
      </c>
      <c r="T39" t="inlineStr">
        <is>
          <t>No se encontró ejecución en PIIP</t>
        </is>
      </c>
      <c r="U39" t="inlineStr">
        <is>
          <t xml:space="preserve"> </t>
        </is>
      </c>
      <c r="V39" s="104" t="inlineStr">
        <is>
          <t xml:space="preserve"> </t>
        </is>
      </c>
      <c r="W39" t="inlineStr">
        <is>
          <t>No se encontró ejecución en PIIP</t>
        </is>
      </c>
    </row>
    <row r="40">
      <c r="A40" t="inlineStr">
        <is>
          <t>IP-35</t>
        </is>
      </c>
      <c r="B40" t="inlineStr">
        <is>
          <t>22</t>
        </is>
      </c>
      <c r="C40" t="inlineStr">
        <is>
          <t>Educación</t>
        </is>
      </c>
      <c r="D40" t="inlineStr">
        <is>
          <t>2201</t>
        </is>
      </c>
      <c r="E40" t="inlineStr">
        <is>
          <t>Calidad, cobertura y fortalecimiento de la educación inicial, prescolar, básica y media</t>
        </is>
      </c>
      <c r="F40" t="inlineStr">
        <is>
          <t>2201034</t>
        </is>
      </c>
      <c r="G40" t="inlineStr">
        <is>
          <t>Servicio educativos de promoción del bilingüismo</t>
        </is>
      </c>
      <c r="H40" t="inlineStr">
        <is>
          <t>220103400</t>
        </is>
      </c>
      <c r="I40" t="inlineStr">
        <is>
          <t>Estudiantes beneficiados con estrategias de promoción del bilingüismo</t>
        </is>
      </c>
      <c r="J40" t="inlineStr">
        <is>
          <t>2024257580067</t>
        </is>
      </c>
      <c r="K40" t="inlineStr">
        <is>
          <t>Si</t>
        </is>
      </c>
      <c r="L40" t="inlineStr">
        <is>
          <t>Número</t>
        </is>
      </c>
      <c r="M40">
        <v>400</v>
      </c>
      <c r="N40">
        <v>400</v>
      </c>
      <c r="O40">
        <v>400</v>
      </c>
      <c r="P40">
        <v>400</v>
      </c>
      <c r="Q40">
        <v>400</v>
      </c>
      <c r="R40" t="inlineStr">
        <is>
          <t xml:space="preserve"> </t>
        </is>
      </c>
      <c r="S40" s="103" t="inlineStr">
        <is>
          <t xml:space="preserve"> </t>
        </is>
      </c>
      <c r="T40" t="inlineStr">
        <is>
          <t>No se encontró ejecución en PIIP</t>
        </is>
      </c>
      <c r="U40" t="inlineStr">
        <is>
          <t xml:space="preserve"> </t>
        </is>
      </c>
      <c r="V40" s="104" t="inlineStr">
        <is>
          <t xml:space="preserve"> </t>
        </is>
      </c>
      <c r="W40" t="inlineStr">
        <is>
          <t>No se encontró ejecución en PIIP</t>
        </is>
      </c>
    </row>
    <row r="41">
      <c r="A41" t="inlineStr">
        <is>
          <t>IP-36</t>
        </is>
      </c>
      <c r="B41" t="inlineStr">
        <is>
          <t>22</t>
        </is>
      </c>
      <c r="C41" t="inlineStr">
        <is>
          <t>Educación</t>
        </is>
      </c>
      <c r="D41" t="inlineStr">
        <is>
          <t>2201</t>
        </is>
      </c>
      <c r="E41" t="inlineStr">
        <is>
          <t>Calidad, cobertura y fortalecimiento de la educación inicial, prescolar, básica y media</t>
        </is>
      </c>
      <c r="F41" t="inlineStr">
        <is>
          <t>2201049</t>
        </is>
      </c>
      <c r="G41" t="inlineStr">
        <is>
          <t>Servicio de educación informal</t>
        </is>
      </c>
      <c r="H41" t="inlineStr">
        <is>
          <t>220104907</t>
        </is>
      </c>
      <c r="I41" t="inlineStr">
        <is>
          <t>Padres, madres y cuidadores capacitados</t>
        </is>
      </c>
      <c r="J41" t="inlineStr">
        <is>
          <t>2024257580067</t>
        </is>
      </c>
      <c r="K41" t="inlineStr">
        <is>
          <t>Si</t>
        </is>
      </c>
      <c r="L41" t="inlineStr">
        <is>
          <t>Número</t>
        </is>
      </c>
      <c r="M41">
        <v>200</v>
      </c>
      <c r="N41">
        <v>200</v>
      </c>
      <c r="O41">
        <v>200</v>
      </c>
      <c r="P41">
        <v>200</v>
      </c>
      <c r="Q41">
        <v>200</v>
      </c>
      <c r="R41" t="inlineStr">
        <is>
          <t xml:space="preserve"> </t>
        </is>
      </c>
      <c r="S41" s="103" t="inlineStr">
        <is>
          <t xml:space="preserve"> </t>
        </is>
      </c>
      <c r="T41" t="inlineStr">
        <is>
          <t>No se encontró ejecución en PIIP</t>
        </is>
      </c>
      <c r="U41" t="inlineStr">
        <is>
          <t xml:space="preserve"> </t>
        </is>
      </c>
      <c r="V41" s="104" t="inlineStr">
        <is>
          <t xml:space="preserve"> </t>
        </is>
      </c>
      <c r="W41" t="inlineStr">
        <is>
          <t>No se encontró ejecución en PIIP</t>
        </is>
      </c>
    </row>
    <row r="42">
      <c r="A42" t="inlineStr">
        <is>
          <t>IP-37, IP-40</t>
        </is>
      </c>
      <c r="B42" t="inlineStr">
        <is>
          <t>22</t>
        </is>
      </c>
      <c r="C42" t="inlineStr">
        <is>
          <t>Educación</t>
        </is>
      </c>
      <c r="D42" t="inlineStr">
        <is>
          <t>2202</t>
        </is>
      </c>
      <c r="E42" t="inlineStr">
        <is>
          <t>Calidad y fomento de la educación superior</t>
        </is>
      </c>
      <c r="F42" t="inlineStr">
        <is>
          <t>2202062</t>
        </is>
      </c>
      <c r="G42" t="inlineStr">
        <is>
          <t xml:space="preserve">Servicio de fomento para el acceso a la educación superior </t>
        </is>
      </c>
      <c r="H42" t="inlineStr">
        <is>
          <t>220206200</t>
        </is>
      </c>
      <c r="I42" t="inlineStr">
        <is>
          <t>Beneficiarios de estrategias o programas de  fomento para el acceso a la educación superior</t>
        </is>
      </c>
      <c r="J42" t="inlineStr">
        <is>
          <t>2024257580047</t>
        </is>
      </c>
      <c r="K42" t="inlineStr">
        <is>
          <t>Si</t>
        </is>
      </c>
      <c r="L42" t="inlineStr">
        <is>
          <t>Número</t>
        </is>
      </c>
      <c r="M42">
        <v>402</v>
      </c>
      <c r="N42">
        <v>402</v>
      </c>
      <c r="O42">
        <v>402</v>
      </c>
      <c r="P42">
        <v>402</v>
      </c>
      <c r="Q42">
        <v>402</v>
      </c>
      <c r="R42" t="inlineStr">
        <is>
          <t xml:space="preserve"> </t>
        </is>
      </c>
      <c r="S42" s="103" t="inlineStr">
        <is>
          <t xml:space="preserve"> </t>
        </is>
      </c>
      <c r="T42" t="inlineStr">
        <is>
          <t>No se encontró ejecución en PIIP</t>
        </is>
      </c>
      <c r="U42" t="inlineStr">
        <is>
          <t xml:space="preserve"> </t>
        </is>
      </c>
      <c r="V42" s="104" t="inlineStr">
        <is>
          <t xml:space="preserve"> </t>
        </is>
      </c>
      <c r="W42" t="inlineStr">
        <is>
          <t>No se encontró ejecución en PIIP</t>
        </is>
      </c>
    </row>
    <row r="43">
      <c r="A43" t="inlineStr">
        <is>
          <t>IP-38</t>
        </is>
      </c>
      <c r="B43" t="inlineStr">
        <is>
          <t>22</t>
        </is>
      </c>
      <c r="C43" t="inlineStr">
        <is>
          <t>Educación</t>
        </is>
      </c>
      <c r="D43" t="inlineStr">
        <is>
          <t>2202</t>
        </is>
      </c>
      <c r="E43" t="inlineStr">
        <is>
          <t>Calidad y fomento de la educación superior</t>
        </is>
      </c>
      <c r="F43" t="inlineStr">
        <is>
          <t>2202011</t>
        </is>
      </c>
      <c r="G43" t="inlineStr">
        <is>
          <t>Servicio de mejoramiento de la calidad de la educación para el trabajo y el desarrollo humano</t>
        </is>
      </c>
      <c r="H43" t="inlineStr">
        <is>
          <t>220201100</t>
        </is>
      </c>
      <c r="I43" t="inlineStr">
        <is>
          <t>Procesos para el mejoramiento de la calidad de la educación para el trabajo y el desarrollo humano adelantados</t>
        </is>
      </c>
      <c r="J43" t="inlineStr">
        <is>
          <t>2024257580047</t>
        </is>
      </c>
      <c r="K43" t="inlineStr">
        <is>
          <t>Si</t>
        </is>
      </c>
      <c r="L43" t="inlineStr">
        <is>
          <t>Número</t>
        </is>
      </c>
      <c r="M43">
        <v>1</v>
      </c>
      <c r="N43">
        <v>1</v>
      </c>
      <c r="O43">
        <v>1</v>
      </c>
      <c r="P43">
        <v>1</v>
      </c>
      <c r="Q43">
        <v>1</v>
      </c>
      <c r="R43" t="inlineStr">
        <is>
          <t xml:space="preserve"> </t>
        </is>
      </c>
      <c r="S43" s="103" t="inlineStr">
        <is>
          <t xml:space="preserve"> </t>
        </is>
      </c>
      <c r="T43" t="inlineStr">
        <is>
          <t>No se encontró ejecución en PIIP</t>
        </is>
      </c>
      <c r="U43" t="inlineStr">
        <is>
          <t xml:space="preserve"> </t>
        </is>
      </c>
      <c r="V43" s="104" t="inlineStr">
        <is>
          <t xml:space="preserve"> </t>
        </is>
      </c>
      <c r="W43" t="inlineStr">
        <is>
          <t>No se encontró ejecución en PIIP</t>
        </is>
      </c>
    </row>
    <row r="44">
      <c r="A44" t="inlineStr">
        <is>
          <t>IP-39</t>
        </is>
      </c>
      <c r="B44" t="inlineStr">
        <is>
          <t>22</t>
        </is>
      </c>
      <c r="C44" t="inlineStr">
        <is>
          <t>Educación</t>
        </is>
      </c>
      <c r="D44" t="inlineStr">
        <is>
          <t>2202</t>
        </is>
      </c>
      <c r="E44" t="inlineStr">
        <is>
          <t>Calidad y fomento de la educación superior</t>
        </is>
      </c>
      <c r="F44" t="inlineStr">
        <is>
          <t>2202061</t>
        </is>
      </c>
      <c r="G44" t="inlineStr">
        <is>
          <t xml:space="preserve">Servicio de apoyo financiero para la permanencia a la educación superior </t>
        </is>
      </c>
      <c r="H44" t="inlineStr">
        <is>
          <t>220206100</t>
        </is>
      </c>
      <c r="I44" t="inlineStr">
        <is>
          <t xml:space="preserve">Beneficiarios de estrategias o programas de  apoyo financiero para la permanencia en la educación superior  </t>
        </is>
      </c>
      <c r="J44" t="inlineStr">
        <is>
          <t>2024257580047</t>
        </is>
      </c>
      <c r="K44" t="inlineStr">
        <is>
          <t>Si</t>
        </is>
      </c>
      <c r="L44" t="inlineStr">
        <is>
          <t>Número</t>
        </is>
      </c>
      <c r="M44">
        <v>1</v>
      </c>
      <c r="N44">
        <v>1</v>
      </c>
      <c r="O44">
        <v>1</v>
      </c>
      <c r="P44">
        <v>1</v>
      </c>
      <c r="Q44">
        <v>1</v>
      </c>
      <c r="R44" t="inlineStr">
        <is>
          <t xml:space="preserve"> </t>
        </is>
      </c>
      <c r="S44" s="103" t="inlineStr">
        <is>
          <t xml:space="preserve"> </t>
        </is>
      </c>
      <c r="T44" t="inlineStr">
        <is>
          <t>No se encontró ejecución en PIIP</t>
        </is>
      </c>
      <c r="U44" t="inlineStr">
        <is>
          <t xml:space="preserve"> </t>
        </is>
      </c>
      <c r="V44" s="104" t="inlineStr">
        <is>
          <t xml:space="preserve"> </t>
        </is>
      </c>
      <c r="W44" t="inlineStr">
        <is>
          <t>No se encontró ejecución en PIIP</t>
        </is>
      </c>
    </row>
    <row r="45">
      <c r="A45" t="inlineStr">
        <is>
          <t>IP-41</t>
        </is>
      </c>
      <c r="B45" t="inlineStr">
        <is>
          <t>22</t>
        </is>
      </c>
      <c r="C45" t="inlineStr">
        <is>
          <t>Educación</t>
        </is>
      </c>
      <c r="D45" t="inlineStr">
        <is>
          <t>2202</t>
        </is>
      </c>
      <c r="E45" t="inlineStr">
        <is>
          <t>Calidad y fomento de la educación superior</t>
        </is>
      </c>
      <c r="F45" t="inlineStr">
        <is>
          <t>2202073</t>
        </is>
      </c>
      <c r="G45" t="inlineStr">
        <is>
          <t xml:space="preserve">Servicio de fomento para la regionalización en la educación superior </t>
        </is>
      </c>
      <c r="H45" t="inlineStr">
        <is>
          <t>220207300</t>
        </is>
      </c>
      <c r="I45" t="inlineStr">
        <is>
          <t>Instituciones de educación  superior con acompañamiento en procesos de regionalización</t>
        </is>
      </c>
      <c r="J45" t="inlineStr">
        <is>
          <t>2024257580047</t>
        </is>
      </c>
      <c r="K45" t="inlineStr">
        <is>
          <t>Si</t>
        </is>
      </c>
      <c r="L45" t="inlineStr">
        <is>
          <t>Número</t>
        </is>
      </c>
      <c r="M45">
        <v>2</v>
      </c>
      <c r="N45">
        <v>1</v>
      </c>
      <c r="O45">
        <v>1</v>
      </c>
      <c r="P45">
        <v>2</v>
      </c>
      <c r="Q45">
        <v>2</v>
      </c>
      <c r="R45" t="inlineStr">
        <is>
          <t xml:space="preserve"> </t>
        </is>
      </c>
      <c r="S45" s="103" t="inlineStr">
        <is>
          <t xml:space="preserve"> </t>
        </is>
      </c>
      <c r="T45" t="inlineStr">
        <is>
          <t>No se encontró ejecución en PIIP</t>
        </is>
      </c>
      <c r="U45" t="inlineStr">
        <is>
          <t xml:space="preserve"> </t>
        </is>
      </c>
      <c r="V45" s="104" t="inlineStr">
        <is>
          <t xml:space="preserve"> </t>
        </is>
      </c>
      <c r="W45" t="inlineStr">
        <is>
          <t>No se encontró ejecución en PIIP</t>
        </is>
      </c>
    </row>
    <row r="46">
      <c r="A46" t="inlineStr">
        <is>
          <t>IP-42</t>
        </is>
      </c>
      <c r="B46" t="inlineStr">
        <is>
          <t>22</t>
        </is>
      </c>
      <c r="C46" t="inlineStr">
        <is>
          <t>Educación</t>
        </is>
      </c>
      <c r="D46" t="inlineStr">
        <is>
          <t>2202</t>
        </is>
      </c>
      <c r="E46" t="inlineStr">
        <is>
          <t>Calidad y fomento de la educación superior</t>
        </is>
      </c>
      <c r="F46" t="inlineStr">
        <is>
          <t>2202080</t>
        </is>
      </c>
      <c r="G46" t="inlineStr">
        <is>
          <t>Documentos de investigación</t>
        </is>
      </c>
      <c r="H46" t="inlineStr">
        <is>
          <t>220208000</t>
        </is>
      </c>
      <c r="I46" t="inlineStr">
        <is>
          <t>Documentos de estudios e investigación en educación superior realizados</t>
        </is>
      </c>
      <c r="J46" t="inlineStr">
        <is>
          <t>2024257580047</t>
        </is>
      </c>
      <c r="K46" t="inlineStr">
        <is>
          <t>Si</t>
        </is>
      </c>
      <c r="L46" t="inlineStr">
        <is>
          <t>Número</t>
        </is>
      </c>
      <c r="M46">
        <v>1</v>
      </c>
      <c r="N46">
        <v>0.3</v>
      </c>
      <c r="O46">
        <v>1</v>
      </c>
      <c r="P46">
        <v>0</v>
      </c>
      <c r="Q46">
        <v>0</v>
      </c>
      <c r="R46" t="inlineStr">
        <is>
          <t xml:space="preserve"> </t>
        </is>
      </c>
      <c r="S46" s="103" t="inlineStr">
        <is>
          <t xml:space="preserve"> </t>
        </is>
      </c>
      <c r="T46" t="inlineStr">
        <is>
          <t>No se encontró ejecución en PIIP</t>
        </is>
      </c>
      <c r="U46" t="inlineStr">
        <is>
          <t xml:space="preserve"> </t>
        </is>
      </c>
      <c r="V46" s="104" t="inlineStr">
        <is>
          <t xml:space="preserve"> </t>
        </is>
      </c>
      <c r="W46" t="inlineStr">
        <is>
          <t>No se encontró ejecución en PIIP</t>
        </is>
      </c>
    </row>
    <row r="47">
      <c r="A47" t="inlineStr">
        <is>
          <t>IP-43</t>
        </is>
      </c>
      <c r="B47" t="inlineStr">
        <is>
          <t>19</t>
        </is>
      </c>
      <c r="C47" t="inlineStr">
        <is>
          <t>Salud y protección social</t>
        </is>
      </c>
      <c r="D47" t="inlineStr">
        <is>
          <t>1905</t>
        </is>
      </c>
      <c r="E47" t="inlineStr">
        <is>
          <t>Salud pública</t>
        </is>
      </c>
      <c r="F47" t="inlineStr">
        <is>
          <t>1905015</t>
        </is>
      </c>
      <c r="G47" t="inlineStr">
        <is>
          <t>Documentos de planeación</t>
        </is>
      </c>
      <c r="H47" t="inlineStr">
        <is>
          <t>190501501</t>
        </is>
      </c>
      <c r="I47" t="inlineStr">
        <is>
          <t>Planes de salud pública elaborados</t>
        </is>
      </c>
      <c r="J47" t="inlineStr">
        <is>
          <t>2024257580065</t>
        </is>
      </c>
      <c r="K47" t="inlineStr">
        <is>
          <t>Si</t>
        </is>
      </c>
      <c r="L47" t="inlineStr">
        <is>
          <t>Número</t>
        </is>
      </c>
      <c r="M47">
        <v>1</v>
      </c>
      <c r="N47">
        <v>1</v>
      </c>
      <c r="O47">
        <v>1</v>
      </c>
      <c r="P47">
        <v>1</v>
      </c>
      <c r="Q47">
        <v>1</v>
      </c>
      <c r="R47" t="inlineStr">
        <is>
          <t xml:space="preserve"> </t>
        </is>
      </c>
      <c r="S47" s="103" t="inlineStr">
        <is>
          <t xml:space="preserve"> </t>
        </is>
      </c>
      <c r="T47" t="inlineStr">
        <is>
          <t>No se encontró ejecución en PIIP</t>
        </is>
      </c>
      <c r="U47" t="inlineStr">
        <is>
          <t xml:space="preserve"> </t>
        </is>
      </c>
      <c r="V47" s="104" t="inlineStr">
        <is>
          <t xml:space="preserve"> </t>
        </is>
      </c>
      <c r="W47" t="inlineStr">
        <is>
          <t>No se encontró ejecución en PIIP</t>
        </is>
      </c>
    </row>
    <row r="48">
      <c r="A48" t="inlineStr">
        <is>
          <t>IP-44</t>
        </is>
      </c>
      <c r="B48" t="inlineStr">
        <is>
          <t>19</t>
        </is>
      </c>
      <c r="C48" t="inlineStr">
        <is>
          <t>Salud y protección social</t>
        </is>
      </c>
      <c r="D48" t="inlineStr">
        <is>
          <t>1905</t>
        </is>
      </c>
      <c r="E48" t="inlineStr">
        <is>
          <t>Salud pública</t>
        </is>
      </c>
      <c r="F48" t="inlineStr">
        <is>
          <t>1905035</t>
        </is>
      </c>
      <c r="G48" t="inlineStr">
        <is>
          <t>Servicio de gestión territorial para atención en salud -pandemias- a población afectada por emergencias o desastres</t>
        </is>
      </c>
      <c r="H48" t="inlineStr">
        <is>
          <t>190503505</t>
        </is>
      </c>
      <c r="I48" t="inlineStr">
        <is>
          <t>Estrategias de gestión territorial para atención en salud -pandemias- a población afectada por emergencias o desastres implementadas</t>
        </is>
      </c>
      <c r="J48" t="inlineStr">
        <is>
          <t>2024257580065</t>
        </is>
      </c>
      <c r="K48" t="inlineStr">
        <is>
          <t>Si</t>
        </is>
      </c>
      <c r="L48" t="inlineStr">
        <is>
          <t>Número</t>
        </is>
      </c>
      <c r="M48">
        <v>1</v>
      </c>
      <c r="N48">
        <v>1</v>
      </c>
      <c r="O48">
        <v>1</v>
      </c>
      <c r="P48">
        <v>1</v>
      </c>
      <c r="Q48">
        <v>1</v>
      </c>
      <c r="R48" t="inlineStr">
        <is>
          <t xml:space="preserve"> </t>
        </is>
      </c>
      <c r="S48" s="103" t="inlineStr">
        <is>
          <t xml:space="preserve"> </t>
        </is>
      </c>
      <c r="T48" t="inlineStr">
        <is>
          <t>No se encontró ejecución en PIIP</t>
        </is>
      </c>
      <c r="U48" t="inlineStr">
        <is>
          <t xml:space="preserve"> </t>
        </is>
      </c>
      <c r="V48" s="104" t="inlineStr">
        <is>
          <t xml:space="preserve"> </t>
        </is>
      </c>
      <c r="W48" t="inlineStr">
        <is>
          <t>No se encontró ejecución en PIIP</t>
        </is>
      </c>
    </row>
    <row r="49">
      <c r="A49" t="inlineStr">
        <is>
          <t>IP-45</t>
        </is>
      </c>
      <c r="B49" t="inlineStr">
        <is>
          <t>19</t>
        </is>
      </c>
      <c r="C49" t="inlineStr">
        <is>
          <t>Salud y protección social</t>
        </is>
      </c>
      <c r="D49" t="inlineStr">
        <is>
          <t>1905</t>
        </is>
      </c>
      <c r="E49" t="inlineStr">
        <is>
          <t>Salud pública</t>
        </is>
      </c>
      <c r="F49" t="inlineStr">
        <is>
          <t>1905050</t>
        </is>
      </c>
      <c r="G49" t="inlineStr">
        <is>
          <t>Servicio de asistencia técnica</t>
        </is>
      </c>
      <c r="H49" t="inlineStr">
        <is>
          <t>190505000</t>
        </is>
      </c>
      <c r="I49" t="inlineStr">
        <is>
          <t>Asistencias técnicas realizadas</t>
        </is>
      </c>
      <c r="J49" t="inlineStr">
        <is>
          <t>2024257580065</t>
        </is>
      </c>
      <c r="K49" t="inlineStr">
        <is>
          <t>Si</t>
        </is>
      </c>
      <c r="L49" t="inlineStr">
        <is>
          <t>Número</t>
        </is>
      </c>
      <c r="M49">
        <v>1</v>
      </c>
      <c r="N49">
        <v>1</v>
      </c>
      <c r="O49">
        <v>1</v>
      </c>
      <c r="P49">
        <v>1</v>
      </c>
      <c r="Q49">
        <v>1</v>
      </c>
      <c r="R49" t="inlineStr">
        <is>
          <t xml:space="preserve"> </t>
        </is>
      </c>
      <c r="S49" s="103" t="inlineStr">
        <is>
          <t xml:space="preserve"> </t>
        </is>
      </c>
      <c r="T49" t="inlineStr">
        <is>
          <t>No se encontró ejecución en PIIP</t>
        </is>
      </c>
      <c r="U49" t="inlineStr">
        <is>
          <t xml:space="preserve"> </t>
        </is>
      </c>
      <c r="V49" s="104" t="inlineStr">
        <is>
          <t xml:space="preserve"> </t>
        </is>
      </c>
      <c r="W49" t="inlineStr">
        <is>
          <t>No se encontró ejecución en PIIP</t>
        </is>
      </c>
    </row>
    <row r="50">
      <c r="A50" t="inlineStr">
        <is>
          <t>IP-46</t>
        </is>
      </c>
      <c r="B50" t="inlineStr">
        <is>
          <t>19</t>
        </is>
      </c>
      <c r="C50" t="inlineStr">
        <is>
          <t>Salud y protección social</t>
        </is>
      </c>
      <c r="D50" t="inlineStr">
        <is>
          <t>1905</t>
        </is>
      </c>
      <c r="E50" t="inlineStr">
        <is>
          <t>Salud pública</t>
        </is>
      </c>
      <c r="F50" t="inlineStr">
        <is>
          <t>1905054</t>
        </is>
      </c>
      <c r="G50" t="inlineStr">
        <is>
          <t>Servicio de promoción de la salud</t>
        </is>
      </c>
      <c r="H50" t="inlineStr">
        <is>
          <t>190505400</t>
        </is>
      </c>
      <c r="I50" t="inlineStr">
        <is>
          <t>Estrategias de promoción de la salud implementadas</t>
        </is>
      </c>
      <c r="J50" t="inlineStr">
        <is>
          <t>2024257580065</t>
        </is>
      </c>
      <c r="K50" t="inlineStr">
        <is>
          <t>Si</t>
        </is>
      </c>
      <c r="L50" t="inlineStr">
        <is>
          <t>Número</t>
        </is>
      </c>
      <c r="M50">
        <v>1</v>
      </c>
      <c r="N50">
        <v>1</v>
      </c>
      <c r="O50">
        <v>1</v>
      </c>
      <c r="P50">
        <v>1</v>
      </c>
      <c r="Q50">
        <v>1</v>
      </c>
      <c r="R50" t="inlineStr">
        <is>
          <t xml:space="preserve"> </t>
        </is>
      </c>
      <c r="S50" s="103" t="inlineStr">
        <is>
          <t xml:space="preserve"> </t>
        </is>
      </c>
      <c r="T50" t="inlineStr">
        <is>
          <t>No se encontró ejecución en PIIP</t>
        </is>
      </c>
      <c r="U50" t="inlineStr">
        <is>
          <t xml:space="preserve"> </t>
        </is>
      </c>
      <c r="V50" s="104" t="inlineStr">
        <is>
          <t xml:space="preserve"> </t>
        </is>
      </c>
      <c r="W50" t="inlineStr">
        <is>
          <t>No se encontró ejecución en PIIP</t>
        </is>
      </c>
    </row>
    <row r="51">
      <c r="A51" t="inlineStr">
        <is>
          <t>IP-47</t>
        </is>
      </c>
      <c r="B51" t="inlineStr">
        <is>
          <t>19</t>
        </is>
      </c>
      <c r="C51" t="inlineStr">
        <is>
          <t>Salud y protección social</t>
        </is>
      </c>
      <c r="D51" t="inlineStr">
        <is>
          <t>1905</t>
        </is>
      </c>
      <c r="E51" t="inlineStr">
        <is>
          <t>Salud pública</t>
        </is>
      </c>
      <c r="F51" t="inlineStr">
        <is>
          <t>1905054</t>
        </is>
      </c>
      <c r="G51" t="inlineStr">
        <is>
          <t>Servicio de promoción de la salud</t>
        </is>
      </c>
      <c r="H51" t="inlineStr">
        <is>
          <t>190505401</t>
        </is>
      </c>
      <c r="I51" t="inlineStr">
        <is>
          <t>Personas atendidas con estrategias de promoción de la salud</t>
        </is>
      </c>
      <c r="J51" t="inlineStr">
        <is>
          <t>2024257580065</t>
        </is>
      </c>
      <c r="K51" t="inlineStr">
        <is>
          <t>No</t>
        </is>
      </c>
      <c r="L51" t="inlineStr">
        <is>
          <t>Número</t>
        </is>
      </c>
      <c r="M51">
        <v>18</v>
      </c>
      <c r="N51">
        <v>0</v>
      </c>
      <c r="O51">
        <v>6</v>
      </c>
      <c r="P51">
        <v>6</v>
      </c>
      <c r="Q51">
        <v>6</v>
      </c>
      <c r="R51">
        <v>18000</v>
      </c>
      <c r="S51" s="103" t="inlineStr">
        <is>
          <t xml:space="preserve"> </t>
        </is>
      </c>
      <c r="T51" t="inlineStr">
        <is>
          <t>Se ejecutó un producto no programado en la vigencia</t>
        </is>
      </c>
      <c r="U51">
        <v>0</v>
      </c>
      <c r="V51" s="104">
        <v>0</v>
      </c>
      <c r="W51" t="inlineStr">
        <is>
          <t>No se ejecutó en la vigencia</t>
        </is>
      </c>
    </row>
    <row r="52">
      <c r="A52" t="inlineStr">
        <is>
          <t>IP-48</t>
        </is>
      </c>
      <c r="B52" t="inlineStr">
        <is>
          <t>19</t>
        </is>
      </c>
      <c r="C52" t="inlineStr">
        <is>
          <t>Salud y protección social</t>
        </is>
      </c>
      <c r="D52" t="inlineStr">
        <is>
          <t>1905</t>
        </is>
      </c>
      <c r="E52" t="inlineStr">
        <is>
          <t>Salud pública</t>
        </is>
      </c>
      <c r="F52" t="inlineStr">
        <is>
          <t>1905015</t>
        </is>
      </c>
      <c r="G52" t="inlineStr">
        <is>
          <t>Documentos de planeación</t>
        </is>
      </c>
      <c r="H52" t="inlineStr">
        <is>
          <t>190501506</t>
        </is>
      </c>
      <c r="I52" t="inlineStr">
        <is>
          <t>Documentos de planeación con seguimiento realizados</t>
        </is>
      </c>
      <c r="J52" t="inlineStr">
        <is>
          <t>2024257580065</t>
        </is>
      </c>
      <c r="K52" t="inlineStr">
        <is>
          <t>Si</t>
        </is>
      </c>
      <c r="L52" t="inlineStr">
        <is>
          <t>Número</t>
        </is>
      </c>
      <c r="M52">
        <v>1</v>
      </c>
      <c r="N52">
        <v>1</v>
      </c>
      <c r="O52">
        <v>1</v>
      </c>
      <c r="P52">
        <v>1</v>
      </c>
      <c r="Q52">
        <v>1</v>
      </c>
      <c r="R52" t="inlineStr">
        <is>
          <t xml:space="preserve"> </t>
        </is>
      </c>
      <c r="S52" s="103" t="inlineStr">
        <is>
          <t xml:space="preserve"> </t>
        </is>
      </c>
      <c r="T52" t="inlineStr">
        <is>
          <t>No se encontró ejecución en PIIP</t>
        </is>
      </c>
      <c r="U52" t="inlineStr">
        <is>
          <t xml:space="preserve"> </t>
        </is>
      </c>
      <c r="V52" s="104" t="inlineStr">
        <is>
          <t xml:space="preserve"> </t>
        </is>
      </c>
      <c r="W52" t="inlineStr">
        <is>
          <t>No se encontró ejecución en PIIP</t>
        </is>
      </c>
    </row>
    <row r="53">
      <c r="A53" t="inlineStr">
        <is>
          <t>IP-49</t>
        </is>
      </c>
      <c r="B53" t="inlineStr">
        <is>
          <t>19</t>
        </is>
      </c>
      <c r="C53" t="inlineStr">
        <is>
          <t>Salud y protección social</t>
        </is>
      </c>
      <c r="D53" t="inlineStr">
        <is>
          <t>1905</t>
        </is>
      </c>
      <c r="E53" t="inlineStr">
        <is>
          <t>Salud pública</t>
        </is>
      </c>
      <c r="F53" t="inlineStr">
        <is>
          <t>1905021</t>
        </is>
      </c>
      <c r="G53" t="inlineStr">
        <is>
          <t>Servicio de gestión del riesgo en temas de salud sexual y reproductiva</t>
        </is>
      </c>
      <c r="H53" t="inlineStr">
        <is>
          <t>190502102</t>
        </is>
      </c>
      <c r="I53" t="inlineStr">
        <is>
          <t>Estrategias de gestión del riesgo en temas de salud sexual y reproductiva implementadas</t>
        </is>
      </c>
      <c r="J53" t="inlineStr">
        <is>
          <t>2024257580065</t>
        </is>
      </c>
      <c r="K53" t="inlineStr">
        <is>
          <t>Si</t>
        </is>
      </c>
      <c r="L53" t="inlineStr">
        <is>
          <t>Número</t>
        </is>
      </c>
      <c r="M53">
        <v>1</v>
      </c>
      <c r="N53">
        <v>1</v>
      </c>
      <c r="O53">
        <v>1</v>
      </c>
      <c r="P53">
        <v>1</v>
      </c>
      <c r="Q53">
        <v>1</v>
      </c>
      <c r="R53" t="inlineStr">
        <is>
          <t xml:space="preserve"> </t>
        </is>
      </c>
      <c r="S53" s="103" t="inlineStr">
        <is>
          <t xml:space="preserve"> </t>
        </is>
      </c>
      <c r="T53" t="inlineStr">
        <is>
          <t>No se encontró ejecución en PIIP</t>
        </is>
      </c>
      <c r="U53" t="inlineStr">
        <is>
          <t xml:space="preserve"> </t>
        </is>
      </c>
      <c r="V53" s="104" t="inlineStr">
        <is>
          <t xml:space="preserve"> </t>
        </is>
      </c>
      <c r="W53" t="inlineStr">
        <is>
          <t>No se encontró ejecución en PIIP</t>
        </is>
      </c>
    </row>
    <row r="54">
      <c r="A54" t="inlineStr">
        <is>
          <t>IP-50</t>
        </is>
      </c>
      <c r="B54" t="inlineStr">
        <is>
          <t>19</t>
        </is>
      </c>
      <c r="C54" t="inlineStr">
        <is>
          <t>Salud y protección social</t>
        </is>
      </c>
      <c r="D54" t="inlineStr">
        <is>
          <t>1905</t>
        </is>
      </c>
      <c r="E54" t="inlineStr">
        <is>
          <t>Salud pública</t>
        </is>
      </c>
      <c r="F54" t="inlineStr">
        <is>
          <t>1905027</t>
        </is>
      </c>
      <c r="G54" t="inlineStr">
        <is>
          <t>Servicio de gestión del riesgo para enfermedades inmunoprevenibles</t>
        </is>
      </c>
      <c r="H54" t="inlineStr">
        <is>
          <t>190502702</t>
        </is>
      </c>
      <c r="I54" t="inlineStr">
        <is>
          <t>Estrategias de gestión del riesgo para enfermedades inmunoprevenibles implementadas</t>
        </is>
      </c>
      <c r="J54" t="inlineStr">
        <is>
          <t>2024257580065</t>
        </is>
      </c>
      <c r="K54" t="inlineStr">
        <is>
          <t>Si</t>
        </is>
      </c>
      <c r="L54" t="inlineStr">
        <is>
          <t>Número</t>
        </is>
      </c>
      <c r="M54">
        <v>1</v>
      </c>
      <c r="N54">
        <v>1</v>
      </c>
      <c r="O54">
        <v>1</v>
      </c>
      <c r="P54">
        <v>1</v>
      </c>
      <c r="Q54">
        <v>1</v>
      </c>
      <c r="R54" t="inlineStr">
        <is>
          <t xml:space="preserve"> </t>
        </is>
      </c>
      <c r="S54" s="103" t="inlineStr">
        <is>
          <t xml:space="preserve"> </t>
        </is>
      </c>
      <c r="T54" t="inlineStr">
        <is>
          <t>No se encontró ejecución en PIIP</t>
        </is>
      </c>
      <c r="U54" t="inlineStr">
        <is>
          <t xml:space="preserve"> </t>
        </is>
      </c>
      <c r="V54" s="104" t="inlineStr">
        <is>
          <t xml:space="preserve"> </t>
        </is>
      </c>
      <c r="W54" t="inlineStr">
        <is>
          <t>No se encontró ejecución en PIIP</t>
        </is>
      </c>
    </row>
    <row r="55">
      <c r="A55" t="inlineStr">
        <is>
          <t>IP-51</t>
        </is>
      </c>
      <c r="B55" t="inlineStr">
        <is>
          <t>19</t>
        </is>
      </c>
      <c r="C55" t="inlineStr">
        <is>
          <t>Salud y protección social</t>
        </is>
      </c>
      <c r="D55" t="inlineStr">
        <is>
          <t>1905</t>
        </is>
      </c>
      <c r="E55" t="inlineStr">
        <is>
          <t>Salud pública</t>
        </is>
      </c>
      <c r="F55" t="inlineStr">
        <is>
          <t>1905022</t>
        </is>
      </c>
      <c r="G55" t="inlineStr">
        <is>
          <t>Servicio de gestión del riesgo en temas de trastornos mentales</t>
        </is>
      </c>
      <c r="H55" t="inlineStr">
        <is>
          <t>190502202</t>
        </is>
      </c>
      <c r="I55" t="inlineStr">
        <is>
          <t>Estrategias de gestión del riesgo en temas de trastornos mentales implementadas</t>
        </is>
      </c>
      <c r="J55" t="inlineStr">
        <is>
          <t>2024257580065</t>
        </is>
      </c>
      <c r="K55" t="inlineStr">
        <is>
          <t>Si</t>
        </is>
      </c>
      <c r="L55" t="inlineStr">
        <is>
          <t>Número</t>
        </is>
      </c>
      <c r="M55">
        <v>1</v>
      </c>
      <c r="N55">
        <v>1</v>
      </c>
      <c r="O55">
        <v>1</v>
      </c>
      <c r="P55">
        <v>1</v>
      </c>
      <c r="Q55">
        <v>1</v>
      </c>
      <c r="R55" t="inlineStr">
        <is>
          <t xml:space="preserve"> </t>
        </is>
      </c>
      <c r="S55" s="103" t="inlineStr">
        <is>
          <t xml:space="preserve"> </t>
        </is>
      </c>
      <c r="T55" t="inlineStr">
        <is>
          <t>No se encontró ejecución en PIIP</t>
        </is>
      </c>
      <c r="U55" t="inlineStr">
        <is>
          <t xml:space="preserve"> </t>
        </is>
      </c>
      <c r="V55" s="104" t="inlineStr">
        <is>
          <t xml:space="preserve"> </t>
        </is>
      </c>
      <c r="W55" t="inlineStr">
        <is>
          <t>No se encontró ejecución en PIIP</t>
        </is>
      </c>
    </row>
    <row r="56">
      <c r="A56" t="inlineStr">
        <is>
          <t>IP-52</t>
        </is>
      </c>
      <c r="B56" t="inlineStr">
        <is>
          <t>19</t>
        </is>
      </c>
      <c r="C56" t="inlineStr">
        <is>
          <t>Salud y protección social</t>
        </is>
      </c>
      <c r="D56" t="inlineStr">
        <is>
          <t>1905</t>
        </is>
      </c>
      <c r="E56" t="inlineStr">
        <is>
          <t>Salud pública</t>
        </is>
      </c>
      <c r="F56" t="inlineStr">
        <is>
          <t>1905024</t>
        </is>
      </c>
      <c r="G56" t="inlineStr">
        <is>
          <t>Servicio de gestión del riesgo para abordar situaciones de salud relacionadas con condiciones ambientales</t>
        </is>
      </c>
      <c r="H56" t="inlineStr">
        <is>
          <t>190502402</t>
        </is>
      </c>
      <c r="I56" t="inlineStr">
        <is>
          <t>Estrategias de gestión del riesgo para abordar situaciones de salud relacionadas con condiciones ambientales implementadas</t>
        </is>
      </c>
      <c r="J56" t="inlineStr">
        <is>
          <t>2024257580065</t>
        </is>
      </c>
      <c r="K56" t="inlineStr">
        <is>
          <t>Si</t>
        </is>
      </c>
      <c r="L56" t="inlineStr">
        <is>
          <t>Número</t>
        </is>
      </c>
      <c r="M56">
        <v>2</v>
      </c>
      <c r="N56">
        <v>1</v>
      </c>
      <c r="O56">
        <v>2</v>
      </c>
      <c r="P56">
        <v>2</v>
      </c>
      <c r="Q56">
        <v>2</v>
      </c>
      <c r="R56" t="inlineStr">
        <is>
          <t xml:space="preserve"> </t>
        </is>
      </c>
      <c r="S56" s="103" t="inlineStr">
        <is>
          <t xml:space="preserve"> </t>
        </is>
      </c>
      <c r="T56" t="inlineStr">
        <is>
          <t>No se encontró ejecución en PIIP</t>
        </is>
      </c>
      <c r="U56" t="inlineStr">
        <is>
          <t xml:space="preserve"> </t>
        </is>
      </c>
      <c r="V56" s="104" t="inlineStr">
        <is>
          <t xml:space="preserve"> </t>
        </is>
      </c>
      <c r="W56" t="inlineStr">
        <is>
          <t>No se encontró ejecución en PIIP</t>
        </is>
      </c>
    </row>
    <row r="57">
      <c r="A57" t="inlineStr">
        <is>
          <t>IP-53</t>
        </is>
      </c>
      <c r="B57" t="inlineStr">
        <is>
          <t>19</t>
        </is>
      </c>
      <c r="C57" t="inlineStr">
        <is>
          <t>Salud y protección social</t>
        </is>
      </c>
      <c r="D57" t="inlineStr">
        <is>
          <t>1905</t>
        </is>
      </c>
      <c r="E57" t="inlineStr">
        <is>
          <t>Salud pública</t>
        </is>
      </c>
      <c r="F57" t="inlineStr">
        <is>
          <t>1905025</t>
        </is>
      </c>
      <c r="G57" t="inlineStr">
        <is>
          <t>Servicio de gestión del riesgo para abordar situaciones prevalentes de origen laboral</t>
        </is>
      </c>
      <c r="H57" t="inlineStr">
        <is>
          <t>190502503</t>
        </is>
      </c>
      <c r="I57" t="inlineStr">
        <is>
          <t>Estrategias de gestión del riesgo para abordar situaciones prevalentes de origen laboral implementadas</t>
        </is>
      </c>
      <c r="J57" t="inlineStr">
        <is>
          <t>2024257580065</t>
        </is>
      </c>
      <c r="K57" t="inlineStr">
        <is>
          <t>Si</t>
        </is>
      </c>
      <c r="L57" t="inlineStr">
        <is>
          <t>Número</t>
        </is>
      </c>
      <c r="M57">
        <v>1</v>
      </c>
      <c r="N57">
        <v>1</v>
      </c>
      <c r="O57">
        <v>1</v>
      </c>
      <c r="P57">
        <v>1</v>
      </c>
      <c r="Q57">
        <v>1</v>
      </c>
      <c r="R57" t="inlineStr">
        <is>
          <t xml:space="preserve"> </t>
        </is>
      </c>
      <c r="S57" s="103" t="inlineStr">
        <is>
          <t xml:space="preserve"> </t>
        </is>
      </c>
      <c r="T57" t="inlineStr">
        <is>
          <t>No se encontró ejecución en PIIP</t>
        </is>
      </c>
      <c r="U57" t="inlineStr">
        <is>
          <t xml:space="preserve"> </t>
        </is>
      </c>
      <c r="V57" s="104" t="inlineStr">
        <is>
          <t xml:space="preserve"> </t>
        </is>
      </c>
      <c r="W57" t="inlineStr">
        <is>
          <t>No se encontró ejecución en PIIP</t>
        </is>
      </c>
    </row>
    <row r="58">
      <c r="A58" t="inlineStr">
        <is>
          <t>IP-54, IP-55</t>
        </is>
      </c>
      <c r="B58" t="inlineStr">
        <is>
          <t>19</t>
        </is>
      </c>
      <c r="C58" t="inlineStr">
        <is>
          <t>Salud y protección social</t>
        </is>
      </c>
      <c r="D58" t="inlineStr">
        <is>
          <t>1905</t>
        </is>
      </c>
      <c r="E58" t="inlineStr">
        <is>
          <t>Salud pública</t>
        </is>
      </c>
      <c r="F58" t="inlineStr">
        <is>
          <t>1905028</t>
        </is>
      </c>
      <c r="G58" t="inlineStr">
        <is>
          <t>Servicio de gestión del riesgo para temas de consumo, aprovechamiento biológico, calidad e inocuidad de los alimentos</t>
        </is>
      </c>
      <c r="H58" t="inlineStr">
        <is>
          <t>190502802</t>
        </is>
      </c>
      <c r="I58" t="inlineStr">
        <is>
          <t>Estrategias de gestión para temas de consumo, aprovechamiento biológico, calidad e inocuidad de los alimentos implementadas</t>
        </is>
      </c>
      <c r="J58" t="inlineStr">
        <is>
          <t>2024257580065</t>
        </is>
      </c>
      <c r="K58" t="inlineStr">
        <is>
          <t>Si</t>
        </is>
      </c>
      <c r="L58" t="inlineStr">
        <is>
          <t>Número</t>
        </is>
      </c>
      <c r="M58">
        <v>2</v>
      </c>
      <c r="N58">
        <v>6</v>
      </c>
      <c r="O58">
        <v>11</v>
      </c>
      <c r="P58">
        <v>21</v>
      </c>
      <c r="Q58">
        <v>31</v>
      </c>
      <c r="R58" t="inlineStr">
        <is>
          <t xml:space="preserve"> </t>
        </is>
      </c>
      <c r="S58" s="103" t="inlineStr">
        <is>
          <t xml:space="preserve"> </t>
        </is>
      </c>
      <c r="T58" t="inlineStr">
        <is>
          <t>No se encontró ejecución en PIIP</t>
        </is>
      </c>
      <c r="U58" t="inlineStr">
        <is>
          <t xml:space="preserve"> </t>
        </is>
      </c>
      <c r="V58" s="104" t="inlineStr">
        <is>
          <t xml:space="preserve"> </t>
        </is>
      </c>
      <c r="W58" t="inlineStr">
        <is>
          <t>No se encontró ejecución en PIIP</t>
        </is>
      </c>
    </row>
    <row r="59">
      <c r="A59" t="inlineStr">
        <is>
          <t>IP-56</t>
        </is>
      </c>
      <c r="B59" t="inlineStr">
        <is>
          <t>19</t>
        </is>
      </c>
      <c r="C59" t="inlineStr">
        <is>
          <t>Salud y protección social</t>
        </is>
      </c>
      <c r="D59" t="inlineStr">
        <is>
          <t>1905</t>
        </is>
      </c>
      <c r="E59" t="inlineStr">
        <is>
          <t>Salud pública</t>
        </is>
      </c>
      <c r="F59" t="inlineStr">
        <is>
          <t>1905026</t>
        </is>
      </c>
      <c r="G59" t="inlineStr">
        <is>
          <t>Servicio de gestión del riesgo para enfermedades emergentes, reemergentes y desatendidas</t>
        </is>
      </c>
      <c r="H59" t="inlineStr">
        <is>
          <t>190502602</t>
        </is>
      </c>
      <c r="I59" t="inlineStr">
        <is>
          <t>Estrategias de gestión del riesgo para enfermedades emergentes, reemergentes y desatendidas implementadas</t>
        </is>
      </c>
      <c r="J59" t="inlineStr">
        <is>
          <t>2024257580065</t>
        </is>
      </c>
      <c r="K59" t="inlineStr">
        <is>
          <t>Si</t>
        </is>
      </c>
      <c r="L59" t="inlineStr">
        <is>
          <t>Número</t>
        </is>
      </c>
      <c r="M59">
        <v>1</v>
      </c>
      <c r="N59">
        <v>1</v>
      </c>
      <c r="O59">
        <v>1</v>
      </c>
      <c r="P59">
        <v>1</v>
      </c>
      <c r="Q59">
        <v>1</v>
      </c>
      <c r="R59" t="inlineStr">
        <is>
          <t xml:space="preserve"> </t>
        </is>
      </c>
      <c r="S59" s="103" t="inlineStr">
        <is>
          <t xml:space="preserve"> </t>
        </is>
      </c>
      <c r="T59" t="inlineStr">
        <is>
          <t>No se encontró ejecución en PIIP</t>
        </is>
      </c>
      <c r="U59" t="inlineStr">
        <is>
          <t xml:space="preserve"> </t>
        </is>
      </c>
      <c r="V59" s="104" t="inlineStr">
        <is>
          <t xml:space="preserve"> </t>
        </is>
      </c>
      <c r="W59" t="inlineStr">
        <is>
          <t>No se encontró ejecución en PIIP</t>
        </is>
      </c>
    </row>
    <row r="60">
      <c r="A60" t="inlineStr">
        <is>
          <t>IP-57</t>
        </is>
      </c>
      <c r="B60" t="inlineStr">
        <is>
          <t>19</t>
        </is>
      </c>
      <c r="C60" t="inlineStr">
        <is>
          <t>Salud y protección social</t>
        </is>
      </c>
      <c r="D60" t="inlineStr">
        <is>
          <t>1905</t>
        </is>
      </c>
      <c r="E60" t="inlineStr">
        <is>
          <t>Salud pública</t>
        </is>
      </c>
      <c r="F60" t="inlineStr">
        <is>
          <t>1905049</t>
        </is>
      </c>
      <c r="G60" t="inlineStr">
        <is>
          <t>Servicio de promoción de la participación social en salud</t>
        </is>
      </c>
      <c r="H60" t="inlineStr">
        <is>
          <t>190504900</t>
        </is>
      </c>
      <c r="I60" t="inlineStr">
        <is>
          <t>Estrategias de promoción de la participación social en salud implementadas</t>
        </is>
      </c>
      <c r="J60" t="inlineStr">
        <is>
          <t>2024257580065</t>
        </is>
      </c>
      <c r="K60" t="inlineStr">
        <is>
          <t>Si</t>
        </is>
      </c>
      <c r="L60" t="inlineStr">
        <is>
          <t>Número</t>
        </is>
      </c>
      <c r="M60">
        <v>4</v>
      </c>
      <c r="N60">
        <v>4</v>
      </c>
      <c r="O60">
        <v>4</v>
      </c>
      <c r="P60">
        <v>4</v>
      </c>
      <c r="Q60">
        <v>4</v>
      </c>
      <c r="R60" t="inlineStr">
        <is>
          <t xml:space="preserve"> </t>
        </is>
      </c>
      <c r="S60" s="103" t="inlineStr">
        <is>
          <t xml:space="preserve"> </t>
        </is>
      </c>
      <c r="T60" t="inlineStr">
        <is>
          <t>No se encontró ejecución en PIIP</t>
        </is>
      </c>
      <c r="U60" t="inlineStr">
        <is>
          <t xml:space="preserve"> </t>
        </is>
      </c>
      <c r="V60" s="104" t="inlineStr">
        <is>
          <t xml:space="preserve"> </t>
        </is>
      </c>
      <c r="W60" t="inlineStr">
        <is>
          <t>No se encontró ejecución en PIIP</t>
        </is>
      </c>
    </row>
    <row r="61">
      <c r="A61" t="inlineStr">
        <is>
          <t>IP-58</t>
        </is>
      </c>
      <c r="B61" t="inlineStr">
        <is>
          <t>19</t>
        </is>
      </c>
      <c r="C61" t="inlineStr">
        <is>
          <t>Salud y protección social</t>
        </is>
      </c>
      <c r="D61" t="inlineStr">
        <is>
          <t>1905</t>
        </is>
      </c>
      <c r="E61" t="inlineStr">
        <is>
          <t>Salud pública</t>
        </is>
      </c>
      <c r="F61" t="inlineStr">
        <is>
          <t>1905052</t>
        </is>
      </c>
      <c r="G61" t="inlineStr">
        <is>
          <t>Servicios de información implementados</t>
        </is>
      </c>
      <c r="H61" t="inlineStr">
        <is>
          <t>190505200</t>
        </is>
      </c>
      <c r="I61" t="inlineStr">
        <is>
          <t>Sistemas de información implementados</t>
        </is>
      </c>
      <c r="J61" t="inlineStr">
        <is>
          <t>2024257580065</t>
        </is>
      </c>
      <c r="K61" t="inlineStr">
        <is>
          <t>Si</t>
        </is>
      </c>
      <c r="L61" t="inlineStr">
        <is>
          <t>Número</t>
        </is>
      </c>
      <c r="M61">
        <v>1</v>
      </c>
      <c r="N61">
        <v>1</v>
      </c>
      <c r="O61">
        <v>1</v>
      </c>
      <c r="P61">
        <v>1</v>
      </c>
      <c r="Q61">
        <v>1</v>
      </c>
      <c r="R61" t="inlineStr">
        <is>
          <t xml:space="preserve"> </t>
        </is>
      </c>
      <c r="S61" s="103" t="inlineStr">
        <is>
          <t xml:space="preserve"> </t>
        </is>
      </c>
      <c r="T61" t="inlineStr">
        <is>
          <t>No se encontró ejecución en PIIP</t>
        </is>
      </c>
      <c r="U61" t="inlineStr">
        <is>
          <t xml:space="preserve"> </t>
        </is>
      </c>
      <c r="V61" s="104" t="inlineStr">
        <is>
          <t xml:space="preserve"> </t>
        </is>
      </c>
      <c r="W61" t="inlineStr">
        <is>
          <t>No se encontró ejecución en PIIP</t>
        </is>
      </c>
    </row>
    <row r="62">
      <c r="A62" t="inlineStr">
        <is>
          <t>IP-59</t>
        </is>
      </c>
      <c r="B62" t="inlineStr">
        <is>
          <t>19</t>
        </is>
      </c>
      <c r="C62" t="inlineStr">
        <is>
          <t>Salud y protección social</t>
        </is>
      </c>
      <c r="D62" t="inlineStr">
        <is>
          <t>1906</t>
        </is>
      </c>
      <c r="E62" t="inlineStr">
        <is>
          <t>Aseguramiento y prestación integral de servicios de salud</t>
        </is>
      </c>
      <c r="F62" t="inlineStr">
        <is>
          <t>1906004</t>
        </is>
      </c>
      <c r="G62" t="inlineStr">
        <is>
          <t>Servicio de atención en salud a la población</t>
        </is>
      </c>
      <c r="H62" t="inlineStr">
        <is>
          <t>190600400</t>
        </is>
      </c>
      <c r="I62" t="inlineStr">
        <is>
          <t>Personas atendidas con servicio de salud</t>
        </is>
      </c>
      <c r="J62" t="inlineStr">
        <is>
          <t>2024257580053</t>
        </is>
      </c>
      <c r="K62" t="inlineStr">
        <is>
          <t>Si</t>
        </is>
      </c>
      <c r="L62" t="inlineStr">
        <is>
          <t>Número</t>
        </is>
      </c>
      <c r="M62">
        <v>1</v>
      </c>
      <c r="N62">
        <v>1</v>
      </c>
      <c r="O62">
        <v>1</v>
      </c>
      <c r="P62">
        <v>1</v>
      </c>
      <c r="Q62">
        <v>1</v>
      </c>
      <c r="R62" t="inlineStr">
        <is>
          <t xml:space="preserve"> </t>
        </is>
      </c>
      <c r="S62" s="103" t="inlineStr">
        <is>
          <t xml:space="preserve"> </t>
        </is>
      </c>
      <c r="T62" t="inlineStr">
        <is>
          <t>No se encontró ejecución en PIIP</t>
        </is>
      </c>
      <c r="U62" t="inlineStr">
        <is>
          <t xml:space="preserve"> </t>
        </is>
      </c>
      <c r="V62" s="104" t="inlineStr">
        <is>
          <t xml:space="preserve"> </t>
        </is>
      </c>
      <c r="W62" t="inlineStr">
        <is>
          <t>No se encontró ejecución en PIIP</t>
        </is>
      </c>
    </row>
    <row r="63">
      <c r="A63" t="inlineStr">
        <is>
          <t>IP-60</t>
        </is>
      </c>
      <c r="B63" t="inlineStr">
        <is>
          <t>19</t>
        </is>
      </c>
      <c r="C63" t="inlineStr">
        <is>
          <t>Salud y protección social</t>
        </is>
      </c>
      <c r="D63" t="inlineStr">
        <is>
          <t>1906</t>
        </is>
      </c>
      <c r="E63" t="inlineStr">
        <is>
          <t>Aseguramiento y prestación integral de servicios de salud</t>
        </is>
      </c>
      <c r="F63" t="inlineStr">
        <is>
          <t>1906001</t>
        </is>
      </c>
      <c r="G63" t="inlineStr">
        <is>
          <t>Hospitales de primer nivel de atención adecuados</t>
        </is>
      </c>
      <c r="H63" t="inlineStr">
        <is>
          <t>190600100</t>
        </is>
      </c>
      <c r="I63" t="inlineStr">
        <is>
          <t>Hospitales de primer nivel de atención adecuados</t>
        </is>
      </c>
      <c r="J63" t="inlineStr">
        <is>
          <t>2024257580053</t>
        </is>
      </c>
      <c r="K63" t="inlineStr">
        <is>
          <t>Si</t>
        </is>
      </c>
      <c r="L63" t="inlineStr">
        <is>
          <t>Número</t>
        </is>
      </c>
      <c r="M63">
        <v>1</v>
      </c>
      <c r="N63">
        <v>1</v>
      </c>
      <c r="O63">
        <v>1</v>
      </c>
      <c r="P63">
        <v>1</v>
      </c>
      <c r="Q63">
        <v>1</v>
      </c>
      <c r="R63" t="inlineStr">
        <is>
          <t xml:space="preserve"> </t>
        </is>
      </c>
      <c r="S63" s="103" t="inlineStr">
        <is>
          <t xml:space="preserve"> </t>
        </is>
      </c>
      <c r="T63" t="inlineStr">
        <is>
          <t>No se encontró ejecución en PIIP</t>
        </is>
      </c>
      <c r="U63" t="inlineStr">
        <is>
          <t xml:space="preserve"> </t>
        </is>
      </c>
      <c r="V63" s="104" t="inlineStr">
        <is>
          <t xml:space="preserve"> </t>
        </is>
      </c>
      <c r="W63" t="inlineStr">
        <is>
          <t>No se encontró ejecución en PIIP</t>
        </is>
      </c>
    </row>
    <row r="64">
      <c r="A64" t="inlineStr">
        <is>
          <t>IP-61</t>
        </is>
      </c>
      <c r="B64" t="inlineStr">
        <is>
          <t>19</t>
        </is>
      </c>
      <c r="C64" t="inlineStr">
        <is>
          <t>Salud y protección social</t>
        </is>
      </c>
      <c r="D64" t="inlineStr">
        <is>
          <t>1906</t>
        </is>
      </c>
      <c r="E64" t="inlineStr">
        <is>
          <t>Aseguramiento y prestación integral de servicios de salud</t>
        </is>
      </c>
      <c r="F64" t="inlineStr">
        <is>
          <t>1906032</t>
        </is>
      </c>
      <c r="G64" t="inlineStr">
        <is>
          <t>Servicio de promoción de afiliaciones al régimen contributivo del Sistema General de Seguridad Social de las personas con capacidad de pago</t>
        </is>
      </c>
      <c r="H64" t="inlineStr">
        <is>
          <t>190603200</t>
        </is>
      </c>
      <c r="I64" t="inlineStr">
        <is>
          <t>Personas con capacidad de pago afiliadas</t>
        </is>
      </c>
      <c r="J64" t="inlineStr">
        <is>
          <t>2024257580053</t>
        </is>
      </c>
      <c r="K64" t="inlineStr">
        <is>
          <t>Si</t>
        </is>
      </c>
      <c r="L64" t="inlineStr">
        <is>
          <t>Número</t>
        </is>
      </c>
      <c r="M64">
        <v>18159</v>
      </c>
      <c r="N64">
        <v>18159</v>
      </c>
      <c r="O64">
        <v>18159</v>
      </c>
      <c r="P64">
        <v>18159</v>
      </c>
      <c r="Q64">
        <v>18159</v>
      </c>
      <c r="R64" t="inlineStr">
        <is>
          <t xml:space="preserve"> </t>
        </is>
      </c>
      <c r="S64" s="103" t="inlineStr">
        <is>
          <t xml:space="preserve"> </t>
        </is>
      </c>
      <c r="T64" t="inlineStr">
        <is>
          <t>No se encontró ejecución en PIIP</t>
        </is>
      </c>
      <c r="U64" t="inlineStr">
        <is>
          <t xml:space="preserve"> </t>
        </is>
      </c>
      <c r="V64" s="104" t="inlineStr">
        <is>
          <t xml:space="preserve"> </t>
        </is>
      </c>
      <c r="W64" t="inlineStr">
        <is>
          <t>No se encontró ejecución en PIIP</t>
        </is>
      </c>
    </row>
    <row r="65">
      <c r="A65" t="inlineStr">
        <is>
          <t>IP-62</t>
        </is>
      </c>
      <c r="B65" t="inlineStr">
        <is>
          <t>19</t>
        </is>
      </c>
      <c r="C65" t="inlineStr">
        <is>
          <t>Salud y protección social</t>
        </is>
      </c>
      <c r="D65" t="inlineStr">
        <is>
          <t>1906</t>
        </is>
      </c>
      <c r="E65" t="inlineStr">
        <is>
          <t>Aseguramiento y prestación integral de servicios de salud</t>
        </is>
      </c>
      <c r="F65" t="inlineStr">
        <is>
          <t>1906044</t>
        </is>
      </c>
      <c r="G65" t="inlineStr">
        <is>
          <t>Servicio de afiliaciones al régimen subsidiado del Sistema General de Seguridad Social</t>
        </is>
      </c>
      <c r="H65" t="inlineStr">
        <is>
          <t>190604400</t>
        </is>
      </c>
      <c r="I65" t="inlineStr">
        <is>
          <t>Personas afiliadas al régimen subsidiado</t>
        </is>
      </c>
      <c r="J65" t="inlineStr">
        <is>
          <t>2024257580053</t>
        </is>
      </c>
      <c r="K65" t="inlineStr">
        <is>
          <t>Si</t>
        </is>
      </c>
      <c r="L65" t="inlineStr">
        <is>
          <t>Número</t>
        </is>
      </c>
      <c r="M65">
        <v>100</v>
      </c>
      <c r="N65">
        <v>100</v>
      </c>
      <c r="O65">
        <v>100</v>
      </c>
      <c r="P65">
        <v>100</v>
      </c>
      <c r="Q65">
        <v>100</v>
      </c>
      <c r="R65" t="inlineStr">
        <is>
          <t xml:space="preserve"> </t>
        </is>
      </c>
      <c r="S65" s="103" t="inlineStr">
        <is>
          <t xml:space="preserve"> </t>
        </is>
      </c>
      <c r="T65" t="inlineStr">
        <is>
          <t>No se encontró ejecución en PIIP</t>
        </is>
      </c>
      <c r="U65" t="inlineStr">
        <is>
          <t xml:space="preserve"> </t>
        </is>
      </c>
      <c r="V65" s="104" t="inlineStr">
        <is>
          <t xml:space="preserve"> </t>
        </is>
      </c>
      <c r="W65" t="inlineStr">
        <is>
          <t>No se encontró ejecución en PIIP</t>
        </is>
      </c>
    </row>
    <row r="66">
      <c r="A66" t="inlineStr">
        <is>
          <t>IP-63</t>
        </is>
      </c>
      <c r="B66" t="inlineStr">
        <is>
          <t>19</t>
        </is>
      </c>
      <c r="C66" t="inlineStr">
        <is>
          <t>Salud y protección social</t>
        </is>
      </c>
      <c r="D66" t="inlineStr">
        <is>
          <t>1903</t>
        </is>
      </c>
      <c r="E66" t="inlineStr">
        <is>
          <t>Inspección, vigilancia y control</t>
        </is>
      </c>
      <c r="F66" t="inlineStr">
        <is>
          <t>1903023</t>
        </is>
      </c>
      <c r="G66" t="inlineStr">
        <is>
          <t>Servicio de asistencia técnica en inspección, vigilancia y control</t>
        </is>
      </c>
      <c r="H66" t="inlineStr">
        <is>
          <t>190302300</t>
        </is>
      </c>
      <c r="I66" t="inlineStr">
        <is>
          <t>asistencias técnica en Inspección, Vigilancia y Control realizadas</t>
        </is>
      </c>
      <c r="J66" t="inlineStr">
        <is>
          <t>2024257580059</t>
        </is>
      </c>
      <c r="K66" t="inlineStr">
        <is>
          <t>Si</t>
        </is>
      </c>
      <c r="L66" t="inlineStr">
        <is>
          <t>Número</t>
        </is>
      </c>
      <c r="M66">
        <v>100</v>
      </c>
      <c r="N66">
        <v>100</v>
      </c>
      <c r="O66">
        <v>100</v>
      </c>
      <c r="P66">
        <v>100</v>
      </c>
      <c r="Q66">
        <v>100</v>
      </c>
      <c r="R66" t="inlineStr">
        <is>
          <t xml:space="preserve"> </t>
        </is>
      </c>
      <c r="S66" s="103" t="inlineStr">
        <is>
          <t xml:space="preserve"> </t>
        </is>
      </c>
      <c r="T66" t="inlineStr">
        <is>
          <t>No se encontró ejecución en PIIP</t>
        </is>
      </c>
      <c r="U66" t="inlineStr">
        <is>
          <t xml:space="preserve"> </t>
        </is>
      </c>
      <c r="V66" s="104" t="inlineStr">
        <is>
          <t xml:space="preserve"> </t>
        </is>
      </c>
      <c r="W66" t="inlineStr">
        <is>
          <t>No se encontró ejecución en PIIP</t>
        </is>
      </c>
    </row>
    <row r="67">
      <c r="A67" t="inlineStr">
        <is>
          <t>IP-64</t>
        </is>
      </c>
      <c r="B67" t="inlineStr">
        <is>
          <t>19</t>
        </is>
      </c>
      <c r="C67" t="inlineStr">
        <is>
          <t>Salud y protección social</t>
        </is>
      </c>
      <c r="D67" t="inlineStr">
        <is>
          <t>1903</t>
        </is>
      </c>
      <c r="E67" t="inlineStr">
        <is>
          <t>Inspección, vigilancia y control</t>
        </is>
      </c>
      <c r="F67" t="inlineStr">
        <is>
          <t>1903025</t>
        </is>
      </c>
      <c r="G67" t="inlineStr">
        <is>
          <t>Servicio de implementación de estrategias para el fortalecimiento del control social en salud</t>
        </is>
      </c>
      <c r="H67" t="inlineStr">
        <is>
          <t>190302500</t>
        </is>
      </c>
      <c r="I67" t="inlineStr">
        <is>
          <t>estrategias para el fortalecimiento del control social en salud implementadas</t>
        </is>
      </c>
      <c r="J67" t="inlineStr">
        <is>
          <t>2024257580059</t>
        </is>
      </c>
      <c r="K67" t="inlineStr">
        <is>
          <t>No</t>
        </is>
      </c>
      <c r="L67" t="inlineStr">
        <is>
          <t>Número</t>
        </is>
      </c>
      <c r="M67">
        <v>8</v>
      </c>
      <c r="N67">
        <v>2</v>
      </c>
      <c r="O67">
        <v>2</v>
      </c>
      <c r="P67">
        <v>2</v>
      </c>
      <c r="Q67">
        <v>2</v>
      </c>
      <c r="R67" t="inlineStr">
        <is>
          <t xml:space="preserve"> </t>
        </is>
      </c>
      <c r="S67" s="103" t="inlineStr">
        <is>
          <t xml:space="preserve"> </t>
        </is>
      </c>
      <c r="T67" t="inlineStr">
        <is>
          <t>No se encontró ejecución en PIIP</t>
        </is>
      </c>
      <c r="U67" t="inlineStr">
        <is>
          <t xml:space="preserve"> </t>
        </is>
      </c>
      <c r="V67" s="104" t="inlineStr">
        <is>
          <t xml:space="preserve"> </t>
        </is>
      </c>
      <c r="W67" t="inlineStr">
        <is>
          <t>No se encontró ejecución en PIIP</t>
        </is>
      </c>
    </row>
    <row r="68">
      <c r="A68" t="inlineStr">
        <is>
          <t>IP-65</t>
        </is>
      </c>
      <c r="B68" t="inlineStr">
        <is>
          <t>41</t>
        </is>
      </c>
      <c r="C68" t="inlineStr">
        <is>
          <t xml:space="preserve">Inclusión social y reconciliación </t>
        </is>
      </c>
      <c r="D68" t="inlineStr">
        <is>
          <t>4102</t>
        </is>
      </c>
      <c r="E68" t="inlineStr">
        <is>
          <t>Desarrollo integral de la primera infancia a la juventud, y fortalecimiento de las capacidades de las familias de niñas, niños y adolescentes</t>
        </is>
      </c>
      <c r="F68" t="inlineStr">
        <is>
          <t>4102035</t>
        </is>
      </c>
      <c r="G68" t="inlineStr">
        <is>
          <t>Documentos de lineamientos técnicos</t>
        </is>
      </c>
      <c r="H68" t="inlineStr">
        <is>
          <t>410203501</t>
        </is>
      </c>
      <c r="I68" t="inlineStr">
        <is>
          <t>Documentos de lineamientos técnicos en Política y Atención Integral de niños, niñas y adolescentes realizados</t>
        </is>
      </c>
      <c r="J68" t="inlineStr">
        <is>
          <t>2024257580069</t>
        </is>
      </c>
      <c r="K68" t="inlineStr">
        <is>
          <t>Si</t>
        </is>
      </c>
      <c r="L68" t="inlineStr">
        <is>
          <t>Número</t>
        </is>
      </c>
      <c r="M68">
        <v>1</v>
      </c>
      <c r="N68">
        <v>0</v>
      </c>
      <c r="O68">
        <v>1</v>
      </c>
      <c r="P68">
        <v>1</v>
      </c>
      <c r="Q68">
        <v>1</v>
      </c>
      <c r="R68" t="inlineStr">
        <is>
          <t xml:space="preserve"> </t>
        </is>
      </c>
      <c r="S68" s="103" t="inlineStr">
        <is>
          <t xml:space="preserve"> </t>
        </is>
      </c>
      <c r="T68" t="inlineStr">
        <is>
          <t>No se encontró ejecución en PIIP</t>
        </is>
      </c>
      <c r="U68" t="inlineStr">
        <is>
          <t xml:space="preserve"> </t>
        </is>
      </c>
      <c r="V68" s="104" t="inlineStr">
        <is>
          <t xml:space="preserve"> </t>
        </is>
      </c>
      <c r="W68" t="inlineStr">
        <is>
          <t>No se encontró ejecución en PIIP</t>
        </is>
      </c>
    </row>
    <row r="69">
      <c r="A69" t="inlineStr">
        <is>
          <t>IP-66</t>
        </is>
      </c>
      <c r="B69" t="inlineStr">
        <is>
          <t>41</t>
        </is>
      </c>
      <c r="C69" t="inlineStr">
        <is>
          <t xml:space="preserve">Inclusión social y reconciliación </t>
        </is>
      </c>
      <c r="D69" t="inlineStr">
        <is>
          <t>4102</t>
        </is>
      </c>
      <c r="E69" t="inlineStr">
        <is>
          <t>Desarrollo integral de la primera infancia a la juventud, y fortalecimiento de las capacidades de las familias de niñas, niños y adolescentes</t>
        </is>
      </c>
      <c r="F69" t="inlineStr">
        <is>
          <t>4102001</t>
        </is>
      </c>
      <c r="G69" t="inlineStr">
        <is>
          <t>Servicio de atención integral a la primera infancia</t>
        </is>
      </c>
      <c r="H69" t="inlineStr">
        <is>
          <t>410200101</t>
        </is>
      </c>
      <c r="I69" t="inlineStr">
        <is>
          <t>Niños y niñas atendidos con servicio integrales en salud</t>
        </is>
      </c>
      <c r="J69" t="inlineStr">
        <is>
          <t>2024257580069</t>
        </is>
      </c>
      <c r="K69" t="inlineStr">
        <is>
          <t>Si</t>
        </is>
      </c>
      <c r="L69" t="inlineStr">
        <is>
          <t>Número</t>
        </is>
      </c>
      <c r="M69">
        <v>320</v>
      </c>
      <c r="N69">
        <v>320</v>
      </c>
      <c r="O69">
        <v>320</v>
      </c>
      <c r="P69">
        <v>320</v>
      </c>
      <c r="Q69">
        <v>320</v>
      </c>
      <c r="R69" t="inlineStr">
        <is>
          <t xml:space="preserve"> </t>
        </is>
      </c>
      <c r="S69" s="103" t="inlineStr">
        <is>
          <t xml:space="preserve"> </t>
        </is>
      </c>
      <c r="T69" t="inlineStr">
        <is>
          <t>No se encontró ejecución en PIIP</t>
        </is>
      </c>
      <c r="U69" t="inlineStr">
        <is>
          <t xml:space="preserve"> </t>
        </is>
      </c>
      <c r="V69" s="104" t="inlineStr">
        <is>
          <t xml:space="preserve"> </t>
        </is>
      </c>
      <c r="W69" t="inlineStr">
        <is>
          <t>No se encontró ejecución en PIIP</t>
        </is>
      </c>
    </row>
    <row r="70">
      <c r="A70" t="inlineStr">
        <is>
          <t>IP-67</t>
        </is>
      </c>
      <c r="B70" t="inlineStr">
        <is>
          <t>41</t>
        </is>
      </c>
      <c r="C70" t="inlineStr">
        <is>
          <t xml:space="preserve">Inclusión social y reconciliación </t>
        </is>
      </c>
      <c r="D70" t="inlineStr">
        <is>
          <t>4102</t>
        </is>
      </c>
      <c r="E70" t="inlineStr">
        <is>
          <t>Desarrollo integral de la primera infancia a la juventud, y fortalecimiento de las capacidades de las familias de niñas, niños y adolescentes</t>
        </is>
      </c>
      <c r="F70" t="inlineStr">
        <is>
          <t>4102003</t>
        </is>
      </c>
      <c r="G70" t="inlineStr">
        <is>
          <t>Servicio de educación informal a los agentes educativos</t>
        </is>
      </c>
      <c r="H70" t="inlineStr">
        <is>
          <t>410200300</t>
        </is>
      </c>
      <c r="I70" t="inlineStr">
        <is>
          <t>Agentes educativos cualificados</t>
        </is>
      </c>
      <c r="J70" t="inlineStr">
        <is>
          <t>2024257580069</t>
        </is>
      </c>
      <c r="K70" t="inlineStr">
        <is>
          <t>Si</t>
        </is>
      </c>
      <c r="L70" t="inlineStr">
        <is>
          <t>Número</t>
        </is>
      </c>
      <c r="M70">
        <v>33</v>
      </c>
      <c r="N70">
        <v>0</v>
      </c>
      <c r="O70">
        <v>33</v>
      </c>
      <c r="P70">
        <v>33</v>
      </c>
      <c r="Q70">
        <v>33</v>
      </c>
      <c r="R70" t="inlineStr">
        <is>
          <t xml:space="preserve"> </t>
        </is>
      </c>
      <c r="S70" s="103" t="inlineStr">
        <is>
          <t xml:space="preserve"> </t>
        </is>
      </c>
      <c r="T70" t="inlineStr">
        <is>
          <t>No se encontró ejecución en PIIP</t>
        </is>
      </c>
      <c r="U70" t="inlineStr">
        <is>
          <t xml:space="preserve"> </t>
        </is>
      </c>
      <c r="V70" s="104" t="inlineStr">
        <is>
          <t xml:space="preserve"> </t>
        </is>
      </c>
      <c r="W70" t="inlineStr">
        <is>
          <t>No se encontró ejecución en PIIP</t>
        </is>
      </c>
    </row>
    <row r="71">
      <c r="A71" t="inlineStr">
        <is>
          <t>IP-68</t>
        </is>
      </c>
      <c r="B71" t="inlineStr">
        <is>
          <t>41</t>
        </is>
      </c>
      <c r="C71" t="inlineStr">
        <is>
          <t xml:space="preserve">Inclusión social y reconciliación </t>
        </is>
      </c>
      <c r="D71" t="inlineStr">
        <is>
          <t>4102</t>
        </is>
      </c>
      <c r="E71" t="inlineStr">
        <is>
          <t>Desarrollo integral de la primera infancia a la juventud, y fortalecimiento de las capacidades de las familias de niñas, niños y adolescentes</t>
        </is>
      </c>
      <c r="F71" t="inlineStr">
        <is>
          <t>4102001</t>
        </is>
      </c>
      <c r="G71" t="inlineStr">
        <is>
          <t>Servicio de atención integral a la primera infancia</t>
        </is>
      </c>
      <c r="H71" t="inlineStr">
        <is>
          <t>410200100</t>
        </is>
      </c>
      <c r="I71" t="inlineStr">
        <is>
          <t>Niños y niñas atendidos en Servicio integrales</t>
        </is>
      </c>
      <c r="J71" t="inlineStr">
        <is>
          <t>2024257580069</t>
        </is>
      </c>
      <c r="K71" t="inlineStr">
        <is>
          <t>Si</t>
        </is>
      </c>
      <c r="L71" t="inlineStr">
        <is>
          <t>Número</t>
        </is>
      </c>
      <c r="M71">
        <v>60</v>
      </c>
      <c r="N71">
        <v>60</v>
      </c>
      <c r="O71">
        <v>60</v>
      </c>
      <c r="P71">
        <v>60</v>
      </c>
      <c r="Q71">
        <v>60</v>
      </c>
      <c r="R71">
        <v>361</v>
      </c>
      <c r="S71" s="103">
        <v>6.01666666666667</v>
      </c>
      <c r="T71" t="inlineStr">
        <is>
          <t>Hubo ejecución por encima de lo programado en SisPT</t>
        </is>
      </c>
      <c r="U71">
        <v>0</v>
      </c>
      <c r="V71" s="104">
        <v>0</v>
      </c>
      <c r="W71" t="inlineStr">
        <is>
          <t>No se ejecutó en la vigencia</t>
        </is>
      </c>
    </row>
    <row r="72">
      <c r="A72" t="inlineStr">
        <is>
          <t>IP-69</t>
        </is>
      </c>
      <c r="B72" t="inlineStr">
        <is>
          <t>41</t>
        </is>
      </c>
      <c r="C72" t="inlineStr">
        <is>
          <t xml:space="preserve">Inclusión social y reconciliación </t>
        </is>
      </c>
      <c r="D72" t="inlineStr">
        <is>
          <t>4102</t>
        </is>
      </c>
      <c r="E72" t="inlineStr">
        <is>
          <t>Desarrollo integral de la primera infancia a la juventud, y fortalecimiento de las capacidades de las familias de niñas, niños y adolescentes</t>
        </is>
      </c>
      <c r="F72" t="inlineStr">
        <is>
          <t>4102043</t>
        </is>
      </c>
      <c r="G72" t="inlineStr">
        <is>
          <t>Servicio de promoción de temas de dinámica relacional y desarrollo autónomo</t>
        </is>
      </c>
      <c r="H72" t="inlineStr">
        <is>
          <t>410204300</t>
        </is>
      </c>
      <c r="I72" t="inlineStr">
        <is>
          <t>Familias atendidas</t>
        </is>
      </c>
      <c r="J72" t="inlineStr">
        <is>
          <t>2024257580069</t>
        </is>
      </c>
      <c r="K72" t="inlineStr">
        <is>
          <t>Si</t>
        </is>
      </c>
      <c r="L72" t="inlineStr">
        <is>
          <t>Número</t>
        </is>
      </c>
      <c r="M72">
        <v>250</v>
      </c>
      <c r="N72">
        <v>150</v>
      </c>
      <c r="O72">
        <v>190</v>
      </c>
      <c r="P72">
        <v>220</v>
      </c>
      <c r="Q72">
        <v>250</v>
      </c>
      <c r="R72" t="inlineStr">
        <is>
          <t xml:space="preserve"> </t>
        </is>
      </c>
      <c r="S72" s="103" t="inlineStr">
        <is>
          <t xml:space="preserve"> </t>
        </is>
      </c>
      <c r="T72" t="inlineStr">
        <is>
          <t>No se encontró ejecución en PIIP</t>
        </is>
      </c>
      <c r="U72" t="inlineStr">
        <is>
          <t xml:space="preserve"> </t>
        </is>
      </c>
      <c r="V72" s="104" t="inlineStr">
        <is>
          <t xml:space="preserve"> </t>
        </is>
      </c>
      <c r="W72" t="inlineStr">
        <is>
          <t>No se encontró ejecución en PIIP</t>
        </is>
      </c>
    </row>
    <row r="73">
      <c r="A73" t="inlineStr">
        <is>
          <t>IP-70</t>
        </is>
      </c>
      <c r="B73" t="inlineStr">
        <is>
          <t>41</t>
        </is>
      </c>
      <c r="C73" t="inlineStr">
        <is>
          <t xml:space="preserve">Inclusión social y reconciliación </t>
        </is>
      </c>
      <c r="D73" t="inlineStr">
        <is>
          <t>4102</t>
        </is>
      </c>
      <c r="E73" t="inlineStr">
        <is>
          <t>Desarrollo integral de la primera infancia a la juventud, y fortalecimiento de las capacidades de las familias de niñas, niños y adolescentes</t>
        </is>
      </c>
      <c r="F73" t="inlineStr">
        <is>
          <t>4102046</t>
        </is>
      </c>
      <c r="G73" t="inlineStr">
        <is>
          <t>Servicios de promoción de los derechos de los niños, niñas, adolescentes y jóvenes</t>
        </is>
      </c>
      <c r="H73" t="inlineStr">
        <is>
          <t>410204600</t>
        </is>
      </c>
      <c r="I73" t="inlineStr">
        <is>
          <t>Campañas de promoción realizadas</t>
        </is>
      </c>
      <c r="J73" t="inlineStr">
        <is>
          <t>2024257580069</t>
        </is>
      </c>
      <c r="K73" t="inlineStr">
        <is>
          <t>Si</t>
        </is>
      </c>
      <c r="L73" t="inlineStr">
        <is>
          <t>Número</t>
        </is>
      </c>
      <c r="M73">
        <v>4</v>
      </c>
      <c r="N73">
        <v>4</v>
      </c>
      <c r="O73">
        <v>4</v>
      </c>
      <c r="P73">
        <v>4</v>
      </c>
      <c r="Q73">
        <v>4</v>
      </c>
      <c r="R73" t="inlineStr">
        <is>
          <t xml:space="preserve"> </t>
        </is>
      </c>
      <c r="S73" s="103" t="inlineStr">
        <is>
          <t xml:space="preserve"> </t>
        </is>
      </c>
      <c r="T73" t="inlineStr">
        <is>
          <t>No se encontró ejecución en PIIP</t>
        </is>
      </c>
      <c r="U73" t="inlineStr">
        <is>
          <t xml:space="preserve"> </t>
        </is>
      </c>
      <c r="V73" s="104" t="inlineStr">
        <is>
          <t xml:space="preserve"> </t>
        </is>
      </c>
      <c r="W73" t="inlineStr">
        <is>
          <t>No se encontró ejecución en PIIP</t>
        </is>
      </c>
    </row>
    <row r="74">
      <c r="A74" t="inlineStr">
        <is>
          <t>IP-71</t>
        </is>
      </c>
      <c r="B74" t="inlineStr">
        <is>
          <t>41</t>
        </is>
      </c>
      <c r="C74" t="inlineStr">
        <is>
          <t xml:space="preserve">Inclusión social y reconciliación </t>
        </is>
      </c>
      <c r="D74" t="inlineStr">
        <is>
          <t>4102</t>
        </is>
      </c>
      <c r="E74" t="inlineStr">
        <is>
          <t>Desarrollo integral de la primera infancia a la juventud, y fortalecimiento de las capacidades de las familias de niñas, niños y adolescentes</t>
        </is>
      </c>
      <c r="F74" t="inlineStr">
        <is>
          <t>4102052</t>
        </is>
      </c>
      <c r="G74" t="inlineStr">
        <is>
          <t>Servicio de protección integral a niños, niñas, adolescentes y jóvenes</t>
        </is>
      </c>
      <c r="H74" t="inlineStr">
        <is>
          <t>410205201</t>
        </is>
      </c>
      <c r="I74" t="inlineStr">
        <is>
          <t>Niños, niñas, adolescentes y jóvenes beneficiados con acciones de restablecimiento de derechos</t>
        </is>
      </c>
      <c r="J74" t="inlineStr">
        <is>
          <t>2024257580069</t>
        </is>
      </c>
      <c r="K74" t="inlineStr">
        <is>
          <t>Si</t>
        </is>
      </c>
      <c r="L74" t="inlineStr">
        <is>
          <t>Número</t>
        </is>
      </c>
      <c r="M74">
        <v>100</v>
      </c>
      <c r="N74">
        <v>100</v>
      </c>
      <c r="O74">
        <v>100</v>
      </c>
      <c r="P74">
        <v>100</v>
      </c>
      <c r="Q74">
        <v>100</v>
      </c>
      <c r="R74" t="inlineStr">
        <is>
          <t xml:space="preserve"> </t>
        </is>
      </c>
      <c r="S74" s="103" t="inlineStr">
        <is>
          <t xml:space="preserve"> </t>
        </is>
      </c>
      <c r="T74" t="inlineStr">
        <is>
          <t>No se encontró ejecución en PIIP</t>
        </is>
      </c>
      <c r="U74" t="inlineStr">
        <is>
          <t xml:space="preserve"> </t>
        </is>
      </c>
      <c r="V74" s="104" t="inlineStr">
        <is>
          <t xml:space="preserve"> </t>
        </is>
      </c>
      <c r="W74" t="inlineStr">
        <is>
          <t>No se encontró ejecución en PIIP</t>
        </is>
      </c>
    </row>
    <row r="75">
      <c r="A75" t="inlineStr">
        <is>
          <t>IP-72, IP-73, IP-81</t>
        </is>
      </c>
      <c r="B75" t="inlineStr">
        <is>
          <t>41</t>
        </is>
      </c>
      <c r="C75" t="inlineStr">
        <is>
          <t xml:space="preserve">Inclusión social y reconciliación </t>
        </is>
      </c>
      <c r="D75" t="inlineStr">
        <is>
          <t>4102</t>
        </is>
      </c>
      <c r="E75" t="inlineStr">
        <is>
          <t>Desarrollo integral de la primera infancia a la juventud, y fortalecimiento de las capacidades de las familias de niñas, niños y adolescentes</t>
        </is>
      </c>
      <c r="F75" t="inlineStr">
        <is>
          <t>4102046</t>
        </is>
      </c>
      <c r="G75" t="inlineStr">
        <is>
          <t>Servicios de promoción de los derechos de los niños, niñas, adolescentes y jóvenes</t>
        </is>
      </c>
      <c r="H75" t="inlineStr">
        <is>
          <t>410204600</t>
        </is>
      </c>
      <c r="I75" t="inlineStr">
        <is>
          <t>Campañas de promoción realizadas</t>
        </is>
      </c>
      <c r="J75" t="inlineStr">
        <is>
          <t>2024257580028</t>
        </is>
      </c>
      <c r="K75" t="inlineStr">
        <is>
          <t>Si</t>
        </is>
      </c>
      <c r="L75" t="inlineStr">
        <is>
          <t>Número</t>
        </is>
      </c>
      <c r="M75">
        <v>7</v>
      </c>
      <c r="N75">
        <v>6</v>
      </c>
      <c r="O75">
        <v>7</v>
      </c>
      <c r="P75">
        <v>7</v>
      </c>
      <c r="Q75">
        <v>7</v>
      </c>
      <c r="R75" t="inlineStr">
        <is>
          <t xml:space="preserve"> </t>
        </is>
      </c>
      <c r="S75" s="103" t="inlineStr">
        <is>
          <t xml:space="preserve"> </t>
        </is>
      </c>
      <c r="T75" t="inlineStr">
        <is>
          <t>No se encontró ejecución en PIIP</t>
        </is>
      </c>
      <c r="U75" t="inlineStr">
        <is>
          <t xml:space="preserve"> </t>
        </is>
      </c>
      <c r="V75" s="104" t="inlineStr">
        <is>
          <t xml:space="preserve"> </t>
        </is>
      </c>
      <c r="W75" t="inlineStr">
        <is>
          <t>No se encontró ejecución en PIIP</t>
        </is>
      </c>
    </row>
    <row r="76">
      <c r="A76" t="inlineStr">
        <is>
          <t>IP-74</t>
        </is>
      </c>
      <c r="B76" t="inlineStr">
        <is>
          <t>41</t>
        </is>
      </c>
      <c r="C76" t="inlineStr">
        <is>
          <t xml:space="preserve">Inclusión social y reconciliación </t>
        </is>
      </c>
      <c r="D76" t="inlineStr">
        <is>
          <t>4102</t>
        </is>
      </c>
      <c r="E76" t="inlineStr">
        <is>
          <t>Desarrollo integral de la primera infancia a la juventud, y fortalecimiento de las capacidades de las familias de niñas, niños y adolescentes</t>
        </is>
      </c>
      <c r="F76" t="inlineStr">
        <is>
          <t>4102052</t>
        </is>
      </c>
      <c r="G76" t="inlineStr">
        <is>
          <t>Servicio de protección integral a niños, niñas, adolescentes y jóvenes</t>
        </is>
      </c>
      <c r="H76" t="inlineStr">
        <is>
          <t>410205200</t>
        </is>
      </c>
      <c r="I76" t="inlineStr">
        <is>
          <t>Niños, niñas, adolescentes y jóvenes beneficiados</t>
        </is>
      </c>
      <c r="J76" t="inlineStr">
        <is>
          <t>2024257580028</t>
        </is>
      </c>
      <c r="K76" t="inlineStr">
        <is>
          <t>Si</t>
        </is>
      </c>
      <c r="L76" t="inlineStr">
        <is>
          <t>Número</t>
        </is>
      </c>
      <c r="M76">
        <v>1</v>
      </c>
      <c r="N76">
        <v>1</v>
      </c>
      <c r="O76">
        <v>1</v>
      </c>
      <c r="P76">
        <v>1</v>
      </c>
      <c r="Q76">
        <v>1</v>
      </c>
      <c r="R76" t="inlineStr">
        <is>
          <t xml:space="preserve"> </t>
        </is>
      </c>
      <c r="S76" s="103" t="inlineStr">
        <is>
          <t xml:space="preserve"> </t>
        </is>
      </c>
      <c r="T76" t="inlineStr">
        <is>
          <t>No se encontró ejecución en PIIP</t>
        </is>
      </c>
      <c r="U76" t="inlineStr">
        <is>
          <t xml:space="preserve"> </t>
        </is>
      </c>
      <c r="V76" s="104" t="inlineStr">
        <is>
          <t xml:space="preserve"> </t>
        </is>
      </c>
      <c r="W76" t="inlineStr">
        <is>
          <t>No se encontró ejecución en PIIP</t>
        </is>
      </c>
    </row>
    <row r="77">
      <c r="A77" t="inlineStr">
        <is>
          <t>IP-75</t>
        </is>
      </c>
      <c r="B77" t="inlineStr">
        <is>
          <t>41</t>
        </is>
      </c>
      <c r="C77" t="inlineStr">
        <is>
          <t xml:space="preserve">Inclusión social y reconciliación </t>
        </is>
      </c>
      <c r="D77" t="inlineStr">
        <is>
          <t>4102</t>
        </is>
      </c>
      <c r="E77" t="inlineStr">
        <is>
          <t>Desarrollo integral de la primera infancia a la juventud, y fortalecimiento de las capacidades de las familias de niñas, niños y adolescentes</t>
        </is>
      </c>
      <c r="F77" t="inlineStr">
        <is>
          <t>4102043</t>
        </is>
      </c>
      <c r="G77" t="inlineStr">
        <is>
          <t>Servicio de promoción de temas de dinámica relacional y desarrollo autónomo</t>
        </is>
      </c>
      <c r="H77" t="inlineStr">
        <is>
          <t>410204300</t>
        </is>
      </c>
      <c r="I77" t="inlineStr">
        <is>
          <t>Familias atendidas</t>
        </is>
      </c>
      <c r="J77" t="inlineStr">
        <is>
          <t>2024257580028</t>
        </is>
      </c>
      <c r="K77" t="inlineStr">
        <is>
          <t>Si</t>
        </is>
      </c>
      <c r="L77" t="inlineStr">
        <is>
          <t>Número</t>
        </is>
      </c>
      <c r="M77">
        <v>500</v>
      </c>
      <c r="N77">
        <v>150</v>
      </c>
      <c r="O77">
        <v>260</v>
      </c>
      <c r="P77">
        <v>380</v>
      </c>
      <c r="Q77">
        <v>500</v>
      </c>
      <c r="R77" t="inlineStr">
        <is>
          <t xml:space="preserve"> </t>
        </is>
      </c>
      <c r="S77" s="103" t="inlineStr">
        <is>
          <t xml:space="preserve"> </t>
        </is>
      </c>
      <c r="T77" t="inlineStr">
        <is>
          <t>No se encontró ejecución en PIIP</t>
        </is>
      </c>
      <c r="U77" t="inlineStr">
        <is>
          <t xml:space="preserve"> </t>
        </is>
      </c>
      <c r="V77" s="104" t="inlineStr">
        <is>
          <t xml:space="preserve"> </t>
        </is>
      </c>
      <c r="W77" t="inlineStr">
        <is>
          <t>No se encontró ejecución en PIIP</t>
        </is>
      </c>
    </row>
    <row r="78">
      <c r="A78" t="inlineStr">
        <is>
          <t>IP-76</t>
        </is>
      </c>
      <c r="B78" t="inlineStr">
        <is>
          <t>41</t>
        </is>
      </c>
      <c r="C78" t="inlineStr">
        <is>
          <t xml:space="preserve">Inclusión social y reconciliación </t>
        </is>
      </c>
      <c r="D78" t="inlineStr">
        <is>
          <t>4102</t>
        </is>
      </c>
      <c r="E78" t="inlineStr">
        <is>
          <t>Desarrollo integral de la primera infancia a la juventud, y fortalecimiento de las capacidades de las familias de niñas, niños y adolescentes</t>
        </is>
      </c>
      <c r="F78" t="inlineStr">
        <is>
          <t>4102042</t>
        </is>
      </c>
      <c r="G78" t="inlineStr">
        <is>
          <t>Servicio de asistencia técnica a comunidades en temas de fortalecimiento del tejido social y construcción de escenarios comunitarios protectores de derechos</t>
        </is>
      </c>
      <c r="H78" t="inlineStr">
        <is>
          <t>410204200</t>
        </is>
      </c>
      <c r="I78" t="inlineStr">
        <is>
          <t>Acciones ejecutadas con las comunidades</t>
        </is>
      </c>
      <c r="J78" t="inlineStr">
        <is>
          <t>2024257580025</t>
        </is>
      </c>
      <c r="K78" t="inlineStr">
        <is>
          <t>Si</t>
        </is>
      </c>
      <c r="L78" t="inlineStr">
        <is>
          <t>Número</t>
        </is>
      </c>
      <c r="M78">
        <v>1</v>
      </c>
      <c r="N78">
        <v>1</v>
      </c>
      <c r="O78">
        <v>1</v>
      </c>
      <c r="P78">
        <v>1</v>
      </c>
      <c r="Q78">
        <v>1</v>
      </c>
      <c r="R78" t="inlineStr">
        <is>
          <t xml:space="preserve"> </t>
        </is>
      </c>
      <c r="S78" s="103" t="inlineStr">
        <is>
          <t xml:space="preserve"> </t>
        </is>
      </c>
      <c r="T78" t="inlineStr">
        <is>
          <t>No se encontró ejecución en PIIP</t>
        </is>
      </c>
      <c r="U78" t="inlineStr">
        <is>
          <t xml:space="preserve"> </t>
        </is>
      </c>
      <c r="V78" s="104" t="inlineStr">
        <is>
          <t xml:space="preserve"> </t>
        </is>
      </c>
      <c r="W78" t="inlineStr">
        <is>
          <t>No se encontró ejecución en PIIP</t>
        </is>
      </c>
    </row>
    <row r="79">
      <c r="A79" t="inlineStr">
        <is>
          <t>IP-77</t>
        </is>
      </c>
      <c r="B79" t="inlineStr">
        <is>
          <t>41</t>
        </is>
      </c>
      <c r="C79" t="inlineStr">
        <is>
          <t xml:space="preserve">Inclusión social y reconciliación </t>
        </is>
      </c>
      <c r="D79" t="inlineStr">
        <is>
          <t>4102</t>
        </is>
      </c>
      <c r="E79" t="inlineStr">
        <is>
          <t>Desarrollo integral de la primera infancia a la juventud, y fortalecimiento de las capacidades de las familias de niñas, niños y adolescentes</t>
        </is>
      </c>
      <c r="F79" t="inlineStr">
        <is>
          <t>4102002</t>
        </is>
      </c>
      <c r="G79" t="inlineStr">
        <is>
          <t>Servicio de atención tradicional a la primera infancia</t>
        </is>
      </c>
      <c r="H79" t="inlineStr">
        <is>
          <t>410200200</t>
        </is>
      </c>
      <c r="I79" t="inlineStr">
        <is>
          <t>Niños y niñas atendidos en Servicio tradicionales</t>
        </is>
      </c>
      <c r="J79" t="inlineStr">
        <is>
          <t>2024257580028</t>
        </is>
      </c>
      <c r="K79" t="inlineStr">
        <is>
          <t>Si</t>
        </is>
      </c>
      <c r="L79" t="inlineStr">
        <is>
          <t>Número</t>
        </is>
      </c>
      <c r="M79">
        <v>5</v>
      </c>
      <c r="N79">
        <v>5</v>
      </c>
      <c r="O79">
        <v>5</v>
      </c>
      <c r="P79">
        <v>5</v>
      </c>
      <c r="Q79">
        <v>5</v>
      </c>
      <c r="R79" t="inlineStr">
        <is>
          <t xml:space="preserve"> </t>
        </is>
      </c>
      <c r="S79" s="103" t="inlineStr">
        <is>
          <t xml:space="preserve"> </t>
        </is>
      </c>
      <c r="T79" t="inlineStr">
        <is>
          <t>No se encontró ejecución en PIIP</t>
        </is>
      </c>
      <c r="U79" t="inlineStr">
        <is>
          <t xml:space="preserve"> </t>
        </is>
      </c>
      <c r="V79" s="104" t="inlineStr">
        <is>
          <t xml:space="preserve"> </t>
        </is>
      </c>
      <c r="W79" t="inlineStr">
        <is>
          <t>No se encontró ejecución en PIIP</t>
        </is>
      </c>
    </row>
    <row r="80">
      <c r="A80" t="inlineStr">
        <is>
          <t>IP-78</t>
        </is>
      </c>
      <c r="B80" t="inlineStr">
        <is>
          <t>41</t>
        </is>
      </c>
      <c r="C80" t="inlineStr">
        <is>
          <t xml:space="preserve">Inclusión social y reconciliación </t>
        </is>
      </c>
      <c r="D80" t="inlineStr">
        <is>
          <t>4102</t>
        </is>
      </c>
      <c r="E80" t="inlineStr">
        <is>
          <t>Desarrollo integral de la primera infancia a la juventud, y fortalecimiento de las capacidades de las familias de niñas, niños y adolescentes</t>
        </is>
      </c>
      <c r="F80" t="inlineStr">
        <is>
          <t>4102043</t>
        </is>
      </c>
      <c r="G80" t="inlineStr">
        <is>
          <t>Servicio de promoción de temas de dinámica relacional y desarrollo autónomo</t>
        </is>
      </c>
      <c r="H80" t="inlineStr">
        <is>
          <t>410204301</t>
        </is>
      </c>
      <c r="I80" t="inlineStr">
        <is>
          <t>Niños, niñas y adolescentes atendidos</t>
        </is>
      </c>
      <c r="J80" t="inlineStr">
        <is>
          <t>2024257580028</t>
        </is>
      </c>
      <c r="K80" t="inlineStr">
        <is>
          <t>Si</t>
        </is>
      </c>
      <c r="L80" t="inlineStr">
        <is>
          <t>Número</t>
        </is>
      </c>
      <c r="M80">
        <v>3</v>
      </c>
      <c r="N80">
        <v>3</v>
      </c>
      <c r="O80">
        <v>3</v>
      </c>
      <c r="P80">
        <v>3</v>
      </c>
      <c r="Q80">
        <v>3</v>
      </c>
      <c r="R80" t="inlineStr">
        <is>
          <t xml:space="preserve"> </t>
        </is>
      </c>
      <c r="S80" s="103" t="inlineStr">
        <is>
          <t xml:space="preserve"> </t>
        </is>
      </c>
      <c r="T80" t="inlineStr">
        <is>
          <t>No se encontró ejecución en PIIP</t>
        </is>
      </c>
      <c r="U80" t="inlineStr">
        <is>
          <t xml:space="preserve"> </t>
        </is>
      </c>
      <c r="V80" s="104" t="inlineStr">
        <is>
          <t xml:space="preserve"> </t>
        </is>
      </c>
      <c r="W80" t="inlineStr">
        <is>
          <t>No se encontró ejecución en PIIP</t>
        </is>
      </c>
    </row>
    <row r="81">
      <c r="A81" t="inlineStr">
        <is>
          <t>IP-79</t>
        </is>
      </c>
      <c r="B81" t="inlineStr">
        <is>
          <t>41</t>
        </is>
      </c>
      <c r="C81" t="inlineStr">
        <is>
          <t xml:space="preserve">Inclusión social y reconciliación </t>
        </is>
      </c>
      <c r="D81" t="inlineStr">
        <is>
          <t>4102</t>
        </is>
      </c>
      <c r="E81" t="inlineStr">
        <is>
          <t>Desarrollo integral de la primera infancia a la juventud, y fortalecimiento de las capacidades de las familias de niñas, niños y adolescentes</t>
        </is>
      </c>
      <c r="F81" t="inlineStr">
        <is>
          <t>4102042</t>
        </is>
      </c>
      <c r="G81" t="inlineStr">
        <is>
          <t>Servicio de asistencia técnica a comunidades en temas de fortalecimiento del tejido social y construcción de escenarios comunitarios protectores de derechos</t>
        </is>
      </c>
      <c r="H81" t="inlineStr">
        <is>
          <t>410204200</t>
        </is>
      </c>
      <c r="I81" t="inlineStr">
        <is>
          <t>Acciones ejecutadas con las comunidades</t>
        </is>
      </c>
      <c r="J81" t="inlineStr">
        <is>
          <t>2024257580028</t>
        </is>
      </c>
      <c r="K81" t="inlineStr">
        <is>
          <t>No</t>
        </is>
      </c>
      <c r="L81" t="inlineStr">
        <is>
          <t>Número</t>
        </is>
      </c>
      <c r="M81">
        <v>40</v>
      </c>
      <c r="N81">
        <v>10</v>
      </c>
      <c r="O81">
        <v>10</v>
      </c>
      <c r="P81">
        <v>10</v>
      </c>
      <c r="Q81">
        <v>10</v>
      </c>
      <c r="R81" t="inlineStr">
        <is>
          <t xml:space="preserve"> </t>
        </is>
      </c>
      <c r="S81" s="103" t="inlineStr">
        <is>
          <t xml:space="preserve"> </t>
        </is>
      </c>
      <c r="T81" t="inlineStr">
        <is>
          <t>No se encontró ejecución en PIIP</t>
        </is>
      </c>
      <c r="U81" t="inlineStr">
        <is>
          <t xml:space="preserve"> </t>
        </is>
      </c>
      <c r="V81" s="104" t="inlineStr">
        <is>
          <t xml:space="preserve"> </t>
        </is>
      </c>
      <c r="W81" t="inlineStr">
        <is>
          <t>No se encontró ejecución en PIIP</t>
        </is>
      </c>
    </row>
    <row r="82">
      <c r="A82" t="inlineStr">
        <is>
          <t>IP-80</t>
        </is>
      </c>
      <c r="B82" t="inlineStr">
        <is>
          <t>41</t>
        </is>
      </c>
      <c r="C82" t="inlineStr">
        <is>
          <t xml:space="preserve">Inclusión social y reconciliación </t>
        </is>
      </c>
      <c r="D82" t="inlineStr">
        <is>
          <t>4102</t>
        </is>
      </c>
      <c r="E82" t="inlineStr">
        <is>
          <t>Desarrollo integral de la primera infancia a la juventud, y fortalecimiento de las capacidades de las familias de niñas, niños y adolescentes</t>
        </is>
      </c>
      <c r="F82" t="inlineStr">
        <is>
          <t>4102040</t>
        </is>
      </c>
      <c r="G82" t="inlineStr">
        <is>
          <t>Documentos metodológicos</t>
        </is>
      </c>
      <c r="H82" t="inlineStr">
        <is>
          <t>410204000</t>
        </is>
      </c>
      <c r="I82" t="inlineStr">
        <is>
          <t>Documentos metodológicos realizados</t>
        </is>
      </c>
      <c r="J82" t="inlineStr">
        <is>
          <t>2024257580028</t>
        </is>
      </c>
      <c r="K82" t="inlineStr">
        <is>
          <t>Si</t>
        </is>
      </c>
      <c r="L82" t="inlineStr">
        <is>
          <t>Número</t>
        </is>
      </c>
      <c r="M82">
        <v>30</v>
      </c>
      <c r="N82">
        <v>2</v>
      </c>
      <c r="O82">
        <v>10</v>
      </c>
      <c r="P82">
        <v>20</v>
      </c>
      <c r="Q82">
        <v>30</v>
      </c>
      <c r="R82" t="inlineStr">
        <is>
          <t xml:space="preserve"> </t>
        </is>
      </c>
      <c r="S82" s="103" t="inlineStr">
        <is>
          <t xml:space="preserve"> </t>
        </is>
      </c>
      <c r="T82" t="inlineStr">
        <is>
          <t>No se encontró ejecución en PIIP</t>
        </is>
      </c>
      <c r="U82" t="inlineStr">
        <is>
          <t xml:space="preserve"> </t>
        </is>
      </c>
      <c r="V82" s="104" t="inlineStr">
        <is>
          <t xml:space="preserve"> </t>
        </is>
      </c>
      <c r="W82" t="inlineStr">
        <is>
          <t>No se encontró ejecución en PIIP</t>
        </is>
      </c>
    </row>
    <row r="83">
      <c r="A83" t="inlineStr">
        <is>
          <t>IP-82</t>
        </is>
      </c>
      <c r="B83" t="inlineStr">
        <is>
          <t>41</t>
        </is>
      </c>
      <c r="C83" t="inlineStr">
        <is>
          <t xml:space="preserve">Inclusión social y reconciliación </t>
        </is>
      </c>
      <c r="D83" t="inlineStr">
        <is>
          <t>4102</t>
        </is>
      </c>
      <c r="E83" t="inlineStr">
        <is>
          <t>Desarrollo integral de la primera infancia a la juventud, y fortalecimiento de las capacidades de las familias de niñas, niños y adolescentes</t>
        </is>
      </c>
      <c r="F83" t="inlineStr">
        <is>
          <t>4102047</t>
        </is>
      </c>
      <c r="G83" t="inlineStr">
        <is>
          <t>Servicios de asistencia técnica en políticas públicas de infancia, adolescencia y juventud</t>
        </is>
      </c>
      <c r="H83" t="inlineStr">
        <is>
          <t>410204700</t>
        </is>
      </c>
      <c r="I83" t="inlineStr">
        <is>
          <t>Agentes de la institucionalidad de infancia, adolescencia y juventud  asistidos técnicamente</t>
        </is>
      </c>
      <c r="J83" t="inlineStr">
        <is>
          <t>2024257580028</t>
        </is>
      </c>
      <c r="K83" t="inlineStr">
        <is>
          <t>Si</t>
        </is>
      </c>
      <c r="L83" t="inlineStr">
        <is>
          <t>Número</t>
        </is>
      </c>
      <c r="M83">
        <v>6</v>
      </c>
      <c r="N83">
        <v>3</v>
      </c>
      <c r="O83">
        <v>6</v>
      </c>
      <c r="P83">
        <v>6</v>
      </c>
      <c r="Q83">
        <v>6</v>
      </c>
      <c r="R83" t="inlineStr">
        <is>
          <t xml:space="preserve"> </t>
        </is>
      </c>
      <c r="S83" s="103" t="inlineStr">
        <is>
          <t xml:space="preserve"> </t>
        </is>
      </c>
      <c r="T83" t="inlineStr">
        <is>
          <t>No se encontró ejecución en PIIP</t>
        </is>
      </c>
      <c r="U83" t="inlineStr">
        <is>
          <t xml:space="preserve"> </t>
        </is>
      </c>
      <c r="V83" s="104" t="inlineStr">
        <is>
          <t xml:space="preserve"> </t>
        </is>
      </c>
      <c r="W83" t="inlineStr">
        <is>
          <t>No se encontró ejecución en PIIP</t>
        </is>
      </c>
    </row>
    <row r="84">
      <c r="A84" t="inlineStr">
        <is>
          <t>IP-83, IP-85, IP-86</t>
        </is>
      </c>
      <c r="B84" t="inlineStr">
        <is>
          <t>41</t>
        </is>
      </c>
      <c r="C84" t="inlineStr">
        <is>
          <t xml:space="preserve">Inclusión social y reconciliación </t>
        </is>
      </c>
      <c r="D84" t="inlineStr">
        <is>
          <t>4102</t>
        </is>
      </c>
      <c r="E84" t="inlineStr">
        <is>
          <t>Desarrollo integral de la primera infancia a la juventud, y fortalecimiento de las capacidades de las familias de niñas, niños y adolescentes</t>
        </is>
      </c>
      <c r="F84" t="inlineStr">
        <is>
          <t>4102038</t>
        </is>
      </c>
      <c r="G84" t="inlineStr">
        <is>
          <t>Servicio dirigidos a la atención de niños, niñas, adolescentes y jóvenes, con enfoque pedagógico y restaurativo encaminados a la inclusión social</t>
        </is>
      </c>
      <c r="H84" t="inlineStr">
        <is>
          <t>410203800</t>
        </is>
      </c>
      <c r="I84" t="inlineStr">
        <is>
          <t>Niños, niñas, adolescentes y jóvenes atendidios en los servicios de restablecimiento en la administración de justicia</t>
        </is>
      </c>
      <c r="J84" t="inlineStr">
        <is>
          <t>2024257580025</t>
        </is>
      </c>
      <c r="K84" t="inlineStr">
        <is>
          <t>Si</t>
        </is>
      </c>
      <c r="L84" t="inlineStr">
        <is>
          <t>Número</t>
        </is>
      </c>
      <c r="M84">
        <v>3</v>
      </c>
      <c r="N84">
        <v>3</v>
      </c>
      <c r="O84">
        <v>3</v>
      </c>
      <c r="P84">
        <v>3</v>
      </c>
      <c r="Q84">
        <v>3</v>
      </c>
      <c r="R84" t="inlineStr">
        <is>
          <t xml:space="preserve"> </t>
        </is>
      </c>
      <c r="S84" s="103" t="inlineStr">
        <is>
          <t xml:space="preserve"> </t>
        </is>
      </c>
      <c r="T84" t="inlineStr">
        <is>
          <t>No se encontró ejecución en PIIP</t>
        </is>
      </c>
      <c r="U84" t="inlineStr">
        <is>
          <t xml:space="preserve"> </t>
        </is>
      </c>
      <c r="V84" s="104" t="inlineStr">
        <is>
          <t xml:space="preserve"> </t>
        </is>
      </c>
      <c r="W84" t="inlineStr">
        <is>
          <t>No se encontró ejecución en PIIP</t>
        </is>
      </c>
    </row>
    <row r="85">
      <c r="A85" t="inlineStr">
        <is>
          <t>IP-84</t>
        </is>
      </c>
      <c r="B85" t="inlineStr">
        <is>
          <t>41</t>
        </is>
      </c>
      <c r="C85" t="inlineStr">
        <is>
          <t xml:space="preserve">Inclusión social y reconciliación </t>
        </is>
      </c>
      <c r="D85" t="inlineStr">
        <is>
          <t>4102</t>
        </is>
      </c>
      <c r="E85" t="inlineStr">
        <is>
          <t>Desarrollo integral de la primera infancia a la juventud, y fortalecimiento de las capacidades de las familias de niñas, niños y adolescentes</t>
        </is>
      </c>
      <c r="F85" t="inlineStr">
        <is>
          <t>4102034</t>
        </is>
      </c>
      <c r="G85" t="inlineStr">
        <is>
          <t>Centros de Atención Especializada - CAE para el restablecimiento de derechos construidos y dotados</t>
        </is>
      </c>
      <c r="H85" t="inlineStr">
        <is>
          <t>410203400</t>
        </is>
      </c>
      <c r="I85" t="inlineStr">
        <is>
          <t>Centros de Atención Especializada - CAE para el restablecimiento de derechos construidos y dotados</t>
        </is>
      </c>
      <c r="J85" t="inlineStr">
        <is>
          <t>2024257580025</t>
        </is>
      </c>
      <c r="K85" t="inlineStr">
        <is>
          <t>Si</t>
        </is>
      </c>
      <c r="L85" t="inlineStr">
        <is>
          <t>Número</t>
        </is>
      </c>
      <c r="M85">
        <v>1</v>
      </c>
      <c r="N85">
        <v>1</v>
      </c>
      <c r="O85">
        <v>1</v>
      </c>
      <c r="P85">
        <v>1</v>
      </c>
      <c r="Q85">
        <v>1</v>
      </c>
      <c r="R85" t="inlineStr">
        <is>
          <t xml:space="preserve"> </t>
        </is>
      </c>
      <c r="S85" s="103" t="inlineStr">
        <is>
          <t xml:space="preserve"> </t>
        </is>
      </c>
      <c r="T85" t="inlineStr">
        <is>
          <t>No se encontró ejecución en PIIP</t>
        </is>
      </c>
      <c r="U85" t="inlineStr">
        <is>
          <t xml:space="preserve"> </t>
        </is>
      </c>
      <c r="V85" s="104" t="inlineStr">
        <is>
          <t xml:space="preserve"> </t>
        </is>
      </c>
      <c r="W85" t="inlineStr">
        <is>
          <t>No se encontró ejecución en PIIP</t>
        </is>
      </c>
    </row>
    <row r="86">
      <c r="A86" t="inlineStr">
        <is>
          <t>IP-87, IP-90, IP-91</t>
        </is>
      </c>
      <c r="B86" t="inlineStr">
        <is>
          <t>41</t>
        </is>
      </c>
      <c r="C86" t="inlineStr">
        <is>
          <t xml:space="preserve">Inclusión social y reconciliación </t>
        </is>
      </c>
      <c r="D86" t="inlineStr">
        <is>
          <t>4102</t>
        </is>
      </c>
      <c r="E86" t="inlineStr">
        <is>
          <t>Desarrollo integral de la primera infancia a la juventud, y fortalecimiento de las capacidades de las familias de niñas, niños y adolescentes</t>
        </is>
      </c>
      <c r="F86" t="inlineStr">
        <is>
          <t>4102045</t>
        </is>
      </c>
      <c r="G86" t="inlineStr">
        <is>
          <t>Servicios de educación informal a niños, niñas, adolescentes  y jóvenes para el reconocimiento de sus derechos</t>
        </is>
      </c>
      <c r="H86" t="inlineStr">
        <is>
          <t>410204500</t>
        </is>
      </c>
      <c r="I86" t="inlineStr">
        <is>
          <t>Personas capacitadas</t>
        </is>
      </c>
      <c r="J86" t="inlineStr">
        <is>
          <t>2024257580025</t>
        </is>
      </c>
      <c r="K86" t="inlineStr">
        <is>
          <t>Si</t>
        </is>
      </c>
      <c r="L86" t="inlineStr">
        <is>
          <t>Número</t>
        </is>
      </c>
      <c r="M86">
        <v>964</v>
      </c>
      <c r="N86">
        <v>243</v>
      </c>
      <c r="O86">
        <v>244</v>
      </c>
      <c r="P86">
        <v>244</v>
      </c>
      <c r="Q86">
        <v>244</v>
      </c>
      <c r="R86" t="inlineStr">
        <is>
          <t xml:space="preserve"> </t>
        </is>
      </c>
      <c r="S86" s="103" t="inlineStr">
        <is>
          <t xml:space="preserve"> </t>
        </is>
      </c>
      <c r="T86" t="inlineStr">
        <is>
          <t>No se encontró ejecución en PIIP</t>
        </is>
      </c>
      <c r="U86" t="inlineStr">
        <is>
          <t xml:space="preserve"> </t>
        </is>
      </c>
      <c r="V86" s="104" t="inlineStr">
        <is>
          <t xml:space="preserve"> </t>
        </is>
      </c>
      <c r="W86" t="inlineStr">
        <is>
          <t>No se encontró ejecución en PIIP</t>
        </is>
      </c>
    </row>
    <row r="87">
      <c r="A87" t="inlineStr">
        <is>
          <t>IP-88</t>
        </is>
      </c>
      <c r="B87" t="inlineStr">
        <is>
          <t>41</t>
        </is>
      </c>
      <c r="C87" t="inlineStr">
        <is>
          <t xml:space="preserve">Inclusión social y reconciliación </t>
        </is>
      </c>
      <c r="D87" t="inlineStr">
        <is>
          <t>4102</t>
        </is>
      </c>
      <c r="E87" t="inlineStr">
        <is>
          <t>Desarrollo integral de la primera infancia a la juventud, y fortalecimiento de las capacidades de las familias de niñas, niños y adolescentes</t>
        </is>
      </c>
      <c r="F87" t="inlineStr">
        <is>
          <t>4102040</t>
        </is>
      </c>
      <c r="G87" t="inlineStr">
        <is>
          <t>Documentos metodológicos</t>
        </is>
      </c>
      <c r="H87" t="inlineStr">
        <is>
          <t>410204000</t>
        </is>
      </c>
      <c r="I87" t="inlineStr">
        <is>
          <t>Documentos metodológicos realizados</t>
        </is>
      </c>
      <c r="J87" t="inlineStr">
        <is>
          <t>2024257580025</t>
        </is>
      </c>
      <c r="K87" t="inlineStr">
        <is>
          <t>Si</t>
        </is>
      </c>
      <c r="L87" t="inlineStr">
        <is>
          <t>Número</t>
        </is>
      </c>
      <c r="M87">
        <v>76</v>
      </c>
      <c r="N87">
        <v>46</v>
      </c>
      <c r="O87">
        <v>56</v>
      </c>
      <c r="P87">
        <v>66</v>
      </c>
      <c r="Q87">
        <v>76</v>
      </c>
      <c r="R87" t="inlineStr">
        <is>
          <t xml:space="preserve"> </t>
        </is>
      </c>
      <c r="S87" s="103" t="inlineStr">
        <is>
          <t xml:space="preserve"> </t>
        </is>
      </c>
      <c r="T87" t="inlineStr">
        <is>
          <t>No se encontró ejecución en PIIP</t>
        </is>
      </c>
      <c r="U87" t="inlineStr">
        <is>
          <t xml:space="preserve"> </t>
        </is>
      </c>
      <c r="V87" s="104" t="inlineStr">
        <is>
          <t xml:space="preserve"> </t>
        </is>
      </c>
      <c r="W87" t="inlineStr">
        <is>
          <t>No se encontró ejecución en PIIP</t>
        </is>
      </c>
    </row>
    <row r="88">
      <c r="A88" t="inlineStr">
        <is>
          <t>IP-89</t>
        </is>
      </c>
      <c r="B88" t="inlineStr">
        <is>
          <t>41</t>
        </is>
      </c>
      <c r="C88" t="inlineStr">
        <is>
          <t xml:space="preserve">Inclusión social y reconciliación </t>
        </is>
      </c>
      <c r="D88" t="inlineStr">
        <is>
          <t>4102</t>
        </is>
      </c>
      <c r="E88" t="inlineStr">
        <is>
          <t>Desarrollo integral de la primera infancia a la juventud, y fortalecimiento de las capacidades de las familias de niñas, niños y adolescentes</t>
        </is>
      </c>
      <c r="F88" t="inlineStr">
        <is>
          <t>4102049</t>
        </is>
      </c>
      <c r="G88" t="inlineStr">
        <is>
          <t>Edificaciones de atención a la adolescencia y juventud adecuadas</t>
        </is>
      </c>
      <c r="H88" t="inlineStr">
        <is>
          <t>410204900</t>
        </is>
      </c>
      <c r="I88" t="inlineStr">
        <is>
          <t>Edificaciones de atención a la adolescencia y juventud adecuadas</t>
        </is>
      </c>
      <c r="J88" t="inlineStr">
        <is>
          <t>2024257580025</t>
        </is>
      </c>
      <c r="K88" t="inlineStr">
        <is>
          <t>Si</t>
        </is>
      </c>
      <c r="L88" t="inlineStr">
        <is>
          <t>Número</t>
        </is>
      </c>
      <c r="M88">
        <v>2</v>
      </c>
      <c r="N88">
        <v>2</v>
      </c>
      <c r="O88">
        <v>2</v>
      </c>
      <c r="P88">
        <v>2</v>
      </c>
      <c r="Q88">
        <v>2</v>
      </c>
      <c r="R88" t="inlineStr">
        <is>
          <t xml:space="preserve"> </t>
        </is>
      </c>
      <c r="S88" s="103" t="inlineStr">
        <is>
          <t xml:space="preserve"> </t>
        </is>
      </c>
      <c r="T88" t="inlineStr">
        <is>
          <t>No se encontró ejecución en PIIP</t>
        </is>
      </c>
      <c r="U88" t="inlineStr">
        <is>
          <t xml:space="preserve"> </t>
        </is>
      </c>
      <c r="V88" s="104" t="inlineStr">
        <is>
          <t xml:space="preserve"> </t>
        </is>
      </c>
      <c r="W88" t="inlineStr">
        <is>
          <t>No se encontró ejecución en PIIP</t>
        </is>
      </c>
    </row>
    <row r="89">
      <c r="A89" t="inlineStr">
        <is>
          <t>IP-92</t>
        </is>
      </c>
      <c r="B89" t="inlineStr">
        <is>
          <t>41</t>
        </is>
      </c>
      <c r="C89" t="inlineStr">
        <is>
          <t xml:space="preserve">Inclusión social y reconciliación </t>
        </is>
      </c>
      <c r="D89" t="inlineStr">
        <is>
          <t>4102</t>
        </is>
      </c>
      <c r="E89" t="inlineStr">
        <is>
          <t>Desarrollo integral de la primera infancia a la juventud, y fortalecimiento de las capacidades de las familias de niñas, niños y adolescentes</t>
        </is>
      </c>
      <c r="F89" t="inlineStr">
        <is>
          <t>4102042</t>
        </is>
      </c>
      <c r="G89" t="inlineStr">
        <is>
          <t>Servicio de asistencia técnica a comunidades en temas de fortalecimiento del tejido social y construcción de escenarios comunitarios protectores de derechos</t>
        </is>
      </c>
      <c r="H89" t="inlineStr">
        <is>
          <t>410204201</t>
        </is>
      </c>
      <c r="I89" t="inlineStr">
        <is>
          <t>Comunidades participantes</t>
        </is>
      </c>
      <c r="J89" t="inlineStr">
        <is>
          <t>2024257580025</t>
        </is>
      </c>
      <c r="K89" t="inlineStr">
        <is>
          <t>Si</t>
        </is>
      </c>
      <c r="L89" t="inlineStr">
        <is>
          <t>Número</t>
        </is>
      </c>
      <c r="M89">
        <v>40</v>
      </c>
      <c r="N89">
        <v>10</v>
      </c>
      <c r="O89">
        <v>10</v>
      </c>
      <c r="P89">
        <v>10</v>
      </c>
      <c r="Q89">
        <v>10</v>
      </c>
      <c r="R89" t="inlineStr">
        <is>
          <t xml:space="preserve"> </t>
        </is>
      </c>
      <c r="S89" s="103" t="inlineStr">
        <is>
          <t xml:space="preserve"> </t>
        </is>
      </c>
      <c r="T89" t="inlineStr">
        <is>
          <t>No se encontró ejecución en PIIP</t>
        </is>
      </c>
      <c r="U89" t="inlineStr">
        <is>
          <t xml:space="preserve"> </t>
        </is>
      </c>
      <c r="V89" s="104" t="inlineStr">
        <is>
          <t xml:space="preserve"> </t>
        </is>
      </c>
      <c r="W89" t="inlineStr">
        <is>
          <t>No se encontró ejecución en PIIP</t>
        </is>
      </c>
    </row>
    <row r="90">
      <c r="A90" t="inlineStr">
        <is>
          <t>IP-93</t>
        </is>
      </c>
      <c r="B90" t="inlineStr">
        <is>
          <t>41</t>
        </is>
      </c>
      <c r="C90" t="inlineStr">
        <is>
          <t xml:space="preserve">Inclusión social y reconciliación </t>
        </is>
      </c>
      <c r="D90" t="inlineStr">
        <is>
          <t>4102</t>
        </is>
      </c>
      <c r="E90" t="inlineStr">
        <is>
          <t>Desarrollo integral de la primera infancia a la juventud, y fortalecimiento de las capacidades de las familias de niñas, niños y adolescentes</t>
        </is>
      </c>
      <c r="F90" t="inlineStr">
        <is>
          <t>4102045</t>
        </is>
      </c>
      <c r="G90" t="inlineStr">
        <is>
          <t>Servicios de educación informal a niños, niñas, adolescentes  y jóvenes para el reconocimiento de sus derechos</t>
        </is>
      </c>
      <c r="H90" t="inlineStr">
        <is>
          <t>410204500</t>
        </is>
      </c>
      <c r="I90" t="inlineStr">
        <is>
          <t>Personas capacitadas</t>
        </is>
      </c>
      <c r="J90" t="inlineStr">
        <is>
          <t>2024257580025</t>
        </is>
      </c>
      <c r="K90" t="inlineStr">
        <is>
          <t>No</t>
        </is>
      </c>
      <c r="L90" t="inlineStr">
        <is>
          <t>Número</t>
        </is>
      </c>
      <c r="M90">
        <v>18</v>
      </c>
      <c r="N90">
        <v>0</v>
      </c>
      <c r="O90">
        <v>8</v>
      </c>
      <c r="P90">
        <v>5</v>
      </c>
      <c r="Q90">
        <v>5</v>
      </c>
      <c r="R90" t="inlineStr">
        <is>
          <t xml:space="preserve"> </t>
        </is>
      </c>
      <c r="S90" s="103" t="inlineStr">
        <is>
          <t xml:space="preserve"> </t>
        </is>
      </c>
      <c r="T90" t="inlineStr">
        <is>
          <t>No se encontró ejecución en PIIP</t>
        </is>
      </c>
      <c r="U90" t="inlineStr">
        <is>
          <t xml:space="preserve"> </t>
        </is>
      </c>
      <c r="V90" s="104" t="inlineStr">
        <is>
          <t xml:space="preserve"> </t>
        </is>
      </c>
      <c r="W90" t="inlineStr">
        <is>
          <t>No se encontró ejecución en PIIP</t>
        </is>
      </c>
    </row>
    <row r="91">
      <c r="A91" t="inlineStr">
        <is>
          <t>IP-95</t>
        </is>
      </c>
      <c r="B91" t="inlineStr">
        <is>
          <t>41</t>
        </is>
      </c>
      <c r="C91" t="inlineStr">
        <is>
          <t xml:space="preserve">Inclusión social y reconciliación </t>
        </is>
      </c>
      <c r="D91" t="inlineStr">
        <is>
          <t>4102</t>
        </is>
      </c>
      <c r="E91" t="inlineStr">
        <is>
          <t>Desarrollo integral de la primera infancia a la juventud, y fortalecimiento de las capacidades de las familias de niñas, niños y adolescentes</t>
        </is>
      </c>
      <c r="F91" t="inlineStr">
        <is>
          <t>4102042</t>
        </is>
      </c>
      <c r="G91" t="inlineStr">
        <is>
          <t>Servicio de asistencia técnica a comunidades en temas de fortalecimiento del tejido social y construcción de escenarios comunitarios protectores de derechos</t>
        </is>
      </c>
      <c r="H91" t="inlineStr">
        <is>
          <t>410204201</t>
        </is>
      </c>
      <c r="I91" t="inlineStr">
        <is>
          <t>Comunidades participantes</t>
        </is>
      </c>
      <c r="J91" t="inlineStr">
        <is>
          <t>2024257580025</t>
        </is>
      </c>
      <c r="K91" t="inlineStr">
        <is>
          <t>No</t>
        </is>
      </c>
      <c r="L91" t="inlineStr">
        <is>
          <t>Número</t>
        </is>
      </c>
      <c r="M91">
        <v>4</v>
      </c>
      <c r="N91">
        <v>4</v>
      </c>
      <c r="O91">
        <v>4</v>
      </c>
      <c r="P91">
        <v>4</v>
      </c>
      <c r="Q91">
        <v>4</v>
      </c>
      <c r="R91" t="inlineStr">
        <is>
          <t xml:space="preserve"> </t>
        </is>
      </c>
      <c r="S91" s="103" t="inlineStr">
        <is>
          <t xml:space="preserve"> </t>
        </is>
      </c>
      <c r="T91" t="inlineStr">
        <is>
          <t>No se encontró ejecución en PIIP</t>
        </is>
      </c>
      <c r="U91" t="inlineStr">
        <is>
          <t xml:space="preserve"> </t>
        </is>
      </c>
      <c r="V91" s="104" t="inlineStr">
        <is>
          <t xml:space="preserve"> </t>
        </is>
      </c>
      <c r="W91" t="inlineStr">
        <is>
          <t>No se encontró ejecución en PIIP</t>
        </is>
      </c>
    </row>
    <row r="92">
      <c r="A92" t="inlineStr">
        <is>
          <t>IP-96</t>
        </is>
      </c>
      <c r="B92" t="inlineStr">
        <is>
          <t>41</t>
        </is>
      </c>
      <c r="C92" t="inlineStr">
        <is>
          <t xml:space="preserve">Inclusión social y reconciliación </t>
        </is>
      </c>
      <c r="D92" t="inlineStr">
        <is>
          <t>4102</t>
        </is>
      </c>
      <c r="E92" t="inlineStr">
        <is>
          <t>Desarrollo integral de la primera infancia a la juventud, y fortalecimiento de las capacidades de las familias de niñas, niños y adolescentes</t>
        </is>
      </c>
      <c r="F92" t="inlineStr">
        <is>
          <t>4102052</t>
        </is>
      </c>
      <c r="G92" t="inlineStr">
        <is>
          <t>Servicio de protección integral a niños, niñas, adolescentes y jóvenes</t>
        </is>
      </c>
      <c r="H92" t="inlineStr">
        <is>
          <t>410205200</t>
        </is>
      </c>
      <c r="I92" t="inlineStr">
        <is>
          <t>Niños, niñas, adolescentes y jóvenes beneficiados</t>
        </is>
      </c>
      <c r="J92" t="inlineStr">
        <is>
          <t>2024257580025</t>
        </is>
      </c>
      <c r="K92" t="inlineStr">
        <is>
          <t>No</t>
        </is>
      </c>
      <c r="L92" t="inlineStr">
        <is>
          <t>Número</t>
        </is>
      </c>
      <c r="M92">
        <v>1000</v>
      </c>
      <c r="N92">
        <v>250</v>
      </c>
      <c r="O92">
        <v>250</v>
      </c>
      <c r="P92">
        <v>250</v>
      </c>
      <c r="Q92">
        <v>250</v>
      </c>
      <c r="R92" t="inlineStr">
        <is>
          <t xml:space="preserve"> </t>
        </is>
      </c>
      <c r="S92" s="103" t="inlineStr">
        <is>
          <t xml:space="preserve"> </t>
        </is>
      </c>
      <c r="T92" t="inlineStr">
        <is>
          <t>No se encontró ejecución en PIIP</t>
        </is>
      </c>
      <c r="U92" t="inlineStr">
        <is>
          <t xml:space="preserve"> </t>
        </is>
      </c>
      <c r="V92" s="104" t="inlineStr">
        <is>
          <t xml:space="preserve"> </t>
        </is>
      </c>
      <c r="W92" t="inlineStr">
        <is>
          <t>No se encontró ejecución en PIIP</t>
        </is>
      </c>
    </row>
    <row r="93">
      <c r="A93" t="inlineStr">
        <is>
          <t>IP-97</t>
        </is>
      </c>
      <c r="B93" t="inlineStr">
        <is>
          <t>41</t>
        </is>
      </c>
      <c r="C93" t="inlineStr">
        <is>
          <t xml:space="preserve">Inclusión social y reconciliación </t>
        </is>
      </c>
      <c r="D93" t="inlineStr">
        <is>
          <t>4102</t>
        </is>
      </c>
      <c r="E93" t="inlineStr">
        <is>
          <t>Desarrollo integral de la primera infancia a la juventud, y fortalecimiento de las capacidades de las familias de niñas, niños y adolescentes</t>
        </is>
      </c>
      <c r="F93" t="inlineStr">
        <is>
          <t>4102035</t>
        </is>
      </c>
      <c r="G93" t="inlineStr">
        <is>
          <t>Documentos de lineamientos técnicos</t>
        </is>
      </c>
      <c r="H93" t="inlineStr">
        <is>
          <t>410203500</t>
        </is>
      </c>
      <c r="I93" t="inlineStr">
        <is>
          <t>Documentos de lineamientos técnicos realizados</t>
        </is>
      </c>
      <c r="J93" t="inlineStr">
        <is>
          <t>2024257580079</t>
        </is>
      </c>
      <c r="K93" t="inlineStr">
        <is>
          <t>Si</t>
        </is>
      </c>
      <c r="L93" t="inlineStr">
        <is>
          <t>Número</t>
        </is>
      </c>
      <c r="M93">
        <v>30</v>
      </c>
      <c r="N93">
        <v>2</v>
      </c>
      <c r="O93">
        <v>10</v>
      </c>
      <c r="P93">
        <v>20</v>
      </c>
      <c r="Q93">
        <v>30</v>
      </c>
      <c r="R93" t="inlineStr">
        <is>
          <t xml:space="preserve"> </t>
        </is>
      </c>
      <c r="S93" s="103" t="inlineStr">
        <is>
          <t xml:space="preserve"> </t>
        </is>
      </c>
      <c r="T93" t="inlineStr">
        <is>
          <t>No se encontró ejecución en PIIP</t>
        </is>
      </c>
      <c r="U93" t="inlineStr">
        <is>
          <t xml:space="preserve"> </t>
        </is>
      </c>
      <c r="V93" s="104" t="inlineStr">
        <is>
          <t xml:space="preserve"> </t>
        </is>
      </c>
      <c r="W93" t="inlineStr">
        <is>
          <t>No se encontró ejecución en PIIP</t>
        </is>
      </c>
    </row>
    <row r="94">
      <c r="A94" t="inlineStr">
        <is>
          <t>IP-98, IP-99</t>
        </is>
      </c>
      <c r="B94" t="inlineStr">
        <is>
          <t>41</t>
        </is>
      </c>
      <c r="C94" t="inlineStr">
        <is>
          <t xml:space="preserve">Inclusión social y reconciliación </t>
        </is>
      </c>
      <c r="D94" t="inlineStr">
        <is>
          <t>4102</t>
        </is>
      </c>
      <c r="E94" t="inlineStr">
        <is>
          <t>Desarrollo integral de la primera infancia a la juventud, y fortalecimiento de las capacidades de las familias de niñas, niños y adolescentes</t>
        </is>
      </c>
      <c r="F94" t="inlineStr">
        <is>
          <t>4102043</t>
        </is>
      </c>
      <c r="G94" t="inlineStr">
        <is>
          <t>Servicio de promoción de temas de dinámica relacional y desarrollo autónomo</t>
        </is>
      </c>
      <c r="H94" t="inlineStr">
        <is>
          <t>410204300</t>
        </is>
      </c>
      <c r="I94" t="inlineStr">
        <is>
          <t>Familias atendidas</t>
        </is>
      </c>
      <c r="J94" t="inlineStr">
        <is>
          <t>2024257580079</t>
        </is>
      </c>
      <c r="K94" t="inlineStr">
        <is>
          <t>No</t>
        </is>
      </c>
      <c r="L94" t="inlineStr">
        <is>
          <t>Número</t>
        </is>
      </c>
      <c r="M94">
        <v>2400</v>
      </c>
      <c r="N94">
        <v>300</v>
      </c>
      <c r="O94">
        <v>700</v>
      </c>
      <c r="P94">
        <v>700</v>
      </c>
      <c r="Q94">
        <v>700</v>
      </c>
      <c r="R94" t="inlineStr">
        <is>
          <t xml:space="preserve"> </t>
        </is>
      </c>
      <c r="S94" s="103" t="inlineStr">
        <is>
          <t xml:space="preserve"> </t>
        </is>
      </c>
      <c r="T94" t="inlineStr">
        <is>
          <t>No se encontró ejecución en PIIP</t>
        </is>
      </c>
      <c r="U94" t="inlineStr">
        <is>
          <t xml:space="preserve"> </t>
        </is>
      </c>
      <c r="V94" s="104" t="inlineStr">
        <is>
          <t xml:space="preserve"> </t>
        </is>
      </c>
      <c r="W94" t="inlineStr">
        <is>
          <t>No se encontró ejecución en PIIP</t>
        </is>
      </c>
    </row>
    <row r="95">
      <c r="A95" t="inlineStr">
        <is>
          <t>IP-100, IP-101</t>
        </is>
      </c>
      <c r="B95" t="inlineStr">
        <is>
          <t>41</t>
        </is>
      </c>
      <c r="C95" t="inlineStr">
        <is>
          <t xml:space="preserve">Inclusión social y reconciliación </t>
        </is>
      </c>
      <c r="D95" t="inlineStr">
        <is>
          <t>4102</t>
        </is>
      </c>
      <c r="E95" t="inlineStr">
        <is>
          <t>Desarrollo integral de la primera infancia a la juventud, y fortalecimiento de las capacidades de las familias de niñas, niños y adolescentes</t>
        </is>
      </c>
      <c r="F95" t="inlineStr">
        <is>
          <t>4102043</t>
        </is>
      </c>
      <c r="G95" t="inlineStr">
        <is>
          <t>Servicio de promoción de temas de dinámica relacional y desarrollo autónomo</t>
        </is>
      </c>
      <c r="H95" t="inlineStr">
        <is>
          <t>410204300</t>
        </is>
      </c>
      <c r="I95" t="inlineStr">
        <is>
          <t>Familias atendidas</t>
        </is>
      </c>
      <c r="J95" t="inlineStr">
        <is>
          <t>2024257580079</t>
        </is>
      </c>
      <c r="K95" t="inlineStr">
        <is>
          <t>Si</t>
        </is>
      </c>
      <c r="L95" t="inlineStr">
        <is>
          <t>Número</t>
        </is>
      </c>
      <c r="M95">
        <v>2</v>
      </c>
      <c r="N95">
        <v>1.5</v>
      </c>
      <c r="O95">
        <v>2</v>
      </c>
      <c r="P95">
        <v>2</v>
      </c>
      <c r="Q95">
        <v>2</v>
      </c>
      <c r="R95">
        <v>33930000</v>
      </c>
      <c r="S95" s="103">
        <v>22620000</v>
      </c>
      <c r="T95" t="inlineStr">
        <is>
          <t>Hubo ejecución por encima de lo programado en SisPT</t>
        </is>
      </c>
      <c r="U95">
        <v>250</v>
      </c>
      <c r="V95" s="104">
        <v>125</v>
      </c>
      <c r="W95" t="inlineStr">
        <is>
          <t>Hubo ejecución por encima de lo programado en SisPT</t>
        </is>
      </c>
    </row>
    <row r="96">
      <c r="A96" t="inlineStr">
        <is>
          <t>IP-102, IP-103, IP-104, IP-105, IP-106, IP-107, IP-112</t>
        </is>
      </c>
      <c r="B96" t="inlineStr">
        <is>
          <t>41</t>
        </is>
      </c>
      <c r="C96" t="inlineStr">
        <is>
          <t xml:space="preserve">Inclusión social y reconciliación </t>
        </is>
      </c>
      <c r="D96" t="inlineStr">
        <is>
          <t>4103</t>
        </is>
      </c>
      <c r="E96" t="inlineStr">
        <is>
          <t>Inclusión social y productiva para la población en situación de vulnerabilidad</t>
        </is>
      </c>
      <c r="F96" t="inlineStr">
        <is>
          <t>4103052</t>
        </is>
      </c>
      <c r="G96" t="inlineStr">
        <is>
          <t>Servicio de gestión de oferta social para la población vulnerable</t>
        </is>
      </c>
      <c r="H96" t="inlineStr">
        <is>
          <t>410305202</t>
        </is>
      </c>
      <c r="I96" t="inlineStr">
        <is>
          <t>Mecanismos de articulación implementados para la gestión de oferta social</t>
        </is>
      </c>
      <c r="J96" t="inlineStr">
        <is>
          <t>2024257580014</t>
        </is>
      </c>
      <c r="K96" t="inlineStr">
        <is>
          <t>Si</t>
        </is>
      </c>
      <c r="L96" t="inlineStr">
        <is>
          <t>Número</t>
        </is>
      </c>
      <c r="M96">
        <v>101.2</v>
      </c>
      <c r="N96">
        <v>70.2</v>
      </c>
      <c r="O96">
        <v>81.2</v>
      </c>
      <c r="P96">
        <v>91.2</v>
      </c>
      <c r="Q96">
        <v>101.2</v>
      </c>
      <c r="R96" t="inlineStr">
        <is>
          <t xml:space="preserve"> </t>
        </is>
      </c>
      <c r="S96" s="103" t="inlineStr">
        <is>
          <t xml:space="preserve"> </t>
        </is>
      </c>
      <c r="T96" t="inlineStr">
        <is>
          <t>No se encontró ejecución en PIIP</t>
        </is>
      </c>
      <c r="U96" t="inlineStr">
        <is>
          <t xml:space="preserve"> </t>
        </is>
      </c>
      <c r="V96" s="104" t="inlineStr">
        <is>
          <t xml:space="preserve"> </t>
        </is>
      </c>
      <c r="W96" t="inlineStr">
        <is>
          <t>No se encontró ejecución en PIIP</t>
        </is>
      </c>
    </row>
    <row r="97">
      <c r="A97" t="inlineStr">
        <is>
          <t>IP-108</t>
        </is>
      </c>
      <c r="B97" t="inlineStr">
        <is>
          <t>41</t>
        </is>
      </c>
      <c r="C97" t="inlineStr">
        <is>
          <t xml:space="preserve">Inclusión social y reconciliación </t>
        </is>
      </c>
      <c r="D97" t="inlineStr">
        <is>
          <t>4103</t>
        </is>
      </c>
      <c r="E97" t="inlineStr">
        <is>
          <t>Inclusión social y productiva para la población en situación de vulnerabilidad</t>
        </is>
      </c>
      <c r="F97" t="inlineStr">
        <is>
          <t>4103052</t>
        </is>
      </c>
      <c r="G97" t="inlineStr">
        <is>
          <t>Servicio de gestión de oferta social para la población vulnerable</t>
        </is>
      </c>
      <c r="H97" t="inlineStr">
        <is>
          <t>410305202</t>
        </is>
      </c>
      <c r="I97" t="inlineStr">
        <is>
          <t>Mecanismos de articulación implementados para la gestión de oferta social</t>
        </is>
      </c>
      <c r="J97" t="inlineStr">
        <is>
          <t>2024257580014</t>
        </is>
      </c>
      <c r="K97" t="inlineStr">
        <is>
          <t>No</t>
        </is>
      </c>
      <c r="L97" t="inlineStr">
        <is>
          <t>Número</t>
        </is>
      </c>
      <c r="M97">
        <v>40</v>
      </c>
      <c r="N97">
        <v>10</v>
      </c>
      <c r="O97">
        <v>10</v>
      </c>
      <c r="P97">
        <v>10</v>
      </c>
      <c r="Q97">
        <v>10</v>
      </c>
      <c r="R97" t="inlineStr">
        <is>
          <t xml:space="preserve"> </t>
        </is>
      </c>
      <c r="S97" s="103" t="inlineStr">
        <is>
          <t xml:space="preserve"> </t>
        </is>
      </c>
      <c r="T97" t="inlineStr">
        <is>
          <t>No se encontró ejecución en PIIP</t>
        </is>
      </c>
      <c r="U97" t="inlineStr">
        <is>
          <t xml:space="preserve"> </t>
        </is>
      </c>
      <c r="V97" s="104" t="inlineStr">
        <is>
          <t xml:space="preserve"> </t>
        </is>
      </c>
      <c r="W97" t="inlineStr">
        <is>
          <t>No se encontró ejecución en PIIP</t>
        </is>
      </c>
    </row>
    <row r="98">
      <c r="A98" t="inlineStr">
        <is>
          <t>IP-109</t>
        </is>
      </c>
      <c r="B98" t="inlineStr">
        <is>
          <t>41</t>
        </is>
      </c>
      <c r="C98" t="inlineStr">
        <is>
          <t xml:space="preserve">Inclusión social y reconciliación </t>
        </is>
      </c>
      <c r="D98" t="inlineStr">
        <is>
          <t>4103</t>
        </is>
      </c>
      <c r="E98" t="inlineStr">
        <is>
          <t>Inclusión social y productiva para la población en situación de vulnerabilidad</t>
        </is>
      </c>
      <c r="F98" t="inlineStr">
        <is>
          <t>4103057</t>
        </is>
      </c>
      <c r="G98" t="inlineStr">
        <is>
          <t>Servicio de apoyo a unidades productivas individuales para la generación de ingresos</t>
        </is>
      </c>
      <c r="H98" t="inlineStr">
        <is>
          <t>410305702</t>
        </is>
      </c>
      <c r="I98" t="inlineStr">
        <is>
          <t>Unidades productivas vinculadas</t>
        </is>
      </c>
      <c r="J98" t="inlineStr">
        <is>
          <t>2024257580014</t>
        </is>
      </c>
      <c r="K98" t="inlineStr">
        <is>
          <t>No</t>
        </is>
      </c>
      <c r="L98" t="inlineStr">
        <is>
          <t>Número</t>
        </is>
      </c>
      <c r="M98">
        <v>18</v>
      </c>
      <c r="N98">
        <v>0</v>
      </c>
      <c r="O98">
        <v>8</v>
      </c>
      <c r="P98">
        <v>5</v>
      </c>
      <c r="Q98">
        <v>5</v>
      </c>
      <c r="R98" t="inlineStr">
        <is>
          <t xml:space="preserve"> </t>
        </is>
      </c>
      <c r="S98" s="103" t="inlineStr">
        <is>
          <t xml:space="preserve"> </t>
        </is>
      </c>
      <c r="T98" t="inlineStr">
        <is>
          <t>No se encontró ejecución en PIIP</t>
        </is>
      </c>
      <c r="U98" t="inlineStr">
        <is>
          <t xml:space="preserve"> </t>
        </is>
      </c>
      <c r="V98" s="104" t="inlineStr">
        <is>
          <t xml:space="preserve"> </t>
        </is>
      </c>
      <c r="W98" t="inlineStr">
        <is>
          <t>No se encontró ejecución en PIIP</t>
        </is>
      </c>
    </row>
    <row r="99">
      <c r="A99" t="inlineStr">
        <is>
          <t>IP-110, IP-111</t>
        </is>
      </c>
      <c r="B99" t="inlineStr">
        <is>
          <t>41</t>
        </is>
      </c>
      <c r="C99" t="inlineStr">
        <is>
          <t xml:space="preserve">Inclusión social y reconciliación </t>
        </is>
      </c>
      <c r="D99" t="inlineStr">
        <is>
          <t>4102</t>
        </is>
      </c>
      <c r="E99" t="inlineStr">
        <is>
          <t>Desarrollo integral de la primera infancia a la juventud, y fortalecimiento de las capacidades de las familias de niñas, niños y adolescentes</t>
        </is>
      </c>
      <c r="F99" t="inlineStr">
        <is>
          <t>4102043</t>
        </is>
      </c>
      <c r="G99" t="inlineStr">
        <is>
          <t>Servicio de promoción de temas de dinámica relacional y desarrollo autónomo</t>
        </is>
      </c>
      <c r="H99" t="inlineStr">
        <is>
          <t>410204300</t>
        </is>
      </c>
      <c r="I99" t="inlineStr">
        <is>
          <t>Familias atendidas</t>
        </is>
      </c>
      <c r="J99" t="inlineStr">
        <is>
          <t>2024257580014</t>
        </is>
      </c>
      <c r="K99" t="inlineStr">
        <is>
          <t>No</t>
        </is>
      </c>
      <c r="L99" t="inlineStr">
        <is>
          <t>Número</t>
        </is>
      </c>
      <c r="M99">
        <v>400</v>
      </c>
      <c r="N99">
        <v>100</v>
      </c>
      <c r="O99">
        <v>100</v>
      </c>
      <c r="P99">
        <v>100</v>
      </c>
      <c r="Q99">
        <v>100</v>
      </c>
      <c r="R99" t="inlineStr">
        <is>
          <t xml:space="preserve"> </t>
        </is>
      </c>
      <c r="S99" s="103" t="inlineStr">
        <is>
          <t xml:space="preserve"> </t>
        </is>
      </c>
      <c r="T99" t="inlineStr">
        <is>
          <t>No se encontró ejecución en PIIP</t>
        </is>
      </c>
      <c r="U99" t="inlineStr">
        <is>
          <t xml:space="preserve"> </t>
        </is>
      </c>
      <c r="V99" s="104" t="inlineStr">
        <is>
          <t xml:space="preserve"> </t>
        </is>
      </c>
      <c r="W99" t="inlineStr">
        <is>
          <t>No se encontró ejecución en PIIP</t>
        </is>
      </c>
    </row>
    <row r="100">
      <c r="A100" t="inlineStr">
        <is>
          <t>IP-113, IP-114</t>
        </is>
      </c>
      <c r="B100" t="inlineStr">
        <is>
          <t>41</t>
        </is>
      </c>
      <c r="C100" t="inlineStr">
        <is>
          <t xml:space="preserve">Inclusión social y reconciliación </t>
        </is>
      </c>
      <c r="D100" t="inlineStr">
        <is>
          <t>4103</t>
        </is>
      </c>
      <c r="E100" t="inlineStr">
        <is>
          <t>Inclusión social y productiva para la población en situación de vulnerabilidad</t>
        </is>
      </c>
      <c r="F100" t="inlineStr">
        <is>
          <t>4103052</t>
        </is>
      </c>
      <c r="G100" t="inlineStr">
        <is>
          <t>Servicio de gestión de oferta social para la población vulnerable</t>
        </is>
      </c>
      <c r="H100" t="inlineStr">
        <is>
          <t>410305202</t>
        </is>
      </c>
      <c r="I100" t="inlineStr">
        <is>
          <t>Mecanismos de articulación implementados para la gestión de oferta social</t>
        </is>
      </c>
      <c r="J100" t="inlineStr">
        <is>
          <t>2024257580015</t>
        </is>
      </c>
      <c r="K100" t="inlineStr">
        <is>
          <t>Si</t>
        </is>
      </c>
      <c r="L100" t="inlineStr">
        <is>
          <t>Número</t>
        </is>
      </c>
      <c r="M100">
        <v>2</v>
      </c>
      <c r="N100">
        <v>1.2</v>
      </c>
      <c r="O100">
        <v>2</v>
      </c>
      <c r="P100">
        <v>2</v>
      </c>
      <c r="Q100">
        <v>2</v>
      </c>
      <c r="R100" t="inlineStr">
        <is>
          <t xml:space="preserve"> </t>
        </is>
      </c>
      <c r="S100" s="103" t="inlineStr">
        <is>
          <t xml:space="preserve"> </t>
        </is>
      </c>
      <c r="T100" t="inlineStr">
        <is>
          <t>No se encontró ejecución en PIIP</t>
        </is>
      </c>
      <c r="U100" t="inlineStr">
        <is>
          <t xml:space="preserve"> </t>
        </is>
      </c>
      <c r="V100" s="104" t="inlineStr">
        <is>
          <t xml:space="preserve"> </t>
        </is>
      </c>
      <c r="W100" t="inlineStr">
        <is>
          <t>No se encontró ejecución en PIIP</t>
        </is>
      </c>
    </row>
    <row r="101">
      <c r="A101" t="inlineStr">
        <is>
          <t>IP-115</t>
        </is>
      </c>
      <c r="B101" t="inlineStr">
        <is>
          <t>41</t>
        </is>
      </c>
      <c r="C101" t="inlineStr">
        <is>
          <t xml:space="preserve">Inclusión social y reconciliación </t>
        </is>
      </c>
      <c r="D101" t="inlineStr">
        <is>
          <t>4103</t>
        </is>
      </c>
      <c r="E101" t="inlineStr">
        <is>
          <t>Inclusión social y productiva para la población en situación de vulnerabilidad</t>
        </is>
      </c>
      <c r="F101" t="inlineStr">
        <is>
          <t>4103052</t>
        </is>
      </c>
      <c r="G101" t="inlineStr">
        <is>
          <t>Servicio de gestión de oferta social para la población vulnerable</t>
        </is>
      </c>
      <c r="H101" t="inlineStr">
        <is>
          <t>410305202</t>
        </is>
      </c>
      <c r="I101" t="inlineStr">
        <is>
          <t>Mecanismos de articulación implementados para la gestión de oferta social</t>
        </is>
      </c>
      <c r="J101" t="inlineStr">
        <is>
          <t>2024257580015</t>
        </is>
      </c>
      <c r="K101" t="inlineStr">
        <is>
          <t>No</t>
        </is>
      </c>
      <c r="L101" t="inlineStr">
        <is>
          <t>Número</t>
        </is>
      </c>
      <c r="M101">
        <v>16</v>
      </c>
      <c r="N101">
        <v>4</v>
      </c>
      <c r="O101">
        <v>4</v>
      </c>
      <c r="P101">
        <v>4</v>
      </c>
      <c r="Q101">
        <v>4</v>
      </c>
      <c r="R101" t="inlineStr">
        <is>
          <t xml:space="preserve"> </t>
        </is>
      </c>
      <c r="S101" s="103" t="inlineStr">
        <is>
          <t xml:space="preserve"> </t>
        </is>
      </c>
      <c r="T101" t="inlineStr">
        <is>
          <t>No se encontró ejecución en PIIP</t>
        </is>
      </c>
      <c r="U101" t="inlineStr">
        <is>
          <t xml:space="preserve"> </t>
        </is>
      </c>
      <c r="V101" s="104" t="inlineStr">
        <is>
          <t xml:space="preserve"> </t>
        </is>
      </c>
      <c r="W101" t="inlineStr">
        <is>
          <t>No se encontró ejecución en PIIP</t>
        </is>
      </c>
    </row>
    <row r="102">
      <c r="A102" t="inlineStr">
        <is>
          <t>IP-116</t>
        </is>
      </c>
      <c r="B102" t="inlineStr">
        <is>
          <t>41</t>
        </is>
      </c>
      <c r="C102" t="inlineStr">
        <is>
          <t xml:space="preserve">Inclusión social y reconciliación </t>
        </is>
      </c>
      <c r="D102" t="inlineStr">
        <is>
          <t>4104</t>
        </is>
      </c>
      <c r="E102" t="inlineStr">
        <is>
          <t>Atención integral de población en situación permanente de desprotección social y/o familiar</t>
        </is>
      </c>
      <c r="F102" t="inlineStr">
        <is>
          <t>4104009</t>
        </is>
      </c>
      <c r="G102" t="inlineStr">
        <is>
          <t>Centros de protección social de día para el adulto mayor adecuados</t>
        </is>
      </c>
      <c r="H102" t="inlineStr">
        <is>
          <t>410400900</t>
        </is>
      </c>
      <c r="I102" t="inlineStr">
        <is>
          <t>Centros de día para el adulto mayor adecuados</t>
        </is>
      </c>
      <c r="J102" t="inlineStr">
        <is>
          <t>2024257580006</t>
        </is>
      </c>
      <c r="K102" t="inlineStr">
        <is>
          <t>Si</t>
        </is>
      </c>
      <c r="L102" t="inlineStr">
        <is>
          <t>Número</t>
        </is>
      </c>
      <c r="M102">
        <v>1</v>
      </c>
      <c r="N102">
        <v>1</v>
      </c>
      <c r="O102">
        <v>1</v>
      </c>
      <c r="P102">
        <v>1</v>
      </c>
      <c r="Q102">
        <v>1</v>
      </c>
      <c r="R102" t="inlineStr">
        <is>
          <t xml:space="preserve"> </t>
        </is>
      </c>
      <c r="S102" s="103" t="inlineStr">
        <is>
          <t xml:space="preserve"> </t>
        </is>
      </c>
      <c r="T102" t="inlineStr">
        <is>
          <t>No se encontró ejecución en PIIP</t>
        </is>
      </c>
      <c r="U102" t="inlineStr">
        <is>
          <t xml:space="preserve"> </t>
        </is>
      </c>
      <c r="V102" s="104" t="inlineStr">
        <is>
          <t xml:space="preserve"> </t>
        </is>
      </c>
      <c r="W102" t="inlineStr">
        <is>
          <t>No se encontró ejecución en PIIP</t>
        </is>
      </c>
    </row>
    <row r="103">
      <c r="A103" t="inlineStr">
        <is>
          <t>IP-117</t>
        </is>
      </c>
      <c r="B103" t="inlineStr">
        <is>
          <t>41</t>
        </is>
      </c>
      <c r="C103" t="inlineStr">
        <is>
          <t xml:space="preserve">Inclusión social y reconciliación </t>
        </is>
      </c>
      <c r="D103" t="inlineStr">
        <is>
          <t>4104</t>
        </is>
      </c>
      <c r="E103" t="inlineStr">
        <is>
          <t>Atención integral de población en situación permanente de desprotección social y/o familiar</t>
        </is>
      </c>
      <c r="F103" t="inlineStr">
        <is>
          <t>4104010</t>
        </is>
      </c>
      <c r="G103" t="inlineStr">
        <is>
          <t>Servicio de educación informal a los cuidadores del adulto mayor</t>
        </is>
      </c>
      <c r="H103" t="inlineStr">
        <is>
          <t>410401000</t>
        </is>
      </c>
      <c r="I103" t="inlineStr">
        <is>
          <t>Cuidadores cualificados</t>
        </is>
      </c>
      <c r="J103" t="inlineStr">
        <is>
          <t>2024257580006</t>
        </is>
      </c>
      <c r="K103" t="inlineStr">
        <is>
          <t>No</t>
        </is>
      </c>
      <c r="L103" t="inlineStr">
        <is>
          <t>Número</t>
        </is>
      </c>
      <c r="M103">
        <v>300</v>
      </c>
      <c r="N103">
        <v>75</v>
      </c>
      <c r="O103">
        <v>75</v>
      </c>
      <c r="P103">
        <v>75</v>
      </c>
      <c r="Q103">
        <v>75</v>
      </c>
      <c r="R103" t="inlineStr">
        <is>
          <t xml:space="preserve"> </t>
        </is>
      </c>
      <c r="S103" s="103" t="inlineStr">
        <is>
          <t xml:space="preserve"> </t>
        </is>
      </c>
      <c r="T103" t="inlineStr">
        <is>
          <t>No se encontró ejecución en PIIP</t>
        </is>
      </c>
      <c r="U103" t="inlineStr">
        <is>
          <t xml:space="preserve"> </t>
        </is>
      </c>
      <c r="V103" s="104" t="inlineStr">
        <is>
          <t xml:space="preserve"> </t>
        </is>
      </c>
      <c r="W103" t="inlineStr">
        <is>
          <t>No se encontró ejecución en PIIP</t>
        </is>
      </c>
    </row>
    <row r="104">
      <c r="A104" t="inlineStr">
        <is>
          <t>IP-118, IP-119, IP-121, IP-122, IP-123</t>
        </is>
      </c>
      <c r="B104" t="inlineStr">
        <is>
          <t>41</t>
        </is>
      </c>
      <c r="C104" t="inlineStr">
        <is>
          <t xml:space="preserve">Inclusión social y reconciliación </t>
        </is>
      </c>
      <c r="D104" t="inlineStr">
        <is>
          <t>4104</t>
        </is>
      </c>
      <c r="E104" t="inlineStr">
        <is>
          <t>Atención integral de población en situación permanente de desprotección social y/o familiar</t>
        </is>
      </c>
      <c r="F104" t="inlineStr">
        <is>
          <t>4104008</t>
        </is>
      </c>
      <c r="G104" t="inlineStr">
        <is>
          <t>Servicio de atención y protección integral al adulto mayor</t>
        </is>
      </c>
      <c r="H104" t="inlineStr">
        <is>
          <t>410400800</t>
        </is>
      </c>
      <c r="I104" t="inlineStr">
        <is>
          <t>Adultos mayores atendidos con servicios integrales</t>
        </is>
      </c>
      <c r="J104" t="inlineStr">
        <is>
          <t>2024257580006</t>
        </is>
      </c>
      <c r="K104" t="inlineStr">
        <is>
          <t>Si</t>
        </is>
      </c>
      <c r="L104" t="inlineStr">
        <is>
          <t>Número</t>
        </is>
      </c>
      <c r="M104">
        <v>1322</v>
      </c>
      <c r="N104">
        <v>621.5</v>
      </c>
      <c r="O104">
        <v>862</v>
      </c>
      <c r="P104">
        <v>1092</v>
      </c>
      <c r="Q104">
        <v>1322</v>
      </c>
      <c r="R104">
        <v>1479</v>
      </c>
      <c r="S104" s="103">
        <v>2.37972646822204</v>
      </c>
      <c r="T104" t="inlineStr">
        <is>
          <t>Hubo ejecución por encima de lo programado en SisPT</t>
        </is>
      </c>
      <c r="U104">
        <v>2475</v>
      </c>
      <c r="V104" s="104">
        <v>2.87122969837587</v>
      </c>
      <c r="W104" t="inlineStr">
        <is>
          <t>Hubo ejecución por encima de lo programado en SisPT</t>
        </is>
      </c>
    </row>
    <row r="105">
      <c r="A105" t="inlineStr">
        <is>
          <t>IP-120</t>
        </is>
      </c>
      <c r="B105" t="inlineStr">
        <is>
          <t>41</t>
        </is>
      </c>
      <c r="C105" t="inlineStr">
        <is>
          <t xml:space="preserve">Inclusión social y reconciliación </t>
        </is>
      </c>
      <c r="D105" t="inlineStr">
        <is>
          <t>4103</t>
        </is>
      </c>
      <c r="E105" t="inlineStr">
        <is>
          <t>Inclusión social y productiva para la población en situación de vulnerabilidad</t>
        </is>
      </c>
      <c r="F105" t="inlineStr">
        <is>
          <t>4103068</t>
        </is>
      </c>
      <c r="G105" t="inlineStr">
        <is>
          <t>Documentos metodológicos</t>
        </is>
      </c>
      <c r="H105" t="inlineStr">
        <is>
          <t>410306800</t>
        </is>
      </c>
      <c r="I105" t="inlineStr">
        <is>
          <t>Documentos metodológicos realizados</t>
        </is>
      </c>
      <c r="J105" t="inlineStr">
        <is>
          <t>2024257580006</t>
        </is>
      </c>
      <c r="K105" t="inlineStr">
        <is>
          <t>Si</t>
        </is>
      </c>
      <c r="L105" t="inlineStr">
        <is>
          <t>Número</t>
        </is>
      </c>
      <c r="M105">
        <v>40</v>
      </c>
      <c r="N105">
        <v>10</v>
      </c>
      <c r="O105">
        <v>20</v>
      </c>
      <c r="P105">
        <v>30</v>
      </c>
      <c r="Q105">
        <v>40</v>
      </c>
      <c r="R105" t="inlineStr">
        <is>
          <t xml:space="preserve"> </t>
        </is>
      </c>
      <c r="S105" s="103" t="inlineStr">
        <is>
          <t xml:space="preserve"> </t>
        </is>
      </c>
      <c r="T105" t="inlineStr">
        <is>
          <t>No se encontró ejecución en PIIP</t>
        </is>
      </c>
      <c r="U105" t="inlineStr">
        <is>
          <t xml:space="preserve"> </t>
        </is>
      </c>
      <c r="V105" s="104" t="inlineStr">
        <is>
          <t xml:space="preserve"> </t>
        </is>
      </c>
      <c r="W105" t="inlineStr">
        <is>
          <t>No se encontró ejecución en PIIP</t>
        </is>
      </c>
    </row>
    <row r="106">
      <c r="A106" t="inlineStr">
        <is>
          <t>IP-124</t>
        </is>
      </c>
      <c r="B106" t="inlineStr">
        <is>
          <t>41</t>
        </is>
      </c>
      <c r="C106" t="inlineStr">
        <is>
          <t xml:space="preserve">Inclusión social y reconciliación </t>
        </is>
      </c>
      <c r="D106" t="inlineStr">
        <is>
          <t>4104</t>
        </is>
      </c>
      <c r="E106" t="inlineStr">
        <is>
          <t>Atención integral de población en situación permanente de desprotección social y/o familiar</t>
        </is>
      </c>
      <c r="F106" t="inlineStr">
        <is>
          <t>4104008</t>
        </is>
      </c>
      <c r="G106" t="inlineStr">
        <is>
          <t>Servicio de atención y protección integral al adulto mayor</t>
        </is>
      </c>
      <c r="H106" t="inlineStr">
        <is>
          <t>410400800</t>
        </is>
      </c>
      <c r="I106" t="inlineStr">
        <is>
          <t>Adultos mayores atendidos con servicios integrales</t>
        </is>
      </c>
      <c r="J106" t="inlineStr">
        <is>
          <t>2024257580006</t>
        </is>
      </c>
      <c r="K106" t="inlineStr">
        <is>
          <t>No</t>
        </is>
      </c>
      <c r="L106" t="inlineStr">
        <is>
          <t>Número</t>
        </is>
      </c>
      <c r="M106">
        <v>400</v>
      </c>
      <c r="N106">
        <v>100</v>
      </c>
      <c r="O106">
        <v>100</v>
      </c>
      <c r="P106">
        <v>100</v>
      </c>
      <c r="Q106">
        <v>100</v>
      </c>
      <c r="R106" t="inlineStr">
        <is>
          <t xml:space="preserve"> </t>
        </is>
      </c>
      <c r="S106" s="103" t="inlineStr">
        <is>
          <t xml:space="preserve"> </t>
        </is>
      </c>
      <c r="T106" t="inlineStr">
        <is>
          <t>No se encontró ejecución en PIIP</t>
        </is>
      </c>
      <c r="U106" t="inlineStr">
        <is>
          <t xml:space="preserve"> </t>
        </is>
      </c>
      <c r="V106" s="104" t="inlineStr">
        <is>
          <t xml:space="preserve"> </t>
        </is>
      </c>
      <c r="W106" t="inlineStr">
        <is>
          <t>No se encontró ejecución en PIIP</t>
        </is>
      </c>
    </row>
    <row r="107">
      <c r="A107" t="inlineStr">
        <is>
          <t>IP-125, IP-126, IP-127, IP-128, IP-130</t>
        </is>
      </c>
      <c r="B107" t="inlineStr">
        <is>
          <t>41</t>
        </is>
      </c>
      <c r="C107" t="inlineStr">
        <is>
          <t xml:space="preserve">Inclusión social y reconciliación </t>
        </is>
      </c>
      <c r="D107" t="inlineStr">
        <is>
          <t>4104</t>
        </is>
      </c>
      <c r="E107" t="inlineStr">
        <is>
          <t>Atención integral de población en situación permanente de desprotección social y/o familiar</t>
        </is>
      </c>
      <c r="F107" t="inlineStr">
        <is>
          <t>4104020</t>
        </is>
      </c>
      <c r="G107" t="inlineStr">
        <is>
          <t>Servicio de atención integral a población en condición de discapacidad</t>
        </is>
      </c>
      <c r="H107" t="inlineStr">
        <is>
          <t>410402000</t>
        </is>
      </c>
      <c r="I107" t="inlineStr">
        <is>
          <t>Personas con discapacidad atendidas con servicios integrales</t>
        </is>
      </c>
      <c r="J107" t="inlineStr">
        <is>
          <t>2024257580007</t>
        </is>
      </c>
      <c r="K107" t="inlineStr">
        <is>
          <t>Si</t>
        </is>
      </c>
      <c r="L107" t="inlineStr">
        <is>
          <t>Número</t>
        </is>
      </c>
      <c r="M107">
        <v>602</v>
      </c>
      <c r="N107">
        <v>171.5</v>
      </c>
      <c r="O107">
        <v>312</v>
      </c>
      <c r="P107">
        <v>451</v>
      </c>
      <c r="Q107">
        <v>601</v>
      </c>
      <c r="R107" t="inlineStr">
        <is>
          <t xml:space="preserve"> </t>
        </is>
      </c>
      <c r="S107" s="103" t="inlineStr">
        <is>
          <t xml:space="preserve"> </t>
        </is>
      </c>
      <c r="T107" t="inlineStr">
        <is>
          <t>No se encontró ejecución en PIIP</t>
        </is>
      </c>
      <c r="U107" t="inlineStr">
        <is>
          <t xml:space="preserve"> </t>
        </is>
      </c>
      <c r="V107" s="104" t="inlineStr">
        <is>
          <t xml:space="preserve"> </t>
        </is>
      </c>
      <c r="W107" t="inlineStr">
        <is>
          <t>No se encontró ejecución en PIIP</t>
        </is>
      </c>
    </row>
    <row r="108">
      <c r="A108" t="inlineStr">
        <is>
          <t>IP-129</t>
        </is>
      </c>
      <c r="B108" t="inlineStr">
        <is>
          <t>41</t>
        </is>
      </c>
      <c r="C108" t="inlineStr">
        <is>
          <t xml:space="preserve">Inclusión social y reconciliación </t>
        </is>
      </c>
      <c r="D108" t="inlineStr">
        <is>
          <t>4104</t>
        </is>
      </c>
      <c r="E108" t="inlineStr">
        <is>
          <t>Atención integral de población en situación permanente de desprotección social y/o familiar</t>
        </is>
      </c>
      <c r="F108" t="inlineStr">
        <is>
          <t>4104037</t>
        </is>
      </c>
      <c r="G108" t="inlineStr">
        <is>
          <t>Centros de atención integral para personas con discapacidad adecuados</t>
        </is>
      </c>
      <c r="H108" t="inlineStr">
        <is>
          <t>410403700</t>
        </is>
      </c>
      <c r="I108" t="inlineStr">
        <is>
          <t>Centros de atención integral para personas con discapacidad adecuados</t>
        </is>
      </c>
      <c r="J108" t="inlineStr">
        <is>
          <t>2024257580007</t>
        </is>
      </c>
      <c r="K108" t="inlineStr">
        <is>
          <t>Si</t>
        </is>
      </c>
      <c r="L108" t="inlineStr">
        <is>
          <t>Número</t>
        </is>
      </c>
      <c r="M108">
        <v>1</v>
      </c>
      <c r="N108">
        <v>1</v>
      </c>
      <c r="O108">
        <v>1</v>
      </c>
      <c r="P108">
        <v>1</v>
      </c>
      <c r="Q108">
        <v>1</v>
      </c>
      <c r="R108" t="inlineStr">
        <is>
          <t xml:space="preserve"> </t>
        </is>
      </c>
      <c r="S108" s="103" t="inlineStr">
        <is>
          <t xml:space="preserve"> </t>
        </is>
      </c>
      <c r="T108" t="inlineStr">
        <is>
          <t>No se encontró ejecución en PIIP</t>
        </is>
      </c>
      <c r="U108" t="inlineStr">
        <is>
          <t xml:space="preserve"> </t>
        </is>
      </c>
      <c r="V108" s="104" t="inlineStr">
        <is>
          <t xml:space="preserve"> </t>
        </is>
      </c>
      <c r="W108" t="inlineStr">
        <is>
          <t>No se encontró ejecución en PIIP</t>
        </is>
      </c>
    </row>
    <row r="109">
      <c r="A109" t="inlineStr">
        <is>
          <t>IP-131</t>
        </is>
      </c>
      <c r="B109" t="inlineStr">
        <is>
          <t>41</t>
        </is>
      </c>
      <c r="C109" t="inlineStr">
        <is>
          <t xml:space="preserve">Inclusión social y reconciliación </t>
        </is>
      </c>
      <c r="D109" t="inlineStr">
        <is>
          <t>4104</t>
        </is>
      </c>
      <c r="E109" t="inlineStr">
        <is>
          <t>Atención integral de población en situación permanente de desprotección social y/o familiar</t>
        </is>
      </c>
      <c r="F109" t="inlineStr">
        <is>
          <t>4104020</t>
        </is>
      </c>
      <c r="G109" t="inlineStr">
        <is>
          <t>Servicio de atención integral a población en condición de discapacidad</t>
        </is>
      </c>
      <c r="H109" t="inlineStr">
        <is>
          <t>410402000</t>
        </is>
      </c>
      <c r="I109" t="inlineStr">
        <is>
          <t>Personas con discapacidad atendidas con servicios integrales</t>
        </is>
      </c>
      <c r="J109" t="inlineStr">
        <is>
          <t>2024257580007</t>
        </is>
      </c>
      <c r="K109" t="inlineStr">
        <is>
          <t>No</t>
        </is>
      </c>
      <c r="L109" t="inlineStr">
        <is>
          <t>Número</t>
        </is>
      </c>
      <c r="M109">
        <v>18</v>
      </c>
      <c r="N109">
        <v>0</v>
      </c>
      <c r="O109">
        <v>8</v>
      </c>
      <c r="P109">
        <v>5</v>
      </c>
      <c r="Q109">
        <v>5</v>
      </c>
      <c r="R109">
        <v>198</v>
      </c>
      <c r="S109" s="103" t="inlineStr">
        <is>
          <t xml:space="preserve"> </t>
        </is>
      </c>
      <c r="T109" t="inlineStr">
        <is>
          <t>Se ejecutó un producto no programado en la vigencia</t>
        </is>
      </c>
      <c r="U109">
        <v>795</v>
      </c>
      <c r="V109" s="104">
        <v>99.375</v>
      </c>
      <c r="W109" t="inlineStr">
        <is>
          <t>Hubo ejecución por encima de lo programado en SisPT</t>
        </is>
      </c>
    </row>
    <row r="110">
      <c r="A110" t="inlineStr">
        <is>
          <t>IP-132</t>
        </is>
      </c>
      <c r="B110" t="inlineStr">
        <is>
          <t>41</t>
        </is>
      </c>
      <c r="C110" t="inlineStr">
        <is>
          <t xml:space="preserve">Inclusión social y reconciliación </t>
        </is>
      </c>
      <c r="D110" t="inlineStr">
        <is>
          <t>4104</t>
        </is>
      </c>
      <c r="E110" t="inlineStr">
        <is>
          <t>Atención integral de población en situación permanente de desprotección social y/o familiar</t>
        </is>
      </c>
      <c r="F110" t="inlineStr">
        <is>
          <t>4104023</t>
        </is>
      </c>
      <c r="G110" t="inlineStr">
        <is>
          <t>Servicio de asistencia técnica a proyectos productivos de las granjas para adultos mayores</t>
        </is>
      </c>
      <c r="H110" t="inlineStr">
        <is>
          <t>410402300</t>
        </is>
      </c>
      <c r="I110" t="inlineStr">
        <is>
          <t>Proyectos productivos asistidos técnicamente</t>
        </is>
      </c>
      <c r="J110" t="inlineStr">
        <is>
          <t>2024257580007</t>
        </is>
      </c>
      <c r="K110" t="inlineStr">
        <is>
          <t>Si</t>
        </is>
      </c>
      <c r="L110" t="inlineStr">
        <is>
          <t>Número</t>
        </is>
      </c>
      <c r="M110">
        <v>1</v>
      </c>
      <c r="N110">
        <v>1</v>
      </c>
      <c r="O110">
        <v>1</v>
      </c>
      <c r="P110">
        <v>1</v>
      </c>
      <c r="Q110">
        <v>1</v>
      </c>
      <c r="R110" t="inlineStr">
        <is>
          <t xml:space="preserve"> </t>
        </is>
      </c>
      <c r="S110" s="103" t="inlineStr">
        <is>
          <t xml:space="preserve"> </t>
        </is>
      </c>
      <c r="T110" t="inlineStr">
        <is>
          <t>No se encontró ejecución en PIIP</t>
        </is>
      </c>
      <c r="U110" t="inlineStr">
        <is>
          <t xml:space="preserve"> </t>
        </is>
      </c>
      <c r="V110" s="104" t="inlineStr">
        <is>
          <t xml:space="preserve"> </t>
        </is>
      </c>
      <c r="W110" t="inlineStr">
        <is>
          <t>No se encontró ejecución en PIIP</t>
        </is>
      </c>
    </row>
    <row r="111">
      <c r="A111" t="inlineStr">
        <is>
          <t>IP-133</t>
        </is>
      </c>
      <c r="B111" t="inlineStr">
        <is>
          <t>41</t>
        </is>
      </c>
      <c r="C111" t="inlineStr">
        <is>
          <t xml:space="preserve">Inclusión social y reconciliación </t>
        </is>
      </c>
      <c r="D111" t="inlineStr">
        <is>
          <t>4104</t>
        </is>
      </c>
      <c r="E111" t="inlineStr">
        <is>
          <t>Atención integral de población en situación permanente de desprotección social y/o familiar</t>
        </is>
      </c>
      <c r="F111" t="inlineStr">
        <is>
          <t>4104026</t>
        </is>
      </c>
      <c r="G111" t="inlineStr">
        <is>
          <t>Servicio de articulación de oferta social para la población habitante de calle</t>
        </is>
      </c>
      <c r="H111" t="inlineStr">
        <is>
          <t>410402600</t>
        </is>
      </c>
      <c r="I111" t="inlineStr">
        <is>
          <t>Personas atendidas con oferta institucional</t>
        </is>
      </c>
      <c r="J111" t="inlineStr">
        <is>
          <t>2024257580013</t>
        </is>
      </c>
      <c r="K111" t="inlineStr">
        <is>
          <t>Si</t>
        </is>
      </c>
      <c r="L111" t="inlineStr">
        <is>
          <t>Número</t>
        </is>
      </c>
      <c r="M111">
        <v>400</v>
      </c>
      <c r="N111">
        <v>100</v>
      </c>
      <c r="O111">
        <v>400</v>
      </c>
      <c r="P111">
        <v>400</v>
      </c>
      <c r="Q111">
        <v>400</v>
      </c>
      <c r="R111" t="inlineStr">
        <is>
          <t xml:space="preserve"> </t>
        </is>
      </c>
      <c r="S111" s="103" t="inlineStr">
        <is>
          <t xml:space="preserve"> </t>
        </is>
      </c>
      <c r="T111" t="inlineStr">
        <is>
          <t>No se encontró ejecución en PIIP</t>
        </is>
      </c>
      <c r="U111" t="inlineStr">
        <is>
          <t xml:space="preserve"> </t>
        </is>
      </c>
      <c r="V111" s="104" t="inlineStr">
        <is>
          <t xml:space="preserve"> </t>
        </is>
      </c>
      <c r="W111" t="inlineStr">
        <is>
          <t>No se encontró ejecución en PIIP</t>
        </is>
      </c>
    </row>
    <row r="112">
      <c r="A112" t="inlineStr">
        <is>
          <t>IP-134</t>
        </is>
      </c>
      <c r="B112" t="inlineStr">
        <is>
          <t>41</t>
        </is>
      </c>
      <c r="C112" t="inlineStr">
        <is>
          <t xml:space="preserve">Inclusión social y reconciliación </t>
        </is>
      </c>
      <c r="D112" t="inlineStr">
        <is>
          <t>4104</t>
        </is>
      </c>
      <c r="E112" t="inlineStr">
        <is>
          <t>Atención integral de población en situación permanente de desprotección social y/o familiar</t>
        </is>
      </c>
      <c r="F112" t="inlineStr">
        <is>
          <t>4104023</t>
        </is>
      </c>
      <c r="G112" t="inlineStr">
        <is>
          <t>Servicio de asistencia técnica a proyectos productivos de las granjas para adultos mayores</t>
        </is>
      </c>
      <c r="H112" t="inlineStr">
        <is>
          <t>410402300</t>
        </is>
      </c>
      <c r="I112" t="inlineStr">
        <is>
          <t>Proyectos productivos asistidos técnicamente</t>
        </is>
      </c>
      <c r="J112" t="inlineStr">
        <is>
          <t>2024257580013</t>
        </is>
      </c>
      <c r="K112" t="inlineStr">
        <is>
          <t>Si</t>
        </is>
      </c>
      <c r="L112" t="inlineStr">
        <is>
          <t>Número</t>
        </is>
      </c>
      <c r="M112">
        <v>1</v>
      </c>
      <c r="N112">
        <v>1</v>
      </c>
      <c r="O112">
        <v>1</v>
      </c>
      <c r="P112">
        <v>1</v>
      </c>
      <c r="Q112">
        <v>1</v>
      </c>
      <c r="R112" t="inlineStr">
        <is>
          <t xml:space="preserve"> </t>
        </is>
      </c>
      <c r="S112" s="103" t="inlineStr">
        <is>
          <t xml:space="preserve"> </t>
        </is>
      </c>
      <c r="T112" t="inlineStr">
        <is>
          <t>No se encontró ejecución en PIIP</t>
        </is>
      </c>
      <c r="U112" t="inlineStr">
        <is>
          <t xml:space="preserve"> </t>
        </is>
      </c>
      <c r="V112" s="104" t="inlineStr">
        <is>
          <t xml:space="preserve"> </t>
        </is>
      </c>
      <c r="W112" t="inlineStr">
        <is>
          <t>No se encontró ejecución en PIIP</t>
        </is>
      </c>
    </row>
    <row r="113">
      <c r="A113" t="inlineStr">
        <is>
          <t>IP-135</t>
        </is>
      </c>
      <c r="B113" t="inlineStr">
        <is>
          <t>41</t>
        </is>
      </c>
      <c r="C113" t="inlineStr">
        <is>
          <t xml:space="preserve">Inclusión social y reconciliación </t>
        </is>
      </c>
      <c r="D113" t="inlineStr">
        <is>
          <t>4104</t>
        </is>
      </c>
      <c r="E113" t="inlineStr">
        <is>
          <t>Atención integral de población en situación permanente de desprotección social y/o familiar</t>
        </is>
      </c>
      <c r="F113" t="inlineStr">
        <is>
          <t>4104027</t>
        </is>
      </c>
      <c r="G113" t="inlineStr">
        <is>
          <t>Servicio de atención integral al habitante de la calle</t>
        </is>
      </c>
      <c r="H113" t="inlineStr">
        <is>
          <t>410402700</t>
        </is>
      </c>
      <c r="I113" t="inlineStr">
        <is>
          <t xml:space="preserve">Personas atendidas con servicios integrales </t>
        </is>
      </c>
      <c r="J113" t="inlineStr">
        <is>
          <t>2024257580013</t>
        </is>
      </c>
      <c r="K113" t="inlineStr">
        <is>
          <t>Si</t>
        </is>
      </c>
      <c r="L113" t="inlineStr">
        <is>
          <t>Número</t>
        </is>
      </c>
      <c r="M113">
        <v>100</v>
      </c>
      <c r="N113">
        <v>25</v>
      </c>
      <c r="O113">
        <v>50</v>
      </c>
      <c r="P113">
        <v>75</v>
      </c>
      <c r="Q113">
        <v>100</v>
      </c>
      <c r="R113" t="inlineStr">
        <is>
          <t xml:space="preserve"> </t>
        </is>
      </c>
      <c r="S113" s="103" t="inlineStr">
        <is>
          <t xml:space="preserve"> </t>
        </is>
      </c>
      <c r="T113" t="inlineStr">
        <is>
          <t>No se encontró ejecución en PIIP</t>
        </is>
      </c>
      <c r="U113" t="inlineStr">
        <is>
          <t xml:space="preserve"> </t>
        </is>
      </c>
      <c r="V113" s="104" t="inlineStr">
        <is>
          <t xml:space="preserve"> </t>
        </is>
      </c>
      <c r="W113" t="inlineStr">
        <is>
          <t>No se encontró ejecución en PIIP</t>
        </is>
      </c>
    </row>
    <row r="114">
      <c r="A114" t="inlineStr">
        <is>
          <t>IP-136</t>
        </is>
      </c>
      <c r="B114" t="inlineStr">
        <is>
          <t>41</t>
        </is>
      </c>
      <c r="C114" t="inlineStr">
        <is>
          <t xml:space="preserve">Inclusión social y reconciliación </t>
        </is>
      </c>
      <c r="D114" t="inlineStr">
        <is>
          <t>4104</t>
        </is>
      </c>
      <c r="E114" t="inlineStr">
        <is>
          <t>Atención integral de población en situación permanente de desprotección social y/o familiar</t>
        </is>
      </c>
      <c r="F114" t="inlineStr">
        <is>
          <t>4104023</t>
        </is>
      </c>
      <c r="G114" t="inlineStr">
        <is>
          <t>Servicio de asistencia técnica a proyectos productivos de las granjas para adultos mayores</t>
        </is>
      </c>
      <c r="H114" t="inlineStr">
        <is>
          <t>410402300</t>
        </is>
      </c>
      <c r="I114" t="inlineStr">
        <is>
          <t>Proyectos productivos asistidos técnicamente</t>
        </is>
      </c>
      <c r="J114" t="inlineStr">
        <is>
          <t>2024257580013</t>
        </is>
      </c>
      <c r="K114" t="inlineStr">
        <is>
          <t>No</t>
        </is>
      </c>
      <c r="L114" t="inlineStr">
        <is>
          <t>Número</t>
        </is>
      </c>
      <c r="M114">
        <v>15</v>
      </c>
      <c r="N114">
        <v>0</v>
      </c>
      <c r="O114">
        <v>5</v>
      </c>
      <c r="P114">
        <v>5</v>
      </c>
      <c r="Q114">
        <v>5</v>
      </c>
      <c r="R114" t="inlineStr">
        <is>
          <t xml:space="preserve"> </t>
        </is>
      </c>
      <c r="S114" s="103" t="inlineStr">
        <is>
          <t xml:space="preserve"> </t>
        </is>
      </c>
      <c r="T114" t="inlineStr">
        <is>
          <t>No se encontró ejecución en PIIP</t>
        </is>
      </c>
      <c r="U114" t="inlineStr">
        <is>
          <t xml:space="preserve"> </t>
        </is>
      </c>
      <c r="V114" s="104" t="inlineStr">
        <is>
          <t xml:space="preserve"> </t>
        </is>
      </c>
      <c r="W114" t="inlineStr">
        <is>
          <t>No se encontró ejecución en PIIP</t>
        </is>
      </c>
    </row>
    <row r="115">
      <c r="A115" t="inlineStr">
        <is>
          <t>IP-137</t>
        </is>
      </c>
      <c r="B115" t="inlineStr">
        <is>
          <t>41</t>
        </is>
      </c>
      <c r="C115" t="inlineStr">
        <is>
          <t xml:space="preserve">Inclusión social y reconciliación </t>
        </is>
      </c>
      <c r="D115" t="inlineStr">
        <is>
          <t>4104</t>
        </is>
      </c>
      <c r="E115" t="inlineStr">
        <is>
          <t>Atención integral de población en situación permanente de desprotección social y/o familiar</t>
        </is>
      </c>
      <c r="F115" t="inlineStr">
        <is>
          <t>4104011</t>
        </is>
      </c>
      <c r="G115" t="inlineStr">
        <is>
          <t>Servicio de caracterización demográfica y socioeconómica de las personas habitantes de la calle</t>
        </is>
      </c>
      <c r="H115" t="inlineStr">
        <is>
          <t>410401100</t>
        </is>
      </c>
      <c r="I115" t="inlineStr">
        <is>
          <t>Personas caracterizadas</t>
        </is>
      </c>
      <c r="J115" t="inlineStr">
        <is>
          <t>2024257580013</t>
        </is>
      </c>
      <c r="K115" t="inlineStr">
        <is>
          <t>Si</t>
        </is>
      </c>
      <c r="L115" t="inlineStr">
        <is>
          <t>Número</t>
        </is>
      </c>
      <c r="M115">
        <v>1</v>
      </c>
      <c r="N115">
        <v>1</v>
      </c>
      <c r="O115">
        <v>1</v>
      </c>
      <c r="P115">
        <v>1</v>
      </c>
      <c r="Q115">
        <v>1</v>
      </c>
      <c r="R115" t="inlineStr">
        <is>
          <t xml:space="preserve"> </t>
        </is>
      </c>
      <c r="S115" s="103" t="inlineStr">
        <is>
          <t xml:space="preserve"> </t>
        </is>
      </c>
      <c r="T115" t="inlineStr">
        <is>
          <t>No se encontró ejecución en PIIP</t>
        </is>
      </c>
      <c r="U115" t="inlineStr">
        <is>
          <t xml:space="preserve"> </t>
        </is>
      </c>
      <c r="V115" s="104" t="inlineStr">
        <is>
          <t xml:space="preserve"> </t>
        </is>
      </c>
      <c r="W115" t="inlineStr">
        <is>
          <t>No se encontró ejecución en PIIP</t>
        </is>
      </c>
    </row>
    <row r="116">
      <c r="A116" t="inlineStr">
        <is>
          <t>IP-138</t>
        </is>
      </c>
      <c r="B116" t="inlineStr">
        <is>
          <t>41</t>
        </is>
      </c>
      <c r="C116" t="inlineStr">
        <is>
          <t xml:space="preserve">Inclusión social y reconciliación </t>
        </is>
      </c>
      <c r="D116" t="inlineStr">
        <is>
          <t>4101</t>
        </is>
      </c>
      <c r="E116" t="inlineStr">
        <is>
          <t>Atención, asistencia y reparación integral a las víctimas</t>
        </is>
      </c>
      <c r="F116" t="inlineStr">
        <is>
          <t>4101014</t>
        </is>
      </c>
      <c r="G116" t="inlineStr">
        <is>
          <t>Servicio de caracterización de la población víctima para su posterior atención, asistencia y reparación integral</t>
        </is>
      </c>
      <c r="H116" t="inlineStr">
        <is>
          <t>410101400</t>
        </is>
      </c>
      <c r="I116" t="inlineStr">
        <is>
          <t>Víctimas caracterizadas</t>
        </is>
      </c>
      <c r="J116" t="inlineStr">
        <is>
          <t>2024257580016</t>
        </is>
      </c>
      <c r="K116" t="inlineStr">
        <is>
          <t>Si</t>
        </is>
      </c>
      <c r="L116" t="inlineStr">
        <is>
          <t>Número</t>
        </is>
      </c>
      <c r="M116">
        <v>200</v>
      </c>
      <c r="N116">
        <v>50</v>
      </c>
      <c r="O116">
        <v>100</v>
      </c>
      <c r="P116">
        <v>150</v>
      </c>
      <c r="Q116">
        <v>200</v>
      </c>
      <c r="R116" t="inlineStr">
        <is>
          <t xml:space="preserve"> </t>
        </is>
      </c>
      <c r="S116" s="103" t="inlineStr">
        <is>
          <t xml:space="preserve"> </t>
        </is>
      </c>
      <c r="T116" t="inlineStr">
        <is>
          <t>No se encontró ejecución en PIIP</t>
        </is>
      </c>
      <c r="U116" t="inlineStr">
        <is>
          <t xml:space="preserve"> </t>
        </is>
      </c>
      <c r="V116" s="104" t="inlineStr">
        <is>
          <t xml:space="preserve"> </t>
        </is>
      </c>
      <c r="W116" t="inlineStr">
        <is>
          <t>No se encontró ejecución en PIIP</t>
        </is>
      </c>
    </row>
    <row r="117">
      <c r="A117" t="inlineStr">
        <is>
          <t>IP-139</t>
        </is>
      </c>
      <c r="B117" t="inlineStr">
        <is>
          <t>41</t>
        </is>
      </c>
      <c r="C117" t="inlineStr">
        <is>
          <t xml:space="preserve">Inclusión social y reconciliación </t>
        </is>
      </c>
      <c r="D117" t="inlineStr">
        <is>
          <t>4101</t>
        </is>
      </c>
      <c r="E117" t="inlineStr">
        <is>
          <t>Atención, asistencia y reparación integral a las víctimas</t>
        </is>
      </c>
      <c r="F117" t="inlineStr">
        <is>
          <t>4101103</t>
        </is>
      </c>
      <c r="G117" t="inlineStr">
        <is>
          <t>Documentos de planeación</t>
        </is>
      </c>
      <c r="H117" t="inlineStr">
        <is>
          <t>410110300</t>
        </is>
      </c>
      <c r="I117" t="inlineStr">
        <is>
          <t>Documentos de planeación elaborados</t>
        </is>
      </c>
      <c r="J117" t="inlineStr">
        <is>
          <t>2024257580016</t>
        </is>
      </c>
      <c r="K117" t="inlineStr">
        <is>
          <t>Si</t>
        </is>
      </c>
      <c r="L117" t="inlineStr">
        <is>
          <t>Número</t>
        </is>
      </c>
      <c r="M117">
        <v>4</v>
      </c>
      <c r="N117">
        <v>4</v>
      </c>
      <c r="O117">
        <v>4</v>
      </c>
      <c r="P117">
        <v>4</v>
      </c>
      <c r="Q117">
        <v>4</v>
      </c>
      <c r="R117" t="inlineStr">
        <is>
          <t xml:space="preserve"> </t>
        </is>
      </c>
      <c r="S117" s="103" t="inlineStr">
        <is>
          <t xml:space="preserve"> </t>
        </is>
      </c>
      <c r="T117" t="inlineStr">
        <is>
          <t>No se encontró ejecución en PIIP</t>
        </is>
      </c>
      <c r="U117" t="inlineStr">
        <is>
          <t xml:space="preserve"> </t>
        </is>
      </c>
      <c r="V117" s="104" t="inlineStr">
        <is>
          <t xml:space="preserve"> </t>
        </is>
      </c>
      <c r="W117" t="inlineStr">
        <is>
          <t>No se encontró ejecución en PIIP</t>
        </is>
      </c>
    </row>
    <row r="118">
      <c r="A118" t="inlineStr">
        <is>
          <t>IP-140</t>
        </is>
      </c>
      <c r="B118" t="inlineStr">
        <is>
          <t>41</t>
        </is>
      </c>
      <c r="C118" t="inlineStr">
        <is>
          <t xml:space="preserve">Inclusión social y reconciliación </t>
        </is>
      </c>
      <c r="D118" t="inlineStr">
        <is>
          <t>4101</t>
        </is>
      </c>
      <c r="E118" t="inlineStr">
        <is>
          <t>Atención, asistencia y reparación integral a las víctimas</t>
        </is>
      </c>
      <c r="F118" t="inlineStr">
        <is>
          <t>4101025</t>
        </is>
      </c>
      <c r="G118" t="inlineStr">
        <is>
          <t>Servicio de ayuda y atención humanitaria</t>
        </is>
      </c>
      <c r="H118" t="inlineStr">
        <is>
          <t>410102500</t>
        </is>
      </c>
      <c r="I118" t="inlineStr">
        <is>
          <t>Personas con asistencia humanitaria</t>
        </is>
      </c>
      <c r="J118" t="inlineStr">
        <is>
          <t>2024257580016</t>
        </is>
      </c>
      <c r="K118" t="inlineStr">
        <is>
          <t>Si</t>
        </is>
      </c>
      <c r="L118" t="inlineStr">
        <is>
          <t>Número</t>
        </is>
      </c>
      <c r="M118">
        <v>100</v>
      </c>
      <c r="N118">
        <v>100</v>
      </c>
      <c r="O118">
        <v>100</v>
      </c>
      <c r="P118">
        <v>100</v>
      </c>
      <c r="Q118">
        <v>100</v>
      </c>
      <c r="R118" t="inlineStr">
        <is>
          <t xml:space="preserve"> </t>
        </is>
      </c>
      <c r="S118" s="103" t="inlineStr">
        <is>
          <t xml:space="preserve"> </t>
        </is>
      </c>
      <c r="T118" t="inlineStr">
        <is>
          <t>No se encontró ejecución en PIIP</t>
        </is>
      </c>
      <c r="U118" t="inlineStr">
        <is>
          <t xml:space="preserve"> </t>
        </is>
      </c>
      <c r="V118" s="104" t="inlineStr">
        <is>
          <t xml:space="preserve"> </t>
        </is>
      </c>
      <c r="W118" t="inlineStr">
        <is>
          <t>No se encontró ejecución en PIIP</t>
        </is>
      </c>
    </row>
    <row r="119">
      <c r="A119" t="inlineStr">
        <is>
          <t>IP-141</t>
        </is>
      </c>
      <c r="B119" t="inlineStr">
        <is>
          <t>41</t>
        </is>
      </c>
      <c r="C119" t="inlineStr">
        <is>
          <t xml:space="preserve">Inclusión social y reconciliación </t>
        </is>
      </c>
      <c r="D119" t="inlineStr">
        <is>
          <t>4101</t>
        </is>
      </c>
      <c r="E119" t="inlineStr">
        <is>
          <t>Atención, asistencia y reparación integral a las víctimas</t>
        </is>
      </c>
      <c r="F119" t="inlineStr">
        <is>
          <t>4101038</t>
        </is>
      </c>
      <c r="G119" t="inlineStr">
        <is>
          <t>Servicio de asistencia técnica para la participación de las víctimas</t>
        </is>
      </c>
      <c r="H119" t="inlineStr">
        <is>
          <t>410103800</t>
        </is>
      </c>
      <c r="I119" t="inlineStr">
        <is>
          <t>Eventos de participación realizados</t>
        </is>
      </c>
      <c r="J119" t="inlineStr">
        <is>
          <t>2024257580016</t>
        </is>
      </c>
      <c r="K119" t="inlineStr">
        <is>
          <t>No</t>
        </is>
      </c>
      <c r="L119" t="inlineStr">
        <is>
          <t>Número</t>
        </is>
      </c>
      <c r="M119">
        <v>8</v>
      </c>
      <c r="N119">
        <v>2</v>
      </c>
      <c r="O119">
        <v>2</v>
      </c>
      <c r="P119">
        <v>2</v>
      </c>
      <c r="Q119">
        <v>2</v>
      </c>
      <c r="R119">
        <v>4</v>
      </c>
      <c r="S119" s="103">
        <v>2</v>
      </c>
      <c r="T119" t="inlineStr">
        <is>
          <t>Hubo ejecución por encima de lo programado en SisPT</t>
        </is>
      </c>
      <c r="U119">
        <v>4</v>
      </c>
      <c r="V119" s="104">
        <v>2</v>
      </c>
      <c r="W119" t="inlineStr">
        <is>
          <t>Hubo ejecución por encima de lo programado en SisPT</t>
        </is>
      </c>
    </row>
    <row r="120">
      <c r="A120" t="inlineStr">
        <is>
          <t>IP-142</t>
        </is>
      </c>
      <c r="B120" t="inlineStr">
        <is>
          <t>41</t>
        </is>
      </c>
      <c r="C120" t="inlineStr">
        <is>
          <t xml:space="preserve">Inclusión social y reconciliación </t>
        </is>
      </c>
      <c r="D120" t="inlineStr">
        <is>
          <t>4101</t>
        </is>
      </c>
      <c r="E120" t="inlineStr">
        <is>
          <t>Atención, asistencia y reparación integral a las víctimas</t>
        </is>
      </c>
      <c r="F120" t="inlineStr">
        <is>
          <t>4101038</t>
        </is>
      </c>
      <c r="G120" t="inlineStr">
        <is>
          <t>Servicio de asistencia técnica para la participación de las víctimas</t>
        </is>
      </c>
      <c r="H120" t="inlineStr">
        <is>
          <t>410103801</t>
        </is>
      </c>
      <c r="I120" t="inlineStr">
        <is>
          <t>Mesas de participación en funcionamiento</t>
        </is>
      </c>
      <c r="J120" t="inlineStr">
        <is>
          <t>2024257580016</t>
        </is>
      </c>
      <c r="K120" t="inlineStr">
        <is>
          <t>Si</t>
        </is>
      </c>
      <c r="L120" t="inlineStr">
        <is>
          <t>Número</t>
        </is>
      </c>
      <c r="M120">
        <v>1</v>
      </c>
      <c r="N120">
        <v>1</v>
      </c>
      <c r="O120">
        <v>1</v>
      </c>
      <c r="P120">
        <v>1</v>
      </c>
      <c r="Q120">
        <v>1</v>
      </c>
      <c r="R120" t="inlineStr">
        <is>
          <t xml:space="preserve"> </t>
        </is>
      </c>
      <c r="S120" s="103" t="inlineStr">
        <is>
          <t xml:space="preserve"> </t>
        </is>
      </c>
      <c r="T120" t="inlineStr">
        <is>
          <t>No se encontró ejecución en PIIP</t>
        </is>
      </c>
      <c r="U120" t="inlineStr">
        <is>
          <t xml:space="preserve"> </t>
        </is>
      </c>
      <c r="V120" s="104" t="inlineStr">
        <is>
          <t xml:space="preserve"> </t>
        </is>
      </c>
      <c r="W120" t="inlineStr">
        <is>
          <t>No se encontró ejecución en PIIP</t>
        </is>
      </c>
    </row>
    <row r="121">
      <c r="A121" t="inlineStr">
        <is>
          <t>IP-143</t>
        </is>
      </c>
      <c r="B121" t="inlineStr">
        <is>
          <t>41</t>
        </is>
      </c>
      <c r="C121" t="inlineStr">
        <is>
          <t xml:space="preserve">Inclusión social y reconciliación </t>
        </is>
      </c>
      <c r="D121" t="inlineStr">
        <is>
          <t>4101</t>
        </is>
      </c>
      <c r="E121" t="inlineStr">
        <is>
          <t>Atención, asistencia y reparación integral a las víctimas</t>
        </is>
      </c>
      <c r="F121" t="inlineStr">
        <is>
          <t>4101031</t>
        </is>
      </c>
      <c r="G121" t="inlineStr">
        <is>
          <t>Servicios de implementaciónde medidas de satisfacción y acompañamiento a las víctimas del conflicto armado</t>
        </is>
      </c>
      <c r="H121" t="inlineStr">
        <is>
          <t>410103100</t>
        </is>
      </c>
      <c r="I121" t="inlineStr">
        <is>
          <t>Víctimas reconocidas, recordadas y dignificadas por el Estado.</t>
        </is>
      </c>
      <c r="J121" t="inlineStr">
        <is>
          <t>2024257580016</t>
        </is>
      </c>
      <c r="K121" t="inlineStr">
        <is>
          <t>Si</t>
        </is>
      </c>
      <c r="L121" t="inlineStr">
        <is>
          <t>Número</t>
        </is>
      </c>
      <c r="M121">
        <v>200</v>
      </c>
      <c r="N121">
        <v>200</v>
      </c>
      <c r="O121">
        <v>200</v>
      </c>
      <c r="P121">
        <v>200</v>
      </c>
      <c r="Q121">
        <v>200</v>
      </c>
      <c r="R121" t="inlineStr">
        <is>
          <t xml:space="preserve"> </t>
        </is>
      </c>
      <c r="S121" s="103" t="inlineStr">
        <is>
          <t xml:space="preserve"> </t>
        </is>
      </c>
      <c r="T121" t="inlineStr">
        <is>
          <t>No se encontró ejecución en PIIP</t>
        </is>
      </c>
      <c r="U121" t="inlineStr">
        <is>
          <t xml:space="preserve"> </t>
        </is>
      </c>
      <c r="V121" s="104" t="inlineStr">
        <is>
          <t xml:space="preserve"> </t>
        </is>
      </c>
      <c r="W121" t="inlineStr">
        <is>
          <t>No se encontró ejecución en PIIP</t>
        </is>
      </c>
    </row>
    <row r="122">
      <c r="A122" t="inlineStr">
        <is>
          <t>IP-144</t>
        </is>
      </c>
      <c r="B122" t="inlineStr">
        <is>
          <t>41</t>
        </is>
      </c>
      <c r="C122" t="inlineStr">
        <is>
          <t xml:space="preserve">Inclusión social y reconciliación </t>
        </is>
      </c>
      <c r="D122" t="inlineStr">
        <is>
          <t>4103</t>
        </is>
      </c>
      <c r="E122" t="inlineStr">
        <is>
          <t>Inclusión social y productiva para la población en situación de vulnerabilidad</t>
        </is>
      </c>
      <c r="F122" t="inlineStr">
        <is>
          <t>4103057</t>
        </is>
      </c>
      <c r="G122" t="inlineStr">
        <is>
          <t>Servicio de apoyo a unidades productivas individuales para la generación de ingresos</t>
        </is>
      </c>
      <c r="H122" t="inlineStr">
        <is>
          <t>410305702</t>
        </is>
      </c>
      <c r="I122" t="inlineStr">
        <is>
          <t>Unidades productivas vinculadas</t>
        </is>
      </c>
      <c r="J122" t="inlineStr">
        <is>
          <t>2024257580016</t>
        </is>
      </c>
      <c r="K122" t="inlineStr">
        <is>
          <t>No</t>
        </is>
      </c>
      <c r="L122" t="inlineStr">
        <is>
          <t>Número</t>
        </is>
      </c>
      <c r="M122">
        <v>20</v>
      </c>
      <c r="N122">
        <v>0</v>
      </c>
      <c r="O122">
        <v>7</v>
      </c>
      <c r="P122">
        <v>7</v>
      </c>
      <c r="Q122">
        <v>6</v>
      </c>
      <c r="R122" t="inlineStr">
        <is>
          <t xml:space="preserve"> </t>
        </is>
      </c>
      <c r="S122" s="103" t="inlineStr">
        <is>
          <t xml:space="preserve"> </t>
        </is>
      </c>
      <c r="T122" t="inlineStr">
        <is>
          <t>No se encontró ejecución en PIIP</t>
        </is>
      </c>
      <c r="U122" t="inlineStr">
        <is>
          <t xml:space="preserve"> </t>
        </is>
      </c>
      <c r="V122" s="104" t="inlineStr">
        <is>
          <t xml:space="preserve"> </t>
        </is>
      </c>
      <c r="W122" t="inlineStr">
        <is>
          <t>No se encontró ejecución en PIIP</t>
        </is>
      </c>
    </row>
    <row r="123">
      <c r="A123" t="inlineStr">
        <is>
          <t>IP-145</t>
        </is>
      </c>
      <c r="B123" t="inlineStr">
        <is>
          <t>33</t>
        </is>
      </c>
      <c r="C123" t="inlineStr">
        <is>
          <t>Cultura</t>
        </is>
      </c>
      <c r="D123" t="inlineStr">
        <is>
          <t>3301</t>
        </is>
      </c>
      <c r="E123" t="inlineStr">
        <is>
          <t>Promoción y acceso efectivo a procesos culturales y artísticos</t>
        </is>
      </c>
      <c r="F123" t="inlineStr">
        <is>
          <t>3301051</t>
        </is>
      </c>
      <c r="G123" t="inlineStr">
        <is>
          <t>Servicio de educación informal al sector artístico y cultural</t>
        </is>
      </c>
      <c r="H123" t="inlineStr">
        <is>
          <t>330105100</t>
        </is>
      </c>
      <c r="I123" t="inlineStr">
        <is>
          <t>Personas capacitadas</t>
        </is>
      </c>
      <c r="J123" t="inlineStr">
        <is>
          <t>2024257580009</t>
        </is>
      </c>
      <c r="K123" t="inlineStr">
        <is>
          <t>Si</t>
        </is>
      </c>
      <c r="L123" t="inlineStr">
        <is>
          <t>Número</t>
        </is>
      </c>
      <c r="M123">
        <v>3426</v>
      </c>
      <c r="N123">
        <v>3426</v>
      </c>
      <c r="O123">
        <v>3426</v>
      </c>
      <c r="P123">
        <v>3426</v>
      </c>
      <c r="Q123">
        <v>3426</v>
      </c>
      <c r="R123" t="inlineStr">
        <is>
          <t xml:space="preserve"> </t>
        </is>
      </c>
      <c r="S123" s="103" t="inlineStr">
        <is>
          <t xml:space="preserve"> </t>
        </is>
      </c>
      <c r="T123" t="inlineStr">
        <is>
          <t>No se encontró ejecución en PIIP</t>
        </is>
      </c>
      <c r="U123" t="inlineStr">
        <is>
          <t xml:space="preserve"> </t>
        </is>
      </c>
      <c r="V123" s="104" t="inlineStr">
        <is>
          <t xml:space="preserve"> </t>
        </is>
      </c>
      <c r="W123" t="inlineStr">
        <is>
          <t>No se encontró ejecución en PIIP</t>
        </is>
      </c>
    </row>
    <row r="124">
      <c r="A124" t="inlineStr">
        <is>
          <t>IP-146</t>
        </is>
      </c>
      <c r="B124" t="inlineStr">
        <is>
          <t>33</t>
        </is>
      </c>
      <c r="C124" t="inlineStr">
        <is>
          <t>Cultura</t>
        </is>
      </c>
      <c r="D124" t="inlineStr">
        <is>
          <t>3301</t>
        </is>
      </c>
      <c r="E124" t="inlineStr">
        <is>
          <t>Promoción y acceso efectivo a procesos culturales y artísticos</t>
        </is>
      </c>
      <c r="F124" t="inlineStr">
        <is>
          <t>3301054</t>
        </is>
      </c>
      <c r="G124" t="inlineStr">
        <is>
          <t>Servicio de apoyo financiero al sector artístico y cultural</t>
        </is>
      </c>
      <c r="H124" t="inlineStr">
        <is>
          <t>330105402</t>
        </is>
      </c>
      <c r="I124" t="inlineStr">
        <is>
          <t>Estímulos otorgados a los beneficiarios de Colombia Creativa</t>
        </is>
      </c>
      <c r="J124" t="inlineStr">
        <is>
          <t>2024257580009</t>
        </is>
      </c>
      <c r="K124" t="inlineStr">
        <is>
          <t>No</t>
        </is>
      </c>
      <c r="L124" t="inlineStr">
        <is>
          <t>Número</t>
        </is>
      </c>
      <c r="M124">
        <v>120</v>
      </c>
      <c r="N124">
        <v>30</v>
      </c>
      <c r="O124">
        <v>30</v>
      </c>
      <c r="P124">
        <v>30</v>
      </c>
      <c r="Q124">
        <v>30</v>
      </c>
      <c r="R124" t="inlineStr">
        <is>
          <t xml:space="preserve"> </t>
        </is>
      </c>
      <c r="S124" s="103" t="inlineStr">
        <is>
          <t xml:space="preserve"> </t>
        </is>
      </c>
      <c r="T124" t="inlineStr">
        <is>
          <t>No se encontró ejecución en PIIP</t>
        </is>
      </c>
      <c r="U124" t="inlineStr">
        <is>
          <t xml:space="preserve"> </t>
        </is>
      </c>
      <c r="V124" s="104" t="inlineStr">
        <is>
          <t xml:space="preserve"> </t>
        </is>
      </c>
      <c r="W124" t="inlineStr">
        <is>
          <t>No se encontró ejecución en PIIP</t>
        </is>
      </c>
    </row>
    <row r="125">
      <c r="A125" t="inlineStr">
        <is>
          <t>IP-147, IP-148, IP-152</t>
        </is>
      </c>
      <c r="B125" t="inlineStr">
        <is>
          <t>33</t>
        </is>
      </c>
      <c r="C125" t="inlineStr">
        <is>
          <t>Cultura</t>
        </is>
      </c>
      <c r="D125" t="inlineStr">
        <is>
          <t>3301</t>
        </is>
      </c>
      <c r="E125" t="inlineStr">
        <is>
          <t>Promoción y acceso efectivo a procesos culturales y artísticos</t>
        </is>
      </c>
      <c r="F125" t="inlineStr">
        <is>
          <t>3301073</t>
        </is>
      </c>
      <c r="G125" t="inlineStr">
        <is>
          <t>Servicio de circulación artística y cultural</t>
        </is>
      </c>
      <c r="H125" t="inlineStr">
        <is>
          <t>330107300</t>
        </is>
      </c>
      <c r="I125" t="inlineStr">
        <is>
          <t>Contenidos culturales  en circulación</t>
        </is>
      </c>
      <c r="J125" t="inlineStr">
        <is>
          <t>2024257580009</t>
        </is>
      </c>
      <c r="K125" t="inlineStr">
        <is>
          <t>No</t>
        </is>
      </c>
      <c r="L125" t="inlineStr">
        <is>
          <t>Número</t>
        </is>
      </c>
      <c r="M125">
        <v>108</v>
      </c>
      <c r="N125">
        <v>27</v>
      </c>
      <c r="O125">
        <v>27</v>
      </c>
      <c r="P125">
        <v>27</v>
      </c>
      <c r="Q125">
        <v>27</v>
      </c>
      <c r="R125" t="inlineStr">
        <is>
          <t xml:space="preserve"> </t>
        </is>
      </c>
      <c r="S125" s="103" t="inlineStr">
        <is>
          <t xml:space="preserve"> </t>
        </is>
      </c>
      <c r="T125" t="inlineStr">
        <is>
          <t>No se encontró ejecución en PIIP</t>
        </is>
      </c>
      <c r="U125" t="inlineStr">
        <is>
          <t xml:space="preserve"> </t>
        </is>
      </c>
      <c r="V125" s="104" t="inlineStr">
        <is>
          <t xml:space="preserve"> </t>
        </is>
      </c>
      <c r="W125" t="inlineStr">
        <is>
          <t>No se encontró ejecución en PIIP</t>
        </is>
      </c>
    </row>
    <row r="126">
      <c r="A126" t="inlineStr">
        <is>
          <t>IP-149</t>
        </is>
      </c>
      <c r="B126" t="inlineStr">
        <is>
          <t>33</t>
        </is>
      </c>
      <c r="C126" t="inlineStr">
        <is>
          <t>Cultura</t>
        </is>
      </c>
      <c r="D126" t="inlineStr">
        <is>
          <t>3301</t>
        </is>
      </c>
      <c r="E126" t="inlineStr">
        <is>
          <t>Promoción y acceso efectivo a procesos culturales y artísticos</t>
        </is>
      </c>
      <c r="F126" t="inlineStr">
        <is>
          <t>3301095</t>
        </is>
      </c>
      <c r="G126" t="inlineStr">
        <is>
          <t>Servicio de asistencia técnica en gestión artística y cultural</t>
        </is>
      </c>
      <c r="H126" t="inlineStr">
        <is>
          <t>330109501</t>
        </is>
      </c>
      <c r="I126" t="inlineStr">
        <is>
          <t>Consejos Territoriales asistidos técnicamente</t>
        </is>
      </c>
      <c r="J126" t="inlineStr">
        <is>
          <t>2024257580009</t>
        </is>
      </c>
      <c r="K126" t="inlineStr">
        <is>
          <t>Si</t>
        </is>
      </c>
      <c r="L126" t="inlineStr">
        <is>
          <t>Número</t>
        </is>
      </c>
      <c r="M126">
        <v>6</v>
      </c>
      <c r="N126">
        <v>6</v>
      </c>
      <c r="O126">
        <v>6</v>
      </c>
      <c r="P126">
        <v>6</v>
      </c>
      <c r="Q126">
        <v>6</v>
      </c>
      <c r="R126" t="inlineStr">
        <is>
          <t xml:space="preserve"> </t>
        </is>
      </c>
      <c r="S126" s="103" t="inlineStr">
        <is>
          <t xml:space="preserve"> </t>
        </is>
      </c>
      <c r="T126" t="inlineStr">
        <is>
          <t>No se encontró ejecución en PIIP</t>
        </is>
      </c>
      <c r="U126" t="inlineStr">
        <is>
          <t xml:space="preserve"> </t>
        </is>
      </c>
      <c r="V126" s="104" t="inlineStr">
        <is>
          <t xml:space="preserve"> </t>
        </is>
      </c>
      <c r="W126" t="inlineStr">
        <is>
          <t>No se encontró ejecución en PIIP</t>
        </is>
      </c>
    </row>
    <row r="127">
      <c r="A127" t="inlineStr">
        <is>
          <t>IP-150</t>
        </is>
      </c>
      <c r="B127" t="inlineStr">
        <is>
          <t>33</t>
        </is>
      </c>
      <c r="C127" t="inlineStr">
        <is>
          <t>Cultura</t>
        </is>
      </c>
      <c r="D127" t="inlineStr">
        <is>
          <t>3301</t>
        </is>
      </c>
      <c r="E127" t="inlineStr">
        <is>
          <t>Promoción y acceso efectivo a procesos culturales y artísticos</t>
        </is>
      </c>
      <c r="F127" t="inlineStr">
        <is>
          <t>3301068</t>
        </is>
      </c>
      <c r="G127" t="inlineStr">
        <is>
          <t>Servicio de mantenimiento de infraestructura cultural</t>
        </is>
      </c>
      <c r="H127" t="inlineStr">
        <is>
          <t>330106800</t>
        </is>
      </c>
      <c r="I127" t="inlineStr">
        <is>
          <t>Infraestructura cultural intervenida</t>
        </is>
      </c>
      <c r="J127" t="inlineStr">
        <is>
          <t>2024257580009</t>
        </is>
      </c>
      <c r="K127" t="inlineStr">
        <is>
          <t>Si</t>
        </is>
      </c>
      <c r="L127" t="inlineStr">
        <is>
          <t>Número</t>
        </is>
      </c>
      <c r="M127">
        <v>100</v>
      </c>
      <c r="N127">
        <v>100</v>
      </c>
      <c r="O127">
        <v>100</v>
      </c>
      <c r="P127">
        <v>100</v>
      </c>
      <c r="Q127">
        <v>100</v>
      </c>
      <c r="R127" t="inlineStr">
        <is>
          <t xml:space="preserve"> </t>
        </is>
      </c>
      <c r="S127" s="103" t="inlineStr">
        <is>
          <t xml:space="preserve"> </t>
        </is>
      </c>
      <c r="T127" t="inlineStr">
        <is>
          <t>No se encontró ejecución en PIIP</t>
        </is>
      </c>
      <c r="U127" t="inlineStr">
        <is>
          <t xml:space="preserve"> </t>
        </is>
      </c>
      <c r="V127" s="104" t="inlineStr">
        <is>
          <t xml:space="preserve"> </t>
        </is>
      </c>
      <c r="W127" t="inlineStr">
        <is>
          <t>No se encontró ejecución en PIIP</t>
        </is>
      </c>
    </row>
    <row r="128">
      <c r="A128" t="inlineStr">
        <is>
          <t>IP-151</t>
        </is>
      </c>
      <c r="B128" t="inlineStr">
        <is>
          <t>33</t>
        </is>
      </c>
      <c r="C128" t="inlineStr">
        <is>
          <t>Cultura</t>
        </is>
      </c>
      <c r="D128" t="inlineStr">
        <is>
          <t>3301</t>
        </is>
      </c>
      <c r="E128" t="inlineStr">
        <is>
          <t>Promoción y acceso efectivo a procesos culturales y artísticos</t>
        </is>
      </c>
      <c r="F128" t="inlineStr">
        <is>
          <t>3301088</t>
        </is>
      </c>
      <c r="G128" t="inlineStr">
        <is>
          <t>Centros culturales construidos</t>
        </is>
      </c>
      <c r="H128" t="inlineStr">
        <is>
          <t>330108800</t>
        </is>
      </c>
      <c r="I128" t="inlineStr">
        <is>
          <t>Centros culturales construidos</t>
        </is>
      </c>
      <c r="J128" t="inlineStr">
        <is>
          <t>2024257580009</t>
        </is>
      </c>
      <c r="K128" t="inlineStr">
        <is>
          <t>No</t>
        </is>
      </c>
      <c r="L128" t="inlineStr">
        <is>
          <t>Número</t>
        </is>
      </c>
      <c r="M128">
        <v>2</v>
      </c>
      <c r="N128">
        <v>0.2</v>
      </c>
      <c r="O128">
        <v>0.8</v>
      </c>
      <c r="P128">
        <v>1</v>
      </c>
      <c r="Q128">
        <v>0</v>
      </c>
      <c r="R128" t="inlineStr">
        <is>
          <t xml:space="preserve"> </t>
        </is>
      </c>
      <c r="S128" s="103" t="inlineStr">
        <is>
          <t xml:space="preserve"> </t>
        </is>
      </c>
      <c r="T128" t="inlineStr">
        <is>
          <t>No se encontró ejecución en PIIP</t>
        </is>
      </c>
      <c r="U128" t="inlineStr">
        <is>
          <t xml:space="preserve"> </t>
        </is>
      </c>
      <c r="V128" s="104" t="inlineStr">
        <is>
          <t xml:space="preserve"> </t>
        </is>
      </c>
      <c r="W128" t="inlineStr">
        <is>
          <t>No se encontró ejecución en PIIP</t>
        </is>
      </c>
    </row>
    <row r="129">
      <c r="A129" t="inlineStr">
        <is>
          <t>IP-153</t>
        </is>
      </c>
      <c r="B129" t="inlineStr">
        <is>
          <t>33</t>
        </is>
      </c>
      <c r="C129" t="inlineStr">
        <is>
          <t>Cultura</t>
        </is>
      </c>
      <c r="D129" t="inlineStr">
        <is>
          <t>3301</t>
        </is>
      </c>
      <c r="E129" t="inlineStr">
        <is>
          <t>Promoción y acceso efectivo a procesos culturales y artísticos</t>
        </is>
      </c>
      <c r="F129" t="inlineStr">
        <is>
          <t>3301128</t>
        </is>
      </c>
      <c r="G129" t="inlineStr">
        <is>
          <t>Servicio de apoyo financiero para creadores y gestores culturales</t>
        </is>
      </c>
      <c r="H129" t="inlineStr">
        <is>
          <t>330112800</t>
        </is>
      </c>
      <c r="I129" t="inlineStr">
        <is>
          <t>Creadores y gestores culturales beneficiados</t>
        </is>
      </c>
      <c r="J129" t="inlineStr">
        <is>
          <t>2024257580009</t>
        </is>
      </c>
      <c r="K129" t="inlineStr">
        <is>
          <t>Si</t>
        </is>
      </c>
      <c r="L129" t="inlineStr">
        <is>
          <t>Número</t>
        </is>
      </c>
      <c r="M129">
        <v>1</v>
      </c>
      <c r="N129">
        <v>1</v>
      </c>
      <c r="O129">
        <v>1</v>
      </c>
      <c r="P129">
        <v>1</v>
      </c>
      <c r="Q129">
        <v>1</v>
      </c>
      <c r="R129" t="inlineStr">
        <is>
          <t xml:space="preserve"> </t>
        </is>
      </c>
      <c r="S129" s="103" t="inlineStr">
        <is>
          <t xml:space="preserve"> </t>
        </is>
      </c>
      <c r="T129" t="inlineStr">
        <is>
          <t>No se encontró ejecución en PIIP</t>
        </is>
      </c>
      <c r="U129" t="inlineStr">
        <is>
          <t xml:space="preserve"> </t>
        </is>
      </c>
      <c r="V129" s="104" t="inlineStr">
        <is>
          <t xml:space="preserve"> </t>
        </is>
      </c>
      <c r="W129" t="inlineStr">
        <is>
          <t>No se encontró ejecución en PIIP</t>
        </is>
      </c>
    </row>
    <row r="130">
      <c r="A130" t="inlineStr">
        <is>
          <t>IP-154</t>
        </is>
      </c>
      <c r="B130" t="inlineStr">
        <is>
          <t>33</t>
        </is>
      </c>
      <c r="C130" t="inlineStr">
        <is>
          <t>Cultura</t>
        </is>
      </c>
      <c r="D130" t="inlineStr">
        <is>
          <t>3301</t>
        </is>
      </c>
      <c r="E130" t="inlineStr">
        <is>
          <t>Promoción y acceso efectivo a procesos culturales y artísticos</t>
        </is>
      </c>
      <c r="F130" t="inlineStr">
        <is>
          <t>3301129</t>
        </is>
      </c>
      <c r="G130" t="inlineStr">
        <is>
          <t>Documentos de planeación</t>
        </is>
      </c>
      <c r="H130" t="inlineStr">
        <is>
          <t>330112900</t>
        </is>
      </c>
      <c r="I130" t="inlineStr">
        <is>
          <t>Documentos de planeación realizados</t>
        </is>
      </c>
      <c r="J130" t="inlineStr">
        <is>
          <t>2024257580009</t>
        </is>
      </c>
      <c r="K130" t="inlineStr">
        <is>
          <t>Si</t>
        </is>
      </c>
      <c r="L130" t="inlineStr">
        <is>
          <t>Número</t>
        </is>
      </c>
      <c r="M130">
        <v>40</v>
      </c>
      <c r="N130">
        <v>10</v>
      </c>
      <c r="O130">
        <v>20</v>
      </c>
      <c r="P130">
        <v>30</v>
      </c>
      <c r="Q130">
        <v>40</v>
      </c>
      <c r="R130" t="inlineStr">
        <is>
          <t xml:space="preserve"> </t>
        </is>
      </c>
      <c r="S130" s="103" t="inlineStr">
        <is>
          <t xml:space="preserve"> </t>
        </is>
      </c>
      <c r="T130" t="inlineStr">
        <is>
          <t>No se encontró ejecución en PIIP</t>
        </is>
      </c>
      <c r="U130" t="inlineStr">
        <is>
          <t xml:space="preserve"> </t>
        </is>
      </c>
      <c r="V130" s="104" t="inlineStr">
        <is>
          <t xml:space="preserve"> </t>
        </is>
      </c>
      <c r="W130" t="inlineStr">
        <is>
          <t>No se encontró ejecución en PIIP</t>
        </is>
      </c>
    </row>
    <row r="131">
      <c r="A131" t="inlineStr">
        <is>
          <t>IP-155</t>
        </is>
      </c>
      <c r="B131" t="inlineStr">
        <is>
          <t>33</t>
        </is>
      </c>
      <c r="C131" t="inlineStr">
        <is>
          <t>Cultura</t>
        </is>
      </c>
      <c r="D131" t="inlineStr">
        <is>
          <t>3301</t>
        </is>
      </c>
      <c r="E131" t="inlineStr">
        <is>
          <t>Promoción y acceso efectivo a procesos culturales y artísticos</t>
        </is>
      </c>
      <c r="F131" t="inlineStr">
        <is>
          <t>3301054</t>
        </is>
      </c>
      <c r="G131" t="inlineStr">
        <is>
          <t>Servicio de apoyo financiero al sector artístico y cultural</t>
        </is>
      </c>
      <c r="H131" t="inlineStr">
        <is>
          <t>330105402</t>
        </is>
      </c>
      <c r="I131" t="inlineStr">
        <is>
          <t>Estímulos otorgados a los beneficiarios de Colombia Creativa</t>
        </is>
      </c>
      <c r="J131" t="inlineStr">
        <is>
          <t>2024257580009</t>
        </is>
      </c>
      <c r="K131" t="inlineStr">
        <is>
          <t>Si</t>
        </is>
      </c>
      <c r="L131" t="inlineStr">
        <is>
          <t>Número</t>
        </is>
      </c>
      <c r="M131">
        <v>2</v>
      </c>
      <c r="N131">
        <v>1</v>
      </c>
      <c r="O131">
        <v>2</v>
      </c>
      <c r="P131">
        <v>2</v>
      </c>
      <c r="Q131">
        <v>2</v>
      </c>
      <c r="R131" t="inlineStr">
        <is>
          <t xml:space="preserve"> </t>
        </is>
      </c>
      <c r="S131" s="103" t="inlineStr">
        <is>
          <t xml:space="preserve"> </t>
        </is>
      </c>
      <c r="T131" t="inlineStr">
        <is>
          <t>No se encontró ejecución en PIIP</t>
        </is>
      </c>
      <c r="U131" t="inlineStr">
        <is>
          <t xml:space="preserve"> </t>
        </is>
      </c>
      <c r="V131" s="104" t="inlineStr">
        <is>
          <t xml:space="preserve"> </t>
        </is>
      </c>
      <c r="W131" t="inlineStr">
        <is>
          <t>No se encontró ejecución en PIIP</t>
        </is>
      </c>
    </row>
    <row r="132">
      <c r="A132" t="inlineStr">
        <is>
          <t>IP-156</t>
        </is>
      </c>
      <c r="B132" t="inlineStr">
        <is>
          <t>33</t>
        </is>
      </c>
      <c r="C132" t="inlineStr">
        <is>
          <t>Cultura</t>
        </is>
      </c>
      <c r="D132" t="inlineStr">
        <is>
          <t>3301</t>
        </is>
      </c>
      <c r="E132" t="inlineStr">
        <is>
          <t>Promoción y acceso efectivo a procesos culturales y artísticos</t>
        </is>
      </c>
      <c r="F132" t="inlineStr">
        <is>
          <t>3301085</t>
        </is>
      </c>
      <c r="G132" t="inlineStr">
        <is>
          <t>Servicios bibliotecarios</t>
        </is>
      </c>
      <c r="H132" t="inlineStr">
        <is>
          <t>330108500</t>
        </is>
      </c>
      <c r="I132" t="inlineStr">
        <is>
          <t>Usuarios atendidos</t>
        </is>
      </c>
      <c r="J132" t="inlineStr">
        <is>
          <t>2024257580009</t>
        </is>
      </c>
      <c r="K132" t="inlineStr">
        <is>
          <t>Si</t>
        </is>
      </c>
      <c r="L132" t="inlineStr">
        <is>
          <t>Número</t>
        </is>
      </c>
      <c r="M132">
        <v>10</v>
      </c>
      <c r="N132">
        <v>10</v>
      </c>
      <c r="O132">
        <v>10</v>
      </c>
      <c r="P132">
        <v>10</v>
      </c>
      <c r="Q132">
        <v>10</v>
      </c>
      <c r="R132" t="inlineStr">
        <is>
          <t xml:space="preserve"> </t>
        </is>
      </c>
      <c r="S132" s="103" t="inlineStr">
        <is>
          <t xml:space="preserve"> </t>
        </is>
      </c>
      <c r="T132" t="inlineStr">
        <is>
          <t>No se encontró ejecución en PIIP</t>
        </is>
      </c>
      <c r="U132" t="inlineStr">
        <is>
          <t xml:space="preserve"> </t>
        </is>
      </c>
      <c r="V132" s="104" t="inlineStr">
        <is>
          <t xml:space="preserve"> </t>
        </is>
      </c>
      <c r="W132" t="inlineStr">
        <is>
          <t>No se encontró ejecución en PIIP</t>
        </is>
      </c>
    </row>
    <row r="133">
      <c r="A133" t="inlineStr">
        <is>
          <t>IP-157</t>
        </is>
      </c>
      <c r="B133" t="inlineStr">
        <is>
          <t>33</t>
        </is>
      </c>
      <c r="C133" t="inlineStr">
        <is>
          <t>Cultura</t>
        </is>
      </c>
      <c r="D133" t="inlineStr">
        <is>
          <t>3302</t>
        </is>
      </c>
      <c r="E133" t="inlineStr">
        <is>
          <t>Gestión, protección y salvaguardia del patrimonio cultural colombiano</t>
        </is>
      </c>
      <c r="F133" t="inlineStr">
        <is>
          <t>3302049</t>
        </is>
      </c>
      <c r="G133" t="inlineStr">
        <is>
          <t>Servicio de salvaguardia al patrimonio inmaterial</t>
        </is>
      </c>
      <c r="H133" t="inlineStr">
        <is>
          <t>330204900</t>
        </is>
      </c>
      <c r="I133" t="inlineStr">
        <is>
          <t>Procesos de salvaguardia efectiva del patrimonio inmaterial realizados</t>
        </is>
      </c>
      <c r="J133" t="inlineStr">
        <is>
          <t>2024257580066</t>
        </is>
      </c>
      <c r="K133" t="inlineStr">
        <is>
          <t>Si</t>
        </is>
      </c>
      <c r="L133" t="inlineStr">
        <is>
          <t>Número</t>
        </is>
      </c>
      <c r="M133">
        <v>4</v>
      </c>
      <c r="N133">
        <v>1</v>
      </c>
      <c r="O133">
        <v>1</v>
      </c>
      <c r="P133">
        <v>1</v>
      </c>
      <c r="Q133">
        <v>1</v>
      </c>
      <c r="R133">
        <v>1</v>
      </c>
      <c r="S133" s="103">
        <v>1</v>
      </c>
      <c r="T133" t="inlineStr">
        <is>
          <t>Se ejecutó el 100% de lo programado en la vigencia</t>
        </is>
      </c>
      <c r="U133">
        <v>0</v>
      </c>
      <c r="V133" s="104">
        <v>0</v>
      </c>
      <c r="W133" t="inlineStr">
        <is>
          <t>No se ejecutó en la vigencia</t>
        </is>
      </c>
    </row>
    <row r="134">
      <c r="A134" t="inlineStr">
        <is>
          <t>IP-158</t>
        </is>
      </c>
      <c r="B134" t="inlineStr">
        <is>
          <t>43</t>
        </is>
      </c>
      <c r="C134" t="inlineStr">
        <is>
          <t>Deporte y Recreación</t>
        </is>
      </c>
      <c r="D134" t="inlineStr">
        <is>
          <t>4301</t>
        </is>
      </c>
      <c r="E134" t="inlineStr">
        <is>
          <t>Fomento a la recreación, la actividad física y el deporte para desarrollar entornos de convivencia y paz</t>
        </is>
      </c>
      <c r="F134" t="inlineStr">
        <is>
          <t>4301007</t>
        </is>
      </c>
      <c r="G134" t="inlineStr">
        <is>
          <t>Servicio de Escuelas Deportivas</t>
        </is>
      </c>
      <c r="H134" t="inlineStr">
        <is>
          <t>430100700</t>
        </is>
      </c>
      <c r="I134" t="inlineStr">
        <is>
          <t>Niños, niñas, adolescentes y jóvenes inscritos en Escuelas Deportivas</t>
        </is>
      </c>
      <c r="J134" t="inlineStr">
        <is>
          <t>2024257580029</t>
        </is>
      </c>
      <c r="K134" t="inlineStr">
        <is>
          <t>Si</t>
        </is>
      </c>
      <c r="L134" t="inlineStr">
        <is>
          <t>Número</t>
        </is>
      </c>
      <c r="M134">
        <v>3054</v>
      </c>
      <c r="N134">
        <v>2756</v>
      </c>
      <c r="O134">
        <v>2856</v>
      </c>
      <c r="P134">
        <v>2956</v>
      </c>
      <c r="Q134">
        <v>3054</v>
      </c>
      <c r="R134" t="inlineStr">
        <is>
          <t xml:space="preserve"> </t>
        </is>
      </c>
      <c r="S134" s="103" t="inlineStr">
        <is>
          <t xml:space="preserve"> </t>
        </is>
      </c>
      <c r="T134" t="inlineStr">
        <is>
          <t>No se encontró ejecución en PIIP</t>
        </is>
      </c>
      <c r="U134" t="inlineStr">
        <is>
          <t xml:space="preserve"> </t>
        </is>
      </c>
      <c r="V134" s="104" t="inlineStr">
        <is>
          <t xml:space="preserve"> </t>
        </is>
      </c>
      <c r="W134" t="inlineStr">
        <is>
          <t>No se encontró ejecución en PIIP</t>
        </is>
      </c>
    </row>
    <row r="135">
      <c r="A135" t="inlineStr">
        <is>
          <t>IP-159, IP-161, IP-167</t>
        </is>
      </c>
      <c r="B135" t="inlineStr">
        <is>
          <t>43</t>
        </is>
      </c>
      <c r="C135" t="inlineStr">
        <is>
          <t>Deporte y Recreación</t>
        </is>
      </c>
      <c r="D135" t="inlineStr">
        <is>
          <t>4301</t>
        </is>
      </c>
      <c r="E135" t="inlineStr">
        <is>
          <t>Fomento a la recreación, la actividad física y el deporte para desarrollar entornos de convivencia y paz</t>
        </is>
      </c>
      <c r="F135" t="inlineStr">
        <is>
          <t>4301037</t>
        </is>
      </c>
      <c r="G135" t="inlineStr">
        <is>
          <t>Servicio de promoción de la actividad física, la recreación y el deporte</t>
        </is>
      </c>
      <c r="H135" t="inlineStr">
        <is>
          <t>430103703</t>
        </is>
      </c>
      <c r="I135" t="inlineStr">
        <is>
          <t xml:space="preserve"> Personas atendidas por los programas de recreación, deporte social comunitario, actividad física y aprovechamiento del tiempo libre</t>
        </is>
      </c>
      <c r="J135" t="inlineStr">
        <is>
          <t>2024257580029</t>
        </is>
      </c>
      <c r="K135" t="inlineStr">
        <is>
          <t>Si</t>
        </is>
      </c>
      <c r="L135" t="inlineStr">
        <is>
          <t>Número</t>
        </is>
      </c>
      <c r="M135">
        <v>1537</v>
      </c>
      <c r="N135">
        <v>1380</v>
      </c>
      <c r="O135">
        <v>1433</v>
      </c>
      <c r="P135">
        <v>1486</v>
      </c>
      <c r="Q135">
        <v>1537</v>
      </c>
      <c r="R135" t="inlineStr">
        <is>
          <t xml:space="preserve"> </t>
        </is>
      </c>
      <c r="S135" s="103" t="inlineStr">
        <is>
          <t xml:space="preserve"> </t>
        </is>
      </c>
      <c r="T135" t="inlineStr">
        <is>
          <t>No se encontró ejecución en PIIP</t>
        </is>
      </c>
      <c r="U135" t="inlineStr">
        <is>
          <t xml:space="preserve"> </t>
        </is>
      </c>
      <c r="V135" s="104" t="inlineStr">
        <is>
          <t xml:space="preserve"> </t>
        </is>
      </c>
      <c r="W135" t="inlineStr">
        <is>
          <t>No se encontró ejecución en PIIP</t>
        </is>
      </c>
    </row>
    <row r="136">
      <c r="A136" t="inlineStr">
        <is>
          <t>IP-160</t>
        </is>
      </c>
      <c r="B136" t="inlineStr">
        <is>
          <t>43</t>
        </is>
      </c>
      <c r="C136" t="inlineStr">
        <is>
          <t>Deporte y Recreación</t>
        </is>
      </c>
      <c r="D136" t="inlineStr">
        <is>
          <t>4301</t>
        </is>
      </c>
      <c r="E136" t="inlineStr">
        <is>
          <t>Fomento a la recreación, la actividad física y el deporte para desarrollar entornos de convivencia y paz</t>
        </is>
      </c>
      <c r="F136" t="inlineStr">
        <is>
          <t>4301007</t>
        </is>
      </c>
      <c r="G136" t="inlineStr">
        <is>
          <t>Servicio de Escuelas Deportivas</t>
        </is>
      </c>
      <c r="H136" t="inlineStr">
        <is>
          <t>430100702</t>
        </is>
      </c>
      <c r="I136" t="inlineStr">
        <is>
          <t>Escuelas deportivas implementadas</t>
        </is>
      </c>
      <c r="J136" t="inlineStr">
        <is>
          <t>2024257580029</t>
        </is>
      </c>
      <c r="K136" t="inlineStr">
        <is>
          <t>Si</t>
        </is>
      </c>
      <c r="L136" t="inlineStr">
        <is>
          <t>Número</t>
        </is>
      </c>
      <c r="M136">
        <v>1</v>
      </c>
      <c r="N136">
        <v>1</v>
      </c>
      <c r="O136">
        <v>1</v>
      </c>
      <c r="P136">
        <v>1</v>
      </c>
      <c r="Q136">
        <v>1</v>
      </c>
      <c r="R136" t="inlineStr">
        <is>
          <t xml:space="preserve"> </t>
        </is>
      </c>
      <c r="S136" s="103" t="inlineStr">
        <is>
          <t xml:space="preserve"> </t>
        </is>
      </c>
      <c r="T136" t="inlineStr">
        <is>
          <t>No se encontró ejecución en PIIP</t>
        </is>
      </c>
      <c r="U136" t="inlineStr">
        <is>
          <t xml:space="preserve"> </t>
        </is>
      </c>
      <c r="V136" s="104" t="inlineStr">
        <is>
          <t xml:space="preserve"> </t>
        </is>
      </c>
      <c r="W136" t="inlineStr">
        <is>
          <t>No se encontró ejecución en PIIP</t>
        </is>
      </c>
    </row>
    <row r="137">
      <c r="A137" t="inlineStr">
        <is>
          <t>IP-162</t>
        </is>
      </c>
      <c r="B137" t="inlineStr">
        <is>
          <t>43</t>
        </is>
      </c>
      <c r="C137" t="inlineStr">
        <is>
          <t>Deporte y Recreación</t>
        </is>
      </c>
      <c r="D137" t="inlineStr">
        <is>
          <t>4301</t>
        </is>
      </c>
      <c r="E137" t="inlineStr">
        <is>
          <t>Fomento a la recreación, la actividad física y el deporte para desarrollar entornos de convivencia y paz</t>
        </is>
      </c>
      <c r="F137" t="inlineStr">
        <is>
          <t>4301006</t>
        </is>
      </c>
      <c r="G137" t="inlineStr">
        <is>
          <t>Documentos normativos</t>
        </is>
      </c>
      <c r="H137" t="inlineStr">
        <is>
          <t>430100600</t>
        </is>
      </c>
      <c r="I137" t="inlineStr">
        <is>
          <t>Documentos normativos realizados</t>
        </is>
      </c>
      <c r="J137" t="inlineStr">
        <is>
          <t>2024257580029</t>
        </is>
      </c>
      <c r="K137" t="inlineStr">
        <is>
          <t>Si</t>
        </is>
      </c>
      <c r="L137" t="inlineStr">
        <is>
          <t>Número</t>
        </is>
      </c>
      <c r="M137">
        <v>59</v>
      </c>
      <c r="N137">
        <v>29</v>
      </c>
      <c r="O137">
        <v>39</v>
      </c>
      <c r="P137">
        <v>49</v>
      </c>
      <c r="Q137">
        <v>59</v>
      </c>
      <c r="R137" t="inlineStr">
        <is>
          <t xml:space="preserve"> </t>
        </is>
      </c>
      <c r="S137" s="103" t="inlineStr">
        <is>
          <t xml:space="preserve"> </t>
        </is>
      </c>
      <c r="T137" t="inlineStr">
        <is>
          <t>No se encontró ejecución en PIIP</t>
        </is>
      </c>
      <c r="U137" t="inlineStr">
        <is>
          <t xml:space="preserve"> </t>
        </is>
      </c>
      <c r="V137" s="104" t="inlineStr">
        <is>
          <t xml:space="preserve"> </t>
        </is>
      </c>
      <c r="W137" t="inlineStr">
        <is>
          <t>No se encontró ejecución en PIIP</t>
        </is>
      </c>
    </row>
    <row r="138">
      <c r="A138" t="inlineStr">
        <is>
          <t>IP-163</t>
        </is>
      </c>
      <c r="B138" t="inlineStr">
        <is>
          <t>43</t>
        </is>
      </c>
      <c r="C138" t="inlineStr">
        <is>
          <t>Deporte y Recreación</t>
        </is>
      </c>
      <c r="D138" t="inlineStr">
        <is>
          <t>4301</t>
        </is>
      </c>
      <c r="E138" t="inlineStr">
        <is>
          <t>Fomento a la recreación, la actividad física y el deporte para desarrollar entornos de convivencia y paz</t>
        </is>
      </c>
      <c r="F138" t="inlineStr">
        <is>
          <t>4301035</t>
        </is>
      </c>
      <c r="G138" t="inlineStr">
        <is>
          <t>Servicio de educación informal en recreación</t>
        </is>
      </c>
      <c r="H138" t="inlineStr">
        <is>
          <t>430103501</t>
        </is>
      </c>
      <c r="I138" t="inlineStr">
        <is>
          <t>Eventos de capacitación desarrollados</t>
        </is>
      </c>
      <c r="J138" t="inlineStr">
        <is>
          <t>2024257580029</t>
        </is>
      </c>
      <c r="K138" t="inlineStr">
        <is>
          <t>No</t>
        </is>
      </c>
      <c r="L138" t="inlineStr">
        <is>
          <t>Número</t>
        </is>
      </c>
      <c r="M138">
        <v>16</v>
      </c>
      <c r="N138">
        <v>4</v>
      </c>
      <c r="O138">
        <v>4</v>
      </c>
      <c r="P138">
        <v>4</v>
      </c>
      <c r="Q138">
        <v>4</v>
      </c>
      <c r="R138" t="inlineStr">
        <is>
          <t xml:space="preserve"> </t>
        </is>
      </c>
      <c r="S138" s="103" t="inlineStr">
        <is>
          <t xml:space="preserve"> </t>
        </is>
      </c>
      <c r="T138" t="inlineStr">
        <is>
          <t>No se encontró ejecución en PIIP</t>
        </is>
      </c>
      <c r="U138" t="inlineStr">
        <is>
          <t xml:space="preserve"> </t>
        </is>
      </c>
      <c r="V138" s="104" t="inlineStr">
        <is>
          <t xml:space="preserve"> </t>
        </is>
      </c>
      <c r="W138" t="inlineStr">
        <is>
          <t>No se encontró ejecución en PIIP</t>
        </is>
      </c>
    </row>
    <row r="139">
      <c r="A139" t="inlineStr">
        <is>
          <t>IP-164</t>
        </is>
      </c>
      <c r="B139" t="inlineStr">
        <is>
          <t>43</t>
        </is>
      </c>
      <c r="C139" t="inlineStr">
        <is>
          <t>Deporte y Recreación</t>
        </is>
      </c>
      <c r="D139" t="inlineStr">
        <is>
          <t>4301</t>
        </is>
      </c>
      <c r="E139" t="inlineStr">
        <is>
          <t>Fomento a la recreación, la actividad física y el deporte para desarrollar entornos de convivencia y paz</t>
        </is>
      </c>
      <c r="F139" t="inlineStr">
        <is>
          <t>4301001</t>
        </is>
      </c>
      <c r="G139" t="inlineStr">
        <is>
          <t>Servicio de apoyo a la actividad física, la recreación y el deporte</t>
        </is>
      </c>
      <c r="H139" t="inlineStr">
        <is>
          <t>430100102</t>
        </is>
      </c>
      <c r="I139" t="inlineStr">
        <is>
          <t>Artículos deportivos entregados</t>
        </is>
      </c>
      <c r="J139" t="inlineStr">
        <is>
          <t>2024257580029</t>
        </is>
      </c>
      <c r="K139" t="inlineStr">
        <is>
          <t>No</t>
        </is>
      </c>
      <c r="L139" t="inlineStr">
        <is>
          <t>Número</t>
        </is>
      </c>
      <c r="M139">
        <v>3</v>
      </c>
      <c r="N139">
        <v>0.5</v>
      </c>
      <c r="O139">
        <v>1.5</v>
      </c>
      <c r="P139">
        <v>1</v>
      </c>
      <c r="Q139">
        <v>0</v>
      </c>
      <c r="R139" t="inlineStr">
        <is>
          <t xml:space="preserve"> </t>
        </is>
      </c>
      <c r="S139" s="103" t="inlineStr">
        <is>
          <t xml:space="preserve"> </t>
        </is>
      </c>
      <c r="T139" t="inlineStr">
        <is>
          <t>No se encontró ejecución en PIIP</t>
        </is>
      </c>
      <c r="U139" t="inlineStr">
        <is>
          <t xml:space="preserve"> </t>
        </is>
      </c>
      <c r="V139" s="104" t="inlineStr">
        <is>
          <t xml:space="preserve"> </t>
        </is>
      </c>
      <c r="W139" t="inlineStr">
        <is>
          <t>No se encontró ejecución en PIIP</t>
        </is>
      </c>
    </row>
    <row r="140">
      <c r="A140" t="inlineStr">
        <is>
          <t>IP-165, IP-171</t>
        </is>
      </c>
      <c r="B140" t="inlineStr">
        <is>
          <t>43</t>
        </is>
      </c>
      <c r="C140" t="inlineStr">
        <is>
          <t>Deporte y Recreación</t>
        </is>
      </c>
      <c r="D140" t="inlineStr">
        <is>
          <t>4301</t>
        </is>
      </c>
      <c r="E140" t="inlineStr">
        <is>
          <t>Fomento a la recreación, la actividad física y el deporte para desarrollar entornos de convivencia y paz</t>
        </is>
      </c>
      <c r="F140" t="inlineStr">
        <is>
          <t>4301032</t>
        </is>
      </c>
      <c r="G140" t="inlineStr">
        <is>
          <t>Servicio de organización de eventos deportivos comunitarios</t>
        </is>
      </c>
      <c r="H140" t="inlineStr">
        <is>
          <t>430103200</t>
        </is>
      </c>
      <c r="I140" t="inlineStr">
        <is>
          <t>Eventos deportivos comunitarios realizados</t>
        </is>
      </c>
      <c r="J140" t="inlineStr">
        <is>
          <t>2024257580029</t>
        </is>
      </c>
      <c r="K140" t="inlineStr">
        <is>
          <t>No</t>
        </is>
      </c>
      <c r="L140" t="inlineStr">
        <is>
          <t>Número</t>
        </is>
      </c>
      <c r="M140">
        <v>240</v>
      </c>
      <c r="N140">
        <v>60</v>
      </c>
      <c r="O140">
        <v>60</v>
      </c>
      <c r="P140">
        <v>60</v>
      </c>
      <c r="Q140">
        <v>60</v>
      </c>
      <c r="R140" t="inlineStr">
        <is>
          <t xml:space="preserve"> </t>
        </is>
      </c>
      <c r="S140" s="103" t="inlineStr">
        <is>
          <t xml:space="preserve"> </t>
        </is>
      </c>
      <c r="T140" t="inlineStr">
        <is>
          <t>No se encontró ejecución en PIIP</t>
        </is>
      </c>
      <c r="U140" t="inlineStr">
        <is>
          <t xml:space="preserve"> </t>
        </is>
      </c>
      <c r="V140" s="104" t="inlineStr">
        <is>
          <t xml:space="preserve"> </t>
        </is>
      </c>
      <c r="W140" t="inlineStr">
        <is>
          <t>No se encontró ejecución en PIIP</t>
        </is>
      </c>
    </row>
    <row r="141">
      <c r="A141" t="inlineStr">
        <is>
          <t>IP-166</t>
        </is>
      </c>
      <c r="B141" t="inlineStr">
        <is>
          <t>43</t>
        </is>
      </c>
      <c r="C141" t="inlineStr">
        <is>
          <t>Deporte y Recreación</t>
        </is>
      </c>
      <c r="D141" t="inlineStr">
        <is>
          <t>4301</t>
        </is>
      </c>
      <c r="E141" t="inlineStr">
        <is>
          <t>Fomento a la recreación, la actividad física y el deporte para desarrollar entornos de convivencia y paz</t>
        </is>
      </c>
      <c r="F141" t="inlineStr">
        <is>
          <t>4301035</t>
        </is>
      </c>
      <c r="G141" t="inlineStr">
        <is>
          <t>Servicio de educación informal en recreación</t>
        </is>
      </c>
      <c r="H141" t="inlineStr">
        <is>
          <t>430103501</t>
        </is>
      </c>
      <c r="I141" t="inlineStr">
        <is>
          <t>Eventos de capacitación desarrollados</t>
        </is>
      </c>
      <c r="J141" t="inlineStr">
        <is>
          <t>2024257580029</t>
        </is>
      </c>
      <c r="K141" t="inlineStr">
        <is>
          <t>Si</t>
        </is>
      </c>
      <c r="L141" t="inlineStr">
        <is>
          <t>Número</t>
        </is>
      </c>
      <c r="M141">
        <v>1</v>
      </c>
      <c r="N141">
        <v>0</v>
      </c>
      <c r="O141">
        <v>1</v>
      </c>
      <c r="P141">
        <v>1</v>
      </c>
      <c r="Q141">
        <v>1</v>
      </c>
      <c r="R141" t="inlineStr">
        <is>
          <t xml:space="preserve"> </t>
        </is>
      </c>
      <c r="S141" s="103" t="inlineStr">
        <is>
          <t xml:space="preserve"> </t>
        </is>
      </c>
      <c r="T141" t="inlineStr">
        <is>
          <t>No se encontró ejecución en PIIP</t>
        </is>
      </c>
      <c r="U141" t="inlineStr">
        <is>
          <t xml:space="preserve"> </t>
        </is>
      </c>
      <c r="V141" s="104" t="inlineStr">
        <is>
          <t xml:space="preserve"> </t>
        </is>
      </c>
      <c r="W141" t="inlineStr">
        <is>
          <t>No se encontró ejecución en PIIP</t>
        </is>
      </c>
    </row>
    <row r="142">
      <c r="A142" t="inlineStr">
        <is>
          <t>IP-168</t>
        </is>
      </c>
      <c r="B142" t="inlineStr">
        <is>
          <t>43</t>
        </is>
      </c>
      <c r="C142" t="inlineStr">
        <is>
          <t>Deporte y Recreación</t>
        </is>
      </c>
      <c r="D142" t="inlineStr">
        <is>
          <t>4301</t>
        </is>
      </c>
      <c r="E142" t="inlineStr">
        <is>
          <t>Fomento a la recreación, la actividad física y el deporte para desarrollar entornos de convivencia y paz</t>
        </is>
      </c>
      <c r="F142" t="inlineStr">
        <is>
          <t>4301037</t>
        </is>
      </c>
      <c r="G142" t="inlineStr">
        <is>
          <t>Servicio de promoción de la actividad física, la recreación y el deporte</t>
        </is>
      </c>
      <c r="H142" t="inlineStr">
        <is>
          <t>430103705</t>
        </is>
      </c>
      <c r="I142" t="inlineStr">
        <is>
          <t>Sedes educativas apoyadas con programas de fomento</t>
        </is>
      </c>
      <c r="J142" t="inlineStr">
        <is>
          <t>2024257580029</t>
        </is>
      </c>
      <c r="K142" t="inlineStr">
        <is>
          <t>Si</t>
        </is>
      </c>
      <c r="L142" t="inlineStr">
        <is>
          <t>Número</t>
        </is>
      </c>
      <c r="M142">
        <v>100</v>
      </c>
      <c r="N142">
        <v>100</v>
      </c>
      <c r="O142">
        <v>100</v>
      </c>
      <c r="P142">
        <v>100</v>
      </c>
      <c r="Q142">
        <v>100</v>
      </c>
      <c r="R142" t="inlineStr">
        <is>
          <t xml:space="preserve"> </t>
        </is>
      </c>
      <c r="S142" s="103" t="inlineStr">
        <is>
          <t xml:space="preserve"> </t>
        </is>
      </c>
      <c r="T142" t="inlineStr">
        <is>
          <t>No se encontró ejecución en PIIP</t>
        </is>
      </c>
      <c r="U142" t="inlineStr">
        <is>
          <t xml:space="preserve"> </t>
        </is>
      </c>
      <c r="V142" s="104" t="inlineStr">
        <is>
          <t xml:space="preserve"> </t>
        </is>
      </c>
      <c r="W142" t="inlineStr">
        <is>
          <t>No se encontró ejecución en PIIP</t>
        </is>
      </c>
    </row>
    <row r="143">
      <c r="A143" t="inlineStr">
        <is>
          <t>IP-169</t>
        </is>
      </c>
      <c r="B143" t="inlineStr">
        <is>
          <t>43</t>
        </is>
      </c>
      <c r="C143" t="inlineStr">
        <is>
          <t>Deporte y Recreación</t>
        </is>
      </c>
      <c r="D143" t="inlineStr">
        <is>
          <t>4301</t>
        </is>
      </c>
      <c r="E143" t="inlineStr">
        <is>
          <t>Fomento a la recreación, la actividad física y el deporte para desarrollar entornos de convivencia y paz</t>
        </is>
      </c>
      <c r="F143" t="inlineStr">
        <is>
          <t>4301037</t>
        </is>
      </c>
      <c r="G143" t="inlineStr">
        <is>
          <t>Servicio de promoción de la actividad física, la recreación y el deporte</t>
        </is>
      </c>
      <c r="H143" t="inlineStr">
        <is>
          <t>430103705</t>
        </is>
      </c>
      <c r="I143" t="inlineStr">
        <is>
          <t>Sedes educativas apoyadas con programas de fomento</t>
        </is>
      </c>
      <c r="J143" t="inlineStr">
        <is>
          <t>2024257580029</t>
        </is>
      </c>
      <c r="K143" t="inlineStr">
        <is>
          <t>No</t>
        </is>
      </c>
      <c r="L143" t="inlineStr">
        <is>
          <t>Número</t>
        </is>
      </c>
      <c r="M143">
        <v>8</v>
      </c>
      <c r="N143">
        <v>2</v>
      </c>
      <c r="O143">
        <v>2</v>
      </c>
      <c r="P143">
        <v>2</v>
      </c>
      <c r="Q143">
        <v>2</v>
      </c>
      <c r="R143" t="inlineStr">
        <is>
          <t xml:space="preserve"> </t>
        </is>
      </c>
      <c r="S143" s="103" t="inlineStr">
        <is>
          <t xml:space="preserve"> </t>
        </is>
      </c>
      <c r="T143" t="inlineStr">
        <is>
          <t>No se encontró ejecución en PIIP</t>
        </is>
      </c>
      <c r="U143" t="inlineStr">
        <is>
          <t xml:space="preserve"> </t>
        </is>
      </c>
      <c r="V143" s="104" t="inlineStr">
        <is>
          <t xml:space="preserve"> </t>
        </is>
      </c>
      <c r="W143" t="inlineStr">
        <is>
          <t>No se encontró ejecución en PIIP</t>
        </is>
      </c>
    </row>
    <row r="144">
      <c r="A144" t="inlineStr">
        <is>
          <t>IP-170</t>
        </is>
      </c>
      <c r="B144" t="inlineStr">
        <is>
          <t>43</t>
        </is>
      </c>
      <c r="C144" t="inlineStr">
        <is>
          <t>Deporte y Recreación</t>
        </is>
      </c>
      <c r="D144" t="inlineStr">
        <is>
          <t>4301</t>
        </is>
      </c>
      <c r="E144" t="inlineStr">
        <is>
          <t>Fomento a la recreación, la actividad física y el deporte para desarrollar entornos de convivencia y paz</t>
        </is>
      </c>
      <c r="F144" t="inlineStr">
        <is>
          <t>4301037</t>
        </is>
      </c>
      <c r="G144" t="inlineStr">
        <is>
          <t>Servicio de promoción de la actividad física, la recreación y el deporte</t>
        </is>
      </c>
      <c r="H144" t="inlineStr">
        <is>
          <t>430103702</t>
        </is>
      </c>
      <c r="I144" t="inlineStr">
        <is>
          <t>Instituciones educativas vinculadas al programa Supérate-Intercolegiados</t>
        </is>
      </c>
      <c r="J144" t="inlineStr">
        <is>
          <t>2024257580029</t>
        </is>
      </c>
      <c r="K144" t="inlineStr">
        <is>
          <t>Si</t>
        </is>
      </c>
      <c r="L144" t="inlineStr">
        <is>
          <t>Número</t>
        </is>
      </c>
      <c r="M144">
        <v>4</v>
      </c>
      <c r="N144">
        <v>1</v>
      </c>
      <c r="O144">
        <v>1</v>
      </c>
      <c r="P144">
        <v>1</v>
      </c>
      <c r="Q144">
        <v>1</v>
      </c>
      <c r="R144" t="inlineStr">
        <is>
          <t xml:space="preserve"> </t>
        </is>
      </c>
      <c r="S144" s="103" t="inlineStr">
        <is>
          <t xml:space="preserve"> </t>
        </is>
      </c>
      <c r="T144" t="inlineStr">
        <is>
          <t>No se encontró ejecución en PIIP</t>
        </is>
      </c>
      <c r="U144" t="inlineStr">
        <is>
          <t xml:space="preserve"> </t>
        </is>
      </c>
      <c r="V144" s="104" t="inlineStr">
        <is>
          <t xml:space="preserve"> </t>
        </is>
      </c>
      <c r="W144" t="inlineStr">
        <is>
          <t>No se encontró ejecución en PIIP</t>
        </is>
      </c>
    </row>
    <row r="145">
      <c r="A145" t="inlineStr">
        <is>
          <t>IP-172, IP-174</t>
        </is>
      </c>
      <c r="B145" t="inlineStr">
        <is>
          <t>43</t>
        </is>
      </c>
      <c r="C145" t="inlineStr">
        <is>
          <t>Deporte y Recreación</t>
        </is>
      </c>
      <c r="D145" t="inlineStr">
        <is>
          <t>4301</t>
        </is>
      </c>
      <c r="E145" t="inlineStr">
        <is>
          <t>Fomento a la recreación, la actividad física y el deporte para desarrollar entornos de convivencia y paz</t>
        </is>
      </c>
      <c r="F145" t="inlineStr">
        <is>
          <t>4301038</t>
        </is>
      </c>
      <c r="G145" t="inlineStr">
        <is>
          <t>Servicio de organización de eventos recreativos comunitarios</t>
        </is>
      </c>
      <c r="H145" t="inlineStr">
        <is>
          <t>430103801</t>
        </is>
      </c>
      <c r="I145" t="inlineStr">
        <is>
          <t>Eventos recreativos comunitarios realizados</t>
        </is>
      </c>
      <c r="J145" t="inlineStr">
        <is>
          <t>2024257580029</t>
        </is>
      </c>
      <c r="K145" t="inlineStr">
        <is>
          <t>No</t>
        </is>
      </c>
      <c r="L145" t="inlineStr">
        <is>
          <t>Número</t>
        </is>
      </c>
      <c r="M145">
        <v>177</v>
      </c>
      <c r="N145">
        <v>44</v>
      </c>
      <c r="O145">
        <v>45</v>
      </c>
      <c r="P145">
        <v>45</v>
      </c>
      <c r="Q145">
        <v>43</v>
      </c>
      <c r="R145" t="inlineStr">
        <is>
          <t xml:space="preserve"> </t>
        </is>
      </c>
      <c r="S145" s="103" t="inlineStr">
        <is>
          <t xml:space="preserve"> </t>
        </is>
      </c>
      <c r="T145" t="inlineStr">
        <is>
          <t>No se encontró ejecución en PIIP</t>
        </is>
      </c>
      <c r="U145" t="inlineStr">
        <is>
          <t xml:space="preserve"> </t>
        </is>
      </c>
      <c r="V145" s="104" t="inlineStr">
        <is>
          <t xml:space="preserve"> </t>
        </is>
      </c>
      <c r="W145" t="inlineStr">
        <is>
          <t>No se encontró ejecución en PIIP</t>
        </is>
      </c>
    </row>
    <row r="146">
      <c r="A146" t="inlineStr">
        <is>
          <t>IP-173</t>
        </is>
      </c>
      <c r="B146" t="inlineStr">
        <is>
          <t>43</t>
        </is>
      </c>
      <c r="C146" t="inlineStr">
        <is>
          <t>Deporte y Recreación</t>
        </is>
      </c>
      <c r="D146" t="inlineStr">
        <is>
          <t>4301</t>
        </is>
      </c>
      <c r="E146" t="inlineStr">
        <is>
          <t>Fomento a la recreación, la actividad física y el deporte para desarrollar entornos de convivencia y paz</t>
        </is>
      </c>
      <c r="F146" t="inlineStr">
        <is>
          <t>4301037</t>
        </is>
      </c>
      <c r="G146" t="inlineStr">
        <is>
          <t>Servicio de promoción de la actividad física, la recreación y el deporte</t>
        </is>
      </c>
      <c r="H146" t="inlineStr">
        <is>
          <t>430103700</t>
        </is>
      </c>
      <c r="I146" t="inlineStr">
        <is>
          <t>Personas que acceden a servicios deportivos, recreativos y de actividad física</t>
        </is>
      </c>
      <c r="J146" t="inlineStr">
        <is>
          <t>2024257580029</t>
        </is>
      </c>
      <c r="K146" t="inlineStr">
        <is>
          <t>No</t>
        </is>
      </c>
      <c r="L146" t="inlineStr">
        <is>
          <t>Número</t>
        </is>
      </c>
      <c r="M146">
        <v>250</v>
      </c>
      <c r="N146">
        <v>63</v>
      </c>
      <c r="O146">
        <v>63</v>
      </c>
      <c r="P146">
        <v>63</v>
      </c>
      <c r="Q146">
        <v>61</v>
      </c>
      <c r="R146">
        <v>8756</v>
      </c>
      <c r="S146" s="103">
        <v>138.984126984127</v>
      </c>
      <c r="T146" t="inlineStr">
        <is>
          <t>Hubo ejecución por encima de lo programado en SisPT</t>
        </is>
      </c>
      <c r="U146">
        <v>4530</v>
      </c>
      <c r="V146" s="104">
        <v>71.9047619047619</v>
      </c>
      <c r="W146" t="inlineStr">
        <is>
          <t>Hubo ejecución por encima de lo programado en SisPT</t>
        </is>
      </c>
    </row>
    <row r="147">
      <c r="A147" t="inlineStr">
        <is>
          <t>IP-175, IP-176</t>
        </is>
      </c>
      <c r="B147" t="inlineStr">
        <is>
          <t>43</t>
        </is>
      </c>
      <c r="C147" t="inlineStr">
        <is>
          <t>Deporte y Recreación</t>
        </is>
      </c>
      <c r="D147" t="inlineStr">
        <is>
          <t>4301</t>
        </is>
      </c>
      <c r="E147" t="inlineStr">
        <is>
          <t>Fomento a la recreación, la actividad física y el deporte para desarrollar entornos de convivencia y paz</t>
        </is>
      </c>
      <c r="F147" t="inlineStr">
        <is>
          <t>4301004</t>
        </is>
      </c>
      <c r="G147" t="inlineStr">
        <is>
          <t>Servicio de mantenimiento a la infraestructura deportiva</t>
        </is>
      </c>
      <c r="H147" t="inlineStr">
        <is>
          <t>430100400</t>
        </is>
      </c>
      <c r="I147" t="inlineStr">
        <is>
          <t>Infraestructura deportiva mantenida</t>
        </is>
      </c>
      <c r="J147" t="inlineStr">
        <is>
          <t>2024257580029</t>
        </is>
      </c>
      <c r="K147" t="inlineStr">
        <is>
          <t>Si</t>
        </is>
      </c>
      <c r="L147" t="inlineStr">
        <is>
          <t>Número</t>
        </is>
      </c>
      <c r="M147">
        <v>101</v>
      </c>
      <c r="N147">
        <v>51</v>
      </c>
      <c r="O147">
        <v>71</v>
      </c>
      <c r="P147">
        <v>91</v>
      </c>
      <c r="Q147">
        <v>101</v>
      </c>
      <c r="R147" t="inlineStr">
        <is>
          <t xml:space="preserve"> </t>
        </is>
      </c>
      <c r="S147" s="103" t="inlineStr">
        <is>
          <t xml:space="preserve"> </t>
        </is>
      </c>
      <c r="T147" t="inlineStr">
        <is>
          <t>No se encontró ejecución en PIIP</t>
        </is>
      </c>
      <c r="U147" t="inlineStr">
        <is>
          <t xml:space="preserve"> </t>
        </is>
      </c>
      <c r="V147" s="104" t="inlineStr">
        <is>
          <t xml:space="preserve"> </t>
        </is>
      </c>
      <c r="W147" t="inlineStr">
        <is>
          <t>No se encontró ejecución en PIIP</t>
        </is>
      </c>
    </row>
    <row r="148">
      <c r="A148" t="inlineStr">
        <is>
          <t>IP-177</t>
        </is>
      </c>
      <c r="B148" t="inlineStr">
        <is>
          <t>43</t>
        </is>
      </c>
      <c r="C148" t="inlineStr">
        <is>
          <t>Deporte y Recreación</t>
        </is>
      </c>
      <c r="D148" t="inlineStr">
        <is>
          <t>4301</t>
        </is>
      </c>
      <c r="E148" t="inlineStr">
        <is>
          <t>Fomento a la recreación, la actividad física y el deporte para desarrollar entornos de convivencia y paz</t>
        </is>
      </c>
      <c r="F148" t="inlineStr">
        <is>
          <t>4301010</t>
        </is>
      </c>
      <c r="G148" t="inlineStr">
        <is>
          <t>Parques recreativos construidos y dotados</t>
        </is>
      </c>
      <c r="H148" t="inlineStr">
        <is>
          <t>430101000</t>
        </is>
      </c>
      <c r="I148" t="inlineStr">
        <is>
          <t>Parques construidos y dotados</t>
        </is>
      </c>
      <c r="J148" t="inlineStr">
        <is>
          <t>2024257580029</t>
        </is>
      </c>
      <c r="K148" t="inlineStr">
        <is>
          <t>Si</t>
        </is>
      </c>
      <c r="L148" t="inlineStr">
        <is>
          <t>Número</t>
        </is>
      </c>
      <c r="M148">
        <v>30</v>
      </c>
      <c r="N148">
        <v>31</v>
      </c>
      <c r="O148">
        <v>32</v>
      </c>
      <c r="P148">
        <v>34</v>
      </c>
      <c r="Q148">
        <v>35</v>
      </c>
      <c r="R148" t="inlineStr">
        <is>
          <t xml:space="preserve"> </t>
        </is>
      </c>
      <c r="S148" s="103" t="inlineStr">
        <is>
          <t xml:space="preserve"> </t>
        </is>
      </c>
      <c r="T148" t="inlineStr">
        <is>
          <t>No se encontró ejecución en PIIP</t>
        </is>
      </c>
      <c r="U148" t="inlineStr">
        <is>
          <t xml:space="preserve"> </t>
        </is>
      </c>
      <c r="V148" s="104" t="inlineStr">
        <is>
          <t xml:space="preserve"> </t>
        </is>
      </c>
      <c r="W148" t="inlineStr">
        <is>
          <t>No se encontró ejecución en PIIP</t>
        </is>
      </c>
    </row>
    <row r="149">
      <c r="A149" t="inlineStr">
        <is>
          <t>IP-178</t>
        </is>
      </c>
      <c r="B149" t="inlineStr">
        <is>
          <t>43</t>
        </is>
      </c>
      <c r="C149" t="inlineStr">
        <is>
          <t>Deporte y Recreación</t>
        </is>
      </c>
      <c r="D149" t="inlineStr">
        <is>
          <t>4301</t>
        </is>
      </c>
      <c r="E149" t="inlineStr">
        <is>
          <t>Fomento a la recreación, la actividad física y el deporte para desarrollar entornos de convivencia y paz</t>
        </is>
      </c>
      <c r="F149" t="inlineStr">
        <is>
          <t>4301019</t>
        </is>
      </c>
      <c r="G149" t="inlineStr">
        <is>
          <t>Placa deportiva construida</t>
        </is>
      </c>
      <c r="H149" t="inlineStr">
        <is>
          <t>430101902</t>
        </is>
      </c>
      <c r="I149" t="inlineStr">
        <is>
          <t>Placa deportiva con cubierta y con graderías construida</t>
        </is>
      </c>
      <c r="J149" t="inlineStr">
        <is>
          <t>2024257580029</t>
        </is>
      </c>
      <c r="K149" t="inlineStr">
        <is>
          <t>No</t>
        </is>
      </c>
      <c r="L149" t="inlineStr">
        <is>
          <t>Número</t>
        </is>
      </c>
      <c r="M149">
        <v>2</v>
      </c>
      <c r="N149">
        <v>0</v>
      </c>
      <c r="O149">
        <v>1</v>
      </c>
      <c r="P149">
        <v>1</v>
      </c>
      <c r="Q149">
        <v>0</v>
      </c>
      <c r="R149" t="inlineStr">
        <is>
          <t xml:space="preserve"> </t>
        </is>
      </c>
      <c r="S149" s="103" t="inlineStr">
        <is>
          <t xml:space="preserve"> </t>
        </is>
      </c>
      <c r="T149" t="inlineStr">
        <is>
          <t>No se encontró ejecución en PIIP</t>
        </is>
      </c>
      <c r="U149" t="inlineStr">
        <is>
          <t xml:space="preserve"> </t>
        </is>
      </c>
      <c r="V149" s="104" t="inlineStr">
        <is>
          <t xml:space="preserve"> </t>
        </is>
      </c>
      <c r="W149" t="inlineStr">
        <is>
          <t>No se encontró ejecución en PIIP</t>
        </is>
      </c>
    </row>
    <row r="150">
      <c r="A150" t="inlineStr">
        <is>
          <t>IP-179</t>
        </is>
      </c>
      <c r="B150" t="inlineStr">
        <is>
          <t>43</t>
        </is>
      </c>
      <c r="C150" t="inlineStr">
        <is>
          <t>Deporte y Recreación</t>
        </is>
      </c>
      <c r="D150" t="inlineStr">
        <is>
          <t>4302</t>
        </is>
      </c>
      <c r="E150" t="inlineStr">
        <is>
          <t>Formación y preparación de deportistas</t>
        </is>
      </c>
      <c r="F150" t="inlineStr">
        <is>
          <t>4302014</t>
        </is>
      </c>
      <c r="G150" t="inlineStr">
        <is>
          <t>Pistas construidas</t>
        </is>
      </c>
      <c r="H150" t="inlineStr">
        <is>
          <t>430201400</t>
        </is>
      </c>
      <c r="I150" t="inlineStr">
        <is>
          <t>Pistas construidas</t>
        </is>
      </c>
      <c r="J150" t="inlineStr">
        <is>
          <t>2024257580049</t>
        </is>
      </c>
      <c r="K150" t="inlineStr">
        <is>
          <t>Si</t>
        </is>
      </c>
      <c r="L150" t="inlineStr">
        <is>
          <t>Número</t>
        </is>
      </c>
      <c r="M150">
        <v>2</v>
      </c>
      <c r="N150">
        <v>1.5</v>
      </c>
      <c r="O150">
        <v>2</v>
      </c>
      <c r="P150">
        <v>0</v>
      </c>
      <c r="Q150">
        <v>0</v>
      </c>
      <c r="R150" t="inlineStr">
        <is>
          <t xml:space="preserve"> </t>
        </is>
      </c>
      <c r="S150" s="103" t="inlineStr">
        <is>
          <t xml:space="preserve"> </t>
        </is>
      </c>
      <c r="T150" t="inlineStr">
        <is>
          <t>No se encontró ejecución en PIIP</t>
        </is>
      </c>
      <c r="U150" t="inlineStr">
        <is>
          <t xml:space="preserve"> </t>
        </is>
      </c>
      <c r="V150" s="104" t="inlineStr">
        <is>
          <t xml:space="preserve"> </t>
        </is>
      </c>
      <c r="W150" t="inlineStr">
        <is>
          <t>No se encontró ejecución en PIIP</t>
        </is>
      </c>
    </row>
    <row r="151">
      <c r="A151" t="inlineStr">
        <is>
          <t>IP-180</t>
        </is>
      </c>
      <c r="B151" t="inlineStr">
        <is>
          <t>43</t>
        </is>
      </c>
      <c r="C151" t="inlineStr">
        <is>
          <t>Deporte y Recreación</t>
        </is>
      </c>
      <c r="D151" t="inlineStr">
        <is>
          <t>4302</t>
        </is>
      </c>
      <c r="E151" t="inlineStr">
        <is>
          <t>Formación y preparación de deportistas</t>
        </is>
      </c>
      <c r="F151" t="inlineStr">
        <is>
          <t>4302045</t>
        </is>
      </c>
      <c r="G151" t="inlineStr">
        <is>
          <t>Unideportivo construido y dotado</t>
        </is>
      </c>
      <c r="H151" t="inlineStr">
        <is>
          <t>430204500</t>
        </is>
      </c>
      <c r="I151" t="inlineStr">
        <is>
          <t>Unideportivos construidos y dotados</t>
        </is>
      </c>
      <c r="J151" t="inlineStr">
        <is>
          <t>2024257580049</t>
        </is>
      </c>
      <c r="K151" t="inlineStr">
        <is>
          <t>No</t>
        </is>
      </c>
      <c r="L151" t="inlineStr">
        <is>
          <t>Número</t>
        </is>
      </c>
      <c r="M151">
        <v>3</v>
      </c>
      <c r="N151">
        <v>0</v>
      </c>
      <c r="O151">
        <v>1</v>
      </c>
      <c r="P151">
        <v>1</v>
      </c>
      <c r="Q151">
        <v>0</v>
      </c>
      <c r="R151" t="inlineStr">
        <is>
          <t xml:space="preserve"> </t>
        </is>
      </c>
      <c r="S151" s="103" t="inlineStr">
        <is>
          <t xml:space="preserve"> </t>
        </is>
      </c>
      <c r="T151" t="inlineStr">
        <is>
          <t>No se encontró ejecución en PIIP</t>
        </is>
      </c>
      <c r="U151" t="inlineStr">
        <is>
          <t xml:space="preserve"> </t>
        </is>
      </c>
      <c r="V151" s="104" t="inlineStr">
        <is>
          <t xml:space="preserve"> </t>
        </is>
      </c>
      <c r="W151" t="inlineStr">
        <is>
          <t>No se encontró ejecución en PIIP</t>
        </is>
      </c>
    </row>
    <row r="152">
      <c r="A152" t="inlineStr">
        <is>
          <t>IP-181</t>
        </is>
      </c>
      <c r="B152" t="inlineStr">
        <is>
          <t>43</t>
        </is>
      </c>
      <c r="C152" t="inlineStr">
        <is>
          <t>Deporte y Recreación</t>
        </is>
      </c>
      <c r="D152" t="inlineStr">
        <is>
          <t>4302</t>
        </is>
      </c>
      <c r="E152" t="inlineStr">
        <is>
          <t>Formación y preparación de deportistas</t>
        </is>
      </c>
      <c r="F152" t="inlineStr">
        <is>
          <t>4302004</t>
        </is>
      </c>
      <c r="G152" t="inlineStr">
        <is>
          <t>Servicio de organización de eventos deportivos de alto rendimiento</t>
        </is>
      </c>
      <c r="H152" t="inlineStr">
        <is>
          <t>430200400</t>
        </is>
      </c>
      <c r="I152" t="inlineStr">
        <is>
          <t xml:space="preserve">Deportistas que participan en eventos deportivos de alto rendimiento con sede en Colombia </t>
        </is>
      </c>
      <c r="J152" t="inlineStr">
        <is>
          <t>2024257580049</t>
        </is>
      </c>
      <c r="K152" t="inlineStr">
        <is>
          <t>No</t>
        </is>
      </c>
      <c r="L152" t="inlineStr">
        <is>
          <t>Número</t>
        </is>
      </c>
      <c r="M152">
        <v>200</v>
      </c>
      <c r="N152">
        <v>50</v>
      </c>
      <c r="O152">
        <v>50</v>
      </c>
      <c r="P152">
        <v>50</v>
      </c>
      <c r="Q152">
        <v>50</v>
      </c>
      <c r="R152" t="inlineStr">
        <is>
          <t xml:space="preserve"> </t>
        </is>
      </c>
      <c r="S152" s="103" t="inlineStr">
        <is>
          <t xml:space="preserve"> </t>
        </is>
      </c>
      <c r="T152" t="inlineStr">
        <is>
          <t>No se encontró ejecución en PIIP</t>
        </is>
      </c>
      <c r="U152" t="inlineStr">
        <is>
          <t xml:space="preserve"> </t>
        </is>
      </c>
      <c r="V152" s="104" t="inlineStr">
        <is>
          <t xml:space="preserve"> </t>
        </is>
      </c>
      <c r="W152" t="inlineStr">
        <is>
          <t>No se encontró ejecución en PIIP</t>
        </is>
      </c>
    </row>
    <row r="153">
      <c r="A153" t="inlineStr">
        <is>
          <t>IP-182</t>
        </is>
      </c>
      <c r="B153" t="inlineStr">
        <is>
          <t>43</t>
        </is>
      </c>
      <c r="C153" t="inlineStr">
        <is>
          <t>Deporte y Recreación</t>
        </is>
      </c>
      <c r="D153" t="inlineStr">
        <is>
          <t>4302</t>
        </is>
      </c>
      <c r="E153" t="inlineStr">
        <is>
          <t>Formación y preparación de deportistas</t>
        </is>
      </c>
      <c r="F153" t="inlineStr">
        <is>
          <t>4302004</t>
        </is>
      </c>
      <c r="G153" t="inlineStr">
        <is>
          <t>Servicio de organización de eventos deportivos de alto rendimiento</t>
        </is>
      </c>
      <c r="H153" t="inlineStr">
        <is>
          <t>430200401</t>
        </is>
      </c>
      <c r="I153" t="inlineStr">
        <is>
          <t>Eventos deportivos de alto rendimiento con sede en Colombia realizados</t>
        </is>
      </c>
      <c r="J153" t="inlineStr">
        <is>
          <t>2024257580049</t>
        </is>
      </c>
      <c r="K153" t="inlineStr">
        <is>
          <t>No</t>
        </is>
      </c>
      <c r="L153" t="inlineStr">
        <is>
          <t>Número</t>
        </is>
      </c>
      <c r="M153">
        <v>3</v>
      </c>
      <c r="N153">
        <v>1</v>
      </c>
      <c r="O153">
        <v>1</v>
      </c>
      <c r="P153">
        <v>1</v>
      </c>
      <c r="Q153">
        <v>0</v>
      </c>
      <c r="R153" t="inlineStr">
        <is>
          <t xml:space="preserve"> </t>
        </is>
      </c>
      <c r="S153" s="103" t="inlineStr">
        <is>
          <t xml:space="preserve"> </t>
        </is>
      </c>
      <c r="T153" t="inlineStr">
        <is>
          <t>No se encontró ejecución en PIIP</t>
        </is>
      </c>
      <c r="U153" t="inlineStr">
        <is>
          <t xml:space="preserve"> </t>
        </is>
      </c>
      <c r="V153" s="104" t="inlineStr">
        <is>
          <t xml:space="preserve"> </t>
        </is>
      </c>
      <c r="W153" t="inlineStr">
        <is>
          <t>No se encontró ejecución en PIIP</t>
        </is>
      </c>
    </row>
    <row r="154">
      <c r="A154" t="inlineStr">
        <is>
          <t>IP-183</t>
        </is>
      </c>
      <c r="B154" t="inlineStr">
        <is>
          <t>43</t>
        </is>
      </c>
      <c r="C154" t="inlineStr">
        <is>
          <t>Deporte y Recreación</t>
        </is>
      </c>
      <c r="D154" t="inlineStr">
        <is>
          <t>4302</t>
        </is>
      </c>
      <c r="E154" t="inlineStr">
        <is>
          <t>Formación y preparación de deportistas</t>
        </is>
      </c>
      <c r="F154" t="inlineStr">
        <is>
          <t>4302075</t>
        </is>
      </c>
      <c r="G154" t="inlineStr">
        <is>
          <t>Servicio de asistencia técnica para la promoción del deporte</t>
        </is>
      </c>
      <c r="H154" t="inlineStr">
        <is>
          <t>430207500</t>
        </is>
      </c>
      <c r="I154" t="inlineStr">
        <is>
          <t xml:space="preserve">Organismos deportivos asistidos </t>
        </is>
      </c>
      <c r="J154" t="inlineStr">
        <is>
          <t>2024257580049</t>
        </is>
      </c>
      <c r="K154" t="inlineStr">
        <is>
          <t>Si</t>
        </is>
      </c>
      <c r="L154" t="inlineStr">
        <is>
          <t>Número</t>
        </is>
      </c>
      <c r="M154">
        <v>100</v>
      </c>
      <c r="N154">
        <v>100</v>
      </c>
      <c r="O154">
        <v>100</v>
      </c>
      <c r="P154">
        <v>100</v>
      </c>
      <c r="Q154">
        <v>100</v>
      </c>
      <c r="R154" t="inlineStr">
        <is>
          <t xml:space="preserve"> </t>
        </is>
      </c>
      <c r="S154" s="103" t="inlineStr">
        <is>
          <t xml:space="preserve"> </t>
        </is>
      </c>
      <c r="T154" t="inlineStr">
        <is>
          <t>No se encontró ejecución en PIIP</t>
        </is>
      </c>
      <c r="U154" t="inlineStr">
        <is>
          <t xml:space="preserve"> </t>
        </is>
      </c>
      <c r="V154" s="104" t="inlineStr">
        <is>
          <t xml:space="preserve"> </t>
        </is>
      </c>
      <c r="W154" t="inlineStr">
        <is>
          <t>No se encontró ejecución en PIIP</t>
        </is>
      </c>
    </row>
    <row r="155">
      <c r="A155" t="inlineStr">
        <is>
          <t>IP-184</t>
        </is>
      </c>
      <c r="B155" t="inlineStr">
        <is>
          <t>43</t>
        </is>
      </c>
      <c r="C155" t="inlineStr">
        <is>
          <t>Deporte y Recreación</t>
        </is>
      </c>
      <c r="D155" t="inlineStr">
        <is>
          <t>4302</t>
        </is>
      </c>
      <c r="E155" t="inlineStr">
        <is>
          <t>Formación y preparación de deportistas</t>
        </is>
      </c>
      <c r="F155" t="inlineStr">
        <is>
          <t>4302075</t>
        </is>
      </c>
      <c r="G155" t="inlineStr">
        <is>
          <t>Servicio de asistencia técnica para la promoción del deporte</t>
        </is>
      </c>
      <c r="H155" t="inlineStr">
        <is>
          <t>430207500</t>
        </is>
      </c>
      <c r="I155" t="inlineStr">
        <is>
          <t xml:space="preserve">Organismos deportivos asistidos </t>
        </is>
      </c>
      <c r="J155" t="inlineStr">
        <is>
          <t>2024257580049</t>
        </is>
      </c>
      <c r="K155" t="inlineStr">
        <is>
          <t>No</t>
        </is>
      </c>
      <c r="L155" t="inlineStr">
        <is>
          <t>Número</t>
        </is>
      </c>
      <c r="M155">
        <v>2</v>
      </c>
      <c r="N155">
        <v>0</v>
      </c>
      <c r="O155">
        <v>1</v>
      </c>
      <c r="P155">
        <v>1</v>
      </c>
      <c r="Q155">
        <v>0</v>
      </c>
      <c r="R155" t="inlineStr">
        <is>
          <t xml:space="preserve"> </t>
        </is>
      </c>
      <c r="S155" s="103" t="inlineStr">
        <is>
          <t xml:space="preserve"> </t>
        </is>
      </c>
      <c r="T155" t="inlineStr">
        <is>
          <t>No se encontró ejecución en PIIP</t>
        </is>
      </c>
      <c r="U155" t="inlineStr">
        <is>
          <t xml:space="preserve"> </t>
        </is>
      </c>
      <c r="V155" s="104" t="inlineStr">
        <is>
          <t xml:space="preserve"> </t>
        </is>
      </c>
      <c r="W155" t="inlineStr">
        <is>
          <t>No se encontró ejecución en PIIP</t>
        </is>
      </c>
    </row>
    <row r="156">
      <c r="A156" t="inlineStr">
        <is>
          <t>IP-185</t>
        </is>
      </c>
      <c r="B156" t="inlineStr">
        <is>
          <t>43</t>
        </is>
      </c>
      <c r="C156" t="inlineStr">
        <is>
          <t>Deporte y Recreación</t>
        </is>
      </c>
      <c r="D156" t="inlineStr">
        <is>
          <t>4301</t>
        </is>
      </c>
      <c r="E156" t="inlineStr">
        <is>
          <t>Fomento a la recreación, la actividad física y el deporte para desarrollar entornos de convivencia y paz</t>
        </is>
      </c>
      <c r="F156" t="inlineStr">
        <is>
          <t>4301001</t>
        </is>
      </c>
      <c r="G156" t="inlineStr">
        <is>
          <t>Servicio de apoyo a la actividad física, la recreación y el deporte</t>
        </is>
      </c>
      <c r="H156" t="inlineStr">
        <is>
          <t>430100100</t>
        </is>
      </c>
      <c r="I156" t="inlineStr">
        <is>
          <t>Personas beneficiadas</t>
        </is>
      </c>
      <c r="J156" t="inlineStr">
        <is>
          <t>2024257580049</t>
        </is>
      </c>
      <c r="K156" t="inlineStr">
        <is>
          <t>Si</t>
        </is>
      </c>
      <c r="L156" t="inlineStr">
        <is>
          <t>Número</t>
        </is>
      </c>
      <c r="M156">
        <v>15</v>
      </c>
      <c r="N156">
        <v>15</v>
      </c>
      <c r="O156">
        <v>15</v>
      </c>
      <c r="P156">
        <v>15</v>
      </c>
      <c r="Q156">
        <v>15</v>
      </c>
      <c r="R156" t="inlineStr">
        <is>
          <t xml:space="preserve"> </t>
        </is>
      </c>
      <c r="S156" s="103" t="inlineStr">
        <is>
          <t xml:space="preserve"> </t>
        </is>
      </c>
      <c r="T156" t="inlineStr">
        <is>
          <t>No se encontró ejecución en PIIP</t>
        </is>
      </c>
      <c r="U156" t="inlineStr">
        <is>
          <t xml:space="preserve"> </t>
        </is>
      </c>
      <c r="V156" s="104" t="inlineStr">
        <is>
          <t xml:space="preserve"> </t>
        </is>
      </c>
      <c r="W156" t="inlineStr">
        <is>
          <t>No se encontró ejecución en PIIP</t>
        </is>
      </c>
    </row>
    <row r="157">
      <c r="A157" t="inlineStr">
        <is>
          <t>IP-186</t>
        </is>
      </c>
      <c r="B157" t="inlineStr">
        <is>
          <t>43</t>
        </is>
      </c>
      <c r="C157" t="inlineStr">
        <is>
          <t>Deporte y Recreación</t>
        </is>
      </c>
      <c r="D157" t="inlineStr">
        <is>
          <t>4302</t>
        </is>
      </c>
      <c r="E157" t="inlineStr">
        <is>
          <t>Formación y preparación de deportistas</t>
        </is>
      </c>
      <c r="F157" t="inlineStr">
        <is>
          <t>4302002</t>
        </is>
      </c>
      <c r="G157" t="inlineStr">
        <is>
          <t>Servicio de apoyo financiero a atletas</t>
        </is>
      </c>
      <c r="H157" t="inlineStr">
        <is>
          <t>430200200</t>
        </is>
      </c>
      <c r="I157" t="inlineStr">
        <is>
          <t>Estímulos entregados</t>
        </is>
      </c>
      <c r="J157" t="inlineStr">
        <is>
          <t>2024257580049</t>
        </is>
      </c>
      <c r="K157" t="inlineStr">
        <is>
          <t>Si</t>
        </is>
      </c>
      <c r="L157" t="inlineStr">
        <is>
          <t>Número</t>
        </is>
      </c>
      <c r="M157">
        <v>1</v>
      </c>
      <c r="N157">
        <v>1</v>
      </c>
      <c r="O157">
        <v>1</v>
      </c>
      <c r="P157">
        <v>1</v>
      </c>
      <c r="Q157">
        <v>1</v>
      </c>
      <c r="R157" t="inlineStr">
        <is>
          <t xml:space="preserve"> </t>
        </is>
      </c>
      <c r="S157" s="103" t="inlineStr">
        <is>
          <t xml:space="preserve"> </t>
        </is>
      </c>
      <c r="T157" t="inlineStr">
        <is>
          <t>No se encontró ejecución en PIIP</t>
        </is>
      </c>
      <c r="U157" t="inlineStr">
        <is>
          <t xml:space="preserve"> </t>
        </is>
      </c>
      <c r="V157" s="104" t="inlineStr">
        <is>
          <t xml:space="preserve"> </t>
        </is>
      </c>
      <c r="W157" t="inlineStr">
        <is>
          <t>No se encontró ejecución en PIIP</t>
        </is>
      </c>
    </row>
    <row r="158">
      <c r="A158" t="inlineStr">
        <is>
          <t>IP-187, IP-188</t>
        </is>
      </c>
      <c r="B158" t="inlineStr">
        <is>
          <t>43</t>
        </is>
      </c>
      <c r="C158" t="inlineStr">
        <is>
          <t>Deporte y Recreación</t>
        </is>
      </c>
      <c r="D158" t="inlineStr">
        <is>
          <t>4302</t>
        </is>
      </c>
      <c r="E158" t="inlineStr">
        <is>
          <t>Formación y preparación de deportistas</t>
        </is>
      </c>
      <c r="F158" t="inlineStr">
        <is>
          <t>4302001</t>
        </is>
      </c>
      <c r="G158" t="inlineStr">
        <is>
          <t>Servicio de preparación deportiva</t>
        </is>
      </c>
      <c r="H158" t="inlineStr">
        <is>
          <t>430200100</t>
        </is>
      </c>
      <c r="I158" t="inlineStr">
        <is>
          <t>Atletas preparados</t>
        </is>
      </c>
      <c r="J158" t="inlineStr">
        <is>
          <t>2024257580049</t>
        </is>
      </c>
      <c r="K158" t="inlineStr">
        <is>
          <t>Si</t>
        </is>
      </c>
      <c r="L158" t="inlineStr">
        <is>
          <t>Número</t>
        </is>
      </c>
      <c r="M158">
        <v>2</v>
      </c>
      <c r="N158">
        <v>2</v>
      </c>
      <c r="O158">
        <v>2</v>
      </c>
      <c r="P158">
        <v>2</v>
      </c>
      <c r="Q158">
        <v>2</v>
      </c>
      <c r="R158" t="inlineStr">
        <is>
          <t xml:space="preserve"> </t>
        </is>
      </c>
      <c r="S158" s="103" t="inlineStr">
        <is>
          <t xml:space="preserve"> </t>
        </is>
      </c>
      <c r="T158" t="inlineStr">
        <is>
          <t>No se encontró ejecución en PIIP</t>
        </is>
      </c>
      <c r="U158" t="inlineStr">
        <is>
          <t xml:space="preserve"> </t>
        </is>
      </c>
      <c r="V158" s="104" t="inlineStr">
        <is>
          <t xml:space="preserve"> </t>
        </is>
      </c>
      <c r="W158" t="inlineStr">
        <is>
          <t>No se encontró ejecución en PIIP</t>
        </is>
      </c>
    </row>
    <row r="159">
      <c r="A159" t="inlineStr">
        <is>
          <t>IP-189</t>
        </is>
      </c>
      <c r="B159" t="inlineStr">
        <is>
          <t>32</t>
        </is>
      </c>
      <c r="C159" t="inlineStr">
        <is>
          <t>Ambiente y desarrollo sostenible</t>
        </is>
      </c>
      <c r="D159" t="inlineStr">
        <is>
          <t>3203</t>
        </is>
      </c>
      <c r="E159" t="inlineStr">
        <is>
          <t>Gestión integral del recurso hídrico</t>
        </is>
      </c>
      <c r="F159" t="inlineStr">
        <is>
          <t>3203001</t>
        </is>
      </c>
      <c r="G159" t="inlineStr">
        <is>
          <t>Documentos de lineamientos técnicos para la gestión integral del recurso hídrico</t>
        </is>
      </c>
      <c r="H159" t="inlineStr">
        <is>
          <t>320300100</t>
        </is>
      </c>
      <c r="I159" t="inlineStr">
        <is>
          <t xml:space="preserve">Documentos de lineamientos técnicos realizados </t>
        </is>
      </c>
      <c r="J159" t="inlineStr">
        <is>
          <t>2024257580041</t>
        </is>
      </c>
      <c r="K159" t="inlineStr">
        <is>
          <t>Si</t>
        </is>
      </c>
      <c r="L159" t="inlineStr">
        <is>
          <t>Número</t>
        </is>
      </c>
      <c r="M159">
        <v>1</v>
      </c>
      <c r="N159">
        <v>1</v>
      </c>
      <c r="O159">
        <v>1</v>
      </c>
      <c r="P159">
        <v>1</v>
      </c>
      <c r="Q159">
        <v>1</v>
      </c>
      <c r="R159" t="inlineStr">
        <is>
          <t xml:space="preserve"> </t>
        </is>
      </c>
      <c r="S159" s="103" t="inlineStr">
        <is>
          <t xml:space="preserve"> </t>
        </is>
      </c>
      <c r="T159" t="inlineStr">
        <is>
          <t>No se encontró ejecución en PIIP</t>
        </is>
      </c>
      <c r="U159" t="inlineStr">
        <is>
          <t xml:space="preserve"> </t>
        </is>
      </c>
      <c r="V159" s="104" t="inlineStr">
        <is>
          <t xml:space="preserve"> </t>
        </is>
      </c>
      <c r="W159" t="inlineStr">
        <is>
          <t>No se encontró ejecución en PIIP</t>
        </is>
      </c>
    </row>
    <row r="160">
      <c r="A160" t="inlineStr">
        <is>
          <t>IP-190</t>
        </is>
      </c>
      <c r="B160" t="inlineStr">
        <is>
          <t>32</t>
        </is>
      </c>
      <c r="C160" t="inlineStr">
        <is>
          <t>Ambiente y desarrollo sostenible</t>
        </is>
      </c>
      <c r="D160" t="inlineStr">
        <is>
          <t>3203</t>
        </is>
      </c>
      <c r="E160" t="inlineStr">
        <is>
          <t>Gestión integral del recurso hídrico</t>
        </is>
      </c>
      <c r="F160" t="inlineStr">
        <is>
          <t>3203033</t>
        </is>
      </c>
      <c r="G160" t="inlineStr">
        <is>
          <t>Servicio de asistencia técnica para la promoción del uso eficiente y ahorro del agua</t>
        </is>
      </c>
      <c r="H160" t="inlineStr">
        <is>
          <t>320303300</t>
        </is>
      </c>
      <c r="I160" t="inlineStr">
        <is>
          <t xml:space="preserve">Proyectos para la promoción del uso eficiente y ahorro del agua formulados  </t>
        </is>
      </c>
      <c r="J160" t="inlineStr">
        <is>
          <t>2024257580041</t>
        </is>
      </c>
      <c r="K160" t="inlineStr">
        <is>
          <t>No</t>
        </is>
      </c>
      <c r="L160" t="inlineStr">
        <is>
          <t>Número</t>
        </is>
      </c>
      <c r="M160">
        <v>3</v>
      </c>
      <c r="N160">
        <v>1</v>
      </c>
      <c r="O160">
        <v>1</v>
      </c>
      <c r="P160">
        <v>0.5</v>
      </c>
      <c r="Q160">
        <v>0.5</v>
      </c>
      <c r="R160" t="inlineStr">
        <is>
          <t xml:space="preserve"> </t>
        </is>
      </c>
      <c r="S160" s="103" t="inlineStr">
        <is>
          <t xml:space="preserve"> </t>
        </is>
      </c>
      <c r="T160" t="inlineStr">
        <is>
          <t>No se encontró ejecución en PIIP</t>
        </is>
      </c>
      <c r="U160" t="inlineStr">
        <is>
          <t xml:space="preserve"> </t>
        </is>
      </c>
      <c r="V160" s="104" t="inlineStr">
        <is>
          <t xml:space="preserve"> </t>
        </is>
      </c>
      <c r="W160" t="inlineStr">
        <is>
          <t>No se encontró ejecución en PIIP</t>
        </is>
      </c>
    </row>
    <row r="161">
      <c r="A161" t="inlineStr">
        <is>
          <t>IP-191</t>
        </is>
      </c>
      <c r="B161" t="inlineStr">
        <is>
          <t>32</t>
        </is>
      </c>
      <c r="C161" t="inlineStr">
        <is>
          <t>Ambiente y desarrollo sostenible</t>
        </is>
      </c>
      <c r="D161" t="inlineStr">
        <is>
          <t>3203</t>
        </is>
      </c>
      <c r="E161" t="inlineStr">
        <is>
          <t>Gestión integral del recurso hídrico</t>
        </is>
      </c>
      <c r="F161" t="inlineStr">
        <is>
          <t>3203034</t>
        </is>
      </c>
      <c r="G161" t="inlineStr">
        <is>
          <t>Servicio de asistencia técnica para la implementación de lineamientos sobre el mejoramiento de la calidad del recurso hídrico</t>
        </is>
      </c>
      <c r="H161" t="inlineStr">
        <is>
          <t>320303400</t>
        </is>
      </c>
      <c r="I161" t="inlineStr">
        <is>
          <t>Proyectos  para el mejoramiento de la calidad del recurso hídrico formulados</t>
        </is>
      </c>
      <c r="J161" t="inlineStr">
        <is>
          <t>2024257580041</t>
        </is>
      </c>
      <c r="K161" t="inlineStr">
        <is>
          <t>Si</t>
        </is>
      </c>
      <c r="L161" t="inlineStr">
        <is>
          <t>Número</t>
        </is>
      </c>
      <c r="M161">
        <v>100</v>
      </c>
      <c r="N161">
        <v>100</v>
      </c>
      <c r="O161">
        <v>100</v>
      </c>
      <c r="P161">
        <v>100</v>
      </c>
      <c r="Q161">
        <v>100</v>
      </c>
      <c r="R161" t="inlineStr">
        <is>
          <t xml:space="preserve"> </t>
        </is>
      </c>
      <c r="S161" s="103" t="inlineStr">
        <is>
          <t xml:space="preserve"> </t>
        </is>
      </c>
      <c r="T161" t="inlineStr">
        <is>
          <t>No se encontró ejecución en PIIP</t>
        </is>
      </c>
      <c r="U161" t="inlineStr">
        <is>
          <t xml:space="preserve"> </t>
        </is>
      </c>
      <c r="V161" s="104" t="inlineStr">
        <is>
          <t xml:space="preserve"> </t>
        </is>
      </c>
      <c r="W161" t="inlineStr">
        <is>
          <t>No se encontró ejecución en PIIP</t>
        </is>
      </c>
    </row>
    <row r="162">
      <c r="A162" t="inlineStr">
        <is>
          <t>IP-192</t>
        </is>
      </c>
      <c r="B162" t="inlineStr">
        <is>
          <t>32</t>
        </is>
      </c>
      <c r="C162" t="inlineStr">
        <is>
          <t>Ambiente y desarrollo sostenible</t>
        </is>
      </c>
      <c r="D162" t="inlineStr">
        <is>
          <t>3203</t>
        </is>
      </c>
      <c r="E162" t="inlineStr">
        <is>
          <t>Gestión integral del recurso hídrico</t>
        </is>
      </c>
      <c r="F162" t="inlineStr">
        <is>
          <t>3203050</t>
        </is>
      </c>
      <c r="G162" t="inlineStr">
        <is>
          <t>Servicio de protección del recurso hídrico</t>
        </is>
      </c>
      <c r="H162" t="inlineStr">
        <is>
          <t>320305000</t>
        </is>
      </c>
      <c r="I162" t="inlineStr">
        <is>
          <t>Áreas protegidas</t>
        </is>
      </c>
      <c r="J162" t="inlineStr">
        <is>
          <t>2024257580041</t>
        </is>
      </c>
      <c r="K162" t="inlineStr">
        <is>
          <t>Si</t>
        </is>
      </c>
      <c r="L162" t="inlineStr">
        <is>
          <t>Hectáreas</t>
        </is>
      </c>
      <c r="M162">
        <v>2</v>
      </c>
      <c r="N162">
        <v>0.4</v>
      </c>
      <c r="O162">
        <v>1</v>
      </c>
      <c r="P162">
        <v>1.4</v>
      </c>
      <c r="Q162">
        <v>2</v>
      </c>
      <c r="R162" t="inlineStr">
        <is>
          <t xml:space="preserve"> </t>
        </is>
      </c>
      <c r="S162" s="103" t="inlineStr">
        <is>
          <t xml:space="preserve"> </t>
        </is>
      </c>
      <c r="T162" t="inlineStr">
        <is>
          <t>No se encontró ejecución en PIIP</t>
        </is>
      </c>
      <c r="U162" t="inlineStr">
        <is>
          <t xml:space="preserve"> </t>
        </is>
      </c>
      <c r="V162" s="104" t="inlineStr">
        <is>
          <t xml:space="preserve"> </t>
        </is>
      </c>
      <c r="W162" t="inlineStr">
        <is>
          <t>No se encontró ejecución en PIIP</t>
        </is>
      </c>
    </row>
    <row r="163">
      <c r="A163" t="inlineStr">
        <is>
          <t>IP-193</t>
        </is>
      </c>
      <c r="B163" t="inlineStr">
        <is>
          <t>32</t>
        </is>
      </c>
      <c r="C163" t="inlineStr">
        <is>
          <t>Ambiente y desarrollo sostenible</t>
        </is>
      </c>
      <c r="D163" t="inlineStr">
        <is>
          <t>3202</t>
        </is>
      </c>
      <c r="E163" t="inlineStr">
        <is>
          <t>Conservación de la biodiversidad y sus servicios ecosistémicos</t>
        </is>
      </c>
      <c r="F163" t="inlineStr">
        <is>
          <t>3202005</t>
        </is>
      </c>
      <c r="G163" t="inlineStr">
        <is>
          <t>Servicio de restauración de ecosistemas</t>
        </is>
      </c>
      <c r="H163" t="inlineStr">
        <is>
          <t>320200500</t>
        </is>
      </c>
      <c r="I163" t="inlineStr">
        <is>
          <t>Áreas en proceso de restauración</t>
        </is>
      </c>
      <c r="J163" t="inlineStr">
        <is>
          <t>2024257580060</t>
        </is>
      </c>
      <c r="K163" t="inlineStr">
        <is>
          <t>No</t>
        </is>
      </c>
      <c r="L163" t="inlineStr">
        <is>
          <t>Hectáreas</t>
        </is>
      </c>
      <c r="M163">
        <v>20</v>
      </c>
      <c r="N163">
        <v>2</v>
      </c>
      <c r="O163">
        <v>6</v>
      </c>
      <c r="P163">
        <v>6</v>
      </c>
      <c r="Q163">
        <v>6</v>
      </c>
      <c r="R163" t="inlineStr">
        <is>
          <t xml:space="preserve"> </t>
        </is>
      </c>
      <c r="S163" s="103" t="inlineStr">
        <is>
          <t xml:space="preserve"> </t>
        </is>
      </c>
      <c r="T163" t="inlineStr">
        <is>
          <t>No se encontró ejecución en PIIP</t>
        </is>
      </c>
      <c r="U163" t="inlineStr">
        <is>
          <t xml:space="preserve"> </t>
        </is>
      </c>
      <c r="V163" s="104" t="inlineStr">
        <is>
          <t xml:space="preserve"> </t>
        </is>
      </c>
      <c r="W163" t="inlineStr">
        <is>
          <t>No se encontró ejecución en PIIP</t>
        </is>
      </c>
    </row>
    <row r="164">
      <c r="A164" t="inlineStr">
        <is>
          <t>IP-194</t>
        </is>
      </c>
      <c r="B164" t="inlineStr">
        <is>
          <t>32</t>
        </is>
      </c>
      <c r="C164" t="inlineStr">
        <is>
          <t>Ambiente y desarrollo sostenible</t>
        </is>
      </c>
      <c r="D164" t="inlineStr">
        <is>
          <t>3202</t>
        </is>
      </c>
      <c r="E164" t="inlineStr">
        <is>
          <t>Conservación de la biodiversidad y sus servicios ecosistémicos</t>
        </is>
      </c>
      <c r="F164" t="inlineStr">
        <is>
          <t>3202006</t>
        </is>
      </c>
      <c r="G164" t="inlineStr">
        <is>
          <t>Servicio de reforestación de ecosistemas</t>
        </is>
      </c>
      <c r="H164" t="inlineStr">
        <is>
          <t>320200600</t>
        </is>
      </c>
      <c r="I164" t="inlineStr">
        <is>
          <t>Plantaciones forestales realizadas</t>
        </is>
      </c>
      <c r="J164" t="inlineStr">
        <is>
          <t>2024257580060</t>
        </is>
      </c>
      <c r="K164" t="inlineStr">
        <is>
          <t>No</t>
        </is>
      </c>
      <c r="L164" t="inlineStr">
        <is>
          <t>Hectáreas</t>
        </is>
      </c>
      <c r="M164">
        <v>40</v>
      </c>
      <c r="N164">
        <v>2</v>
      </c>
      <c r="O164">
        <v>13</v>
      </c>
      <c r="P164">
        <v>13</v>
      </c>
      <c r="Q164">
        <v>12</v>
      </c>
      <c r="R164" t="inlineStr">
        <is>
          <t xml:space="preserve"> </t>
        </is>
      </c>
      <c r="S164" s="103" t="inlineStr">
        <is>
          <t xml:space="preserve"> </t>
        </is>
      </c>
      <c r="T164" t="inlineStr">
        <is>
          <t>No se encontró ejecución en PIIP</t>
        </is>
      </c>
      <c r="U164" t="inlineStr">
        <is>
          <t xml:space="preserve"> </t>
        </is>
      </c>
      <c r="V164" s="104" t="inlineStr">
        <is>
          <t xml:space="preserve"> </t>
        </is>
      </c>
      <c r="W164" t="inlineStr">
        <is>
          <t>No se encontró ejecución en PIIP</t>
        </is>
      </c>
    </row>
    <row r="165">
      <c r="A165" t="inlineStr">
        <is>
          <t>IP-195</t>
        </is>
      </c>
      <c r="B165" t="inlineStr">
        <is>
          <t>32</t>
        </is>
      </c>
      <c r="C165" t="inlineStr">
        <is>
          <t>Ambiente y desarrollo sostenible</t>
        </is>
      </c>
      <c r="D165" t="inlineStr">
        <is>
          <t>3202</t>
        </is>
      </c>
      <c r="E165" t="inlineStr">
        <is>
          <t>Conservación de la biodiversidad y sus servicios ecosistémicos</t>
        </is>
      </c>
      <c r="F165" t="inlineStr">
        <is>
          <t>3202014</t>
        </is>
      </c>
      <c r="G165" t="inlineStr">
        <is>
          <t>Servicio de educación informal en el marco de la conservación de la biodiversidad y los Servicio ecostémicos</t>
        </is>
      </c>
      <c r="H165" t="inlineStr">
        <is>
          <t>320201401</t>
        </is>
      </c>
      <c r="I165" t="inlineStr">
        <is>
          <t xml:space="preserve">Documento con plan de educación ambiental elaborado </t>
        </is>
      </c>
      <c r="J165" t="inlineStr">
        <is>
          <t>2024257580060</t>
        </is>
      </c>
      <c r="K165" t="inlineStr">
        <is>
          <t>No</t>
        </is>
      </c>
      <c r="L165" t="inlineStr">
        <is>
          <t>Número</t>
        </is>
      </c>
      <c r="M165">
        <v>4</v>
      </c>
      <c r="N165">
        <v>1</v>
      </c>
      <c r="O165">
        <v>1</v>
      </c>
      <c r="P165">
        <v>1</v>
      </c>
      <c r="Q165">
        <v>1</v>
      </c>
      <c r="R165" t="inlineStr">
        <is>
          <t xml:space="preserve"> </t>
        </is>
      </c>
      <c r="S165" s="103" t="inlineStr">
        <is>
          <t xml:space="preserve"> </t>
        </is>
      </c>
      <c r="T165" t="inlineStr">
        <is>
          <t>No se encontró ejecución en PIIP</t>
        </is>
      </c>
      <c r="U165" t="inlineStr">
        <is>
          <t xml:space="preserve"> </t>
        </is>
      </c>
      <c r="V165" s="104" t="inlineStr">
        <is>
          <t xml:space="preserve"> </t>
        </is>
      </c>
      <c r="W165" t="inlineStr">
        <is>
          <t>No se encontró ejecución en PIIP</t>
        </is>
      </c>
    </row>
    <row r="166">
      <c r="A166" t="inlineStr">
        <is>
          <t>IP-196</t>
        </is>
      </c>
      <c r="B166" t="inlineStr">
        <is>
          <t>32</t>
        </is>
      </c>
      <c r="C166" t="inlineStr">
        <is>
          <t>Ambiente y desarrollo sostenible</t>
        </is>
      </c>
      <c r="D166" t="inlineStr">
        <is>
          <t>3202</t>
        </is>
      </c>
      <c r="E166" t="inlineStr">
        <is>
          <t>Conservación de la biodiversidad y sus servicios ecosistémicos</t>
        </is>
      </c>
      <c r="F166" t="inlineStr">
        <is>
          <t>3202028</t>
        </is>
      </c>
      <c r="G166" t="inlineStr">
        <is>
          <t>Centro de Atención e interpretación de la biodiversidad y sus servicios ecosistemicos adecuado</t>
        </is>
      </c>
      <c r="H166" t="inlineStr">
        <is>
          <t>320202800</t>
        </is>
      </c>
      <c r="I166" t="inlineStr">
        <is>
          <t>Centro de Atención e interpretación de la biodiversidad y sus Servicio ecosistemicos adecuado</t>
        </is>
      </c>
      <c r="J166" t="inlineStr">
        <is>
          <t>2024257580060</t>
        </is>
      </c>
      <c r="K166" t="inlineStr">
        <is>
          <t>Si</t>
        </is>
      </c>
      <c r="L166" t="inlineStr">
        <is>
          <t>Número</t>
        </is>
      </c>
      <c r="M166">
        <v>1</v>
      </c>
      <c r="N166">
        <v>0</v>
      </c>
      <c r="O166">
        <v>1</v>
      </c>
      <c r="P166">
        <v>1</v>
      </c>
      <c r="Q166">
        <v>1</v>
      </c>
      <c r="R166" t="inlineStr">
        <is>
          <t xml:space="preserve"> </t>
        </is>
      </c>
      <c r="S166" s="103" t="inlineStr">
        <is>
          <t xml:space="preserve"> </t>
        </is>
      </c>
      <c r="T166" t="inlineStr">
        <is>
          <t>No se encontró ejecución en PIIP</t>
        </is>
      </c>
      <c r="U166" t="inlineStr">
        <is>
          <t xml:space="preserve"> </t>
        </is>
      </c>
      <c r="V166" s="104" t="inlineStr">
        <is>
          <t xml:space="preserve"> </t>
        </is>
      </c>
      <c r="W166" t="inlineStr">
        <is>
          <t>No se encontró ejecución en PIIP</t>
        </is>
      </c>
    </row>
    <row r="167">
      <c r="A167" t="inlineStr">
        <is>
          <t>IP-197</t>
        </is>
      </c>
      <c r="B167" t="inlineStr">
        <is>
          <t>32</t>
        </is>
      </c>
      <c r="C167" t="inlineStr">
        <is>
          <t>Ambiente y desarrollo sostenible</t>
        </is>
      </c>
      <c r="D167" t="inlineStr">
        <is>
          <t>3202</t>
        </is>
      </c>
      <c r="E167" t="inlineStr">
        <is>
          <t>Conservación de la biodiversidad y sus servicios ecosistémicos</t>
        </is>
      </c>
      <c r="F167" t="inlineStr">
        <is>
          <t>3202038</t>
        </is>
      </c>
      <c r="G167" t="inlineStr">
        <is>
          <t>Servicio de producción de plántulas en viveros</t>
        </is>
      </c>
      <c r="H167" t="inlineStr">
        <is>
          <t>320203800</t>
        </is>
      </c>
      <c r="I167" t="inlineStr">
        <is>
          <t>Plántulas producidas</t>
        </is>
      </c>
      <c r="J167" t="inlineStr">
        <is>
          <t>2024257580060</t>
        </is>
      </c>
      <c r="K167" t="inlineStr">
        <is>
          <t>Si</t>
        </is>
      </c>
      <c r="L167" t="inlineStr">
        <is>
          <t>Número</t>
        </is>
      </c>
      <c r="M167">
        <v>2</v>
      </c>
      <c r="N167">
        <v>1</v>
      </c>
      <c r="O167">
        <v>2</v>
      </c>
      <c r="P167">
        <v>2</v>
      </c>
      <c r="Q167">
        <v>2</v>
      </c>
      <c r="R167" t="inlineStr">
        <is>
          <t xml:space="preserve"> </t>
        </is>
      </c>
      <c r="S167" s="103" t="inlineStr">
        <is>
          <t xml:space="preserve"> </t>
        </is>
      </c>
      <c r="T167" t="inlineStr">
        <is>
          <t>No se encontró ejecución en PIIP</t>
        </is>
      </c>
      <c r="U167" t="inlineStr">
        <is>
          <t xml:space="preserve"> </t>
        </is>
      </c>
      <c r="V167" s="104" t="inlineStr">
        <is>
          <t xml:space="preserve"> </t>
        </is>
      </c>
      <c r="W167" t="inlineStr">
        <is>
          <t>No se encontró ejecución en PIIP</t>
        </is>
      </c>
    </row>
    <row r="168">
      <c r="A168" t="inlineStr">
        <is>
          <t>IP-198, IP-200</t>
        </is>
      </c>
      <c r="B168" t="inlineStr">
        <is>
          <t>32</t>
        </is>
      </c>
      <c r="C168" t="inlineStr">
        <is>
          <t>Ambiente y desarrollo sostenible</t>
        </is>
      </c>
      <c r="D168" t="inlineStr">
        <is>
          <t>3202</t>
        </is>
      </c>
      <c r="E168" t="inlineStr">
        <is>
          <t>Conservación de la biodiversidad y sus servicios ecosistémicos</t>
        </is>
      </c>
      <c r="F168" t="inlineStr">
        <is>
          <t>3202048</t>
        </is>
      </c>
      <c r="G168" t="inlineStr">
        <is>
          <t>Documentos de lineamientos técnicos con acuerdos de uso, ocupación y tenencia en áreas protegidas no vinculadas al Sistema Nacional de Áreas Protegidas</t>
        </is>
      </c>
      <c r="H168" t="inlineStr">
        <is>
          <t>320204800</t>
        </is>
      </c>
      <c r="I168" t="inlineStr">
        <is>
          <t>Documentos de lineamientos técnicos realizados</t>
        </is>
      </c>
      <c r="J168" t="inlineStr">
        <is>
          <t>2024257580060</t>
        </is>
      </c>
      <c r="K168" t="inlineStr">
        <is>
          <t>Si</t>
        </is>
      </c>
      <c r="L168" t="inlineStr">
        <is>
          <t>Número</t>
        </is>
      </c>
      <c r="M168">
        <v>2</v>
      </c>
      <c r="N168">
        <v>1</v>
      </c>
      <c r="O168">
        <v>2</v>
      </c>
      <c r="P168">
        <v>2</v>
      </c>
      <c r="Q168">
        <v>2</v>
      </c>
      <c r="R168" t="inlineStr">
        <is>
          <t xml:space="preserve"> </t>
        </is>
      </c>
      <c r="S168" s="103" t="inlineStr">
        <is>
          <t xml:space="preserve"> </t>
        </is>
      </c>
      <c r="T168" t="inlineStr">
        <is>
          <t>No se encontró ejecución en PIIP</t>
        </is>
      </c>
      <c r="U168" t="inlineStr">
        <is>
          <t xml:space="preserve"> </t>
        </is>
      </c>
      <c r="V168" s="104" t="inlineStr">
        <is>
          <t xml:space="preserve"> </t>
        </is>
      </c>
      <c r="W168" t="inlineStr">
        <is>
          <t>No se encontró ejecución en PIIP</t>
        </is>
      </c>
    </row>
    <row r="169">
      <c r="A169" t="inlineStr">
        <is>
          <t>IP-199</t>
        </is>
      </c>
      <c r="B169" t="inlineStr">
        <is>
          <t>32</t>
        </is>
      </c>
      <c r="C169" t="inlineStr">
        <is>
          <t>Ambiente y desarrollo sostenible</t>
        </is>
      </c>
      <c r="D169" t="inlineStr">
        <is>
          <t>3202</t>
        </is>
      </c>
      <c r="E169" t="inlineStr">
        <is>
          <t>Conservación de la biodiversidad y sus servicios ecosistémicos</t>
        </is>
      </c>
      <c r="F169" t="inlineStr">
        <is>
          <t>3202043</t>
        </is>
      </c>
      <c r="G169" t="inlineStr">
        <is>
          <t>Servicio apoyo financiero para la implementación de esquemas de pago por Servicio ambientales</t>
        </is>
      </c>
      <c r="H169" t="inlineStr">
        <is>
          <t>320204300</t>
        </is>
      </c>
      <c r="I169" t="inlineStr">
        <is>
          <t>Áreas con esquemas de Pago por Servicios Ambientales implementados</t>
        </is>
      </c>
      <c r="J169" t="inlineStr">
        <is>
          <t>2024257580060</t>
        </is>
      </c>
      <c r="K169" t="inlineStr">
        <is>
          <t>Si</t>
        </is>
      </c>
      <c r="L169" t="inlineStr">
        <is>
          <t>Hectáreas</t>
        </is>
      </c>
      <c r="M169">
        <v>15</v>
      </c>
      <c r="N169">
        <v>5</v>
      </c>
      <c r="O169">
        <v>10</v>
      </c>
      <c r="P169">
        <v>15</v>
      </c>
      <c r="Q169">
        <v>15</v>
      </c>
      <c r="R169" t="inlineStr">
        <is>
          <t xml:space="preserve"> </t>
        </is>
      </c>
      <c r="S169" s="103" t="inlineStr">
        <is>
          <t xml:space="preserve"> </t>
        </is>
      </c>
      <c r="T169" t="inlineStr">
        <is>
          <t>No se encontró ejecución en PIIP</t>
        </is>
      </c>
      <c r="U169" t="inlineStr">
        <is>
          <t xml:space="preserve"> </t>
        </is>
      </c>
      <c r="V169" s="104" t="inlineStr">
        <is>
          <t xml:space="preserve"> </t>
        </is>
      </c>
      <c r="W169" t="inlineStr">
        <is>
          <t>No se encontró ejecución en PIIP</t>
        </is>
      </c>
    </row>
    <row r="170">
      <c r="A170" t="inlineStr">
        <is>
          <t>IP-201</t>
        </is>
      </c>
      <c r="B170" t="inlineStr">
        <is>
          <t>32</t>
        </is>
      </c>
      <c r="C170" t="inlineStr">
        <is>
          <t>Ambiente y desarrollo sostenible</t>
        </is>
      </c>
      <c r="D170" t="inlineStr">
        <is>
          <t>3202</t>
        </is>
      </c>
      <c r="E170" t="inlineStr">
        <is>
          <t>Conservación de la biodiversidad y sus servicios ecosistémicos</t>
        </is>
      </c>
      <c r="F170" t="inlineStr">
        <is>
          <t>3202037</t>
        </is>
      </c>
      <c r="G170" t="inlineStr">
        <is>
          <t>Servicio de recuperación de cuerpos de agua lénticos y lóticos</t>
        </is>
      </c>
      <c r="H170" t="inlineStr">
        <is>
          <t>320203700</t>
        </is>
      </c>
      <c r="I170" t="inlineStr">
        <is>
          <t xml:space="preserve">Extensión de cuerpos de agua recuperados </t>
        </is>
      </c>
      <c r="J170" t="inlineStr">
        <is>
          <t>2024257580060</t>
        </is>
      </c>
      <c r="K170" t="inlineStr">
        <is>
          <t>Si</t>
        </is>
      </c>
      <c r="L170" t="inlineStr">
        <is>
          <t>Hectáreas</t>
        </is>
      </c>
      <c r="M170">
        <v>1</v>
      </c>
      <c r="N170">
        <v>1</v>
      </c>
      <c r="O170">
        <v>1</v>
      </c>
      <c r="P170">
        <v>1</v>
      </c>
      <c r="Q170">
        <v>1</v>
      </c>
      <c r="R170" t="inlineStr">
        <is>
          <t xml:space="preserve"> </t>
        </is>
      </c>
      <c r="S170" s="103" t="inlineStr">
        <is>
          <t xml:space="preserve"> </t>
        </is>
      </c>
      <c r="T170" t="inlineStr">
        <is>
          <t>No se encontró ejecución en PIIP</t>
        </is>
      </c>
      <c r="U170" t="inlineStr">
        <is>
          <t xml:space="preserve"> </t>
        </is>
      </c>
      <c r="V170" s="104" t="inlineStr">
        <is>
          <t xml:space="preserve"> </t>
        </is>
      </c>
      <c r="W170" t="inlineStr">
        <is>
          <t>No se encontró ejecución en PIIP</t>
        </is>
      </c>
    </row>
    <row r="171">
      <c r="A171" t="inlineStr">
        <is>
          <t>IP-202</t>
        </is>
      </c>
      <c r="B171" t="inlineStr">
        <is>
          <t>32</t>
        </is>
      </c>
      <c r="C171" t="inlineStr">
        <is>
          <t>Ambiente y desarrollo sostenible</t>
        </is>
      </c>
      <c r="D171" t="inlineStr">
        <is>
          <t>3201</t>
        </is>
      </c>
      <c r="E171" t="inlineStr">
        <is>
          <t>Fortalecimiento del desempeño ambiental de los sectores productivos</t>
        </is>
      </c>
      <c r="F171" t="inlineStr">
        <is>
          <t>3201003</t>
        </is>
      </c>
      <c r="G171" t="inlineStr">
        <is>
          <t>Servicio de asistencia técnica para la consolidación de negocios verdes</t>
        </is>
      </c>
      <c r="H171" t="inlineStr">
        <is>
          <t>320100300</t>
        </is>
      </c>
      <c r="I171" t="inlineStr">
        <is>
          <t xml:space="preserve">Negocios verdes consolidados </t>
        </is>
      </c>
      <c r="J171" t="inlineStr">
        <is>
          <t>2024257580045</t>
        </is>
      </c>
      <c r="K171" t="inlineStr">
        <is>
          <t>Si</t>
        </is>
      </c>
      <c r="L171" t="inlineStr">
        <is>
          <t>Número</t>
        </is>
      </c>
      <c r="M171">
        <v>15</v>
      </c>
      <c r="N171">
        <v>4</v>
      </c>
      <c r="O171">
        <v>8</v>
      </c>
      <c r="P171">
        <v>12</v>
      </c>
      <c r="Q171">
        <v>15</v>
      </c>
      <c r="R171" t="inlineStr">
        <is>
          <t xml:space="preserve"> </t>
        </is>
      </c>
      <c r="S171" s="103" t="inlineStr">
        <is>
          <t xml:space="preserve"> </t>
        </is>
      </c>
      <c r="T171" t="inlineStr">
        <is>
          <t>No se encontró ejecución en PIIP</t>
        </is>
      </c>
      <c r="U171" t="inlineStr">
        <is>
          <t xml:space="preserve"> </t>
        </is>
      </c>
      <c r="V171" s="104" t="inlineStr">
        <is>
          <t xml:space="preserve"> </t>
        </is>
      </c>
      <c r="W171" t="inlineStr">
        <is>
          <t>No se encontró ejecución en PIIP</t>
        </is>
      </c>
    </row>
    <row r="172">
      <c r="A172" t="inlineStr">
        <is>
          <t>IP-203</t>
        </is>
      </c>
      <c r="B172" t="inlineStr">
        <is>
          <t>32</t>
        </is>
      </c>
      <c r="C172" t="inlineStr">
        <is>
          <t>Ambiente y desarrollo sostenible</t>
        </is>
      </c>
      <c r="D172" t="inlineStr">
        <is>
          <t>3201</t>
        </is>
      </c>
      <c r="E172" t="inlineStr">
        <is>
          <t>Fortalecimiento del desempeño ambiental de los sectores productivos</t>
        </is>
      </c>
      <c r="F172" t="inlineStr">
        <is>
          <t>3201002</t>
        </is>
      </c>
      <c r="G172" t="inlineStr">
        <is>
          <t>Documentos de lineamientos técnicos para el fortalecimiento del desempeño ambiental de los sectores productivos</t>
        </is>
      </c>
      <c r="H172" t="inlineStr">
        <is>
          <t>320100203</t>
        </is>
      </c>
      <c r="I172" t="inlineStr">
        <is>
          <t>Programas de gestión ambiental sectorial diseñados</t>
        </is>
      </c>
      <c r="J172" t="inlineStr">
        <is>
          <t>2024257580045</t>
        </is>
      </c>
      <c r="K172" t="inlineStr">
        <is>
          <t>Si</t>
        </is>
      </c>
      <c r="L172" t="inlineStr">
        <is>
          <t>Número</t>
        </is>
      </c>
      <c r="M172">
        <v>1</v>
      </c>
      <c r="N172">
        <v>1</v>
      </c>
      <c r="O172">
        <v>1</v>
      </c>
      <c r="P172">
        <v>1</v>
      </c>
      <c r="Q172">
        <v>1</v>
      </c>
      <c r="R172" t="inlineStr">
        <is>
          <t xml:space="preserve"> </t>
        </is>
      </c>
      <c r="S172" s="103" t="inlineStr">
        <is>
          <t xml:space="preserve"> </t>
        </is>
      </c>
      <c r="T172" t="inlineStr">
        <is>
          <t>No se encontró ejecución en PIIP</t>
        </is>
      </c>
      <c r="U172" t="inlineStr">
        <is>
          <t xml:space="preserve"> </t>
        </is>
      </c>
      <c r="V172" s="104" t="inlineStr">
        <is>
          <t xml:space="preserve"> </t>
        </is>
      </c>
      <c r="W172" t="inlineStr">
        <is>
          <t>No se encontró ejecución en PIIP</t>
        </is>
      </c>
    </row>
    <row r="173">
      <c r="A173" t="inlineStr">
        <is>
          <t>IP-204</t>
        </is>
      </c>
      <c r="B173" t="inlineStr">
        <is>
          <t>32</t>
        </is>
      </c>
      <c r="C173" t="inlineStr">
        <is>
          <t>Ambiente y desarrollo sostenible</t>
        </is>
      </c>
      <c r="D173" t="inlineStr">
        <is>
          <t>3201</t>
        </is>
      </c>
      <c r="E173" t="inlineStr">
        <is>
          <t>Fortalecimiento del desempeño ambiental de los sectores productivos</t>
        </is>
      </c>
      <c r="F173" t="inlineStr">
        <is>
          <t>3201008</t>
        </is>
      </c>
      <c r="G173" t="inlineStr">
        <is>
          <t>Servicio de vigilancia de la calidad del aire</t>
        </is>
      </c>
      <c r="H173" t="inlineStr">
        <is>
          <t>320100805</t>
        </is>
      </c>
      <c r="I173" t="inlineStr">
        <is>
          <t>Campaña de monitoreo de calidad del aire realizadas</t>
        </is>
      </c>
      <c r="J173" t="inlineStr">
        <is>
          <t>2024257580045</t>
        </is>
      </c>
      <c r="K173" t="inlineStr">
        <is>
          <t>No</t>
        </is>
      </c>
      <c r="L173" t="inlineStr">
        <is>
          <t>Número</t>
        </is>
      </c>
      <c r="M173">
        <v>8</v>
      </c>
      <c r="N173">
        <v>2</v>
      </c>
      <c r="O173">
        <v>2</v>
      </c>
      <c r="P173">
        <v>2</v>
      </c>
      <c r="Q173">
        <v>2</v>
      </c>
      <c r="R173" t="inlineStr">
        <is>
          <t xml:space="preserve"> </t>
        </is>
      </c>
      <c r="S173" s="103" t="inlineStr">
        <is>
          <t xml:space="preserve"> </t>
        </is>
      </c>
      <c r="T173" t="inlineStr">
        <is>
          <t>No se encontró ejecución en PIIP</t>
        </is>
      </c>
      <c r="U173" t="inlineStr">
        <is>
          <t xml:space="preserve"> </t>
        </is>
      </c>
      <c r="V173" s="104" t="inlineStr">
        <is>
          <t xml:space="preserve"> </t>
        </is>
      </c>
      <c r="W173" t="inlineStr">
        <is>
          <t>No se encontró ejecución en PIIP</t>
        </is>
      </c>
    </row>
    <row r="174">
      <c r="A174" t="inlineStr">
        <is>
          <t>IP-205</t>
        </is>
      </c>
      <c r="B174" t="inlineStr">
        <is>
          <t>32</t>
        </is>
      </c>
      <c r="C174" t="inlineStr">
        <is>
          <t>Ambiente y desarrollo sostenible</t>
        </is>
      </c>
      <c r="D174" t="inlineStr">
        <is>
          <t>3201</t>
        </is>
      </c>
      <c r="E174" t="inlineStr">
        <is>
          <t>Fortalecimiento del desempeño ambiental de los sectores productivos</t>
        </is>
      </c>
      <c r="F174" t="inlineStr">
        <is>
          <t>3201007</t>
        </is>
      </c>
      <c r="G174" t="inlineStr">
        <is>
          <t>Servicio de asistencia técnica para la incorporación de varibales ambientales en la planificación sectorial</t>
        </is>
      </c>
      <c r="H174" t="inlineStr">
        <is>
          <t>320100700</t>
        </is>
      </c>
      <c r="I174" t="inlineStr">
        <is>
          <t>Entidades y sectores asistidos técnicamente para la incorporación de varibales ambientales en la planificación sectorial</t>
        </is>
      </c>
      <c r="J174" t="inlineStr">
        <is>
          <t>2024257580045</t>
        </is>
      </c>
      <c r="K174" t="inlineStr">
        <is>
          <t>No</t>
        </is>
      </c>
      <c r="L174" t="inlineStr">
        <is>
          <t>Número</t>
        </is>
      </c>
      <c r="M174">
        <v>4</v>
      </c>
      <c r="N174">
        <v>1</v>
      </c>
      <c r="O174">
        <v>1</v>
      </c>
      <c r="P174">
        <v>1</v>
      </c>
      <c r="Q174">
        <v>1</v>
      </c>
      <c r="R174" t="inlineStr">
        <is>
          <t xml:space="preserve"> </t>
        </is>
      </c>
      <c r="S174" s="103" t="inlineStr">
        <is>
          <t xml:space="preserve"> </t>
        </is>
      </c>
      <c r="T174" t="inlineStr">
        <is>
          <t>No se encontró ejecución en PIIP</t>
        </is>
      </c>
      <c r="U174" t="inlineStr">
        <is>
          <t xml:space="preserve"> </t>
        </is>
      </c>
      <c r="V174" s="104" t="inlineStr">
        <is>
          <t xml:space="preserve"> </t>
        </is>
      </c>
      <c r="W174" t="inlineStr">
        <is>
          <t>No se encontró ejecución en PIIP</t>
        </is>
      </c>
    </row>
    <row r="175">
      <c r="A175" t="inlineStr">
        <is>
          <t>IP-206</t>
        </is>
      </c>
      <c r="B175" t="inlineStr">
        <is>
          <t>32</t>
        </is>
      </c>
      <c r="C175" t="inlineStr">
        <is>
          <t>Ambiente y desarrollo sostenible</t>
        </is>
      </c>
      <c r="D175" t="inlineStr">
        <is>
          <t>3201</t>
        </is>
      </c>
      <c r="E175" t="inlineStr">
        <is>
          <t>Fortalecimiento del desempeño ambiental de los sectores productivos</t>
        </is>
      </c>
      <c r="F175" t="inlineStr">
        <is>
          <t>3201028</t>
        </is>
      </c>
      <c r="G175" t="inlineStr">
        <is>
          <t>Servicio de monitoreo de fuentes de emisión de ruido</t>
        </is>
      </c>
      <c r="H175" t="inlineStr">
        <is>
          <t>320102800</t>
        </is>
      </c>
      <c r="I175" t="inlineStr">
        <is>
          <t>Fuentes de emisiones de ruido monitoreadas</t>
        </is>
      </c>
      <c r="J175" t="inlineStr">
        <is>
          <t>2024257580045</t>
        </is>
      </c>
      <c r="K175" t="inlineStr">
        <is>
          <t>No</t>
        </is>
      </c>
      <c r="L175" t="inlineStr">
        <is>
          <t>Número</t>
        </is>
      </c>
      <c r="M175">
        <v>40</v>
      </c>
      <c r="N175">
        <v>10</v>
      </c>
      <c r="O175">
        <v>10</v>
      </c>
      <c r="P175">
        <v>10</v>
      </c>
      <c r="Q175">
        <v>10</v>
      </c>
      <c r="R175" t="inlineStr">
        <is>
          <t xml:space="preserve"> </t>
        </is>
      </c>
      <c r="S175" s="103" t="inlineStr">
        <is>
          <t xml:space="preserve"> </t>
        </is>
      </c>
      <c r="T175" t="inlineStr">
        <is>
          <t>No se encontró ejecución en PIIP</t>
        </is>
      </c>
      <c r="U175" t="inlineStr">
        <is>
          <t xml:space="preserve"> </t>
        </is>
      </c>
      <c r="V175" s="104" t="inlineStr">
        <is>
          <t xml:space="preserve"> </t>
        </is>
      </c>
      <c r="W175" t="inlineStr">
        <is>
          <t>No se encontró ejecución en PIIP</t>
        </is>
      </c>
    </row>
    <row r="176">
      <c r="A176" t="inlineStr">
        <is>
          <t>IP-207</t>
        </is>
      </c>
      <c r="B176" t="inlineStr">
        <is>
          <t>32</t>
        </is>
      </c>
      <c r="C176" t="inlineStr">
        <is>
          <t>Ambiente y desarrollo sostenible</t>
        </is>
      </c>
      <c r="D176" t="inlineStr">
        <is>
          <t>3201</t>
        </is>
      </c>
      <c r="E176" t="inlineStr">
        <is>
          <t>Fortalecimiento del desempeño ambiental de los sectores productivos</t>
        </is>
      </c>
      <c r="F176" t="inlineStr">
        <is>
          <t>3201002</t>
        </is>
      </c>
      <c r="G176" t="inlineStr">
        <is>
          <t>Documentos de lineamientos técnicos para el fortalecimiento del desempeño ambiental de los sectores productivos</t>
        </is>
      </c>
      <c r="H176" t="inlineStr">
        <is>
          <t>320100203</t>
        </is>
      </c>
      <c r="I176" t="inlineStr">
        <is>
          <t>Programas de gestión ambiental sectorial diseñados</t>
        </is>
      </c>
      <c r="J176" t="inlineStr">
        <is>
          <t>2024257580045</t>
        </is>
      </c>
      <c r="K176" t="inlineStr">
        <is>
          <t>No</t>
        </is>
      </c>
      <c r="L176" t="inlineStr">
        <is>
          <t>Número</t>
        </is>
      </c>
      <c r="M176">
        <v>8</v>
      </c>
      <c r="N176">
        <v>2</v>
      </c>
      <c r="O176">
        <v>2</v>
      </c>
      <c r="P176">
        <v>2</v>
      </c>
      <c r="Q176">
        <v>2</v>
      </c>
      <c r="R176" t="inlineStr">
        <is>
          <t xml:space="preserve"> </t>
        </is>
      </c>
      <c r="S176" s="103" t="inlineStr">
        <is>
          <t xml:space="preserve"> </t>
        </is>
      </c>
      <c r="T176" t="inlineStr">
        <is>
          <t>No se encontró ejecución en PIIP</t>
        </is>
      </c>
      <c r="U176" t="inlineStr">
        <is>
          <t xml:space="preserve"> </t>
        </is>
      </c>
      <c r="V176" s="104" t="inlineStr">
        <is>
          <t xml:space="preserve"> </t>
        </is>
      </c>
      <c r="W176" t="inlineStr">
        <is>
          <t>No se encontró ejecución en PIIP</t>
        </is>
      </c>
    </row>
    <row r="177">
      <c r="A177" t="inlineStr">
        <is>
          <t>IP-208</t>
        </is>
      </c>
      <c r="B177" t="inlineStr">
        <is>
          <t>32</t>
        </is>
      </c>
      <c r="C177" t="inlineStr">
        <is>
          <t>Ambiente y desarrollo sostenible</t>
        </is>
      </c>
      <c r="D177" t="inlineStr">
        <is>
          <t>3208</t>
        </is>
      </c>
      <c r="E177" t="inlineStr">
        <is>
          <t xml:space="preserve">Educación Ambiental </t>
        </is>
      </c>
      <c r="F177" t="inlineStr">
        <is>
          <t>3208009</t>
        </is>
      </c>
      <c r="G177" t="inlineStr">
        <is>
          <t>Documentos de lineamientos técnicos para el desarrollo de la política ambiental</t>
        </is>
      </c>
      <c r="H177" t="inlineStr">
        <is>
          <t>320800900</t>
        </is>
      </c>
      <c r="I177" t="inlineStr">
        <is>
          <t>Documentos de lineamientos técnicos elaborados</t>
        </is>
      </c>
      <c r="J177" t="inlineStr">
        <is>
          <t>2024257580063</t>
        </is>
      </c>
      <c r="K177" t="inlineStr">
        <is>
          <t>Si</t>
        </is>
      </c>
      <c r="L177" t="inlineStr">
        <is>
          <t>Número</t>
        </is>
      </c>
      <c r="M177">
        <v>20</v>
      </c>
      <c r="N177">
        <v>1</v>
      </c>
      <c r="O177">
        <v>2</v>
      </c>
      <c r="P177">
        <v>10</v>
      </c>
      <c r="Q177">
        <v>20</v>
      </c>
      <c r="R177" t="inlineStr">
        <is>
          <t xml:space="preserve"> </t>
        </is>
      </c>
      <c r="S177" s="103" t="inlineStr">
        <is>
          <t xml:space="preserve"> </t>
        </is>
      </c>
      <c r="T177" t="inlineStr">
        <is>
          <t>No se encontró ejecución en PIIP</t>
        </is>
      </c>
      <c r="U177" t="inlineStr">
        <is>
          <t xml:space="preserve"> </t>
        </is>
      </c>
      <c r="V177" s="104" t="inlineStr">
        <is>
          <t xml:space="preserve"> </t>
        </is>
      </c>
      <c r="W177" t="inlineStr">
        <is>
          <t>No se encontró ejecución en PIIP</t>
        </is>
      </c>
    </row>
    <row r="178">
      <c r="A178" t="inlineStr">
        <is>
          <t>IP-209, IP-210, IP-211, IP-212</t>
        </is>
      </c>
      <c r="B178" t="inlineStr">
        <is>
          <t>32</t>
        </is>
      </c>
      <c r="C178" t="inlineStr">
        <is>
          <t>Ambiente y desarrollo sostenible</t>
        </is>
      </c>
      <c r="D178" t="inlineStr">
        <is>
          <t>3208</t>
        </is>
      </c>
      <c r="E178" t="inlineStr">
        <is>
          <t xml:space="preserve">Educación Ambiental </t>
        </is>
      </c>
      <c r="F178" t="inlineStr">
        <is>
          <t>3208006</t>
        </is>
      </c>
      <c r="G178" t="inlineStr">
        <is>
          <t>Servicio de asistencia técnica para la implementación de lasestrategias educativo ambientales y de participación</t>
        </is>
      </c>
      <c r="H178" t="inlineStr">
        <is>
          <t>320800600</t>
        </is>
      </c>
      <c r="I178" t="inlineStr">
        <is>
          <t xml:space="preserve">Estrategias educativo ambientales y de participación implementadas </t>
        </is>
      </c>
      <c r="J178" t="inlineStr">
        <is>
          <t>2024257580063</t>
        </is>
      </c>
      <c r="K178" t="inlineStr">
        <is>
          <t>Si</t>
        </is>
      </c>
      <c r="L178" t="inlineStr">
        <is>
          <t>Número</t>
        </is>
      </c>
      <c r="M178">
        <v>22</v>
      </c>
      <c r="N178">
        <v>16</v>
      </c>
      <c r="O178">
        <v>20</v>
      </c>
      <c r="P178">
        <v>21</v>
      </c>
      <c r="Q178">
        <v>22</v>
      </c>
      <c r="R178">
        <v>14</v>
      </c>
      <c r="S178" s="103">
        <v>0.875</v>
      </c>
      <c r="T178" t="inlineStr">
        <is>
          <t>Lo ejecutado está por debajo de lo programado en la vigencia</t>
        </is>
      </c>
      <c r="U178">
        <v>0</v>
      </c>
      <c r="V178" s="104">
        <v>0</v>
      </c>
      <c r="W178" t="inlineStr">
        <is>
          <t>No se ejecutó en la vigencia</t>
        </is>
      </c>
    </row>
    <row r="179">
      <c r="A179" t="inlineStr">
        <is>
          <t>IP-213</t>
        </is>
      </c>
      <c r="B179" t="inlineStr">
        <is>
          <t>32</t>
        </is>
      </c>
      <c r="C179" t="inlineStr">
        <is>
          <t>Ambiente y desarrollo sostenible</t>
        </is>
      </c>
      <c r="D179" t="inlineStr">
        <is>
          <t>3204</t>
        </is>
      </c>
      <c r="E179" t="inlineStr">
        <is>
          <t>Gestión de la información y el conocimiento ambiental</t>
        </is>
      </c>
      <c r="F179" t="inlineStr">
        <is>
          <t>3204012</t>
        </is>
      </c>
      <c r="G179" t="inlineStr">
        <is>
          <t>Servicio de apoyo financiero a emprendimientos</t>
        </is>
      </c>
      <c r="H179" t="inlineStr">
        <is>
          <t>320401200</t>
        </is>
      </c>
      <c r="I179" t="inlineStr">
        <is>
          <t xml:space="preserve">Emprendimientos apoyados </t>
        </is>
      </c>
      <c r="J179" t="inlineStr">
        <is>
          <t>2024257580061</t>
        </is>
      </c>
      <c r="K179" t="inlineStr">
        <is>
          <t>No</t>
        </is>
      </c>
      <c r="L179" t="inlineStr">
        <is>
          <t>Número</t>
        </is>
      </c>
      <c r="M179">
        <v>10</v>
      </c>
      <c r="N179">
        <v>0</v>
      </c>
      <c r="O179">
        <v>4</v>
      </c>
      <c r="P179">
        <v>3</v>
      </c>
      <c r="Q179">
        <v>3</v>
      </c>
      <c r="R179">
        <v>0</v>
      </c>
      <c r="S179" s="103" t="inlineStr">
        <is>
          <t xml:space="preserve"> </t>
        </is>
      </c>
      <c r="T179" t="inlineStr">
        <is>
          <t>No se programó ni ejecutó en la vigencia</t>
        </is>
      </c>
      <c r="U179">
        <v>1</v>
      </c>
      <c r="V179" s="104">
        <v>0.25</v>
      </c>
      <c r="W179" t="inlineStr">
        <is>
          <t>Lo ejecutado está por debajo de lo programado en la vigencia</t>
        </is>
      </c>
    </row>
    <row r="180">
      <c r="A180" t="inlineStr">
        <is>
          <t>IP-214</t>
        </is>
      </c>
      <c r="B180" t="inlineStr">
        <is>
          <t>32</t>
        </is>
      </c>
      <c r="C180" t="inlineStr">
        <is>
          <t>Ambiente y desarrollo sostenible</t>
        </is>
      </c>
      <c r="D180" t="inlineStr">
        <is>
          <t>3204</t>
        </is>
      </c>
      <c r="E180" t="inlineStr">
        <is>
          <t>Gestión de la información y el conocimiento ambiental</t>
        </is>
      </c>
      <c r="F180" t="inlineStr">
        <is>
          <t>3204033</t>
        </is>
      </c>
      <c r="G180" t="inlineStr">
        <is>
          <t>Bases de datos de monitoreo ambiental</t>
        </is>
      </c>
      <c r="H180" t="inlineStr">
        <is>
          <t>320403300</t>
        </is>
      </c>
      <c r="I180" t="inlineStr">
        <is>
          <t>Bases de datos de monitoreo ambiental actualizadas</t>
        </is>
      </c>
      <c r="J180" t="inlineStr">
        <is>
          <t>2024257580061</t>
        </is>
      </c>
      <c r="K180" t="inlineStr">
        <is>
          <t>Si</t>
        </is>
      </c>
      <c r="L180" t="inlineStr">
        <is>
          <t>Número</t>
        </is>
      </c>
      <c r="M180">
        <v>1</v>
      </c>
      <c r="N180">
        <v>1</v>
      </c>
      <c r="O180">
        <v>1</v>
      </c>
      <c r="P180">
        <v>1</v>
      </c>
      <c r="Q180">
        <v>1</v>
      </c>
      <c r="R180" t="inlineStr">
        <is>
          <t xml:space="preserve"> </t>
        </is>
      </c>
      <c r="S180" s="103" t="inlineStr">
        <is>
          <t xml:space="preserve"> </t>
        </is>
      </c>
      <c r="T180" t="inlineStr">
        <is>
          <t>No se encontró ejecución en PIIP</t>
        </is>
      </c>
      <c r="U180" t="inlineStr">
        <is>
          <t xml:space="preserve"> </t>
        </is>
      </c>
      <c r="V180" s="104" t="inlineStr">
        <is>
          <t xml:space="preserve"> </t>
        </is>
      </c>
      <c r="W180" t="inlineStr">
        <is>
          <t>No se encontró ejecución en PIIP</t>
        </is>
      </c>
    </row>
    <row r="181">
      <c r="A181" t="inlineStr">
        <is>
          <t>IP-215</t>
        </is>
      </c>
      <c r="B181" t="inlineStr">
        <is>
          <t>32</t>
        </is>
      </c>
      <c r="C181" t="inlineStr">
        <is>
          <t>Ambiente y desarrollo sostenible</t>
        </is>
      </c>
      <c r="D181" t="inlineStr">
        <is>
          <t>3204</t>
        </is>
      </c>
      <c r="E181" t="inlineStr">
        <is>
          <t>Gestión de la información y el conocimiento ambiental</t>
        </is>
      </c>
      <c r="F181" t="inlineStr">
        <is>
          <t>3204034</t>
        </is>
      </c>
      <c r="G181" t="inlineStr">
        <is>
          <t>Estaciones de investigación mejoradas y dotadas</t>
        </is>
      </c>
      <c r="H181" t="inlineStr">
        <is>
          <t>320403400</t>
        </is>
      </c>
      <c r="I181" t="inlineStr">
        <is>
          <t>Estaciones de investigación adecuadas y dotadas para el desempeño de la investigación mejoradas y dotadas</t>
        </is>
      </c>
      <c r="J181" t="inlineStr">
        <is>
          <t>2024257580061</t>
        </is>
      </c>
      <c r="K181" t="inlineStr">
        <is>
          <t>Si</t>
        </is>
      </c>
      <c r="L181" t="inlineStr">
        <is>
          <t>Número</t>
        </is>
      </c>
      <c r="M181">
        <v>1</v>
      </c>
      <c r="N181">
        <v>0</v>
      </c>
      <c r="O181">
        <v>1</v>
      </c>
      <c r="P181">
        <v>1</v>
      </c>
      <c r="Q181">
        <v>1</v>
      </c>
      <c r="R181" t="inlineStr">
        <is>
          <t xml:space="preserve"> </t>
        </is>
      </c>
      <c r="S181" s="103" t="inlineStr">
        <is>
          <t xml:space="preserve"> </t>
        </is>
      </c>
      <c r="T181" t="inlineStr">
        <is>
          <t>No se encontró ejecución en PIIP</t>
        </is>
      </c>
      <c r="U181" t="inlineStr">
        <is>
          <t xml:space="preserve"> </t>
        </is>
      </c>
      <c r="V181" s="104" t="inlineStr">
        <is>
          <t xml:space="preserve"> </t>
        </is>
      </c>
      <c r="W181" t="inlineStr">
        <is>
          <t>No se encontró ejecución en PIIP</t>
        </is>
      </c>
    </row>
    <row r="182">
      <c r="A182" t="inlineStr">
        <is>
          <t>IP-216</t>
        </is>
      </c>
      <c r="B182" t="inlineStr">
        <is>
          <t>32</t>
        </is>
      </c>
      <c r="C182" t="inlineStr">
        <is>
          <t>Ambiente y desarrollo sostenible</t>
        </is>
      </c>
      <c r="D182" t="inlineStr">
        <is>
          <t>3206</t>
        </is>
      </c>
      <c r="E182" t="inlineStr">
        <is>
          <t>Gestión del cambio climático para un desarrollo bajo en carbono y resiliente al clima</t>
        </is>
      </c>
      <c r="F182" t="inlineStr">
        <is>
          <t>3206003</t>
        </is>
      </c>
      <c r="G182" t="inlineStr">
        <is>
          <t>Servicio de apoyo técnico para la implementación de acciones de mitigación y adaptación al cambio climático</t>
        </is>
      </c>
      <c r="H182" t="inlineStr">
        <is>
          <t>320600301</t>
        </is>
      </c>
      <c r="I182" t="inlineStr">
        <is>
          <t>Documentos con las acciones de mitigación y adaptación al cambio climático formulados</t>
        </is>
      </c>
      <c r="J182" t="inlineStr">
        <is>
          <t>2024257580068</t>
        </is>
      </c>
      <c r="K182" t="inlineStr">
        <is>
          <t>Si</t>
        </is>
      </c>
      <c r="L182" t="inlineStr">
        <is>
          <t>Número</t>
        </is>
      </c>
      <c r="M182">
        <v>1</v>
      </c>
      <c r="N182">
        <v>0.5</v>
      </c>
      <c r="O182">
        <v>1</v>
      </c>
      <c r="P182">
        <v>1</v>
      </c>
      <c r="Q182">
        <v>1</v>
      </c>
      <c r="R182" t="inlineStr">
        <is>
          <t xml:space="preserve"> </t>
        </is>
      </c>
      <c r="S182" s="103" t="inlineStr">
        <is>
          <t xml:space="preserve"> </t>
        </is>
      </c>
      <c r="T182" t="inlineStr">
        <is>
          <t>No se encontró ejecución en PIIP</t>
        </is>
      </c>
      <c r="U182" t="inlineStr">
        <is>
          <t xml:space="preserve"> </t>
        </is>
      </c>
      <c r="V182" s="104" t="inlineStr">
        <is>
          <t xml:space="preserve"> </t>
        </is>
      </c>
      <c r="W182" t="inlineStr">
        <is>
          <t>No se encontró ejecución en PIIP</t>
        </is>
      </c>
    </row>
    <row r="183">
      <c r="A183" t="inlineStr">
        <is>
          <t>IP-217</t>
        </is>
      </c>
      <c r="B183" t="inlineStr">
        <is>
          <t>32</t>
        </is>
      </c>
      <c r="C183" t="inlineStr">
        <is>
          <t>Ambiente y desarrollo sostenible</t>
        </is>
      </c>
      <c r="D183" t="inlineStr">
        <is>
          <t>3206</t>
        </is>
      </c>
      <c r="E183" t="inlineStr">
        <is>
          <t>Gestión del cambio climático para un desarrollo bajo en carbono y resiliente al clima</t>
        </is>
      </c>
      <c r="F183" t="inlineStr">
        <is>
          <t>3206003</t>
        </is>
      </c>
      <c r="G183" t="inlineStr">
        <is>
          <t>Servicio de apoyo técnico para la implementación de acciones de mitigación y adaptación al cambio climático</t>
        </is>
      </c>
      <c r="H183" t="inlineStr">
        <is>
          <t>320600300</t>
        </is>
      </c>
      <c r="I183" t="inlineStr">
        <is>
          <t>Pilotos con acciones de mitigación y adaptación al cambio climático desarrollados</t>
        </is>
      </c>
      <c r="J183" t="inlineStr">
        <is>
          <t>2024257580068</t>
        </is>
      </c>
      <c r="K183" t="inlineStr">
        <is>
          <t>Si</t>
        </is>
      </c>
      <c r="L183" t="inlineStr">
        <is>
          <t>Número</t>
        </is>
      </c>
      <c r="M183">
        <v>2</v>
      </c>
      <c r="N183">
        <v>1</v>
      </c>
      <c r="O183">
        <v>2</v>
      </c>
      <c r="P183">
        <v>2</v>
      </c>
      <c r="Q183">
        <v>2</v>
      </c>
      <c r="R183" t="inlineStr">
        <is>
          <t xml:space="preserve"> </t>
        </is>
      </c>
      <c r="S183" s="103" t="inlineStr">
        <is>
          <t xml:space="preserve"> </t>
        </is>
      </c>
      <c r="T183" t="inlineStr">
        <is>
          <t>No se encontró ejecución en PIIP</t>
        </is>
      </c>
      <c r="U183" t="inlineStr">
        <is>
          <t xml:space="preserve"> </t>
        </is>
      </c>
      <c r="V183" s="104" t="inlineStr">
        <is>
          <t xml:space="preserve"> </t>
        </is>
      </c>
      <c r="W183" t="inlineStr">
        <is>
          <t>No se encontró ejecución en PIIP</t>
        </is>
      </c>
    </row>
    <row r="184">
      <c r="A184" t="inlineStr">
        <is>
          <t>IP-218</t>
        </is>
      </c>
      <c r="B184" t="inlineStr">
        <is>
          <t>32</t>
        </is>
      </c>
      <c r="C184" t="inlineStr">
        <is>
          <t>Ambiente y desarrollo sostenible</t>
        </is>
      </c>
      <c r="D184" t="inlineStr">
        <is>
          <t>3206</t>
        </is>
      </c>
      <c r="E184" t="inlineStr">
        <is>
          <t>Gestión del cambio climático para un desarrollo bajo en carbono y resiliente al clima</t>
        </is>
      </c>
      <c r="F184" t="inlineStr">
        <is>
          <t>3206007</t>
        </is>
      </c>
      <c r="G184" t="inlineStr">
        <is>
          <t>Servicio de articulación para la gestión del cambio climático en la toma de decisiones sectoriales y territoriales</t>
        </is>
      </c>
      <c r="H184" t="inlineStr">
        <is>
          <t>320600702</t>
        </is>
      </c>
      <c r="I184" t="inlineStr">
        <is>
          <t>Documentos orientadores para la incorporación de cambio climático formulados</t>
        </is>
      </c>
      <c r="J184" t="inlineStr">
        <is>
          <t>2024257580068</t>
        </is>
      </c>
      <c r="K184" t="inlineStr">
        <is>
          <t>Si</t>
        </is>
      </c>
      <c r="L184" t="inlineStr">
        <is>
          <t>Número</t>
        </is>
      </c>
      <c r="M184">
        <v>1</v>
      </c>
      <c r="N184">
        <v>0.5</v>
      </c>
      <c r="O184">
        <v>1</v>
      </c>
      <c r="P184">
        <v>1</v>
      </c>
      <c r="Q184">
        <v>1</v>
      </c>
      <c r="R184" t="inlineStr">
        <is>
          <t xml:space="preserve"> </t>
        </is>
      </c>
      <c r="S184" s="103" t="inlineStr">
        <is>
          <t xml:space="preserve"> </t>
        </is>
      </c>
      <c r="T184" t="inlineStr">
        <is>
          <t>No se encontró ejecución en PIIP</t>
        </is>
      </c>
      <c r="U184" t="inlineStr">
        <is>
          <t xml:space="preserve"> </t>
        </is>
      </c>
      <c r="V184" s="104" t="inlineStr">
        <is>
          <t xml:space="preserve"> </t>
        </is>
      </c>
      <c r="W184" t="inlineStr">
        <is>
          <t>No se encontró ejecución en PIIP</t>
        </is>
      </c>
    </row>
    <row r="185">
      <c r="A185" t="inlineStr">
        <is>
          <t>IP-219</t>
        </is>
      </c>
      <c r="B185" t="inlineStr">
        <is>
          <t>32</t>
        </is>
      </c>
      <c r="C185" t="inlineStr">
        <is>
          <t>Ambiente y desarrollo sostenible</t>
        </is>
      </c>
      <c r="D185" t="inlineStr">
        <is>
          <t>3206</t>
        </is>
      </c>
      <c r="E185" t="inlineStr">
        <is>
          <t>Gestión del cambio climático para un desarrollo bajo en carbono y resiliente al clima</t>
        </is>
      </c>
      <c r="F185" t="inlineStr">
        <is>
          <t>3206004</t>
        </is>
      </c>
      <c r="G185" t="inlineStr">
        <is>
          <t>Servicio de educación informal en gestión del cambio climático para un desarrollo bajo en carbono y resiliente al clima</t>
        </is>
      </c>
      <c r="H185" t="inlineStr">
        <is>
          <t>320600400</t>
        </is>
      </c>
      <c r="I185" t="inlineStr">
        <is>
          <t>Personas capacitadas en gestión del cambio climático</t>
        </is>
      </c>
      <c r="J185" t="inlineStr">
        <is>
          <t>2024257580068</t>
        </is>
      </c>
      <c r="K185" t="inlineStr">
        <is>
          <t>Si</t>
        </is>
      </c>
      <c r="L185" t="inlineStr">
        <is>
          <t>Número</t>
        </is>
      </c>
      <c r="M185">
        <v>2</v>
      </c>
      <c r="N185">
        <v>2</v>
      </c>
      <c r="O185">
        <v>2</v>
      </c>
      <c r="P185">
        <v>2</v>
      </c>
      <c r="Q185">
        <v>2</v>
      </c>
      <c r="R185" t="inlineStr">
        <is>
          <t xml:space="preserve"> </t>
        </is>
      </c>
      <c r="S185" s="103" t="inlineStr">
        <is>
          <t xml:space="preserve"> </t>
        </is>
      </c>
      <c r="T185" t="inlineStr">
        <is>
          <t>No se encontró ejecución en PIIP</t>
        </is>
      </c>
      <c r="U185" t="inlineStr">
        <is>
          <t xml:space="preserve"> </t>
        </is>
      </c>
      <c r="V185" s="104" t="inlineStr">
        <is>
          <t xml:space="preserve"> </t>
        </is>
      </c>
      <c r="W185" t="inlineStr">
        <is>
          <t>No se encontró ejecución en PIIP</t>
        </is>
      </c>
    </row>
    <row r="186">
      <c r="A186" t="inlineStr">
        <is>
          <t>IP-220</t>
        </is>
      </c>
      <c r="B186" t="inlineStr">
        <is>
          <t>40</t>
        </is>
      </c>
      <c r="C186" t="inlineStr">
        <is>
          <t>Vivienda, ciudad y territorio</t>
        </is>
      </c>
      <c r="D186" t="inlineStr">
        <is>
          <t>4002</t>
        </is>
      </c>
      <c r="E186" t="inlineStr">
        <is>
          <t>Ordenamiento territorial y desarrollo urbano</t>
        </is>
      </c>
      <c r="F186" t="inlineStr">
        <is>
          <t>4002016</t>
        </is>
      </c>
      <c r="G186" t="inlineStr">
        <is>
          <t>Documentos de planeación</t>
        </is>
      </c>
      <c r="H186" t="inlineStr">
        <is>
          <t>400201600</t>
        </is>
      </c>
      <c r="I186" t="inlineStr">
        <is>
          <t>Documentos de planeación elaborados</t>
        </is>
      </c>
      <c r="J186" t="inlineStr">
        <is>
          <t>2024257580044</t>
        </is>
      </c>
      <c r="K186" t="inlineStr">
        <is>
          <t>Si</t>
        </is>
      </c>
      <c r="L186" t="inlineStr">
        <is>
          <t>Número</t>
        </is>
      </c>
      <c r="M186">
        <v>1</v>
      </c>
      <c r="N186">
        <v>0.5</v>
      </c>
      <c r="O186">
        <v>0.8</v>
      </c>
      <c r="P186">
        <v>1</v>
      </c>
      <c r="Q186">
        <v>1</v>
      </c>
      <c r="R186">
        <v>1</v>
      </c>
      <c r="S186" s="103">
        <v>2</v>
      </c>
      <c r="T186" t="inlineStr">
        <is>
          <t>Hubo ejecución por encima de lo programado en SisPT</t>
        </is>
      </c>
      <c r="U186">
        <v>0</v>
      </c>
      <c r="V186" s="104">
        <v>0</v>
      </c>
      <c r="W186" t="inlineStr">
        <is>
          <t>No se ejecutó en la vigencia</t>
        </is>
      </c>
    </row>
    <row r="187">
      <c r="A187" t="inlineStr">
        <is>
          <t>IP-221</t>
        </is>
      </c>
      <c r="B187" t="inlineStr">
        <is>
          <t>40</t>
        </is>
      </c>
      <c r="C187" t="inlineStr">
        <is>
          <t>Vivienda, ciudad y territorio</t>
        </is>
      </c>
      <c r="D187" t="inlineStr">
        <is>
          <t>4002</t>
        </is>
      </c>
      <c r="E187" t="inlineStr">
        <is>
          <t>Ordenamiento territorial y desarrollo urbano</t>
        </is>
      </c>
      <c r="F187" t="inlineStr">
        <is>
          <t>4002016</t>
        </is>
      </c>
      <c r="G187" t="inlineStr">
        <is>
          <t>Documentos de planeación</t>
        </is>
      </c>
      <c r="H187" t="inlineStr">
        <is>
          <t>400201602</t>
        </is>
      </c>
      <c r="I187" t="inlineStr">
        <is>
          <t>Documentos de planeación de la etapa de alistamiento y diagnóstico del Plan de Ordenamiento Departamental elaborados</t>
        </is>
      </c>
      <c r="J187" t="inlineStr">
        <is>
          <t>2024257580044</t>
        </is>
      </c>
      <c r="K187" t="inlineStr">
        <is>
          <t>Si</t>
        </is>
      </c>
      <c r="L187" t="inlineStr">
        <is>
          <t>Número</t>
        </is>
      </c>
      <c r="M187">
        <v>4</v>
      </c>
      <c r="N187">
        <v>1</v>
      </c>
      <c r="O187">
        <v>2</v>
      </c>
      <c r="P187">
        <v>3</v>
      </c>
      <c r="Q187">
        <v>4</v>
      </c>
      <c r="R187" t="inlineStr">
        <is>
          <t xml:space="preserve"> </t>
        </is>
      </c>
      <c r="S187" s="103" t="inlineStr">
        <is>
          <t xml:space="preserve"> </t>
        </is>
      </c>
      <c r="T187" t="inlineStr">
        <is>
          <t>No se encontró ejecución en PIIP</t>
        </is>
      </c>
      <c r="U187" t="inlineStr">
        <is>
          <t xml:space="preserve"> </t>
        </is>
      </c>
      <c r="V187" s="104" t="inlineStr">
        <is>
          <t xml:space="preserve"> </t>
        </is>
      </c>
      <c r="W187" t="inlineStr">
        <is>
          <t>No se encontró ejecución en PIIP</t>
        </is>
      </c>
    </row>
    <row r="188">
      <c r="A188" t="inlineStr">
        <is>
          <t>IP-222, IP-226</t>
        </is>
      </c>
      <c r="B188" t="inlineStr">
        <is>
          <t>40</t>
        </is>
      </c>
      <c r="C188" t="inlineStr">
        <is>
          <t>Vivienda, ciudad y territorio</t>
        </is>
      </c>
      <c r="D188" t="inlineStr">
        <is>
          <t>4002</t>
        </is>
      </c>
      <c r="E188" t="inlineStr">
        <is>
          <t>Ordenamiento territorial y desarrollo urbano</t>
        </is>
      </c>
      <c r="F188" t="inlineStr">
        <is>
          <t>4002001</t>
        </is>
      </c>
      <c r="G188" t="inlineStr">
        <is>
          <t>Servicios de asistencia técnica en planificación urbana y ordenamiento territorial</t>
        </is>
      </c>
      <c r="H188" t="inlineStr">
        <is>
          <t>400200101</t>
        </is>
      </c>
      <c r="I188" t="inlineStr">
        <is>
          <t>Entidades municipales asistidas técnicamente</t>
        </is>
      </c>
      <c r="J188" t="inlineStr">
        <is>
          <t>2024257580044</t>
        </is>
      </c>
      <c r="K188" t="inlineStr">
        <is>
          <t>Si</t>
        </is>
      </c>
      <c r="L188" t="inlineStr">
        <is>
          <t>Número</t>
        </is>
      </c>
      <c r="M188">
        <v>3</v>
      </c>
      <c r="N188">
        <v>1</v>
      </c>
      <c r="O188">
        <v>3</v>
      </c>
      <c r="P188">
        <v>3</v>
      </c>
      <c r="Q188">
        <v>3</v>
      </c>
      <c r="R188" t="inlineStr">
        <is>
          <t xml:space="preserve"> </t>
        </is>
      </c>
      <c r="S188" s="103" t="inlineStr">
        <is>
          <t xml:space="preserve"> </t>
        </is>
      </c>
      <c r="T188" t="inlineStr">
        <is>
          <t>No se encontró ejecución en PIIP</t>
        </is>
      </c>
      <c r="U188" t="inlineStr">
        <is>
          <t xml:space="preserve"> </t>
        </is>
      </c>
      <c r="V188" s="104" t="inlineStr">
        <is>
          <t xml:space="preserve"> </t>
        </is>
      </c>
      <c r="W188" t="inlineStr">
        <is>
          <t>No se encontró ejecución en PIIP</t>
        </is>
      </c>
    </row>
    <row r="189">
      <c r="A189" t="inlineStr">
        <is>
          <t>IP-223</t>
        </is>
      </c>
      <c r="B189" t="inlineStr">
        <is>
          <t>40</t>
        </is>
      </c>
      <c r="C189" t="inlineStr">
        <is>
          <t>Vivienda, ciudad y territorio</t>
        </is>
      </c>
      <c r="D189" t="inlineStr">
        <is>
          <t>4002</t>
        </is>
      </c>
      <c r="E189" t="inlineStr">
        <is>
          <t>Ordenamiento territorial y desarrollo urbano</t>
        </is>
      </c>
      <c r="F189" t="inlineStr">
        <is>
          <t>4002016</t>
        </is>
      </c>
      <c r="G189" t="inlineStr">
        <is>
          <t>Documentos de planeación</t>
        </is>
      </c>
      <c r="H189" t="inlineStr">
        <is>
          <t>400201601</t>
        </is>
      </c>
      <c r="I189" t="inlineStr">
        <is>
          <t>Documentos de planeación en Ordenamiento Territorial implementados</t>
        </is>
      </c>
      <c r="J189" t="inlineStr">
        <is>
          <t>2024257580044</t>
        </is>
      </c>
      <c r="K189" t="inlineStr">
        <is>
          <t>Si</t>
        </is>
      </c>
      <c r="L189" t="inlineStr">
        <is>
          <t>Número</t>
        </is>
      </c>
      <c r="M189">
        <v>1</v>
      </c>
      <c r="N189">
        <v>1</v>
      </c>
      <c r="O189">
        <v>1</v>
      </c>
      <c r="P189">
        <v>1</v>
      </c>
      <c r="Q189">
        <v>1</v>
      </c>
      <c r="R189" t="inlineStr">
        <is>
          <t xml:space="preserve"> </t>
        </is>
      </c>
      <c r="S189" s="103" t="inlineStr">
        <is>
          <t xml:space="preserve"> </t>
        </is>
      </c>
      <c r="T189" t="inlineStr">
        <is>
          <t>No se encontró ejecución en PIIP</t>
        </is>
      </c>
      <c r="U189" t="inlineStr">
        <is>
          <t xml:space="preserve"> </t>
        </is>
      </c>
      <c r="V189" s="104" t="inlineStr">
        <is>
          <t xml:space="preserve"> </t>
        </is>
      </c>
      <c r="W189" t="inlineStr">
        <is>
          <t>No se encontró ejecución en PIIP</t>
        </is>
      </c>
    </row>
    <row r="190">
      <c r="A190" t="inlineStr">
        <is>
          <t>IP-224</t>
        </is>
      </c>
      <c r="B190" t="inlineStr">
        <is>
          <t>40</t>
        </is>
      </c>
      <c r="C190" t="inlineStr">
        <is>
          <t>Vivienda, ciudad y territorio</t>
        </is>
      </c>
      <c r="D190" t="inlineStr">
        <is>
          <t>4002</t>
        </is>
      </c>
      <c r="E190" t="inlineStr">
        <is>
          <t>Ordenamiento territorial y desarrollo urbano</t>
        </is>
      </c>
      <c r="F190" t="inlineStr">
        <is>
          <t>4002013</t>
        </is>
      </c>
      <c r="G190" t="inlineStr">
        <is>
          <t>Servicio de apoyo financiero para el Mejoramiento integral de barrios</t>
        </is>
      </c>
      <c r="H190" t="inlineStr">
        <is>
          <t>400201300</t>
        </is>
      </c>
      <c r="I190" t="inlineStr">
        <is>
          <t>Proyectos apoyados financieramente en Mejoramiento Integral de Barrios</t>
        </is>
      </c>
      <c r="J190" t="inlineStr">
        <is>
          <t>2024257580044</t>
        </is>
      </c>
      <c r="K190" t="inlineStr">
        <is>
          <t>Si</t>
        </is>
      </c>
      <c r="L190" t="inlineStr">
        <is>
          <t>Número</t>
        </is>
      </c>
      <c r="M190">
        <v>5</v>
      </c>
      <c r="N190">
        <v>1</v>
      </c>
      <c r="O190">
        <v>3</v>
      </c>
      <c r="P190">
        <v>5</v>
      </c>
      <c r="Q190">
        <v>0</v>
      </c>
      <c r="R190" t="inlineStr">
        <is>
          <t xml:space="preserve"> </t>
        </is>
      </c>
      <c r="S190" s="103" t="inlineStr">
        <is>
          <t xml:space="preserve"> </t>
        </is>
      </c>
      <c r="T190" t="inlineStr">
        <is>
          <t>No se encontró ejecución en PIIP</t>
        </is>
      </c>
      <c r="U190" t="inlineStr">
        <is>
          <t xml:space="preserve"> </t>
        </is>
      </c>
      <c r="V190" s="104" t="inlineStr">
        <is>
          <t xml:space="preserve"> </t>
        </is>
      </c>
      <c r="W190" t="inlineStr">
        <is>
          <t>No se encontró ejecución en PIIP</t>
        </is>
      </c>
    </row>
    <row r="191">
      <c r="A191" t="inlineStr">
        <is>
          <t>IP-225</t>
        </is>
      </c>
      <c r="B191" t="inlineStr">
        <is>
          <t>40</t>
        </is>
      </c>
      <c r="C191" t="inlineStr">
        <is>
          <t>Vivienda, ciudad y territorio</t>
        </is>
      </c>
      <c r="D191" t="inlineStr">
        <is>
          <t>4002</t>
        </is>
      </c>
      <c r="E191" t="inlineStr">
        <is>
          <t>Ordenamiento territorial y desarrollo urbano</t>
        </is>
      </c>
      <c r="F191" t="inlineStr">
        <is>
          <t>4002016</t>
        </is>
      </c>
      <c r="G191" t="inlineStr">
        <is>
          <t>Documentos de planeación</t>
        </is>
      </c>
      <c r="H191" t="inlineStr">
        <is>
          <t>400201604</t>
        </is>
      </c>
      <c r="I191" t="inlineStr">
        <is>
          <t>Estrategia de Gobernanza, Coordinación, Armonización  y Conciliación del Plan de Ordenamiento Departamental diseñada e implementada</t>
        </is>
      </c>
      <c r="J191" t="inlineStr">
        <is>
          <t>2024257580044</t>
        </is>
      </c>
      <c r="K191" t="inlineStr">
        <is>
          <t>Si</t>
        </is>
      </c>
      <c r="L191" t="inlineStr">
        <is>
          <t>Número</t>
        </is>
      </c>
      <c r="M191">
        <v>1</v>
      </c>
      <c r="N191">
        <v>1</v>
      </c>
      <c r="O191">
        <v>1</v>
      </c>
      <c r="P191">
        <v>1</v>
      </c>
      <c r="Q191">
        <v>1</v>
      </c>
      <c r="R191" t="inlineStr">
        <is>
          <t xml:space="preserve"> </t>
        </is>
      </c>
      <c r="S191" s="103" t="inlineStr">
        <is>
          <t xml:space="preserve"> </t>
        </is>
      </c>
      <c r="T191" t="inlineStr">
        <is>
          <t>No se encontró ejecución en PIIP</t>
        </is>
      </c>
      <c r="U191" t="inlineStr">
        <is>
          <t xml:space="preserve"> </t>
        </is>
      </c>
      <c r="V191" s="104" t="inlineStr">
        <is>
          <t xml:space="preserve"> </t>
        </is>
      </c>
      <c r="W191" t="inlineStr">
        <is>
          <t>No se encontró ejecución en PIIP</t>
        </is>
      </c>
    </row>
    <row r="192">
      <c r="A192" t="inlineStr">
        <is>
          <t>IP-227, IP-229</t>
        </is>
      </c>
      <c r="B192" t="inlineStr">
        <is>
          <t>45</t>
        </is>
      </c>
      <c r="C192" t="inlineStr">
        <is>
          <t>Gobierno Territorial</t>
        </is>
      </c>
      <c r="D192" t="inlineStr">
        <is>
          <t>4503</t>
        </is>
      </c>
      <c r="E192" t="inlineStr">
        <is>
          <t>Gestión del riesgo de desastres y emergencias</t>
        </is>
      </c>
      <c r="F192" t="inlineStr">
        <is>
          <t>4503023</t>
        </is>
      </c>
      <c r="G192" t="inlineStr">
        <is>
          <t>Documentos de planeación</t>
        </is>
      </c>
      <c r="H192" t="inlineStr">
        <is>
          <t>450302302</t>
        </is>
      </c>
      <c r="I192" t="inlineStr">
        <is>
          <t>Estrategia para la respuesta a emergencias actualizada</t>
        </is>
      </c>
      <c r="J192" t="inlineStr">
        <is>
          <t>2024257580033</t>
        </is>
      </c>
      <c r="K192" t="inlineStr">
        <is>
          <t>Si</t>
        </is>
      </c>
      <c r="L192" t="inlineStr">
        <is>
          <t>Número</t>
        </is>
      </c>
      <c r="M192">
        <v>19</v>
      </c>
      <c r="N192">
        <v>3</v>
      </c>
      <c r="O192">
        <v>19</v>
      </c>
      <c r="P192">
        <v>19</v>
      </c>
      <c r="Q192">
        <v>19</v>
      </c>
      <c r="R192" t="inlineStr">
        <is>
          <t xml:space="preserve"> </t>
        </is>
      </c>
      <c r="S192" s="103" t="inlineStr">
        <is>
          <t xml:space="preserve"> </t>
        </is>
      </c>
      <c r="T192" t="inlineStr">
        <is>
          <t>No se encontró ejecución en PIIP</t>
        </is>
      </c>
      <c r="U192" t="inlineStr">
        <is>
          <t xml:space="preserve"> </t>
        </is>
      </c>
      <c r="V192" s="104" t="inlineStr">
        <is>
          <t xml:space="preserve"> </t>
        </is>
      </c>
      <c r="W192" t="inlineStr">
        <is>
          <t>No se encontró ejecución en PIIP</t>
        </is>
      </c>
    </row>
    <row r="193">
      <c r="A193" t="inlineStr">
        <is>
          <t>IP-228</t>
        </is>
      </c>
      <c r="B193" t="inlineStr">
        <is>
          <t>45</t>
        </is>
      </c>
      <c r="C193" t="inlineStr">
        <is>
          <t>Gobierno Territorial</t>
        </is>
      </c>
      <c r="D193" t="inlineStr">
        <is>
          <t>4503</t>
        </is>
      </c>
      <c r="E193" t="inlineStr">
        <is>
          <t>Gestión del riesgo de desastres y emergencias</t>
        </is>
      </c>
      <c r="F193" t="inlineStr">
        <is>
          <t>4503023</t>
        </is>
      </c>
      <c r="G193" t="inlineStr">
        <is>
          <t>Documentos de planeación</t>
        </is>
      </c>
      <c r="H193" t="inlineStr">
        <is>
          <t>450302303</t>
        </is>
      </c>
      <c r="I193" t="inlineStr">
        <is>
          <t>Estrategia para la respuesta a emergencias formulada</t>
        </is>
      </c>
      <c r="J193" t="inlineStr">
        <is>
          <t>2024257580033</t>
        </is>
      </c>
      <c r="K193" t="inlineStr">
        <is>
          <t>Si</t>
        </is>
      </c>
      <c r="L193" t="inlineStr">
        <is>
          <t>Número</t>
        </is>
      </c>
      <c r="M193">
        <v>1</v>
      </c>
      <c r="N193">
        <v>0</v>
      </c>
      <c r="O193">
        <v>1</v>
      </c>
      <c r="P193">
        <v>1</v>
      </c>
      <c r="Q193">
        <v>1</v>
      </c>
      <c r="R193" t="inlineStr">
        <is>
          <t xml:space="preserve"> </t>
        </is>
      </c>
      <c r="S193" s="103" t="inlineStr">
        <is>
          <t xml:space="preserve"> </t>
        </is>
      </c>
      <c r="T193" t="inlineStr">
        <is>
          <t>No se encontró ejecución en PIIP</t>
        </is>
      </c>
      <c r="U193" t="inlineStr">
        <is>
          <t xml:space="preserve"> </t>
        </is>
      </c>
      <c r="V193" s="104" t="inlineStr">
        <is>
          <t xml:space="preserve"> </t>
        </is>
      </c>
      <c r="W193" t="inlineStr">
        <is>
          <t>No se encontró ejecución en PIIP</t>
        </is>
      </c>
    </row>
    <row r="194">
      <c r="A194" t="inlineStr">
        <is>
          <t>IP-230</t>
        </is>
      </c>
      <c r="B194" t="inlineStr">
        <is>
          <t>45</t>
        </is>
      </c>
      <c r="C194" t="inlineStr">
        <is>
          <t>Gobierno Territorial</t>
        </is>
      </c>
      <c r="D194" t="inlineStr">
        <is>
          <t>4503</t>
        </is>
      </c>
      <c r="E194" t="inlineStr">
        <is>
          <t>Gestión del riesgo de desastres y emergencias</t>
        </is>
      </c>
      <c r="F194" t="inlineStr">
        <is>
          <t>4503002</t>
        </is>
      </c>
      <c r="G194" t="inlineStr">
        <is>
          <t>Servicio de educación informal</t>
        </is>
      </c>
      <c r="H194" t="inlineStr">
        <is>
          <t>450300201</t>
        </is>
      </c>
      <c r="I194" t="inlineStr">
        <is>
          <t>Campañas de educación para la prevención y atención de desastres desarrolladas</t>
        </is>
      </c>
      <c r="J194" t="inlineStr">
        <is>
          <t>2024257580033</t>
        </is>
      </c>
      <c r="K194" t="inlineStr">
        <is>
          <t>No</t>
        </is>
      </c>
      <c r="L194" t="inlineStr">
        <is>
          <t>Número</t>
        </is>
      </c>
      <c r="M194">
        <v>80</v>
      </c>
      <c r="N194">
        <v>20</v>
      </c>
      <c r="O194">
        <v>20</v>
      </c>
      <c r="P194">
        <v>20</v>
      </c>
      <c r="Q194">
        <v>20</v>
      </c>
      <c r="R194" t="inlineStr">
        <is>
          <t xml:space="preserve"> </t>
        </is>
      </c>
      <c r="S194" s="103" t="inlineStr">
        <is>
          <t xml:space="preserve"> </t>
        </is>
      </c>
      <c r="T194" t="inlineStr">
        <is>
          <t>No se encontró ejecución en PIIP</t>
        </is>
      </c>
      <c r="U194" t="inlineStr">
        <is>
          <t xml:space="preserve"> </t>
        </is>
      </c>
      <c r="V194" s="104" t="inlineStr">
        <is>
          <t xml:space="preserve"> </t>
        </is>
      </c>
      <c r="W194" t="inlineStr">
        <is>
          <t>No se encontró ejecución en PIIP</t>
        </is>
      </c>
    </row>
    <row r="195">
      <c r="A195" t="inlineStr">
        <is>
          <t>IP-231, IP-234</t>
        </is>
      </c>
      <c r="B195" t="inlineStr">
        <is>
          <t>45</t>
        </is>
      </c>
      <c r="C195" t="inlineStr">
        <is>
          <t>Gobierno Territorial</t>
        </is>
      </c>
      <c r="D195" t="inlineStr">
        <is>
          <t>4503</t>
        </is>
      </c>
      <c r="E195" t="inlineStr">
        <is>
          <t>Gestión del riesgo de desastres y emergencias</t>
        </is>
      </c>
      <c r="F195" t="inlineStr">
        <is>
          <t>4503003</t>
        </is>
      </c>
      <c r="G195" t="inlineStr">
        <is>
          <t>Servicio de asistencia técnica</t>
        </is>
      </c>
      <c r="H195" t="inlineStr">
        <is>
          <t>450300300</t>
        </is>
      </c>
      <c r="I195" t="inlineStr">
        <is>
          <t>Instancias territoriales asistidas</t>
        </is>
      </c>
      <c r="J195" t="inlineStr">
        <is>
          <t>2024257580033</t>
        </is>
      </c>
      <c r="K195" t="inlineStr">
        <is>
          <t>Si</t>
        </is>
      </c>
      <c r="L195" t="inlineStr">
        <is>
          <t>Número</t>
        </is>
      </c>
      <c r="M195">
        <v>31</v>
      </c>
      <c r="N195">
        <v>1</v>
      </c>
      <c r="O195">
        <v>21</v>
      </c>
      <c r="P195">
        <v>31</v>
      </c>
      <c r="Q195">
        <v>31</v>
      </c>
      <c r="R195" t="inlineStr">
        <is>
          <t xml:space="preserve"> </t>
        </is>
      </c>
      <c r="S195" s="103" t="inlineStr">
        <is>
          <t xml:space="preserve"> </t>
        </is>
      </c>
      <c r="T195" t="inlineStr">
        <is>
          <t>No se encontró ejecución en PIIP</t>
        </is>
      </c>
      <c r="U195" t="inlineStr">
        <is>
          <t xml:space="preserve"> </t>
        </is>
      </c>
      <c r="V195" s="104" t="inlineStr">
        <is>
          <t xml:space="preserve"> </t>
        </is>
      </c>
      <c r="W195" t="inlineStr">
        <is>
          <t>No se encontró ejecución en PIIP</t>
        </is>
      </c>
    </row>
    <row r="196">
      <c r="A196" t="inlineStr">
        <is>
          <t>IP-232</t>
        </is>
      </c>
      <c r="B196" t="inlineStr">
        <is>
          <t>45</t>
        </is>
      </c>
      <c r="C196" t="inlineStr">
        <is>
          <t>Gobierno Territorial</t>
        </is>
      </c>
      <c r="D196" t="inlineStr">
        <is>
          <t>4503</t>
        </is>
      </c>
      <c r="E196" t="inlineStr">
        <is>
          <t>Gestión del riesgo de desastres y emergencias</t>
        </is>
      </c>
      <c r="F196" t="inlineStr">
        <is>
          <t>4503022</t>
        </is>
      </c>
      <c r="G196" t="inlineStr">
        <is>
          <t>Obras de infraestructura para la reducción del riesgo de desastres</t>
        </is>
      </c>
      <c r="H196" t="inlineStr">
        <is>
          <t>450302200</t>
        </is>
      </c>
      <c r="I196" t="inlineStr">
        <is>
          <t>Obras de infraestructura para la reducción del riesgo de desastres realizadas</t>
        </is>
      </c>
      <c r="J196" t="inlineStr">
        <is>
          <t>2024257580033</t>
        </is>
      </c>
      <c r="K196" t="inlineStr">
        <is>
          <t>Si</t>
        </is>
      </c>
      <c r="L196" t="inlineStr">
        <is>
          <t>Número</t>
        </is>
      </c>
      <c r="M196">
        <v>1</v>
      </c>
      <c r="N196">
        <v>1</v>
      </c>
      <c r="O196">
        <v>1</v>
      </c>
      <c r="P196">
        <v>1</v>
      </c>
      <c r="Q196">
        <v>1</v>
      </c>
      <c r="R196" t="inlineStr">
        <is>
          <t xml:space="preserve"> </t>
        </is>
      </c>
      <c r="S196" s="103" t="inlineStr">
        <is>
          <t xml:space="preserve"> </t>
        </is>
      </c>
      <c r="T196" t="inlineStr">
        <is>
          <t>No se encontró ejecución en PIIP</t>
        </is>
      </c>
      <c r="U196" t="inlineStr">
        <is>
          <t xml:space="preserve"> </t>
        </is>
      </c>
      <c r="V196" s="104" t="inlineStr">
        <is>
          <t xml:space="preserve"> </t>
        </is>
      </c>
      <c r="W196" t="inlineStr">
        <is>
          <t>No se encontró ejecución en PIIP</t>
        </is>
      </c>
    </row>
    <row r="197">
      <c r="A197" t="inlineStr">
        <is>
          <t>IP-233</t>
        </is>
      </c>
      <c r="B197" t="inlineStr">
        <is>
          <t>45</t>
        </is>
      </c>
      <c r="C197" t="inlineStr">
        <is>
          <t>Gobierno Territorial</t>
        </is>
      </c>
      <c r="D197" t="inlineStr">
        <is>
          <t>4503</t>
        </is>
      </c>
      <c r="E197" t="inlineStr">
        <is>
          <t>Gestión del riesgo de desastres y emergencias</t>
        </is>
      </c>
      <c r="F197" t="inlineStr">
        <is>
          <t>4503016</t>
        </is>
      </c>
      <c r="G197" t="inlineStr">
        <is>
          <t>Servicio de fortalecimiento a las salas de crisis territorial</t>
        </is>
      </c>
      <c r="H197" t="inlineStr">
        <is>
          <t>450301600</t>
        </is>
      </c>
      <c r="I197" t="inlineStr">
        <is>
          <t>Organismos de atención de emergencias fortalecidos</t>
        </is>
      </c>
      <c r="J197" t="inlineStr">
        <is>
          <t>2024257580033</t>
        </is>
      </c>
      <c r="K197" t="inlineStr">
        <is>
          <t>Si</t>
        </is>
      </c>
      <c r="L197" t="inlineStr">
        <is>
          <t>Número</t>
        </is>
      </c>
      <c r="M197">
        <v>3</v>
      </c>
      <c r="N197">
        <v>2</v>
      </c>
      <c r="O197">
        <v>3</v>
      </c>
      <c r="P197">
        <v>3</v>
      </c>
      <c r="Q197">
        <v>3</v>
      </c>
      <c r="R197" t="inlineStr">
        <is>
          <t xml:space="preserve"> </t>
        </is>
      </c>
      <c r="S197" s="103" t="inlineStr">
        <is>
          <t xml:space="preserve"> </t>
        </is>
      </c>
      <c r="T197" t="inlineStr">
        <is>
          <t>No se encontró ejecución en PIIP</t>
        </is>
      </c>
      <c r="U197" t="inlineStr">
        <is>
          <t xml:space="preserve"> </t>
        </is>
      </c>
      <c r="V197" s="104" t="inlineStr">
        <is>
          <t xml:space="preserve"> </t>
        </is>
      </c>
      <c r="W197" t="inlineStr">
        <is>
          <t>No se encontró ejecución en PIIP</t>
        </is>
      </c>
    </row>
    <row r="198">
      <c r="A198" t="inlineStr">
        <is>
          <t>IP-235</t>
        </is>
      </c>
      <c r="B198" t="inlineStr">
        <is>
          <t>45</t>
        </is>
      </c>
      <c r="C198" t="inlineStr">
        <is>
          <t>Gobierno Territorial</t>
        </is>
      </c>
      <c r="D198" t="inlineStr">
        <is>
          <t>4503</t>
        </is>
      </c>
      <c r="E198" t="inlineStr">
        <is>
          <t>Gestión del riesgo de desastres y emergencias</t>
        </is>
      </c>
      <c r="F198" t="inlineStr">
        <is>
          <t>4503004</t>
        </is>
      </c>
      <c r="G198" t="inlineStr">
        <is>
          <t>Servicio de atención a emergencias y desastres</t>
        </is>
      </c>
      <c r="H198" t="inlineStr">
        <is>
          <t>450300400</t>
        </is>
      </c>
      <c r="I198" t="inlineStr">
        <is>
          <t>Emergencias y desastres atendidas</t>
        </is>
      </c>
      <c r="J198" t="inlineStr">
        <is>
          <t>2024257580033</t>
        </is>
      </c>
      <c r="K198" t="inlineStr">
        <is>
          <t>Si</t>
        </is>
      </c>
      <c r="L198" t="inlineStr">
        <is>
          <t>Número</t>
        </is>
      </c>
      <c r="M198">
        <v>100</v>
      </c>
      <c r="N198">
        <v>100</v>
      </c>
      <c r="O198">
        <v>100</v>
      </c>
      <c r="P198">
        <v>100</v>
      </c>
      <c r="Q198">
        <v>100</v>
      </c>
      <c r="R198" t="inlineStr">
        <is>
          <t xml:space="preserve"> </t>
        </is>
      </c>
      <c r="S198" s="103" t="inlineStr">
        <is>
          <t xml:space="preserve"> </t>
        </is>
      </c>
      <c r="T198" t="inlineStr">
        <is>
          <t>No se encontró ejecución en PIIP</t>
        </is>
      </c>
      <c r="U198" t="inlineStr">
        <is>
          <t xml:space="preserve"> </t>
        </is>
      </c>
      <c r="V198" s="104" t="inlineStr">
        <is>
          <t xml:space="preserve"> </t>
        </is>
      </c>
      <c r="W198" t="inlineStr">
        <is>
          <t>No se encontró ejecución en PIIP</t>
        </is>
      </c>
    </row>
    <row r="199">
      <c r="A199" t="inlineStr">
        <is>
          <t>IP-236</t>
        </is>
      </c>
      <c r="B199" t="inlineStr">
        <is>
          <t>36</t>
        </is>
      </c>
      <c r="C199" t="inlineStr">
        <is>
          <t>Trabajo</t>
        </is>
      </c>
      <c r="D199" t="inlineStr">
        <is>
          <t>3602</t>
        </is>
      </c>
      <c r="E199" t="inlineStr">
        <is>
          <t>Generación y formalización del empleo</t>
        </is>
      </c>
      <c r="F199" t="inlineStr">
        <is>
          <t>3602022</t>
        </is>
      </c>
      <c r="G199" t="inlineStr">
        <is>
          <t>Servicios de asistencia técnica para la generación de Alianzas Estratégicas</t>
        </is>
      </c>
      <c r="H199" t="inlineStr">
        <is>
          <t>360202200</t>
        </is>
      </c>
      <c r="I199" t="inlineStr">
        <is>
          <t>Alianzas estratégicas generadas</t>
        </is>
      </c>
      <c r="J199" t="inlineStr">
        <is>
          <t>2024257580042</t>
        </is>
      </c>
      <c r="K199" t="inlineStr">
        <is>
          <t>Si</t>
        </is>
      </c>
      <c r="L199" t="inlineStr">
        <is>
          <t>Número</t>
        </is>
      </c>
      <c r="M199">
        <v>5</v>
      </c>
      <c r="N199">
        <v>1</v>
      </c>
      <c r="O199">
        <v>3</v>
      </c>
      <c r="P199">
        <v>5</v>
      </c>
      <c r="Q199">
        <v>5</v>
      </c>
      <c r="R199" t="inlineStr">
        <is>
          <t xml:space="preserve"> </t>
        </is>
      </c>
      <c r="S199" s="103" t="inlineStr">
        <is>
          <t xml:space="preserve"> </t>
        </is>
      </c>
      <c r="T199" t="inlineStr">
        <is>
          <t>No se encontró ejecución en PIIP</t>
        </is>
      </c>
      <c r="U199" t="inlineStr">
        <is>
          <t xml:space="preserve"> </t>
        </is>
      </c>
      <c r="V199" s="104" t="inlineStr">
        <is>
          <t xml:space="preserve"> </t>
        </is>
      </c>
      <c r="W199" t="inlineStr">
        <is>
          <t>No se encontró ejecución en PIIP</t>
        </is>
      </c>
    </row>
    <row r="200">
      <c r="A200" t="inlineStr">
        <is>
          <t>IP-237</t>
        </is>
      </c>
      <c r="B200" t="inlineStr">
        <is>
          <t>36</t>
        </is>
      </c>
      <c r="C200" t="inlineStr">
        <is>
          <t>Trabajo</t>
        </is>
      </c>
      <c r="D200" t="inlineStr">
        <is>
          <t>3602</t>
        </is>
      </c>
      <c r="E200" t="inlineStr">
        <is>
          <t>Generación y formalización del empleo</t>
        </is>
      </c>
      <c r="F200" t="inlineStr">
        <is>
          <t>3602006</t>
        </is>
      </c>
      <c r="G200" t="inlineStr">
        <is>
          <t>Servicio de registro laboral</t>
        </is>
      </c>
      <c r="H200" t="inlineStr">
        <is>
          <t>360200600</t>
        </is>
      </c>
      <c r="I200" t="inlineStr">
        <is>
          <t>Registros laborales realizados</t>
        </is>
      </c>
      <c r="J200" t="inlineStr">
        <is>
          <t>2024257580042</t>
        </is>
      </c>
      <c r="K200" t="inlineStr">
        <is>
          <t>Si</t>
        </is>
      </c>
      <c r="L200" t="inlineStr">
        <is>
          <t>Número</t>
        </is>
      </c>
      <c r="M200">
        <v>1</v>
      </c>
      <c r="N200">
        <v>1</v>
      </c>
      <c r="O200">
        <v>1</v>
      </c>
      <c r="P200">
        <v>1</v>
      </c>
      <c r="Q200">
        <v>1</v>
      </c>
      <c r="R200" t="inlineStr">
        <is>
          <t xml:space="preserve"> </t>
        </is>
      </c>
      <c r="S200" s="103" t="inlineStr">
        <is>
          <t xml:space="preserve"> </t>
        </is>
      </c>
      <c r="T200" t="inlineStr">
        <is>
          <t>No se encontró ejecución en PIIP</t>
        </is>
      </c>
      <c r="U200" t="inlineStr">
        <is>
          <t xml:space="preserve"> </t>
        </is>
      </c>
      <c r="V200" s="104" t="inlineStr">
        <is>
          <t xml:space="preserve"> </t>
        </is>
      </c>
      <c r="W200" t="inlineStr">
        <is>
          <t>No se encontró ejecución en PIIP</t>
        </is>
      </c>
    </row>
    <row r="201">
      <c r="A201" t="inlineStr">
        <is>
          <t>IP-238</t>
        </is>
      </c>
      <c r="B201" t="inlineStr">
        <is>
          <t>36</t>
        </is>
      </c>
      <c r="C201" t="inlineStr">
        <is>
          <t>Trabajo</t>
        </is>
      </c>
      <c r="D201" t="inlineStr">
        <is>
          <t>3602</t>
        </is>
      </c>
      <c r="E201" t="inlineStr">
        <is>
          <t>Generación y formalización del empleo</t>
        </is>
      </c>
      <c r="F201" t="inlineStr">
        <is>
          <t>3602027</t>
        </is>
      </c>
      <c r="G201" t="inlineStr">
        <is>
          <t>Servicio de apoyo al fortalecimiento de políticas públicas para la generación y formalización del empleo en el marco del trabajo decente</t>
        </is>
      </c>
      <c r="H201" t="inlineStr">
        <is>
          <t>360202700</t>
        </is>
      </c>
      <c r="I201" t="inlineStr">
        <is>
          <t>Estrategias realizadas</t>
        </is>
      </c>
      <c r="J201" t="inlineStr">
        <is>
          <t>2024257580042</t>
        </is>
      </c>
      <c r="K201" t="inlineStr">
        <is>
          <t>Si</t>
        </is>
      </c>
      <c r="L201" t="inlineStr">
        <is>
          <t>Número</t>
        </is>
      </c>
      <c r="M201">
        <v>77.3</v>
      </c>
      <c r="N201">
        <v>47.3</v>
      </c>
      <c r="O201">
        <v>57.3</v>
      </c>
      <c r="P201">
        <v>67.3</v>
      </c>
      <c r="Q201">
        <v>77.3</v>
      </c>
      <c r="R201" t="inlineStr">
        <is>
          <t xml:space="preserve"> </t>
        </is>
      </c>
      <c r="S201" s="103" t="inlineStr">
        <is>
          <t xml:space="preserve"> </t>
        </is>
      </c>
      <c r="T201" t="inlineStr">
        <is>
          <t>No se encontró ejecución en PIIP</t>
        </is>
      </c>
      <c r="U201" t="inlineStr">
        <is>
          <t xml:space="preserve"> </t>
        </is>
      </c>
      <c r="V201" s="104" t="inlineStr">
        <is>
          <t xml:space="preserve"> </t>
        </is>
      </c>
      <c r="W201" t="inlineStr">
        <is>
          <t>No se encontró ejecución en PIIP</t>
        </is>
      </c>
    </row>
    <row r="202">
      <c r="A202" t="inlineStr">
        <is>
          <t>IP-239, IP-240</t>
        </is>
      </c>
      <c r="B202" t="inlineStr">
        <is>
          <t>36</t>
        </is>
      </c>
      <c r="C202" t="inlineStr">
        <is>
          <t>Trabajo</t>
        </is>
      </c>
      <c r="D202" t="inlineStr">
        <is>
          <t>3602</t>
        </is>
      </c>
      <c r="E202" t="inlineStr">
        <is>
          <t>Generación y formalización del empleo</t>
        </is>
      </c>
      <c r="F202" t="inlineStr">
        <is>
          <t>3602002</t>
        </is>
      </c>
      <c r="G202" t="inlineStr">
        <is>
          <t>Servicios de gestión para generación y formalización del empleo</t>
        </is>
      </c>
      <c r="H202" t="inlineStr">
        <is>
          <t>360200200</t>
        </is>
      </c>
      <c r="I202" t="inlineStr">
        <is>
          <t>Eventos realizados</t>
        </is>
      </c>
      <c r="J202" t="inlineStr">
        <is>
          <t>2024257580042</t>
        </is>
      </c>
      <c r="K202" t="inlineStr">
        <is>
          <t>No</t>
        </is>
      </c>
      <c r="L202" t="inlineStr">
        <is>
          <t>Número</t>
        </is>
      </c>
      <c r="M202">
        <v>24</v>
      </c>
      <c r="N202">
        <v>6</v>
      </c>
      <c r="O202">
        <v>6</v>
      </c>
      <c r="P202">
        <v>6</v>
      </c>
      <c r="Q202">
        <v>6</v>
      </c>
      <c r="R202" t="inlineStr">
        <is>
          <t xml:space="preserve"> </t>
        </is>
      </c>
      <c r="S202" s="103" t="inlineStr">
        <is>
          <t xml:space="preserve"> </t>
        </is>
      </c>
      <c r="T202" t="inlineStr">
        <is>
          <t>No se encontró ejecución en PIIP</t>
        </is>
      </c>
      <c r="U202" t="inlineStr">
        <is>
          <t xml:space="preserve"> </t>
        </is>
      </c>
      <c r="V202" s="104" t="inlineStr">
        <is>
          <t xml:space="preserve"> </t>
        </is>
      </c>
      <c r="W202" t="inlineStr">
        <is>
          <t>No se encontró ejecución en PIIP</t>
        </is>
      </c>
    </row>
    <row r="203">
      <c r="A203" t="inlineStr">
        <is>
          <t>IP-241</t>
        </is>
      </c>
      <c r="B203" t="inlineStr">
        <is>
          <t>36</t>
        </is>
      </c>
      <c r="C203" t="inlineStr">
        <is>
          <t>Trabajo</t>
        </is>
      </c>
      <c r="D203" t="inlineStr">
        <is>
          <t>3602</t>
        </is>
      </c>
      <c r="E203" t="inlineStr">
        <is>
          <t>Generación y formalización del empleo</t>
        </is>
      </c>
      <c r="F203" t="inlineStr">
        <is>
          <t>3602025</t>
        </is>
      </c>
      <c r="G203" t="inlineStr">
        <is>
          <t>Documentos normativos</t>
        </is>
      </c>
      <c r="H203" t="inlineStr">
        <is>
          <t>360202500</t>
        </is>
      </c>
      <c r="I203" t="inlineStr">
        <is>
          <t>Documentos normativos realizados</t>
        </is>
      </c>
      <c r="J203" t="inlineStr">
        <is>
          <t>2024257580042</t>
        </is>
      </c>
      <c r="K203" t="inlineStr">
        <is>
          <t>Si</t>
        </is>
      </c>
      <c r="L203" t="inlineStr">
        <is>
          <t>Número</t>
        </is>
      </c>
      <c r="M203">
        <v>1</v>
      </c>
      <c r="N203">
        <v>1</v>
      </c>
      <c r="O203">
        <v>1</v>
      </c>
      <c r="P203">
        <v>1</v>
      </c>
      <c r="Q203">
        <v>1</v>
      </c>
      <c r="R203" t="inlineStr">
        <is>
          <t xml:space="preserve"> </t>
        </is>
      </c>
      <c r="S203" s="103" t="inlineStr">
        <is>
          <t xml:space="preserve"> </t>
        </is>
      </c>
      <c r="T203" t="inlineStr">
        <is>
          <t>No se encontró ejecución en PIIP</t>
        </is>
      </c>
      <c r="U203" t="inlineStr">
        <is>
          <t xml:space="preserve"> </t>
        </is>
      </c>
      <c r="V203" s="104" t="inlineStr">
        <is>
          <t xml:space="preserve"> </t>
        </is>
      </c>
      <c r="W203" t="inlineStr">
        <is>
          <t>No se encontró ejecución en PIIP</t>
        </is>
      </c>
    </row>
    <row r="204">
      <c r="A204" t="inlineStr">
        <is>
          <t>IP-242</t>
        </is>
      </c>
      <c r="B204" t="inlineStr">
        <is>
          <t>36</t>
        </is>
      </c>
      <c r="C204" t="inlineStr">
        <is>
          <t>Trabajo</t>
        </is>
      </c>
      <c r="D204" t="inlineStr">
        <is>
          <t>3602</t>
        </is>
      </c>
      <c r="E204" t="inlineStr">
        <is>
          <t>Generación y formalización del empleo</t>
        </is>
      </c>
      <c r="F204" t="inlineStr">
        <is>
          <t>3602013</t>
        </is>
      </c>
      <c r="G204" t="inlineStr">
        <is>
          <t>Servicio de gestión para el emprendimiento</t>
        </is>
      </c>
      <c r="H204" t="inlineStr">
        <is>
          <t>360201306</t>
        </is>
      </c>
      <c r="I204" t="inlineStr">
        <is>
          <t>Proyectos productivos con acompañamiento atendidos</t>
        </is>
      </c>
      <c r="J204" t="inlineStr">
        <is>
          <t>2024257580042</t>
        </is>
      </c>
      <c r="K204" t="inlineStr">
        <is>
          <t>No</t>
        </is>
      </c>
      <c r="L204" t="inlineStr">
        <is>
          <t>Número</t>
        </is>
      </c>
      <c r="M204">
        <v>170</v>
      </c>
      <c r="N204">
        <v>0</v>
      </c>
      <c r="O204">
        <v>56</v>
      </c>
      <c r="P204">
        <v>56</v>
      </c>
      <c r="Q204">
        <v>58</v>
      </c>
      <c r="R204" t="inlineStr">
        <is>
          <t xml:space="preserve"> </t>
        </is>
      </c>
      <c r="S204" s="103" t="inlineStr">
        <is>
          <t xml:space="preserve"> </t>
        </is>
      </c>
      <c r="T204" t="inlineStr">
        <is>
          <t>No se encontró ejecución en PIIP</t>
        </is>
      </c>
      <c r="U204" t="inlineStr">
        <is>
          <t xml:space="preserve"> </t>
        </is>
      </c>
      <c r="V204" s="104" t="inlineStr">
        <is>
          <t xml:space="preserve"> </t>
        </is>
      </c>
      <c r="W204" t="inlineStr">
        <is>
          <t>No se encontró ejecución en PIIP</t>
        </is>
      </c>
    </row>
    <row r="205">
      <c r="A205" t="inlineStr">
        <is>
          <t>IP-243</t>
        </is>
      </c>
      <c r="B205" t="inlineStr">
        <is>
          <t>36</t>
        </is>
      </c>
      <c r="C205" t="inlineStr">
        <is>
          <t>Trabajo</t>
        </is>
      </c>
      <c r="D205" t="inlineStr">
        <is>
          <t>3602</t>
        </is>
      </c>
      <c r="E205" t="inlineStr">
        <is>
          <t>Generación y formalización del empleo</t>
        </is>
      </c>
      <c r="F205" t="inlineStr">
        <is>
          <t>3602031</t>
        </is>
      </c>
      <c r="G205" t="inlineStr">
        <is>
          <t>Servicio de formación para el trabajo en competencias para la inserción laboral</t>
        </is>
      </c>
      <c r="H205" t="inlineStr">
        <is>
          <t>360203100</t>
        </is>
      </c>
      <c r="I205" t="inlineStr">
        <is>
          <t>Personas formadas</t>
        </is>
      </c>
      <c r="J205" t="inlineStr">
        <is>
          <t>2024257580042</t>
        </is>
      </c>
      <c r="K205" t="inlineStr">
        <is>
          <t>No</t>
        </is>
      </c>
      <c r="L205" t="inlineStr">
        <is>
          <t>Número</t>
        </is>
      </c>
      <c r="M205">
        <v>800</v>
      </c>
      <c r="N205">
        <v>150</v>
      </c>
      <c r="O205">
        <v>220</v>
      </c>
      <c r="P205">
        <v>220</v>
      </c>
      <c r="Q205">
        <v>210</v>
      </c>
      <c r="R205" t="inlineStr">
        <is>
          <t xml:space="preserve"> </t>
        </is>
      </c>
      <c r="S205" s="103" t="inlineStr">
        <is>
          <t xml:space="preserve"> </t>
        </is>
      </c>
      <c r="T205" t="inlineStr">
        <is>
          <t>No se encontró ejecución en PIIP</t>
        </is>
      </c>
      <c r="U205" t="inlineStr">
        <is>
          <t xml:space="preserve"> </t>
        </is>
      </c>
      <c r="V205" s="104" t="inlineStr">
        <is>
          <t xml:space="preserve"> </t>
        </is>
      </c>
      <c r="W205" t="inlineStr">
        <is>
          <t>No se encontró ejecución en PIIP</t>
        </is>
      </c>
    </row>
    <row r="206">
      <c r="A206" t="inlineStr">
        <is>
          <t>IP-244</t>
        </is>
      </c>
      <c r="B206" t="inlineStr">
        <is>
          <t>36</t>
        </is>
      </c>
      <c r="C206" t="inlineStr">
        <is>
          <t>Trabajo</t>
        </is>
      </c>
      <c r="D206" t="inlineStr">
        <is>
          <t>3605</t>
        </is>
      </c>
      <c r="E206" t="inlineStr">
        <is>
          <t>Fomento de la investigación, desarrollo tecnológico e innovación del sector trabajo</t>
        </is>
      </c>
      <c r="F206" t="inlineStr">
        <is>
          <t>3605009</t>
        </is>
      </c>
      <c r="G206" t="inlineStr">
        <is>
          <t>Servicio de promoción y difusión de los resultados de la gestión del conocimiento</t>
        </is>
      </c>
      <c r="H206" t="inlineStr">
        <is>
          <t>360500900</t>
        </is>
      </c>
      <c r="I206" t="inlineStr">
        <is>
          <t>Acciones de promoción y difusión realizadas</t>
        </is>
      </c>
      <c r="J206" t="inlineStr">
        <is>
          <t>2024257580043</t>
        </is>
      </c>
      <c r="K206" t="inlineStr">
        <is>
          <t>Si</t>
        </is>
      </c>
      <c r="L206" t="inlineStr">
        <is>
          <t>Número</t>
        </is>
      </c>
      <c r="M206">
        <v>1</v>
      </c>
      <c r="N206">
        <v>0.5</v>
      </c>
      <c r="O206">
        <v>1</v>
      </c>
      <c r="P206">
        <v>1</v>
      </c>
      <c r="Q206">
        <v>1</v>
      </c>
      <c r="R206" t="inlineStr">
        <is>
          <t xml:space="preserve"> </t>
        </is>
      </c>
      <c r="S206" s="103" t="inlineStr">
        <is>
          <t xml:space="preserve"> </t>
        </is>
      </c>
      <c r="T206" t="inlineStr">
        <is>
          <t>No se encontró ejecución en PIIP</t>
        </is>
      </c>
      <c r="U206" t="inlineStr">
        <is>
          <t xml:space="preserve"> </t>
        </is>
      </c>
      <c r="V206" s="104" t="inlineStr">
        <is>
          <t xml:space="preserve"> </t>
        </is>
      </c>
      <c r="W206" t="inlineStr">
        <is>
          <t>No se encontró ejecución en PIIP</t>
        </is>
      </c>
    </row>
    <row r="207">
      <c r="A207" t="inlineStr">
        <is>
          <t>IP-245</t>
        </is>
      </c>
      <c r="B207" t="inlineStr">
        <is>
          <t>36</t>
        </is>
      </c>
      <c r="C207" t="inlineStr">
        <is>
          <t>Trabajo</t>
        </is>
      </c>
      <c r="D207" t="inlineStr">
        <is>
          <t>3604</t>
        </is>
      </c>
      <c r="E207" t="inlineStr">
        <is>
          <t>Derechos fundamentales del trabajo y fortalecimiento del diálogo social</t>
        </is>
      </c>
      <c r="F207" t="inlineStr">
        <is>
          <t>3604019</t>
        </is>
      </c>
      <c r="G207" t="inlineStr">
        <is>
          <t>Servicio de asistencia técnica para el trabajo decente</t>
        </is>
      </c>
      <c r="H207" t="inlineStr">
        <is>
          <t>360401900</t>
        </is>
      </c>
      <c r="I207" t="inlineStr">
        <is>
          <t>Personas asistidas técnicamente</t>
        </is>
      </c>
      <c r="J207" t="inlineStr">
        <is>
          <t>2024257580057</t>
        </is>
      </c>
      <c r="K207" t="inlineStr">
        <is>
          <t>No</t>
        </is>
      </c>
      <c r="L207" t="inlineStr">
        <is>
          <t>Número</t>
        </is>
      </c>
      <c r="M207">
        <v>80</v>
      </c>
      <c r="N207">
        <v>20</v>
      </c>
      <c r="O207">
        <v>20</v>
      </c>
      <c r="P207">
        <v>20</v>
      </c>
      <c r="Q207">
        <v>20</v>
      </c>
      <c r="R207" t="inlineStr">
        <is>
          <t xml:space="preserve"> </t>
        </is>
      </c>
      <c r="S207" s="103" t="inlineStr">
        <is>
          <t xml:space="preserve"> </t>
        </is>
      </c>
      <c r="T207" t="inlineStr">
        <is>
          <t>No se encontró ejecución en PIIP</t>
        </is>
      </c>
      <c r="U207" t="inlineStr">
        <is>
          <t xml:space="preserve"> </t>
        </is>
      </c>
      <c r="V207" s="104" t="inlineStr">
        <is>
          <t xml:space="preserve"> </t>
        </is>
      </c>
      <c r="W207" t="inlineStr">
        <is>
          <t>No se encontró ejecución en PIIP</t>
        </is>
      </c>
    </row>
    <row r="208">
      <c r="A208" t="inlineStr">
        <is>
          <t>IP-246</t>
        </is>
      </c>
      <c r="B208" t="inlineStr">
        <is>
          <t>36</t>
        </is>
      </c>
      <c r="C208" t="inlineStr">
        <is>
          <t>Trabajo</t>
        </is>
      </c>
      <c r="D208" t="inlineStr">
        <is>
          <t>3604</t>
        </is>
      </c>
      <c r="E208" t="inlineStr">
        <is>
          <t>Derechos fundamentales del trabajo y fortalecimiento del diálogo social</t>
        </is>
      </c>
      <c r="F208" t="inlineStr">
        <is>
          <t>3604020</t>
        </is>
      </c>
      <c r="G208" t="inlineStr">
        <is>
          <t>Servicio de prevencióndel trabajo infantil y protección del adolescente trabajador</t>
        </is>
      </c>
      <c r="H208" t="inlineStr">
        <is>
          <t>360402000</t>
        </is>
      </c>
      <c r="I208" t="inlineStr">
        <is>
          <t>Personas capacitadas</t>
        </is>
      </c>
      <c r="J208" t="inlineStr">
        <is>
          <t>2024257580070</t>
        </is>
      </c>
      <c r="K208" t="inlineStr">
        <is>
          <t>Si</t>
        </is>
      </c>
      <c r="L208" t="inlineStr">
        <is>
          <t>Número</t>
        </is>
      </c>
      <c r="M208">
        <v>1</v>
      </c>
      <c r="N208">
        <v>1</v>
      </c>
      <c r="O208">
        <v>1</v>
      </c>
      <c r="P208">
        <v>1</v>
      </c>
      <c r="Q208">
        <v>1</v>
      </c>
      <c r="R208">
        <v>767</v>
      </c>
      <c r="S208" s="103">
        <v>767</v>
      </c>
      <c r="T208" t="inlineStr">
        <is>
          <t>Hubo ejecución por encima de lo programado en SisPT</t>
        </is>
      </c>
      <c r="U208">
        <v>0</v>
      </c>
      <c r="V208" s="104">
        <v>0</v>
      </c>
      <c r="W208" t="inlineStr">
        <is>
          <t>No se ejecutó en la vigencia</t>
        </is>
      </c>
    </row>
    <row r="209">
      <c r="A209" t="inlineStr">
        <is>
          <t>IP-247</t>
        </is>
      </c>
      <c r="B209" t="inlineStr">
        <is>
          <t>35</t>
        </is>
      </c>
      <c r="C209" t="inlineStr">
        <is>
          <t>Comercio, industria y turismo</t>
        </is>
      </c>
      <c r="D209" t="inlineStr">
        <is>
          <t>3502</t>
        </is>
      </c>
      <c r="E209" t="inlineStr">
        <is>
          <t>Productividad y competitividad de las empresas colombianas</t>
        </is>
      </c>
      <c r="F209" t="inlineStr">
        <is>
          <t>3502024</t>
        </is>
      </c>
      <c r="G209" t="inlineStr">
        <is>
          <t>Servicio de asistencia técnica para la actividad artesanal</t>
        </is>
      </c>
      <c r="H209" t="inlineStr">
        <is>
          <t>350202401</t>
        </is>
      </c>
      <c r="I209" t="inlineStr">
        <is>
          <t>Talleres para el desarrollo de productos y gestión de unidades productivas brindados</t>
        </is>
      </c>
      <c r="J209" t="inlineStr">
        <is>
          <t>2024257580005</t>
        </is>
      </c>
      <c r="K209" t="inlineStr">
        <is>
          <t>No</t>
        </is>
      </c>
      <c r="L209" t="inlineStr">
        <is>
          <t>Número</t>
        </is>
      </c>
      <c r="M209">
        <v>1200</v>
      </c>
      <c r="N209">
        <v>300</v>
      </c>
      <c r="O209">
        <v>300</v>
      </c>
      <c r="P209">
        <v>300</v>
      </c>
      <c r="Q209">
        <v>300</v>
      </c>
      <c r="R209" t="inlineStr">
        <is>
          <t xml:space="preserve"> </t>
        </is>
      </c>
      <c r="S209" s="103" t="inlineStr">
        <is>
          <t xml:space="preserve"> </t>
        </is>
      </c>
      <c r="T209" t="inlineStr">
        <is>
          <t>No se encontró ejecución en PIIP</t>
        </is>
      </c>
      <c r="U209" t="inlineStr">
        <is>
          <t xml:space="preserve"> </t>
        </is>
      </c>
      <c r="V209" s="104" t="inlineStr">
        <is>
          <t xml:space="preserve"> </t>
        </is>
      </c>
      <c r="W209" t="inlineStr">
        <is>
          <t>No se encontró ejecución en PIIP</t>
        </is>
      </c>
    </row>
    <row r="210">
      <c r="A210" t="inlineStr">
        <is>
          <t>IP-248</t>
        </is>
      </c>
      <c r="B210" t="inlineStr">
        <is>
          <t>35</t>
        </is>
      </c>
      <c r="C210" t="inlineStr">
        <is>
          <t>Comercio, industria y turismo</t>
        </is>
      </c>
      <c r="D210" t="inlineStr">
        <is>
          <t>3502</t>
        </is>
      </c>
      <c r="E210" t="inlineStr">
        <is>
          <t>Productividad y competitividad de las empresas colombianas</t>
        </is>
      </c>
      <c r="F210" t="inlineStr">
        <is>
          <t>3502083</t>
        </is>
      </c>
      <c r="G210" t="inlineStr">
        <is>
          <t>Plazas de mercado mantenida</t>
        </is>
      </c>
      <c r="H210" t="inlineStr">
        <is>
          <t>350208300</t>
        </is>
      </c>
      <c r="I210" t="inlineStr">
        <is>
          <t>Plaza de mercado mantenida</t>
        </is>
      </c>
      <c r="J210" t="inlineStr">
        <is>
          <t>2024257580005</t>
        </is>
      </c>
      <c r="K210" t="inlineStr">
        <is>
          <t>Si</t>
        </is>
      </c>
      <c r="L210" t="inlineStr">
        <is>
          <t>Número</t>
        </is>
      </c>
      <c r="M210">
        <v>1</v>
      </c>
      <c r="N210">
        <v>1</v>
      </c>
      <c r="O210">
        <v>1</v>
      </c>
      <c r="P210">
        <v>1</v>
      </c>
      <c r="Q210">
        <v>1</v>
      </c>
      <c r="R210" t="inlineStr">
        <is>
          <t xml:space="preserve"> </t>
        </is>
      </c>
      <c r="S210" s="103" t="inlineStr">
        <is>
          <t xml:space="preserve"> </t>
        </is>
      </c>
      <c r="T210" t="inlineStr">
        <is>
          <t>No se encontró ejecución en PIIP</t>
        </is>
      </c>
      <c r="U210" t="inlineStr">
        <is>
          <t xml:space="preserve"> </t>
        </is>
      </c>
      <c r="V210" s="104" t="inlineStr">
        <is>
          <t xml:space="preserve"> </t>
        </is>
      </c>
      <c r="W210" t="inlineStr">
        <is>
          <t>No se encontró ejecución en PIIP</t>
        </is>
      </c>
    </row>
    <row r="211">
      <c r="A211" t="inlineStr">
        <is>
          <t>IP-249</t>
        </is>
      </c>
      <c r="B211" t="inlineStr">
        <is>
          <t>35</t>
        </is>
      </c>
      <c r="C211" t="inlineStr">
        <is>
          <t>Comercio, industria y turismo</t>
        </is>
      </c>
      <c r="D211" t="inlineStr">
        <is>
          <t>3502</t>
        </is>
      </c>
      <c r="E211" t="inlineStr">
        <is>
          <t>Productividad y competitividad de las empresas colombianas</t>
        </is>
      </c>
      <c r="F211" t="inlineStr">
        <is>
          <t>3502050</t>
        </is>
      </c>
      <c r="G211" t="inlineStr">
        <is>
          <t>Centro de convención construido</t>
        </is>
      </c>
      <c r="H211" t="inlineStr">
        <is>
          <t>350205000</t>
        </is>
      </c>
      <c r="I211" t="inlineStr">
        <is>
          <t>Centro de convención construido</t>
        </is>
      </c>
      <c r="J211" t="inlineStr">
        <is>
          <t>2024257580005</t>
        </is>
      </c>
      <c r="K211" t="inlineStr">
        <is>
          <t>Si</t>
        </is>
      </c>
      <c r="L211" t="inlineStr">
        <is>
          <t>Número</t>
        </is>
      </c>
      <c r="M211">
        <v>1</v>
      </c>
      <c r="N211">
        <v>1</v>
      </c>
      <c r="O211">
        <v>1</v>
      </c>
      <c r="P211">
        <v>1</v>
      </c>
      <c r="Q211">
        <v>1</v>
      </c>
      <c r="R211" t="inlineStr">
        <is>
          <t xml:space="preserve"> </t>
        </is>
      </c>
      <c r="S211" s="103" t="inlineStr">
        <is>
          <t xml:space="preserve"> </t>
        </is>
      </c>
      <c r="T211" t="inlineStr">
        <is>
          <t>No se encontró ejecución en PIIP</t>
        </is>
      </c>
      <c r="U211" t="inlineStr">
        <is>
          <t xml:space="preserve"> </t>
        </is>
      </c>
      <c r="V211" s="104" t="inlineStr">
        <is>
          <t xml:space="preserve"> </t>
        </is>
      </c>
      <c r="W211" t="inlineStr">
        <is>
          <t>No se encontró ejecución en PIIP</t>
        </is>
      </c>
    </row>
    <row r="212">
      <c r="A212" t="inlineStr">
        <is>
          <t>IP-250</t>
        </is>
      </c>
      <c r="B212" t="inlineStr">
        <is>
          <t>35</t>
        </is>
      </c>
      <c r="C212" t="inlineStr">
        <is>
          <t>Comercio, industria y turismo</t>
        </is>
      </c>
      <c r="D212" t="inlineStr">
        <is>
          <t>3502</t>
        </is>
      </c>
      <c r="E212" t="inlineStr">
        <is>
          <t>Productividad y competitividad de las empresas colombianas</t>
        </is>
      </c>
      <c r="F212" t="inlineStr">
        <is>
          <t>3502015</t>
        </is>
      </c>
      <c r="G212" t="inlineStr">
        <is>
          <t>Servicio para la formalización empresarial y de productos y/o Servicio</t>
        </is>
      </c>
      <c r="H212" t="inlineStr">
        <is>
          <t>350201500</t>
        </is>
      </c>
      <c r="I212" t="inlineStr">
        <is>
          <t>Empresas asistidas técnicamente en temas de legalidad y/o formalización.</t>
        </is>
      </c>
      <c r="J212" t="inlineStr">
        <is>
          <t>2024257580005</t>
        </is>
      </c>
      <c r="K212" t="inlineStr">
        <is>
          <t>No</t>
        </is>
      </c>
      <c r="L212" t="inlineStr">
        <is>
          <t>Número</t>
        </is>
      </c>
      <c r="M212">
        <v>80</v>
      </c>
      <c r="N212">
        <v>10</v>
      </c>
      <c r="O212">
        <v>20</v>
      </c>
      <c r="P212">
        <v>25</v>
      </c>
      <c r="Q212">
        <v>25</v>
      </c>
      <c r="R212" t="inlineStr">
        <is>
          <t xml:space="preserve"> </t>
        </is>
      </c>
      <c r="S212" s="103" t="inlineStr">
        <is>
          <t xml:space="preserve"> </t>
        </is>
      </c>
      <c r="T212" t="inlineStr">
        <is>
          <t>No se encontró ejecución en PIIP</t>
        </is>
      </c>
      <c r="U212" t="inlineStr">
        <is>
          <t xml:space="preserve"> </t>
        </is>
      </c>
      <c r="V212" s="104" t="inlineStr">
        <is>
          <t xml:space="preserve"> </t>
        </is>
      </c>
      <c r="W212" t="inlineStr">
        <is>
          <t>No se encontró ejecución en PIIP</t>
        </is>
      </c>
    </row>
    <row r="213">
      <c r="A213" t="inlineStr">
        <is>
          <t>IP-251</t>
        </is>
      </c>
      <c r="B213" t="inlineStr">
        <is>
          <t>35</t>
        </is>
      </c>
      <c r="C213" t="inlineStr">
        <is>
          <t>Comercio, industria y turismo</t>
        </is>
      </c>
      <c r="D213" t="inlineStr">
        <is>
          <t>3502</t>
        </is>
      </c>
      <c r="E213" t="inlineStr">
        <is>
          <t>Productividad y competitividad de las empresas colombianas</t>
        </is>
      </c>
      <c r="F213" t="inlineStr">
        <is>
          <t>3502021</t>
        </is>
      </c>
      <c r="G213" t="inlineStr">
        <is>
          <t>Servicio de fortalecimiento y desarrollo de unidades productivas para la comercialización de productos agroindustriales</t>
        </is>
      </c>
      <c r="H213" t="inlineStr">
        <is>
          <t>350202101</t>
        </is>
      </c>
      <c r="I213" t="inlineStr">
        <is>
          <t xml:space="preserve">Emprendimientos y/o empresas asociativas generadas </t>
        </is>
      </c>
      <c r="J213" t="inlineStr">
        <is>
          <t>2024257580005</t>
        </is>
      </c>
      <c r="K213" t="inlineStr">
        <is>
          <t>Si</t>
        </is>
      </c>
      <c r="L213" t="inlineStr">
        <is>
          <t>Número</t>
        </is>
      </c>
      <c r="M213">
        <v>10</v>
      </c>
      <c r="N213">
        <v>8</v>
      </c>
      <c r="O213">
        <v>10</v>
      </c>
      <c r="P213">
        <v>10</v>
      </c>
      <c r="Q213">
        <v>10</v>
      </c>
      <c r="R213" t="inlineStr">
        <is>
          <t xml:space="preserve"> </t>
        </is>
      </c>
      <c r="S213" s="103" t="inlineStr">
        <is>
          <t xml:space="preserve"> </t>
        </is>
      </c>
      <c r="T213" t="inlineStr">
        <is>
          <t>No se encontró ejecución en PIIP</t>
        </is>
      </c>
      <c r="U213" t="inlineStr">
        <is>
          <t xml:space="preserve"> </t>
        </is>
      </c>
      <c r="V213" s="104" t="inlineStr">
        <is>
          <t xml:space="preserve"> </t>
        </is>
      </c>
      <c r="W213" t="inlineStr">
        <is>
          <t>No se encontró ejecución en PIIP</t>
        </is>
      </c>
    </row>
    <row r="214">
      <c r="A214" t="inlineStr">
        <is>
          <t>IP-252</t>
        </is>
      </c>
      <c r="B214" t="inlineStr">
        <is>
          <t>35</t>
        </is>
      </c>
      <c r="C214" t="inlineStr">
        <is>
          <t>Comercio, industria y turismo</t>
        </is>
      </c>
      <c r="D214" t="inlineStr">
        <is>
          <t>3502</t>
        </is>
      </c>
      <c r="E214" t="inlineStr">
        <is>
          <t>Productividad y competitividad de las empresas colombianas</t>
        </is>
      </c>
      <c r="F214" t="inlineStr">
        <is>
          <t>3502020</t>
        </is>
      </c>
      <c r="G214" t="inlineStr">
        <is>
          <t>Servicio de asistencia técnica y fortalecimiento a las unidades productivas pertenecientes a la red empresarial Red-i y sector detallista</t>
        </is>
      </c>
      <c r="H214" t="inlineStr">
        <is>
          <t>350202000</t>
        </is>
      </c>
      <c r="I214" t="inlineStr">
        <is>
          <t xml:space="preserve">Unidades productivas fortalecidas </t>
        </is>
      </c>
      <c r="J214" t="inlineStr">
        <is>
          <t>2024257580005</t>
        </is>
      </c>
      <c r="K214" t="inlineStr">
        <is>
          <t>No</t>
        </is>
      </c>
      <c r="L214" t="inlineStr">
        <is>
          <t>Número</t>
        </is>
      </c>
      <c r="M214">
        <v>12</v>
      </c>
      <c r="N214">
        <v>3</v>
      </c>
      <c r="O214">
        <v>3</v>
      </c>
      <c r="P214">
        <v>3</v>
      </c>
      <c r="Q214">
        <v>3</v>
      </c>
      <c r="R214" t="inlineStr">
        <is>
          <t xml:space="preserve"> </t>
        </is>
      </c>
      <c r="S214" s="103" t="inlineStr">
        <is>
          <t xml:space="preserve"> </t>
        </is>
      </c>
      <c r="T214" t="inlineStr">
        <is>
          <t>No se encontró ejecución en PIIP</t>
        </is>
      </c>
      <c r="U214" t="inlineStr">
        <is>
          <t xml:space="preserve"> </t>
        </is>
      </c>
      <c r="V214" s="104" t="inlineStr">
        <is>
          <t xml:space="preserve"> </t>
        </is>
      </c>
      <c r="W214" t="inlineStr">
        <is>
          <t>No se encontró ejecución en PIIP</t>
        </is>
      </c>
    </row>
    <row r="215">
      <c r="A215" t="inlineStr">
        <is>
          <t>IP-253</t>
        </is>
      </c>
      <c r="B215" t="inlineStr">
        <is>
          <t>35</t>
        </is>
      </c>
      <c r="C215" t="inlineStr">
        <is>
          <t>Comercio, industria y turismo</t>
        </is>
      </c>
      <c r="D215" t="inlineStr">
        <is>
          <t>3502</t>
        </is>
      </c>
      <c r="E215" t="inlineStr">
        <is>
          <t>Productividad y competitividad de las empresas colombianas</t>
        </is>
      </c>
      <c r="F215" t="inlineStr">
        <is>
          <t>3502009</t>
        </is>
      </c>
      <c r="G215" t="inlineStr">
        <is>
          <t>Servicio de apoyo para la transferencia y/o implementación de metodologías de aumento de la productividad</t>
        </is>
      </c>
      <c r="H215" t="inlineStr">
        <is>
          <t>350200901</t>
        </is>
      </c>
      <c r="I215" t="inlineStr">
        <is>
          <t>Eventos de sensibilización en productividad realizados</t>
        </is>
      </c>
      <c r="J215" t="inlineStr">
        <is>
          <t>2024257580005</t>
        </is>
      </c>
      <c r="K215" t="inlineStr">
        <is>
          <t>No</t>
        </is>
      </c>
      <c r="L215" t="inlineStr">
        <is>
          <t>Número</t>
        </is>
      </c>
      <c r="M215">
        <v>16</v>
      </c>
      <c r="N215">
        <v>4</v>
      </c>
      <c r="O215">
        <v>4</v>
      </c>
      <c r="P215">
        <v>4</v>
      </c>
      <c r="Q215">
        <v>4</v>
      </c>
      <c r="R215" t="inlineStr">
        <is>
          <t xml:space="preserve"> </t>
        </is>
      </c>
      <c r="S215" s="103" t="inlineStr">
        <is>
          <t xml:space="preserve"> </t>
        </is>
      </c>
      <c r="T215" t="inlineStr">
        <is>
          <t>No se encontró ejecución en PIIP</t>
        </is>
      </c>
      <c r="U215" t="inlineStr">
        <is>
          <t xml:space="preserve"> </t>
        </is>
      </c>
      <c r="V215" s="104" t="inlineStr">
        <is>
          <t xml:space="preserve"> </t>
        </is>
      </c>
      <c r="W215" t="inlineStr">
        <is>
          <t>No se encontró ejecución en PIIP</t>
        </is>
      </c>
    </row>
    <row r="216">
      <c r="A216" t="inlineStr">
        <is>
          <t>IP-254</t>
        </is>
      </c>
      <c r="B216" t="inlineStr">
        <is>
          <t>35</t>
        </is>
      </c>
      <c r="C216" t="inlineStr">
        <is>
          <t>Comercio, industria y turismo</t>
        </is>
      </c>
      <c r="D216" t="inlineStr">
        <is>
          <t>3502</t>
        </is>
      </c>
      <c r="E216" t="inlineStr">
        <is>
          <t>Productividad y competitividad de las empresas colombianas</t>
        </is>
      </c>
      <c r="F216" t="inlineStr">
        <is>
          <t>3502046</t>
        </is>
      </c>
      <c r="G216" t="inlineStr">
        <is>
          <t>Servicio de promoción turística</t>
        </is>
      </c>
      <c r="H216" t="inlineStr">
        <is>
          <t>350204600</t>
        </is>
      </c>
      <c r="I216" t="inlineStr">
        <is>
          <t>Campañas realizadas</t>
        </is>
      </c>
      <c r="J216" t="inlineStr">
        <is>
          <t>2024257580017</t>
        </is>
      </c>
      <c r="K216" t="inlineStr">
        <is>
          <t>Si</t>
        </is>
      </c>
      <c r="L216" t="inlineStr">
        <is>
          <t>Número</t>
        </is>
      </c>
      <c r="M216">
        <v>1</v>
      </c>
      <c r="N216">
        <v>1</v>
      </c>
      <c r="O216">
        <v>1</v>
      </c>
      <c r="P216">
        <v>1</v>
      </c>
      <c r="Q216">
        <v>1</v>
      </c>
      <c r="R216">
        <v>1</v>
      </c>
      <c r="S216" s="103">
        <v>1</v>
      </c>
      <c r="T216" t="inlineStr">
        <is>
          <t>Se ejecutó el 100% de lo programado en la vigencia</t>
        </is>
      </c>
      <c r="U216">
        <v>1</v>
      </c>
      <c r="V216" s="104">
        <v>1</v>
      </c>
      <c r="W216" t="inlineStr">
        <is>
          <t>Se ejecutó el 100% de lo programado en la vigencia</t>
        </is>
      </c>
    </row>
    <row r="217">
      <c r="A217" t="inlineStr">
        <is>
          <t>IP-255</t>
        </is>
      </c>
      <c r="B217" t="inlineStr">
        <is>
          <t>35</t>
        </is>
      </c>
      <c r="C217" t="inlineStr">
        <is>
          <t>Comercio, industria y turismo</t>
        </is>
      </c>
      <c r="D217" t="inlineStr">
        <is>
          <t>3502</t>
        </is>
      </c>
      <c r="E217" t="inlineStr">
        <is>
          <t>Productividad y competitividad de las empresas colombianas</t>
        </is>
      </c>
      <c r="F217" t="inlineStr">
        <is>
          <t>3502006</t>
        </is>
      </c>
      <c r="G217" t="inlineStr">
        <is>
          <t>Servicio de apoyo y consolidación de las Comisiones Regionales de Competitividad - CRC</t>
        </is>
      </c>
      <c r="H217" t="inlineStr">
        <is>
          <t>350200603</t>
        </is>
      </c>
      <c r="I217" t="inlineStr">
        <is>
          <t>Estrategias implementadas para la transferencia de buenas practicas, visibilización de las acciones de las CRC e intercambio de información entra ellas</t>
        </is>
      </c>
      <c r="J217" t="inlineStr">
        <is>
          <t>2024257580017</t>
        </is>
      </c>
      <c r="K217" t="inlineStr">
        <is>
          <t>Si</t>
        </is>
      </c>
      <c r="L217" t="inlineStr">
        <is>
          <t>Número</t>
        </is>
      </c>
      <c r="M217">
        <v>1</v>
      </c>
      <c r="N217">
        <v>1</v>
      </c>
      <c r="O217">
        <v>1</v>
      </c>
      <c r="P217">
        <v>1</v>
      </c>
      <c r="Q217">
        <v>1</v>
      </c>
      <c r="R217" t="inlineStr">
        <is>
          <t xml:space="preserve"> </t>
        </is>
      </c>
      <c r="S217" s="103" t="inlineStr">
        <is>
          <t xml:space="preserve"> </t>
        </is>
      </c>
      <c r="T217" t="inlineStr">
        <is>
          <t>No se encontró ejecución en PIIP</t>
        </is>
      </c>
      <c r="U217" t="inlineStr">
        <is>
          <t xml:space="preserve"> </t>
        </is>
      </c>
      <c r="V217" s="104" t="inlineStr">
        <is>
          <t xml:space="preserve"> </t>
        </is>
      </c>
      <c r="W217" t="inlineStr">
        <is>
          <t>No se encontró ejecución en PIIP</t>
        </is>
      </c>
    </row>
    <row r="218">
      <c r="A218" t="inlineStr">
        <is>
          <t>IP-256</t>
        </is>
      </c>
      <c r="B218" t="inlineStr">
        <is>
          <t>35</t>
        </is>
      </c>
      <c r="C218" t="inlineStr">
        <is>
          <t>Comercio, industria y turismo</t>
        </is>
      </c>
      <c r="D218" t="inlineStr">
        <is>
          <t>3502</t>
        </is>
      </c>
      <c r="E218" t="inlineStr">
        <is>
          <t>Productividad y competitividad de las empresas colombianas</t>
        </is>
      </c>
      <c r="F218" t="inlineStr">
        <is>
          <t>3502008</t>
        </is>
      </c>
      <c r="G218" t="inlineStr">
        <is>
          <t>Servicio de asistencia técnica para mejorar la competitividad de los sectores productivos</t>
        </is>
      </c>
      <c r="H218" t="inlineStr">
        <is>
          <t>350200800</t>
        </is>
      </c>
      <c r="I218" t="inlineStr">
        <is>
          <t xml:space="preserve">Proyectos de alto impacto asistidos para el fortalecimiento de cadenas productivas </t>
        </is>
      </c>
      <c r="J218" t="inlineStr">
        <is>
          <t>2024257580017</t>
        </is>
      </c>
      <c r="K218" t="inlineStr">
        <is>
          <t>Si</t>
        </is>
      </c>
      <c r="L218" t="inlineStr">
        <is>
          <t>Número</t>
        </is>
      </c>
      <c r="M218">
        <v>1</v>
      </c>
      <c r="N218">
        <v>0.5</v>
      </c>
      <c r="O218">
        <v>1</v>
      </c>
      <c r="P218">
        <v>1</v>
      </c>
      <c r="Q218">
        <v>1</v>
      </c>
      <c r="R218" t="inlineStr">
        <is>
          <t xml:space="preserve"> </t>
        </is>
      </c>
      <c r="S218" s="103" t="inlineStr">
        <is>
          <t xml:space="preserve"> </t>
        </is>
      </c>
      <c r="T218" t="inlineStr">
        <is>
          <t>No se encontró ejecución en PIIP</t>
        </is>
      </c>
      <c r="U218" t="inlineStr">
        <is>
          <t xml:space="preserve"> </t>
        </is>
      </c>
      <c r="V218" s="104" t="inlineStr">
        <is>
          <t xml:space="preserve"> </t>
        </is>
      </c>
      <c r="W218" t="inlineStr">
        <is>
          <t>No se encontró ejecución en PIIP</t>
        </is>
      </c>
    </row>
    <row r="219">
      <c r="A219" t="inlineStr">
        <is>
          <t>IP-257</t>
        </is>
      </c>
      <c r="B219" t="inlineStr">
        <is>
          <t>35</t>
        </is>
      </c>
      <c r="C219" t="inlineStr">
        <is>
          <t>Comercio, industria y turismo</t>
        </is>
      </c>
      <c r="D219" t="inlineStr">
        <is>
          <t>3502</t>
        </is>
      </c>
      <c r="E219" t="inlineStr">
        <is>
          <t>Productividad y competitividad de las empresas colombianas</t>
        </is>
      </c>
      <c r="F219" t="inlineStr">
        <is>
          <t>3502008</t>
        </is>
      </c>
      <c r="G219" t="inlineStr">
        <is>
          <t>Servicio de asistencia técnica para mejorar la competitividad de los sectores productivos</t>
        </is>
      </c>
      <c r="H219" t="inlineStr">
        <is>
          <t>350200801</t>
        </is>
      </c>
      <c r="I219" t="inlineStr">
        <is>
          <t xml:space="preserve">Planes de desarrollo productivo sectoriales y/ o regionales concertados </t>
        </is>
      </c>
      <c r="J219" t="inlineStr">
        <is>
          <t>2024257580017</t>
        </is>
      </c>
      <c r="K219" t="inlineStr">
        <is>
          <t>No</t>
        </is>
      </c>
      <c r="L219" t="inlineStr">
        <is>
          <t>Número</t>
        </is>
      </c>
      <c r="M219">
        <v>16</v>
      </c>
      <c r="N219">
        <v>4</v>
      </c>
      <c r="O219">
        <v>4</v>
      </c>
      <c r="P219">
        <v>4</v>
      </c>
      <c r="Q219">
        <v>4</v>
      </c>
      <c r="R219" t="inlineStr">
        <is>
          <t xml:space="preserve"> </t>
        </is>
      </c>
      <c r="S219" s="103" t="inlineStr">
        <is>
          <t xml:space="preserve"> </t>
        </is>
      </c>
      <c r="T219" t="inlineStr">
        <is>
          <t>No se encontró ejecución en PIIP</t>
        </is>
      </c>
      <c r="U219" t="inlineStr">
        <is>
          <t xml:space="preserve"> </t>
        </is>
      </c>
      <c r="V219" s="104" t="inlineStr">
        <is>
          <t xml:space="preserve"> </t>
        </is>
      </c>
      <c r="W219" t="inlineStr">
        <is>
          <t>No se encontró ejecución en PIIP</t>
        </is>
      </c>
    </row>
    <row r="220">
      <c r="A220" t="inlineStr">
        <is>
          <t>IP-258</t>
        </is>
      </c>
      <c r="B220" t="inlineStr">
        <is>
          <t>35</t>
        </is>
      </c>
      <c r="C220" t="inlineStr">
        <is>
          <t>Comercio, industria y turismo</t>
        </is>
      </c>
      <c r="D220" t="inlineStr">
        <is>
          <t>3502</t>
        </is>
      </c>
      <c r="E220" t="inlineStr">
        <is>
          <t>Productividad y competitividad de las empresas colombianas</t>
        </is>
      </c>
      <c r="F220" t="inlineStr">
        <is>
          <t>3502008</t>
        </is>
      </c>
      <c r="G220" t="inlineStr">
        <is>
          <t>Servicio de asistencia técnica para mejorar la competitividad de los sectores productivos</t>
        </is>
      </c>
      <c r="H220" t="inlineStr">
        <is>
          <t>350200801</t>
        </is>
      </c>
      <c r="I220" t="inlineStr">
        <is>
          <t xml:space="preserve">Planes de desarrollo productivo sectoriales y/ o regionales concertados </t>
        </is>
      </c>
      <c r="J220" t="inlineStr">
        <is>
          <t>2024257580017</t>
        </is>
      </c>
      <c r="K220" t="inlineStr">
        <is>
          <t>Si</t>
        </is>
      </c>
      <c r="L220" t="inlineStr">
        <is>
          <t>Número</t>
        </is>
      </c>
      <c r="M220">
        <v>3</v>
      </c>
      <c r="N220">
        <v>3</v>
      </c>
      <c r="O220">
        <v>3</v>
      </c>
      <c r="P220">
        <v>3</v>
      </c>
      <c r="Q220">
        <v>3</v>
      </c>
      <c r="R220" t="inlineStr">
        <is>
          <t xml:space="preserve"> </t>
        </is>
      </c>
      <c r="S220" s="103" t="inlineStr">
        <is>
          <t xml:space="preserve"> </t>
        </is>
      </c>
      <c r="T220" t="inlineStr">
        <is>
          <t>No se encontró ejecución en PIIP</t>
        </is>
      </c>
      <c r="U220" t="inlineStr">
        <is>
          <t xml:space="preserve"> </t>
        </is>
      </c>
      <c r="V220" s="104" t="inlineStr">
        <is>
          <t xml:space="preserve"> </t>
        </is>
      </c>
      <c r="W220" t="inlineStr">
        <is>
          <t>No se encontró ejecución en PIIP</t>
        </is>
      </c>
    </row>
    <row r="221">
      <c r="A221" t="inlineStr">
        <is>
          <t>IP-259</t>
        </is>
      </c>
      <c r="B221" t="inlineStr">
        <is>
          <t>35</t>
        </is>
      </c>
      <c r="C221" t="inlineStr">
        <is>
          <t>Comercio, industria y turismo</t>
        </is>
      </c>
      <c r="D221" t="inlineStr">
        <is>
          <t>3502</t>
        </is>
      </c>
      <c r="E221" t="inlineStr">
        <is>
          <t>Productividad y competitividad de las empresas colombianas</t>
        </is>
      </c>
      <c r="F221" t="inlineStr">
        <is>
          <t>3502009</t>
        </is>
      </c>
      <c r="G221" t="inlineStr">
        <is>
          <t>Servicio de apoyo para la transferencia y/o implementación de metodologías de aumento de la productividad</t>
        </is>
      </c>
      <c r="H221" t="inlineStr">
        <is>
          <t>350200903</t>
        </is>
      </c>
      <c r="I221" t="inlineStr">
        <is>
          <t>Intervenciones a empresas en programas de extensionismo realizadas</t>
        </is>
      </c>
      <c r="J221" t="inlineStr">
        <is>
          <t>2024257580017</t>
        </is>
      </c>
      <c r="K221" t="inlineStr">
        <is>
          <t>Si</t>
        </is>
      </c>
      <c r="L221" t="inlineStr">
        <is>
          <t>Número</t>
        </is>
      </c>
      <c r="M221">
        <v>1</v>
      </c>
      <c r="N221">
        <v>1</v>
      </c>
      <c r="O221">
        <v>1</v>
      </c>
      <c r="P221">
        <v>1</v>
      </c>
      <c r="Q221">
        <v>1</v>
      </c>
      <c r="R221" t="inlineStr">
        <is>
          <t xml:space="preserve"> </t>
        </is>
      </c>
      <c r="S221" s="103" t="inlineStr">
        <is>
          <t xml:space="preserve"> </t>
        </is>
      </c>
      <c r="T221" t="inlineStr">
        <is>
          <t>No se encontró ejecución en PIIP</t>
        </is>
      </c>
      <c r="U221" t="inlineStr">
        <is>
          <t xml:space="preserve"> </t>
        </is>
      </c>
      <c r="V221" s="104" t="inlineStr">
        <is>
          <t xml:space="preserve"> </t>
        </is>
      </c>
      <c r="W221" t="inlineStr">
        <is>
          <t>No se encontró ejecución en PIIP</t>
        </is>
      </c>
    </row>
    <row r="222">
      <c r="A222" t="inlineStr">
        <is>
          <t>IP-260</t>
        </is>
      </c>
      <c r="B222" t="inlineStr">
        <is>
          <t>35</t>
        </is>
      </c>
      <c r="C222" t="inlineStr">
        <is>
          <t>Comercio, industria y turismo</t>
        </is>
      </c>
      <c r="D222" t="inlineStr">
        <is>
          <t>3502</t>
        </is>
      </c>
      <c r="E222" t="inlineStr">
        <is>
          <t>Productividad y competitividad de las empresas colombianas</t>
        </is>
      </c>
      <c r="F222" t="inlineStr">
        <is>
          <t>3502049</t>
        </is>
      </c>
      <c r="G222" t="inlineStr">
        <is>
          <t>Servicio de circuito turístico</t>
        </is>
      </c>
      <c r="H222" t="inlineStr">
        <is>
          <t>350204900</t>
        </is>
      </c>
      <c r="I222" t="inlineStr">
        <is>
          <t>Recorridos realizados</t>
        </is>
      </c>
      <c r="J222" t="inlineStr">
        <is>
          <t>2024257580017</t>
        </is>
      </c>
      <c r="K222" t="inlineStr">
        <is>
          <t>Si</t>
        </is>
      </c>
      <c r="L222" t="inlineStr">
        <is>
          <t>Número</t>
        </is>
      </c>
      <c r="M222">
        <v>6</v>
      </c>
      <c r="N222">
        <v>2</v>
      </c>
      <c r="O222">
        <v>4</v>
      </c>
      <c r="P222">
        <v>6</v>
      </c>
      <c r="Q222">
        <v>6</v>
      </c>
      <c r="R222" t="inlineStr">
        <is>
          <t xml:space="preserve"> </t>
        </is>
      </c>
      <c r="S222" s="103" t="inlineStr">
        <is>
          <t xml:space="preserve"> </t>
        </is>
      </c>
      <c r="T222" t="inlineStr">
        <is>
          <t>No se encontró ejecución en PIIP</t>
        </is>
      </c>
      <c r="U222" t="inlineStr">
        <is>
          <t xml:space="preserve"> </t>
        </is>
      </c>
      <c r="V222" s="104" t="inlineStr">
        <is>
          <t xml:space="preserve"> </t>
        </is>
      </c>
      <c r="W222" t="inlineStr">
        <is>
          <t>No se encontró ejecución en PIIP</t>
        </is>
      </c>
    </row>
    <row r="223">
      <c r="A223" t="inlineStr">
        <is>
          <t>IP-261</t>
        </is>
      </c>
      <c r="B223" t="inlineStr">
        <is>
          <t>35</t>
        </is>
      </c>
      <c r="C223" t="inlineStr">
        <is>
          <t>Comercio, industria y turismo</t>
        </is>
      </c>
      <c r="D223" t="inlineStr">
        <is>
          <t>3502</t>
        </is>
      </c>
      <c r="E223" t="inlineStr">
        <is>
          <t>Productividad y competitividad de las empresas colombianas</t>
        </is>
      </c>
      <c r="F223" t="inlineStr">
        <is>
          <t>3502045</t>
        </is>
      </c>
      <c r="G223" t="inlineStr">
        <is>
          <t>Servicio de educación informal en asuntos turísticos</t>
        </is>
      </c>
      <c r="H223" t="inlineStr">
        <is>
          <t>350204501</t>
        </is>
      </c>
      <c r="I223" t="inlineStr">
        <is>
          <t>Capacitaciones realizadas</t>
        </is>
      </c>
      <c r="J223" t="inlineStr">
        <is>
          <t>2024257580017</t>
        </is>
      </c>
      <c r="K223" t="inlineStr">
        <is>
          <t>Si</t>
        </is>
      </c>
      <c r="L223" t="inlineStr">
        <is>
          <t>Número</t>
        </is>
      </c>
      <c r="M223">
        <v>1</v>
      </c>
      <c r="N223">
        <v>0</v>
      </c>
      <c r="O223">
        <v>1</v>
      </c>
      <c r="P223">
        <v>1</v>
      </c>
      <c r="Q223">
        <v>1</v>
      </c>
      <c r="R223" t="inlineStr">
        <is>
          <t xml:space="preserve"> </t>
        </is>
      </c>
      <c r="S223" s="103" t="inlineStr">
        <is>
          <t xml:space="preserve"> </t>
        </is>
      </c>
      <c r="T223" t="inlineStr">
        <is>
          <t>No se encontró ejecución en PIIP</t>
        </is>
      </c>
      <c r="U223" t="inlineStr">
        <is>
          <t xml:space="preserve"> </t>
        </is>
      </c>
      <c r="V223" s="104" t="inlineStr">
        <is>
          <t xml:space="preserve"> </t>
        </is>
      </c>
      <c r="W223" t="inlineStr">
        <is>
          <t>No se encontró ejecución en PIIP</t>
        </is>
      </c>
    </row>
    <row r="224">
      <c r="A224" t="inlineStr">
        <is>
          <t>IP-262</t>
        </is>
      </c>
      <c r="B224" t="inlineStr">
        <is>
          <t>35</t>
        </is>
      </c>
      <c r="C224" t="inlineStr">
        <is>
          <t>Comercio, industria y turismo</t>
        </is>
      </c>
      <c r="D224" t="inlineStr">
        <is>
          <t>3502</t>
        </is>
      </c>
      <c r="E224" t="inlineStr">
        <is>
          <t>Productividad y competitividad de las empresas colombianas</t>
        </is>
      </c>
      <c r="F224" t="inlineStr">
        <is>
          <t>3502047</t>
        </is>
      </c>
      <c r="G224" t="inlineStr">
        <is>
          <t>Documentos de planeación</t>
        </is>
      </c>
      <c r="H224" t="inlineStr">
        <is>
          <t>350204700</t>
        </is>
      </c>
      <c r="I224" t="inlineStr">
        <is>
          <t>Documentos de planeación elaborados</t>
        </is>
      </c>
      <c r="J224" t="inlineStr">
        <is>
          <t>2024257580017</t>
        </is>
      </c>
      <c r="K224" t="inlineStr">
        <is>
          <t>Si</t>
        </is>
      </c>
      <c r="L224" t="inlineStr">
        <is>
          <t>Número</t>
        </is>
      </c>
      <c r="M224">
        <v>1</v>
      </c>
      <c r="N224">
        <v>1</v>
      </c>
      <c r="O224">
        <v>1</v>
      </c>
      <c r="P224">
        <v>1</v>
      </c>
      <c r="Q224">
        <v>1</v>
      </c>
      <c r="R224" t="inlineStr">
        <is>
          <t xml:space="preserve"> </t>
        </is>
      </c>
      <c r="S224" s="103" t="inlineStr">
        <is>
          <t xml:space="preserve"> </t>
        </is>
      </c>
      <c r="T224" t="inlineStr">
        <is>
          <t>No se encontró ejecución en PIIP</t>
        </is>
      </c>
      <c r="U224" t="inlineStr">
        <is>
          <t xml:space="preserve"> </t>
        </is>
      </c>
      <c r="V224" s="104" t="inlineStr">
        <is>
          <t xml:space="preserve"> </t>
        </is>
      </c>
      <c r="W224" t="inlineStr">
        <is>
          <t>No se encontró ejecución en PIIP</t>
        </is>
      </c>
    </row>
    <row r="225">
      <c r="A225" t="inlineStr">
        <is>
          <t>IP-263</t>
        </is>
      </c>
      <c r="B225" t="inlineStr">
        <is>
          <t>35</t>
        </is>
      </c>
      <c r="C225" t="inlineStr">
        <is>
          <t>Comercio, industria y turismo</t>
        </is>
      </c>
      <c r="D225" t="inlineStr">
        <is>
          <t>3502</t>
        </is>
      </c>
      <c r="E225" t="inlineStr">
        <is>
          <t>Productividad y competitividad de las empresas colombianas</t>
        </is>
      </c>
      <c r="F225" t="inlineStr">
        <is>
          <t>3502110</t>
        </is>
      </c>
      <c r="G225" t="inlineStr">
        <is>
          <t>Estudios de preinversión</t>
        </is>
      </c>
      <c r="H225" t="inlineStr">
        <is>
          <t>350211000</t>
        </is>
      </c>
      <c r="I225" t="inlineStr">
        <is>
          <t>Estudios de preinversión realizados</t>
        </is>
      </c>
      <c r="J225" t="inlineStr">
        <is>
          <t>2024257580017</t>
        </is>
      </c>
      <c r="K225" t="inlineStr">
        <is>
          <t>Si</t>
        </is>
      </c>
      <c r="L225" t="inlineStr">
        <is>
          <t>Número</t>
        </is>
      </c>
      <c r="M225">
        <v>40</v>
      </c>
      <c r="N225">
        <v>10</v>
      </c>
      <c r="O225">
        <v>20</v>
      </c>
      <c r="P225">
        <v>30</v>
      </c>
      <c r="Q225">
        <v>40</v>
      </c>
      <c r="R225" t="inlineStr">
        <is>
          <t xml:space="preserve"> </t>
        </is>
      </c>
      <c r="S225" s="103" t="inlineStr">
        <is>
          <t xml:space="preserve"> </t>
        </is>
      </c>
      <c r="T225" t="inlineStr">
        <is>
          <t>No se encontró ejecución en PIIP</t>
        </is>
      </c>
      <c r="U225" t="inlineStr">
        <is>
          <t xml:space="preserve"> </t>
        </is>
      </c>
      <c r="V225" s="104" t="inlineStr">
        <is>
          <t xml:space="preserve"> </t>
        </is>
      </c>
      <c r="W225" t="inlineStr">
        <is>
          <t>No se encontró ejecución en PIIP</t>
        </is>
      </c>
    </row>
    <row r="226">
      <c r="A226" t="inlineStr">
        <is>
          <t>IP-264</t>
        </is>
      </c>
      <c r="B226" t="inlineStr">
        <is>
          <t>39</t>
        </is>
      </c>
      <c r="C226" t="inlineStr">
        <is>
          <t xml:space="preserve">Ciencia, tecnología e innovación
</t>
        </is>
      </c>
      <c r="D226" t="inlineStr">
        <is>
          <t>3905</t>
        </is>
      </c>
      <c r="E226" t="inlineStr">
        <is>
          <t>Fortalecimiento de la gobernanza e institucionalidad multinivel del sector de CTeI</t>
        </is>
      </c>
      <c r="F226" t="inlineStr">
        <is>
          <t>3905003</t>
        </is>
      </c>
      <c r="G226" t="inlineStr">
        <is>
          <t>Documentos de evaluación</t>
        </is>
      </c>
      <c r="H226" t="inlineStr">
        <is>
          <t>390500300</t>
        </is>
      </c>
      <c r="I226" t="inlineStr">
        <is>
          <t>Documentos de evaluación Elaborados</t>
        </is>
      </c>
      <c r="J226" t="inlineStr">
        <is>
          <t>2024257580008</t>
        </is>
      </c>
      <c r="K226" t="inlineStr">
        <is>
          <t>Si</t>
        </is>
      </c>
      <c r="L226" t="inlineStr">
        <is>
          <t>Número</t>
        </is>
      </c>
      <c r="M226">
        <v>50</v>
      </c>
      <c r="N226">
        <v>12.5</v>
      </c>
      <c r="O226">
        <v>25</v>
      </c>
      <c r="P226">
        <v>37.5</v>
      </c>
      <c r="Q226">
        <v>50</v>
      </c>
      <c r="R226" t="inlineStr">
        <is>
          <t xml:space="preserve"> </t>
        </is>
      </c>
      <c r="S226" s="103" t="inlineStr">
        <is>
          <t xml:space="preserve"> </t>
        </is>
      </c>
      <c r="T226" t="inlineStr">
        <is>
          <t>No se encontró ejecución en PIIP</t>
        </is>
      </c>
      <c r="U226" t="inlineStr">
        <is>
          <t xml:space="preserve"> </t>
        </is>
      </c>
      <c r="V226" s="104" t="inlineStr">
        <is>
          <t xml:space="preserve"> </t>
        </is>
      </c>
      <c r="W226" t="inlineStr">
        <is>
          <t>No se encontró ejecución en PIIP</t>
        </is>
      </c>
    </row>
    <row r="227">
      <c r="A227" t="inlineStr">
        <is>
          <t>IP-265</t>
        </is>
      </c>
      <c r="B227" t="inlineStr">
        <is>
          <t>39</t>
        </is>
      </c>
      <c r="C227" t="inlineStr">
        <is>
          <t xml:space="preserve">Ciencia, tecnología e innovación
</t>
        </is>
      </c>
      <c r="D227" t="inlineStr">
        <is>
          <t>3905</t>
        </is>
      </c>
      <c r="E227" t="inlineStr">
        <is>
          <t>Fortalecimiento de la gobernanza e institucionalidad multinivel del sector de CTeI</t>
        </is>
      </c>
      <c r="F227" t="inlineStr">
        <is>
          <t>3905007</t>
        </is>
      </c>
      <c r="G227" t="inlineStr">
        <is>
          <t>Servicio de cooperación internacional para la CTeI</t>
        </is>
      </c>
      <c r="H227" t="inlineStr">
        <is>
          <t>390500700</t>
        </is>
      </c>
      <c r="I227" t="inlineStr">
        <is>
          <t>Acuerdos de cooperación suscritos</t>
        </is>
      </c>
      <c r="J227" t="inlineStr">
        <is>
          <t>2024257580008</t>
        </is>
      </c>
      <c r="K227" t="inlineStr">
        <is>
          <t>Si</t>
        </is>
      </c>
      <c r="L227" t="inlineStr">
        <is>
          <t>Número</t>
        </is>
      </c>
      <c r="M227">
        <v>1</v>
      </c>
      <c r="N227">
        <v>0.5</v>
      </c>
      <c r="O227">
        <v>1</v>
      </c>
      <c r="P227">
        <v>1</v>
      </c>
      <c r="Q227">
        <v>1</v>
      </c>
      <c r="R227" t="inlineStr">
        <is>
          <t xml:space="preserve"> </t>
        </is>
      </c>
      <c r="S227" s="103" t="inlineStr">
        <is>
          <t xml:space="preserve"> </t>
        </is>
      </c>
      <c r="T227" t="inlineStr">
        <is>
          <t>No se encontró ejecución en PIIP</t>
        </is>
      </c>
      <c r="U227" t="inlineStr">
        <is>
          <t xml:space="preserve"> </t>
        </is>
      </c>
      <c r="V227" s="104" t="inlineStr">
        <is>
          <t xml:space="preserve"> </t>
        </is>
      </c>
      <c r="W227" t="inlineStr">
        <is>
          <t>No se encontró ejecución en PIIP</t>
        </is>
      </c>
    </row>
    <row r="228">
      <c r="A228" t="inlineStr">
        <is>
          <t>IP-266, IP-268</t>
        </is>
      </c>
      <c r="B228" t="inlineStr">
        <is>
          <t>39</t>
        </is>
      </c>
      <c r="C228" t="inlineStr">
        <is>
          <t xml:space="preserve">Ciencia, tecnología e innovación
</t>
        </is>
      </c>
      <c r="D228" t="inlineStr">
        <is>
          <t>3906</t>
        </is>
      </c>
      <c r="E228" t="inlineStr">
        <is>
          <t>Fomento a vocaciones y formación, generación, uso y apropiación social del conocimiento de la ciencia, tecnología e innovación</t>
        </is>
      </c>
      <c r="F228" t="inlineStr">
        <is>
          <t>3906011</t>
        </is>
      </c>
      <c r="G228" t="inlineStr">
        <is>
          <t>Servicio de apropiación social del conocimiento</t>
        </is>
      </c>
      <c r="H228" t="inlineStr">
        <is>
          <t>390601100</t>
        </is>
      </c>
      <c r="I228" t="inlineStr">
        <is>
          <t>Estrategias de apropiación realizadas</t>
        </is>
      </c>
      <c r="J228" t="inlineStr">
        <is>
          <t>2024257580008</t>
        </is>
      </c>
      <c r="K228" t="inlineStr">
        <is>
          <t>Si</t>
        </is>
      </c>
      <c r="L228" t="inlineStr">
        <is>
          <t>Número</t>
        </is>
      </c>
      <c r="M228">
        <v>3</v>
      </c>
      <c r="N228">
        <v>1</v>
      </c>
      <c r="O228">
        <v>3</v>
      </c>
      <c r="P228">
        <v>3</v>
      </c>
      <c r="Q228">
        <v>3</v>
      </c>
      <c r="R228" t="inlineStr">
        <is>
          <t xml:space="preserve"> </t>
        </is>
      </c>
      <c r="S228" s="103" t="inlineStr">
        <is>
          <t xml:space="preserve"> </t>
        </is>
      </c>
      <c r="T228" t="inlineStr">
        <is>
          <t>No se encontró ejecución en PIIP</t>
        </is>
      </c>
      <c r="U228" t="inlineStr">
        <is>
          <t xml:space="preserve"> </t>
        </is>
      </c>
      <c r="V228" s="104" t="inlineStr">
        <is>
          <t xml:space="preserve"> </t>
        </is>
      </c>
      <c r="W228" t="inlineStr">
        <is>
          <t>No se encontró ejecución en PIIP</t>
        </is>
      </c>
    </row>
    <row r="229">
      <c r="A229" t="inlineStr">
        <is>
          <t>IP-267</t>
        </is>
      </c>
      <c r="B229" t="inlineStr">
        <is>
          <t>39</t>
        </is>
      </c>
      <c r="C229" t="inlineStr">
        <is>
          <t xml:space="preserve">Ciencia, tecnología e innovación
</t>
        </is>
      </c>
      <c r="D229" t="inlineStr">
        <is>
          <t>3906</t>
        </is>
      </c>
      <c r="E229" t="inlineStr">
        <is>
          <t>Fomento a vocaciones y formación, generación, uso y apropiación social del conocimiento de la ciencia, tecnología e innovación</t>
        </is>
      </c>
      <c r="F229" t="inlineStr">
        <is>
          <t>3906017</t>
        </is>
      </c>
      <c r="G229" t="inlineStr">
        <is>
          <t>Servicios de apoyo para entrenamiento especializado en  I+D+i</t>
        </is>
      </c>
      <c r="H229" t="inlineStr">
        <is>
          <t>390601700</t>
        </is>
      </c>
      <c r="I229" t="inlineStr">
        <is>
          <t>Cursos realizados</t>
        </is>
      </c>
      <c r="J229" t="inlineStr">
        <is>
          <t>2024257580008</t>
        </is>
      </c>
      <c r="K229" t="inlineStr">
        <is>
          <t>Si</t>
        </is>
      </c>
      <c r="L229" t="inlineStr">
        <is>
          <t>Número</t>
        </is>
      </c>
      <c r="M229">
        <v>1</v>
      </c>
      <c r="N229">
        <v>1</v>
      </c>
      <c r="O229">
        <v>1</v>
      </c>
      <c r="P229">
        <v>1</v>
      </c>
      <c r="Q229">
        <v>1</v>
      </c>
      <c r="R229" t="inlineStr">
        <is>
          <t xml:space="preserve"> </t>
        </is>
      </c>
      <c r="S229" s="103" t="inlineStr">
        <is>
          <t xml:space="preserve"> </t>
        </is>
      </c>
      <c r="T229" t="inlineStr">
        <is>
          <t>No se encontró ejecución en PIIP</t>
        </is>
      </c>
      <c r="U229" t="inlineStr">
        <is>
          <t xml:space="preserve"> </t>
        </is>
      </c>
      <c r="V229" s="104" t="inlineStr">
        <is>
          <t xml:space="preserve"> </t>
        </is>
      </c>
      <c r="W229" t="inlineStr">
        <is>
          <t>No se encontró ejecución en PIIP</t>
        </is>
      </c>
    </row>
    <row r="230">
      <c r="A230" t="inlineStr">
        <is>
          <t>IP-269</t>
        </is>
      </c>
      <c r="B230" t="inlineStr">
        <is>
          <t>39</t>
        </is>
      </c>
      <c r="C230" t="inlineStr">
        <is>
          <t xml:space="preserve">Ciencia, tecnología e innovación
</t>
        </is>
      </c>
      <c r="D230" t="inlineStr">
        <is>
          <t>3906</t>
        </is>
      </c>
      <c r="E230" t="inlineStr">
        <is>
          <t>Fomento a vocaciones y formación, generación, uso y apropiación social del conocimiento de la ciencia, tecnología e innovación</t>
        </is>
      </c>
      <c r="F230" t="inlineStr">
        <is>
          <t>3906003</t>
        </is>
      </c>
      <c r="G230" t="inlineStr">
        <is>
          <t>Servicio de apoyo financiero para la formación de nivel maestría</t>
        </is>
      </c>
      <c r="H230" t="inlineStr">
        <is>
          <t>390600300</t>
        </is>
      </c>
      <c r="I230" t="inlineStr">
        <is>
          <t>Becas de maestría otorgadas</t>
        </is>
      </c>
      <c r="J230" t="inlineStr">
        <is>
          <t>2024257580008</t>
        </is>
      </c>
      <c r="K230" t="inlineStr">
        <is>
          <t>Si</t>
        </is>
      </c>
      <c r="L230" t="inlineStr">
        <is>
          <t>Número</t>
        </is>
      </c>
      <c r="M230">
        <v>9</v>
      </c>
      <c r="N230">
        <v>3</v>
      </c>
      <c r="O230">
        <v>3</v>
      </c>
      <c r="P230">
        <v>3</v>
      </c>
      <c r="Q230">
        <v>3</v>
      </c>
      <c r="R230" t="inlineStr">
        <is>
          <t xml:space="preserve"> </t>
        </is>
      </c>
      <c r="S230" s="103" t="inlineStr">
        <is>
          <t xml:space="preserve"> </t>
        </is>
      </c>
      <c r="T230" t="inlineStr">
        <is>
          <t>No se encontró ejecución en PIIP</t>
        </is>
      </c>
      <c r="U230" t="inlineStr">
        <is>
          <t xml:space="preserve"> </t>
        </is>
      </c>
      <c r="V230" s="104" t="inlineStr">
        <is>
          <t xml:space="preserve"> </t>
        </is>
      </c>
      <c r="W230" t="inlineStr">
        <is>
          <t>No se encontró ejecución en PIIP</t>
        </is>
      </c>
    </row>
    <row r="231">
      <c r="A231" t="inlineStr">
        <is>
          <t>IP-270</t>
        </is>
      </c>
      <c r="B231" t="inlineStr">
        <is>
          <t>39</t>
        </is>
      </c>
      <c r="C231" t="inlineStr">
        <is>
          <t xml:space="preserve">Ciencia, tecnología e innovación
</t>
        </is>
      </c>
      <c r="D231" t="inlineStr">
        <is>
          <t>3906</t>
        </is>
      </c>
      <c r="E231" t="inlineStr">
        <is>
          <t>Fomento a vocaciones y formación, generación, uso y apropiación social del conocimiento de la ciencia, tecnología e innovación</t>
        </is>
      </c>
      <c r="F231" t="inlineStr">
        <is>
          <t>3906013</t>
        </is>
      </c>
      <c r="G231" t="inlineStr">
        <is>
          <t>Servicio de apoyo para la generación de prototipos de materiales, productos o dispositivos</t>
        </is>
      </c>
      <c r="H231" t="inlineStr">
        <is>
          <t>390601300</t>
        </is>
      </c>
      <c r="I231" t="inlineStr">
        <is>
          <t>Prototipos desarrollados</t>
        </is>
      </c>
      <c r="J231" t="inlineStr">
        <is>
          <t>2024257580008</t>
        </is>
      </c>
      <c r="K231" t="inlineStr">
        <is>
          <t>Si</t>
        </is>
      </c>
      <c r="L231" t="inlineStr">
        <is>
          <t>Número</t>
        </is>
      </c>
      <c r="M231">
        <v>1</v>
      </c>
      <c r="N231">
        <v>1</v>
      </c>
      <c r="O231">
        <v>1</v>
      </c>
      <c r="P231">
        <v>1</v>
      </c>
      <c r="Q231">
        <v>1</v>
      </c>
      <c r="R231" t="inlineStr">
        <is>
          <t xml:space="preserve"> </t>
        </is>
      </c>
      <c r="S231" s="103" t="inlineStr">
        <is>
          <t xml:space="preserve"> </t>
        </is>
      </c>
      <c r="T231" t="inlineStr">
        <is>
          <t>No se encontró ejecución en PIIP</t>
        </is>
      </c>
      <c r="U231" t="inlineStr">
        <is>
          <t xml:space="preserve"> </t>
        </is>
      </c>
      <c r="V231" s="104" t="inlineStr">
        <is>
          <t xml:space="preserve"> </t>
        </is>
      </c>
      <c r="W231" t="inlineStr">
        <is>
          <t>No se encontró ejecución en PIIP</t>
        </is>
      </c>
    </row>
    <row r="232">
      <c r="A232" t="inlineStr">
        <is>
          <t>IP-271</t>
        </is>
      </c>
      <c r="B232" t="inlineStr">
        <is>
          <t>39</t>
        </is>
      </c>
      <c r="C232" t="inlineStr">
        <is>
          <t xml:space="preserve">Ciencia, tecnología e innovación
</t>
        </is>
      </c>
      <c r="D232" t="inlineStr">
        <is>
          <t>3906</t>
        </is>
      </c>
      <c r="E232" t="inlineStr">
        <is>
          <t>Fomento a vocaciones y formación, generación, uso y apropiación social del conocimiento de la ciencia, tecnología e innovación</t>
        </is>
      </c>
      <c r="F232" t="inlineStr">
        <is>
          <t>3906020</t>
        </is>
      </c>
      <c r="G232" t="inlineStr">
        <is>
          <t xml:space="preserve">Infraestructura para la I+D+i dotada </t>
        </is>
      </c>
      <c r="H232" t="inlineStr">
        <is>
          <t>390602000</t>
        </is>
      </c>
      <c r="I232" t="inlineStr">
        <is>
          <t>Centros o laboratorios dotados</t>
        </is>
      </c>
      <c r="J232" t="inlineStr">
        <is>
          <t>2024257580008</t>
        </is>
      </c>
      <c r="K232" t="inlineStr">
        <is>
          <t>Si</t>
        </is>
      </c>
      <c r="L232" t="inlineStr">
        <is>
          <t>Número</t>
        </is>
      </c>
      <c r="M232">
        <v>1</v>
      </c>
      <c r="N232">
        <v>0.5</v>
      </c>
      <c r="O232">
        <v>1</v>
      </c>
      <c r="P232">
        <v>1</v>
      </c>
      <c r="Q232">
        <v>1</v>
      </c>
      <c r="R232" t="inlineStr">
        <is>
          <t xml:space="preserve"> </t>
        </is>
      </c>
      <c r="S232" s="103" t="inlineStr">
        <is>
          <t xml:space="preserve"> </t>
        </is>
      </c>
      <c r="T232" t="inlineStr">
        <is>
          <t>No se encontró ejecución en PIIP</t>
        </is>
      </c>
      <c r="U232" t="inlineStr">
        <is>
          <t xml:space="preserve"> </t>
        </is>
      </c>
      <c r="V232" s="104" t="inlineStr">
        <is>
          <t xml:space="preserve"> </t>
        </is>
      </c>
      <c r="W232" t="inlineStr">
        <is>
          <t>No se encontró ejecución en PIIP</t>
        </is>
      </c>
    </row>
    <row r="233">
      <c r="A233" t="inlineStr">
        <is>
          <t>IP-272</t>
        </is>
      </c>
      <c r="B233" t="inlineStr">
        <is>
          <t>39</t>
        </is>
      </c>
      <c r="C233" t="inlineStr">
        <is>
          <t xml:space="preserve">Ciencia, tecnología e innovación
</t>
        </is>
      </c>
      <c r="D233" t="inlineStr">
        <is>
          <t>3906</t>
        </is>
      </c>
      <c r="E233" t="inlineStr">
        <is>
          <t>Fomento a vocaciones y formación, generación, uso y apropiación social del conocimiento de la ciencia, tecnología e innovación</t>
        </is>
      </c>
      <c r="F233" t="inlineStr">
        <is>
          <t>3906009</t>
        </is>
      </c>
      <c r="G233" t="inlineStr">
        <is>
          <t>Servicios de apoyo financiero para programas y proyectos de CTI que promueven la innovación, la transferencia tecnológica y el emprendimiento</t>
        </is>
      </c>
      <c r="H233" t="inlineStr">
        <is>
          <t>390600900</t>
        </is>
      </c>
      <c r="I233" t="inlineStr">
        <is>
          <t>Programas y proyectos financiados</t>
        </is>
      </c>
      <c r="J233" t="inlineStr">
        <is>
          <t>2024257580008</t>
        </is>
      </c>
      <c r="K233" t="inlineStr">
        <is>
          <t>No</t>
        </is>
      </c>
      <c r="L233" t="inlineStr">
        <is>
          <t>Número</t>
        </is>
      </c>
      <c r="M233">
        <v>2</v>
      </c>
      <c r="N233">
        <v>0</v>
      </c>
      <c r="O233">
        <v>1</v>
      </c>
      <c r="P233">
        <v>0</v>
      </c>
      <c r="Q233">
        <v>1</v>
      </c>
      <c r="R233" t="inlineStr">
        <is>
          <t xml:space="preserve"> </t>
        </is>
      </c>
      <c r="S233" s="103" t="inlineStr">
        <is>
          <t xml:space="preserve"> </t>
        </is>
      </c>
      <c r="T233" t="inlineStr">
        <is>
          <t>No se encontró ejecución en PIIP</t>
        </is>
      </c>
      <c r="U233" t="inlineStr">
        <is>
          <t xml:space="preserve"> </t>
        </is>
      </c>
      <c r="V233" s="104" t="inlineStr">
        <is>
          <t xml:space="preserve"> </t>
        </is>
      </c>
      <c r="W233" t="inlineStr">
        <is>
          <t>No se encontró ejecución en PIIP</t>
        </is>
      </c>
    </row>
    <row r="234">
      <c r="A234" t="inlineStr">
        <is>
          <t>IP-273</t>
        </is>
      </c>
      <c r="B234" t="inlineStr">
        <is>
          <t>17</t>
        </is>
      </c>
      <c r="C234" t="inlineStr">
        <is>
          <t xml:space="preserve">Agricultura y desarrollo rural
</t>
        </is>
      </c>
      <c r="D234" t="inlineStr">
        <is>
          <t>1702</t>
        </is>
      </c>
      <c r="E234" t="inlineStr">
        <is>
          <t>Inclusión productiva de pequeños productores rurales</t>
        </is>
      </c>
      <c r="F234" t="inlineStr">
        <is>
          <t>1702017</t>
        </is>
      </c>
      <c r="G234" t="inlineStr">
        <is>
          <t>Servicio de apoyo para el fomento organizativo de la Agricultura Campesina, Familiar y Comunitaria</t>
        </is>
      </c>
      <c r="H234" t="inlineStr">
        <is>
          <t>170201700</t>
        </is>
      </c>
      <c r="I234" t="inlineStr">
        <is>
          <t>Productores agropecuarios apoyados</t>
        </is>
      </c>
      <c r="J234" t="inlineStr">
        <is>
          <t>2024257580024</t>
        </is>
      </c>
      <c r="K234" t="inlineStr">
        <is>
          <t>No</t>
        </is>
      </c>
      <c r="L234" t="inlineStr">
        <is>
          <t>Número</t>
        </is>
      </c>
      <c r="M234">
        <v>160</v>
      </c>
      <c r="N234">
        <v>40</v>
      </c>
      <c r="O234">
        <v>40</v>
      </c>
      <c r="P234">
        <v>40</v>
      </c>
      <c r="Q234">
        <v>40</v>
      </c>
      <c r="R234">
        <v>1300</v>
      </c>
      <c r="S234" s="103">
        <v>32.5</v>
      </c>
      <c r="T234" t="inlineStr">
        <is>
          <t>Hubo ejecución por encima de lo programado en SisPT</t>
        </is>
      </c>
      <c r="U234">
        <v>1366</v>
      </c>
      <c r="V234" s="104">
        <v>34.15</v>
      </c>
      <c r="W234" t="inlineStr">
        <is>
          <t>Hubo ejecución por encima de lo programado en SisPT</t>
        </is>
      </c>
    </row>
    <row r="235">
      <c r="A235" t="inlineStr">
        <is>
          <t>IP-274</t>
        </is>
      </c>
      <c r="B235" t="inlineStr">
        <is>
          <t>17</t>
        </is>
      </c>
      <c r="C235" t="inlineStr">
        <is>
          <t xml:space="preserve">Agricultura y desarrollo rural
</t>
        </is>
      </c>
      <c r="D235" t="inlineStr">
        <is>
          <t>1702</t>
        </is>
      </c>
      <c r="E235" t="inlineStr">
        <is>
          <t>Inclusión productiva de pequeños productores rurales</t>
        </is>
      </c>
      <c r="F235" t="inlineStr">
        <is>
          <t>1702018</t>
        </is>
      </c>
      <c r="G235" t="inlineStr">
        <is>
          <t>Documentos de lineamientos técnicos</t>
        </is>
      </c>
      <c r="H235" t="inlineStr">
        <is>
          <t>170201800</t>
        </is>
      </c>
      <c r="I235" t="inlineStr">
        <is>
          <t>Documentos de lineamientos técnicos elaborados</t>
        </is>
      </c>
      <c r="J235" t="inlineStr">
        <is>
          <t>2024257580024</t>
        </is>
      </c>
      <c r="K235" t="inlineStr">
        <is>
          <t>Si</t>
        </is>
      </c>
      <c r="L235" t="inlineStr">
        <is>
          <t>Número</t>
        </is>
      </c>
      <c r="M235">
        <v>8</v>
      </c>
      <c r="N235">
        <v>8</v>
      </c>
      <c r="O235">
        <v>8</v>
      </c>
      <c r="P235">
        <v>8</v>
      </c>
      <c r="Q235">
        <v>8</v>
      </c>
      <c r="R235" t="inlineStr">
        <is>
          <t xml:space="preserve"> </t>
        </is>
      </c>
      <c r="S235" s="103" t="inlineStr">
        <is>
          <t xml:space="preserve"> </t>
        </is>
      </c>
      <c r="T235" t="inlineStr">
        <is>
          <t>No se encontró ejecución en PIIP</t>
        </is>
      </c>
      <c r="U235" t="inlineStr">
        <is>
          <t xml:space="preserve"> </t>
        </is>
      </c>
      <c r="V235" s="104" t="inlineStr">
        <is>
          <t xml:space="preserve"> </t>
        </is>
      </c>
      <c r="W235" t="inlineStr">
        <is>
          <t>No se encontró ejecución en PIIP</t>
        </is>
      </c>
    </row>
    <row r="236">
      <c r="A236" t="inlineStr">
        <is>
          <t>IP-275</t>
        </is>
      </c>
      <c r="B236" t="inlineStr">
        <is>
          <t>17</t>
        </is>
      </c>
      <c r="C236" t="inlineStr">
        <is>
          <t xml:space="preserve">Agricultura y desarrollo rural
</t>
        </is>
      </c>
      <c r="D236" t="inlineStr">
        <is>
          <t>1702</t>
        </is>
      </c>
      <c r="E236" t="inlineStr">
        <is>
          <t>Inclusión productiva de pequeños productores rurales</t>
        </is>
      </c>
      <c r="F236" t="inlineStr">
        <is>
          <t>1702014</t>
        </is>
      </c>
      <c r="G236" t="inlineStr">
        <is>
          <t>Servicio de apoyo para el acceso a maquinaria y equipos</t>
        </is>
      </c>
      <c r="H236" t="inlineStr">
        <is>
          <t>170201400</t>
        </is>
      </c>
      <c r="I236" t="inlineStr">
        <is>
          <t>Productores beneficiados con acceso a maquinaria y equipo</t>
        </is>
      </c>
      <c r="J236" t="inlineStr">
        <is>
          <t>2024257580024</t>
        </is>
      </c>
      <c r="K236" t="inlineStr">
        <is>
          <t>No</t>
        </is>
      </c>
      <c r="L236" t="inlineStr">
        <is>
          <t>Número</t>
        </is>
      </c>
      <c r="M236">
        <v>10000</v>
      </c>
      <c r="N236">
        <v>2500</v>
      </c>
      <c r="O236">
        <v>2500</v>
      </c>
      <c r="P236">
        <v>2500</v>
      </c>
      <c r="Q236">
        <v>2500</v>
      </c>
      <c r="R236" t="inlineStr">
        <is>
          <t xml:space="preserve"> </t>
        </is>
      </c>
      <c r="S236" s="103" t="inlineStr">
        <is>
          <t xml:space="preserve"> </t>
        </is>
      </c>
      <c r="T236" t="inlineStr">
        <is>
          <t>No se encontró ejecución en PIIP</t>
        </is>
      </c>
      <c r="U236" t="inlineStr">
        <is>
          <t xml:space="preserve"> </t>
        </is>
      </c>
      <c r="V236" s="104" t="inlineStr">
        <is>
          <t xml:space="preserve"> </t>
        </is>
      </c>
      <c r="W236" t="inlineStr">
        <is>
          <t>No se encontró ejecución en PIIP</t>
        </is>
      </c>
    </row>
    <row r="237">
      <c r="A237" t="inlineStr">
        <is>
          <t>IP-276</t>
        </is>
      </c>
      <c r="B237" t="inlineStr">
        <is>
          <t>17</t>
        </is>
      </c>
      <c r="C237" t="inlineStr">
        <is>
          <t xml:space="preserve">Agricultura y desarrollo rural
</t>
        </is>
      </c>
      <c r="D237" t="inlineStr">
        <is>
          <t>1702</t>
        </is>
      </c>
      <c r="E237" t="inlineStr">
        <is>
          <t>Inclusión productiva de pequeños productores rurales</t>
        </is>
      </c>
      <c r="F237" t="inlineStr">
        <is>
          <t>1702014</t>
        </is>
      </c>
      <c r="G237" t="inlineStr">
        <is>
          <t>Servicio de apoyo para el acceso a maquinaria y equipos</t>
        </is>
      </c>
      <c r="H237" t="inlineStr">
        <is>
          <t>170201400</t>
        </is>
      </c>
      <c r="I237" t="inlineStr">
        <is>
          <t>Productores beneficiados con acceso a maquinaria y equipo</t>
        </is>
      </c>
      <c r="J237" t="inlineStr">
        <is>
          <t>2024257580024</t>
        </is>
      </c>
      <c r="K237" t="inlineStr">
        <is>
          <t>Si</t>
        </is>
      </c>
      <c r="L237" t="inlineStr">
        <is>
          <t>Número</t>
        </is>
      </c>
      <c r="M237">
        <v>100</v>
      </c>
      <c r="N237">
        <v>100</v>
      </c>
      <c r="O237">
        <v>100</v>
      </c>
      <c r="P237">
        <v>100</v>
      </c>
      <c r="Q237">
        <v>100</v>
      </c>
      <c r="R237" t="inlineStr">
        <is>
          <t xml:space="preserve"> </t>
        </is>
      </c>
      <c r="S237" s="103" t="inlineStr">
        <is>
          <t xml:space="preserve"> </t>
        </is>
      </c>
      <c r="T237" t="inlineStr">
        <is>
          <t>No se encontró ejecución en PIIP</t>
        </is>
      </c>
      <c r="U237" t="inlineStr">
        <is>
          <t xml:space="preserve"> </t>
        </is>
      </c>
      <c r="V237" s="104" t="inlineStr">
        <is>
          <t xml:space="preserve"> </t>
        </is>
      </c>
      <c r="W237" t="inlineStr">
        <is>
          <t>No se encontró ejecución en PIIP</t>
        </is>
      </c>
    </row>
    <row r="238">
      <c r="A238" t="inlineStr">
        <is>
          <t>IP-277</t>
        </is>
      </c>
      <c r="B238" t="inlineStr">
        <is>
          <t>17</t>
        </is>
      </c>
      <c r="C238" t="inlineStr">
        <is>
          <t xml:space="preserve">Agricultura y desarrollo rural
</t>
        </is>
      </c>
      <c r="D238" t="inlineStr">
        <is>
          <t>1702</t>
        </is>
      </c>
      <c r="E238" t="inlineStr">
        <is>
          <t>Inclusión productiva de pequeños productores rurales</t>
        </is>
      </c>
      <c r="F238" t="inlineStr">
        <is>
          <t>1702035</t>
        </is>
      </c>
      <c r="G238" t="inlineStr">
        <is>
          <t>Servicio de educación informal en Buenas Prácticas Agrícolas y producción sostenible</t>
        </is>
      </c>
      <c r="H238" t="inlineStr">
        <is>
          <t>170203500</t>
        </is>
      </c>
      <c r="I238" t="inlineStr">
        <is>
          <t>Personas capacitadas</t>
        </is>
      </c>
      <c r="J238" t="inlineStr">
        <is>
          <t>2024257580024</t>
        </is>
      </c>
      <c r="K238" t="inlineStr">
        <is>
          <t>No</t>
        </is>
      </c>
      <c r="L238" t="inlineStr">
        <is>
          <t>Número</t>
        </is>
      </c>
      <c r="M238">
        <v>4</v>
      </c>
      <c r="N238">
        <v>1</v>
      </c>
      <c r="O238">
        <v>1</v>
      </c>
      <c r="P238">
        <v>1</v>
      </c>
      <c r="Q238">
        <v>1</v>
      </c>
      <c r="R238" t="inlineStr">
        <is>
          <t xml:space="preserve"> </t>
        </is>
      </c>
      <c r="S238" s="103" t="inlineStr">
        <is>
          <t xml:space="preserve"> </t>
        </is>
      </c>
      <c r="T238" t="inlineStr">
        <is>
          <t>No se encontró ejecución en PIIP</t>
        </is>
      </c>
      <c r="U238" t="inlineStr">
        <is>
          <t xml:space="preserve"> </t>
        </is>
      </c>
      <c r="V238" s="104" t="inlineStr">
        <is>
          <t xml:space="preserve"> </t>
        </is>
      </c>
      <c r="W238" t="inlineStr">
        <is>
          <t>No se encontró ejecución en PIIP</t>
        </is>
      </c>
    </row>
    <row r="239">
      <c r="A239" t="inlineStr">
        <is>
          <t>IP-278</t>
        </is>
      </c>
      <c r="B239" t="inlineStr">
        <is>
          <t>17</t>
        </is>
      </c>
      <c r="C239" t="inlineStr">
        <is>
          <t xml:space="preserve">Agricultura y desarrollo rural
</t>
        </is>
      </c>
      <c r="D239" t="inlineStr">
        <is>
          <t>1702</t>
        </is>
      </c>
      <c r="E239" t="inlineStr">
        <is>
          <t>Inclusión productiva de pequeños productores rurales</t>
        </is>
      </c>
      <c r="F239" t="inlineStr">
        <is>
          <t>1702038</t>
        </is>
      </c>
      <c r="G239" t="inlineStr">
        <is>
          <t>Servicio de apoyo a la comercialización</t>
        </is>
      </c>
      <c r="H239" t="inlineStr">
        <is>
          <t>170203803</t>
        </is>
      </c>
      <c r="I239" t="inlineStr">
        <is>
          <t>Productores apoyados para la participación en ferias comerciales</t>
        </is>
      </c>
      <c r="J239" t="inlineStr">
        <is>
          <t>2024257580024</t>
        </is>
      </c>
      <c r="K239" t="inlineStr">
        <is>
          <t>No</t>
        </is>
      </c>
      <c r="L239" t="inlineStr">
        <is>
          <t>Número</t>
        </is>
      </c>
      <c r="M239">
        <v>16</v>
      </c>
      <c r="N239">
        <v>4</v>
      </c>
      <c r="O239">
        <v>4</v>
      </c>
      <c r="P239">
        <v>4</v>
      </c>
      <c r="Q239">
        <v>4</v>
      </c>
      <c r="R239" t="inlineStr">
        <is>
          <t xml:space="preserve"> </t>
        </is>
      </c>
      <c r="S239" s="103" t="inlineStr">
        <is>
          <t xml:space="preserve"> </t>
        </is>
      </c>
      <c r="T239" t="inlineStr">
        <is>
          <t>No se encontró ejecución en PIIP</t>
        </is>
      </c>
      <c r="U239" t="inlineStr">
        <is>
          <t xml:space="preserve"> </t>
        </is>
      </c>
      <c r="V239" s="104" t="inlineStr">
        <is>
          <t xml:space="preserve"> </t>
        </is>
      </c>
      <c r="W239" t="inlineStr">
        <is>
          <t>No se encontró ejecución en PIIP</t>
        </is>
      </c>
    </row>
    <row r="240">
      <c r="A240" t="inlineStr">
        <is>
          <t>IP-279, IP-280</t>
        </is>
      </c>
      <c r="B240" t="inlineStr">
        <is>
          <t>17</t>
        </is>
      </c>
      <c r="C240" t="inlineStr">
        <is>
          <t xml:space="preserve">Agricultura y desarrollo rural
</t>
        </is>
      </c>
      <c r="D240" t="inlineStr">
        <is>
          <t>1707</t>
        </is>
      </c>
      <c r="E240" t="inlineStr">
        <is>
          <t>Sanidad agropecuaria e inocuidad agroalimentaria</t>
        </is>
      </c>
      <c r="F240" t="inlineStr">
        <is>
          <t>1707070</t>
        </is>
      </c>
      <c r="G240" t="inlineStr">
        <is>
          <t>Documentos de política</t>
        </is>
      </c>
      <c r="H240" t="inlineStr">
        <is>
          <t>170707000</t>
        </is>
      </c>
      <c r="I240" t="inlineStr">
        <is>
          <t>Documentos de política elaborados</t>
        </is>
      </c>
      <c r="J240" t="inlineStr">
        <is>
          <t>2024257580077</t>
        </is>
      </c>
      <c r="K240" t="inlineStr">
        <is>
          <t>Si</t>
        </is>
      </c>
      <c r="L240" t="inlineStr">
        <is>
          <t>Número</t>
        </is>
      </c>
      <c r="M240">
        <v>31</v>
      </c>
      <c r="N240">
        <v>2.5</v>
      </c>
      <c r="O240">
        <v>11</v>
      </c>
      <c r="P240">
        <v>21</v>
      </c>
      <c r="Q240">
        <v>31</v>
      </c>
      <c r="R240" t="inlineStr">
        <is>
          <t xml:space="preserve"> </t>
        </is>
      </c>
      <c r="S240" s="103" t="inlineStr">
        <is>
          <t xml:space="preserve"> </t>
        </is>
      </c>
      <c r="T240" t="inlineStr">
        <is>
          <t>No se encontró ejecución en PIIP</t>
        </is>
      </c>
      <c r="U240" t="inlineStr">
        <is>
          <t xml:space="preserve"> </t>
        </is>
      </c>
      <c r="V240" s="104" t="inlineStr">
        <is>
          <t xml:space="preserve"> </t>
        </is>
      </c>
      <c r="W240" t="inlineStr">
        <is>
          <t>No se encontró ejecución en PIIP</t>
        </is>
      </c>
    </row>
    <row r="241">
      <c r="A241" t="inlineStr">
        <is>
          <t>IP-281</t>
        </is>
      </c>
      <c r="B241" t="inlineStr">
        <is>
          <t>17</t>
        </is>
      </c>
      <c r="C241" t="inlineStr">
        <is>
          <t xml:space="preserve">Agricultura y desarrollo rural
</t>
        </is>
      </c>
      <c r="D241" t="inlineStr">
        <is>
          <t>1709</t>
        </is>
      </c>
      <c r="E241" t="inlineStr">
        <is>
          <t>Infraestructura productiva y comercialización</t>
        </is>
      </c>
      <c r="F241" t="inlineStr">
        <is>
          <t>1709022</t>
        </is>
      </c>
      <c r="G241" t="inlineStr">
        <is>
          <t>Centros logísticos agropecuarios construidos</t>
        </is>
      </c>
      <c r="H241" t="inlineStr">
        <is>
          <t>170902200</t>
        </is>
      </c>
      <c r="I241" t="inlineStr">
        <is>
          <t>Centros logísticos agropecuarios construidos</t>
        </is>
      </c>
      <c r="J241" t="inlineStr">
        <is>
          <t>2024257580052</t>
        </is>
      </c>
      <c r="K241" t="inlineStr">
        <is>
          <t>Si</t>
        </is>
      </c>
      <c r="L241" t="inlineStr">
        <is>
          <t>Número</t>
        </is>
      </c>
      <c r="M241">
        <v>1</v>
      </c>
      <c r="N241">
        <v>0</v>
      </c>
      <c r="O241">
        <v>1</v>
      </c>
      <c r="P241">
        <v>0</v>
      </c>
      <c r="Q241">
        <v>0</v>
      </c>
      <c r="R241" t="inlineStr">
        <is>
          <t xml:space="preserve"> </t>
        </is>
      </c>
      <c r="S241" s="103" t="inlineStr">
        <is>
          <t xml:space="preserve"> </t>
        </is>
      </c>
      <c r="T241" t="inlineStr">
        <is>
          <t>No se encontró ejecución en PIIP</t>
        </is>
      </c>
      <c r="U241" t="inlineStr">
        <is>
          <t xml:space="preserve"> </t>
        </is>
      </c>
      <c r="V241" s="104" t="inlineStr">
        <is>
          <t xml:space="preserve"> </t>
        </is>
      </c>
      <c r="W241" t="inlineStr">
        <is>
          <t>No se encontró ejecución en PIIP</t>
        </is>
      </c>
    </row>
    <row r="242">
      <c r="A242" t="inlineStr">
        <is>
          <t>IP-282</t>
        </is>
      </c>
      <c r="B242" t="inlineStr">
        <is>
          <t>17</t>
        </is>
      </c>
      <c r="C242" t="inlineStr">
        <is>
          <t xml:space="preserve">Agricultura y desarrollo rural
</t>
        </is>
      </c>
      <c r="D242" t="inlineStr">
        <is>
          <t>1709</t>
        </is>
      </c>
      <c r="E242" t="inlineStr">
        <is>
          <t>Infraestructura productiva y comercialización</t>
        </is>
      </c>
      <c r="F242" t="inlineStr">
        <is>
          <t>1709110</t>
        </is>
      </c>
      <c r="G242" t="inlineStr">
        <is>
          <t>Servicio de apoyo financiero para la reforestación comercial</t>
        </is>
      </c>
      <c r="H242" t="inlineStr">
        <is>
          <t>170911000</t>
        </is>
      </c>
      <c r="I242" t="inlineStr">
        <is>
          <t xml:space="preserve">Hectáreas reforestadas y con mantenimiento apoyadas </t>
        </is>
      </c>
      <c r="J242" t="inlineStr">
        <is>
          <t>2024257580052</t>
        </is>
      </c>
      <c r="K242" t="inlineStr">
        <is>
          <t>No</t>
        </is>
      </c>
      <c r="L242" t="inlineStr">
        <is>
          <t>Número</t>
        </is>
      </c>
      <c r="M242">
        <v>1300</v>
      </c>
      <c r="N242">
        <v>325</v>
      </c>
      <c r="O242">
        <v>325</v>
      </c>
      <c r="P242">
        <v>325</v>
      </c>
      <c r="Q242">
        <v>325</v>
      </c>
      <c r="R242" t="inlineStr">
        <is>
          <t xml:space="preserve"> </t>
        </is>
      </c>
      <c r="S242" s="103" t="inlineStr">
        <is>
          <t xml:space="preserve"> </t>
        </is>
      </c>
      <c r="T242" t="inlineStr">
        <is>
          <t>No se encontró ejecución en PIIP</t>
        </is>
      </c>
      <c r="U242" t="inlineStr">
        <is>
          <t xml:space="preserve"> </t>
        </is>
      </c>
      <c r="V242" s="104" t="inlineStr">
        <is>
          <t xml:space="preserve"> </t>
        </is>
      </c>
      <c r="W242" t="inlineStr">
        <is>
          <t>No se encontró ejecución en PIIP</t>
        </is>
      </c>
    </row>
    <row r="243">
      <c r="A243" t="inlineStr">
        <is>
          <t>IP-283</t>
        </is>
      </c>
      <c r="B243" t="inlineStr">
        <is>
          <t>17</t>
        </is>
      </c>
      <c r="C243" t="inlineStr">
        <is>
          <t xml:space="preserve">Agricultura y desarrollo rural
</t>
        </is>
      </c>
      <c r="D243" t="inlineStr">
        <is>
          <t>1708</t>
        </is>
      </c>
      <c r="E243" t="inlineStr">
        <is>
          <t>Ciencia, tecnología e innovación agropecuaria</t>
        </is>
      </c>
      <c r="F243" t="inlineStr">
        <is>
          <t>1708032</t>
        </is>
      </c>
      <c r="G243" t="inlineStr">
        <is>
          <t>Parcelas, módulos y unidades demostrativas adecuadas</t>
        </is>
      </c>
      <c r="H243" t="inlineStr">
        <is>
          <t>170803200</t>
        </is>
      </c>
      <c r="I243" t="inlineStr">
        <is>
          <t>Parcelas, módulos y unidades demostrativas adecuadas</t>
        </is>
      </c>
      <c r="J243" t="inlineStr">
        <is>
          <t>2024257580038</t>
        </is>
      </c>
      <c r="K243" t="inlineStr">
        <is>
          <t>No</t>
        </is>
      </c>
      <c r="L243" t="inlineStr">
        <is>
          <t>Número</t>
        </is>
      </c>
      <c r="M243">
        <v>4</v>
      </c>
      <c r="N243">
        <v>1</v>
      </c>
      <c r="O243">
        <v>1</v>
      </c>
      <c r="P243">
        <v>1</v>
      </c>
      <c r="Q243">
        <v>1</v>
      </c>
      <c r="R243" t="inlineStr">
        <is>
          <t xml:space="preserve"> </t>
        </is>
      </c>
      <c r="S243" s="103" t="inlineStr">
        <is>
          <t xml:space="preserve"> </t>
        </is>
      </c>
      <c r="T243" t="inlineStr">
        <is>
          <t>No se encontró ejecución en PIIP</t>
        </is>
      </c>
      <c r="U243" t="inlineStr">
        <is>
          <t xml:space="preserve"> </t>
        </is>
      </c>
      <c r="V243" s="104" t="inlineStr">
        <is>
          <t xml:space="preserve"> </t>
        </is>
      </c>
      <c r="W243" t="inlineStr">
        <is>
          <t>No se encontró ejecución en PIIP</t>
        </is>
      </c>
    </row>
    <row r="244">
      <c r="A244" t="inlineStr">
        <is>
          <t>IP-284</t>
        </is>
      </c>
      <c r="B244" t="inlineStr">
        <is>
          <t>17</t>
        </is>
      </c>
      <c r="C244" t="inlineStr">
        <is>
          <t xml:space="preserve">Agricultura y desarrollo rural
</t>
        </is>
      </c>
      <c r="D244" t="inlineStr">
        <is>
          <t>1708</t>
        </is>
      </c>
      <c r="E244" t="inlineStr">
        <is>
          <t>Ciencia, tecnología e innovación agropecuaria</t>
        </is>
      </c>
      <c r="F244" t="inlineStr">
        <is>
          <t>1708053</t>
        </is>
      </c>
      <c r="G244" t="inlineStr">
        <is>
          <t>Servicio de apoyo técnico para el uso eficiente de recursos naturales en ecosistemas estratégicos</t>
        </is>
      </c>
      <c r="H244" t="inlineStr">
        <is>
          <t>170805300</t>
        </is>
      </c>
      <c r="I244" t="inlineStr">
        <is>
          <t>Personas apoyadas</t>
        </is>
      </c>
      <c r="J244" t="inlineStr">
        <is>
          <t>2024257580038</t>
        </is>
      </c>
      <c r="K244" t="inlineStr">
        <is>
          <t>No</t>
        </is>
      </c>
      <c r="L244" t="inlineStr">
        <is>
          <t>Número</t>
        </is>
      </c>
      <c r="M244">
        <v>4</v>
      </c>
      <c r="N244">
        <v>1</v>
      </c>
      <c r="O244">
        <v>1</v>
      </c>
      <c r="P244">
        <v>1</v>
      </c>
      <c r="Q244">
        <v>1</v>
      </c>
      <c r="R244" t="inlineStr">
        <is>
          <t xml:space="preserve"> </t>
        </is>
      </c>
      <c r="S244" s="103" t="inlineStr">
        <is>
          <t xml:space="preserve"> </t>
        </is>
      </c>
      <c r="T244" t="inlineStr">
        <is>
          <t>No se encontró ejecución en PIIP</t>
        </is>
      </c>
      <c r="U244" t="inlineStr">
        <is>
          <t xml:space="preserve"> </t>
        </is>
      </c>
      <c r="V244" s="104" t="inlineStr">
        <is>
          <t xml:space="preserve"> </t>
        </is>
      </c>
      <c r="W244" t="inlineStr">
        <is>
          <t>No se encontró ejecución en PIIP</t>
        </is>
      </c>
    </row>
    <row r="245">
      <c r="A245" t="inlineStr">
        <is>
          <t>IP-285</t>
        </is>
      </c>
      <c r="B245" t="inlineStr">
        <is>
          <t>17</t>
        </is>
      </c>
      <c r="C245" t="inlineStr">
        <is>
          <t xml:space="preserve">Agricultura y desarrollo rural
</t>
        </is>
      </c>
      <c r="D245" t="inlineStr">
        <is>
          <t>1708</t>
        </is>
      </c>
      <c r="E245" t="inlineStr">
        <is>
          <t>Ciencia, tecnología e innovación agropecuaria</t>
        </is>
      </c>
      <c r="F245" t="inlineStr">
        <is>
          <t>1708017</t>
        </is>
      </c>
      <c r="G245" t="inlineStr">
        <is>
          <t>Documentos metodológicos</t>
        </is>
      </c>
      <c r="H245" t="inlineStr">
        <is>
          <t>170801700</t>
        </is>
      </c>
      <c r="I245" t="inlineStr">
        <is>
          <t>Guías Metodológicas</t>
        </is>
      </c>
      <c r="J245" t="inlineStr">
        <is>
          <t>2024257580052</t>
        </is>
      </c>
      <c r="K245" t="inlineStr">
        <is>
          <t>Si</t>
        </is>
      </c>
      <c r="L245" t="inlineStr">
        <is>
          <t>Número</t>
        </is>
      </c>
      <c r="M245">
        <v>1</v>
      </c>
      <c r="N245">
        <v>1</v>
      </c>
      <c r="O245">
        <v>1</v>
      </c>
      <c r="P245">
        <v>1</v>
      </c>
      <c r="Q245">
        <v>1</v>
      </c>
      <c r="R245" t="inlineStr">
        <is>
          <t xml:space="preserve"> </t>
        </is>
      </c>
      <c r="S245" s="103" t="inlineStr">
        <is>
          <t xml:space="preserve"> </t>
        </is>
      </c>
      <c r="T245" t="inlineStr">
        <is>
          <t>No se encontró ejecución en PIIP</t>
        </is>
      </c>
      <c r="U245" t="inlineStr">
        <is>
          <t xml:space="preserve"> </t>
        </is>
      </c>
      <c r="V245" s="104" t="inlineStr">
        <is>
          <t xml:space="preserve"> </t>
        </is>
      </c>
      <c r="W245" t="inlineStr">
        <is>
          <t>No se encontró ejecución en PIIP</t>
        </is>
      </c>
    </row>
    <row r="246">
      <c r="A246" t="inlineStr">
        <is>
          <t>IP-286</t>
        </is>
      </c>
      <c r="B246" t="inlineStr">
        <is>
          <t>17</t>
        </is>
      </c>
      <c r="C246" t="inlineStr">
        <is>
          <t xml:space="preserve">Agricultura y desarrollo rural
</t>
        </is>
      </c>
      <c r="D246" t="inlineStr">
        <is>
          <t>1708</t>
        </is>
      </c>
      <c r="E246" t="inlineStr">
        <is>
          <t>Ciencia, tecnología e innovación agropecuaria</t>
        </is>
      </c>
      <c r="F246" t="inlineStr">
        <is>
          <t>1708056</t>
        </is>
      </c>
      <c r="G246" t="inlineStr">
        <is>
          <t>Servicio de implementación de rutas agroecológicas</t>
        </is>
      </c>
      <c r="H246" t="inlineStr">
        <is>
          <t>170805602</t>
        </is>
      </c>
      <c r="I246" t="inlineStr">
        <is>
          <t>Rutas agroecológicas elaboradas</t>
        </is>
      </c>
      <c r="J246" t="inlineStr">
        <is>
          <t>2024257580038</t>
        </is>
      </c>
      <c r="K246" t="inlineStr">
        <is>
          <t>Si</t>
        </is>
      </c>
      <c r="L246" t="inlineStr">
        <is>
          <t>Número</t>
        </is>
      </c>
      <c r="M246">
        <v>1</v>
      </c>
      <c r="N246">
        <v>1</v>
      </c>
      <c r="O246">
        <v>1</v>
      </c>
      <c r="P246">
        <v>1</v>
      </c>
      <c r="Q246">
        <v>1</v>
      </c>
      <c r="R246" t="inlineStr">
        <is>
          <t xml:space="preserve"> </t>
        </is>
      </c>
      <c r="S246" s="103" t="inlineStr">
        <is>
          <t xml:space="preserve"> </t>
        </is>
      </c>
      <c r="T246" t="inlineStr">
        <is>
          <t>No se encontró ejecución en PIIP</t>
        </is>
      </c>
      <c r="U246" t="inlineStr">
        <is>
          <t xml:space="preserve"> </t>
        </is>
      </c>
      <c r="V246" s="104" t="inlineStr">
        <is>
          <t xml:space="preserve"> </t>
        </is>
      </c>
      <c r="W246" t="inlineStr">
        <is>
          <t>No se encontró ejecución en PIIP</t>
        </is>
      </c>
    </row>
    <row r="247">
      <c r="A247" t="inlineStr">
        <is>
          <t>IP-287</t>
        </is>
      </c>
      <c r="B247" t="inlineStr">
        <is>
          <t>24</t>
        </is>
      </c>
      <c r="C247" t="inlineStr">
        <is>
          <t>Transporte</t>
        </is>
      </c>
      <c r="D247" t="inlineStr">
        <is>
          <t>2401</t>
        </is>
      </c>
      <c r="E247" t="inlineStr">
        <is>
          <t>Infraestructura red vial primaria</t>
        </is>
      </c>
      <c r="F247" t="inlineStr">
        <is>
          <t>2401008</t>
        </is>
      </c>
      <c r="G247" t="inlineStr">
        <is>
          <t>Vía primaria mejorada</t>
        </is>
      </c>
      <c r="H247" t="inlineStr">
        <is>
          <t>240100818</t>
        </is>
      </c>
      <c r="I247" t="inlineStr">
        <is>
          <t>Vía de primer orden mejorada por entidad territorial</t>
        </is>
      </c>
      <c r="J247" t="inlineStr">
        <is>
          <t>2024257580075</t>
        </is>
      </c>
      <c r="K247" t="inlineStr">
        <is>
          <t>Si</t>
        </is>
      </c>
      <c r="L247" t="inlineStr">
        <is>
          <t>Kilómetros</t>
        </is>
      </c>
      <c r="M247">
        <v>1</v>
      </c>
      <c r="N247">
        <v>0.25</v>
      </c>
      <c r="O247">
        <v>0.5</v>
      </c>
      <c r="P247">
        <v>0.75</v>
      </c>
      <c r="Q247">
        <v>1</v>
      </c>
      <c r="R247" t="inlineStr">
        <is>
          <t xml:space="preserve"> </t>
        </is>
      </c>
      <c r="S247" s="103" t="inlineStr">
        <is>
          <t xml:space="preserve"> </t>
        </is>
      </c>
      <c r="T247" t="inlineStr">
        <is>
          <t>No se encontró ejecución en PIIP</t>
        </is>
      </c>
      <c r="U247" t="inlineStr">
        <is>
          <t xml:space="preserve"> </t>
        </is>
      </c>
      <c r="V247" s="104" t="inlineStr">
        <is>
          <t xml:space="preserve"> </t>
        </is>
      </c>
      <c r="W247" t="inlineStr">
        <is>
          <t>No se encontró ejecución en PIIP</t>
        </is>
      </c>
    </row>
    <row r="248">
      <c r="A248" t="inlineStr">
        <is>
          <t>IP-288</t>
        </is>
      </c>
      <c r="B248" t="inlineStr">
        <is>
          <t>24</t>
        </is>
      </c>
      <c r="C248" t="inlineStr">
        <is>
          <t>Transporte</t>
        </is>
      </c>
      <c r="D248" t="inlineStr">
        <is>
          <t>2401</t>
        </is>
      </c>
      <c r="E248" t="inlineStr">
        <is>
          <t>Infraestructura red vial primaria</t>
        </is>
      </c>
      <c r="F248" t="inlineStr">
        <is>
          <t>2401008</t>
        </is>
      </c>
      <c r="G248" t="inlineStr">
        <is>
          <t>Vía primaria mejorada</t>
        </is>
      </c>
      <c r="H248" t="inlineStr">
        <is>
          <t>240100801</t>
        </is>
      </c>
      <c r="I248" t="inlineStr">
        <is>
          <t>Variante construida</t>
        </is>
      </c>
      <c r="J248" t="inlineStr">
        <is>
          <t>2024257580075</t>
        </is>
      </c>
      <c r="K248" t="inlineStr">
        <is>
          <t>No</t>
        </is>
      </c>
      <c r="L248" t="inlineStr">
        <is>
          <t>Kilómetros</t>
        </is>
      </c>
      <c r="M248">
        <v>10</v>
      </c>
      <c r="N248">
        <v>2</v>
      </c>
      <c r="O248">
        <v>2</v>
      </c>
      <c r="P248">
        <v>3</v>
      </c>
      <c r="Q248">
        <v>3</v>
      </c>
      <c r="R248" t="inlineStr">
        <is>
          <t xml:space="preserve"> </t>
        </is>
      </c>
      <c r="S248" s="103" t="inlineStr">
        <is>
          <t xml:space="preserve"> </t>
        </is>
      </c>
      <c r="T248" t="inlineStr">
        <is>
          <t>No se encontró ejecución en PIIP</t>
        </is>
      </c>
      <c r="U248" t="inlineStr">
        <is>
          <t xml:space="preserve"> </t>
        </is>
      </c>
      <c r="V248" s="104" t="inlineStr">
        <is>
          <t xml:space="preserve"> </t>
        </is>
      </c>
      <c r="W248" t="inlineStr">
        <is>
          <t>No se encontró ejecución en PIIP</t>
        </is>
      </c>
    </row>
    <row r="249">
      <c r="A249" t="inlineStr">
        <is>
          <t>IP-289</t>
        </is>
      </c>
      <c r="B249" t="inlineStr">
        <is>
          <t>24</t>
        </is>
      </c>
      <c r="C249" t="inlineStr">
        <is>
          <t>Transporte</t>
        </is>
      </c>
      <c r="D249" t="inlineStr">
        <is>
          <t>2402</t>
        </is>
      </c>
      <c r="E249" t="inlineStr">
        <is>
          <t>Infraestructura red vial regional</t>
        </is>
      </c>
      <c r="F249" t="inlineStr">
        <is>
          <t>2402006</t>
        </is>
      </c>
      <c r="G249" t="inlineStr">
        <is>
          <t>Vía secundaria mejorada</t>
        </is>
      </c>
      <c r="H249" t="inlineStr">
        <is>
          <t>240200600</t>
        </is>
      </c>
      <c r="I249" t="inlineStr">
        <is>
          <t>Vía secundaria mejorada</t>
        </is>
      </c>
      <c r="J249" t="inlineStr">
        <is>
          <t>2024257580019</t>
        </is>
      </c>
      <c r="K249" t="inlineStr">
        <is>
          <t>Si</t>
        </is>
      </c>
      <c r="L249" t="inlineStr">
        <is>
          <t>Kilómetros</t>
        </is>
      </c>
      <c r="M249">
        <v>40</v>
      </c>
      <c r="N249">
        <v>20</v>
      </c>
      <c r="O249">
        <v>30</v>
      </c>
      <c r="P249">
        <v>35</v>
      </c>
      <c r="Q249">
        <v>40</v>
      </c>
      <c r="R249" t="inlineStr">
        <is>
          <t xml:space="preserve"> </t>
        </is>
      </c>
      <c r="S249" s="103" t="inlineStr">
        <is>
          <t xml:space="preserve"> </t>
        </is>
      </c>
      <c r="T249" t="inlineStr">
        <is>
          <t>No se encontró ejecución en PIIP</t>
        </is>
      </c>
      <c r="U249" t="inlineStr">
        <is>
          <t xml:space="preserve"> </t>
        </is>
      </c>
      <c r="V249" s="104" t="inlineStr">
        <is>
          <t xml:space="preserve"> </t>
        </is>
      </c>
      <c r="W249" t="inlineStr">
        <is>
          <t>No se encontró ejecución en PIIP</t>
        </is>
      </c>
    </row>
    <row r="250">
      <c r="A250" t="inlineStr">
        <is>
          <t>IP-290</t>
        </is>
      </c>
      <c r="B250" t="inlineStr">
        <is>
          <t>24</t>
        </is>
      </c>
      <c r="C250" t="inlineStr">
        <is>
          <t>Transporte</t>
        </is>
      </c>
      <c r="D250" t="inlineStr">
        <is>
          <t>2402</t>
        </is>
      </c>
      <c r="E250" t="inlineStr">
        <is>
          <t>Infraestructura red vial regional</t>
        </is>
      </c>
      <c r="F250" t="inlineStr">
        <is>
          <t>2402115</t>
        </is>
      </c>
      <c r="G250" t="inlineStr">
        <is>
          <t>Vía urbana con mantenimiento periódico o rutinario</t>
        </is>
      </c>
      <c r="H250" t="inlineStr">
        <is>
          <t>240211500</t>
        </is>
      </c>
      <c r="I250" t="inlineStr">
        <is>
          <t xml:space="preserve">Vía urbana con mantenimiento  </t>
        </is>
      </c>
      <c r="J250" t="inlineStr">
        <is>
          <t>2024257580019</t>
        </is>
      </c>
      <c r="K250" t="inlineStr">
        <is>
          <t>Si</t>
        </is>
      </c>
      <c r="L250" t="inlineStr">
        <is>
          <t>Kilómetros</t>
        </is>
      </c>
      <c r="M250">
        <v>10.5</v>
      </c>
      <c r="N250">
        <v>4</v>
      </c>
      <c r="O250">
        <v>6</v>
      </c>
      <c r="P250">
        <v>8</v>
      </c>
      <c r="Q250">
        <v>10.5</v>
      </c>
      <c r="R250" t="inlineStr">
        <is>
          <t xml:space="preserve"> </t>
        </is>
      </c>
      <c r="S250" s="103" t="inlineStr">
        <is>
          <t xml:space="preserve"> </t>
        </is>
      </c>
      <c r="T250" t="inlineStr">
        <is>
          <t>No se encontró ejecución en PIIP</t>
        </is>
      </c>
      <c r="U250" t="inlineStr">
        <is>
          <t xml:space="preserve"> </t>
        </is>
      </c>
      <c r="V250" s="104" t="inlineStr">
        <is>
          <t xml:space="preserve"> </t>
        </is>
      </c>
      <c r="W250" t="inlineStr">
        <is>
          <t>No se encontró ejecución en PIIP</t>
        </is>
      </c>
    </row>
    <row r="251">
      <c r="A251" t="inlineStr">
        <is>
          <t>IP-291</t>
        </is>
      </c>
      <c r="B251" t="inlineStr">
        <is>
          <t>24</t>
        </is>
      </c>
      <c r="C251" t="inlineStr">
        <is>
          <t>Transporte</t>
        </is>
      </c>
      <c r="D251" t="inlineStr">
        <is>
          <t>2402</t>
        </is>
      </c>
      <c r="E251" t="inlineStr">
        <is>
          <t>Infraestructura red vial regional</t>
        </is>
      </c>
      <c r="F251" t="inlineStr">
        <is>
          <t>2402041</t>
        </is>
      </c>
      <c r="G251" t="inlineStr">
        <is>
          <t>Vía terciaria mejorada</t>
        </is>
      </c>
      <c r="H251" t="inlineStr">
        <is>
          <t>240204104</t>
        </is>
      </c>
      <c r="I251" t="inlineStr">
        <is>
          <t>Placa huella construida</t>
        </is>
      </c>
      <c r="J251" t="inlineStr">
        <is>
          <t>2024257580019</t>
        </is>
      </c>
      <c r="K251" t="inlineStr">
        <is>
          <t>Si</t>
        </is>
      </c>
      <c r="L251" t="inlineStr">
        <is>
          <t xml:space="preserve">Metros </t>
        </is>
      </c>
      <c r="M251">
        <v>1</v>
      </c>
      <c r="N251">
        <v>0.087</v>
      </c>
      <c r="O251">
        <v>0.4</v>
      </c>
      <c r="P251">
        <v>0.4</v>
      </c>
      <c r="Q251">
        <v>0.113</v>
      </c>
      <c r="R251" t="inlineStr">
        <is>
          <t xml:space="preserve"> </t>
        </is>
      </c>
      <c r="S251" s="103" t="inlineStr">
        <is>
          <t xml:space="preserve"> </t>
        </is>
      </c>
      <c r="T251" t="inlineStr">
        <is>
          <t>No se encontró ejecución en PIIP</t>
        </is>
      </c>
      <c r="U251" t="inlineStr">
        <is>
          <t xml:space="preserve"> </t>
        </is>
      </c>
      <c r="V251" s="104" t="inlineStr">
        <is>
          <t xml:space="preserve"> </t>
        </is>
      </c>
      <c r="W251" t="inlineStr">
        <is>
          <t>No se encontró ejecución en PIIP</t>
        </is>
      </c>
    </row>
    <row r="252">
      <c r="A252" t="inlineStr">
        <is>
          <t>IP-292</t>
        </is>
      </c>
      <c r="B252" t="inlineStr">
        <is>
          <t>24</t>
        </is>
      </c>
      <c r="C252" t="inlineStr">
        <is>
          <t>Transporte</t>
        </is>
      </c>
      <c r="D252" t="inlineStr">
        <is>
          <t>2402</t>
        </is>
      </c>
      <c r="E252" t="inlineStr">
        <is>
          <t>Infraestructura red vial regional</t>
        </is>
      </c>
      <c r="F252" t="inlineStr">
        <is>
          <t>2402125</t>
        </is>
      </c>
      <c r="G252" t="inlineStr">
        <is>
          <t>Banco de maquinaria dotado</t>
        </is>
      </c>
      <c r="H252" t="inlineStr">
        <is>
          <t>240212500</t>
        </is>
      </c>
      <c r="I252" t="inlineStr">
        <is>
          <t>Maquinaria y equipos adquiridos</t>
        </is>
      </c>
      <c r="J252" t="inlineStr">
        <is>
          <t>2024257580019</t>
        </is>
      </c>
      <c r="K252" t="inlineStr">
        <is>
          <t>Si</t>
        </is>
      </c>
      <c r="L252" t="inlineStr">
        <is>
          <t>Número</t>
        </is>
      </c>
      <c r="M252">
        <v>100</v>
      </c>
      <c r="N252">
        <v>50</v>
      </c>
      <c r="O252">
        <v>66</v>
      </c>
      <c r="P252">
        <v>84</v>
      </c>
      <c r="Q252">
        <v>100</v>
      </c>
      <c r="R252" t="inlineStr">
        <is>
          <t xml:space="preserve"> </t>
        </is>
      </c>
      <c r="S252" s="103" t="inlineStr">
        <is>
          <t xml:space="preserve"> </t>
        </is>
      </c>
      <c r="T252" t="inlineStr">
        <is>
          <t>No se encontró ejecución en PIIP</t>
        </is>
      </c>
      <c r="U252" t="inlineStr">
        <is>
          <t xml:space="preserve"> </t>
        </is>
      </c>
      <c r="V252" s="104" t="inlineStr">
        <is>
          <t xml:space="preserve"> </t>
        </is>
      </c>
      <c r="W252" t="inlineStr">
        <is>
          <t>No se encontró ejecución en PIIP</t>
        </is>
      </c>
    </row>
    <row r="253">
      <c r="A253" t="inlineStr">
        <is>
          <t>IP-293</t>
        </is>
      </c>
      <c r="B253" t="inlineStr">
        <is>
          <t>24</t>
        </is>
      </c>
      <c r="C253" t="inlineStr">
        <is>
          <t>Transporte</t>
        </is>
      </c>
      <c r="D253" t="inlineStr">
        <is>
          <t>2402</t>
        </is>
      </c>
      <c r="E253" t="inlineStr">
        <is>
          <t>Infraestructura red vial regional</t>
        </is>
      </c>
      <c r="F253" t="inlineStr">
        <is>
          <t>2402056</t>
        </is>
      </c>
      <c r="G253" t="inlineStr">
        <is>
          <t>Caminos ancestrales con mantenimiento</t>
        </is>
      </c>
      <c r="H253" t="inlineStr">
        <is>
          <t>240205600</t>
        </is>
      </c>
      <c r="I253" t="inlineStr">
        <is>
          <t xml:space="preserve">Caminos ancestrales con mantenimiento </t>
        </is>
      </c>
      <c r="J253" t="inlineStr">
        <is>
          <t>2024257580019</t>
        </is>
      </c>
      <c r="K253" t="inlineStr">
        <is>
          <t>Si</t>
        </is>
      </c>
      <c r="L253" t="inlineStr">
        <is>
          <t>Kilómetros</t>
        </is>
      </c>
      <c r="M253">
        <v>100</v>
      </c>
      <c r="N253">
        <v>30</v>
      </c>
      <c r="O253">
        <v>80</v>
      </c>
      <c r="P253">
        <v>90</v>
      </c>
      <c r="Q253">
        <v>100</v>
      </c>
      <c r="R253" t="inlineStr">
        <is>
          <t xml:space="preserve"> </t>
        </is>
      </c>
      <c r="S253" s="103" t="inlineStr">
        <is>
          <t xml:space="preserve"> </t>
        </is>
      </c>
      <c r="T253" t="inlineStr">
        <is>
          <t>No se encontró ejecución en PIIP</t>
        </is>
      </c>
      <c r="U253" t="inlineStr">
        <is>
          <t xml:space="preserve"> </t>
        </is>
      </c>
      <c r="V253" s="104" t="inlineStr">
        <is>
          <t xml:space="preserve"> </t>
        </is>
      </c>
      <c r="W253" t="inlineStr">
        <is>
          <t>No se encontró ejecución en PIIP</t>
        </is>
      </c>
    </row>
    <row r="254">
      <c r="A254" t="inlineStr">
        <is>
          <t>IP-294</t>
        </is>
      </c>
      <c r="B254" t="inlineStr">
        <is>
          <t>24</t>
        </is>
      </c>
      <c r="C254" t="inlineStr">
        <is>
          <t>Transporte</t>
        </is>
      </c>
      <c r="D254" t="inlineStr">
        <is>
          <t>2402</t>
        </is>
      </c>
      <c r="E254" t="inlineStr">
        <is>
          <t>Infraestructura red vial regional</t>
        </is>
      </c>
      <c r="F254" t="inlineStr">
        <is>
          <t>2402033</t>
        </is>
      </c>
      <c r="G254" t="inlineStr">
        <is>
          <t>Ciclo infraestructura construida en red vial secundaria</t>
        </is>
      </c>
      <c r="H254" t="inlineStr">
        <is>
          <t>240203301</t>
        </is>
      </c>
      <c r="I254" t="inlineStr">
        <is>
          <t>Ciclo infraestructura de la red secundaria construida</t>
        </is>
      </c>
      <c r="J254" t="inlineStr">
        <is>
          <t>2024257580019</t>
        </is>
      </c>
      <c r="K254" t="inlineStr">
        <is>
          <t>Si</t>
        </is>
      </c>
      <c r="L254" t="inlineStr">
        <is>
          <t>Kilómetros</t>
        </is>
      </c>
      <c r="M254">
        <v>1</v>
      </c>
      <c r="N254">
        <v>1</v>
      </c>
      <c r="O254">
        <v>1</v>
      </c>
      <c r="P254">
        <v>1</v>
      </c>
      <c r="Q254">
        <v>1</v>
      </c>
      <c r="R254" t="inlineStr">
        <is>
          <t xml:space="preserve"> </t>
        </is>
      </c>
      <c r="S254" s="103" t="inlineStr">
        <is>
          <t xml:space="preserve"> </t>
        </is>
      </c>
      <c r="T254" t="inlineStr">
        <is>
          <t>No se encontró ejecución en PIIP</t>
        </is>
      </c>
      <c r="U254" t="inlineStr">
        <is>
          <t xml:space="preserve"> </t>
        </is>
      </c>
      <c r="V254" s="104" t="inlineStr">
        <is>
          <t xml:space="preserve"> </t>
        </is>
      </c>
      <c r="W254" t="inlineStr">
        <is>
          <t>No se encontró ejecución en PIIP</t>
        </is>
      </c>
    </row>
    <row r="255">
      <c r="A255" t="inlineStr">
        <is>
          <t>IP-295</t>
        </is>
      </c>
      <c r="B255" t="inlineStr">
        <is>
          <t>24</t>
        </is>
      </c>
      <c r="C255" t="inlineStr">
        <is>
          <t>Transporte</t>
        </is>
      </c>
      <c r="D255" t="inlineStr">
        <is>
          <t>2408</t>
        </is>
      </c>
      <c r="E255" t="inlineStr">
        <is>
          <t>Prestación de servicios de transporte público de pasajeros</t>
        </is>
      </c>
      <c r="F255" t="inlineStr">
        <is>
          <t>2408052</t>
        </is>
      </c>
      <c r="G255" t="inlineStr">
        <is>
          <t>Servicio de apoyo financiero para el desarrollo de los componentes del  Sistema de Transporte Público de Pasajeros</t>
        </is>
      </c>
      <c r="H255" t="inlineStr">
        <is>
          <t>240805206</t>
        </is>
      </c>
      <c r="I255" t="inlineStr">
        <is>
          <t>Estaciones, módulos de transferencia, estaciones de intercambio o cabecera cofinanciadas</t>
        </is>
      </c>
      <c r="J255" t="inlineStr">
        <is>
          <t>2024257580019</t>
        </is>
      </c>
      <c r="K255" t="inlineStr">
        <is>
          <t>Si</t>
        </is>
      </c>
      <c r="L255" t="inlineStr">
        <is>
          <t>Número</t>
        </is>
      </c>
      <c r="M255">
        <v>2</v>
      </c>
      <c r="N255">
        <v>0.5</v>
      </c>
      <c r="O255">
        <v>1.5</v>
      </c>
      <c r="P255">
        <v>2</v>
      </c>
      <c r="Q255">
        <v>0</v>
      </c>
      <c r="R255" t="inlineStr">
        <is>
          <t xml:space="preserve"> </t>
        </is>
      </c>
      <c r="S255" s="103" t="inlineStr">
        <is>
          <t xml:space="preserve"> </t>
        </is>
      </c>
      <c r="T255" t="inlineStr">
        <is>
          <t>No se encontró ejecución en PIIP</t>
        </is>
      </c>
      <c r="U255" t="inlineStr">
        <is>
          <t xml:space="preserve"> </t>
        </is>
      </c>
      <c r="V255" s="104" t="inlineStr">
        <is>
          <t xml:space="preserve"> </t>
        </is>
      </c>
      <c r="W255" t="inlineStr">
        <is>
          <t>No se encontró ejecución en PIIP</t>
        </is>
      </c>
    </row>
    <row r="256">
      <c r="A256" t="inlineStr">
        <is>
          <t>IP-296</t>
        </is>
      </c>
      <c r="B256" t="inlineStr">
        <is>
          <t>24</t>
        </is>
      </c>
      <c r="C256" t="inlineStr">
        <is>
          <t>Transporte</t>
        </is>
      </c>
      <c r="D256" t="inlineStr">
        <is>
          <t>2408</t>
        </is>
      </c>
      <c r="E256" t="inlineStr">
        <is>
          <t>Prestación de servicios de transporte público de pasajeros</t>
        </is>
      </c>
      <c r="F256" t="inlineStr">
        <is>
          <t>2408041</t>
        </is>
      </c>
      <c r="G256" t="inlineStr">
        <is>
          <t>Estaciones mejoradas</t>
        </is>
      </c>
      <c r="H256" t="inlineStr">
        <is>
          <t>240804100</t>
        </is>
      </c>
      <c r="I256" t="inlineStr">
        <is>
          <t>Estaciones mejoradas</t>
        </is>
      </c>
      <c r="J256" t="inlineStr">
        <is>
          <t>2024257580030</t>
        </is>
      </c>
      <c r="K256" t="inlineStr">
        <is>
          <t>Si</t>
        </is>
      </c>
      <c r="L256" t="inlineStr">
        <is>
          <t>Número</t>
        </is>
      </c>
      <c r="M256">
        <v>18</v>
      </c>
      <c r="N256">
        <v>10</v>
      </c>
      <c r="O256">
        <v>13</v>
      </c>
      <c r="P256">
        <v>16</v>
      </c>
      <c r="Q256">
        <v>18</v>
      </c>
      <c r="R256" t="inlineStr">
        <is>
          <t xml:space="preserve"> </t>
        </is>
      </c>
      <c r="S256" s="103" t="inlineStr">
        <is>
          <t xml:space="preserve"> </t>
        </is>
      </c>
      <c r="T256" t="inlineStr">
        <is>
          <t>No se encontró ejecución en PIIP</t>
        </is>
      </c>
      <c r="U256" t="inlineStr">
        <is>
          <t xml:space="preserve"> </t>
        </is>
      </c>
      <c r="V256" s="104" t="inlineStr">
        <is>
          <t xml:space="preserve"> </t>
        </is>
      </c>
      <c r="W256" t="inlineStr">
        <is>
          <t>No se encontró ejecución en PIIP</t>
        </is>
      </c>
    </row>
    <row r="257">
      <c r="A257" t="inlineStr">
        <is>
          <t>IP-297</t>
        </is>
      </c>
      <c r="B257" t="inlineStr">
        <is>
          <t>24</t>
        </is>
      </c>
      <c r="C257" t="inlineStr">
        <is>
          <t>Transporte</t>
        </is>
      </c>
      <c r="D257" t="inlineStr">
        <is>
          <t>2408</t>
        </is>
      </c>
      <c r="E257" t="inlineStr">
        <is>
          <t>Prestación de servicios de transporte público de pasajeros</t>
        </is>
      </c>
      <c r="F257" t="inlineStr">
        <is>
          <t>2408035</t>
        </is>
      </c>
      <c r="G257" t="inlineStr">
        <is>
          <t>Servicio de educación informal</t>
        </is>
      </c>
      <c r="H257" t="inlineStr">
        <is>
          <t>240803500</t>
        </is>
      </c>
      <c r="I257" t="inlineStr">
        <is>
          <t>Estrategias de educación informal implementadas</t>
        </is>
      </c>
      <c r="J257" t="inlineStr">
        <is>
          <t>2024257580030</t>
        </is>
      </c>
      <c r="K257" t="inlineStr">
        <is>
          <t>Si</t>
        </is>
      </c>
      <c r="L257" t="inlineStr">
        <is>
          <t>Número</t>
        </is>
      </c>
      <c r="M257">
        <v>1</v>
      </c>
      <c r="N257">
        <v>1</v>
      </c>
      <c r="O257">
        <v>1</v>
      </c>
      <c r="P257">
        <v>1</v>
      </c>
      <c r="Q257">
        <v>1</v>
      </c>
      <c r="R257" t="inlineStr">
        <is>
          <t xml:space="preserve"> </t>
        </is>
      </c>
      <c r="S257" s="103" t="inlineStr">
        <is>
          <t xml:space="preserve"> </t>
        </is>
      </c>
      <c r="T257" t="inlineStr">
        <is>
          <t>No se encontró ejecución en PIIP</t>
        </is>
      </c>
      <c r="U257" t="inlineStr">
        <is>
          <t xml:space="preserve"> </t>
        </is>
      </c>
      <c r="V257" s="104" t="inlineStr">
        <is>
          <t xml:space="preserve"> </t>
        </is>
      </c>
      <c r="W257" t="inlineStr">
        <is>
          <t>No se encontró ejecución en PIIP</t>
        </is>
      </c>
    </row>
    <row r="258">
      <c r="A258" t="inlineStr">
        <is>
          <t>IP-298</t>
        </is>
      </c>
      <c r="B258" t="inlineStr">
        <is>
          <t>24</t>
        </is>
      </c>
      <c r="C258" t="inlineStr">
        <is>
          <t>Transporte</t>
        </is>
      </c>
      <c r="D258" t="inlineStr">
        <is>
          <t>2408</t>
        </is>
      </c>
      <c r="E258" t="inlineStr">
        <is>
          <t>Prestación de servicios de transporte público de pasajeros</t>
        </is>
      </c>
      <c r="F258" t="inlineStr">
        <is>
          <t>2408055</t>
        </is>
      </c>
      <c r="G258" t="inlineStr">
        <is>
          <t>Servicio de asistencia técnica</t>
        </is>
      </c>
      <c r="H258" t="inlineStr">
        <is>
          <t>240805500</t>
        </is>
      </c>
      <c r="I258" t="inlineStr">
        <is>
          <t xml:space="preserve"> Asistencias técnicas realizadas</t>
        </is>
      </c>
      <c r="J258" t="inlineStr">
        <is>
          <t>2024257580030</t>
        </is>
      </c>
      <c r="K258" t="inlineStr">
        <is>
          <t>Si</t>
        </is>
      </c>
      <c r="L258" t="inlineStr">
        <is>
          <t>Número</t>
        </is>
      </c>
      <c r="M258">
        <v>1</v>
      </c>
      <c r="N258">
        <v>1</v>
      </c>
      <c r="O258">
        <v>1</v>
      </c>
      <c r="P258">
        <v>1</v>
      </c>
      <c r="Q258">
        <v>1</v>
      </c>
      <c r="R258" t="inlineStr">
        <is>
          <t xml:space="preserve"> </t>
        </is>
      </c>
      <c r="S258" s="103" t="inlineStr">
        <is>
          <t xml:space="preserve"> </t>
        </is>
      </c>
      <c r="T258" t="inlineStr">
        <is>
          <t>No se encontró ejecución en PIIP</t>
        </is>
      </c>
      <c r="U258" t="inlineStr">
        <is>
          <t xml:space="preserve"> </t>
        </is>
      </c>
      <c r="V258" s="104" t="inlineStr">
        <is>
          <t xml:space="preserve"> </t>
        </is>
      </c>
      <c r="W258" t="inlineStr">
        <is>
          <t>No se encontró ejecución en PIIP</t>
        </is>
      </c>
    </row>
    <row r="259">
      <c r="A259" t="inlineStr">
        <is>
          <t>IP-299</t>
        </is>
      </c>
      <c r="B259" t="inlineStr">
        <is>
          <t>24</t>
        </is>
      </c>
      <c r="C259" t="inlineStr">
        <is>
          <t>Transporte</t>
        </is>
      </c>
      <c r="D259" t="inlineStr">
        <is>
          <t>2409</t>
        </is>
      </c>
      <c r="E259" t="inlineStr">
        <is>
          <t>Seguridad de transporte</t>
        </is>
      </c>
      <c r="F259" t="inlineStr">
        <is>
          <t>2409064</t>
        </is>
      </c>
      <c r="G259" t="inlineStr">
        <is>
          <t>Documentos de estudios técnicos</t>
        </is>
      </c>
      <c r="H259" t="inlineStr">
        <is>
          <t>240906400</t>
        </is>
      </c>
      <c r="I259" t="inlineStr">
        <is>
          <t>Documentos de estudios técnicos realizados</t>
        </is>
      </c>
      <c r="J259" t="inlineStr">
        <is>
          <t>2024257580074</t>
        </is>
      </c>
      <c r="K259" t="inlineStr">
        <is>
          <t>Si</t>
        </is>
      </c>
      <c r="L259" t="inlineStr">
        <is>
          <t>Número</t>
        </is>
      </c>
      <c r="M259">
        <v>1</v>
      </c>
      <c r="N259">
        <v>0</v>
      </c>
      <c r="O259">
        <v>1</v>
      </c>
      <c r="P259">
        <v>1</v>
      </c>
      <c r="Q259">
        <v>1</v>
      </c>
      <c r="R259" t="inlineStr">
        <is>
          <t xml:space="preserve"> </t>
        </is>
      </c>
      <c r="S259" s="103" t="inlineStr">
        <is>
          <t xml:space="preserve"> </t>
        </is>
      </c>
      <c r="T259" t="inlineStr">
        <is>
          <t>No se encontró ejecución en PIIP</t>
        </is>
      </c>
      <c r="U259" t="inlineStr">
        <is>
          <t xml:space="preserve"> </t>
        </is>
      </c>
      <c r="V259" s="104" t="inlineStr">
        <is>
          <t xml:space="preserve"> </t>
        </is>
      </c>
      <c r="W259" t="inlineStr">
        <is>
          <t>No se encontró ejecución en PIIP</t>
        </is>
      </c>
    </row>
    <row r="260">
      <c r="A260" t="inlineStr">
        <is>
          <t>IP-300</t>
        </is>
      </c>
      <c r="B260" t="inlineStr">
        <is>
          <t>24</t>
        </is>
      </c>
      <c r="C260" t="inlineStr">
        <is>
          <t>Transporte</t>
        </is>
      </c>
      <c r="D260" t="inlineStr">
        <is>
          <t>2409</t>
        </is>
      </c>
      <c r="E260" t="inlineStr">
        <is>
          <t>Seguridad de transporte</t>
        </is>
      </c>
      <c r="F260" t="inlineStr">
        <is>
          <t>2409008</t>
        </is>
      </c>
      <c r="G260" t="inlineStr">
        <is>
          <t>Documentos de lineamientos técnicos</t>
        </is>
      </c>
      <c r="H260" t="inlineStr">
        <is>
          <t>240900801</t>
        </is>
      </c>
      <c r="I260" t="inlineStr">
        <is>
          <t>Documentos de lineamientos técnicos en temas de seguridad de transporte formulados</t>
        </is>
      </c>
      <c r="J260" t="inlineStr">
        <is>
          <t>2024257580074</t>
        </is>
      </c>
      <c r="K260" t="inlineStr">
        <is>
          <t>Si</t>
        </is>
      </c>
      <c r="L260" t="inlineStr">
        <is>
          <t>Número</t>
        </is>
      </c>
      <c r="M260">
        <v>1</v>
      </c>
      <c r="N260">
        <v>0</v>
      </c>
      <c r="O260">
        <v>1</v>
      </c>
      <c r="P260">
        <v>1</v>
      </c>
      <c r="Q260">
        <v>1</v>
      </c>
      <c r="R260" t="inlineStr">
        <is>
          <t xml:space="preserve"> </t>
        </is>
      </c>
      <c r="S260" s="103" t="inlineStr">
        <is>
          <t xml:space="preserve"> </t>
        </is>
      </c>
      <c r="T260" t="inlineStr">
        <is>
          <t>No se encontró ejecución en PIIP</t>
        </is>
      </c>
      <c r="U260" t="inlineStr">
        <is>
          <t xml:space="preserve"> </t>
        </is>
      </c>
      <c r="V260" s="104" t="inlineStr">
        <is>
          <t xml:space="preserve"> </t>
        </is>
      </c>
      <c r="W260" t="inlineStr">
        <is>
          <t>No se encontró ejecución en PIIP</t>
        </is>
      </c>
    </row>
    <row r="261">
      <c r="A261" t="inlineStr">
        <is>
          <t>IP-301</t>
        </is>
      </c>
      <c r="B261" t="inlineStr">
        <is>
          <t>24</t>
        </is>
      </c>
      <c r="C261" t="inlineStr">
        <is>
          <t>Transporte</t>
        </is>
      </c>
      <c r="D261" t="inlineStr">
        <is>
          <t>2409</t>
        </is>
      </c>
      <c r="E261" t="inlineStr">
        <is>
          <t>Seguridad de transporte</t>
        </is>
      </c>
      <c r="F261" t="inlineStr">
        <is>
          <t>2409014</t>
        </is>
      </c>
      <c r="G261" t="inlineStr">
        <is>
          <t>Documentos de planeación</t>
        </is>
      </c>
      <c r="H261" t="inlineStr">
        <is>
          <t>240901400</t>
        </is>
      </c>
      <c r="I261" t="inlineStr">
        <is>
          <t>Documentos de planeación realizados</t>
        </is>
      </c>
      <c r="J261" t="inlineStr">
        <is>
          <t>2024257580036</t>
        </is>
      </c>
      <c r="K261" t="inlineStr">
        <is>
          <t>Si</t>
        </is>
      </c>
      <c r="L261" t="inlineStr">
        <is>
          <t>Número</t>
        </is>
      </c>
      <c r="M261">
        <v>3</v>
      </c>
      <c r="N261">
        <v>0.5</v>
      </c>
      <c r="O261">
        <v>3</v>
      </c>
      <c r="P261">
        <v>3</v>
      </c>
      <c r="Q261">
        <v>3</v>
      </c>
      <c r="R261" t="inlineStr">
        <is>
          <t xml:space="preserve"> </t>
        </is>
      </c>
      <c r="S261" s="103" t="inlineStr">
        <is>
          <t xml:space="preserve"> </t>
        </is>
      </c>
      <c r="T261" t="inlineStr">
        <is>
          <t>No se encontró ejecución en PIIP</t>
        </is>
      </c>
      <c r="U261" t="inlineStr">
        <is>
          <t xml:space="preserve"> </t>
        </is>
      </c>
      <c r="V261" s="104" t="inlineStr">
        <is>
          <t xml:space="preserve"> </t>
        </is>
      </c>
      <c r="W261" t="inlineStr">
        <is>
          <t>No se encontró ejecución en PIIP</t>
        </is>
      </c>
    </row>
    <row r="262">
      <c r="A262" t="inlineStr">
        <is>
          <t>IP-302</t>
        </is>
      </c>
      <c r="B262" t="inlineStr">
        <is>
          <t>24</t>
        </is>
      </c>
      <c r="C262" t="inlineStr">
        <is>
          <t>Transporte</t>
        </is>
      </c>
      <c r="D262" t="inlineStr">
        <is>
          <t>2409</t>
        </is>
      </c>
      <c r="E262" t="inlineStr">
        <is>
          <t>Seguridad de transporte</t>
        </is>
      </c>
      <c r="F262" t="inlineStr">
        <is>
          <t>2409007</t>
        </is>
      </c>
      <c r="G262" t="inlineStr">
        <is>
          <t>Servicio de asistencia técnica en temas de seguridad de transporte</t>
        </is>
      </c>
      <c r="H262" t="inlineStr">
        <is>
          <t>240900700</t>
        </is>
      </c>
      <c r="I262" t="inlineStr">
        <is>
          <t>Entidades asistidas técnicamente</t>
        </is>
      </c>
      <c r="J262" t="inlineStr">
        <is>
          <t>2024257580036</t>
        </is>
      </c>
      <c r="K262" t="inlineStr">
        <is>
          <t>Si</t>
        </is>
      </c>
      <c r="L262" t="inlineStr">
        <is>
          <t>Número</t>
        </is>
      </c>
      <c r="M262">
        <v>13</v>
      </c>
      <c r="N262">
        <v>2</v>
      </c>
      <c r="O262">
        <v>13</v>
      </c>
      <c r="P262">
        <v>13</v>
      </c>
      <c r="Q262">
        <v>13</v>
      </c>
      <c r="R262" t="inlineStr">
        <is>
          <t xml:space="preserve"> </t>
        </is>
      </c>
      <c r="S262" s="103" t="inlineStr">
        <is>
          <t xml:space="preserve"> </t>
        </is>
      </c>
      <c r="T262" t="inlineStr">
        <is>
          <t>No se encontró ejecución en PIIP</t>
        </is>
      </c>
      <c r="U262" t="inlineStr">
        <is>
          <t xml:space="preserve"> </t>
        </is>
      </c>
      <c r="V262" s="104" t="inlineStr">
        <is>
          <t xml:space="preserve"> </t>
        </is>
      </c>
      <c r="W262" t="inlineStr">
        <is>
          <t>No se encontró ejecución en PIIP</t>
        </is>
      </c>
    </row>
    <row r="263">
      <c r="A263" t="inlineStr">
        <is>
          <t>IP-303, IP-305</t>
        </is>
      </c>
      <c r="B263" t="inlineStr">
        <is>
          <t>24</t>
        </is>
      </c>
      <c r="C263" t="inlineStr">
        <is>
          <t>Transporte</t>
        </is>
      </c>
      <c r="D263" t="inlineStr">
        <is>
          <t>2409</t>
        </is>
      </c>
      <c r="E263" t="inlineStr">
        <is>
          <t>Seguridad de transporte</t>
        </is>
      </c>
      <c r="F263" t="inlineStr">
        <is>
          <t>2409002</t>
        </is>
      </c>
      <c r="G263" t="inlineStr">
        <is>
          <t>Servicio de sensibilización a usuarios de los sistemas de transporte, en relación con la seguridad al desplazarse</t>
        </is>
      </c>
      <c r="H263" t="inlineStr">
        <is>
          <t>240900200</t>
        </is>
      </c>
      <c r="I263" t="inlineStr">
        <is>
          <t>Campañas realizadas</t>
        </is>
      </c>
      <c r="J263" t="inlineStr">
        <is>
          <t>2024257580036</t>
        </is>
      </c>
      <c r="K263" t="inlineStr">
        <is>
          <t>No</t>
        </is>
      </c>
      <c r="L263" t="inlineStr">
        <is>
          <t>Número</t>
        </is>
      </c>
      <c r="M263">
        <v>36</v>
      </c>
      <c r="N263">
        <v>13</v>
      </c>
      <c r="O263">
        <v>15</v>
      </c>
      <c r="P263">
        <v>14</v>
      </c>
      <c r="Q263">
        <v>14</v>
      </c>
      <c r="R263" t="inlineStr">
        <is>
          <t xml:space="preserve"> </t>
        </is>
      </c>
      <c r="S263" s="103" t="inlineStr">
        <is>
          <t xml:space="preserve"> </t>
        </is>
      </c>
      <c r="T263" t="inlineStr">
        <is>
          <t>No se encontró ejecución en PIIP</t>
        </is>
      </c>
      <c r="U263" t="inlineStr">
        <is>
          <t xml:space="preserve"> </t>
        </is>
      </c>
      <c r="V263" s="104" t="inlineStr">
        <is>
          <t xml:space="preserve"> </t>
        </is>
      </c>
      <c r="W263" t="inlineStr">
        <is>
          <t>No se encontró ejecución en PIIP</t>
        </is>
      </c>
    </row>
    <row r="264">
      <c r="A264" t="inlineStr">
        <is>
          <t>IP-304</t>
        </is>
      </c>
      <c r="B264" t="inlineStr">
        <is>
          <t>24</t>
        </is>
      </c>
      <c r="C264" t="inlineStr">
        <is>
          <t>Transporte</t>
        </is>
      </c>
      <c r="D264" t="inlineStr">
        <is>
          <t>2409</t>
        </is>
      </c>
      <c r="E264" t="inlineStr">
        <is>
          <t>Seguridad de transporte</t>
        </is>
      </c>
      <c r="F264" t="inlineStr">
        <is>
          <t>2409059</t>
        </is>
      </c>
      <c r="G264" t="inlineStr">
        <is>
          <t>Servicio de información implementado</t>
        </is>
      </c>
      <c r="H264" t="inlineStr">
        <is>
          <t>240905900</t>
        </is>
      </c>
      <c r="I264" t="inlineStr">
        <is>
          <t>Sistemas de información implementados</t>
        </is>
      </c>
      <c r="J264" t="inlineStr">
        <is>
          <t>2024257580036</t>
        </is>
      </c>
      <c r="K264" t="inlineStr">
        <is>
          <t>No</t>
        </is>
      </c>
      <c r="L264" t="inlineStr">
        <is>
          <t>Número</t>
        </is>
      </c>
      <c r="M264">
        <v>1</v>
      </c>
      <c r="N264">
        <v>0.2</v>
      </c>
      <c r="O264">
        <v>1</v>
      </c>
      <c r="P264">
        <v>1</v>
      </c>
      <c r="Q264">
        <v>1</v>
      </c>
      <c r="R264" t="inlineStr">
        <is>
          <t xml:space="preserve"> </t>
        </is>
      </c>
      <c r="S264" s="103" t="inlineStr">
        <is>
          <t xml:space="preserve"> </t>
        </is>
      </c>
      <c r="T264" t="inlineStr">
        <is>
          <t>No se encontró ejecución en PIIP</t>
        </is>
      </c>
      <c r="U264" t="inlineStr">
        <is>
          <t xml:space="preserve"> </t>
        </is>
      </c>
      <c r="V264" s="104" t="inlineStr">
        <is>
          <t xml:space="preserve"> </t>
        </is>
      </c>
      <c r="W264" t="inlineStr">
        <is>
          <t>No se encontró ejecución en PIIP</t>
        </is>
      </c>
    </row>
    <row r="265">
      <c r="A265" t="inlineStr">
        <is>
          <t>IP-306</t>
        </is>
      </c>
      <c r="B265" t="inlineStr">
        <is>
          <t>24</t>
        </is>
      </c>
      <c r="C265" t="inlineStr">
        <is>
          <t>Transporte</t>
        </is>
      </c>
      <c r="D265" t="inlineStr">
        <is>
          <t>2409</t>
        </is>
      </c>
      <c r="E265" t="inlineStr">
        <is>
          <t>Seguridad de transporte</t>
        </is>
      </c>
      <c r="F265" t="inlineStr">
        <is>
          <t>2409063</t>
        </is>
      </c>
      <c r="G265" t="inlineStr">
        <is>
          <t>Servicio de educación informal</t>
        </is>
      </c>
      <c r="H265" t="inlineStr">
        <is>
          <t>240906301</t>
        </is>
      </c>
      <c r="I265" t="inlineStr">
        <is>
          <t>Estrategias pedagógicas implementadas</t>
        </is>
      </c>
      <c r="J265" t="inlineStr">
        <is>
          <t>2024257580036</t>
        </is>
      </c>
      <c r="K265" t="inlineStr">
        <is>
          <t>Si</t>
        </is>
      </c>
      <c r="L265" t="inlineStr">
        <is>
          <t>Número</t>
        </is>
      </c>
      <c r="M265">
        <v>1</v>
      </c>
      <c r="N265">
        <v>0</v>
      </c>
      <c r="O265">
        <v>200</v>
      </c>
      <c r="P265">
        <v>200</v>
      </c>
      <c r="Q265">
        <v>200</v>
      </c>
      <c r="R265" t="inlineStr">
        <is>
          <t xml:space="preserve"> </t>
        </is>
      </c>
      <c r="S265" s="103" t="inlineStr">
        <is>
          <t xml:space="preserve"> </t>
        </is>
      </c>
      <c r="T265" t="inlineStr">
        <is>
          <t>No se encontró ejecución en PIIP</t>
        </is>
      </c>
      <c r="U265" t="inlineStr">
        <is>
          <t xml:space="preserve"> </t>
        </is>
      </c>
      <c r="V265" s="104" t="inlineStr">
        <is>
          <t xml:space="preserve"> </t>
        </is>
      </c>
      <c r="W265" t="inlineStr">
        <is>
          <t>No se encontró ejecución en PIIP</t>
        </is>
      </c>
    </row>
    <row r="266">
      <c r="A266" t="inlineStr">
        <is>
          <t>IP-307</t>
        </is>
      </c>
      <c r="B266" t="inlineStr">
        <is>
          <t>40</t>
        </is>
      </c>
      <c r="C266" t="inlineStr">
        <is>
          <t>Vivienda, ciudad y territorio</t>
        </is>
      </c>
      <c r="D266" t="inlineStr">
        <is>
          <t>4001</t>
        </is>
      </c>
      <c r="E266" t="inlineStr">
        <is>
          <t>Acceso a soluciones de vivienda</t>
        </is>
      </c>
      <c r="F266" t="inlineStr">
        <is>
          <t>4001039</t>
        </is>
      </c>
      <c r="G266" t="inlineStr">
        <is>
          <t>Vivienda de Interés Prioritario construidas</t>
        </is>
      </c>
      <c r="H266" t="inlineStr">
        <is>
          <t>400103900</t>
        </is>
      </c>
      <c r="I266" t="inlineStr">
        <is>
          <t>Vivienda de Interés Prioritario construidas</t>
        </is>
      </c>
      <c r="J266" t="inlineStr">
        <is>
          <t>2024257580034</t>
        </is>
      </c>
      <c r="K266" t="inlineStr">
        <is>
          <t>No</t>
        </is>
      </c>
      <c r="L266" t="inlineStr">
        <is>
          <t>Número</t>
        </is>
      </c>
      <c r="M266">
        <v>216</v>
      </c>
      <c r="N266">
        <v>144</v>
      </c>
      <c r="O266">
        <v>72</v>
      </c>
      <c r="P266">
        <v>0</v>
      </c>
      <c r="Q266">
        <v>0</v>
      </c>
      <c r="R266" t="inlineStr">
        <is>
          <t xml:space="preserve"> </t>
        </is>
      </c>
      <c r="S266" s="103" t="inlineStr">
        <is>
          <t xml:space="preserve"> </t>
        </is>
      </c>
      <c r="T266" t="inlineStr">
        <is>
          <t>No se encontró ejecución en PIIP</t>
        </is>
      </c>
      <c r="U266" t="inlineStr">
        <is>
          <t xml:space="preserve"> </t>
        </is>
      </c>
      <c r="V266" s="104" t="inlineStr">
        <is>
          <t xml:space="preserve"> </t>
        </is>
      </c>
      <c r="W266" t="inlineStr">
        <is>
          <t>No se encontró ejecución en PIIP</t>
        </is>
      </c>
    </row>
    <row r="267">
      <c r="A267" t="inlineStr">
        <is>
          <t>IP-308</t>
        </is>
      </c>
      <c r="B267" t="inlineStr">
        <is>
          <t>40</t>
        </is>
      </c>
      <c r="C267" t="inlineStr">
        <is>
          <t>Vivienda, ciudad y territorio</t>
        </is>
      </c>
      <c r="D267" t="inlineStr">
        <is>
          <t>4001</t>
        </is>
      </c>
      <c r="E267" t="inlineStr">
        <is>
          <t>Acceso a soluciones de vivienda</t>
        </is>
      </c>
      <c r="F267" t="inlineStr">
        <is>
          <t>4001004</t>
        </is>
      </c>
      <c r="G267" t="inlineStr">
        <is>
          <t>Documentos de planeación</t>
        </is>
      </c>
      <c r="H267" t="inlineStr">
        <is>
          <t>400100401</t>
        </is>
      </c>
      <c r="I267" t="inlineStr">
        <is>
          <t>Documentos de planeación en política de vivienda elaborados</t>
        </is>
      </c>
      <c r="J267" t="inlineStr">
        <is>
          <t>2024257580034</t>
        </is>
      </c>
      <c r="K267" t="inlineStr">
        <is>
          <t>Si</t>
        </is>
      </c>
      <c r="L267" t="inlineStr">
        <is>
          <t>Número</t>
        </is>
      </c>
      <c r="M267">
        <v>1</v>
      </c>
      <c r="N267">
        <v>1</v>
      </c>
      <c r="O267">
        <v>1</v>
      </c>
      <c r="P267">
        <v>1</v>
      </c>
      <c r="Q267">
        <v>1</v>
      </c>
      <c r="R267" t="inlineStr">
        <is>
          <t xml:space="preserve"> </t>
        </is>
      </c>
      <c r="S267" s="103" t="inlineStr">
        <is>
          <t xml:space="preserve"> </t>
        </is>
      </c>
      <c r="T267" t="inlineStr">
        <is>
          <t>No se encontró ejecución en PIIP</t>
        </is>
      </c>
      <c r="U267" t="inlineStr">
        <is>
          <t xml:space="preserve"> </t>
        </is>
      </c>
      <c r="V267" s="104" t="inlineStr">
        <is>
          <t xml:space="preserve"> </t>
        </is>
      </c>
      <c r="W267" t="inlineStr">
        <is>
          <t>No se encontró ejecución en PIIP</t>
        </is>
      </c>
    </row>
    <row r="268">
      <c r="A268" t="inlineStr">
        <is>
          <t>IP-309</t>
        </is>
      </c>
      <c r="B268" t="inlineStr">
        <is>
          <t>40</t>
        </is>
      </c>
      <c r="C268" t="inlineStr">
        <is>
          <t>Vivienda, ciudad y territorio</t>
        </is>
      </c>
      <c r="D268" t="inlineStr">
        <is>
          <t>4001</t>
        </is>
      </c>
      <c r="E268" t="inlineStr">
        <is>
          <t>Acceso a soluciones de vivienda</t>
        </is>
      </c>
      <c r="F268" t="inlineStr">
        <is>
          <t>4001034</t>
        </is>
      </c>
      <c r="G268" t="inlineStr">
        <is>
          <t>Servicio de apoyo financiero para construcción de vivienda en sitio propio</t>
        </is>
      </c>
      <c r="H268" t="inlineStr">
        <is>
          <t>400103400</t>
        </is>
      </c>
      <c r="I268" t="inlineStr">
        <is>
          <t>Hogares beneficiados con construcción de vivienda en sitio propio</t>
        </is>
      </c>
      <c r="J268" t="inlineStr">
        <is>
          <t>2024257580034</t>
        </is>
      </c>
      <c r="K268" t="inlineStr">
        <is>
          <t>No</t>
        </is>
      </c>
      <c r="L268" t="inlineStr">
        <is>
          <t>Número</t>
        </is>
      </c>
      <c r="M268">
        <v>20</v>
      </c>
      <c r="N268">
        <v>1</v>
      </c>
      <c r="O268">
        <v>6</v>
      </c>
      <c r="P268">
        <v>7</v>
      </c>
      <c r="Q268">
        <v>6</v>
      </c>
      <c r="R268" t="inlineStr">
        <is>
          <t xml:space="preserve"> </t>
        </is>
      </c>
      <c r="S268" s="103" t="inlineStr">
        <is>
          <t xml:space="preserve"> </t>
        </is>
      </c>
      <c r="T268" t="inlineStr">
        <is>
          <t>No se encontró ejecución en PIIP</t>
        </is>
      </c>
      <c r="U268" t="inlineStr">
        <is>
          <t xml:space="preserve"> </t>
        </is>
      </c>
      <c r="V268" s="104" t="inlineStr">
        <is>
          <t xml:space="preserve"> </t>
        </is>
      </c>
      <c r="W268" t="inlineStr">
        <is>
          <t>No se encontró ejecución en PIIP</t>
        </is>
      </c>
    </row>
    <row r="269">
      <c r="A269" t="inlineStr">
        <is>
          <t>IP-310, IP-311</t>
        </is>
      </c>
      <c r="B269" t="inlineStr">
        <is>
          <t>40</t>
        </is>
      </c>
      <c r="C269" t="inlineStr">
        <is>
          <t>Vivienda, ciudad y territorio</t>
        </is>
      </c>
      <c r="D269" t="inlineStr">
        <is>
          <t>4001</t>
        </is>
      </c>
      <c r="E269" t="inlineStr">
        <is>
          <t>Acceso a soluciones de vivienda</t>
        </is>
      </c>
      <c r="F269" t="inlineStr">
        <is>
          <t>4001032</t>
        </is>
      </c>
      <c r="G269" t="inlineStr">
        <is>
          <t>Servicio de apoyo financiero para mejoramiento de vivienda</t>
        </is>
      </c>
      <c r="H269" t="inlineStr">
        <is>
          <t>400103204</t>
        </is>
      </c>
      <c r="I269" t="inlineStr">
        <is>
          <t>Hogares beneficiados con mejoramiento de una vivienda rural</t>
        </is>
      </c>
      <c r="J269" t="inlineStr">
        <is>
          <t>2024257580040</t>
        </is>
      </c>
      <c r="K269" t="inlineStr">
        <is>
          <t>No</t>
        </is>
      </c>
      <c r="L269" t="inlineStr">
        <is>
          <t>Número</t>
        </is>
      </c>
      <c r="M269">
        <v>300</v>
      </c>
      <c r="N269">
        <v>35</v>
      </c>
      <c r="O269">
        <v>75</v>
      </c>
      <c r="P269">
        <v>95</v>
      </c>
      <c r="Q269">
        <v>95</v>
      </c>
      <c r="R269" t="inlineStr">
        <is>
          <t xml:space="preserve"> </t>
        </is>
      </c>
      <c r="S269" s="103" t="inlineStr">
        <is>
          <t xml:space="preserve"> </t>
        </is>
      </c>
      <c r="T269" t="inlineStr">
        <is>
          <t>No se encontró ejecución en PIIP</t>
        </is>
      </c>
      <c r="U269" t="inlineStr">
        <is>
          <t xml:space="preserve"> </t>
        </is>
      </c>
      <c r="V269" s="104" t="inlineStr">
        <is>
          <t xml:space="preserve"> </t>
        </is>
      </c>
      <c r="W269" t="inlineStr">
        <is>
          <t>No se encontró ejecución en PIIP</t>
        </is>
      </c>
    </row>
    <row r="270">
      <c r="A270" t="inlineStr">
        <is>
          <t>IP-312</t>
        </is>
      </c>
      <c r="B270" t="inlineStr">
        <is>
          <t>40</t>
        </is>
      </c>
      <c r="C270" t="inlineStr">
        <is>
          <t>Vivienda, ciudad y territorio</t>
        </is>
      </c>
      <c r="D270" t="inlineStr">
        <is>
          <t>4001</t>
        </is>
      </c>
      <c r="E270" t="inlineStr">
        <is>
          <t>Acceso a soluciones de vivienda</t>
        </is>
      </c>
      <c r="F270" t="inlineStr">
        <is>
          <t>4001004</t>
        </is>
      </c>
      <c r="G270" t="inlineStr">
        <is>
          <t>Documentos de planeación</t>
        </is>
      </c>
      <c r="H270" t="inlineStr">
        <is>
          <t>400100401</t>
        </is>
      </c>
      <c r="I270" t="inlineStr">
        <is>
          <t>Documentos de planeación en política de vivienda elaborados</t>
        </is>
      </c>
      <c r="J270" t="inlineStr">
        <is>
          <t>2024257580040</t>
        </is>
      </c>
      <c r="K270" t="inlineStr">
        <is>
          <t>Si</t>
        </is>
      </c>
      <c r="L270" t="inlineStr">
        <is>
          <t>Número</t>
        </is>
      </c>
      <c r="M270">
        <v>1</v>
      </c>
      <c r="N270">
        <v>1</v>
      </c>
      <c r="O270">
        <v>1</v>
      </c>
      <c r="P270">
        <v>1</v>
      </c>
      <c r="Q270">
        <v>1</v>
      </c>
      <c r="R270" t="inlineStr">
        <is>
          <t xml:space="preserve"> </t>
        </is>
      </c>
      <c r="S270" s="103" t="inlineStr">
        <is>
          <t xml:space="preserve"> </t>
        </is>
      </c>
      <c r="T270" t="inlineStr">
        <is>
          <t>No se encontró ejecución en PIIP</t>
        </is>
      </c>
      <c r="U270" t="inlineStr">
        <is>
          <t xml:space="preserve"> </t>
        </is>
      </c>
      <c r="V270" s="104" t="inlineStr">
        <is>
          <t xml:space="preserve"> </t>
        </is>
      </c>
      <c r="W270" t="inlineStr">
        <is>
          <t>No se encontró ejecución en PIIP</t>
        </is>
      </c>
    </row>
    <row r="271">
      <c r="A271" t="inlineStr">
        <is>
          <t>IP-314</t>
        </is>
      </c>
      <c r="B271" t="inlineStr">
        <is>
          <t>40</t>
        </is>
      </c>
      <c r="C271" t="inlineStr">
        <is>
          <t>Vivienda, ciudad y territorio</t>
        </is>
      </c>
      <c r="D271" t="inlineStr">
        <is>
          <t>4001</t>
        </is>
      </c>
      <c r="E271" t="inlineStr">
        <is>
          <t>Acceso a soluciones de vivienda</t>
        </is>
      </c>
      <c r="F271" t="inlineStr">
        <is>
          <t>4001001</t>
        </is>
      </c>
      <c r="G271" t="inlineStr">
        <is>
          <t>Servicio de asistencia técnica y jurídica en saneamiento y titulación de predios</t>
        </is>
      </c>
      <c r="H271" t="inlineStr">
        <is>
          <t>400100101</t>
        </is>
      </c>
      <c r="I271" t="inlineStr">
        <is>
          <t>Asistencias técnicas y jurídicas realizadas</t>
        </is>
      </c>
      <c r="J271" t="inlineStr">
        <is>
          <t>2024257580040</t>
        </is>
      </c>
      <c r="K271" t="inlineStr">
        <is>
          <t>No</t>
        </is>
      </c>
      <c r="L271" t="inlineStr">
        <is>
          <t>Número</t>
        </is>
      </c>
      <c r="M271">
        <v>100</v>
      </c>
      <c r="N271">
        <v>25</v>
      </c>
      <c r="O271">
        <v>25</v>
      </c>
      <c r="P271">
        <v>25</v>
      </c>
      <c r="Q271">
        <v>25</v>
      </c>
      <c r="R271" t="inlineStr">
        <is>
          <t xml:space="preserve"> </t>
        </is>
      </c>
      <c r="S271" s="103" t="inlineStr">
        <is>
          <t xml:space="preserve"> </t>
        </is>
      </c>
      <c r="T271" t="inlineStr">
        <is>
          <t>No se encontró ejecución en PIIP</t>
        </is>
      </c>
      <c r="U271" t="inlineStr">
        <is>
          <t xml:space="preserve"> </t>
        </is>
      </c>
      <c r="V271" s="104" t="inlineStr">
        <is>
          <t xml:space="preserve"> </t>
        </is>
      </c>
      <c r="W271" t="inlineStr">
        <is>
          <t>No se encontró ejecución en PIIP</t>
        </is>
      </c>
    </row>
    <row r="272">
      <c r="A272" t="inlineStr">
        <is>
          <t>IP-315</t>
        </is>
      </c>
      <c r="B272" t="inlineStr">
        <is>
          <t>40</t>
        </is>
      </c>
      <c r="C272" t="inlineStr">
        <is>
          <t>Vivienda, ciudad y territorio</t>
        </is>
      </c>
      <c r="D272" t="inlineStr">
        <is>
          <t>4001</t>
        </is>
      </c>
      <c r="E272" t="inlineStr">
        <is>
          <t>Acceso a soluciones de vivienda</t>
        </is>
      </c>
      <c r="F272" t="inlineStr">
        <is>
          <t>4001032</t>
        </is>
      </c>
      <c r="G272" t="inlineStr">
        <is>
          <t>Servicio de apoyo financiero para mejoramiento de vivienda</t>
        </is>
      </c>
      <c r="H272" t="inlineStr">
        <is>
          <t>400103203</t>
        </is>
      </c>
      <c r="I272" t="inlineStr">
        <is>
          <t>Hogares beneficiados con mejoramiento de una vivienda urbana</t>
        </is>
      </c>
      <c r="J272" t="inlineStr">
        <is>
          <t>2024257580040</t>
        </is>
      </c>
      <c r="K272" t="inlineStr">
        <is>
          <t>Si</t>
        </is>
      </c>
      <c r="L272" t="inlineStr">
        <is>
          <t>Número</t>
        </is>
      </c>
      <c r="M272">
        <v>1</v>
      </c>
      <c r="N272">
        <v>1</v>
      </c>
      <c r="O272">
        <v>1</v>
      </c>
      <c r="P272">
        <v>1</v>
      </c>
      <c r="Q272">
        <v>1</v>
      </c>
      <c r="R272" t="inlineStr">
        <is>
          <t xml:space="preserve"> </t>
        </is>
      </c>
      <c r="S272" s="103" t="inlineStr">
        <is>
          <t xml:space="preserve"> </t>
        </is>
      </c>
      <c r="T272" t="inlineStr">
        <is>
          <t>No se encontró ejecución en PIIP</t>
        </is>
      </c>
      <c r="U272" t="inlineStr">
        <is>
          <t xml:space="preserve"> </t>
        </is>
      </c>
      <c r="V272" s="104" t="inlineStr">
        <is>
          <t xml:space="preserve"> </t>
        </is>
      </c>
      <c r="W272" t="inlineStr">
        <is>
          <t>No se encontró ejecución en PIIP</t>
        </is>
      </c>
    </row>
    <row r="273">
      <c r="A273" t="inlineStr">
        <is>
          <t>IP-316</t>
        </is>
      </c>
      <c r="B273" t="inlineStr">
        <is>
          <t>40</t>
        </is>
      </c>
      <c r="C273" t="inlineStr">
        <is>
          <t>Vivienda, ciudad y territorio</t>
        </is>
      </c>
      <c r="D273" t="inlineStr">
        <is>
          <t>4003</t>
        </is>
      </c>
      <c r="E273" t="inlineStr">
        <is>
          <t>Acceso de la población a los servicios de agua potable y saneamiento básico</t>
        </is>
      </c>
      <c r="F273" t="inlineStr">
        <is>
          <t>4003009</t>
        </is>
      </c>
      <c r="G273" t="inlineStr">
        <is>
          <t>Servicio de Acueducto</t>
        </is>
      </c>
      <c r="H273" t="inlineStr">
        <is>
          <t>400300900</t>
        </is>
      </c>
      <c r="I273" t="inlineStr">
        <is>
          <t>Usuarios conectados a la red de servicio de acueducto</t>
        </is>
      </c>
      <c r="J273" t="inlineStr">
        <is>
          <t>2024257580076</t>
        </is>
      </c>
      <c r="K273" t="inlineStr">
        <is>
          <t>Si</t>
        </is>
      </c>
      <c r="L273" t="inlineStr">
        <is>
          <t>Número</t>
        </is>
      </c>
      <c r="M273">
        <v>78</v>
      </c>
      <c r="N273">
        <v>75</v>
      </c>
      <c r="O273">
        <v>75</v>
      </c>
      <c r="P273">
        <v>76</v>
      </c>
      <c r="Q273">
        <v>78</v>
      </c>
      <c r="R273" t="inlineStr">
        <is>
          <t xml:space="preserve"> </t>
        </is>
      </c>
      <c r="S273" s="103" t="inlineStr">
        <is>
          <t xml:space="preserve"> </t>
        </is>
      </c>
      <c r="T273" t="inlineStr">
        <is>
          <t>No se encontró ejecución en PIIP</t>
        </is>
      </c>
      <c r="U273" t="inlineStr">
        <is>
          <t xml:space="preserve"> </t>
        </is>
      </c>
      <c r="V273" s="104" t="inlineStr">
        <is>
          <t xml:space="preserve"> </t>
        </is>
      </c>
      <c r="W273" t="inlineStr">
        <is>
          <t>No se encontró ejecución en PIIP</t>
        </is>
      </c>
    </row>
    <row r="274">
      <c r="A274" t="inlineStr">
        <is>
          <t>IP-317</t>
        </is>
      </c>
      <c r="B274" t="inlineStr">
        <is>
          <t>40</t>
        </is>
      </c>
      <c r="C274" t="inlineStr">
        <is>
          <t>Vivienda, ciudad y territorio</t>
        </is>
      </c>
      <c r="D274" t="inlineStr">
        <is>
          <t>4003</t>
        </is>
      </c>
      <c r="E274" t="inlineStr">
        <is>
          <t>Acceso de la población a los servicios de agua potable y saneamiento básico</t>
        </is>
      </c>
      <c r="F274" t="inlineStr">
        <is>
          <t>4003016</t>
        </is>
      </c>
      <c r="G274" t="inlineStr">
        <is>
          <t>Acueductos ampliados</t>
        </is>
      </c>
      <c r="H274" t="inlineStr">
        <is>
          <t>400301603</t>
        </is>
      </c>
      <c r="I274" t="inlineStr">
        <is>
          <t>Red de distribución ampliada</t>
        </is>
      </c>
      <c r="J274" t="inlineStr">
        <is>
          <t>2024257580076</t>
        </is>
      </c>
      <c r="K274" t="inlineStr">
        <is>
          <t>Si</t>
        </is>
      </c>
      <c r="L274" t="inlineStr">
        <is>
          <t xml:space="preserve">Metros </t>
        </is>
      </c>
      <c r="M274">
        <v>27</v>
      </c>
      <c r="N274">
        <v>21</v>
      </c>
      <c r="O274">
        <v>27</v>
      </c>
      <c r="P274">
        <v>0</v>
      </c>
      <c r="Q274">
        <v>0</v>
      </c>
      <c r="R274" t="inlineStr">
        <is>
          <t xml:space="preserve"> </t>
        </is>
      </c>
      <c r="S274" s="103" t="inlineStr">
        <is>
          <t xml:space="preserve"> </t>
        </is>
      </c>
      <c r="T274" t="inlineStr">
        <is>
          <t>No se encontró ejecución en PIIP</t>
        </is>
      </c>
      <c r="U274" t="inlineStr">
        <is>
          <t xml:space="preserve"> </t>
        </is>
      </c>
      <c r="V274" s="104" t="inlineStr">
        <is>
          <t xml:space="preserve"> </t>
        </is>
      </c>
      <c r="W274" t="inlineStr">
        <is>
          <t>No se encontró ejecución en PIIP</t>
        </is>
      </c>
    </row>
    <row r="275">
      <c r="A275" t="inlineStr">
        <is>
          <t>IP-318, IP-320</t>
        </is>
      </c>
      <c r="B275" t="inlineStr">
        <is>
          <t>40</t>
        </is>
      </c>
      <c r="C275" t="inlineStr">
        <is>
          <t>Vivienda, ciudad y territorio</t>
        </is>
      </c>
      <c r="D275" t="inlineStr">
        <is>
          <t>4003</t>
        </is>
      </c>
      <c r="E275" t="inlineStr">
        <is>
          <t>Acceso de la población a los servicios de agua potable y saneamiento básico</t>
        </is>
      </c>
      <c r="F275" t="inlineStr">
        <is>
          <t>4003017</t>
        </is>
      </c>
      <c r="G275" t="inlineStr">
        <is>
          <t>Acueductos optimizados</t>
        </is>
      </c>
      <c r="H275" t="inlineStr">
        <is>
          <t>400301702</t>
        </is>
      </c>
      <c r="I275" t="inlineStr">
        <is>
          <t>Plantas de tratamiento de agua potable optimizadas</t>
        </is>
      </c>
      <c r="J275" t="inlineStr">
        <is>
          <t>2024257580076</t>
        </is>
      </c>
      <c r="K275" t="inlineStr">
        <is>
          <t>Si</t>
        </is>
      </c>
      <c r="L275" t="inlineStr">
        <is>
          <t>Número</t>
        </is>
      </c>
      <c r="M275">
        <v>101</v>
      </c>
      <c r="N275">
        <v>75.82</v>
      </c>
      <c r="O275">
        <v>86</v>
      </c>
      <c r="P275">
        <v>96</v>
      </c>
      <c r="Q275">
        <v>101</v>
      </c>
      <c r="R275" t="inlineStr">
        <is>
          <t xml:space="preserve"> </t>
        </is>
      </c>
      <c r="S275" s="103" t="inlineStr">
        <is>
          <t xml:space="preserve"> </t>
        </is>
      </c>
      <c r="T275" t="inlineStr">
        <is>
          <t>No se encontró ejecución en PIIP</t>
        </is>
      </c>
      <c r="U275" t="inlineStr">
        <is>
          <t xml:space="preserve"> </t>
        </is>
      </c>
      <c r="V275" s="104" t="inlineStr">
        <is>
          <t xml:space="preserve"> </t>
        </is>
      </c>
      <c r="W275" t="inlineStr">
        <is>
          <t>No se encontró ejecución en PIIP</t>
        </is>
      </c>
    </row>
    <row r="276">
      <c r="A276" t="inlineStr">
        <is>
          <t>IP-319</t>
        </is>
      </c>
      <c r="B276" t="inlineStr">
        <is>
          <t>40</t>
        </is>
      </c>
      <c r="C276" t="inlineStr">
        <is>
          <t>Vivienda, ciudad y territorio</t>
        </is>
      </c>
      <c r="D276" t="inlineStr">
        <is>
          <t>4003</t>
        </is>
      </c>
      <c r="E276" t="inlineStr">
        <is>
          <t>Acceso de la población a los servicios de agua potable y saneamiento básico</t>
        </is>
      </c>
      <c r="F276" t="inlineStr">
        <is>
          <t>4003052</t>
        </is>
      </c>
      <c r="G276" t="inlineStr">
        <is>
          <t>Servicio de asistencia técnica para la administración y operación de los servicios públicos domiciliarios</t>
        </is>
      </c>
      <c r="H276" t="inlineStr">
        <is>
          <t>400305200</t>
        </is>
      </c>
      <c r="I276" t="inlineStr">
        <is>
          <t>Asistencias técnicas realizadas</t>
        </is>
      </c>
      <c r="J276" t="inlineStr">
        <is>
          <t>2024257580076</t>
        </is>
      </c>
      <c r="K276" t="inlineStr">
        <is>
          <t>Si</t>
        </is>
      </c>
      <c r="L276" t="inlineStr">
        <is>
          <t>Número</t>
        </is>
      </c>
      <c r="M276">
        <v>8</v>
      </c>
      <c r="N276">
        <v>8</v>
      </c>
      <c r="O276">
        <v>8</v>
      </c>
      <c r="P276">
        <v>8</v>
      </c>
      <c r="Q276">
        <v>8</v>
      </c>
      <c r="R276" t="inlineStr">
        <is>
          <t xml:space="preserve"> </t>
        </is>
      </c>
      <c r="S276" s="103" t="inlineStr">
        <is>
          <t xml:space="preserve"> </t>
        </is>
      </c>
      <c r="T276" t="inlineStr">
        <is>
          <t>No se encontró ejecución en PIIP</t>
        </is>
      </c>
      <c r="U276" t="inlineStr">
        <is>
          <t xml:space="preserve"> </t>
        </is>
      </c>
      <c r="V276" s="104" t="inlineStr">
        <is>
          <t xml:space="preserve"> </t>
        </is>
      </c>
      <c r="W276" t="inlineStr">
        <is>
          <t>No se encontró ejecución en PIIP</t>
        </is>
      </c>
    </row>
    <row r="277">
      <c r="A277" t="inlineStr">
        <is>
          <t>IP-321</t>
        </is>
      </c>
      <c r="B277" t="inlineStr">
        <is>
          <t>40</t>
        </is>
      </c>
      <c r="C277" t="inlineStr">
        <is>
          <t>Vivienda, ciudad y territorio</t>
        </is>
      </c>
      <c r="D277" t="inlineStr">
        <is>
          <t>4003</t>
        </is>
      </c>
      <c r="E277" t="inlineStr">
        <is>
          <t>Acceso de la población a los servicios de agua potable y saneamiento básico</t>
        </is>
      </c>
      <c r="F277" t="inlineStr">
        <is>
          <t>4003006</t>
        </is>
      </c>
      <c r="G277" t="inlineStr">
        <is>
          <t>Documentos de planeación</t>
        </is>
      </c>
      <c r="H277" t="inlineStr">
        <is>
          <t>400300600</t>
        </is>
      </c>
      <c r="I277" t="inlineStr">
        <is>
          <t>Documentos de planeación elaborados</t>
        </is>
      </c>
      <c r="J277" t="inlineStr">
        <is>
          <t>2024257580076</t>
        </is>
      </c>
      <c r="K277" t="inlineStr">
        <is>
          <t>Si</t>
        </is>
      </c>
      <c r="L277" t="inlineStr">
        <is>
          <t>Número</t>
        </is>
      </c>
      <c r="M277">
        <v>1</v>
      </c>
      <c r="N277">
        <v>1</v>
      </c>
      <c r="O277">
        <v>1</v>
      </c>
      <c r="P277">
        <v>1</v>
      </c>
      <c r="Q277">
        <v>1</v>
      </c>
      <c r="R277" t="inlineStr">
        <is>
          <t xml:space="preserve"> </t>
        </is>
      </c>
      <c r="S277" s="103" t="inlineStr">
        <is>
          <t xml:space="preserve"> </t>
        </is>
      </c>
      <c r="T277" t="inlineStr">
        <is>
          <t>No se encontró ejecución en PIIP</t>
        </is>
      </c>
      <c r="U277" t="inlineStr">
        <is>
          <t xml:space="preserve"> </t>
        </is>
      </c>
      <c r="V277" s="104" t="inlineStr">
        <is>
          <t xml:space="preserve"> </t>
        </is>
      </c>
      <c r="W277" t="inlineStr">
        <is>
          <t>No se encontró ejecución en PIIP</t>
        </is>
      </c>
    </row>
    <row r="278">
      <c r="A278" t="inlineStr">
        <is>
          <t>IP-322</t>
        </is>
      </c>
      <c r="B278" t="inlineStr">
        <is>
          <t>40</t>
        </is>
      </c>
      <c r="C278" t="inlineStr">
        <is>
          <t>Vivienda, ciudad y territorio</t>
        </is>
      </c>
      <c r="D278" t="inlineStr">
        <is>
          <t>4003</t>
        </is>
      </c>
      <c r="E278" t="inlineStr">
        <is>
          <t>Acceso de la población a los servicios de agua potable y saneamiento básico</t>
        </is>
      </c>
      <c r="F278" t="inlineStr">
        <is>
          <t>4003014</t>
        </is>
      </c>
      <c r="G278" t="inlineStr">
        <is>
          <t>Servicio de Alcantarillado</t>
        </is>
      </c>
      <c r="H278" t="inlineStr">
        <is>
          <t>400301400</t>
        </is>
      </c>
      <c r="I278" t="inlineStr">
        <is>
          <t>Usuarios conectados a la red de servicio de alcantarillado</t>
        </is>
      </c>
      <c r="J278" t="inlineStr">
        <is>
          <t>2024257580080</t>
        </is>
      </c>
      <c r="K278" t="inlineStr">
        <is>
          <t>Si</t>
        </is>
      </c>
      <c r="L278" t="inlineStr">
        <is>
          <t>Número</t>
        </is>
      </c>
      <c r="M278">
        <v>56</v>
      </c>
      <c r="N278">
        <v>54</v>
      </c>
      <c r="O278">
        <v>54</v>
      </c>
      <c r="P278">
        <v>55</v>
      </c>
      <c r="Q278">
        <v>56</v>
      </c>
      <c r="R278" t="inlineStr">
        <is>
          <t xml:space="preserve"> </t>
        </is>
      </c>
      <c r="S278" s="103" t="inlineStr">
        <is>
          <t xml:space="preserve"> </t>
        </is>
      </c>
      <c r="T278" t="inlineStr">
        <is>
          <t>No se encontró ejecución en PIIP</t>
        </is>
      </c>
      <c r="U278" t="inlineStr">
        <is>
          <t xml:space="preserve"> </t>
        </is>
      </c>
      <c r="V278" s="104" t="inlineStr">
        <is>
          <t xml:space="preserve"> </t>
        </is>
      </c>
      <c r="W278" t="inlineStr">
        <is>
          <t>No se encontró ejecución en PIIP</t>
        </is>
      </c>
    </row>
    <row r="279">
      <c r="A279" t="inlineStr">
        <is>
          <t>IP-323</t>
        </is>
      </c>
      <c r="B279" t="inlineStr">
        <is>
          <t>40</t>
        </is>
      </c>
      <c r="C279" t="inlineStr">
        <is>
          <t>Vivienda, ciudad y territorio</t>
        </is>
      </c>
      <c r="D279" t="inlineStr">
        <is>
          <t>4003</t>
        </is>
      </c>
      <c r="E279" t="inlineStr">
        <is>
          <t>Acceso de la población a los servicios de agua potable y saneamiento básico</t>
        </is>
      </c>
      <c r="F279" t="inlineStr">
        <is>
          <t>4003018</t>
        </is>
      </c>
      <c r="G279" t="inlineStr">
        <is>
          <t>Alcantarillados construidos</t>
        </is>
      </c>
      <c r="H279" t="inlineStr">
        <is>
          <t>400301802</t>
        </is>
      </c>
      <c r="I279" t="inlineStr">
        <is>
          <t>Plantas de tratamiento de aguas residuales  construidas</t>
        </is>
      </c>
      <c r="J279" t="inlineStr">
        <is>
          <t>2024257580080</t>
        </is>
      </c>
      <c r="K279" t="inlineStr">
        <is>
          <t>Si</t>
        </is>
      </c>
      <c r="L279" t="inlineStr">
        <is>
          <t>Número</t>
        </is>
      </c>
      <c r="M279">
        <v>1</v>
      </c>
      <c r="N279">
        <v>0.95</v>
      </c>
      <c r="O279">
        <v>1</v>
      </c>
      <c r="P279">
        <v>1</v>
      </c>
      <c r="Q279">
        <v>1</v>
      </c>
      <c r="R279" t="inlineStr">
        <is>
          <t xml:space="preserve"> </t>
        </is>
      </c>
      <c r="S279" s="103" t="inlineStr">
        <is>
          <t xml:space="preserve"> </t>
        </is>
      </c>
      <c r="T279" t="inlineStr">
        <is>
          <t>No se encontró ejecución en PIIP</t>
        </is>
      </c>
      <c r="U279" t="inlineStr">
        <is>
          <t xml:space="preserve"> </t>
        </is>
      </c>
      <c r="V279" s="104" t="inlineStr">
        <is>
          <t xml:space="preserve"> </t>
        </is>
      </c>
      <c r="W279" t="inlineStr">
        <is>
          <t>No se encontró ejecución en PIIP</t>
        </is>
      </c>
    </row>
    <row r="280">
      <c r="A280" t="inlineStr">
        <is>
          <t>IP-324</t>
        </is>
      </c>
      <c r="B280" t="inlineStr">
        <is>
          <t>40</t>
        </is>
      </c>
      <c r="C280" t="inlineStr">
        <is>
          <t>Vivienda, ciudad y territorio</t>
        </is>
      </c>
      <c r="D280" t="inlineStr">
        <is>
          <t>4003</t>
        </is>
      </c>
      <c r="E280" t="inlineStr">
        <is>
          <t>Acceso de la población a los servicios de agua potable y saneamiento básico</t>
        </is>
      </c>
      <c r="F280" t="inlineStr">
        <is>
          <t>4003026</t>
        </is>
      </c>
      <c r="G280" t="inlineStr">
        <is>
          <t>Servicios de apoyo financiero para la ejecución de proyectos de acueductos y de manejo de aguas residuales</t>
        </is>
      </c>
      <c r="H280" t="inlineStr">
        <is>
          <t>400302600</t>
        </is>
      </c>
      <c r="I280" t="inlineStr">
        <is>
          <t>Proyectos de acueducto y de manejo de aguas residuales en área rural financiados</t>
        </is>
      </c>
      <c r="J280" t="inlineStr">
        <is>
          <t>2024257580080</t>
        </is>
      </c>
      <c r="K280" t="inlineStr">
        <is>
          <t>No</t>
        </is>
      </c>
      <c r="L280" t="inlineStr">
        <is>
          <t>Número</t>
        </is>
      </c>
      <c r="M280">
        <v>3</v>
      </c>
      <c r="N280">
        <v>1</v>
      </c>
      <c r="O280">
        <v>1</v>
      </c>
      <c r="P280">
        <v>1</v>
      </c>
      <c r="Q280">
        <v>0</v>
      </c>
      <c r="R280" t="inlineStr">
        <is>
          <t xml:space="preserve"> </t>
        </is>
      </c>
      <c r="S280" s="103" t="inlineStr">
        <is>
          <t xml:space="preserve"> </t>
        </is>
      </c>
      <c r="T280" t="inlineStr">
        <is>
          <t>No se encontró ejecución en PIIP</t>
        </is>
      </c>
      <c r="U280" t="inlineStr">
        <is>
          <t xml:space="preserve"> </t>
        </is>
      </c>
      <c r="V280" s="104" t="inlineStr">
        <is>
          <t xml:space="preserve"> </t>
        </is>
      </c>
      <c r="W280" t="inlineStr">
        <is>
          <t>No se encontró ejecución en PIIP</t>
        </is>
      </c>
    </row>
    <row r="281">
      <c r="A281" t="inlineStr">
        <is>
          <t>IP-325</t>
        </is>
      </c>
      <c r="B281" t="inlineStr">
        <is>
          <t>40</t>
        </is>
      </c>
      <c r="C281" t="inlineStr">
        <is>
          <t>Vivienda, ciudad y territorio</t>
        </is>
      </c>
      <c r="D281" t="inlineStr">
        <is>
          <t>4003</t>
        </is>
      </c>
      <c r="E281" t="inlineStr">
        <is>
          <t>Acceso de la población a los servicios de agua potable y saneamiento básico</t>
        </is>
      </c>
      <c r="F281" t="inlineStr">
        <is>
          <t>4003020</t>
        </is>
      </c>
      <c r="G281" t="inlineStr">
        <is>
          <t>Alcantarillados optimizados</t>
        </is>
      </c>
      <c r="H281" t="inlineStr">
        <is>
          <t>400302000</t>
        </is>
      </c>
      <c r="I281" t="inlineStr">
        <is>
          <t>Alcantarillados optimizados</t>
        </is>
      </c>
      <c r="J281" t="inlineStr">
        <is>
          <t>2024257580080</t>
        </is>
      </c>
      <c r="K281" t="inlineStr">
        <is>
          <t>Si</t>
        </is>
      </c>
      <c r="L281" t="inlineStr">
        <is>
          <t>Número</t>
        </is>
      </c>
      <c r="M281">
        <v>1</v>
      </c>
      <c r="N281">
        <v>1</v>
      </c>
      <c r="O281">
        <v>1</v>
      </c>
      <c r="P281">
        <v>1</v>
      </c>
      <c r="Q281">
        <v>1</v>
      </c>
      <c r="R281" t="inlineStr">
        <is>
          <t xml:space="preserve"> </t>
        </is>
      </c>
      <c r="S281" s="103" t="inlineStr">
        <is>
          <t xml:space="preserve"> </t>
        </is>
      </c>
      <c r="T281" t="inlineStr">
        <is>
          <t>No se encontró ejecución en PIIP</t>
        </is>
      </c>
      <c r="U281" t="inlineStr">
        <is>
          <t xml:space="preserve"> </t>
        </is>
      </c>
      <c r="V281" s="104" t="inlineStr">
        <is>
          <t xml:space="preserve"> </t>
        </is>
      </c>
      <c r="W281" t="inlineStr">
        <is>
          <t>No se encontró ejecución en PIIP</t>
        </is>
      </c>
    </row>
    <row r="282">
      <c r="A282" t="inlineStr">
        <is>
          <t>IP-326</t>
        </is>
      </c>
      <c r="B282" t="inlineStr">
        <is>
          <t>40</t>
        </is>
      </c>
      <c r="C282" t="inlineStr">
        <is>
          <t>Vivienda, ciudad y territorio</t>
        </is>
      </c>
      <c r="D282" t="inlineStr">
        <is>
          <t>4003</t>
        </is>
      </c>
      <c r="E282" t="inlineStr">
        <is>
          <t>Acceso de la población a los servicios de agua potable y saneamiento básico</t>
        </is>
      </c>
      <c r="F282" t="inlineStr">
        <is>
          <t>4003041</t>
        </is>
      </c>
      <c r="G282" t="inlineStr">
        <is>
          <t>Servicio de regulación en Agua Potable y Saneamiento Básico</t>
        </is>
      </c>
      <c r="H282" t="inlineStr">
        <is>
          <t>400304102</t>
        </is>
      </c>
      <c r="I282" t="inlineStr">
        <is>
          <t>Gestiones operativas y administrativas adelantadas</t>
        </is>
      </c>
      <c r="J282" t="inlineStr">
        <is>
          <t>2024257580080</t>
        </is>
      </c>
      <c r="K282" t="inlineStr">
        <is>
          <t>Si</t>
        </is>
      </c>
      <c r="L282" t="inlineStr">
        <is>
          <t>Número</t>
        </is>
      </c>
      <c r="M282">
        <v>2</v>
      </c>
      <c r="N282">
        <v>0</v>
      </c>
      <c r="O282">
        <v>2</v>
      </c>
      <c r="P282">
        <v>2</v>
      </c>
      <c r="Q282">
        <v>2</v>
      </c>
      <c r="R282" t="inlineStr">
        <is>
          <t xml:space="preserve"> </t>
        </is>
      </c>
      <c r="S282" s="103" t="inlineStr">
        <is>
          <t xml:space="preserve"> </t>
        </is>
      </c>
      <c r="T282" t="inlineStr">
        <is>
          <t>No se encontró ejecución en PIIP</t>
        </is>
      </c>
      <c r="U282" t="inlineStr">
        <is>
          <t xml:space="preserve"> </t>
        </is>
      </c>
      <c r="V282" s="104" t="inlineStr">
        <is>
          <t xml:space="preserve"> </t>
        </is>
      </c>
      <c r="W282" t="inlineStr">
        <is>
          <t>No se encontró ejecución en PIIP</t>
        </is>
      </c>
    </row>
    <row r="283">
      <c r="A283" t="inlineStr">
        <is>
          <t>IP-327</t>
        </is>
      </c>
      <c r="B283" t="inlineStr">
        <is>
          <t>40</t>
        </is>
      </c>
      <c r="C283" t="inlineStr">
        <is>
          <t>Vivienda, ciudad y territorio</t>
        </is>
      </c>
      <c r="D283" t="inlineStr">
        <is>
          <t>4003</t>
        </is>
      </c>
      <c r="E283" t="inlineStr">
        <is>
          <t>Acceso de la población a los servicios de agua potable y saneamiento básico</t>
        </is>
      </c>
      <c r="F283" t="inlineStr">
        <is>
          <t>4003032</t>
        </is>
      </c>
      <c r="G283" t="inlineStr">
        <is>
          <t>Servicio de apoyo técnico para el tratamiento de aguas residuales</t>
        </is>
      </c>
      <c r="H283" t="inlineStr">
        <is>
          <t>400303200</t>
        </is>
      </c>
      <c r="I283" t="inlineStr">
        <is>
          <t>Documentos técnicos en tratamiento de aguas residuales realizados</t>
        </is>
      </c>
      <c r="J283" t="inlineStr">
        <is>
          <t>2024257580080</t>
        </is>
      </c>
      <c r="K283" t="inlineStr">
        <is>
          <t>Si</t>
        </is>
      </c>
      <c r="L283" t="inlineStr">
        <is>
          <t>Número</t>
        </is>
      </c>
      <c r="M283">
        <v>1</v>
      </c>
      <c r="N283">
        <v>1</v>
      </c>
      <c r="O283">
        <v>1</v>
      </c>
      <c r="P283">
        <v>1</v>
      </c>
      <c r="Q283">
        <v>1</v>
      </c>
      <c r="R283" t="inlineStr">
        <is>
          <t xml:space="preserve"> </t>
        </is>
      </c>
      <c r="S283" s="103" t="inlineStr">
        <is>
          <t xml:space="preserve"> </t>
        </is>
      </c>
      <c r="T283" t="inlineStr">
        <is>
          <t>No se encontró ejecución en PIIP</t>
        </is>
      </c>
      <c r="U283" t="inlineStr">
        <is>
          <t xml:space="preserve"> </t>
        </is>
      </c>
      <c r="V283" s="104" t="inlineStr">
        <is>
          <t xml:space="preserve"> </t>
        </is>
      </c>
      <c r="W283" t="inlineStr">
        <is>
          <t>No se encontró ejecución en PIIP</t>
        </is>
      </c>
    </row>
    <row r="284">
      <c r="A284" t="inlineStr">
        <is>
          <t>IP-328</t>
        </is>
      </c>
      <c r="B284" t="inlineStr">
        <is>
          <t>40</t>
        </is>
      </c>
      <c r="C284" t="inlineStr">
        <is>
          <t>Vivienda, ciudad y territorio</t>
        </is>
      </c>
      <c r="D284" t="inlineStr">
        <is>
          <t>4003</t>
        </is>
      </c>
      <c r="E284" t="inlineStr">
        <is>
          <t>Acceso de la población a los servicios de agua potable y saneamiento básico</t>
        </is>
      </c>
      <c r="F284" t="inlineStr">
        <is>
          <t>4003010</t>
        </is>
      </c>
      <c r="G284" t="inlineStr">
        <is>
          <t>Servicio de Aseo</t>
        </is>
      </c>
      <c r="H284" t="inlineStr">
        <is>
          <t>400301001</t>
        </is>
      </c>
      <c r="I284" t="inlineStr">
        <is>
          <t>Municipios con vehículos de recolección de residuos solidos</t>
        </is>
      </c>
      <c r="J284" t="inlineStr">
        <is>
          <t>2024257580004</t>
        </is>
      </c>
      <c r="K284" t="inlineStr">
        <is>
          <t>Si</t>
        </is>
      </c>
      <c r="L284" t="inlineStr">
        <is>
          <t>Número</t>
        </is>
      </c>
      <c r="M284">
        <v>4</v>
      </c>
      <c r="N284">
        <v>4</v>
      </c>
      <c r="O284">
        <v>4</v>
      </c>
      <c r="P284">
        <v>4</v>
      </c>
      <c r="Q284">
        <v>4</v>
      </c>
      <c r="R284" t="inlineStr">
        <is>
          <t xml:space="preserve"> </t>
        </is>
      </c>
      <c r="S284" s="103" t="inlineStr">
        <is>
          <t xml:space="preserve"> </t>
        </is>
      </c>
      <c r="T284" t="inlineStr">
        <is>
          <t>No se encontró ejecución en PIIP</t>
        </is>
      </c>
      <c r="U284" t="inlineStr">
        <is>
          <t xml:space="preserve"> </t>
        </is>
      </c>
      <c r="V284" s="104" t="inlineStr">
        <is>
          <t xml:space="preserve"> </t>
        </is>
      </c>
      <c r="W284" t="inlineStr">
        <is>
          <t>No se encontró ejecución en PIIP</t>
        </is>
      </c>
    </row>
    <row r="285">
      <c r="A285" t="inlineStr">
        <is>
          <t>IP-329, IP-330</t>
        </is>
      </c>
      <c r="B285" t="inlineStr">
        <is>
          <t>40</t>
        </is>
      </c>
      <c r="C285" t="inlineStr">
        <is>
          <t>Vivienda, ciudad y territorio</t>
        </is>
      </c>
      <c r="D285" t="inlineStr">
        <is>
          <t>4003</t>
        </is>
      </c>
      <c r="E285" t="inlineStr">
        <is>
          <t>Acceso de la población a los servicios de agua potable y saneamiento básico</t>
        </is>
      </c>
      <c r="F285" t="inlineStr">
        <is>
          <t>4003022</t>
        </is>
      </c>
      <c r="G285" t="inlineStr">
        <is>
          <t>Servicios de implementación del Plan de Gestión Integral de Residuos Solidos PGIRS</t>
        </is>
      </c>
      <c r="H285" t="inlineStr">
        <is>
          <t>400302200</t>
        </is>
      </c>
      <c r="I285" t="inlineStr">
        <is>
          <t>Plan de Gestión Integral de Residuos Solidos implementado</t>
        </is>
      </c>
      <c r="J285" t="inlineStr">
        <is>
          <t>2024257580004</t>
        </is>
      </c>
      <c r="K285" t="inlineStr">
        <is>
          <t>Si</t>
        </is>
      </c>
      <c r="L285" t="inlineStr">
        <is>
          <t>Número</t>
        </is>
      </c>
      <c r="M285">
        <v>2</v>
      </c>
      <c r="N285">
        <v>2</v>
      </c>
      <c r="O285">
        <v>2</v>
      </c>
      <c r="P285">
        <v>2</v>
      </c>
      <c r="Q285">
        <v>2</v>
      </c>
      <c r="R285" t="inlineStr">
        <is>
          <t xml:space="preserve"> </t>
        </is>
      </c>
      <c r="S285" s="103" t="inlineStr">
        <is>
          <t xml:space="preserve"> </t>
        </is>
      </c>
      <c r="T285" t="inlineStr">
        <is>
          <t>No se encontró ejecución en PIIP</t>
        </is>
      </c>
      <c r="U285" t="inlineStr">
        <is>
          <t xml:space="preserve"> </t>
        </is>
      </c>
      <c r="V285" s="104" t="inlineStr">
        <is>
          <t xml:space="preserve"> </t>
        </is>
      </c>
      <c r="W285" t="inlineStr">
        <is>
          <t>No se encontró ejecución en PIIP</t>
        </is>
      </c>
    </row>
    <row r="286">
      <c r="A286" t="inlineStr">
        <is>
          <t>IP-331</t>
        </is>
      </c>
      <c r="B286" t="inlineStr">
        <is>
          <t>40</t>
        </is>
      </c>
      <c r="C286" t="inlineStr">
        <is>
          <t>Vivienda, ciudad y territorio</t>
        </is>
      </c>
      <c r="D286" t="inlineStr">
        <is>
          <t>4003</t>
        </is>
      </c>
      <c r="E286" t="inlineStr">
        <is>
          <t>Acceso de la población a los servicios de agua potable y saneamiento básico</t>
        </is>
      </c>
      <c r="F286" t="inlineStr">
        <is>
          <t>4003047</t>
        </is>
      </c>
      <c r="G286" t="inlineStr">
        <is>
          <t>Servicio de apoyo financiero para subsidios al consumo en los servicios públicos domiciliarios</t>
        </is>
      </c>
      <c r="H286" t="inlineStr">
        <is>
          <t>400304701</t>
        </is>
      </c>
      <c r="I286" t="inlineStr">
        <is>
          <t>Recursos entregados en subsidios al consumo</t>
        </is>
      </c>
      <c r="J286" t="inlineStr">
        <is>
          <t>2024257580054</t>
        </is>
      </c>
      <c r="K286" t="inlineStr">
        <is>
          <t>Si</t>
        </is>
      </c>
      <c r="L286" t="inlineStr">
        <is>
          <t>Pesos</t>
        </is>
      </c>
      <c r="M286">
        <v>1</v>
      </c>
      <c r="N286">
        <v>1</v>
      </c>
      <c r="O286">
        <v>1</v>
      </c>
      <c r="P286">
        <v>1</v>
      </c>
      <c r="Q286">
        <v>1</v>
      </c>
      <c r="R286" t="inlineStr">
        <is>
          <t xml:space="preserve"> </t>
        </is>
      </c>
      <c r="S286" s="103" t="inlineStr">
        <is>
          <t xml:space="preserve"> </t>
        </is>
      </c>
      <c r="T286" t="inlineStr">
        <is>
          <t>No se encontró ejecución en PIIP</t>
        </is>
      </c>
      <c r="U286" t="inlineStr">
        <is>
          <t xml:space="preserve"> </t>
        </is>
      </c>
      <c r="V286" s="104" t="inlineStr">
        <is>
          <t xml:space="preserve"> </t>
        </is>
      </c>
      <c r="W286" t="inlineStr">
        <is>
          <t>No se encontró ejecución en PIIP</t>
        </is>
      </c>
    </row>
    <row r="287">
      <c r="A287" t="inlineStr">
        <is>
          <t>IP-332</t>
        </is>
      </c>
      <c r="B287" t="inlineStr">
        <is>
          <t>40</t>
        </is>
      </c>
      <c r="C287" t="inlineStr">
        <is>
          <t>Vivienda, ciudad y territorio</t>
        </is>
      </c>
      <c r="D287" t="inlineStr">
        <is>
          <t>4003</t>
        </is>
      </c>
      <c r="E287" t="inlineStr">
        <is>
          <t>Acceso de la población a los servicios de agua potable y saneamiento básico</t>
        </is>
      </c>
      <c r="F287" t="inlineStr">
        <is>
          <t>4003008</t>
        </is>
      </c>
      <c r="G287" t="inlineStr">
        <is>
          <t>Servicio de apoyo financiero a los planes, programas y proyectos de Agua Potable y Saneamiento Básico</t>
        </is>
      </c>
      <c r="H287" t="inlineStr">
        <is>
          <t>400300800</t>
        </is>
      </c>
      <c r="I287" t="inlineStr">
        <is>
          <t>Proyectos de acueducto, alcantarillado y aseo apoyados financieramente</t>
        </is>
      </c>
      <c r="J287" t="inlineStr">
        <is>
          <t>2024257580018</t>
        </is>
      </c>
      <c r="K287" t="inlineStr">
        <is>
          <t>Si</t>
        </is>
      </c>
      <c r="L287" t="inlineStr">
        <is>
          <t>Número</t>
        </is>
      </c>
      <c r="M287">
        <v>65</v>
      </c>
      <c r="N287">
        <v>65</v>
      </c>
      <c r="O287">
        <v>65</v>
      </c>
      <c r="P287">
        <v>65</v>
      </c>
      <c r="Q287">
        <v>65</v>
      </c>
      <c r="R287">
        <v>2</v>
      </c>
      <c r="S287" s="103">
        <v>0.0307692307692308</v>
      </c>
      <c r="T287" t="inlineStr">
        <is>
          <t>Lo ejecutado está por debajo de lo programado en la vigencia</t>
        </is>
      </c>
      <c r="U287">
        <v>0</v>
      </c>
      <c r="V287" s="104">
        <v>0</v>
      </c>
      <c r="W287" t="inlineStr">
        <is>
          <t>No se ejecutó en la vigencia</t>
        </is>
      </c>
    </row>
    <row r="288">
      <c r="A288" t="inlineStr">
        <is>
          <t>IP-333</t>
        </is>
      </c>
      <c r="B288" t="inlineStr">
        <is>
          <t>21</t>
        </is>
      </c>
      <c r="C288" t="inlineStr">
        <is>
          <t>Minas y Energía</t>
        </is>
      </c>
      <c r="D288" t="inlineStr">
        <is>
          <t>2102</t>
        </is>
      </c>
      <c r="E288" t="inlineStr">
        <is>
          <t>Consolidación productiva del sector de energía eléctrica</t>
        </is>
      </c>
      <c r="F288" t="inlineStr">
        <is>
          <t>2102069</t>
        </is>
      </c>
      <c r="G288" t="inlineStr">
        <is>
          <t>Servicio de alumbrado público</t>
        </is>
      </c>
      <c r="H288" t="inlineStr">
        <is>
          <t>210206900</t>
        </is>
      </c>
      <c r="I288" t="inlineStr">
        <is>
          <t>Lámparas de alumbrado público en funcionamiento</t>
        </is>
      </c>
      <c r="J288" t="inlineStr">
        <is>
          <t>2024257580027</t>
        </is>
      </c>
      <c r="K288" t="inlineStr">
        <is>
          <t>Si</t>
        </is>
      </c>
      <c r="L288" t="inlineStr">
        <is>
          <t>Número</t>
        </is>
      </c>
      <c r="M288">
        <v>3500</v>
      </c>
      <c r="N288">
        <v>3442</v>
      </c>
      <c r="O288">
        <v>3460</v>
      </c>
      <c r="P288">
        <v>3480</v>
      </c>
      <c r="Q288">
        <v>3500</v>
      </c>
      <c r="R288">
        <v>23</v>
      </c>
      <c r="S288" s="103">
        <v>0.00668216153399187</v>
      </c>
      <c r="T288" t="inlineStr">
        <is>
          <t>Lo ejecutado está por debajo de lo programado en la vigencia</t>
        </is>
      </c>
      <c r="U288">
        <v>0</v>
      </c>
      <c r="V288" s="104">
        <v>0</v>
      </c>
      <c r="W288" t="inlineStr">
        <is>
          <t>No se ejecutó en la vigencia</t>
        </is>
      </c>
    </row>
    <row r="289">
      <c r="A289" t="inlineStr">
        <is>
          <t>IP-334</t>
        </is>
      </c>
      <c r="B289" t="inlineStr">
        <is>
          <t>21</t>
        </is>
      </c>
      <c r="C289" t="inlineStr">
        <is>
          <t>Minas y Energía</t>
        </is>
      </c>
      <c r="D289" t="inlineStr">
        <is>
          <t>2102</t>
        </is>
      </c>
      <c r="E289" t="inlineStr">
        <is>
          <t>Consolidación productiva del sector de energía eléctrica</t>
        </is>
      </c>
      <c r="F289" t="inlineStr">
        <is>
          <t>2102036</t>
        </is>
      </c>
      <c r="G289" t="inlineStr">
        <is>
          <t>Servicio de educación informal a las comunidades en temas de eficiencia energética y el uso racional de la energía</t>
        </is>
      </c>
      <c r="H289" t="inlineStr">
        <is>
          <t>210203601</t>
        </is>
      </c>
      <c r="I289" t="inlineStr">
        <is>
          <t>Capacitaciones realizadas</t>
        </is>
      </c>
      <c r="J289" t="inlineStr">
        <is>
          <t>2024257580027</t>
        </is>
      </c>
      <c r="K289" t="inlineStr">
        <is>
          <t>Si</t>
        </is>
      </c>
      <c r="L289" t="inlineStr">
        <is>
          <t>Número</t>
        </is>
      </c>
      <c r="M289">
        <v>1</v>
      </c>
      <c r="N289">
        <v>1</v>
      </c>
      <c r="O289">
        <v>1</v>
      </c>
      <c r="P289">
        <v>1</v>
      </c>
      <c r="Q289">
        <v>1</v>
      </c>
      <c r="R289" t="inlineStr">
        <is>
          <t xml:space="preserve"> </t>
        </is>
      </c>
      <c r="S289" s="103" t="inlineStr">
        <is>
          <t xml:space="preserve"> </t>
        </is>
      </c>
      <c r="T289" t="inlineStr">
        <is>
          <t>No se encontró ejecución en PIIP</t>
        </is>
      </c>
      <c r="U289" t="inlineStr">
        <is>
          <t xml:space="preserve"> </t>
        </is>
      </c>
      <c r="V289" s="104" t="inlineStr">
        <is>
          <t xml:space="preserve"> </t>
        </is>
      </c>
      <c r="W289" t="inlineStr">
        <is>
          <t>No se encontró ejecución en PIIP</t>
        </is>
      </c>
    </row>
    <row r="290">
      <c r="A290" t="inlineStr">
        <is>
          <t>IP-335</t>
        </is>
      </c>
      <c r="B290" t="inlineStr">
        <is>
          <t>21</t>
        </is>
      </c>
      <c r="C290" t="inlineStr">
        <is>
          <t>Minas y Energía</t>
        </is>
      </c>
      <c r="D290" t="inlineStr">
        <is>
          <t>2101</t>
        </is>
      </c>
      <c r="E290" t="inlineStr">
        <is>
          <t>Acceso al servicio público domiciliario de gas combustible</t>
        </is>
      </c>
      <c r="F290" t="inlineStr">
        <is>
          <t>2101016</t>
        </is>
      </c>
      <c r="G290" t="inlineStr">
        <is>
          <t>Redes domiciliarias de gas combustible instaladas</t>
        </is>
      </c>
      <c r="H290" t="inlineStr">
        <is>
          <t>210101600</t>
        </is>
      </c>
      <c r="I290" t="inlineStr">
        <is>
          <t>Viviendas conectadas a la red local de gas combustible</t>
        </is>
      </c>
      <c r="J290" t="inlineStr">
        <is>
          <t>2024257580026</t>
        </is>
      </c>
      <c r="K290" t="inlineStr">
        <is>
          <t>Si</t>
        </is>
      </c>
      <c r="L290" t="inlineStr">
        <is>
          <t>Número</t>
        </is>
      </c>
      <c r="M290">
        <v>1</v>
      </c>
      <c r="N290">
        <v>1</v>
      </c>
      <c r="O290">
        <v>1</v>
      </c>
      <c r="P290">
        <v>1</v>
      </c>
      <c r="Q290">
        <v>1</v>
      </c>
      <c r="R290">
        <v>25</v>
      </c>
      <c r="S290" s="103">
        <v>25</v>
      </c>
      <c r="T290" t="inlineStr">
        <is>
          <t>Hubo ejecución por encima de lo programado en SisPT</t>
        </is>
      </c>
      <c r="U290">
        <v>0</v>
      </c>
      <c r="V290" s="104">
        <v>0</v>
      </c>
      <c r="W290" t="inlineStr">
        <is>
          <t>No se ejecutó en la vigencia</t>
        </is>
      </c>
    </row>
    <row r="291">
      <c r="A291" t="inlineStr">
        <is>
          <t>IP-336</t>
        </is>
      </c>
      <c r="B291" t="inlineStr">
        <is>
          <t>40</t>
        </is>
      </c>
      <c r="C291" t="inlineStr">
        <is>
          <t>Vivienda, ciudad y territorio</t>
        </is>
      </c>
      <c r="D291" t="inlineStr">
        <is>
          <t>4002</t>
        </is>
      </c>
      <c r="E291" t="inlineStr">
        <is>
          <t>Ordenamiento territorial y desarrollo urbano</t>
        </is>
      </c>
      <c r="F291" t="inlineStr">
        <is>
          <t>4002034</t>
        </is>
      </c>
      <c r="G291" t="inlineStr">
        <is>
          <t>Estudios de pre inversión e inversión</t>
        </is>
      </c>
      <c r="H291" t="inlineStr">
        <is>
          <t>400203402</t>
        </is>
      </c>
      <c r="I291" t="inlineStr">
        <is>
          <t>Diseños realizados</t>
        </is>
      </c>
      <c r="J291" t="inlineStr">
        <is>
          <t>2024257580037</t>
        </is>
      </c>
      <c r="K291" t="inlineStr">
        <is>
          <t>Si</t>
        </is>
      </c>
      <c r="L291" t="inlineStr">
        <is>
          <t>Número</t>
        </is>
      </c>
      <c r="M291">
        <v>1</v>
      </c>
      <c r="N291">
        <v>0</v>
      </c>
      <c r="O291">
        <v>1</v>
      </c>
      <c r="P291">
        <v>1</v>
      </c>
      <c r="Q291">
        <v>1</v>
      </c>
      <c r="R291" t="inlineStr">
        <is>
          <t xml:space="preserve"> </t>
        </is>
      </c>
      <c r="S291" s="103" t="inlineStr">
        <is>
          <t xml:space="preserve"> </t>
        </is>
      </c>
      <c r="T291" t="inlineStr">
        <is>
          <t>No se encontró ejecución en PIIP</t>
        </is>
      </c>
      <c r="U291" t="inlineStr">
        <is>
          <t xml:space="preserve"> </t>
        </is>
      </c>
      <c r="V291" s="104" t="inlineStr">
        <is>
          <t xml:space="preserve"> </t>
        </is>
      </c>
      <c r="W291" t="inlineStr">
        <is>
          <t>No se encontró ejecución en PIIP</t>
        </is>
      </c>
    </row>
    <row r="292">
      <c r="A292" t="inlineStr">
        <is>
          <t>IP-337</t>
        </is>
      </c>
      <c r="B292" t="inlineStr">
        <is>
          <t>40</t>
        </is>
      </c>
      <c r="C292" t="inlineStr">
        <is>
          <t>Vivienda, ciudad y territorio</t>
        </is>
      </c>
      <c r="D292" t="inlineStr">
        <is>
          <t>4002</t>
        </is>
      </c>
      <c r="E292" t="inlineStr">
        <is>
          <t>Ordenamiento territorial y desarrollo urbano</t>
        </is>
      </c>
      <c r="F292" t="inlineStr">
        <is>
          <t>4002031</t>
        </is>
      </c>
      <c r="G292" t="inlineStr">
        <is>
          <t>Plazas mantenidas</t>
        </is>
      </c>
      <c r="H292" t="inlineStr">
        <is>
          <t>400203100</t>
        </is>
      </c>
      <c r="I292" t="inlineStr">
        <is>
          <t>Plazas mantenidas</t>
        </is>
      </c>
      <c r="J292" t="inlineStr">
        <is>
          <t>2024257580037</t>
        </is>
      </c>
      <c r="K292" t="inlineStr">
        <is>
          <t>Si</t>
        </is>
      </c>
      <c r="L292" t="inlineStr">
        <is>
          <t>Metros cuadrados</t>
        </is>
      </c>
      <c r="M292">
        <v>100</v>
      </c>
      <c r="N292">
        <v>100</v>
      </c>
      <c r="O292">
        <v>100</v>
      </c>
      <c r="P292">
        <v>100</v>
      </c>
      <c r="Q292">
        <v>100</v>
      </c>
      <c r="R292" t="inlineStr">
        <is>
          <t xml:space="preserve"> </t>
        </is>
      </c>
      <c r="S292" s="103" t="inlineStr">
        <is>
          <t xml:space="preserve"> </t>
        </is>
      </c>
      <c r="T292" t="inlineStr">
        <is>
          <t>No se encontró ejecución en PIIP</t>
        </is>
      </c>
      <c r="U292" t="inlineStr">
        <is>
          <t xml:space="preserve"> </t>
        </is>
      </c>
      <c r="V292" s="104" t="inlineStr">
        <is>
          <t xml:space="preserve"> </t>
        </is>
      </c>
      <c r="W292" t="inlineStr">
        <is>
          <t>No se encontró ejecución en PIIP</t>
        </is>
      </c>
    </row>
    <row r="293">
      <c r="A293" t="inlineStr">
        <is>
          <t>IP-338, IP-339</t>
        </is>
      </c>
      <c r="B293" t="inlineStr">
        <is>
          <t>40</t>
        </is>
      </c>
      <c r="C293" t="inlineStr">
        <is>
          <t>Vivienda, ciudad y territorio</t>
        </is>
      </c>
      <c r="D293" t="inlineStr">
        <is>
          <t>4002</t>
        </is>
      </c>
      <c r="E293" t="inlineStr">
        <is>
          <t>Ordenamiento territorial y desarrollo urbano</t>
        </is>
      </c>
      <c r="F293" t="inlineStr">
        <is>
          <t>4002023</t>
        </is>
      </c>
      <c r="G293" t="inlineStr">
        <is>
          <t>Parques mejorados</t>
        </is>
      </c>
      <c r="H293" t="inlineStr">
        <is>
          <t>400202300</t>
        </is>
      </c>
      <c r="I293" t="inlineStr">
        <is>
          <t>Parques mejorados</t>
        </is>
      </c>
      <c r="J293" t="inlineStr">
        <is>
          <t>2024257580037</t>
        </is>
      </c>
      <c r="K293" t="inlineStr">
        <is>
          <t>Si</t>
        </is>
      </c>
      <c r="L293" t="inlineStr">
        <is>
          <t>Metros cuadrados</t>
        </is>
      </c>
      <c r="M293">
        <v>91542</v>
      </c>
      <c r="N293">
        <v>91542</v>
      </c>
      <c r="O293">
        <v>91542</v>
      </c>
      <c r="P293">
        <v>91542</v>
      </c>
      <c r="Q293">
        <v>91542</v>
      </c>
      <c r="R293" t="inlineStr">
        <is>
          <t xml:space="preserve"> </t>
        </is>
      </c>
      <c r="S293" s="103" t="inlineStr">
        <is>
          <t xml:space="preserve"> </t>
        </is>
      </c>
      <c r="T293" t="inlineStr">
        <is>
          <t>No se encontró ejecución en PIIP</t>
        </is>
      </c>
      <c r="U293" t="inlineStr">
        <is>
          <t xml:space="preserve"> </t>
        </is>
      </c>
      <c r="V293" s="104" t="inlineStr">
        <is>
          <t xml:space="preserve"> </t>
        </is>
      </c>
      <c r="W293" t="inlineStr">
        <is>
          <t>No se encontró ejecución en PIIP</t>
        </is>
      </c>
    </row>
    <row r="294">
      <c r="A294" t="inlineStr">
        <is>
          <t>IP-340</t>
        </is>
      </c>
      <c r="B294" t="inlineStr">
        <is>
          <t>40</t>
        </is>
      </c>
      <c r="C294" t="inlineStr">
        <is>
          <t>Vivienda, ciudad y territorio</t>
        </is>
      </c>
      <c r="D294" t="inlineStr">
        <is>
          <t>4002</t>
        </is>
      </c>
      <c r="E294" t="inlineStr">
        <is>
          <t>Ordenamiento territorial y desarrollo urbano</t>
        </is>
      </c>
      <c r="F294" t="inlineStr">
        <is>
          <t>4002019</t>
        </is>
      </c>
      <c r="G294" t="inlineStr">
        <is>
          <t>Espacio publico construido</t>
        </is>
      </c>
      <c r="H294" t="inlineStr">
        <is>
          <t>400201902</t>
        </is>
      </c>
      <c r="I294" t="inlineStr">
        <is>
          <t>Andenes construidos</t>
        </is>
      </c>
      <c r="J294" t="inlineStr">
        <is>
          <t>2024257580037</t>
        </is>
      </c>
      <c r="K294" t="inlineStr">
        <is>
          <t>No</t>
        </is>
      </c>
      <c r="L294" t="inlineStr">
        <is>
          <t>Metros lineales</t>
        </is>
      </c>
      <c r="M294">
        <v>1700</v>
      </c>
      <c r="N294">
        <v>200</v>
      </c>
      <c r="O294">
        <v>700</v>
      </c>
      <c r="P294">
        <v>700</v>
      </c>
      <c r="Q294">
        <v>100</v>
      </c>
      <c r="R294" t="inlineStr">
        <is>
          <t xml:space="preserve"> </t>
        </is>
      </c>
      <c r="S294" s="103" t="inlineStr">
        <is>
          <t xml:space="preserve"> </t>
        </is>
      </c>
      <c r="T294" t="inlineStr">
        <is>
          <t>No se encontró ejecución en PIIP</t>
        </is>
      </c>
      <c r="U294" t="inlineStr">
        <is>
          <t xml:space="preserve"> </t>
        </is>
      </c>
      <c r="V294" s="104" t="inlineStr">
        <is>
          <t xml:space="preserve"> </t>
        </is>
      </c>
      <c r="W294" t="inlineStr">
        <is>
          <t>No se encontró ejecución en PIIP</t>
        </is>
      </c>
    </row>
    <row r="295">
      <c r="A295" t="inlineStr">
        <is>
          <t>IP-341</t>
        </is>
      </c>
      <c r="B295" t="inlineStr">
        <is>
          <t>40</t>
        </is>
      </c>
      <c r="C295" t="inlineStr">
        <is>
          <t>Vivienda, ciudad y territorio</t>
        </is>
      </c>
      <c r="D295" t="inlineStr">
        <is>
          <t>4002</t>
        </is>
      </c>
      <c r="E295" t="inlineStr">
        <is>
          <t>Ordenamiento territorial y desarrollo urbano</t>
        </is>
      </c>
      <c r="F295" t="inlineStr">
        <is>
          <t>4002034</t>
        </is>
      </c>
      <c r="G295" t="inlineStr">
        <is>
          <t>Estudios de pre inversión e inversión</t>
        </is>
      </c>
      <c r="H295" t="inlineStr">
        <is>
          <t>400203400</t>
        </is>
      </c>
      <c r="I295" t="inlineStr">
        <is>
          <t xml:space="preserve">Estudios o diseños realizados </t>
        </is>
      </c>
      <c r="J295" t="inlineStr">
        <is>
          <t>2024257580037</t>
        </is>
      </c>
      <c r="K295" t="inlineStr">
        <is>
          <t>Si</t>
        </is>
      </c>
      <c r="L295" t="inlineStr">
        <is>
          <t>Número</t>
        </is>
      </c>
      <c r="M295">
        <v>1</v>
      </c>
      <c r="N295">
        <v>0</v>
      </c>
      <c r="O295">
        <v>1</v>
      </c>
      <c r="P295">
        <v>1</v>
      </c>
      <c r="Q295">
        <v>1</v>
      </c>
      <c r="R295" t="inlineStr">
        <is>
          <t xml:space="preserve"> </t>
        </is>
      </c>
      <c r="S295" s="103" t="inlineStr">
        <is>
          <t xml:space="preserve"> </t>
        </is>
      </c>
      <c r="T295" t="inlineStr">
        <is>
          <t>No se encontró ejecución en PIIP</t>
        </is>
      </c>
      <c r="U295" t="inlineStr">
        <is>
          <t xml:space="preserve"> </t>
        </is>
      </c>
      <c r="V295" s="104" t="inlineStr">
        <is>
          <t xml:space="preserve"> </t>
        </is>
      </c>
      <c r="W295" t="inlineStr">
        <is>
          <t>No se encontró ejecución en PIIP</t>
        </is>
      </c>
    </row>
    <row r="296">
      <c r="A296" t="inlineStr">
        <is>
          <t>IP-342</t>
        </is>
      </c>
      <c r="B296" t="inlineStr">
        <is>
          <t>40</t>
        </is>
      </c>
      <c r="C296" t="inlineStr">
        <is>
          <t>Vivienda, ciudad y territorio</t>
        </is>
      </c>
      <c r="D296" t="inlineStr">
        <is>
          <t>4002</t>
        </is>
      </c>
      <c r="E296" t="inlineStr">
        <is>
          <t>Ordenamiento territorial y desarrollo urbano</t>
        </is>
      </c>
      <c r="F296" t="inlineStr">
        <is>
          <t>4002040</t>
        </is>
      </c>
      <c r="G296" t="inlineStr">
        <is>
          <t>Servicio de adquisición de predios en zonas de alto riesgo</t>
        </is>
      </c>
      <c r="H296" t="inlineStr">
        <is>
          <t>400204000</t>
        </is>
      </c>
      <c r="I296" t="inlineStr">
        <is>
          <t>Predios adquiridos</t>
        </is>
      </c>
      <c r="J296" t="inlineStr">
        <is>
          <t>2024257580037</t>
        </is>
      </c>
      <c r="K296" t="inlineStr">
        <is>
          <t>No</t>
        </is>
      </c>
      <c r="L296" t="inlineStr">
        <is>
          <t>Número</t>
        </is>
      </c>
      <c r="M296">
        <v>2</v>
      </c>
      <c r="N296">
        <v>1</v>
      </c>
      <c r="O296">
        <v>1</v>
      </c>
      <c r="P296">
        <v>0</v>
      </c>
      <c r="Q296">
        <v>0</v>
      </c>
      <c r="R296" t="inlineStr">
        <is>
          <t xml:space="preserve"> </t>
        </is>
      </c>
      <c r="S296" s="103" t="inlineStr">
        <is>
          <t xml:space="preserve"> </t>
        </is>
      </c>
      <c r="T296" t="inlineStr">
        <is>
          <t>No se encontró ejecución en PIIP</t>
        </is>
      </c>
      <c r="U296" t="inlineStr">
        <is>
          <t xml:space="preserve"> </t>
        </is>
      </c>
      <c r="V296" s="104" t="inlineStr">
        <is>
          <t xml:space="preserve"> </t>
        </is>
      </c>
      <c r="W296" t="inlineStr">
        <is>
          <t>No se encontró ejecución en PIIP</t>
        </is>
      </c>
    </row>
    <row r="297">
      <c r="A297" t="inlineStr">
        <is>
          <t>IP-343</t>
        </is>
      </c>
      <c r="B297" t="inlineStr">
        <is>
          <t>45</t>
        </is>
      </c>
      <c r="C297" t="inlineStr">
        <is>
          <t>Gobierno Territorial</t>
        </is>
      </c>
      <c r="D297" t="inlineStr">
        <is>
          <t>4501</t>
        </is>
      </c>
      <c r="E297" t="inlineStr">
        <is>
          <t>Fortalecimiento de la convivencia y la seguridad ciudadana</t>
        </is>
      </c>
      <c r="F297" t="inlineStr">
        <is>
          <t>4501031</t>
        </is>
      </c>
      <c r="G297" t="inlineStr">
        <is>
          <t>Documentos normativos</t>
        </is>
      </c>
      <c r="H297" t="inlineStr">
        <is>
          <t>450103101</t>
        </is>
      </c>
      <c r="I297" t="inlineStr">
        <is>
          <t>Actos administrativos</t>
        </is>
      </c>
      <c r="J297" t="inlineStr">
        <is>
          <t>2024257580035</t>
        </is>
      </c>
      <c r="K297" t="inlineStr">
        <is>
          <t>Si</t>
        </is>
      </c>
      <c r="L297" t="inlineStr">
        <is>
          <t>Número</t>
        </is>
      </c>
      <c r="M297">
        <v>1</v>
      </c>
      <c r="N297">
        <v>1</v>
      </c>
      <c r="O297">
        <v>1</v>
      </c>
      <c r="P297">
        <v>1</v>
      </c>
      <c r="Q297">
        <v>1</v>
      </c>
      <c r="R297" t="inlineStr">
        <is>
          <t xml:space="preserve"> </t>
        </is>
      </c>
      <c r="S297" s="103" t="inlineStr">
        <is>
          <t xml:space="preserve"> </t>
        </is>
      </c>
      <c r="T297" t="inlineStr">
        <is>
          <t>No se encontró ejecución en PIIP</t>
        </is>
      </c>
      <c r="U297" t="inlineStr">
        <is>
          <t xml:space="preserve"> </t>
        </is>
      </c>
      <c r="V297" s="104" t="inlineStr">
        <is>
          <t xml:space="preserve"> </t>
        </is>
      </c>
      <c r="W297" t="inlineStr">
        <is>
          <t>No se encontró ejecución en PIIP</t>
        </is>
      </c>
    </row>
    <row r="298">
      <c r="A298" t="inlineStr">
        <is>
          <t>IP-344</t>
        </is>
      </c>
      <c r="B298" t="inlineStr">
        <is>
          <t>45</t>
        </is>
      </c>
      <c r="C298" t="inlineStr">
        <is>
          <t>Gobierno Territorial</t>
        </is>
      </c>
      <c r="D298" t="inlineStr">
        <is>
          <t>4501</t>
        </is>
      </c>
      <c r="E298" t="inlineStr">
        <is>
          <t>Fortalecimiento de la convivencia y la seguridad ciudadana</t>
        </is>
      </c>
      <c r="F298" t="inlineStr">
        <is>
          <t>4501028</t>
        </is>
      </c>
      <c r="G298" t="inlineStr">
        <is>
          <t>Servicio de vigilancia a través de cámaras de seguridad</t>
        </is>
      </c>
      <c r="H298" t="inlineStr">
        <is>
          <t>450102801</t>
        </is>
      </c>
      <c r="I298" t="inlineStr">
        <is>
          <t>Cámaras de seguridad mantenidas</t>
        </is>
      </c>
      <c r="J298" t="inlineStr">
        <is>
          <t>2024257580035</t>
        </is>
      </c>
      <c r="K298" t="inlineStr">
        <is>
          <t>Si</t>
        </is>
      </c>
      <c r="L298" t="inlineStr">
        <is>
          <t>Número</t>
        </is>
      </c>
      <c r="M298">
        <v>52</v>
      </c>
      <c r="N298">
        <v>30</v>
      </c>
      <c r="O298">
        <v>40</v>
      </c>
      <c r="P298">
        <v>52</v>
      </c>
      <c r="Q298">
        <v>52</v>
      </c>
      <c r="R298" t="inlineStr">
        <is>
          <t xml:space="preserve"> </t>
        </is>
      </c>
      <c r="S298" s="103" t="inlineStr">
        <is>
          <t xml:space="preserve"> </t>
        </is>
      </c>
      <c r="T298" t="inlineStr">
        <is>
          <t>No se encontró ejecución en PIIP</t>
        </is>
      </c>
      <c r="U298" t="inlineStr">
        <is>
          <t xml:space="preserve"> </t>
        </is>
      </c>
      <c r="V298" s="104" t="inlineStr">
        <is>
          <t xml:space="preserve"> </t>
        </is>
      </c>
      <c r="W298" t="inlineStr">
        <is>
          <t>No se encontró ejecución en PIIP</t>
        </is>
      </c>
    </row>
    <row r="299">
      <c r="A299" t="inlineStr">
        <is>
          <t>IP-345</t>
        </is>
      </c>
      <c r="B299" t="inlineStr">
        <is>
          <t>45</t>
        </is>
      </c>
      <c r="C299" t="inlineStr">
        <is>
          <t>Gobierno Territorial</t>
        </is>
      </c>
      <c r="D299" t="inlineStr">
        <is>
          <t>4501</t>
        </is>
      </c>
      <c r="E299" t="inlineStr">
        <is>
          <t>Fortalecimiento de la convivencia y la seguridad ciudadana</t>
        </is>
      </c>
      <c r="F299" t="inlineStr">
        <is>
          <t>4501028</t>
        </is>
      </c>
      <c r="G299" t="inlineStr">
        <is>
          <t>Servicio de vigilancia a través de cámaras de seguridad</t>
        </is>
      </c>
      <c r="H299" t="inlineStr">
        <is>
          <t>450102800</t>
        </is>
      </c>
      <c r="I299" t="inlineStr">
        <is>
          <t>Cámaras de seguridad instaladas</t>
        </is>
      </c>
      <c r="J299" t="inlineStr">
        <is>
          <t>2024257580035</t>
        </is>
      </c>
      <c r="K299" t="inlineStr">
        <is>
          <t>Si</t>
        </is>
      </c>
      <c r="L299" t="inlineStr">
        <is>
          <t>Número</t>
        </is>
      </c>
      <c r="M299">
        <v>1</v>
      </c>
      <c r="N299">
        <v>0</v>
      </c>
      <c r="O299">
        <v>1</v>
      </c>
      <c r="P299">
        <v>1</v>
      </c>
      <c r="Q299">
        <v>1</v>
      </c>
      <c r="R299">
        <v>45</v>
      </c>
      <c r="S299" s="103" t="inlineStr">
        <is>
          <t xml:space="preserve"> </t>
        </is>
      </c>
      <c r="T299" t="inlineStr">
        <is>
          <t>Se ejecutó un producto no programado en la vigencia</t>
        </is>
      </c>
      <c r="U299">
        <v>32</v>
      </c>
      <c r="V299" s="104">
        <v>32</v>
      </c>
      <c r="W299" t="inlineStr">
        <is>
          <t>Hubo ejecución por encima de lo programado en SisPT</t>
        </is>
      </c>
    </row>
    <row r="300">
      <c r="A300" t="inlineStr">
        <is>
          <t>IP-346</t>
        </is>
      </c>
      <c r="B300" t="inlineStr">
        <is>
          <t>45</t>
        </is>
      </c>
      <c r="C300" t="inlineStr">
        <is>
          <t>Gobierno Territorial</t>
        </is>
      </c>
      <c r="D300" t="inlineStr">
        <is>
          <t>4501</t>
        </is>
      </c>
      <c r="E300" t="inlineStr">
        <is>
          <t>Fortalecimiento de la convivencia y la seguridad ciudadana</t>
        </is>
      </c>
      <c r="F300" t="inlineStr">
        <is>
          <t>4501043</t>
        </is>
      </c>
      <c r="G300" t="inlineStr">
        <is>
          <t>Infraestructura para la promoción a la cultura de la legalidad y a la convivencia adecuada</t>
        </is>
      </c>
      <c r="H300" t="inlineStr">
        <is>
          <t>450104300</t>
        </is>
      </c>
      <c r="I300" t="inlineStr">
        <is>
          <t>Infraestructurapara la promoción a la cultura de la legalidad y a la convivencia  adecuada</t>
        </is>
      </c>
      <c r="J300" t="inlineStr">
        <is>
          <t>2024257580035</t>
        </is>
      </c>
      <c r="K300" t="inlineStr">
        <is>
          <t>Si</t>
        </is>
      </c>
      <c r="L300" t="inlineStr">
        <is>
          <t>Número</t>
        </is>
      </c>
      <c r="M300">
        <v>3</v>
      </c>
      <c r="N300">
        <v>3</v>
      </c>
      <c r="O300">
        <v>3</v>
      </c>
      <c r="P300">
        <v>3</v>
      </c>
      <c r="Q300">
        <v>3</v>
      </c>
      <c r="R300" t="inlineStr">
        <is>
          <t xml:space="preserve"> </t>
        </is>
      </c>
      <c r="S300" s="103" t="inlineStr">
        <is>
          <t xml:space="preserve"> </t>
        </is>
      </c>
      <c r="T300" t="inlineStr">
        <is>
          <t>No se encontró ejecución en PIIP</t>
        </is>
      </c>
      <c r="U300" t="inlineStr">
        <is>
          <t xml:space="preserve"> </t>
        </is>
      </c>
      <c r="V300" s="104" t="inlineStr">
        <is>
          <t xml:space="preserve"> </t>
        </is>
      </c>
      <c r="W300" t="inlineStr">
        <is>
          <t>No se encontró ejecución en PIIP</t>
        </is>
      </c>
    </row>
    <row r="301">
      <c r="A301" t="inlineStr">
        <is>
          <t>IP-347</t>
        </is>
      </c>
      <c r="B301" t="inlineStr">
        <is>
          <t>45</t>
        </is>
      </c>
      <c r="C301" t="inlineStr">
        <is>
          <t>Gobierno Territorial</t>
        </is>
      </c>
      <c r="D301" t="inlineStr">
        <is>
          <t>4501</t>
        </is>
      </c>
      <c r="E301" t="inlineStr">
        <is>
          <t>Fortalecimiento de la convivencia y la seguridad ciudadana</t>
        </is>
      </c>
      <c r="F301" t="inlineStr">
        <is>
          <t>4501057</t>
        </is>
      </c>
      <c r="G301" t="inlineStr">
        <is>
          <t>Servicio de apoyo financiero para dotar a miembros de la fuerza publica</t>
        </is>
      </c>
      <c r="H301" t="inlineStr">
        <is>
          <t>450105700</t>
        </is>
      </c>
      <c r="I301" t="inlineStr">
        <is>
          <t>Miembros de la fuerza publica apoyados</t>
        </is>
      </c>
      <c r="J301" t="inlineStr">
        <is>
          <t>2024257580035</t>
        </is>
      </c>
      <c r="K301" t="inlineStr">
        <is>
          <t>Si</t>
        </is>
      </c>
      <c r="L301" t="inlineStr">
        <is>
          <t>Número</t>
        </is>
      </c>
      <c r="M301">
        <v>45</v>
      </c>
      <c r="N301">
        <v>45</v>
      </c>
      <c r="O301">
        <v>45</v>
      </c>
      <c r="P301">
        <v>45</v>
      </c>
      <c r="Q301">
        <v>45</v>
      </c>
      <c r="R301" t="inlineStr">
        <is>
          <t xml:space="preserve"> </t>
        </is>
      </c>
      <c r="S301" s="103" t="inlineStr">
        <is>
          <t xml:space="preserve"> </t>
        </is>
      </c>
      <c r="T301" t="inlineStr">
        <is>
          <t>No se encontró ejecución en PIIP</t>
        </is>
      </c>
      <c r="U301" t="inlineStr">
        <is>
          <t xml:space="preserve"> </t>
        </is>
      </c>
      <c r="V301" s="104" t="inlineStr">
        <is>
          <t xml:space="preserve"> </t>
        </is>
      </c>
      <c r="W301" t="inlineStr">
        <is>
          <t>No se encontró ejecución en PIIP</t>
        </is>
      </c>
    </row>
    <row r="302">
      <c r="A302" t="inlineStr">
        <is>
          <t>IP-348</t>
        </is>
      </c>
      <c r="B302" t="inlineStr">
        <is>
          <t>45</t>
        </is>
      </c>
      <c r="C302" t="inlineStr">
        <is>
          <t>Gobierno Territorial</t>
        </is>
      </c>
      <c r="D302" t="inlineStr">
        <is>
          <t>4501</t>
        </is>
      </c>
      <c r="E302" t="inlineStr">
        <is>
          <t>Fortalecimiento de la convivencia y la seguridad ciudadana</t>
        </is>
      </c>
      <c r="F302" t="inlineStr">
        <is>
          <t>4501090</t>
        </is>
      </c>
      <c r="G302" t="inlineStr">
        <is>
          <t>Infraestructura de promoción de la convivencia y seguridad ciudadana adecuada</t>
        </is>
      </c>
      <c r="H302" t="inlineStr">
        <is>
          <t>450109000</t>
        </is>
      </c>
      <c r="I302" t="inlineStr">
        <is>
          <t xml:space="preserve"> Infraestructura de promoción de la convivencia y seguridad ciudadana adecuada</t>
        </is>
      </c>
      <c r="J302" t="inlineStr">
        <is>
          <t>2024257580035</t>
        </is>
      </c>
      <c r="K302" t="inlineStr">
        <is>
          <t>Si</t>
        </is>
      </c>
      <c r="L302" t="inlineStr">
        <is>
          <t>Número</t>
        </is>
      </c>
      <c r="M302">
        <v>100</v>
      </c>
      <c r="N302">
        <v>100</v>
      </c>
      <c r="O302">
        <v>100</v>
      </c>
      <c r="P302">
        <v>100</v>
      </c>
      <c r="Q302">
        <v>100</v>
      </c>
      <c r="R302" t="inlineStr">
        <is>
          <t xml:space="preserve"> </t>
        </is>
      </c>
      <c r="S302" s="103" t="inlineStr">
        <is>
          <t xml:space="preserve"> </t>
        </is>
      </c>
      <c r="T302" t="inlineStr">
        <is>
          <t>No se encontró ejecución en PIIP</t>
        </is>
      </c>
      <c r="U302" t="inlineStr">
        <is>
          <t xml:space="preserve"> </t>
        </is>
      </c>
      <c r="V302" s="104" t="inlineStr">
        <is>
          <t xml:space="preserve"> </t>
        </is>
      </c>
      <c r="W302" t="inlineStr">
        <is>
          <t>No se encontró ejecución en PIIP</t>
        </is>
      </c>
    </row>
    <row r="303">
      <c r="A303" t="inlineStr">
        <is>
          <t>IP-349</t>
        </is>
      </c>
      <c r="B303" t="inlineStr">
        <is>
          <t>45</t>
        </is>
      </c>
      <c r="C303" t="inlineStr">
        <is>
          <t>Gobierno Territorial</t>
        </is>
      </c>
      <c r="D303" t="inlineStr">
        <is>
          <t>4501</t>
        </is>
      </c>
      <c r="E303" t="inlineStr">
        <is>
          <t>Fortalecimiento de la convivencia y la seguridad ciudadana</t>
        </is>
      </c>
      <c r="F303" t="inlineStr">
        <is>
          <t>4501007</t>
        </is>
      </c>
      <c r="G303" t="inlineStr">
        <is>
          <t>Servicio información implementado</t>
        </is>
      </c>
      <c r="H303" t="inlineStr">
        <is>
          <t>450100700</t>
        </is>
      </c>
      <c r="I303" t="inlineStr">
        <is>
          <t>Sistemas de información implementados</t>
        </is>
      </c>
      <c r="J303" t="inlineStr">
        <is>
          <t>2024257580081</t>
        </is>
      </c>
      <c r="K303" t="inlineStr">
        <is>
          <t>Si</t>
        </is>
      </c>
      <c r="L303" t="inlineStr">
        <is>
          <t>Número</t>
        </is>
      </c>
      <c r="M303">
        <v>1</v>
      </c>
      <c r="N303">
        <v>0</v>
      </c>
      <c r="O303">
        <v>0</v>
      </c>
      <c r="P303">
        <v>1</v>
      </c>
      <c r="Q303">
        <v>1</v>
      </c>
      <c r="R303" t="inlineStr">
        <is>
          <t xml:space="preserve"> </t>
        </is>
      </c>
      <c r="S303" s="103" t="inlineStr">
        <is>
          <t xml:space="preserve"> </t>
        </is>
      </c>
      <c r="T303" t="inlineStr">
        <is>
          <t>No se encontró ejecución en PIIP</t>
        </is>
      </c>
      <c r="U303" t="inlineStr">
        <is>
          <t xml:space="preserve"> </t>
        </is>
      </c>
      <c r="V303" s="104" t="inlineStr">
        <is>
          <t xml:space="preserve"> </t>
        </is>
      </c>
      <c r="W303" t="inlineStr">
        <is>
          <t>No se encontró ejecución en PIIP</t>
        </is>
      </c>
    </row>
    <row r="304">
      <c r="A304" t="inlineStr">
        <is>
          <t>IP-350</t>
        </is>
      </c>
      <c r="B304" t="inlineStr">
        <is>
          <t>45</t>
        </is>
      </c>
      <c r="C304" t="inlineStr">
        <is>
          <t>Gobierno Territorial</t>
        </is>
      </c>
      <c r="D304" t="inlineStr">
        <is>
          <t>4501</t>
        </is>
      </c>
      <c r="E304" t="inlineStr">
        <is>
          <t>Fortalecimiento de la convivencia y la seguridad ciudadana</t>
        </is>
      </c>
      <c r="F304" t="inlineStr">
        <is>
          <t>4501046</t>
        </is>
      </c>
      <c r="G304" t="inlineStr">
        <is>
          <t>Documentos de lineamientos técnicos</t>
        </is>
      </c>
      <c r="H304" t="inlineStr">
        <is>
          <t>450104600</t>
        </is>
      </c>
      <c r="I304" t="inlineStr">
        <is>
          <t>Documentos de lineamientos técnicos realizados</t>
        </is>
      </c>
      <c r="J304" t="inlineStr">
        <is>
          <t>2024257580081</t>
        </is>
      </c>
      <c r="K304" t="inlineStr">
        <is>
          <t>Si</t>
        </is>
      </c>
      <c r="L304" t="inlineStr">
        <is>
          <t>Número</t>
        </is>
      </c>
      <c r="M304">
        <v>1</v>
      </c>
      <c r="N304">
        <v>2</v>
      </c>
      <c r="O304">
        <v>2</v>
      </c>
      <c r="P304">
        <v>2</v>
      </c>
      <c r="Q304">
        <v>2</v>
      </c>
      <c r="R304" t="inlineStr">
        <is>
          <t xml:space="preserve"> </t>
        </is>
      </c>
      <c r="S304" s="103" t="inlineStr">
        <is>
          <t xml:space="preserve"> </t>
        </is>
      </c>
      <c r="T304" t="inlineStr">
        <is>
          <t>No se encontró ejecución en PIIP</t>
        </is>
      </c>
      <c r="U304" t="inlineStr">
        <is>
          <t xml:space="preserve"> </t>
        </is>
      </c>
      <c r="V304" s="104" t="inlineStr">
        <is>
          <t xml:space="preserve"> </t>
        </is>
      </c>
      <c r="W304" t="inlineStr">
        <is>
          <t>No se encontró ejecución en PIIP</t>
        </is>
      </c>
    </row>
    <row r="305">
      <c r="A305" t="inlineStr">
        <is>
          <t>IP-351, IP-352, IP-354</t>
        </is>
      </c>
      <c r="B305" t="inlineStr">
        <is>
          <t>45</t>
        </is>
      </c>
      <c r="C305" t="inlineStr">
        <is>
          <t>Gobierno Territorial</t>
        </is>
      </c>
      <c r="D305" t="inlineStr">
        <is>
          <t>4501</t>
        </is>
      </c>
      <c r="E305" t="inlineStr">
        <is>
          <t>Fortalecimiento de la convivencia y la seguridad ciudadana</t>
        </is>
      </c>
      <c r="F305" t="inlineStr">
        <is>
          <t>4501048</t>
        </is>
      </c>
      <c r="G305" t="inlineStr">
        <is>
          <t>Servicio de apoyo para el acceso a la justicia policiva</t>
        </is>
      </c>
      <c r="H305" t="inlineStr">
        <is>
          <t>450104800</t>
        </is>
      </c>
      <c r="I305" t="inlineStr">
        <is>
          <t>Estrategias implementadas</t>
        </is>
      </c>
      <c r="J305" t="inlineStr">
        <is>
          <t>2024257580081</t>
        </is>
      </c>
      <c r="K305" t="inlineStr">
        <is>
          <t>Si</t>
        </is>
      </c>
      <c r="L305" t="inlineStr">
        <is>
          <t>Número</t>
        </is>
      </c>
      <c r="M305">
        <v>12</v>
      </c>
      <c r="N305">
        <v>3</v>
      </c>
      <c r="O305">
        <v>12</v>
      </c>
      <c r="P305">
        <v>12</v>
      </c>
      <c r="Q305">
        <v>12</v>
      </c>
      <c r="R305" t="inlineStr">
        <is>
          <t xml:space="preserve"> </t>
        </is>
      </c>
      <c r="S305" s="103" t="inlineStr">
        <is>
          <t xml:space="preserve"> </t>
        </is>
      </c>
      <c r="T305" t="inlineStr">
        <is>
          <t>No se encontró ejecución en PIIP</t>
        </is>
      </c>
      <c r="U305" t="inlineStr">
        <is>
          <t xml:space="preserve"> </t>
        </is>
      </c>
      <c r="V305" s="104" t="inlineStr">
        <is>
          <t xml:space="preserve"> </t>
        </is>
      </c>
      <c r="W305" t="inlineStr">
        <is>
          <t>No se encontró ejecución en PIIP</t>
        </is>
      </c>
    </row>
    <row r="306">
      <c r="A306" t="inlineStr">
        <is>
          <t>IP-353</t>
        </is>
      </c>
      <c r="B306" t="inlineStr">
        <is>
          <t>45</t>
        </is>
      </c>
      <c r="C306" t="inlineStr">
        <is>
          <t>Gobierno Territorial</t>
        </is>
      </c>
      <c r="D306" t="inlineStr">
        <is>
          <t>4501</t>
        </is>
      </c>
      <c r="E306" t="inlineStr">
        <is>
          <t>Fortalecimiento de la convivencia y la seguridad ciudadana</t>
        </is>
      </c>
      <c r="F306" t="inlineStr">
        <is>
          <t>4501048</t>
        </is>
      </c>
      <c r="G306" t="inlineStr">
        <is>
          <t>Servicio de apoyo para el acceso a la justicia policiva</t>
        </is>
      </c>
      <c r="H306" t="inlineStr">
        <is>
          <t>450104800</t>
        </is>
      </c>
      <c r="I306" t="inlineStr">
        <is>
          <t>Estrategias implementadas</t>
        </is>
      </c>
      <c r="J306" t="inlineStr">
        <is>
          <t>2024257580081</t>
        </is>
      </c>
      <c r="K306" t="inlineStr">
        <is>
          <t>No</t>
        </is>
      </c>
      <c r="L306" t="inlineStr">
        <is>
          <t>Número</t>
        </is>
      </c>
      <c r="M306">
        <v>12</v>
      </c>
      <c r="N306">
        <v>3</v>
      </c>
      <c r="O306">
        <v>3</v>
      </c>
      <c r="P306">
        <v>3</v>
      </c>
      <c r="Q306">
        <v>3</v>
      </c>
      <c r="R306">
        <v>5</v>
      </c>
      <c r="S306" s="103">
        <v>1.66666666666667</v>
      </c>
      <c r="T306" t="inlineStr">
        <is>
          <t>Hubo ejecución por encima de lo programado en SisPT</t>
        </is>
      </c>
      <c r="U306">
        <v>0.17</v>
      </c>
      <c r="V306" s="104">
        <v>0.0566666666666667</v>
      </c>
      <c r="W306" t="inlineStr">
        <is>
          <t>Lo ejecutado está por debajo de lo programado en la vigencia</t>
        </is>
      </c>
    </row>
    <row r="307">
      <c r="A307" t="inlineStr">
        <is>
          <t>IP-355</t>
        </is>
      </c>
      <c r="B307" t="inlineStr">
        <is>
          <t>45</t>
        </is>
      </c>
      <c r="C307" t="inlineStr">
        <is>
          <t>Gobierno Territorial</t>
        </is>
      </c>
      <c r="D307" t="inlineStr">
        <is>
          <t>4501</t>
        </is>
      </c>
      <c r="E307" t="inlineStr">
        <is>
          <t>Fortalecimiento de la convivencia y la seguridad ciudadana</t>
        </is>
      </c>
      <c r="F307" t="inlineStr">
        <is>
          <t>4501003</t>
        </is>
      </c>
      <c r="G307" t="inlineStr">
        <is>
          <t>Escuelas territoriales de convivencia ciudadana construidas</t>
        </is>
      </c>
      <c r="H307" t="inlineStr">
        <is>
          <t>450100300</t>
        </is>
      </c>
      <c r="I307" t="inlineStr">
        <is>
          <t>Escuelas territoriales de convivencia creadas en las regiones</t>
        </is>
      </c>
      <c r="J307" t="inlineStr">
        <is>
          <t>2024257580086</t>
        </is>
      </c>
      <c r="K307" t="inlineStr">
        <is>
          <t>Si</t>
        </is>
      </c>
      <c r="L307" t="inlineStr">
        <is>
          <t>Número</t>
        </is>
      </c>
      <c r="M307">
        <v>1</v>
      </c>
      <c r="N307">
        <v>0</v>
      </c>
      <c r="O307">
        <v>1</v>
      </c>
      <c r="P307">
        <v>1</v>
      </c>
      <c r="Q307">
        <v>1</v>
      </c>
      <c r="R307" t="inlineStr">
        <is>
          <t xml:space="preserve"> </t>
        </is>
      </c>
      <c r="S307" s="103" t="inlineStr">
        <is>
          <t xml:space="preserve"> </t>
        </is>
      </c>
      <c r="T307" t="inlineStr">
        <is>
          <t>No se encontró ejecución en PIIP</t>
        </is>
      </c>
      <c r="U307" t="inlineStr">
        <is>
          <t xml:space="preserve"> </t>
        </is>
      </c>
      <c r="V307" s="104" t="inlineStr">
        <is>
          <t xml:space="preserve"> </t>
        </is>
      </c>
      <c r="W307" t="inlineStr">
        <is>
          <t>No se encontró ejecución en PIIP</t>
        </is>
      </c>
    </row>
    <row r="308">
      <c r="A308" t="inlineStr">
        <is>
          <t>IP-356</t>
        </is>
      </c>
      <c r="B308" t="inlineStr">
        <is>
          <t>45</t>
        </is>
      </c>
      <c r="C308" t="inlineStr">
        <is>
          <t>Gobierno Territorial</t>
        </is>
      </c>
      <c r="D308" t="inlineStr">
        <is>
          <t>4501</t>
        </is>
      </c>
      <c r="E308" t="inlineStr">
        <is>
          <t>Fortalecimiento de la convivencia y la seguridad ciudadana</t>
        </is>
      </c>
      <c r="F308" t="inlineStr">
        <is>
          <t>4501042</t>
        </is>
      </c>
      <c r="G308" t="inlineStr">
        <is>
          <t>Infraestructura para la promoción a la cultura de la legalidad y a la convivencia construida y dotada</t>
        </is>
      </c>
      <c r="H308" t="inlineStr">
        <is>
          <t>450104200</t>
        </is>
      </c>
      <c r="I308" t="inlineStr">
        <is>
          <t>Infraestructura para la promoción a la cultura de la legalidad y a la convivencia construida y dotada</t>
        </is>
      </c>
      <c r="J308" t="inlineStr">
        <is>
          <t>2024257580086</t>
        </is>
      </c>
      <c r="K308" t="inlineStr">
        <is>
          <t>Si</t>
        </is>
      </c>
      <c r="L308" t="inlineStr">
        <is>
          <t>Número</t>
        </is>
      </c>
      <c r="M308">
        <v>1</v>
      </c>
      <c r="N308">
        <v>1</v>
      </c>
      <c r="O308">
        <v>1</v>
      </c>
      <c r="P308">
        <v>1</v>
      </c>
      <c r="Q308">
        <v>1</v>
      </c>
      <c r="R308" t="inlineStr">
        <is>
          <t xml:space="preserve"> </t>
        </is>
      </c>
      <c r="S308" s="103" t="inlineStr">
        <is>
          <t xml:space="preserve"> </t>
        </is>
      </c>
      <c r="T308" t="inlineStr">
        <is>
          <t>No se encontró ejecución en PIIP</t>
        </is>
      </c>
      <c r="U308" t="inlineStr">
        <is>
          <t xml:space="preserve"> </t>
        </is>
      </c>
      <c r="V308" s="104" t="inlineStr">
        <is>
          <t xml:space="preserve"> </t>
        </is>
      </c>
      <c r="W308" t="inlineStr">
        <is>
          <t>No se encontró ejecución en PIIP</t>
        </is>
      </c>
    </row>
    <row r="309">
      <c r="A309" t="inlineStr">
        <is>
          <t>IP-357</t>
        </is>
      </c>
      <c r="B309" t="inlineStr">
        <is>
          <t>45</t>
        </is>
      </c>
      <c r="C309" t="inlineStr">
        <is>
          <t>Gobierno Territorial</t>
        </is>
      </c>
      <c r="D309" t="inlineStr">
        <is>
          <t>4501</t>
        </is>
      </c>
      <c r="E309" t="inlineStr">
        <is>
          <t>Fortalecimiento de la convivencia y la seguridad ciudadana</t>
        </is>
      </c>
      <c r="F309" t="inlineStr">
        <is>
          <t>4501082</t>
        </is>
      </c>
      <c r="G309" t="inlineStr">
        <is>
          <t>Servicio de apoyo para la atención especializada e interdisciplinaria en las comisarias de familia</t>
        </is>
      </c>
      <c r="H309" t="inlineStr">
        <is>
          <t>450108201</t>
        </is>
      </c>
      <c r="I309" t="inlineStr">
        <is>
          <t>Trabajadores de la comisaria de familia beneficiados</t>
        </is>
      </c>
      <c r="J309" t="inlineStr">
        <is>
          <t>2024257580056</t>
        </is>
      </c>
      <c r="K309" t="inlineStr">
        <is>
          <t>Si</t>
        </is>
      </c>
      <c r="L309" t="inlineStr">
        <is>
          <t>Número</t>
        </is>
      </c>
      <c r="M309">
        <v>1</v>
      </c>
      <c r="N309">
        <v>1</v>
      </c>
      <c r="O309">
        <v>1</v>
      </c>
      <c r="P309">
        <v>1</v>
      </c>
      <c r="Q309">
        <v>1</v>
      </c>
      <c r="R309" t="inlineStr">
        <is>
          <t xml:space="preserve"> </t>
        </is>
      </c>
      <c r="S309" s="103" t="inlineStr">
        <is>
          <t xml:space="preserve"> </t>
        </is>
      </c>
      <c r="T309" t="inlineStr">
        <is>
          <t>No se encontró ejecución en PIIP</t>
        </is>
      </c>
      <c r="U309" t="inlineStr">
        <is>
          <t xml:space="preserve"> </t>
        </is>
      </c>
      <c r="V309" s="104" t="inlineStr">
        <is>
          <t xml:space="preserve"> </t>
        </is>
      </c>
      <c r="W309" t="inlineStr">
        <is>
          <t>No se encontró ejecución en PIIP</t>
        </is>
      </c>
    </row>
    <row r="310">
      <c r="A310" t="inlineStr">
        <is>
          <t>IP-358</t>
        </is>
      </c>
      <c r="B310" t="inlineStr">
        <is>
          <t>45</t>
        </is>
      </c>
      <c r="C310" t="inlineStr">
        <is>
          <t>Gobierno Territorial</t>
        </is>
      </c>
      <c r="D310" t="inlineStr">
        <is>
          <t>4501</t>
        </is>
      </c>
      <c r="E310" t="inlineStr">
        <is>
          <t>Fortalecimiento de la convivencia y la seguridad ciudadana</t>
        </is>
      </c>
      <c r="F310" t="inlineStr">
        <is>
          <t>4501048</t>
        </is>
      </c>
      <c r="G310" t="inlineStr">
        <is>
          <t>Servicio de apoyo para el acceso a la justicia policiva</t>
        </is>
      </c>
      <c r="H310" t="inlineStr">
        <is>
          <t>450104800</t>
        </is>
      </c>
      <c r="I310" t="inlineStr">
        <is>
          <t>Estrategias implementadas</t>
        </is>
      </c>
      <c r="J310" t="inlineStr">
        <is>
          <t>2024257580056</t>
        </is>
      </c>
      <c r="K310" t="inlineStr">
        <is>
          <t>No</t>
        </is>
      </c>
      <c r="L310" t="inlineStr">
        <is>
          <t>Número</t>
        </is>
      </c>
      <c r="M310">
        <v>8</v>
      </c>
      <c r="N310">
        <v>2</v>
      </c>
      <c r="O310">
        <v>2</v>
      </c>
      <c r="P310">
        <v>2</v>
      </c>
      <c r="Q310">
        <v>2</v>
      </c>
      <c r="R310" t="inlineStr">
        <is>
          <t xml:space="preserve"> </t>
        </is>
      </c>
      <c r="S310" s="103" t="inlineStr">
        <is>
          <t xml:space="preserve"> </t>
        </is>
      </c>
      <c r="T310" t="inlineStr">
        <is>
          <t>No se encontró ejecución en PIIP</t>
        </is>
      </c>
      <c r="U310" t="inlineStr">
        <is>
          <t xml:space="preserve"> </t>
        </is>
      </c>
      <c r="V310" s="104" t="inlineStr">
        <is>
          <t xml:space="preserve"> </t>
        </is>
      </c>
      <c r="W310" t="inlineStr">
        <is>
          <t>No se encontró ejecución en PIIP</t>
        </is>
      </c>
    </row>
    <row r="311">
      <c r="A311" t="inlineStr">
        <is>
          <t>IP-359</t>
        </is>
      </c>
      <c r="B311" t="inlineStr">
        <is>
          <t>45</t>
        </is>
      </c>
      <c r="C311" t="inlineStr">
        <is>
          <t>Gobierno Territorial</t>
        </is>
      </c>
      <c r="D311" t="inlineStr">
        <is>
          <t>4501</t>
        </is>
      </c>
      <c r="E311" t="inlineStr">
        <is>
          <t>Fortalecimiento de la convivencia y la seguridad ciudadana</t>
        </is>
      </c>
      <c r="F311" t="inlineStr">
        <is>
          <t>4501054</t>
        </is>
      </c>
      <c r="G311" t="inlineStr">
        <is>
          <t>Servicio de sanidad animal</t>
        </is>
      </c>
      <c r="H311" t="inlineStr">
        <is>
          <t>450105400</t>
        </is>
      </c>
      <c r="I311" t="inlineStr">
        <is>
          <t>Animales atendidos en el coso municipal</t>
        </is>
      </c>
      <c r="J311" t="inlineStr">
        <is>
          <t>2024257580078</t>
        </is>
      </c>
      <c r="K311" t="inlineStr">
        <is>
          <t>Si</t>
        </is>
      </c>
      <c r="L311" t="inlineStr">
        <is>
          <t>Número</t>
        </is>
      </c>
      <c r="M311">
        <v>1</v>
      </c>
      <c r="N311">
        <v>1</v>
      </c>
      <c r="O311">
        <v>1</v>
      </c>
      <c r="P311">
        <v>1</v>
      </c>
      <c r="Q311">
        <v>1</v>
      </c>
      <c r="R311" t="inlineStr">
        <is>
          <t xml:space="preserve"> </t>
        </is>
      </c>
      <c r="S311" s="103" t="inlineStr">
        <is>
          <t xml:space="preserve"> </t>
        </is>
      </c>
      <c r="T311" t="inlineStr">
        <is>
          <t>No se encontró ejecución en PIIP</t>
        </is>
      </c>
      <c r="U311" t="inlineStr">
        <is>
          <t xml:space="preserve"> </t>
        </is>
      </c>
      <c r="V311" s="104" t="inlineStr">
        <is>
          <t xml:space="preserve"> </t>
        </is>
      </c>
      <c r="W311" t="inlineStr">
        <is>
          <t>No se encontró ejecución en PIIP</t>
        </is>
      </c>
    </row>
    <row r="312">
      <c r="A312" t="inlineStr">
        <is>
          <t>IP-360</t>
        </is>
      </c>
      <c r="B312" t="inlineStr">
        <is>
          <t>45</t>
        </is>
      </c>
      <c r="C312" t="inlineStr">
        <is>
          <t>Gobierno Territorial</t>
        </is>
      </c>
      <c r="D312" t="inlineStr">
        <is>
          <t>4501</t>
        </is>
      </c>
      <c r="E312" t="inlineStr">
        <is>
          <t>Fortalecimiento de la convivencia y la seguridad ciudadana</t>
        </is>
      </c>
      <c r="F312" t="inlineStr">
        <is>
          <t>4501060</t>
        </is>
      </c>
      <c r="G312" t="inlineStr">
        <is>
          <t>Infraestructura para el bienestar animal adecuada</t>
        </is>
      </c>
      <c r="H312" t="inlineStr">
        <is>
          <t>450106000</t>
        </is>
      </c>
      <c r="I312" t="inlineStr">
        <is>
          <t>Infraestructura para el bienestar animal adecuada</t>
        </is>
      </c>
      <c r="J312" t="inlineStr">
        <is>
          <t>2024257580078</t>
        </is>
      </c>
      <c r="K312" t="inlineStr">
        <is>
          <t>Si</t>
        </is>
      </c>
      <c r="L312" t="inlineStr">
        <is>
          <t>Número</t>
        </is>
      </c>
      <c r="M312">
        <v>1</v>
      </c>
      <c r="N312">
        <v>0.5</v>
      </c>
      <c r="O312">
        <v>1</v>
      </c>
      <c r="P312">
        <v>1</v>
      </c>
      <c r="Q312">
        <v>1</v>
      </c>
      <c r="R312" t="inlineStr">
        <is>
          <t xml:space="preserve"> </t>
        </is>
      </c>
      <c r="S312" s="103" t="inlineStr">
        <is>
          <t xml:space="preserve"> </t>
        </is>
      </c>
      <c r="T312" t="inlineStr">
        <is>
          <t>No se encontró ejecución en PIIP</t>
        </is>
      </c>
      <c r="U312" t="inlineStr">
        <is>
          <t xml:space="preserve"> </t>
        </is>
      </c>
      <c r="V312" s="104" t="inlineStr">
        <is>
          <t xml:space="preserve"> </t>
        </is>
      </c>
      <c r="W312" t="inlineStr">
        <is>
          <t>No se encontró ejecución en PIIP</t>
        </is>
      </c>
    </row>
    <row r="313">
      <c r="A313" t="inlineStr">
        <is>
          <t>IP-361, IP-364, IP-365</t>
        </is>
      </c>
      <c r="B313" t="inlineStr">
        <is>
          <t>12</t>
        </is>
      </c>
      <c r="C313" t="inlineStr">
        <is>
          <t>Justicia y del derecho</t>
        </is>
      </c>
      <c r="D313" t="inlineStr">
        <is>
          <t>1202</t>
        </is>
      </c>
      <c r="E313" t="inlineStr">
        <is>
          <t>Promoción al acceso a la justicia</t>
        </is>
      </c>
      <c r="F313" t="inlineStr">
        <is>
          <t>1202019</t>
        </is>
      </c>
      <c r="G313" t="inlineStr">
        <is>
          <t>Servicio de promoción del acceso a la justicia</t>
        </is>
      </c>
      <c r="H313" t="inlineStr">
        <is>
          <t>120201900</t>
        </is>
      </c>
      <c r="I313" t="inlineStr">
        <is>
          <t>Estrategias de acceso a la justicia desarrolladas</t>
        </is>
      </c>
      <c r="J313" t="inlineStr">
        <is>
          <t>2024257580082</t>
        </is>
      </c>
      <c r="K313" t="inlineStr">
        <is>
          <t>Si</t>
        </is>
      </c>
      <c r="L313" t="inlineStr">
        <is>
          <t>Número</t>
        </is>
      </c>
      <c r="M313">
        <v>65.3</v>
      </c>
      <c r="N313">
        <v>35.3</v>
      </c>
      <c r="O313">
        <v>45.3</v>
      </c>
      <c r="P313">
        <v>55.3</v>
      </c>
      <c r="Q313">
        <v>65.3</v>
      </c>
      <c r="R313" t="inlineStr">
        <is>
          <t xml:space="preserve"> </t>
        </is>
      </c>
      <c r="S313" s="103" t="inlineStr">
        <is>
          <t xml:space="preserve"> </t>
        </is>
      </c>
      <c r="T313" t="inlineStr">
        <is>
          <t>No se encontró ejecución en PIIP</t>
        </is>
      </c>
      <c r="U313">
        <v>0.42</v>
      </c>
      <c r="V313" s="104">
        <v>0.00927152317880795</v>
      </c>
      <c r="W313" t="inlineStr">
        <is>
          <t>Lo ejecutado está por debajo de lo programado en la vigencia</t>
        </is>
      </c>
    </row>
    <row r="314">
      <c r="A314" t="inlineStr">
        <is>
          <t>IP-362</t>
        </is>
      </c>
      <c r="B314" t="inlineStr">
        <is>
          <t>12</t>
        </is>
      </c>
      <c r="C314" t="inlineStr">
        <is>
          <t>Justicia y del derecho</t>
        </is>
      </c>
      <c r="D314" t="inlineStr">
        <is>
          <t>1202</t>
        </is>
      </c>
      <c r="E314" t="inlineStr">
        <is>
          <t>Promoción al acceso a la justicia</t>
        </is>
      </c>
      <c r="F314" t="inlineStr">
        <is>
          <t>1202001</t>
        </is>
      </c>
      <c r="G314" t="inlineStr">
        <is>
          <t>Casas de Justicia en operación</t>
        </is>
      </c>
      <c r="H314" t="inlineStr">
        <is>
          <t>120200100</t>
        </is>
      </c>
      <c r="I314" t="inlineStr">
        <is>
          <t>Casas de justicia en operación</t>
        </is>
      </c>
      <c r="J314" t="inlineStr">
        <is>
          <t>2024257580082</t>
        </is>
      </c>
      <c r="K314" t="inlineStr">
        <is>
          <t>Si</t>
        </is>
      </c>
      <c r="L314" t="inlineStr">
        <is>
          <t>Número</t>
        </is>
      </c>
      <c r="M314">
        <v>1</v>
      </c>
      <c r="N314">
        <v>0.5</v>
      </c>
      <c r="O314">
        <v>1</v>
      </c>
      <c r="P314">
        <v>1</v>
      </c>
      <c r="Q314">
        <v>1</v>
      </c>
      <c r="R314" t="inlineStr">
        <is>
          <t xml:space="preserve"> </t>
        </is>
      </c>
      <c r="S314" s="103" t="inlineStr">
        <is>
          <t xml:space="preserve"> </t>
        </is>
      </c>
      <c r="T314" t="inlineStr">
        <is>
          <t>No se encontró ejecución en PIIP</t>
        </is>
      </c>
      <c r="U314" t="inlineStr">
        <is>
          <t xml:space="preserve"> </t>
        </is>
      </c>
      <c r="V314" s="104" t="inlineStr">
        <is>
          <t xml:space="preserve"> </t>
        </is>
      </c>
      <c r="W314" t="inlineStr">
        <is>
          <t>No se encontró ejecución en PIIP</t>
        </is>
      </c>
    </row>
    <row r="315">
      <c r="A315" t="inlineStr">
        <is>
          <t>IP-363</t>
        </is>
      </c>
      <c r="B315" t="inlineStr">
        <is>
          <t>12</t>
        </is>
      </c>
      <c r="C315" t="inlineStr">
        <is>
          <t>Justicia y del derecho</t>
        </is>
      </c>
      <c r="D315" t="inlineStr">
        <is>
          <t>1202</t>
        </is>
      </c>
      <c r="E315" t="inlineStr">
        <is>
          <t>Promoción al acceso a la justicia</t>
        </is>
      </c>
      <c r="F315" t="inlineStr">
        <is>
          <t>1202025</t>
        </is>
      </c>
      <c r="G315" t="inlineStr">
        <is>
          <t>Servicio de asistencia técnica en fortalecimiento de justicia propia</t>
        </is>
      </c>
      <c r="H315" t="inlineStr">
        <is>
          <t>120202500</t>
        </is>
      </c>
      <c r="I315" t="inlineStr">
        <is>
          <t>Asistencias técnicas en fortalecimiento de justicia propia realizadas</t>
        </is>
      </c>
      <c r="J315" t="inlineStr">
        <is>
          <t>2024257580082</t>
        </is>
      </c>
      <c r="K315" t="inlineStr">
        <is>
          <t>Si</t>
        </is>
      </c>
      <c r="L315" t="inlineStr">
        <is>
          <t>Número</t>
        </is>
      </c>
      <c r="M315">
        <v>100</v>
      </c>
      <c r="N315">
        <v>100</v>
      </c>
      <c r="O315">
        <v>100</v>
      </c>
      <c r="P315">
        <v>100</v>
      </c>
      <c r="Q315">
        <v>100</v>
      </c>
      <c r="R315" t="inlineStr">
        <is>
          <t xml:space="preserve"> </t>
        </is>
      </c>
      <c r="S315" s="103" t="inlineStr">
        <is>
          <t xml:space="preserve"> </t>
        </is>
      </c>
      <c r="T315" t="inlineStr">
        <is>
          <t>No se encontró ejecución en PIIP</t>
        </is>
      </c>
      <c r="U315" t="inlineStr">
        <is>
          <t xml:space="preserve"> </t>
        </is>
      </c>
      <c r="V315" s="104" t="inlineStr">
        <is>
          <t xml:space="preserve"> </t>
        </is>
      </c>
      <c r="W315" t="inlineStr">
        <is>
          <t>No se encontró ejecución en PIIP</t>
        </is>
      </c>
    </row>
    <row r="316">
      <c r="A316" t="inlineStr">
        <is>
          <t>IP-366</t>
        </is>
      </c>
      <c r="B316" t="inlineStr">
        <is>
          <t>12</t>
        </is>
      </c>
      <c r="C316" t="inlineStr">
        <is>
          <t>Justicia y del derecho</t>
        </is>
      </c>
      <c r="D316" t="inlineStr">
        <is>
          <t>1202</t>
        </is>
      </c>
      <c r="E316" t="inlineStr">
        <is>
          <t>Promoción al acceso a la justicia</t>
        </is>
      </c>
      <c r="F316" t="inlineStr">
        <is>
          <t>1202010</t>
        </is>
      </c>
      <c r="G316" t="inlineStr">
        <is>
          <t>Documentos de lineamientos técnicos</t>
        </is>
      </c>
      <c r="H316" t="inlineStr">
        <is>
          <t>120201000</t>
        </is>
      </c>
      <c r="I316" t="inlineStr">
        <is>
          <t>Documentos de lineamientos técnicos realizados</t>
        </is>
      </c>
      <c r="J316" t="inlineStr">
        <is>
          <t>2024257580082</t>
        </is>
      </c>
      <c r="K316" t="inlineStr">
        <is>
          <t>Si</t>
        </is>
      </c>
      <c r="L316" t="inlineStr">
        <is>
          <t>Número</t>
        </is>
      </c>
      <c r="M316">
        <v>1</v>
      </c>
      <c r="N316">
        <v>1</v>
      </c>
      <c r="O316">
        <v>1</v>
      </c>
      <c r="P316">
        <v>1</v>
      </c>
      <c r="Q316">
        <v>1</v>
      </c>
      <c r="R316" t="inlineStr">
        <is>
          <t xml:space="preserve"> </t>
        </is>
      </c>
      <c r="S316" s="103" t="inlineStr">
        <is>
          <t xml:space="preserve"> </t>
        </is>
      </c>
      <c r="T316" t="inlineStr">
        <is>
          <t>No se encontró ejecución en PIIP</t>
        </is>
      </c>
      <c r="U316" t="inlineStr">
        <is>
          <t xml:space="preserve"> </t>
        </is>
      </c>
      <c r="V316" s="104" t="inlineStr">
        <is>
          <t xml:space="preserve"> </t>
        </is>
      </c>
      <c r="W316" t="inlineStr">
        <is>
          <t>No se encontró ejecución en PIIP</t>
        </is>
      </c>
    </row>
    <row r="317">
      <c r="A317" t="inlineStr">
        <is>
          <t>IP-367</t>
        </is>
      </c>
      <c r="B317" t="inlineStr">
        <is>
          <t>12</t>
        </is>
      </c>
      <c r="C317" t="inlineStr">
        <is>
          <t>Justicia y del derecho</t>
        </is>
      </c>
      <c r="D317" t="inlineStr">
        <is>
          <t>1207</t>
        </is>
      </c>
      <c r="E317" t="inlineStr">
        <is>
          <t>Fortalecimiento de la política criminal del Estado colombiano</t>
        </is>
      </c>
      <c r="F317" t="inlineStr">
        <is>
          <t>1207017</t>
        </is>
      </c>
      <c r="G317" t="inlineStr">
        <is>
          <t>Servicio de asistencia técnica en prevención del delito</t>
        </is>
      </c>
      <c r="H317" t="inlineStr">
        <is>
          <t>120701702</t>
        </is>
      </c>
      <c r="I317" t="inlineStr">
        <is>
          <t>Entidades asistidas técnicamente en prevención del delito</t>
        </is>
      </c>
      <c r="J317" t="inlineStr">
        <is>
          <t>2024257580085</t>
        </is>
      </c>
      <c r="K317" t="inlineStr">
        <is>
          <t>Si</t>
        </is>
      </c>
      <c r="L317" t="inlineStr">
        <is>
          <t>Número</t>
        </is>
      </c>
      <c r="M317">
        <v>42</v>
      </c>
      <c r="N317">
        <v>10</v>
      </c>
      <c r="O317">
        <v>11</v>
      </c>
      <c r="P317">
        <v>11</v>
      </c>
      <c r="Q317">
        <v>10</v>
      </c>
      <c r="R317" t="inlineStr">
        <is>
          <t xml:space="preserve"> </t>
        </is>
      </c>
      <c r="S317" s="103" t="inlineStr">
        <is>
          <t xml:space="preserve"> </t>
        </is>
      </c>
      <c r="T317" t="inlineStr">
        <is>
          <t>No se encontró ejecución en PIIP</t>
        </is>
      </c>
      <c r="U317" t="inlineStr">
        <is>
          <t xml:space="preserve"> </t>
        </is>
      </c>
      <c r="V317" s="104" t="inlineStr">
        <is>
          <t xml:space="preserve"> </t>
        </is>
      </c>
      <c r="W317" t="inlineStr">
        <is>
          <t>No se encontró ejecución en PIIP</t>
        </is>
      </c>
    </row>
    <row r="318">
      <c r="A318" t="inlineStr">
        <is>
          <t>IP-368</t>
        </is>
      </c>
      <c r="B318" t="inlineStr">
        <is>
          <t>12</t>
        </is>
      </c>
      <c r="C318" t="inlineStr">
        <is>
          <t>Justicia y del derecho</t>
        </is>
      </c>
      <c r="D318" t="inlineStr">
        <is>
          <t>1207</t>
        </is>
      </c>
      <c r="E318" t="inlineStr">
        <is>
          <t>Fortalecimiento de la política criminal del Estado colombiano</t>
        </is>
      </c>
      <c r="F318" t="inlineStr">
        <is>
          <t>1207017</t>
        </is>
      </c>
      <c r="G318" t="inlineStr">
        <is>
          <t>Servicio de asistencia técnica en prevención del delito</t>
        </is>
      </c>
      <c r="H318" t="inlineStr">
        <is>
          <t>120701704</t>
        </is>
      </c>
      <c r="I318" t="inlineStr">
        <is>
          <t>Campañas de divulgación en temas de política criminal realizadas</t>
        </is>
      </c>
      <c r="J318" t="inlineStr">
        <is>
          <t>2024257580085</t>
        </is>
      </c>
      <c r="K318" t="inlineStr">
        <is>
          <t>No</t>
        </is>
      </c>
      <c r="L318" t="inlineStr">
        <is>
          <t>Número</t>
        </is>
      </c>
      <c r="M318">
        <v>350</v>
      </c>
      <c r="N318">
        <v>88</v>
      </c>
      <c r="O318">
        <v>88</v>
      </c>
      <c r="P318">
        <v>87</v>
      </c>
      <c r="Q318">
        <v>87</v>
      </c>
      <c r="R318" t="inlineStr">
        <is>
          <t xml:space="preserve"> </t>
        </is>
      </c>
      <c r="S318" s="103" t="inlineStr">
        <is>
          <t xml:space="preserve"> </t>
        </is>
      </c>
      <c r="T318" t="inlineStr">
        <is>
          <t>No se encontró ejecución en PIIP</t>
        </is>
      </c>
      <c r="U318" t="inlineStr">
        <is>
          <t xml:space="preserve"> </t>
        </is>
      </c>
      <c r="V318" s="104" t="inlineStr">
        <is>
          <t xml:space="preserve"> </t>
        </is>
      </c>
      <c r="W318" t="inlineStr">
        <is>
          <t>No se encontró ejecución en PIIP</t>
        </is>
      </c>
    </row>
    <row r="319">
      <c r="A319" t="inlineStr">
        <is>
          <t>IP-369</t>
        </is>
      </c>
      <c r="B319" t="inlineStr">
        <is>
          <t>12</t>
        </is>
      </c>
      <c r="C319" t="inlineStr">
        <is>
          <t>Justicia y del derecho</t>
        </is>
      </c>
      <c r="D319" t="inlineStr">
        <is>
          <t>1203</t>
        </is>
      </c>
      <c r="E319" t="inlineStr">
        <is>
          <t>Promoción de los métodos de resolución de conflictos</t>
        </is>
      </c>
      <c r="F319" t="inlineStr">
        <is>
          <t>1203001</t>
        </is>
      </c>
      <c r="G319" t="inlineStr">
        <is>
          <t>Servicio de divulgación para promover los métodos de resolución de conflictos</t>
        </is>
      </c>
      <c r="H319" t="inlineStr">
        <is>
          <t>120300101</t>
        </is>
      </c>
      <c r="I319" t="inlineStr">
        <is>
          <t>Eventos de divulgación realizados</t>
        </is>
      </c>
      <c r="J319" t="inlineStr">
        <is>
          <t>2024257580055</t>
        </is>
      </c>
      <c r="K319" t="inlineStr">
        <is>
          <t>Si</t>
        </is>
      </c>
      <c r="L319" t="inlineStr">
        <is>
          <t>Número</t>
        </is>
      </c>
      <c r="M319">
        <v>1</v>
      </c>
      <c r="N319">
        <v>1</v>
      </c>
      <c r="O319">
        <v>1</v>
      </c>
      <c r="P319">
        <v>1</v>
      </c>
      <c r="Q319">
        <v>1</v>
      </c>
      <c r="R319" t="inlineStr">
        <is>
          <t xml:space="preserve"> </t>
        </is>
      </c>
      <c r="S319" s="103" t="inlineStr">
        <is>
          <t xml:space="preserve"> </t>
        </is>
      </c>
      <c r="T319" t="inlineStr">
        <is>
          <t>No se encontró ejecución en PIIP</t>
        </is>
      </c>
      <c r="U319" t="inlineStr">
        <is>
          <t xml:space="preserve"> </t>
        </is>
      </c>
      <c r="V319" s="104" t="inlineStr">
        <is>
          <t xml:space="preserve"> </t>
        </is>
      </c>
      <c r="W319" t="inlineStr">
        <is>
          <t>No se encontró ejecución en PIIP</t>
        </is>
      </c>
    </row>
    <row r="320">
      <c r="A320" t="inlineStr">
        <is>
          <t>IP-370</t>
        </is>
      </c>
      <c r="B320" t="inlineStr">
        <is>
          <t>12</t>
        </is>
      </c>
      <c r="C320" t="inlineStr">
        <is>
          <t>Justicia y del derecho</t>
        </is>
      </c>
      <c r="D320" t="inlineStr">
        <is>
          <t>1207</t>
        </is>
      </c>
      <c r="E320" t="inlineStr">
        <is>
          <t>Fortalecimiento de la política criminal del Estado colombiano</t>
        </is>
      </c>
      <c r="F320" t="inlineStr">
        <is>
          <t>1207018</t>
        </is>
      </c>
      <c r="G320" t="inlineStr">
        <is>
          <t>Servicio de asistencia técnica en justicia restaurativa</t>
        </is>
      </c>
      <c r="H320" t="inlineStr">
        <is>
          <t>120701800</t>
        </is>
      </c>
      <c r="I320" t="inlineStr">
        <is>
          <t>Asistencias técnicas en justicia restaurativa realizadas</t>
        </is>
      </c>
      <c r="J320" t="inlineStr">
        <is>
          <t>2024257580055</t>
        </is>
      </c>
      <c r="K320" t="inlineStr">
        <is>
          <t>Si</t>
        </is>
      </c>
      <c r="L320" t="inlineStr">
        <is>
          <t>Número</t>
        </is>
      </c>
      <c r="M320">
        <v>1</v>
      </c>
      <c r="N320">
        <v>1</v>
      </c>
      <c r="O320">
        <v>1</v>
      </c>
      <c r="P320">
        <v>1</v>
      </c>
      <c r="Q320">
        <v>1</v>
      </c>
      <c r="R320" t="inlineStr">
        <is>
          <t xml:space="preserve"> </t>
        </is>
      </c>
      <c r="S320" s="103" t="inlineStr">
        <is>
          <t xml:space="preserve"> </t>
        </is>
      </c>
      <c r="T320" t="inlineStr">
        <is>
          <t>No se encontró ejecución en PIIP</t>
        </is>
      </c>
      <c r="U320" t="inlineStr">
        <is>
          <t xml:space="preserve"> </t>
        </is>
      </c>
      <c r="V320" s="104" t="inlineStr">
        <is>
          <t xml:space="preserve"> </t>
        </is>
      </c>
      <c r="W320" t="inlineStr">
        <is>
          <t>No se encontró ejecución en PIIP</t>
        </is>
      </c>
    </row>
    <row r="321">
      <c r="A321" t="inlineStr">
        <is>
          <t>IP-371</t>
        </is>
      </c>
      <c r="B321" t="inlineStr">
        <is>
          <t>12</t>
        </is>
      </c>
      <c r="C321" t="inlineStr">
        <is>
          <t>Justicia y del derecho</t>
        </is>
      </c>
      <c r="D321" t="inlineStr">
        <is>
          <t>1204</t>
        </is>
      </c>
      <c r="E321" t="inlineStr">
        <is>
          <t>Justicia transicional</t>
        </is>
      </c>
      <c r="F321" t="inlineStr">
        <is>
          <t>1204009</t>
        </is>
      </c>
      <c r="G321" t="inlineStr">
        <is>
          <t>Servicio de educación informal en temas de justicia transicional</t>
        </is>
      </c>
      <c r="H321" t="inlineStr">
        <is>
          <t>120400900</t>
        </is>
      </c>
      <c r="I321" t="inlineStr">
        <is>
          <t>Eventos en materia de justicia transicional realizados</t>
        </is>
      </c>
      <c r="J321" t="inlineStr">
        <is>
          <t>2024257580084</t>
        </is>
      </c>
      <c r="K321" t="inlineStr">
        <is>
          <t>Si</t>
        </is>
      </c>
      <c r="L321" t="inlineStr">
        <is>
          <t>Número</t>
        </is>
      </c>
      <c r="M321">
        <v>4</v>
      </c>
      <c r="N321">
        <v>1</v>
      </c>
      <c r="O321">
        <v>1</v>
      </c>
      <c r="P321">
        <v>1</v>
      </c>
      <c r="Q321">
        <v>1</v>
      </c>
      <c r="R321">
        <v>1</v>
      </c>
      <c r="S321" s="103">
        <v>1</v>
      </c>
      <c r="T321" t="inlineStr">
        <is>
          <t>Se ejecutó el 100% de lo programado en la vigencia</t>
        </is>
      </c>
      <c r="U321">
        <v>0</v>
      </c>
      <c r="V321" s="104">
        <v>0</v>
      </c>
      <c r="W321" t="inlineStr">
        <is>
          <t>No se ejecutó en la vigencia</t>
        </is>
      </c>
    </row>
    <row r="322">
      <c r="A322" t="inlineStr">
        <is>
          <t>IP-372</t>
        </is>
      </c>
      <c r="B322" t="inlineStr">
        <is>
          <t>12</t>
        </is>
      </c>
      <c r="C322" t="inlineStr">
        <is>
          <t>Justicia y del derecho</t>
        </is>
      </c>
      <c r="D322" t="inlineStr">
        <is>
          <t>1206</t>
        </is>
      </c>
      <c r="E322" t="inlineStr">
        <is>
          <t>Sistema penitenciario y carcelario en el marco de los derechos humanos</t>
        </is>
      </c>
      <c r="F322" t="inlineStr">
        <is>
          <t>1206007</t>
        </is>
      </c>
      <c r="G322" t="inlineStr">
        <is>
          <t>Servicio de bienestar a la población privada de libertad</t>
        </is>
      </c>
      <c r="H322" t="inlineStr">
        <is>
          <t>120600700</t>
        </is>
      </c>
      <c r="I322" t="inlineStr">
        <is>
          <t>Personas privadas de la libertad con Servicio de bienestar</t>
        </is>
      </c>
      <c r="J322" t="inlineStr">
        <is>
          <t>2024257580051</t>
        </is>
      </c>
      <c r="K322" t="inlineStr">
        <is>
          <t>Si</t>
        </is>
      </c>
      <c r="L322" t="inlineStr">
        <is>
          <t>Número</t>
        </is>
      </c>
      <c r="M322">
        <v>1</v>
      </c>
      <c r="N322">
        <v>1</v>
      </c>
      <c r="O322">
        <v>1</v>
      </c>
      <c r="P322">
        <v>1</v>
      </c>
      <c r="Q322">
        <v>1</v>
      </c>
      <c r="R322">
        <v>1</v>
      </c>
      <c r="S322" s="103">
        <v>1</v>
      </c>
      <c r="T322" t="inlineStr">
        <is>
          <t>Se ejecutó el 100% de lo programado en la vigencia</t>
        </is>
      </c>
      <c r="U322">
        <v>0</v>
      </c>
      <c r="V322" s="104">
        <v>0</v>
      </c>
      <c r="W322" t="inlineStr">
        <is>
          <t>No se ejecutó en la vigencia</t>
        </is>
      </c>
    </row>
    <row r="323">
      <c r="A323" t="inlineStr">
        <is>
          <t>IP-373</t>
        </is>
      </c>
      <c r="B323" t="inlineStr">
        <is>
          <t>45</t>
        </is>
      </c>
      <c r="C323" t="inlineStr">
        <is>
          <t>Gobierno Territorial</t>
        </is>
      </c>
      <c r="D323" t="inlineStr">
        <is>
          <t>4502</t>
        </is>
      </c>
      <c r="E323" t="inlineStr">
        <is>
          <t>Fortalecimiento del buen gobierno para el respeto y garantía de los derechos humanos.</t>
        </is>
      </c>
      <c r="F323" t="inlineStr">
        <is>
          <t>4502034</t>
        </is>
      </c>
      <c r="G323" t="inlineStr">
        <is>
          <t xml:space="preserve">Servicio de educación informal </t>
        </is>
      </c>
      <c r="H323" t="inlineStr">
        <is>
          <t>450203404</t>
        </is>
      </c>
      <c r="I323" t="inlineStr">
        <is>
          <t>Estrategias implementadas</t>
        </is>
      </c>
      <c r="J323" t="inlineStr">
        <is>
          <t>2024257580039</t>
        </is>
      </c>
      <c r="K323" t="inlineStr">
        <is>
          <t>No</t>
        </is>
      </c>
      <c r="L323" t="inlineStr">
        <is>
          <t>Número</t>
        </is>
      </c>
      <c r="M323">
        <v>12</v>
      </c>
      <c r="N323">
        <v>3</v>
      </c>
      <c r="O323">
        <v>3</v>
      </c>
      <c r="P323">
        <v>3</v>
      </c>
      <c r="Q323">
        <v>3</v>
      </c>
      <c r="R323" t="inlineStr">
        <is>
          <t xml:space="preserve"> </t>
        </is>
      </c>
      <c r="S323" s="103" t="inlineStr">
        <is>
          <t xml:space="preserve"> </t>
        </is>
      </c>
      <c r="T323" t="inlineStr">
        <is>
          <t>No se encontró ejecución en PIIP</t>
        </is>
      </c>
      <c r="U323" t="inlineStr">
        <is>
          <t xml:space="preserve"> </t>
        </is>
      </c>
      <c r="V323" s="104" t="inlineStr">
        <is>
          <t xml:space="preserve"> </t>
        </is>
      </c>
      <c r="W323" t="inlineStr">
        <is>
          <t>No se encontró ejecución en PIIP</t>
        </is>
      </c>
    </row>
    <row r="324">
      <c r="A324" t="inlineStr">
        <is>
          <t>IP-374, IP-379, IP-381</t>
        </is>
      </c>
      <c r="B324" t="inlineStr">
        <is>
          <t>45</t>
        </is>
      </c>
      <c r="C324" t="inlineStr">
        <is>
          <t>Gobierno Territorial</t>
        </is>
      </c>
      <c r="D324" t="inlineStr">
        <is>
          <t>4502</t>
        </is>
      </c>
      <c r="E324" t="inlineStr">
        <is>
          <t>Fortalecimiento del buen gobierno para el respeto y garantía de los derechos humanos.</t>
        </is>
      </c>
      <c r="F324" t="inlineStr">
        <is>
          <t>4502001</t>
        </is>
      </c>
      <c r="G324" t="inlineStr">
        <is>
          <t>Servicio de promoción a la participación ciudadana</t>
        </is>
      </c>
      <c r="H324" t="inlineStr">
        <is>
          <t>450200113</t>
        </is>
      </c>
      <c r="I324" t="inlineStr">
        <is>
          <t>Estrategias de promoción a la participación ciudadana implementadas</t>
        </is>
      </c>
      <c r="J324" t="inlineStr">
        <is>
          <t>2024257580039</t>
        </is>
      </c>
      <c r="K324" t="inlineStr">
        <is>
          <t>Si</t>
        </is>
      </c>
      <c r="L324" t="inlineStr">
        <is>
          <t>Número</t>
        </is>
      </c>
      <c r="M324">
        <v>3</v>
      </c>
      <c r="N324">
        <v>1</v>
      </c>
      <c r="O324">
        <v>3</v>
      </c>
      <c r="P324">
        <v>3</v>
      </c>
      <c r="Q324">
        <v>3</v>
      </c>
      <c r="R324" t="inlineStr">
        <is>
          <t xml:space="preserve"> </t>
        </is>
      </c>
      <c r="S324" s="103" t="inlineStr">
        <is>
          <t xml:space="preserve"> </t>
        </is>
      </c>
      <c r="T324" t="inlineStr">
        <is>
          <t>No se encontró ejecución en PIIP</t>
        </is>
      </c>
      <c r="U324" t="inlineStr">
        <is>
          <t xml:space="preserve"> </t>
        </is>
      </c>
      <c r="V324" s="104" t="inlineStr">
        <is>
          <t xml:space="preserve"> </t>
        </is>
      </c>
      <c r="W324" t="inlineStr">
        <is>
          <t>No se encontró ejecución en PIIP</t>
        </is>
      </c>
    </row>
    <row r="325">
      <c r="A325" t="inlineStr">
        <is>
          <t>IP-375, IP-380, IP-382</t>
        </is>
      </c>
      <c r="B325" t="inlineStr">
        <is>
          <t>45</t>
        </is>
      </c>
      <c r="C325" t="inlineStr">
        <is>
          <t>Gobierno Territorial</t>
        </is>
      </c>
      <c r="D325" t="inlineStr">
        <is>
          <t>4502</t>
        </is>
      </c>
      <c r="E325" t="inlineStr">
        <is>
          <t>Fortalecimiento del buen gobierno para el respeto y garantía de los derechos humanos.</t>
        </is>
      </c>
      <c r="F325" t="inlineStr">
        <is>
          <t>4502001</t>
        </is>
      </c>
      <c r="G325" t="inlineStr">
        <is>
          <t>Servicio de promoción a la participación ciudadana</t>
        </is>
      </c>
      <c r="H325" t="inlineStr">
        <is>
          <t>450200110</t>
        </is>
      </c>
      <c r="I325" t="inlineStr">
        <is>
          <t>Instancias formales y no formales de participación fortalecidas</t>
        </is>
      </c>
      <c r="J325" t="inlineStr">
        <is>
          <t>2024257580039</t>
        </is>
      </c>
      <c r="K325" t="inlineStr">
        <is>
          <t>Si</t>
        </is>
      </c>
      <c r="L325" t="inlineStr">
        <is>
          <t>Número</t>
        </is>
      </c>
      <c r="M325">
        <v>53</v>
      </c>
      <c r="N325">
        <v>52</v>
      </c>
      <c r="O325">
        <v>53</v>
      </c>
      <c r="P325">
        <v>53</v>
      </c>
      <c r="Q325">
        <v>53</v>
      </c>
      <c r="R325" t="inlineStr">
        <is>
          <t xml:space="preserve"> </t>
        </is>
      </c>
      <c r="S325" s="103" t="inlineStr">
        <is>
          <t xml:space="preserve"> </t>
        </is>
      </c>
      <c r="T325" t="inlineStr">
        <is>
          <t>No se encontró ejecución en PIIP</t>
        </is>
      </c>
      <c r="U325" t="inlineStr">
        <is>
          <t xml:space="preserve"> </t>
        </is>
      </c>
      <c r="V325" s="104" t="inlineStr">
        <is>
          <t xml:space="preserve"> </t>
        </is>
      </c>
      <c r="W325" t="inlineStr">
        <is>
          <t>No se encontró ejecución en PIIP</t>
        </is>
      </c>
    </row>
    <row r="326">
      <c r="A326" t="inlineStr">
        <is>
          <t>IP-376</t>
        </is>
      </c>
      <c r="B326" t="inlineStr">
        <is>
          <t>45</t>
        </is>
      </c>
      <c r="C326" t="inlineStr">
        <is>
          <t>Gobierno Territorial</t>
        </is>
      </c>
      <c r="D326" t="inlineStr">
        <is>
          <t>4502</t>
        </is>
      </c>
      <c r="E326" t="inlineStr">
        <is>
          <t>Fortalecimiento del buen gobierno para el respeto y garantía de los derechos humanos.</t>
        </is>
      </c>
      <c r="F326" t="inlineStr">
        <is>
          <t>4502003</t>
        </is>
      </c>
      <c r="G326" t="inlineStr">
        <is>
          <t>Salón comunal adecuado</t>
        </is>
      </c>
      <c r="H326" t="inlineStr">
        <is>
          <t>450200300</t>
        </is>
      </c>
      <c r="I326" t="inlineStr">
        <is>
          <t>Salones comunales adecuados</t>
        </is>
      </c>
      <c r="J326" t="inlineStr">
        <is>
          <t>2024257580039</t>
        </is>
      </c>
      <c r="K326" t="inlineStr">
        <is>
          <t>Si</t>
        </is>
      </c>
      <c r="L326" t="inlineStr">
        <is>
          <t>Número</t>
        </is>
      </c>
      <c r="M326">
        <v>22</v>
      </c>
      <c r="N326">
        <v>22</v>
      </c>
      <c r="O326">
        <v>22</v>
      </c>
      <c r="P326">
        <v>22</v>
      </c>
      <c r="Q326">
        <v>22</v>
      </c>
      <c r="R326" t="inlineStr">
        <is>
          <t xml:space="preserve"> </t>
        </is>
      </c>
      <c r="S326" s="103" t="inlineStr">
        <is>
          <t xml:space="preserve"> </t>
        </is>
      </c>
      <c r="T326" t="inlineStr">
        <is>
          <t>No se encontró ejecución en PIIP</t>
        </is>
      </c>
      <c r="U326" t="inlineStr">
        <is>
          <t xml:space="preserve"> </t>
        </is>
      </c>
      <c r="V326" s="104" t="inlineStr">
        <is>
          <t xml:space="preserve"> </t>
        </is>
      </c>
      <c r="W326" t="inlineStr">
        <is>
          <t>No se encontró ejecución en PIIP</t>
        </is>
      </c>
    </row>
    <row r="327">
      <c r="A327" t="inlineStr">
        <is>
          <t>IP-377</t>
        </is>
      </c>
      <c r="B327" t="inlineStr">
        <is>
          <t>45</t>
        </is>
      </c>
      <c r="C327" t="inlineStr">
        <is>
          <t>Gobierno Territorial</t>
        </is>
      </c>
      <c r="D327" t="inlineStr">
        <is>
          <t>4502</t>
        </is>
      </c>
      <c r="E327" t="inlineStr">
        <is>
          <t>Fortalecimiento del buen gobierno para el respeto y garantía de los derechos humanos.</t>
        </is>
      </c>
      <c r="F327" t="inlineStr">
        <is>
          <t>4502008</t>
        </is>
      </c>
      <c r="G327" t="inlineStr">
        <is>
          <t>Salón comunal dotado</t>
        </is>
      </c>
      <c r="H327" t="inlineStr">
        <is>
          <t>450200800</t>
        </is>
      </c>
      <c r="I327" t="inlineStr">
        <is>
          <t>Salones comunales dotados</t>
        </is>
      </c>
      <c r="J327" t="inlineStr">
        <is>
          <t>2024257580039</t>
        </is>
      </c>
      <c r="K327" t="inlineStr">
        <is>
          <t>Si</t>
        </is>
      </c>
      <c r="L327" t="inlineStr">
        <is>
          <t>Número</t>
        </is>
      </c>
      <c r="M327">
        <v>33</v>
      </c>
      <c r="N327">
        <v>33</v>
      </c>
      <c r="O327">
        <v>33</v>
      </c>
      <c r="P327">
        <v>33</v>
      </c>
      <c r="Q327">
        <v>33</v>
      </c>
      <c r="R327" t="inlineStr">
        <is>
          <t xml:space="preserve"> </t>
        </is>
      </c>
      <c r="S327" s="103" t="inlineStr">
        <is>
          <t xml:space="preserve"> </t>
        </is>
      </c>
      <c r="T327" t="inlineStr">
        <is>
          <t>No se encontró ejecución en PIIP</t>
        </is>
      </c>
      <c r="U327" t="inlineStr">
        <is>
          <t xml:space="preserve"> </t>
        </is>
      </c>
      <c r="V327" s="104" t="inlineStr">
        <is>
          <t xml:space="preserve"> </t>
        </is>
      </c>
      <c r="W327" t="inlineStr">
        <is>
          <t>No se encontró ejecución en PIIP</t>
        </is>
      </c>
    </row>
    <row r="328">
      <c r="A328" t="inlineStr">
        <is>
          <t>IP-378</t>
        </is>
      </c>
      <c r="B328" t="inlineStr">
        <is>
          <t>45</t>
        </is>
      </c>
      <c r="C328" t="inlineStr">
        <is>
          <t>Gobierno Territorial</t>
        </is>
      </c>
      <c r="D328" t="inlineStr">
        <is>
          <t>4502</t>
        </is>
      </c>
      <c r="E328" t="inlineStr">
        <is>
          <t>Fortalecimiento del buen gobierno para el respeto y garantía de los derechos humanos.</t>
        </is>
      </c>
      <c r="F328" t="inlineStr">
        <is>
          <t>4502035</t>
        </is>
      </c>
      <c r="G328" t="inlineStr">
        <is>
          <t>Documentos de planeación</t>
        </is>
      </c>
      <c r="H328" t="inlineStr">
        <is>
          <t>450203502</t>
        </is>
      </c>
      <c r="I328" t="inlineStr">
        <is>
          <t>Documentos de planeación con seguimiento realizado</t>
        </is>
      </c>
      <c r="J328" t="inlineStr">
        <is>
          <t>2024257580039</t>
        </is>
      </c>
      <c r="K328" t="inlineStr">
        <is>
          <t>Si</t>
        </is>
      </c>
      <c r="L328" t="inlineStr">
        <is>
          <t>Número</t>
        </is>
      </c>
      <c r="M328">
        <v>30</v>
      </c>
      <c r="N328">
        <v>0</v>
      </c>
      <c r="O328">
        <v>10</v>
      </c>
      <c r="P328">
        <v>20</v>
      </c>
      <c r="Q328">
        <v>30</v>
      </c>
      <c r="R328" t="inlineStr">
        <is>
          <t xml:space="preserve"> </t>
        </is>
      </c>
      <c r="S328" s="103" t="inlineStr">
        <is>
          <t xml:space="preserve"> </t>
        </is>
      </c>
      <c r="T328" t="inlineStr">
        <is>
          <t>No se encontró ejecución en PIIP</t>
        </is>
      </c>
      <c r="U328" t="inlineStr">
        <is>
          <t xml:space="preserve"> </t>
        </is>
      </c>
      <c r="V328" s="104" t="inlineStr">
        <is>
          <t xml:space="preserve"> </t>
        </is>
      </c>
      <c r="W328" t="inlineStr">
        <is>
          <t>No se encontró ejecución en PIIP</t>
        </is>
      </c>
    </row>
    <row r="329">
      <c r="A329" t="inlineStr">
        <is>
          <t>IP-383</t>
        </is>
      </c>
      <c r="B329" t="inlineStr">
        <is>
          <t>45</t>
        </is>
      </c>
      <c r="C329" t="inlineStr">
        <is>
          <t>Gobierno Territorial</t>
        </is>
      </c>
      <c r="D329" t="inlineStr">
        <is>
          <t>4502</t>
        </is>
      </c>
      <c r="E329" t="inlineStr">
        <is>
          <t>Fortalecimiento del buen gobierno para el respeto y garantía de los derechos humanos.</t>
        </is>
      </c>
      <c r="F329" t="inlineStr">
        <is>
          <t>4502001</t>
        </is>
      </c>
      <c r="G329" t="inlineStr">
        <is>
          <t>Servicio de promoción a la participación ciudadana</t>
        </is>
      </c>
      <c r="H329" t="inlineStr">
        <is>
          <t>450200107</t>
        </is>
      </c>
      <c r="I329" t="inlineStr">
        <is>
          <t>Iniciativas creadas</t>
        </is>
      </c>
      <c r="J329" t="inlineStr">
        <is>
          <t>2024257580039</t>
        </is>
      </c>
      <c r="K329" t="inlineStr">
        <is>
          <t>Si</t>
        </is>
      </c>
      <c r="L329" t="inlineStr">
        <is>
          <t>Número</t>
        </is>
      </c>
      <c r="M329">
        <v>1</v>
      </c>
      <c r="N329">
        <v>1</v>
      </c>
      <c r="O329">
        <v>1</v>
      </c>
      <c r="P329">
        <v>1</v>
      </c>
      <c r="Q329">
        <v>1</v>
      </c>
      <c r="R329" t="inlineStr">
        <is>
          <t xml:space="preserve"> </t>
        </is>
      </c>
      <c r="S329" s="103" t="inlineStr">
        <is>
          <t xml:space="preserve"> </t>
        </is>
      </c>
      <c r="T329" t="inlineStr">
        <is>
          <t>No se encontró ejecución en PIIP</t>
        </is>
      </c>
      <c r="U329" t="inlineStr">
        <is>
          <t xml:space="preserve"> </t>
        </is>
      </c>
      <c r="V329" s="104" t="inlineStr">
        <is>
          <t xml:space="preserve"> </t>
        </is>
      </c>
      <c r="W329" t="inlineStr">
        <is>
          <t>No se encontró ejecución en PIIP</t>
        </is>
      </c>
    </row>
    <row r="330">
      <c r="A330" t="inlineStr">
        <is>
          <t>IP-384</t>
        </is>
      </c>
      <c r="B330" t="inlineStr">
        <is>
          <t>45</t>
        </is>
      </c>
      <c r="C330" t="inlineStr">
        <is>
          <t>Gobierno Territorial</t>
        </is>
      </c>
      <c r="D330" t="inlineStr">
        <is>
          <t>4502</t>
        </is>
      </c>
      <c r="E330" t="inlineStr">
        <is>
          <t>Fortalecimiento del buen gobierno para el respeto y garantía de los derechos humanos.</t>
        </is>
      </c>
      <c r="F330" t="inlineStr">
        <is>
          <t>4502001</t>
        </is>
      </c>
      <c r="G330" t="inlineStr">
        <is>
          <t>Servicio de promoción a la participación ciudadana</t>
        </is>
      </c>
      <c r="H330" t="inlineStr">
        <is>
          <t>450200101</t>
        </is>
      </c>
      <c r="I330" t="inlineStr">
        <is>
          <t>Rendicion de cuentas realizadas</t>
        </is>
      </c>
      <c r="J330" t="inlineStr">
        <is>
          <t>2024257580071</t>
        </is>
      </c>
      <c r="K330" t="inlineStr">
        <is>
          <t>No</t>
        </is>
      </c>
      <c r="L330" t="inlineStr">
        <is>
          <t>Número</t>
        </is>
      </c>
      <c r="M330">
        <v>8</v>
      </c>
      <c r="N330">
        <v>2</v>
      </c>
      <c r="O330">
        <v>2</v>
      </c>
      <c r="P330">
        <v>2</v>
      </c>
      <c r="Q330">
        <v>2</v>
      </c>
      <c r="R330" t="inlineStr">
        <is>
          <t xml:space="preserve"> </t>
        </is>
      </c>
      <c r="S330" s="103" t="inlineStr">
        <is>
          <t xml:space="preserve"> </t>
        </is>
      </c>
      <c r="T330" t="inlineStr">
        <is>
          <t>No se encontró ejecución en PIIP</t>
        </is>
      </c>
      <c r="U330" t="inlineStr">
        <is>
          <t xml:space="preserve"> </t>
        </is>
      </c>
      <c r="V330" s="104" t="inlineStr">
        <is>
          <t xml:space="preserve"> </t>
        </is>
      </c>
      <c r="W330" t="inlineStr">
        <is>
          <t>No se encontró ejecución en PIIP</t>
        </is>
      </c>
    </row>
    <row r="331">
      <c r="A331" t="inlineStr">
        <is>
          <t>IP-385</t>
        </is>
      </c>
      <c r="B331" t="inlineStr">
        <is>
          <t>45</t>
        </is>
      </c>
      <c r="C331" t="inlineStr">
        <is>
          <t>Gobierno Territorial</t>
        </is>
      </c>
      <c r="D331" t="inlineStr">
        <is>
          <t>4502</t>
        </is>
      </c>
      <c r="E331" t="inlineStr">
        <is>
          <t>Fortalecimiento del buen gobierno para el respeto y garantía de los derechos humanos.</t>
        </is>
      </c>
      <c r="F331" t="inlineStr">
        <is>
          <t>4502001</t>
        </is>
      </c>
      <c r="G331" t="inlineStr">
        <is>
          <t>Servicio de promoción a la participación ciudadana</t>
        </is>
      </c>
      <c r="H331" t="inlineStr">
        <is>
          <t>450200100</t>
        </is>
      </c>
      <c r="I331" t="inlineStr">
        <is>
          <t>Espacios de participación promovidos</t>
        </is>
      </c>
      <c r="J331" t="inlineStr">
        <is>
          <t>2024257580071</t>
        </is>
      </c>
      <c r="K331" t="inlineStr">
        <is>
          <t>Si</t>
        </is>
      </c>
      <c r="L331" t="inlineStr">
        <is>
          <t>Número</t>
        </is>
      </c>
      <c r="M331">
        <v>4</v>
      </c>
      <c r="N331">
        <v>1</v>
      </c>
      <c r="O331">
        <v>1</v>
      </c>
      <c r="P331">
        <v>1</v>
      </c>
      <c r="Q331">
        <v>1</v>
      </c>
      <c r="R331" t="inlineStr">
        <is>
          <t xml:space="preserve"> </t>
        </is>
      </c>
      <c r="S331" s="103" t="inlineStr">
        <is>
          <t xml:space="preserve"> </t>
        </is>
      </c>
      <c r="T331" t="inlineStr">
        <is>
          <t>No se encontró ejecución en PIIP</t>
        </is>
      </c>
      <c r="U331" t="inlineStr">
        <is>
          <t xml:space="preserve"> </t>
        </is>
      </c>
      <c r="V331" s="104" t="inlineStr">
        <is>
          <t xml:space="preserve"> </t>
        </is>
      </c>
      <c r="W331" t="inlineStr">
        <is>
          <t>No se encontró ejecución en PIIP</t>
        </is>
      </c>
    </row>
    <row r="332">
      <c r="A332" t="inlineStr">
        <is>
          <t>IP-386</t>
        </is>
      </c>
      <c r="B332" t="inlineStr">
        <is>
          <t>45</t>
        </is>
      </c>
      <c r="C332" t="inlineStr">
        <is>
          <t>Gobierno Territorial</t>
        </is>
      </c>
      <c r="D332" t="inlineStr">
        <is>
          <t>4501</t>
        </is>
      </c>
      <c r="E332" t="inlineStr">
        <is>
          <t>Fortalecimiento de la convivencia y la seguridad ciudadana</t>
        </is>
      </c>
      <c r="F332" t="inlineStr">
        <is>
          <t>4501026</t>
        </is>
      </c>
      <c r="G332" t="inlineStr">
        <is>
          <t>Documentos Planeacion</t>
        </is>
      </c>
      <c r="H332" t="inlineStr">
        <is>
          <t>450102600</t>
        </is>
      </c>
      <c r="I332" t="inlineStr">
        <is>
          <t>Planes estratégicos elaborados</t>
        </is>
      </c>
      <c r="J332" t="inlineStr">
        <is>
          <t>2024257580058</t>
        </is>
      </c>
      <c r="K332" t="inlineStr">
        <is>
          <t>Si</t>
        </is>
      </c>
      <c r="L332" t="inlineStr">
        <is>
          <t>Número</t>
        </is>
      </c>
      <c r="M332">
        <v>30</v>
      </c>
      <c r="N332">
        <v>2</v>
      </c>
      <c r="O332">
        <v>10</v>
      </c>
      <c r="P332">
        <v>20</v>
      </c>
      <c r="Q332">
        <v>30</v>
      </c>
      <c r="R332" t="inlineStr">
        <is>
          <t xml:space="preserve"> </t>
        </is>
      </c>
      <c r="S332" s="103" t="inlineStr">
        <is>
          <t xml:space="preserve"> </t>
        </is>
      </c>
      <c r="T332" t="inlineStr">
        <is>
          <t>No se encontró ejecución en PIIP</t>
        </is>
      </c>
      <c r="U332" t="inlineStr">
        <is>
          <t xml:space="preserve"> </t>
        </is>
      </c>
      <c r="V332" s="104" t="inlineStr">
        <is>
          <t xml:space="preserve"> </t>
        </is>
      </c>
      <c r="W332" t="inlineStr">
        <is>
          <t>No se encontró ejecución en PIIP</t>
        </is>
      </c>
    </row>
    <row r="333">
      <c r="A333" t="inlineStr">
        <is>
          <t>IP-387</t>
        </is>
      </c>
      <c r="B333" t="inlineStr">
        <is>
          <t>45</t>
        </is>
      </c>
      <c r="C333" t="inlineStr">
        <is>
          <t>Gobierno Territorial</t>
        </is>
      </c>
      <c r="D333" t="inlineStr">
        <is>
          <t>4501</t>
        </is>
      </c>
      <c r="E333" t="inlineStr">
        <is>
          <t>Fortalecimiento de la convivencia y la seguridad ciudadana</t>
        </is>
      </c>
      <c r="F333" t="inlineStr">
        <is>
          <t>4501081</t>
        </is>
      </c>
      <c r="G333" t="inlineStr">
        <is>
          <t>Servicio de apoyo para la atención de contravenciones y solución de conflictos de convivencia ciudadana</t>
        </is>
      </c>
      <c r="H333" t="inlineStr">
        <is>
          <t>450108100</t>
        </is>
      </c>
      <c r="I333" t="inlineStr">
        <is>
          <t>Casos atendidos</t>
        </is>
      </c>
      <c r="J333" t="inlineStr">
        <is>
          <t>2024257580058</t>
        </is>
      </c>
      <c r="K333" t="inlineStr">
        <is>
          <t>No</t>
        </is>
      </c>
      <c r="L333" t="inlineStr">
        <is>
          <t>Número</t>
        </is>
      </c>
      <c r="M333">
        <v>48</v>
      </c>
      <c r="N333">
        <v>8</v>
      </c>
      <c r="O333">
        <v>14</v>
      </c>
      <c r="P333">
        <v>13</v>
      </c>
      <c r="Q333">
        <v>13</v>
      </c>
      <c r="R333" t="inlineStr">
        <is>
          <t xml:space="preserve"> </t>
        </is>
      </c>
      <c r="S333" s="103" t="inlineStr">
        <is>
          <t xml:space="preserve"> </t>
        </is>
      </c>
      <c r="T333" t="inlineStr">
        <is>
          <t>No se encontró ejecución en PIIP</t>
        </is>
      </c>
      <c r="U333" t="inlineStr">
        <is>
          <t xml:space="preserve"> </t>
        </is>
      </c>
      <c r="V333" s="104" t="inlineStr">
        <is>
          <t xml:space="preserve"> </t>
        </is>
      </c>
      <c r="W333" t="inlineStr">
        <is>
          <t>No se encontró ejecución en PIIP</t>
        </is>
      </c>
    </row>
    <row r="334">
      <c r="A334" t="inlineStr">
        <is>
          <t>IP-388</t>
        </is>
      </c>
      <c r="B334" t="inlineStr">
        <is>
          <t>45</t>
        </is>
      </c>
      <c r="C334" t="inlineStr">
        <is>
          <t>Gobierno Territorial</t>
        </is>
      </c>
      <c r="D334" t="inlineStr">
        <is>
          <t>4501</t>
        </is>
      </c>
      <c r="E334" t="inlineStr">
        <is>
          <t>Fortalecimiento de la convivencia y la seguridad ciudadana</t>
        </is>
      </c>
      <c r="F334" t="inlineStr">
        <is>
          <t>4501004</t>
        </is>
      </c>
      <c r="G334" t="inlineStr">
        <is>
          <t>Servicio de promoción de convivencia y no repetición</t>
        </is>
      </c>
      <c r="H334" t="inlineStr">
        <is>
          <t>450100400</t>
        </is>
      </c>
      <c r="I334" t="inlineStr">
        <is>
          <t>Iniciativas para la promoción de la convivencia implementadas</t>
        </is>
      </c>
      <c r="J334" t="inlineStr">
        <is>
          <t>2024257580058</t>
        </is>
      </c>
      <c r="K334" t="inlineStr">
        <is>
          <t>Si</t>
        </is>
      </c>
      <c r="L334" t="inlineStr">
        <is>
          <t>Número</t>
        </is>
      </c>
      <c r="M334">
        <v>10</v>
      </c>
      <c r="N334">
        <v>0</v>
      </c>
      <c r="O334">
        <v>5</v>
      </c>
      <c r="P334">
        <v>10</v>
      </c>
      <c r="Q334">
        <v>10</v>
      </c>
      <c r="R334" t="inlineStr">
        <is>
          <t xml:space="preserve"> </t>
        </is>
      </c>
      <c r="S334" s="103" t="inlineStr">
        <is>
          <t xml:space="preserve"> </t>
        </is>
      </c>
      <c r="T334" t="inlineStr">
        <is>
          <t>No se encontró ejecución en PIIP</t>
        </is>
      </c>
      <c r="U334" t="inlineStr">
        <is>
          <t xml:space="preserve"> </t>
        </is>
      </c>
      <c r="V334" s="104" t="inlineStr">
        <is>
          <t xml:space="preserve"> </t>
        </is>
      </c>
      <c r="W334" t="inlineStr">
        <is>
          <t>No se encontró ejecución en PIIP</t>
        </is>
      </c>
    </row>
    <row r="335">
      <c r="A335" t="inlineStr">
        <is>
          <t>IP-389</t>
        </is>
      </c>
      <c r="B335" t="inlineStr">
        <is>
          <t>04</t>
        </is>
      </c>
      <c r="C335" t="inlineStr">
        <is>
          <t>Información Estadística</t>
        </is>
      </c>
      <c r="D335" t="inlineStr">
        <is>
          <t>0401</t>
        </is>
      </c>
      <c r="E335" t="inlineStr">
        <is>
          <t>Levantamiento y actualización de información estadística de calidad</t>
        </is>
      </c>
      <c r="F335" t="inlineStr">
        <is>
          <t>0401106</t>
        </is>
      </c>
      <c r="G335" t="inlineStr">
        <is>
          <t xml:space="preserve">SERVICIO DE APOYO A LA GESTIÓN DE CONOCIMIENTO Y CONSOLIDACIÓN DE LA CULTURA ESTADÍSTICA </t>
        </is>
      </c>
      <c r="H335" t="inlineStr">
        <is>
          <t>040110600</t>
        </is>
      </c>
      <c r="I335" t="inlineStr">
        <is>
          <t>Estrategias implementadas</t>
        </is>
      </c>
      <c r="J335" t="inlineStr">
        <is>
          <t>2024257580011</t>
        </is>
      </c>
      <c r="K335" t="inlineStr">
        <is>
          <t>Si</t>
        </is>
      </c>
      <c r="L335" t="inlineStr">
        <is>
          <t>Número</t>
        </is>
      </c>
      <c r="M335">
        <v>1</v>
      </c>
      <c r="N335">
        <v>1</v>
      </c>
      <c r="O335">
        <v>1</v>
      </c>
      <c r="P335">
        <v>1</v>
      </c>
      <c r="Q335">
        <v>1</v>
      </c>
      <c r="R335" t="inlineStr">
        <is>
          <t xml:space="preserve"> </t>
        </is>
      </c>
      <c r="S335" s="103" t="inlineStr">
        <is>
          <t xml:space="preserve"> </t>
        </is>
      </c>
      <c r="T335" t="inlineStr">
        <is>
          <t>No se encontró ejecución en PIIP</t>
        </is>
      </c>
      <c r="U335" t="inlineStr">
        <is>
          <t xml:space="preserve"> </t>
        </is>
      </c>
      <c r="V335" s="104" t="inlineStr">
        <is>
          <t xml:space="preserve"> </t>
        </is>
      </c>
      <c r="W335" t="inlineStr">
        <is>
          <t>No se encontró ejecución en PIIP</t>
        </is>
      </c>
    </row>
    <row r="336">
      <c r="A336" t="inlineStr">
        <is>
          <t>IP-390</t>
        </is>
      </c>
      <c r="B336" t="inlineStr">
        <is>
          <t>04</t>
        </is>
      </c>
      <c r="C336" t="inlineStr">
        <is>
          <t>Información Estadística</t>
        </is>
      </c>
      <c r="D336" t="inlineStr">
        <is>
          <t>0401</t>
        </is>
      </c>
      <c r="E336" t="inlineStr">
        <is>
          <t>Levantamiento y actualización de información estadística de calidad</t>
        </is>
      </c>
      <c r="F336" t="inlineStr">
        <is>
          <t>0401005</t>
        </is>
      </c>
      <c r="G336" t="inlineStr">
        <is>
          <t>Bases de Datos de la temática de Pobreza y Condiciones de Vida</t>
        </is>
      </c>
      <c r="H336" t="inlineStr">
        <is>
          <t>040100500</t>
        </is>
      </c>
      <c r="I336" t="inlineStr">
        <is>
          <t xml:space="preserve">Bases de Datos de la temática de Pobreza y Condiciones de Vida publicadas </t>
        </is>
      </c>
      <c r="J336" t="inlineStr">
        <is>
          <t>2024257580011</t>
        </is>
      </c>
      <c r="K336" t="inlineStr">
        <is>
          <t>Si</t>
        </is>
      </c>
      <c r="L336" t="inlineStr">
        <is>
          <t>Número</t>
        </is>
      </c>
      <c r="M336">
        <v>1</v>
      </c>
      <c r="N336">
        <v>0.25</v>
      </c>
      <c r="O336">
        <v>0.5</v>
      </c>
      <c r="P336">
        <v>0.75</v>
      </c>
      <c r="Q336">
        <v>1</v>
      </c>
      <c r="R336" t="inlineStr">
        <is>
          <t xml:space="preserve"> </t>
        </is>
      </c>
      <c r="S336" s="103" t="inlineStr">
        <is>
          <t xml:space="preserve"> </t>
        </is>
      </c>
      <c r="T336" t="inlineStr">
        <is>
          <t>No se encontró ejecución en PIIP</t>
        </is>
      </c>
      <c r="U336" t="inlineStr">
        <is>
          <t xml:space="preserve"> </t>
        </is>
      </c>
      <c r="V336" s="104" t="inlineStr">
        <is>
          <t xml:space="preserve"> </t>
        </is>
      </c>
      <c r="W336" t="inlineStr">
        <is>
          <t>No se encontró ejecución en PIIP</t>
        </is>
      </c>
    </row>
    <row r="337">
      <c r="A337" t="inlineStr">
        <is>
          <t>IP-391</t>
        </is>
      </c>
      <c r="B337" t="inlineStr">
        <is>
          <t>04</t>
        </is>
      </c>
      <c r="C337" t="inlineStr">
        <is>
          <t>Información Estadística</t>
        </is>
      </c>
      <c r="D337" t="inlineStr">
        <is>
          <t>0401</t>
        </is>
      </c>
      <c r="E337" t="inlineStr">
        <is>
          <t>Levantamiento y actualización de información estadística de calidad</t>
        </is>
      </c>
      <c r="F337" t="inlineStr">
        <is>
          <t>0401102</t>
        </is>
      </c>
      <c r="G337" t="inlineStr">
        <is>
          <t>Servicio de información implementado</t>
        </is>
      </c>
      <c r="H337" t="inlineStr">
        <is>
          <t>040110200</t>
        </is>
      </c>
      <c r="I337" t="inlineStr">
        <is>
          <t>Sistemas de información implementados</t>
        </is>
      </c>
      <c r="J337" t="inlineStr">
        <is>
          <t>2024257580011</t>
        </is>
      </c>
      <c r="K337" t="inlineStr">
        <is>
          <t>Si</t>
        </is>
      </c>
      <c r="L337" t="inlineStr">
        <is>
          <t>Número</t>
        </is>
      </c>
      <c r="M337">
        <v>1</v>
      </c>
      <c r="N337">
        <v>1</v>
      </c>
      <c r="O337">
        <v>1</v>
      </c>
      <c r="P337">
        <v>1</v>
      </c>
      <c r="Q337">
        <v>1</v>
      </c>
      <c r="R337" t="inlineStr">
        <is>
          <t xml:space="preserve"> </t>
        </is>
      </c>
      <c r="S337" s="103" t="inlineStr">
        <is>
          <t xml:space="preserve"> </t>
        </is>
      </c>
      <c r="T337" t="inlineStr">
        <is>
          <t>No se encontró ejecución en PIIP</t>
        </is>
      </c>
      <c r="U337" t="inlineStr">
        <is>
          <t xml:space="preserve"> </t>
        </is>
      </c>
      <c r="V337" s="104" t="inlineStr">
        <is>
          <t xml:space="preserve"> </t>
        </is>
      </c>
      <c r="W337" t="inlineStr">
        <is>
          <t>No se encontró ejecución en PIIP</t>
        </is>
      </c>
    </row>
    <row r="338">
      <c r="A338" t="inlineStr">
        <is>
          <t>IP-392</t>
        </is>
      </c>
      <c r="B338" t="inlineStr">
        <is>
          <t>04</t>
        </is>
      </c>
      <c r="C338" t="inlineStr">
        <is>
          <t>Información Estadística</t>
        </is>
      </c>
      <c r="D338" t="inlineStr">
        <is>
          <t>0406</t>
        </is>
      </c>
      <c r="E338" t="inlineStr">
        <is>
          <t>Generación de la información geográfica del territorio nacional</t>
        </is>
      </c>
      <c r="F338" t="inlineStr">
        <is>
          <t>0406016</t>
        </is>
      </c>
      <c r="G338" t="inlineStr">
        <is>
          <t>Servicio de actualización catastral con enfoque multipropósito</t>
        </is>
      </c>
      <c r="H338" t="inlineStr">
        <is>
          <t>040601600</t>
        </is>
      </c>
      <c r="I338" t="inlineStr">
        <is>
          <t>Área geográfica actualizada catastralmente con enfoque multipropósito</t>
        </is>
      </c>
      <c r="J338" t="inlineStr">
        <is>
          <t>2024257580002</t>
        </is>
      </c>
      <c r="K338" t="inlineStr">
        <is>
          <t>Si</t>
        </is>
      </c>
      <c r="L338" t="inlineStr">
        <is>
          <t>Número</t>
        </is>
      </c>
      <c r="M338">
        <v>1</v>
      </c>
      <c r="N338">
        <v>1</v>
      </c>
      <c r="O338">
        <v>1</v>
      </c>
      <c r="P338">
        <v>1</v>
      </c>
      <c r="Q338">
        <v>1</v>
      </c>
      <c r="R338" t="inlineStr">
        <is>
          <t xml:space="preserve"> </t>
        </is>
      </c>
      <c r="S338" s="103" t="inlineStr">
        <is>
          <t xml:space="preserve"> </t>
        </is>
      </c>
      <c r="T338" t="inlineStr">
        <is>
          <t>No se encontró ejecución en PIIP</t>
        </is>
      </c>
      <c r="U338" t="inlineStr">
        <is>
          <t xml:space="preserve"> </t>
        </is>
      </c>
      <c r="V338" s="104" t="inlineStr">
        <is>
          <t xml:space="preserve"> </t>
        </is>
      </c>
      <c r="W338" t="inlineStr">
        <is>
          <t>No se encontró ejecución en PIIP</t>
        </is>
      </c>
    </row>
    <row r="339">
      <c r="A339" t="inlineStr">
        <is>
          <t>IP-393</t>
        </is>
      </c>
      <c r="B339" t="inlineStr">
        <is>
          <t>23</t>
        </is>
      </c>
      <c r="C339" t="inlineStr">
        <is>
          <t>Tecnologías de la información y las comunicaciones</t>
        </is>
      </c>
      <c r="D339" t="inlineStr">
        <is>
          <t>2301</t>
        </is>
      </c>
      <c r="E339" t="inlineStr">
        <is>
          <t>Facilitar el acceso y uso de las Tecnologías de la Información y las Comunicaciones (TIC) en todo el territorio nacional</t>
        </is>
      </c>
      <c r="F339" t="inlineStr">
        <is>
          <t>2301029</t>
        </is>
      </c>
      <c r="G339" t="inlineStr">
        <is>
          <t>Servicio de divulgación de la regulación en materia de Tecnologías de la Información y las comunicaciones, y en materia postal</t>
        </is>
      </c>
      <c r="H339" t="inlineStr">
        <is>
          <t>230102901</t>
        </is>
      </c>
      <c r="I339" t="inlineStr">
        <is>
          <t>Eventos  para la promoción de la oferta de las Tecnologías de la Información y las Comunicaciones realizados</t>
        </is>
      </c>
      <c r="J339" t="inlineStr">
        <is>
          <t>2024257580021</t>
        </is>
      </c>
      <c r="K339" t="inlineStr">
        <is>
          <t>No</t>
        </is>
      </c>
      <c r="L339" t="inlineStr">
        <is>
          <t>Número</t>
        </is>
      </c>
      <c r="M339">
        <v>4</v>
      </c>
      <c r="N339">
        <v>1</v>
      </c>
      <c r="O339">
        <v>1</v>
      </c>
      <c r="P339">
        <v>1</v>
      </c>
      <c r="Q339">
        <v>1</v>
      </c>
      <c r="R339" t="inlineStr">
        <is>
          <t xml:space="preserve"> </t>
        </is>
      </c>
      <c r="S339" s="103" t="inlineStr">
        <is>
          <t xml:space="preserve"> </t>
        </is>
      </c>
      <c r="T339" t="inlineStr">
        <is>
          <t>No se encontró ejecución en PIIP</t>
        </is>
      </c>
      <c r="U339" t="inlineStr">
        <is>
          <t xml:space="preserve"> </t>
        </is>
      </c>
      <c r="V339" s="104" t="inlineStr">
        <is>
          <t xml:space="preserve"> </t>
        </is>
      </c>
      <c r="W339" t="inlineStr">
        <is>
          <t>No se encontró ejecución en PIIP</t>
        </is>
      </c>
    </row>
    <row r="340">
      <c r="A340" t="inlineStr">
        <is>
          <t>IP-394</t>
        </is>
      </c>
      <c r="B340" t="inlineStr">
        <is>
          <t>23</t>
        </is>
      </c>
      <c r="C340" t="inlineStr">
        <is>
          <t>Tecnologías de la información y las comunicaciones</t>
        </is>
      </c>
      <c r="D340" t="inlineStr">
        <is>
          <t>2301</t>
        </is>
      </c>
      <c r="E340" t="inlineStr">
        <is>
          <t>Facilitar el acceso y uso de las Tecnologías de la Información y las Comunicaciones (TIC) en todo el territorio nacional</t>
        </is>
      </c>
      <c r="F340" t="inlineStr">
        <is>
          <t>2301077</t>
        </is>
      </c>
      <c r="G340" t="inlineStr">
        <is>
          <t>Servicio de información actualizado</t>
        </is>
      </c>
      <c r="H340" t="inlineStr">
        <is>
          <t>230107700</t>
        </is>
      </c>
      <c r="I340" t="inlineStr">
        <is>
          <t>Sistemas de información actualizados</t>
        </is>
      </c>
      <c r="J340" t="inlineStr">
        <is>
          <t>2024257580021</t>
        </is>
      </c>
      <c r="K340" t="inlineStr">
        <is>
          <t>Si</t>
        </is>
      </c>
      <c r="L340" t="inlineStr">
        <is>
          <t>Número</t>
        </is>
      </c>
      <c r="M340">
        <v>1</v>
      </c>
      <c r="N340">
        <v>1</v>
      </c>
      <c r="O340">
        <v>1</v>
      </c>
      <c r="P340">
        <v>1</v>
      </c>
      <c r="Q340">
        <v>1</v>
      </c>
      <c r="R340" t="inlineStr">
        <is>
          <t xml:space="preserve"> </t>
        </is>
      </c>
      <c r="S340" s="103" t="inlineStr">
        <is>
          <t xml:space="preserve"> </t>
        </is>
      </c>
      <c r="T340" t="inlineStr">
        <is>
          <t>No se encontró ejecución en PIIP</t>
        </is>
      </c>
      <c r="U340" t="inlineStr">
        <is>
          <t xml:space="preserve"> </t>
        </is>
      </c>
      <c r="V340" s="104" t="inlineStr">
        <is>
          <t xml:space="preserve"> </t>
        </is>
      </c>
      <c r="W340" t="inlineStr">
        <is>
          <t>No se encontró ejecución en PIIP</t>
        </is>
      </c>
    </row>
    <row r="341">
      <c r="A341" t="inlineStr">
        <is>
          <t>IP-395</t>
        </is>
      </c>
      <c r="B341" t="inlineStr">
        <is>
          <t>23</t>
        </is>
      </c>
      <c r="C341" t="inlineStr">
        <is>
          <t>Tecnologías de la información y las comunicaciones</t>
        </is>
      </c>
      <c r="D341" t="inlineStr">
        <is>
          <t>2301</t>
        </is>
      </c>
      <c r="E341" t="inlineStr">
        <is>
          <t>Facilitar el acceso y uso de las Tecnologías de la Información y las Comunicaciones (TIC) en todo el territorio nacional</t>
        </is>
      </c>
      <c r="F341" t="inlineStr">
        <is>
          <t>2301008</t>
        </is>
      </c>
      <c r="G341" t="inlineStr">
        <is>
          <t>Estaciones de radiodifusión</t>
        </is>
      </c>
      <c r="H341" t="inlineStr">
        <is>
          <t>230100800</t>
        </is>
      </c>
      <c r="I341" t="inlineStr">
        <is>
          <t>Estaciones terrenas en funcionamiento</t>
        </is>
      </c>
      <c r="J341" t="inlineStr">
        <is>
          <t>2024257580021</t>
        </is>
      </c>
      <c r="K341" t="inlineStr">
        <is>
          <t>Si</t>
        </is>
      </c>
      <c r="L341" t="inlineStr">
        <is>
          <t>Número</t>
        </is>
      </c>
      <c r="M341">
        <v>1</v>
      </c>
      <c r="N341">
        <v>1</v>
      </c>
      <c r="O341">
        <v>1</v>
      </c>
      <c r="P341">
        <v>1</v>
      </c>
      <c r="Q341">
        <v>1</v>
      </c>
      <c r="R341" t="inlineStr">
        <is>
          <t xml:space="preserve"> </t>
        </is>
      </c>
      <c r="S341" s="103" t="inlineStr">
        <is>
          <t xml:space="preserve"> </t>
        </is>
      </c>
      <c r="T341" t="inlineStr">
        <is>
          <t>No se encontró ejecución en PIIP</t>
        </is>
      </c>
      <c r="U341" t="inlineStr">
        <is>
          <t xml:space="preserve"> </t>
        </is>
      </c>
      <c r="V341" s="104" t="inlineStr">
        <is>
          <t xml:space="preserve"> </t>
        </is>
      </c>
      <c r="W341" t="inlineStr">
        <is>
          <t>No se encontró ejecución en PIIP</t>
        </is>
      </c>
    </row>
    <row r="342">
      <c r="A342" t="inlineStr">
        <is>
          <t>IP-396</t>
        </is>
      </c>
      <c r="B342" t="inlineStr">
        <is>
          <t>23</t>
        </is>
      </c>
      <c r="C342" t="inlineStr">
        <is>
          <t>Tecnologías de la información y las comunicaciones</t>
        </is>
      </c>
      <c r="D342" t="inlineStr">
        <is>
          <t>2301</t>
        </is>
      </c>
      <c r="E342" t="inlineStr">
        <is>
          <t>Facilitar el acceso y uso de las Tecnologías de la Información y las Comunicaciones (TIC) en todo el territorio nacional</t>
        </is>
      </c>
      <c r="F342" t="inlineStr">
        <is>
          <t>2301075</t>
        </is>
      </c>
      <c r="G342" t="inlineStr">
        <is>
          <t>Servicio de Información implementado</t>
        </is>
      </c>
      <c r="H342" t="inlineStr">
        <is>
          <t>230107500</t>
        </is>
      </c>
      <c r="I342" t="inlineStr">
        <is>
          <t>Sistemas de información implementados</t>
        </is>
      </c>
      <c r="J342" t="inlineStr">
        <is>
          <t>2024257580021</t>
        </is>
      </c>
      <c r="K342" t="inlineStr">
        <is>
          <t>Si</t>
        </is>
      </c>
      <c r="L342" t="inlineStr">
        <is>
          <t>Número</t>
        </is>
      </c>
      <c r="M342">
        <v>6</v>
      </c>
      <c r="N342">
        <v>6</v>
      </c>
      <c r="O342">
        <v>6</v>
      </c>
      <c r="P342">
        <v>6</v>
      </c>
      <c r="Q342">
        <v>6</v>
      </c>
      <c r="R342" t="inlineStr">
        <is>
          <t xml:space="preserve"> </t>
        </is>
      </c>
      <c r="S342" s="103" t="inlineStr">
        <is>
          <t xml:space="preserve"> </t>
        </is>
      </c>
      <c r="T342" t="inlineStr">
        <is>
          <t>No se encontró ejecución en PIIP</t>
        </is>
      </c>
      <c r="U342" t="inlineStr">
        <is>
          <t xml:space="preserve"> </t>
        </is>
      </c>
      <c r="V342" s="104" t="inlineStr">
        <is>
          <t xml:space="preserve"> </t>
        </is>
      </c>
      <c r="W342" t="inlineStr">
        <is>
          <t>No se encontró ejecución en PIIP</t>
        </is>
      </c>
    </row>
    <row r="343">
      <c r="A343" t="inlineStr">
        <is>
          <t>IP-397</t>
        </is>
      </c>
      <c r="B343" t="inlineStr">
        <is>
          <t>23</t>
        </is>
      </c>
      <c r="C343" t="inlineStr">
        <is>
          <t>Tecnologías de la información y las comunicaciones</t>
        </is>
      </c>
      <c r="D343" t="inlineStr">
        <is>
          <t>2301</t>
        </is>
      </c>
      <c r="E343" t="inlineStr">
        <is>
          <t>Facilitar el acceso y uso de las Tecnologías de la Información y las Comunicaciones (TIC) en todo el territorio nacional</t>
        </is>
      </c>
      <c r="F343" t="inlineStr">
        <is>
          <t>2301079</t>
        </is>
      </c>
      <c r="G343" t="inlineStr">
        <is>
          <t xml:space="preserve"> Servicio de acceso zonas digitales</t>
        </is>
      </c>
      <c r="H343" t="inlineStr">
        <is>
          <t>230107900</t>
        </is>
      </c>
      <c r="I343" t="inlineStr">
        <is>
          <t>Zonas digitales instaladas</t>
        </is>
      </c>
      <c r="J343" t="inlineStr">
        <is>
          <t>2024257580022</t>
        </is>
      </c>
      <c r="K343" t="inlineStr">
        <is>
          <t>Si</t>
        </is>
      </c>
      <c r="L343" t="inlineStr">
        <is>
          <t>Número</t>
        </is>
      </c>
      <c r="M343">
        <v>10</v>
      </c>
      <c r="N343">
        <v>10</v>
      </c>
      <c r="O343">
        <v>10</v>
      </c>
      <c r="P343">
        <v>10</v>
      </c>
      <c r="Q343">
        <v>10</v>
      </c>
      <c r="R343" t="inlineStr">
        <is>
          <t xml:space="preserve"> </t>
        </is>
      </c>
      <c r="S343" s="103" t="inlineStr">
        <is>
          <t xml:space="preserve"> </t>
        </is>
      </c>
      <c r="T343" t="inlineStr">
        <is>
          <t>No se encontró ejecución en PIIP</t>
        </is>
      </c>
      <c r="U343" t="inlineStr">
        <is>
          <t xml:space="preserve"> </t>
        </is>
      </c>
      <c r="V343" s="104" t="inlineStr">
        <is>
          <t xml:space="preserve"> </t>
        </is>
      </c>
      <c r="W343" t="inlineStr">
        <is>
          <t>No se encontró ejecución en PIIP</t>
        </is>
      </c>
    </row>
    <row r="344">
      <c r="A344" t="inlineStr">
        <is>
          <t>IP-398</t>
        </is>
      </c>
      <c r="B344" t="inlineStr">
        <is>
          <t>23</t>
        </is>
      </c>
      <c r="C344" t="inlineStr">
        <is>
          <t>Tecnologías de la información y las comunicaciones</t>
        </is>
      </c>
      <c r="D344" t="inlineStr">
        <is>
          <t>2301</t>
        </is>
      </c>
      <c r="E344" t="inlineStr">
        <is>
          <t>Facilitar el acceso y uso de las Tecnologías de la Información y las Comunicaciones (TIC) en todo el territorio nacional</t>
        </is>
      </c>
      <c r="F344" t="inlineStr">
        <is>
          <t>2301027</t>
        </is>
      </c>
      <c r="G344" t="inlineStr">
        <is>
          <t>Servicio de conexiones a redes de acceso</t>
        </is>
      </c>
      <c r="H344" t="inlineStr">
        <is>
          <t>230102700</t>
        </is>
      </c>
      <c r="I344" t="inlineStr">
        <is>
          <t>Conexiones a internet fijo y / o móvil</t>
        </is>
      </c>
      <c r="J344" t="inlineStr">
        <is>
          <t>2024257580022</t>
        </is>
      </c>
      <c r="K344" t="inlineStr">
        <is>
          <t>Si</t>
        </is>
      </c>
      <c r="L344" t="inlineStr">
        <is>
          <t>Número</t>
        </is>
      </c>
      <c r="M344">
        <v>1</v>
      </c>
      <c r="N344">
        <v>0.5</v>
      </c>
      <c r="O344">
        <v>1</v>
      </c>
      <c r="P344">
        <v>1</v>
      </c>
      <c r="Q344">
        <v>1</v>
      </c>
      <c r="R344" t="inlineStr">
        <is>
          <t xml:space="preserve"> </t>
        </is>
      </c>
      <c r="S344" s="103" t="inlineStr">
        <is>
          <t xml:space="preserve"> </t>
        </is>
      </c>
      <c r="T344" t="inlineStr">
        <is>
          <t>No se encontró ejecución en PIIP</t>
        </is>
      </c>
      <c r="U344" t="inlineStr">
        <is>
          <t xml:space="preserve"> </t>
        </is>
      </c>
      <c r="V344" s="104" t="inlineStr">
        <is>
          <t xml:space="preserve"> </t>
        </is>
      </c>
      <c r="W344" t="inlineStr">
        <is>
          <t>No se encontró ejecución en PIIP</t>
        </is>
      </c>
    </row>
    <row r="345">
      <c r="A345" t="inlineStr">
        <is>
          <t>IP-399</t>
        </is>
      </c>
      <c r="B345" t="inlineStr">
        <is>
          <t>23</t>
        </is>
      </c>
      <c r="C345" t="inlineStr">
        <is>
          <t>Tecnologías de la información y las comunicaciones</t>
        </is>
      </c>
      <c r="D345" t="inlineStr">
        <is>
          <t>2301</t>
        </is>
      </c>
      <c r="E345" t="inlineStr">
        <is>
          <t>Facilitar el acceso y uso de las Tecnologías de la Información y las Comunicaciones (TIC) en todo el territorio nacional</t>
        </is>
      </c>
      <c r="F345" t="inlineStr">
        <is>
          <t>2301063</t>
        </is>
      </c>
      <c r="G345" t="inlineStr">
        <is>
          <t>Servicio de educación informal para la adecuada disposición de residuos de aparatos eléctricos y electrónicos</t>
        </is>
      </c>
      <c r="H345" t="inlineStr">
        <is>
          <t>230106300</t>
        </is>
      </c>
      <c r="I345" t="inlineStr">
        <is>
          <t>Personas de la comunidad capacitadas en la correcta disposición de residuos de aparatos eléctricos y electrónicos</t>
        </is>
      </c>
      <c r="J345" t="inlineStr">
        <is>
          <t>2024257580022</t>
        </is>
      </c>
      <c r="K345" t="inlineStr">
        <is>
          <t>Si</t>
        </is>
      </c>
      <c r="L345" t="inlineStr">
        <is>
          <t>Número</t>
        </is>
      </c>
      <c r="M345">
        <v>1</v>
      </c>
      <c r="N345">
        <v>1</v>
      </c>
      <c r="O345">
        <v>1</v>
      </c>
      <c r="P345">
        <v>1</v>
      </c>
      <c r="Q345">
        <v>1</v>
      </c>
      <c r="R345" t="inlineStr">
        <is>
          <t xml:space="preserve"> </t>
        </is>
      </c>
      <c r="S345" s="103" t="inlineStr">
        <is>
          <t xml:space="preserve"> </t>
        </is>
      </c>
      <c r="T345" t="inlineStr">
        <is>
          <t>No se encontró ejecución en PIIP</t>
        </is>
      </c>
      <c r="U345" t="inlineStr">
        <is>
          <t xml:space="preserve"> </t>
        </is>
      </c>
      <c r="V345" s="104" t="inlineStr">
        <is>
          <t xml:space="preserve"> </t>
        </is>
      </c>
      <c r="W345" t="inlineStr">
        <is>
          <t>No se encontró ejecución en PIIP</t>
        </is>
      </c>
    </row>
    <row r="346">
      <c r="A346" t="inlineStr">
        <is>
          <t>IP-400</t>
        </is>
      </c>
      <c r="B346" t="inlineStr">
        <is>
          <t>23</t>
        </is>
      </c>
      <c r="C346" t="inlineStr">
        <is>
          <t>Tecnologías de la información y las comunicaciones</t>
        </is>
      </c>
      <c r="D346" t="inlineStr">
        <is>
          <t>2302</t>
        </is>
      </c>
      <c r="E346" t="inlineStr">
        <is>
          <t>Fomento del desarrollo de aplicaciones, software y contenidos para impulsar la apropiación de las Tecnologías de la Información y las Comunicaciones (TIC)</t>
        </is>
      </c>
      <c r="F346" t="inlineStr">
        <is>
          <t>2302002</t>
        </is>
      </c>
      <c r="G346" t="inlineStr">
        <is>
          <t>Contenidos digitales</t>
        </is>
      </c>
      <c r="H346" t="inlineStr">
        <is>
          <t>230200200</t>
        </is>
      </c>
      <c r="I346" t="inlineStr">
        <is>
          <t>Contenidos digitales publicados</t>
        </is>
      </c>
      <c r="J346" t="inlineStr">
        <is>
          <t>2024257580020</t>
        </is>
      </c>
      <c r="K346" t="inlineStr">
        <is>
          <t>Si</t>
        </is>
      </c>
      <c r="L346" t="inlineStr">
        <is>
          <t>Número</t>
        </is>
      </c>
      <c r="M346">
        <v>800</v>
      </c>
      <c r="N346">
        <v>800</v>
      </c>
      <c r="O346">
        <v>800</v>
      </c>
      <c r="P346">
        <v>800</v>
      </c>
      <c r="Q346">
        <v>800</v>
      </c>
      <c r="R346">
        <v>1492</v>
      </c>
      <c r="S346" s="103">
        <v>1.865</v>
      </c>
      <c r="T346" t="inlineStr">
        <is>
          <t>Hubo ejecución por encima de lo programado en SisPT</t>
        </is>
      </c>
      <c r="U346">
        <v>656</v>
      </c>
      <c r="V346" s="104">
        <v>0.82</v>
      </c>
      <c r="W346" t="inlineStr">
        <is>
          <t>Lo ejecutado está por debajo de lo programado en la vigencia</t>
        </is>
      </c>
    </row>
    <row r="347">
      <c r="A347" t="inlineStr">
        <is>
          <t>IP-401</t>
        </is>
      </c>
      <c r="B347" t="inlineStr">
        <is>
          <t>23</t>
        </is>
      </c>
      <c r="C347" t="inlineStr">
        <is>
          <t>Tecnologías de la información y las comunicaciones</t>
        </is>
      </c>
      <c r="D347" t="inlineStr">
        <is>
          <t>2302</t>
        </is>
      </c>
      <c r="E347" t="inlineStr">
        <is>
          <t>Fomento del desarrollo de aplicaciones, software y contenidos para impulsar la apropiación de las Tecnologías de la Información y las Comunicaciones (TIC)</t>
        </is>
      </c>
      <c r="F347" t="inlineStr">
        <is>
          <t>2302074</t>
        </is>
      </c>
      <c r="G347" t="inlineStr">
        <is>
          <t>Servicio de producción y/o coproducción de contenidos convergentes</t>
        </is>
      </c>
      <c r="H347" t="inlineStr">
        <is>
          <t>230207400</t>
        </is>
      </c>
      <c r="I347" t="inlineStr">
        <is>
          <t>Contenidos convergentes producidos y coproducidos</t>
        </is>
      </c>
      <c r="J347" t="inlineStr">
        <is>
          <t>2024257580020</t>
        </is>
      </c>
      <c r="K347" t="inlineStr">
        <is>
          <t>Si</t>
        </is>
      </c>
      <c r="L347" t="inlineStr">
        <is>
          <t>Número</t>
        </is>
      </c>
      <c r="M347">
        <v>1</v>
      </c>
      <c r="N347">
        <v>1</v>
      </c>
      <c r="O347">
        <v>1</v>
      </c>
      <c r="P347">
        <v>1</v>
      </c>
      <c r="Q347">
        <v>1</v>
      </c>
      <c r="R347" t="inlineStr">
        <is>
          <t xml:space="preserve"> </t>
        </is>
      </c>
      <c r="S347" s="103" t="inlineStr">
        <is>
          <t xml:space="preserve"> </t>
        </is>
      </c>
      <c r="T347" t="inlineStr">
        <is>
          <t>No se encontró ejecución en PIIP</t>
        </is>
      </c>
      <c r="U347" t="inlineStr">
        <is>
          <t xml:space="preserve"> </t>
        </is>
      </c>
      <c r="V347" s="104" t="inlineStr">
        <is>
          <t xml:space="preserve"> </t>
        </is>
      </c>
      <c r="W347" t="inlineStr">
        <is>
          <t>No se encontró ejecución en PIIP</t>
        </is>
      </c>
    </row>
    <row r="348">
      <c r="A348" t="inlineStr">
        <is>
          <t>IP-402</t>
        </is>
      </c>
      <c r="B348" t="inlineStr">
        <is>
          <t>23</t>
        </is>
      </c>
      <c r="C348" t="inlineStr">
        <is>
          <t>Tecnologías de la información y las comunicaciones</t>
        </is>
      </c>
      <c r="D348" t="inlineStr">
        <is>
          <t>2302</t>
        </is>
      </c>
      <c r="E348" t="inlineStr">
        <is>
          <t>Fomento del desarrollo de aplicaciones, software y contenidos para impulsar la apropiación de las Tecnologías de la Información y las Comunicaciones (TIC)</t>
        </is>
      </c>
      <c r="F348" t="inlineStr">
        <is>
          <t>2302086</t>
        </is>
      </c>
      <c r="G348" t="inlineStr">
        <is>
          <t>Servicios de Información para la implementación de la Estrategia de Gobierno digital</t>
        </is>
      </c>
      <c r="H348" t="inlineStr">
        <is>
          <t>230208600</t>
        </is>
      </c>
      <c r="I348" t="inlineStr">
        <is>
          <t>Herramientas tecnológicas de Gobierno digital  implemetadas</t>
        </is>
      </c>
      <c r="J348" t="inlineStr">
        <is>
          <t>2024257580020</t>
        </is>
      </c>
      <c r="K348" t="inlineStr">
        <is>
          <t>Si</t>
        </is>
      </c>
      <c r="L348" t="inlineStr">
        <is>
          <t>Número</t>
        </is>
      </c>
      <c r="M348">
        <v>1</v>
      </c>
      <c r="N348">
        <v>1</v>
      </c>
      <c r="O348">
        <v>1</v>
      </c>
      <c r="P348">
        <v>1</v>
      </c>
      <c r="Q348">
        <v>1</v>
      </c>
      <c r="R348" t="inlineStr">
        <is>
          <t xml:space="preserve"> </t>
        </is>
      </c>
      <c r="S348" s="103" t="inlineStr">
        <is>
          <t xml:space="preserve"> </t>
        </is>
      </c>
      <c r="T348" t="inlineStr">
        <is>
          <t>No se encontró ejecución en PIIP</t>
        </is>
      </c>
      <c r="U348" t="inlineStr">
        <is>
          <t xml:space="preserve"> </t>
        </is>
      </c>
      <c r="V348" s="104" t="inlineStr">
        <is>
          <t xml:space="preserve"> </t>
        </is>
      </c>
      <c r="W348" t="inlineStr">
        <is>
          <t>No se encontró ejecución en PIIP</t>
        </is>
      </c>
    </row>
    <row r="349">
      <c r="A349" t="inlineStr">
        <is>
          <t>IP-403</t>
        </is>
      </c>
      <c r="B349" t="inlineStr">
        <is>
          <t>45</t>
        </is>
      </c>
      <c r="C349" t="inlineStr">
        <is>
          <t>Gobierno Territorial</t>
        </is>
      </c>
      <c r="D349" t="inlineStr">
        <is>
          <t>4599</t>
        </is>
      </c>
      <c r="E349" t="inlineStr">
        <is>
          <t>Fortalecimiento a la gestión y dirección de la administración pública territorial</t>
        </is>
      </c>
      <c r="F349" t="inlineStr">
        <is>
          <t>4599005</t>
        </is>
      </c>
      <c r="G349" t="inlineStr">
        <is>
          <t>Documento para la planeación estratégica en TI</t>
        </is>
      </c>
      <c r="H349" t="inlineStr">
        <is>
          <t>459900500</t>
        </is>
      </c>
      <c r="I349" t="inlineStr">
        <is>
          <t xml:space="preserve">Documentos para la planeación estratégica en TI </t>
        </is>
      </c>
      <c r="J349" t="inlineStr">
        <is>
          <t>2024257580031</t>
        </is>
      </c>
      <c r="K349" t="inlineStr">
        <is>
          <t>Si</t>
        </is>
      </c>
      <c r="L349" t="inlineStr">
        <is>
          <t>Número</t>
        </is>
      </c>
      <c r="M349">
        <v>1</v>
      </c>
      <c r="N349">
        <v>1</v>
      </c>
      <c r="O349">
        <v>1</v>
      </c>
      <c r="P349">
        <v>1</v>
      </c>
      <c r="Q349">
        <v>1</v>
      </c>
      <c r="R349" t="inlineStr">
        <is>
          <t xml:space="preserve"> </t>
        </is>
      </c>
      <c r="S349" s="103" t="inlineStr">
        <is>
          <t xml:space="preserve"> </t>
        </is>
      </c>
      <c r="T349" t="inlineStr">
        <is>
          <t>No se encontró ejecución en PIIP</t>
        </is>
      </c>
      <c r="U349" t="inlineStr">
        <is>
          <t xml:space="preserve"> </t>
        </is>
      </c>
      <c r="V349" s="104" t="inlineStr">
        <is>
          <t xml:space="preserve"> </t>
        </is>
      </c>
      <c r="W349" t="inlineStr">
        <is>
          <t>No se encontró ejecución en PIIP</t>
        </is>
      </c>
    </row>
    <row r="350">
      <c r="A350" t="inlineStr">
        <is>
          <t>IP-404, IP-405</t>
        </is>
      </c>
      <c r="B350" t="inlineStr">
        <is>
          <t>45</t>
        </is>
      </c>
      <c r="C350" t="inlineStr">
        <is>
          <t>Gobierno Territorial</t>
        </is>
      </c>
      <c r="D350" t="inlineStr">
        <is>
          <t>4599</t>
        </is>
      </c>
      <c r="E350" t="inlineStr">
        <is>
          <t>Fortalecimiento a la gestión y dirección de la administración pública territorial</t>
        </is>
      </c>
      <c r="F350" t="inlineStr">
        <is>
          <t>4599007</t>
        </is>
      </c>
      <c r="G350" t="inlineStr">
        <is>
          <t>Servicios tecnológicos</t>
        </is>
      </c>
      <c r="H350" t="inlineStr">
        <is>
          <t>459900700</t>
        </is>
      </c>
      <c r="I350" t="inlineStr">
        <is>
          <t>Índice de capacidad en la prestación de servicios de tecnología</t>
        </is>
      </c>
      <c r="J350" t="inlineStr">
        <is>
          <t>2024257580031</t>
        </is>
      </c>
      <c r="K350" t="inlineStr">
        <is>
          <t>Si</t>
        </is>
      </c>
      <c r="L350" t="inlineStr">
        <is>
          <t>Porcentaje</t>
        </is>
      </c>
      <c r="M350">
        <v>2</v>
      </c>
      <c r="N350">
        <v>2</v>
      </c>
      <c r="O350">
        <v>2</v>
      </c>
      <c r="P350">
        <v>2</v>
      </c>
      <c r="Q350">
        <v>2</v>
      </c>
      <c r="R350" t="inlineStr">
        <is>
          <t xml:space="preserve"> </t>
        </is>
      </c>
      <c r="S350" s="103" t="inlineStr">
        <is>
          <t xml:space="preserve"> </t>
        </is>
      </c>
      <c r="T350" t="inlineStr">
        <is>
          <t>No se encontró ejecución en PIIP</t>
        </is>
      </c>
      <c r="U350" t="inlineStr">
        <is>
          <t xml:space="preserve"> </t>
        </is>
      </c>
      <c r="V350" s="104" t="inlineStr">
        <is>
          <t xml:space="preserve"> </t>
        </is>
      </c>
      <c r="W350" t="inlineStr">
        <is>
          <t>No se encontró ejecución en PIIP</t>
        </is>
      </c>
    </row>
    <row r="351">
      <c r="A351" t="inlineStr">
        <is>
          <t>IP-406</t>
        </is>
      </c>
      <c r="B351" t="inlineStr">
        <is>
          <t>45</t>
        </is>
      </c>
      <c r="C351" t="inlineStr">
        <is>
          <t>Gobierno Territorial</t>
        </is>
      </c>
      <c r="D351" t="inlineStr">
        <is>
          <t>4599</t>
        </is>
      </c>
      <c r="E351" t="inlineStr">
        <is>
          <t>Fortalecimiento a la gestión y dirección de la administración pública territorial</t>
        </is>
      </c>
      <c r="F351" t="inlineStr">
        <is>
          <t>4599023</t>
        </is>
      </c>
      <c r="G351" t="inlineStr">
        <is>
          <t>Servicio de Implementación Sistemas de Gestión</t>
        </is>
      </c>
      <c r="H351" t="inlineStr">
        <is>
          <t>459902302</t>
        </is>
      </c>
      <c r="I351" t="inlineStr">
        <is>
          <t>Informe final de implementación</t>
        </is>
      </c>
      <c r="J351" t="inlineStr">
        <is>
          <t>2024257580023</t>
        </is>
      </c>
      <c r="K351" t="inlineStr">
        <is>
          <t>Si</t>
        </is>
      </c>
      <c r="L351" t="inlineStr">
        <is>
          <t>Número</t>
        </is>
      </c>
      <c r="M351">
        <v>1</v>
      </c>
      <c r="N351">
        <v>1</v>
      </c>
      <c r="O351">
        <v>1</v>
      </c>
      <c r="P351">
        <v>1</v>
      </c>
      <c r="Q351">
        <v>1</v>
      </c>
      <c r="R351" t="inlineStr">
        <is>
          <t xml:space="preserve"> </t>
        </is>
      </c>
      <c r="S351" s="103" t="inlineStr">
        <is>
          <t xml:space="preserve"> </t>
        </is>
      </c>
      <c r="T351" t="inlineStr">
        <is>
          <t>No se encontró ejecución en PIIP</t>
        </is>
      </c>
      <c r="U351" t="inlineStr">
        <is>
          <t xml:space="preserve"> </t>
        </is>
      </c>
      <c r="V351" s="104" t="inlineStr">
        <is>
          <t xml:space="preserve"> </t>
        </is>
      </c>
      <c r="W351" t="inlineStr">
        <is>
          <t>No se encontró ejecución en PIIP</t>
        </is>
      </c>
    </row>
    <row r="352">
      <c r="A352" t="inlineStr">
        <is>
          <t>IP-407</t>
        </is>
      </c>
      <c r="B352" t="inlineStr">
        <is>
          <t>45</t>
        </is>
      </c>
      <c r="C352" t="inlineStr">
        <is>
          <t>Gobierno Territorial</t>
        </is>
      </c>
      <c r="D352" t="inlineStr">
        <is>
          <t>4599</t>
        </is>
      </c>
      <c r="E352" t="inlineStr">
        <is>
          <t>Fortalecimiento a la gestión y dirección de la administración pública territorial</t>
        </is>
      </c>
      <c r="F352" t="inlineStr">
        <is>
          <t>4599023</t>
        </is>
      </c>
      <c r="G352" t="inlineStr">
        <is>
          <t>Servicio de Implementación Sistemas de Gestión</t>
        </is>
      </c>
      <c r="H352" t="inlineStr">
        <is>
          <t>459902300</t>
        </is>
      </c>
      <c r="I352" t="inlineStr">
        <is>
          <t>Sistema de Gestión implementado</t>
        </is>
      </c>
      <c r="J352" t="inlineStr">
        <is>
          <t>2024257580023</t>
        </is>
      </c>
      <c r="K352" t="inlineStr">
        <is>
          <t>Si</t>
        </is>
      </c>
      <c r="L352" t="inlineStr">
        <is>
          <t>Número</t>
        </is>
      </c>
      <c r="M352">
        <v>2</v>
      </c>
      <c r="N352">
        <v>2</v>
      </c>
      <c r="O352">
        <v>2</v>
      </c>
      <c r="P352">
        <v>2</v>
      </c>
      <c r="Q352">
        <v>2</v>
      </c>
      <c r="R352" t="inlineStr">
        <is>
          <t xml:space="preserve"> </t>
        </is>
      </c>
      <c r="S352" s="103" t="inlineStr">
        <is>
          <t xml:space="preserve"> </t>
        </is>
      </c>
      <c r="T352" t="inlineStr">
        <is>
          <t>No se encontró ejecución en PIIP</t>
        </is>
      </c>
      <c r="U352" t="inlineStr">
        <is>
          <t xml:space="preserve"> </t>
        </is>
      </c>
      <c r="V352" s="104" t="inlineStr">
        <is>
          <t xml:space="preserve"> </t>
        </is>
      </c>
      <c r="W352" t="inlineStr">
        <is>
          <t>No se encontró ejecución en PIIP</t>
        </is>
      </c>
    </row>
    <row r="353">
      <c r="A353" t="inlineStr">
        <is>
          <t>IP-408</t>
        </is>
      </c>
      <c r="B353" t="inlineStr">
        <is>
          <t>45</t>
        </is>
      </c>
      <c r="C353" t="inlineStr">
        <is>
          <t>Gobierno Territorial</t>
        </is>
      </c>
      <c r="D353" t="inlineStr">
        <is>
          <t>4599</t>
        </is>
      </c>
      <c r="E353" t="inlineStr">
        <is>
          <t>Fortalecimiento a la gestión y dirección de la administración pública territorial</t>
        </is>
      </c>
      <c r="F353" t="inlineStr">
        <is>
          <t>4599011</t>
        </is>
      </c>
      <c r="G353" t="inlineStr">
        <is>
          <t>Sedes adecuadas</t>
        </is>
      </c>
      <c r="H353" t="inlineStr">
        <is>
          <t>459901100</t>
        </is>
      </c>
      <c r="I353" t="inlineStr">
        <is>
          <t>Sedes adecuadas</t>
        </is>
      </c>
      <c r="J353" t="inlineStr">
        <is>
          <t>2024257580023</t>
        </is>
      </c>
      <c r="K353" t="inlineStr">
        <is>
          <t>Si</t>
        </is>
      </c>
      <c r="L353" t="inlineStr">
        <is>
          <t>Número</t>
        </is>
      </c>
      <c r="M353">
        <v>4</v>
      </c>
      <c r="N353">
        <v>4</v>
      </c>
      <c r="O353">
        <v>4</v>
      </c>
      <c r="P353">
        <v>4</v>
      </c>
      <c r="Q353">
        <v>4</v>
      </c>
      <c r="R353" t="inlineStr">
        <is>
          <t xml:space="preserve"> </t>
        </is>
      </c>
      <c r="S353" s="103" t="inlineStr">
        <is>
          <t xml:space="preserve"> </t>
        </is>
      </c>
      <c r="T353" t="inlineStr">
        <is>
          <t>No se encontró ejecución en PIIP</t>
        </is>
      </c>
      <c r="U353" t="inlineStr">
        <is>
          <t xml:space="preserve"> </t>
        </is>
      </c>
      <c r="V353" s="104" t="inlineStr">
        <is>
          <t xml:space="preserve"> </t>
        </is>
      </c>
      <c r="W353" t="inlineStr">
        <is>
          <t>No se encontró ejecución en PIIP</t>
        </is>
      </c>
    </row>
    <row r="354">
      <c r="A354" t="inlineStr">
        <is>
          <t>IP-409</t>
        </is>
      </c>
      <c r="B354" t="inlineStr">
        <is>
          <t>45</t>
        </is>
      </c>
      <c r="C354" t="inlineStr">
        <is>
          <t>Gobierno Territorial</t>
        </is>
      </c>
      <c r="D354" t="inlineStr">
        <is>
          <t>4599</t>
        </is>
      </c>
      <c r="E354" t="inlineStr">
        <is>
          <t>Fortalecimiento a la gestión y dirección de la administración pública territorial</t>
        </is>
      </c>
      <c r="F354" t="inlineStr">
        <is>
          <t>4599020</t>
        </is>
      </c>
      <c r="G354" t="inlineStr">
        <is>
          <t>Documentos metodológicos</t>
        </is>
      </c>
      <c r="H354" t="inlineStr">
        <is>
          <t>459902000</t>
        </is>
      </c>
      <c r="I354" t="inlineStr">
        <is>
          <t>Documentos metodológicos realizados</t>
        </is>
      </c>
      <c r="J354" t="inlineStr">
        <is>
          <t>2024257580023</t>
        </is>
      </c>
      <c r="K354" t="inlineStr">
        <is>
          <t>Si</t>
        </is>
      </c>
      <c r="L354" t="inlineStr">
        <is>
          <t>Número</t>
        </is>
      </c>
      <c r="M354">
        <v>1</v>
      </c>
      <c r="N354">
        <v>1</v>
      </c>
      <c r="O354">
        <v>1</v>
      </c>
      <c r="P354">
        <v>1</v>
      </c>
      <c r="Q354">
        <v>1</v>
      </c>
      <c r="R354" t="inlineStr">
        <is>
          <t xml:space="preserve"> </t>
        </is>
      </c>
      <c r="S354" s="103" t="inlineStr">
        <is>
          <t xml:space="preserve"> </t>
        </is>
      </c>
      <c r="T354" t="inlineStr">
        <is>
          <t>No se encontró ejecución en PIIP</t>
        </is>
      </c>
      <c r="U354" t="inlineStr">
        <is>
          <t xml:space="preserve"> </t>
        </is>
      </c>
      <c r="V354" s="104" t="inlineStr">
        <is>
          <t xml:space="preserve"> </t>
        </is>
      </c>
      <c r="W354" t="inlineStr">
        <is>
          <t>No se encontró ejecución en PIIP</t>
        </is>
      </c>
    </row>
    <row r="355">
      <c r="A355" t="inlineStr">
        <is>
          <t>IP-410</t>
        </is>
      </c>
      <c r="B355" t="inlineStr">
        <is>
          <t>45</t>
        </is>
      </c>
      <c r="C355" t="inlineStr">
        <is>
          <t>Gobierno Territorial</t>
        </is>
      </c>
      <c r="D355" t="inlineStr">
        <is>
          <t>4599</t>
        </is>
      </c>
      <c r="E355" t="inlineStr">
        <is>
          <t>Fortalecimiento a la gestión y dirección de la administración pública territorial</t>
        </is>
      </c>
      <c r="F355" t="inlineStr">
        <is>
          <t>4599032</t>
        </is>
      </c>
      <c r="G355" t="inlineStr">
        <is>
          <t>Documentos de política</t>
        </is>
      </c>
      <c r="H355" t="inlineStr">
        <is>
          <t>459903200</t>
        </is>
      </c>
      <c r="I355" t="inlineStr">
        <is>
          <t>Documentos de política elaborados</t>
        </is>
      </c>
      <c r="J355" t="inlineStr">
        <is>
          <t>2024257580012</t>
        </is>
      </c>
      <c r="K355" t="inlineStr">
        <is>
          <t>Si</t>
        </is>
      </c>
      <c r="L355" t="inlineStr">
        <is>
          <t>Número</t>
        </is>
      </c>
      <c r="M355">
        <v>1</v>
      </c>
      <c r="N355">
        <v>1</v>
      </c>
      <c r="O355">
        <v>1</v>
      </c>
      <c r="P355">
        <v>1</v>
      </c>
      <c r="Q355">
        <v>1</v>
      </c>
      <c r="R355" t="inlineStr">
        <is>
          <t xml:space="preserve"> </t>
        </is>
      </c>
      <c r="S355" s="103" t="inlineStr">
        <is>
          <t xml:space="preserve"> </t>
        </is>
      </c>
      <c r="T355" t="inlineStr">
        <is>
          <t>No se encontró ejecución en PIIP</t>
        </is>
      </c>
      <c r="U355" t="inlineStr">
        <is>
          <t xml:space="preserve"> </t>
        </is>
      </c>
      <c r="V355" s="104" t="inlineStr">
        <is>
          <t xml:space="preserve"> </t>
        </is>
      </c>
      <c r="W355" t="inlineStr">
        <is>
          <t>No se encontró ejecución en PIIP</t>
        </is>
      </c>
    </row>
    <row r="356">
      <c r="A356" t="inlineStr">
        <is>
          <t>IP-412, IP-413, IP-415</t>
        </is>
      </c>
      <c r="B356" t="inlineStr">
        <is>
          <t>45</t>
        </is>
      </c>
      <c r="C356" t="inlineStr">
        <is>
          <t>Gobierno Territorial</t>
        </is>
      </c>
      <c r="D356" t="inlineStr">
        <is>
          <t>4599</t>
        </is>
      </c>
      <c r="E356" t="inlineStr">
        <is>
          <t>Fortalecimiento a la gestión y dirección de la administración pública territorial</t>
        </is>
      </c>
      <c r="F356" t="inlineStr">
        <is>
          <t>4599018</t>
        </is>
      </c>
      <c r="G356" t="inlineStr">
        <is>
          <t>Documentos de lineamientos técnicos</t>
        </is>
      </c>
      <c r="H356" t="inlineStr">
        <is>
          <t>459901800</t>
        </is>
      </c>
      <c r="I356" t="inlineStr">
        <is>
          <t>Documentos de lineamientos técnicos realizados</t>
        </is>
      </c>
      <c r="J356" t="inlineStr">
        <is>
          <t>2024257580012</t>
        </is>
      </c>
      <c r="K356" t="inlineStr">
        <is>
          <t>Si</t>
        </is>
      </c>
      <c r="L356" t="inlineStr">
        <is>
          <t>Número</t>
        </is>
      </c>
      <c r="M356">
        <v>3</v>
      </c>
      <c r="N356">
        <v>3</v>
      </c>
      <c r="O356">
        <v>3</v>
      </c>
      <c r="P356">
        <v>3</v>
      </c>
      <c r="Q356">
        <v>3</v>
      </c>
      <c r="R356" t="inlineStr">
        <is>
          <t xml:space="preserve"> </t>
        </is>
      </c>
      <c r="S356" s="103" t="inlineStr">
        <is>
          <t xml:space="preserve"> </t>
        </is>
      </c>
      <c r="T356" t="inlineStr">
        <is>
          <t>No se encontró ejecución en PIIP</t>
        </is>
      </c>
      <c r="U356" t="inlineStr">
        <is>
          <t xml:space="preserve"> </t>
        </is>
      </c>
      <c r="V356" s="104" t="inlineStr">
        <is>
          <t xml:space="preserve"> </t>
        </is>
      </c>
      <c r="W356" t="inlineStr">
        <is>
          <t>No se encontró ejecución en PIIP</t>
        </is>
      </c>
    </row>
    <row r="357">
      <c r="A357" t="inlineStr">
        <is>
          <t>IP-414</t>
        </is>
      </c>
      <c r="B357" t="inlineStr">
        <is>
          <t>45</t>
        </is>
      </c>
      <c r="C357" t="inlineStr">
        <is>
          <t>Gobierno Territorial</t>
        </is>
      </c>
      <c r="D357" t="inlineStr">
        <is>
          <t>4599</t>
        </is>
      </c>
      <c r="E357" t="inlineStr">
        <is>
          <t>Fortalecimiento a la gestión y dirección de la administración pública territorial</t>
        </is>
      </c>
      <c r="F357" t="inlineStr">
        <is>
          <t>4599019</t>
        </is>
      </c>
      <c r="G357" t="inlineStr">
        <is>
          <t>Documentos de planeación</t>
        </is>
      </c>
      <c r="H357" t="inlineStr">
        <is>
          <t>459901902</t>
        </is>
      </c>
      <c r="I357" t="inlineStr">
        <is>
          <t>Documentos de planeación con seguimiento realizado</t>
        </is>
      </c>
      <c r="J357" t="inlineStr">
        <is>
          <t>2024257580012</t>
        </is>
      </c>
      <c r="K357" t="inlineStr">
        <is>
          <t>Si</t>
        </is>
      </c>
      <c r="L357" t="inlineStr">
        <is>
          <t>Número</t>
        </is>
      </c>
      <c r="M357">
        <v>1</v>
      </c>
      <c r="N357">
        <v>1</v>
      </c>
      <c r="O357">
        <v>1</v>
      </c>
      <c r="P357">
        <v>1</v>
      </c>
      <c r="Q357">
        <v>1</v>
      </c>
      <c r="R357" t="inlineStr">
        <is>
          <t xml:space="preserve"> </t>
        </is>
      </c>
      <c r="S357" s="103" t="inlineStr">
        <is>
          <t xml:space="preserve"> </t>
        </is>
      </c>
      <c r="T357" t="inlineStr">
        <is>
          <t>No se encontró ejecución en PIIP</t>
        </is>
      </c>
      <c r="U357" t="inlineStr">
        <is>
          <t xml:space="preserve"> </t>
        </is>
      </c>
      <c r="V357" s="104" t="inlineStr">
        <is>
          <t xml:space="preserve"> </t>
        </is>
      </c>
      <c r="W357" t="inlineStr">
        <is>
          <t>No se encontró ejecución en PIIP</t>
        </is>
      </c>
    </row>
    <row r="358">
      <c r="A358" t="inlineStr">
        <is>
          <t>IP-416</t>
        </is>
      </c>
      <c r="B358" t="inlineStr">
        <is>
          <t>45</t>
        </is>
      </c>
      <c r="C358" t="inlineStr">
        <is>
          <t>Gobierno Territorial</t>
        </is>
      </c>
      <c r="D358" t="inlineStr">
        <is>
          <t>4599</t>
        </is>
      </c>
      <c r="E358" t="inlineStr">
        <is>
          <t>Fortalecimiento a la gestión y dirección de la administración pública territorial</t>
        </is>
      </c>
      <c r="F358" t="inlineStr">
        <is>
          <t>4599018</t>
        </is>
      </c>
      <c r="G358" t="inlineStr">
        <is>
          <t>Documentos de lineamientos técnicos</t>
        </is>
      </c>
      <c r="H358" t="inlineStr">
        <is>
          <t>459901800</t>
        </is>
      </c>
      <c r="I358" t="inlineStr">
        <is>
          <t>Documentos de lineamientos técnicos realizados</t>
        </is>
      </c>
      <c r="J358" t="inlineStr">
        <is>
          <t>2024257580032</t>
        </is>
      </c>
      <c r="K358" t="inlineStr">
        <is>
          <t>Si</t>
        </is>
      </c>
      <c r="L358" t="inlineStr">
        <is>
          <t>Número</t>
        </is>
      </c>
      <c r="M358">
        <v>1</v>
      </c>
      <c r="N358">
        <v>1</v>
      </c>
      <c r="O358">
        <v>1</v>
      </c>
      <c r="P358">
        <v>1</v>
      </c>
      <c r="Q358">
        <v>1</v>
      </c>
      <c r="R358" t="inlineStr">
        <is>
          <t xml:space="preserve"> </t>
        </is>
      </c>
      <c r="S358" s="103" t="inlineStr">
        <is>
          <t xml:space="preserve"> </t>
        </is>
      </c>
      <c r="T358" t="inlineStr">
        <is>
          <t>No se encontró ejecución en PIIP</t>
        </is>
      </c>
      <c r="U358" t="inlineStr">
        <is>
          <t xml:space="preserve"> </t>
        </is>
      </c>
      <c r="V358" s="104" t="inlineStr">
        <is>
          <t xml:space="preserve"> </t>
        </is>
      </c>
      <c r="W358" t="inlineStr">
        <is>
          <t>No se encontró ejecución en PIIP</t>
        </is>
      </c>
    </row>
    <row r="359">
      <c r="A359" t="inlineStr">
        <is>
          <t>IP-417</t>
        </is>
      </c>
      <c r="B359" t="inlineStr">
        <is>
          <t>45</t>
        </is>
      </c>
      <c r="C359" t="inlineStr">
        <is>
          <t>Gobierno Territorial</t>
        </is>
      </c>
      <c r="D359" t="inlineStr">
        <is>
          <t>4599</t>
        </is>
      </c>
      <c r="E359" t="inlineStr">
        <is>
          <t>Fortalecimiento a la gestión y dirección de la administración pública territorial</t>
        </is>
      </c>
      <c r="F359" t="inlineStr">
        <is>
          <t>4599017</t>
        </is>
      </c>
      <c r="G359" t="inlineStr">
        <is>
          <t>Servicio de gestión documental</t>
        </is>
      </c>
      <c r="H359" t="inlineStr">
        <is>
          <t>459901706</t>
        </is>
      </c>
      <c r="I359" t="inlineStr">
        <is>
          <t>Documentos custodiados</t>
        </is>
      </c>
      <c r="J359" t="inlineStr">
        <is>
          <t>2024257580064</t>
        </is>
      </c>
      <c r="K359" t="inlineStr">
        <is>
          <t>Si</t>
        </is>
      </c>
      <c r="L359" t="inlineStr">
        <is>
          <t>Número</t>
        </is>
      </c>
      <c r="M359">
        <v>70</v>
      </c>
      <c r="N359">
        <v>10</v>
      </c>
      <c r="O359">
        <v>30</v>
      </c>
      <c r="P359">
        <v>50</v>
      </c>
      <c r="Q359">
        <v>70</v>
      </c>
      <c r="R359" t="inlineStr">
        <is>
          <t xml:space="preserve"> </t>
        </is>
      </c>
      <c r="S359" s="103" t="inlineStr">
        <is>
          <t xml:space="preserve"> </t>
        </is>
      </c>
      <c r="T359" t="inlineStr">
        <is>
          <t>No se encontró ejecución en PIIP</t>
        </is>
      </c>
      <c r="U359" t="inlineStr">
        <is>
          <t xml:space="preserve"> </t>
        </is>
      </c>
      <c r="V359" s="104" t="inlineStr">
        <is>
          <t xml:space="preserve"> </t>
        </is>
      </c>
      <c r="W359" t="inlineStr">
        <is>
          <t>No se encontró ejecución en PIIP</t>
        </is>
      </c>
    </row>
    <row r="360">
      <c r="A360" t="inlineStr">
        <is>
          <t>IP-418</t>
        </is>
      </c>
      <c r="B360" t="inlineStr">
        <is>
          <t>45</t>
        </is>
      </c>
      <c r="C360" t="inlineStr">
        <is>
          <t>Gobierno Territorial</t>
        </is>
      </c>
      <c r="D360" t="inlineStr">
        <is>
          <t>4599</t>
        </is>
      </c>
      <c r="E360" t="inlineStr">
        <is>
          <t>Fortalecimiento a la gestión y dirección de la administración pública territorial</t>
        </is>
      </c>
      <c r="F360" t="inlineStr">
        <is>
          <t>4599017</t>
        </is>
      </c>
      <c r="G360" t="inlineStr">
        <is>
          <t>Servicio de gestión documental</t>
        </is>
      </c>
      <c r="H360" t="inlineStr">
        <is>
          <t>459901707</t>
        </is>
      </c>
      <c r="I360" t="inlineStr">
        <is>
          <t>Documentos digitalizados</t>
        </is>
      </c>
      <c r="J360" t="inlineStr">
        <is>
          <t>2024257580064</t>
        </is>
      </c>
      <c r="K360" t="inlineStr">
        <is>
          <t>Si</t>
        </is>
      </c>
      <c r="L360" t="inlineStr">
        <is>
          <t>Número</t>
        </is>
      </c>
      <c r="M360">
        <v>40</v>
      </c>
      <c r="N360">
        <v>1.25</v>
      </c>
      <c r="O360">
        <v>15</v>
      </c>
      <c r="P360">
        <v>30</v>
      </c>
      <c r="Q360">
        <v>40</v>
      </c>
      <c r="R360" t="inlineStr">
        <is>
          <t xml:space="preserve"> </t>
        </is>
      </c>
      <c r="S360" s="103" t="inlineStr">
        <is>
          <t xml:space="preserve"> </t>
        </is>
      </c>
      <c r="T360" t="inlineStr">
        <is>
          <t>No se encontró ejecución en PIIP</t>
        </is>
      </c>
      <c r="U360" t="inlineStr">
        <is>
          <t xml:space="preserve"> </t>
        </is>
      </c>
      <c r="V360" s="104" t="inlineStr">
        <is>
          <t xml:space="preserve"> </t>
        </is>
      </c>
      <c r="W360" t="inlineStr">
        <is>
          <t>No se encontró ejecución en PIIP</t>
        </is>
      </c>
    </row>
    <row r="361">
      <c r="A361" t="inlineStr">
        <is>
          <t>IP-419</t>
        </is>
      </c>
      <c r="B361" t="inlineStr">
        <is>
          <t>45</t>
        </is>
      </c>
      <c r="C361" t="inlineStr">
        <is>
          <t>Gobierno Territorial</t>
        </is>
      </c>
      <c r="D361" t="inlineStr">
        <is>
          <t>4599</t>
        </is>
      </c>
      <c r="E361" t="inlineStr">
        <is>
          <t>Fortalecimiento a la gestión y dirección de la administración pública territorial</t>
        </is>
      </c>
      <c r="F361" t="inlineStr">
        <is>
          <t>4599017</t>
        </is>
      </c>
      <c r="G361" t="inlineStr">
        <is>
          <t>Servicio de gestión documental</t>
        </is>
      </c>
      <c r="H361" t="inlineStr">
        <is>
          <t>459901700</t>
        </is>
      </c>
      <c r="I361" t="inlineStr">
        <is>
          <t>Sistema de gestión documental implementado</t>
        </is>
      </c>
      <c r="J361" t="inlineStr">
        <is>
          <t>2024257580064</t>
        </is>
      </c>
      <c r="K361" t="inlineStr">
        <is>
          <t>Si</t>
        </is>
      </c>
      <c r="L361" t="inlineStr">
        <is>
          <t>Número</t>
        </is>
      </c>
      <c r="M361">
        <v>60</v>
      </c>
      <c r="N361">
        <v>15</v>
      </c>
      <c r="O361">
        <v>30</v>
      </c>
      <c r="P361">
        <v>45</v>
      </c>
      <c r="Q361">
        <v>60</v>
      </c>
      <c r="R361">
        <v>1</v>
      </c>
      <c r="S361" s="103">
        <v>0.0666666666666667</v>
      </c>
      <c r="T361" t="inlineStr">
        <is>
          <t>Lo ejecutado está por debajo de lo programado en la vigencia</t>
        </is>
      </c>
      <c r="U361">
        <v>0</v>
      </c>
      <c r="V361" s="104">
        <v>0</v>
      </c>
      <c r="W361" t="inlineStr">
        <is>
          <t>No se ejecutó en la vigencia</t>
        </is>
      </c>
    </row>
    <row r="362">
      <c r="A362" t="inlineStr">
        <is>
          <t>IP-420, IP-421, IP-422, IP-423</t>
        </is>
      </c>
      <c r="B362" t="inlineStr">
        <is>
          <t>45</t>
        </is>
      </c>
      <c r="C362" t="inlineStr">
        <is>
          <t>Gobierno Territorial</t>
        </is>
      </c>
      <c r="D362" t="inlineStr">
        <is>
          <t>4599</t>
        </is>
      </c>
      <c r="E362" t="inlineStr">
        <is>
          <t>Fortalecimiento a la gestión y dirección de la administración pública territorial</t>
        </is>
      </c>
      <c r="F362" t="inlineStr">
        <is>
          <t>4599002</t>
        </is>
      </c>
      <c r="G362" t="inlineStr">
        <is>
          <t>Servicio de saneamiento fiscal y financiero</t>
        </is>
      </c>
      <c r="H362" t="inlineStr">
        <is>
          <t>459900201</t>
        </is>
      </c>
      <c r="I362" t="inlineStr">
        <is>
          <t>Estrategia para el mejoramiento del Índice de Desempeño Fiscal ejecutada</t>
        </is>
      </c>
      <c r="J362" t="inlineStr">
        <is>
          <t>2024257580073</t>
        </is>
      </c>
      <c r="K362" t="inlineStr">
        <is>
          <t>Si</t>
        </is>
      </c>
      <c r="L362" t="inlineStr">
        <is>
          <t>Número</t>
        </is>
      </c>
      <c r="M362">
        <v>45015</v>
      </c>
      <c r="N362">
        <v>41003</v>
      </c>
      <c r="O362">
        <v>43512</v>
      </c>
      <c r="P362">
        <v>44012</v>
      </c>
      <c r="Q362">
        <v>45011</v>
      </c>
      <c r="R362" t="inlineStr">
        <is>
          <t xml:space="preserve"> </t>
        </is>
      </c>
      <c r="S362" s="103" t="inlineStr">
        <is>
          <t xml:space="preserve"> </t>
        </is>
      </c>
      <c r="T362" t="inlineStr">
        <is>
          <t>No se encontró ejecución en PIIP</t>
        </is>
      </c>
      <c r="U362" t="inlineStr">
        <is>
          <t xml:space="preserve"> </t>
        </is>
      </c>
      <c r="V362" s="104" t="inlineStr">
        <is>
          <t xml:space="preserve"> </t>
        </is>
      </c>
      <c r="W362" t="inlineStr">
        <is>
          <t>No se encontró ejecución en PIIP</t>
        </is>
      </c>
    </row>
    <row r="363">
      <c r="A363" t="inlineStr">
        <is>
          <t>IP-424</t>
        </is>
      </c>
      <c r="B363" t="inlineStr">
        <is>
          <t>45</t>
        </is>
      </c>
      <c r="C363" t="inlineStr">
        <is>
          <t>Gobierno Territorial</t>
        </is>
      </c>
      <c r="D363" t="inlineStr">
        <is>
          <t>4599</t>
        </is>
      </c>
      <c r="E363" t="inlineStr">
        <is>
          <t>Fortalecimiento a la gestión y dirección de la administración pública territorial</t>
        </is>
      </c>
      <c r="F363" t="inlineStr">
        <is>
          <t>4599021</t>
        </is>
      </c>
      <c r="G363" t="inlineStr">
        <is>
          <t>Documentos normativos</t>
        </is>
      </c>
      <c r="H363" t="inlineStr">
        <is>
          <t>459902100</t>
        </is>
      </c>
      <c r="I363" t="inlineStr">
        <is>
          <t>Documentos normativos realizados</t>
        </is>
      </c>
      <c r="J363" t="inlineStr">
        <is>
          <t>2024257580073</t>
        </is>
      </c>
      <c r="K363" t="inlineStr">
        <is>
          <t>Si</t>
        </is>
      </c>
      <c r="L363" t="inlineStr">
        <is>
          <t>Número</t>
        </is>
      </c>
      <c r="M363">
        <v>2</v>
      </c>
      <c r="N363">
        <v>1</v>
      </c>
      <c r="O363">
        <v>1</v>
      </c>
      <c r="P363">
        <v>0</v>
      </c>
      <c r="Q363">
        <v>0</v>
      </c>
      <c r="R363" t="inlineStr">
        <is>
          <t xml:space="preserve"> </t>
        </is>
      </c>
      <c r="S363" s="103" t="inlineStr">
        <is>
          <t xml:space="preserve"> </t>
        </is>
      </c>
      <c r="T363" t="inlineStr">
        <is>
          <t>No se encontró ejecución en PIIP</t>
        </is>
      </c>
      <c r="U363" t="inlineStr">
        <is>
          <t xml:space="preserve"> </t>
        </is>
      </c>
      <c r="V363" s="104" t="inlineStr">
        <is>
          <t xml:space="preserve"> </t>
        </is>
      </c>
      <c r="W363" t="inlineStr">
        <is>
          <t>No se encontró ejecución en PIIP</t>
        </is>
      </c>
    </row>
    <row r="364">
      <c r="A364" t="inlineStr">
        <is>
          <t>IP-425</t>
        </is>
      </c>
      <c r="B364" t="inlineStr">
        <is>
          <t>45</t>
        </is>
      </c>
      <c r="C364" t="inlineStr">
        <is>
          <t>Gobierno Territorial</t>
        </is>
      </c>
      <c r="D364" t="inlineStr">
        <is>
          <t>4599</t>
        </is>
      </c>
      <c r="E364" t="inlineStr">
        <is>
          <t>Fortalecimiento a la gestión y dirección de la administración pública territorial</t>
        </is>
      </c>
      <c r="F364" t="inlineStr">
        <is>
          <t>4599002</t>
        </is>
      </c>
      <c r="G364" t="inlineStr">
        <is>
          <t>Servicio de saneamiento fiscal y financiero</t>
        </is>
      </c>
      <c r="H364" t="inlineStr">
        <is>
          <t>459900201</t>
        </is>
      </c>
      <c r="I364" t="inlineStr">
        <is>
          <t>Estrategia para el mejoramiento del Índice de Desempeño Fiscal ejecutada</t>
        </is>
      </c>
      <c r="J364" t="inlineStr">
        <is>
          <t>2024257580072</t>
        </is>
      </c>
      <c r="K364" t="inlineStr">
        <is>
          <t>Si</t>
        </is>
      </c>
      <c r="L364" t="inlineStr">
        <is>
          <t>Número</t>
        </is>
      </c>
      <c r="M364">
        <v>12</v>
      </c>
      <c r="N364">
        <v>12</v>
      </c>
      <c r="O364">
        <v>12</v>
      </c>
      <c r="P364">
        <v>12</v>
      </c>
      <c r="Q364">
        <v>12</v>
      </c>
      <c r="R364" t="inlineStr">
        <is>
          <t xml:space="preserve"> </t>
        </is>
      </c>
      <c r="S364" s="103" t="inlineStr">
        <is>
          <t xml:space="preserve"> </t>
        </is>
      </c>
      <c r="T364" t="inlineStr">
        <is>
          <t>No se encontró ejecución en PIIP</t>
        </is>
      </c>
      <c r="U364" t="inlineStr">
        <is>
          <t xml:space="preserve"> </t>
        </is>
      </c>
      <c r="V364" s="104" t="inlineStr">
        <is>
          <t xml:space="preserve"> </t>
        </is>
      </c>
      <c r="W364" t="inlineStr">
        <is>
          <t>No se encontró ejecución en PIIP</t>
        </is>
      </c>
    </row>
    <row r="365">
      <c r="S365" s="103"/>
      <c r="V365" s="104"/>
    </row>
  </sheetData>
  <mergeCells count="6">
    <mergeCell ref="U6:W6"/>
    <mergeCell ref="N6:Q6"/>
    <mergeCell ref="A2:M2"/>
    <mergeCell ref="A3:M3"/>
    <mergeCell ref="R6:T6"/>
    <mergeCell ref="A4:K4"/>
  </mergeCells>
  <conditionalFormatting sqref="S8:S1048576">
    <cfRule type="cellIs" dxfId="1" priority="1" operator="between">
      <formula>1.0000001</formula>
      <formula>999999999</formula>
    </cfRule>
  </conditionalFormatting>
  <conditionalFormatting sqref="S8:S1048576">
    <cfRule type="colorScale" priority="3">
      <colorScale>
        <cfvo type="num" val="0"/>
        <cfvo type="num" val="0.5"/>
        <cfvo type="num" val="1"/>
        <color rgb="FFFB9985"/>
        <color rgb="FFFCF797"/>
        <color rgb="FFADEC9E"/>
      </colorScale>
    </cfRule>
  </conditionalFormatting>
  <conditionalFormatting sqref="V8:V1048576">
    <cfRule type="cellIs" dxfId="0" priority="2" operator="between">
      <formula>1.00000001</formula>
      <formula>9999999999</formula>
    </cfRule>
  </conditionalFormatting>
  <conditionalFormatting sqref="V8:V1048576">
    <cfRule type="colorScale" priority="5">
      <colorScale>
        <cfvo type="num" val="0"/>
        <cfvo type="num" val="0.5"/>
        <cfvo type="num" val="1"/>
        <color rgb="FFFB9985"/>
        <color rgb="FFFCF797"/>
        <color rgb="FFADEC9E"/>
      </colorScale>
    </cfRule>
  </conditionalFormatting>
  <pageMargins left="0.7" right="0.7" top="0.75" bottom="0.75" header="0.3" footer="0.3"/>
  <pageSetup orientation="portrait" r:id="rId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Hojas de cálculo</vt:lpstr>
      </vt:variant>
      <vt:variant>
        <vt:i4>3</vt:i4>
      </vt:variant>
    </vt:vector>
  </HeadingPairs>
  <HyperlinksChanged>false</HyperlinksChanged>
  <LinksUpToDate>false</LinksUpToDate>
  <ScaleCrop>false</ScaleCrop>
  <SharedDoc>false</SharedDoc>
  <TitlesOfParts>
    <vt:vector size="3" baseType="lpstr">
      <vt:lpstr>Resumen</vt:lpstr>
      <vt:lpstr>Detalle seguimiento financiero</vt:lpstr>
      <vt:lpstr>Detalle seguimiento físico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German Andres Gallegos Vargas</dc:creator>
  <cp:lastModifiedBy>German Andres Gallegos Vargas</cp:lastModifiedBy>
  <dcterms:created xsi:type="dcterms:W3CDTF">2025-07-07T13:41:15Z</dcterms:created>
  <dcterms:modified xsi:type="dcterms:W3CDTF">2025-11-20T23:01:40Z</dcterms:modified>
</cp:coreProperties>
</file>