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<sst xmlns="http://schemas.openxmlformats.org/spreadsheetml/2006/main" count="135" uniqueCount="135">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</sst>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16" totalsRowCount="0" totalsRowShown="0">
  <autoFilter ref="A7:X216"/>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252" totalsRowCount="0" totalsRowShown="0">
  <autoFilter ref="A7:W252"/>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AHORA ES EL TIEMPO DE TENJO</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Tenjo,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Ambiente, Conectividad y Ordenamiento y servicios públicos</t>
        </is>
      </c>
      <c r="Q7" s="6">
        <v>33976.37563855</v>
      </c>
      <c r="R7" s="6">
        <v>22085.9943685854</v>
      </c>
      <c r="S7" s="6">
        <v>22300.7007732364</v>
      </c>
      <c r="T7" s="6">
        <v>23787.3053274325</v>
      </c>
      <c r="U7" s="7">
        <f t="shared" ref="U7" si="0">SUM(Q7:T7)</f>
        <v>0</v>
      </c>
      <c r="V7" s="8">
        <f t="shared" ref="V7:V70" si="1">IF(P7="","",INDEX(Q7:U7,MATCH($D$16,$C$23:$G$23,0)))</f>
        <v>0</v>
      </c>
      <c r="W7" s="42" t="str">
        <f>IFERROR(IF(P7="","",CONCATENATE(TEXT(V7,$U$2)," (",TEXT(V7*100/$I$23,$U$3),"%)")),"")</f>
      </c>
    </row>
    <row r="8" spans="2:28" x14ac:dyDescent="0.25">
      <c r="P8" s="6" t="inlineStr">
        <is>
          <t>Es el tiempo de la Innovación y la Nueva Gestión Pública</t>
        </is>
      </c>
      <c r="Q8" s="6">
        <v>13661.493254</v>
      </c>
      <c r="R8" s="6">
        <v>6785</v>
      </c>
      <c r="S8" s="6">
        <v>36187.871</v>
      </c>
      <c r="T8" s="6">
        <v>6903.879075</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Progreso y Desarrollo Económico</t>
        </is>
      </c>
      <c r="Q9" s="6">
        <v>7082.451339</v>
      </c>
      <c r="R9" s="6">
        <v>7385.878275</v>
      </c>
      <c r="S9" s="6">
        <v>7392.898205675</v>
      </c>
      <c r="T9" s="6">
        <v>7344.3602901715</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Seguridad Convivencia y Participación Ciudadana</t>
        </is>
      </c>
      <c r="Q10" s="6">
        <v>6491.72099</v>
      </c>
      <c r="R10" s="6">
        <v>10343.04860408</v>
      </c>
      <c r="S10" s="6">
        <v>11797.4624798494</v>
      </c>
      <c r="T10" s="6">
        <v>10942.2366605069</v>
      </c>
      <c r="U10" s="7">
        <f t="shared" si="4"/>
        <v>0</v>
      </c>
      <c r="V10" s="8" t="str">
        <f t="shared" si="1"/>
      </c>
      <c r="W10" s="42" t="str">
        <f t="shared" si="3"/>
      </c>
    </row>
    <row r="11" spans="2:28" x14ac:dyDescent="0.25">
      <c r="P11" s="6" t="inlineStr">
        <is>
          <t>Transformación Social</t>
        </is>
      </c>
      <c r="Q11" s="6">
        <v>38667.78346185</v>
      </c>
      <c r="R11" s="6">
        <v>51326.788939454</v>
      </c>
      <c r="S11" s="6">
        <v>45857.8338193377</v>
      </c>
      <c r="T11" s="6">
        <v>45124.0760962667</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1810.670987</v>
      </c>
      <c r="D24" s="14">
        <v>3936.983203</v>
      </c>
      <c r="E24" s="14">
        <v>4003.911917451</v>
      </c>
      <c r="F24" s="14">
        <v>4056.4640850477</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2811.82129664</v>
      </c>
      <c r="D25" s="14">
        <v>1580.352376</v>
      </c>
      <c r="E25" s="14">
        <v>1607.218366392</v>
      </c>
      <c r="F25" s="14">
        <v>1634.5410786206</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1748.5</v>
      </c>
      <c r="D26" s="14">
        <v>260</v>
      </c>
      <c r="E26" s="14">
        <v>265.92</v>
      </c>
      <c r="F26" s="14">
        <v>268.91514</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3523.280352</v>
      </c>
      <c r="D27" s="9">
        <v>3188.895072</v>
      </c>
      <c r="E27" s="9">
        <v>3123.066288224</v>
      </c>
      <c r="F27" s="9">
        <v>3018.9810651238</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4465.977228</v>
      </c>
      <c r="D28" s="9">
        <v>7768.704914</v>
      </c>
      <c r="E28" s="9">
        <v>7900.772897538</v>
      </c>
      <c r="F28" s="9">
        <v>7724.7993367962</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14763.583929</v>
      </c>
      <c r="D30" s="9">
        <v>11897.813711</v>
      </c>
      <c r="E30" s="9">
        <v>4653.349012</v>
      </c>
      <c r="F30" s="9">
        <v>4816.927965204</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5963.684154</v>
      </c>
      <c r="D31" s="9">
        <v>7542.214775652</v>
      </c>
      <c r="E31" s="9">
        <v>9370.4324268381</v>
      </c>
      <c r="F31" s="9">
        <v>7800.8297780944</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20462.139207</v>
      </c>
      <c r="D32" s="9">
        <v>17996.3463195991</v>
      </c>
      <c r="E32" s="9">
        <v>48914.9612565323</v>
      </c>
      <c r="F32" s="9">
        <v>18757.1865113935</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8061.01409694</v>
      </c>
      <c r="D33" s="9">
        <v>13897.909655</v>
      </c>
      <c r="E33" s="9">
        <v>13690.952119135</v>
      </c>
      <c r="F33" s="9">
        <v>14219.3117291604</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0</v>
      </c>
      <c r="D34" s="9">
        <v>0</v>
      </c>
      <c r="E34" s="9">
        <v>0</v>
      </c>
      <c r="F34" s="9">
        <v>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0</v>
      </c>
      <c r="D35" s="9">
        <v>0</v>
      </c>
      <c r="E35" s="9">
        <v>0</v>
      </c>
      <c r="F35" s="9">
        <v>0</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4762.743483</v>
      </c>
      <c r="D36" s="9">
        <v>4758.272122211</v>
      </c>
      <c r="E36" s="9">
        <v>4675.6702851896</v>
      </c>
      <c r="F36" s="9">
        <v>4755.1566800378</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4934.94724191</v>
      </c>
      <c r="D38" s="9">
        <v>9067.929216802</v>
      </c>
      <c r="E38" s="9">
        <v>9222.0840134876</v>
      </c>
      <c r="F38" s="9">
        <v>9367.4822627169</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0</v>
      </c>
      <c r="D39" s="9">
        <v>0</v>
      </c>
      <c r="E39" s="9">
        <v>0</v>
      </c>
      <c r="F39" s="9">
        <v>0</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0</v>
      </c>
      <c r="D40" s="9">
        <v>0</v>
      </c>
      <c r="E40" s="9">
        <v>0</v>
      </c>
      <c r="F40" s="9">
        <v>0</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5556.146363</v>
      </c>
      <c r="D41" s="9">
        <v>5418.567640932</v>
      </c>
      <c r="E41" s="9">
        <v>5157.4722543119</v>
      </c>
      <c r="F41" s="9">
        <v>6261.2121396863</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21015.31634491</v>
      </c>
      <c r="D42" s="9">
        <v>10612.7211809233</v>
      </c>
      <c r="E42" s="9">
        <v>10950.955440999</v>
      </c>
      <c r="F42" s="9">
        <v>11420.049677496</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71231.300153</v>
      </c>
      <c r="D43" s="9">
        <v>83631.9217253174</v>
      </c>
      <c r="E43" s="9">
        <v>78998.9664124459</v>
      </c>
      <c r="F43" s="9">
        <v>79316.9149860089</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0</v>
      </c>
      <c r="D44" s="9">
        <v>525.23653164</v>
      </c>
      <c r="E44" s="9">
        <v>534.1655526779</v>
      </c>
      <c r="F44" s="9">
        <v>543.2463670735</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1493.67400262</v>
      </c>
      <c r="D45" s="9">
        <v>2934.324704</v>
      </c>
      <c r="E45" s="9">
        <v>2984.208223968</v>
      </c>
      <c r="F45" s="9">
        <v>3034.9397637755</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195.151854</v>
      </c>
      <c r="D46" s="9">
        <v>280.660543</v>
      </c>
      <c r="E46" s="9">
        <v>285.431772231</v>
      </c>
      <c r="F46" s="9">
        <v>290.2841123589</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146.363892</v>
      </c>
      <c r="D47" s="9">
        <v>210.495408</v>
      </c>
      <c r="E47" s="9">
        <v>214.073829936</v>
      </c>
      <c r="F47" s="9">
        <v>217.7130850449</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1072.301293</v>
      </c>
      <c r="D48" s="9">
        <v>2705.156822</v>
      </c>
      <c r="E48" s="9">
        <v>2751.144487974</v>
      </c>
      <c r="F48" s="9">
        <v>2797.9139442696</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705.557518</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12.282738</v>
      </c>
      <c r="D50" s="9">
        <v>57.719990012</v>
      </c>
      <c r="E50" s="9">
        <v>58.7012298422</v>
      </c>
      <c r="F50" s="9">
        <v>59.6991507495</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1030.297461</v>
      </c>
      <c r="D52" s="9">
        <v>1435.52127315</v>
      </c>
      <c r="E52" s="9">
        <v>1459.9251347935</v>
      </c>
      <c r="F52" s="9">
        <v>1484.743862085</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0</v>
      </c>
      <c r="E53" s="9">
        <v>30000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876.68012762</v>
      </c>
      <c r="D54" s="9">
        <v>0</v>
      </c>
      <c r="E54" s="9">
        <v>0</v>
      </c>
      <c r="F54" s="9">
        <v>0</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23116.21564416</v>
      </c>
      <c r="D56" s="9">
        <v>6145.67319</v>
      </c>
      <c r="E56" s="9">
        <v>6250.14963423</v>
      </c>
      <c r="F56" s="9">
        <v>6356.4021780118</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4938.61943094</v>
      </c>
      <c r="D57" s="9">
        <v>8895.572533</v>
      </c>
      <c r="E57" s="9">
        <v>8995.264266061</v>
      </c>
      <c r="F57" s="9">
        <v>9097.1639195841</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35.215</v>
      </c>
      <c r="D58" s="9">
        <v>107.353072</v>
      </c>
      <c r="E58" s="9">
        <v>109.178074224</v>
      </c>
      <c r="F58" s="9">
        <v>111.0341014858</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6387.74372191</v>
      </c>
      <c r="D59" s="9">
        <v>11822.759631352</v>
      </c>
      <c r="E59" s="9">
        <v>11940.686545085</v>
      </c>
      <c r="F59" s="9">
        <v>12201.2587223514</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7782.870205</v>
      </c>
      <c r="D60" s="9">
        <v>12195.067232652</v>
      </c>
      <c r="E60" s="9">
        <v>14000.6683756071</v>
      </c>
      <c r="F60" s="9">
        <v>12613.2238929925</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234.3601</v>
      </c>
      <c r="D61" s="9">
        <v>300.750667</v>
      </c>
      <c r="E61" s="9">
        <v>255.517428339</v>
      </c>
      <c r="F61" s="9">
        <v>311.0631066208</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17470.44166657</v>
      </c>
      <c r="D62" s="9">
        <v>6102.2004859233</v>
      </c>
      <c r="E62" s="9">
        <v>6165.725894184</v>
      </c>
      <c r="F62" s="9">
        <v>6738.6395283851</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2266.757097</v>
      </c>
      <c r="D63" s="9">
        <v>2219.853967649</v>
      </c>
      <c r="E63" s="9">
        <v>2094.099022</v>
      </c>
      <c r="F63" s="9">
        <v>2129.698705374</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3226.372149</v>
      </c>
      <c r="D64" s="9">
        <v>1891.852457</v>
      </c>
      <c r="E64" s="9">
        <v>1803.973948769</v>
      </c>
      <c r="F64" s="9">
        <v>1832.6075058981</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7540.675355</v>
      </c>
      <c r="D65" s="9">
        <v>6090.05205478</v>
      </c>
      <c r="E65" s="9">
        <v>5741.8719031953</v>
      </c>
      <c r="F65" s="9">
        <v>6934.1857696863</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12</v>
      </c>
      <c r="D66" s="9">
        <v>48</v>
      </c>
      <c r="E66" s="9">
        <v>15</v>
      </c>
      <c r="F66" s="9">
        <v>49.645872</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22337.66002634</v>
      </c>
      <c r="D67" s="9">
        <v>25886.043360794</v>
      </c>
      <c r="E67" s="9">
        <v>18941.8285658406</v>
      </c>
      <c r="F67" s="9">
        <v>18890.9052843744</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1331.5</v>
      </c>
      <c r="D68" s="9">
        <v>60</v>
      </c>
      <c r="E68" s="9">
        <v>61.02</v>
      </c>
      <c r="F68" s="9">
        <v>62.05734</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3279.76952064</v>
      </c>
      <c r="D69" s="9">
        <v>1335.044376</v>
      </c>
      <c r="E69" s="9">
        <v>1357.740130392</v>
      </c>
      <c r="F69" s="9">
        <v>1380.8217126086</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0</v>
      </c>
      <c r="D71" s="9">
        <v>0</v>
      </c>
      <c r="E71" s="9">
        <v>0</v>
      </c>
      <c r="F71" s="9">
        <v>0</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22761.793122</v>
      </c>
      <c r="D72" s="9">
        <v>19911.47930045</v>
      </c>
      <c r="E72" s="9">
        <v>50923.9734980576</v>
      </c>
      <c r="F72" s="9">
        <v>20673.5299170247</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274.047289</v>
      </c>
      <c r="D73" s="9">
        <v>1060.6810485191</v>
      </c>
      <c r="E73" s="9">
        <v>1130.2186263439</v>
      </c>
      <c r="F73" s="9">
        <v>1076.0220709918</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0</v>
      </c>
      <c r="C96" s="22" t="s">
        <v>77</v>
      </c>
    </row>
    <row r="97" spans="2:18" ht="15.6" customHeight="1" x14ac:dyDescent="0.25">
      <c r="B97" s="24">
        <v>73</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94</v>
      </c>
      <c r="C99" s="22" t="s">
        <v>78</v>
      </c>
      <c r="D99" s="10"/>
      <c r="E99" s="10"/>
      <c r="F99" s="10"/>
      <c r="G99" s="10"/>
      <c r="H99" s="10"/>
      <c r="I99" s="2"/>
      <c r="J99" s="10"/>
      <c r="K99" s="10"/>
      <c r="L99" s="10"/>
      <c r="M99" s="10"/>
    </row>
    <row r="100" spans="2:18" ht="15.6" customHeight="1" x14ac:dyDescent="0.25">
      <c r="B100" s="27">
        <v>78</v>
      </c>
      <c r="C100" s="22" t="s">
        <v>92</v>
      </c>
      <c r="D100" s="56"/>
      <c r="E100" s="56"/>
      <c r="F100" s="56"/>
      <c r="G100" s="56"/>
      <c r="H100" s="56"/>
      <c r="I100" s="56"/>
      <c r="J100" s="56"/>
      <c r="K100" s="56"/>
      <c r="L100" s="56"/>
      <c r="M100" s="56"/>
    </row>
    <row r="101" spans="2:18" ht="15.6" customHeight="1" x14ac:dyDescent="0.25">
      <c r="B101" s="17">
        <v>91</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87</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122</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339</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321</v>
      </c>
    </row>
    <row r="136" spans="1:17" x14ac:dyDescent="0.25">
      <c r="B136" s="45">
        <f>Q137+Q139+Q140+Q141</f>
        <v>0</v>
      </c>
      <c r="G136" s="45">
        <f>Q135+Q138+Q139+Q141</f>
        <v>0</v>
      </c>
      <c r="I136" s="70"/>
      <c r="J136" s="70"/>
      <c r="K136" s="70"/>
      <c r="L136" s="70"/>
      <c r="M136" s="85"/>
      <c r="P136" s="1" t="s">
        <v>98</v>
      </c>
      <c r="Q136">
        <v>8</v>
      </c>
    </row>
    <row r="137" spans="1:17" x14ac:dyDescent="0.25">
      <c r="I137" s="28"/>
      <c r="J137" s="28"/>
      <c r="K137" s="28"/>
      <c r="L137" s="28"/>
      <c r="M137" s="28"/>
      <c r="P137" s="1" t="s">
        <v>99</v>
      </c>
      <c r="Q137">
        <v>54</v>
      </c>
    </row>
    <row r="138" spans="1:17" x14ac:dyDescent="0.25">
      <c r="I138" s="70" t="s">
        <v>95</v>
      </c>
      <c r="J138" s="70"/>
      <c r="K138" s="70"/>
      <c r="L138" s="70"/>
      <c r="M138" s="84">
        <f>Q141</f>
        <v>0</v>
      </c>
      <c r="P138" s="1" t="s">
        <v>100</v>
      </c>
      <c r="Q138">
        <v>18</v>
      </c>
    </row>
    <row r="139" spans="1:17" x14ac:dyDescent="0.25">
      <c r="I139" s="70"/>
      <c r="J139" s="70"/>
      <c r="K139" s="70"/>
      <c r="L139" s="70"/>
      <c r="M139" s="85"/>
      <c r="P139" s="1" t="s">
        <v>101</v>
      </c>
      <c r="Q139">
        <v>13</v>
      </c>
    </row>
    <row r="140" spans="1:17" x14ac:dyDescent="0.25">
      <c r="I140" s="28"/>
      <c r="J140" s="28"/>
      <c r="K140" s="28"/>
      <c r="L140" s="28"/>
      <c r="M140" s="28"/>
      <c r="P140" s="1" t="s">
        <v>102</v>
      </c>
      <c r="Q140">
        <v>33</v>
      </c>
    </row>
    <row r="141" spans="1:17" x14ac:dyDescent="0.25">
      <c r="I141" s="70" t="s">
        <v>96</v>
      </c>
      <c r="J141" s="70"/>
      <c r="K141" s="70"/>
      <c r="L141" s="70"/>
      <c r="M141" s="86" t="str">
        <f>IFERROR(M138/M135,"-")</f>
        <v>-</v>
      </c>
      <c r="P141" s="1" t="s">
        <v>103</v>
      </c>
      <c r="Q141">
        <v>109</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17"/>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IP-12, IP-15, IP-16</t>
        </is>
      </c>
      <c r="B8" t="inlineStr">
        <is>
          <t>32</t>
        </is>
      </c>
      <c r="C8" t="inlineStr">
        <is>
          <t>Ambiente y desarrollo sostenible</t>
        </is>
      </c>
      <c r="D8" t="inlineStr">
        <is>
          <t>3204</t>
        </is>
      </c>
      <c r="E8" t="inlineStr">
        <is>
          <t>Gestión de la información y el conocimiento ambiental</t>
        </is>
      </c>
      <c r="F8" t="inlineStr">
        <is>
          <t>3204001</t>
        </is>
      </c>
      <c r="G8" t="inlineStr">
        <is>
          <t>Documentos de investigación para la gestión de la información y el conocimiento ambiental</t>
        </is>
      </c>
      <c r="H8" t="inlineStr">
        <is>
          <t xml:space="preserve">Incluye la elaboración de documentos de investigación orientados a ampliar el conocimiento científico ambiental </t>
        </is>
      </c>
      <c r="I8" t="inlineStr">
        <is>
          <t>2024257990001</t>
        </is>
      </c>
      <c r="J8" s="99">
        <v>5199910125.5766</v>
      </c>
      <c r="K8" s="99">
        <v>2087656923.64</v>
      </c>
      <c r="L8" s="99">
        <v>1019979819</v>
      </c>
      <c r="M8" s="99">
        <v>1037319475.923</v>
      </c>
      <c r="N8" s="99">
        <v>1054953907.0136</v>
      </c>
      <c r="O8" s="99" t="inlineStr">
        <is>
          <t xml:space="preserve"> </t>
        </is>
      </c>
      <c r="P8" s="99" t="inlineStr">
        <is>
          <t xml:space="preserve"> </t>
        </is>
      </c>
      <c r="Q8" s="99" t="inlineStr">
        <is>
          <t xml:space="preserve"> </t>
        </is>
      </c>
      <c r="R8" s="100" t="inlineStr">
        <is>
          <t xml:space="preserve"> </t>
        </is>
      </c>
      <c r="S8" t="inlineStr">
        <is>
          <t>No se encontró ejecución en CUIPO</t>
        </is>
      </c>
      <c r="T8" s="101">
        <v>1439440000</v>
      </c>
      <c r="U8" s="101">
        <v>173713333</v>
      </c>
      <c r="V8" s="101">
        <v>151613333</v>
      </c>
      <c r="W8" s="102">
        <v>0.170310558860185</v>
      </c>
      <c r="X8" t="inlineStr">
        <is>
          <t>Lo obligado está por debajo de lo programado en la vigencia</t>
        </is>
      </c>
    </row>
    <row r="9">
      <c r="A9" t="inlineStr">
        <is>
          <t>IP-13</t>
        </is>
      </c>
      <c r="B9" t="inlineStr">
        <is>
          <t>32</t>
        </is>
      </c>
      <c r="C9" t="inlineStr">
        <is>
          <t>Ambiente y desarrollo sostenible</t>
        </is>
      </c>
      <c r="D9" t="inlineStr">
        <is>
          <t>3204</t>
        </is>
      </c>
      <c r="E9" t="inlineStr">
        <is>
          <t>Gestión de la información y el conocimiento ambiental</t>
        </is>
      </c>
      <c r="F9" t="inlineStr">
        <is>
          <t>3204002</t>
        </is>
      </c>
      <c r="G9" t="inlineStr">
        <is>
          <t>Documentos diagnóstico para la gestión de la información y el conocimiento ambiental</t>
        </is>
      </c>
      <c r="H9" t="inlineStr">
        <is>
          <t xml:space="preserve">Incluye la elaboración de documentos que caracterizan y valoran el estado de la información de los recursos naturales y la biodiversidad. </t>
        </is>
      </c>
      <c r="I9" t="inlineStr">
        <is>
          <t>2024257990001</t>
        </is>
      </c>
      <c r="J9" s="99">
        <v>1157036961.064</v>
      </c>
      <c r="K9" s="99">
        <v>195683944</v>
      </c>
      <c r="L9" s="99">
        <v>315064557</v>
      </c>
      <c r="M9" s="99">
        <v>320420654.469</v>
      </c>
      <c r="N9" s="99">
        <v>325867805.595</v>
      </c>
      <c r="O9" s="99" t="inlineStr">
        <is>
          <t xml:space="preserve"> </t>
        </is>
      </c>
      <c r="P9" s="99" t="inlineStr">
        <is>
          <t xml:space="preserve"> </t>
        </is>
      </c>
      <c r="Q9" s="99" t="inlineStr">
        <is>
          <t xml:space="preserve"> </t>
        </is>
      </c>
      <c r="R9" s="100" t="inlineStr">
        <is>
          <t xml:space="preserve"> </t>
        </is>
      </c>
      <c r="S9" t="inlineStr">
        <is>
          <t>No se encontró ejecución en CUIPO</t>
        </is>
      </c>
      <c r="T9" s="101">
        <v>258752519</v>
      </c>
      <c r="U9" s="101">
        <v>134415722</v>
      </c>
      <c r="V9" s="101">
        <v>119145615</v>
      </c>
      <c r="W9" s="102">
        <v>0.426629143182234</v>
      </c>
      <c r="X9" t="inlineStr">
        <is>
          <t>Lo obligado está por debajo de lo programado en la vigencia</t>
        </is>
      </c>
    </row>
    <row r="10">
      <c r="A10" t="inlineStr">
        <is>
          <t>IP-14</t>
        </is>
      </c>
      <c r="B10" t="inlineStr">
        <is>
          <t>32</t>
        </is>
      </c>
      <c r="C10" t="inlineStr">
        <is>
          <t>Ambiente y desarrollo sostenible</t>
        </is>
      </c>
      <c r="D10" t="inlineStr">
        <is>
          <t>3204</t>
        </is>
      </c>
      <c r="E10" t="inlineStr">
        <is>
          <t>Gestión de la información y el conocimiento ambiental</t>
        </is>
      </c>
      <c r="F10" t="inlineStr">
        <is>
          <t>3204006</t>
        </is>
      </c>
      <c r="G10" t="inlineStr">
        <is>
          <t>Servicio de información en tiempo real de pronósticos y alertas</t>
        </is>
      </c>
      <c r="H10" t="inlineStr">
        <is>
          <t>Incluye la generación de la información del estado de la atmósfera para un período futuro y una localidad o región dada</t>
        </is>
      </c>
      <c r="I10" t="inlineStr">
        <is>
          <t>2024257990001</t>
        </is>
      </c>
      <c r="J10" s="99">
        <v>684147999</v>
      </c>
      <c r="K10" s="99">
        <v>287480429</v>
      </c>
      <c r="L10" s="99">
        <v>130000000</v>
      </c>
      <c r="M10" s="99">
        <v>132210000</v>
      </c>
      <c r="N10" s="99">
        <v>134457570</v>
      </c>
      <c r="O10" s="99">
        <v>27000000</v>
      </c>
      <c r="P10" s="99">
        <v>27000000</v>
      </c>
      <c r="Q10" s="99">
        <v>27000000</v>
      </c>
      <c r="R10" s="100">
        <v>0.0939194368601697</v>
      </c>
      <c r="S10" t="inlineStr">
        <is>
          <t>Lo obligado está por debajo de lo programado en la vigencia</t>
        </is>
      </c>
      <c r="T10" s="101" t="inlineStr">
        <is>
          <t xml:space="preserve"> </t>
        </is>
      </c>
      <c r="U10" s="101" t="inlineStr">
        <is>
          <t xml:space="preserve"> </t>
        </is>
      </c>
      <c r="V10" s="101" t="inlineStr">
        <is>
          <t xml:space="preserve"> </t>
        </is>
      </c>
      <c r="W10" s="102" t="inlineStr">
        <is>
          <t xml:space="preserve"> </t>
        </is>
      </c>
      <c r="X10" t="inlineStr">
        <is>
          <t>No se encontró ejecución en CUIPO</t>
        </is>
      </c>
    </row>
    <row r="11">
      <c r="A11" t="inlineStr">
        <is>
          <t>IP-17</t>
        </is>
      </c>
      <c r="B11" t="inlineStr">
        <is>
          <t>32</t>
        </is>
      </c>
      <c r="C11" t="inlineStr">
        <is>
          <t>Ambiente y desarrollo sostenible</t>
        </is>
      </c>
      <c r="D11" t="inlineStr">
        <is>
          <t>3204</t>
        </is>
      </c>
      <c r="E11" t="inlineStr">
        <is>
          <t>Gestión de la información y el conocimiento ambiental</t>
        </is>
      </c>
      <c r="F11" t="inlineStr">
        <is>
          <t>3204049</t>
        </is>
      </c>
      <c r="G11" t="inlineStr">
        <is>
          <t>Servicio de divulgación deconocimiento generado para la Planificación sectorial y la gestión ambiental.</t>
        </is>
      </c>
      <c r="H11" t="inlineStr">
        <is>
          <t>Acciones orientadas a divulgar o difundir el conocimiento generado para la planificación sectorial y la gestión ambiental</t>
        </is>
      </c>
      <c r="I11" t="inlineStr">
        <is>
          <t>2024257990001</t>
        </is>
      </c>
      <c r="J11" s="99">
        <v>378260692.012</v>
      </c>
      <c r="K11" s="99">
        <v>209500000</v>
      </c>
      <c r="L11" s="99">
        <v>55308000</v>
      </c>
      <c r="M11" s="99">
        <v>56248236</v>
      </c>
      <c r="N11" s="99">
        <v>57204456.012</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v>38633333</v>
      </c>
      <c r="U11" s="101">
        <v>8233333</v>
      </c>
      <c r="V11" s="101">
        <v>8233333</v>
      </c>
      <c r="W11" s="102">
        <v>0.148863328993997</v>
      </c>
      <c r="X11" t="inlineStr">
        <is>
          <t>Lo obligado está por debajo de lo programado en la vigencia</t>
        </is>
      </c>
    </row>
    <row r="12">
      <c r="A12" t="inlineStr">
        <is>
          <t>IP-18</t>
        </is>
      </c>
      <c r="B12" t="inlineStr">
        <is>
          <t>32</t>
        </is>
      </c>
      <c r="C12" t="inlineStr">
        <is>
          <t>Ambiente y desarrollo sostenible</t>
        </is>
      </c>
      <c r="D12" t="inlineStr">
        <is>
          <t>3204</t>
        </is>
      </c>
      <c r="E12" t="inlineStr">
        <is>
          <t>Gestión de la información y el conocimiento ambiental</t>
        </is>
      </c>
      <c r="F12" t="inlineStr">
        <is>
          <t>3204056</t>
        </is>
      </c>
      <c r="G12" t="inlineStr">
        <is>
          <t>Servicios tecnológicos para el sistema de información ambiental </t>
        </is>
      </c>
      <c r="H12" t="inlineStr">
        <is>
          <t>Corresponde al proceso que asegura la disponibilidad del servicio a través de la infraestructura informática tanto de software como de hardware, y lo relacionado con seguridad informática; así como también corresponde a las acciones orientadas a crear, mantener y actualizar la información del SIAC, asi como la socialización y difusión de las misma. Hace referencia a información ambiental nacional y regional actualizada en el portal y visor del SIAC; divulgación y capacitación de los servicios de información ambiental; actualización del PETI sectorial; ventanilla VITAL.</t>
        </is>
      </c>
      <c r="I12" t="inlineStr">
        <is>
          <t>2024257990001</t>
        </is>
      </c>
      <c r="J12" s="99">
        <v>214577340</v>
      </c>
      <c r="K12" s="99">
        <v>31500000</v>
      </c>
      <c r="L12" s="99">
        <v>60000000</v>
      </c>
      <c r="M12" s="99">
        <v>61020000</v>
      </c>
      <c r="N12" s="99">
        <v>62057340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v>30000000</v>
      </c>
      <c r="U12" s="101">
        <v>18200000</v>
      </c>
      <c r="V12" s="101">
        <v>18200000</v>
      </c>
      <c r="W12" s="102">
        <v>0.303333333333333</v>
      </c>
      <c r="X12" t="inlineStr">
        <is>
          <t>Lo obligado está por debajo de lo programado en la vigencia</t>
        </is>
      </c>
    </row>
    <row r="13">
      <c r="A13" t="inlineStr">
        <is>
          <t>IP-19</t>
        </is>
      </c>
      <c r="B13" t="inlineStr">
        <is>
          <t>40</t>
        </is>
      </c>
      <c r="C13" t="inlineStr">
        <is>
          <t>Vivienda, ciudad y territorio</t>
        </is>
      </c>
      <c r="D13" t="inlineStr">
        <is>
          <t>4002</t>
        </is>
      </c>
      <c r="E13" t="inlineStr">
        <is>
          <t>Ordenamiento territorial y desarrollo urbano</t>
        </is>
      </c>
      <c r="F13" t="inlineStr">
        <is>
          <t>4002016</t>
        </is>
      </c>
      <c r="G13" t="inlineStr">
        <is>
          <t>Documentos de planeación</t>
        </is>
      </c>
      <c r="H13" t="inlineStr">
        <is>
          <t>Documentos cuyo objetivo es plasmar una visión de futuro a nivel país, entidad territorial, comunidad, sector, región, entidad o cualquier nivel de desagregación que se requiera. Incluye objetivos, estrategias, metas e indicadores</t>
        </is>
      </c>
      <c r="I13" t="inlineStr">
        <is>
          <t>2024257990002</t>
        </is>
      </c>
      <c r="J13" s="99">
        <v>243019015</v>
      </c>
      <c r="K13" s="99">
        <v>59941675</v>
      </c>
      <c r="L13" s="99">
        <v>60000000</v>
      </c>
      <c r="M13" s="99">
        <v>61020000</v>
      </c>
      <c r="N13" s="99">
        <v>62057340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IP-20, IP-21</t>
        </is>
      </c>
      <c r="B14" t="inlineStr">
        <is>
          <t>40</t>
        </is>
      </c>
      <c r="C14" t="inlineStr">
        <is>
          <t>Vivienda, ciudad y territorio</t>
        </is>
      </c>
      <c r="D14" t="inlineStr">
        <is>
          <t>4002</t>
        </is>
      </c>
      <c r="E14" t="inlineStr">
        <is>
          <t>Ordenamiento territorial y desarrollo urbano</t>
        </is>
      </c>
      <c r="F14" t="inlineStr">
        <is>
          <t>4002040</t>
        </is>
      </c>
      <c r="G14" t="inlineStr">
        <is>
          <t>Servicio de adquisición de predios en zonas de alto riesgo</t>
        </is>
      </c>
      <c r="H14" t="inlineStr">
        <is>
          <t>Corresponde a la adquisición de predios localizados en zonas de alto riesgo no mitigable, o los ordenados mediante sentencias judiciales  o actos administrativos, para la relocalización transitoria y reubicación definitiva de hogares.</t>
        </is>
      </c>
      <c r="I14" t="inlineStr">
        <is>
          <t>2024257990002</t>
        </is>
      </c>
      <c r="J14" s="99">
        <v>731265344</v>
      </c>
      <c r="K14" s="99">
        <v>48188004</v>
      </c>
      <c r="L14" s="99">
        <v>60000000</v>
      </c>
      <c r="M14" s="99">
        <v>561020000</v>
      </c>
      <c r="N14" s="99">
        <v>62057340</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v>98773333</v>
      </c>
      <c r="U14" s="101">
        <v>41517884</v>
      </c>
      <c r="V14" s="101">
        <v>39217884</v>
      </c>
      <c r="W14" s="102">
        <v>0.691964733333333</v>
      </c>
      <c r="X14" t="inlineStr">
        <is>
          <t>Lo obligado está por debajo de lo programado en la vigencia</t>
        </is>
      </c>
    </row>
    <row r="15">
      <c r="A15" t="inlineStr">
        <is>
          <t>IP-22</t>
        </is>
      </c>
      <c r="B15" t="inlineStr">
        <is>
          <t>40</t>
        </is>
      </c>
      <c r="C15" t="inlineStr">
        <is>
          <t>Vivienda, ciudad y territorio</t>
        </is>
      </c>
      <c r="D15" t="inlineStr">
        <is>
          <t>4002</t>
        </is>
      </c>
      <c r="E15" t="inlineStr">
        <is>
          <t>Ordenamiento territorial y desarrollo urbano</t>
        </is>
      </c>
      <c r="F15" t="inlineStr">
        <is>
          <t>4002030</t>
        </is>
      </c>
      <c r="G15" t="inlineStr">
        <is>
          <t>Plazas construidas</t>
        </is>
      </c>
      <c r="H15" t="inlineStr">
        <is>
          <t/>
        </is>
      </c>
      <c r="I15" t="inlineStr">
        <is>
          <t>2024257990002</t>
        </is>
      </c>
      <c r="J15" s="99">
        <v>1454595800</v>
      </c>
      <c r="K15" s="99">
        <v>173054420</v>
      </c>
      <c r="L15" s="99">
        <v>420000000</v>
      </c>
      <c r="M15" s="99">
        <v>427140000</v>
      </c>
      <c r="N15" s="99">
        <v>434401380</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t="inlineStr">
        <is>
          <t xml:space="preserve"> </t>
        </is>
      </c>
      <c r="U15" s="101" t="inlineStr">
        <is>
          <t xml:space="preserve"> </t>
        </is>
      </c>
      <c r="V15" s="101" t="inlineStr">
        <is>
          <t xml:space="preserve"> </t>
        </is>
      </c>
      <c r="W15" s="102" t="inlineStr">
        <is>
          <t xml:space="preserve"> </t>
        </is>
      </c>
      <c r="X15" t="inlineStr">
        <is>
          <t>No se encontró ejecución en CUIPO</t>
        </is>
      </c>
    </row>
    <row r="16">
      <c r="A16" t="inlineStr">
        <is>
          <t>IP-23, IP-30</t>
        </is>
      </c>
      <c r="B16" t="inlineStr">
        <is>
          <t>45</t>
        </is>
      </c>
      <c r="C16" t="inlineStr">
        <is>
          <t>Gobierno Territorial</t>
        </is>
      </c>
      <c r="D16" t="inlineStr">
        <is>
          <t>4599</t>
        </is>
      </c>
      <c r="E16" t="inlineStr">
        <is>
          <t>Fortalecimiento a la gestión y dirección de la administración pública territorial</t>
        </is>
      </c>
      <c r="F16" t="inlineStr">
        <is>
          <t>4599005</t>
        </is>
      </c>
      <c r="G16" t="inlineStr">
        <is>
          <t>Documento para la planeación estratégica en TI</t>
        </is>
      </c>
      <c r="H16" t="inlineStr">
        <is>
          <t xml:space="preserve">Consiste en la formulación de documento cuyo objetivo es definir el marco de referencia que alinea la gestión de tecnologías  de la información con las políticas de estado y sectoriales que se definan en la materia. </t>
        </is>
      </c>
      <c r="I16" t="inlineStr">
        <is>
          <t>2024257990003</t>
        </is>
      </c>
      <c r="J16" s="99">
        <v>623796663.8548</v>
      </c>
      <c r="K16" s="99">
        <v>21000000</v>
      </c>
      <c r="L16" s="99">
        <v>152681048.5191</v>
      </c>
      <c r="M16" s="99">
        <v>344256626.3439</v>
      </c>
      <c r="N16" s="99">
        <v>105858988.9918</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v>58208835</v>
      </c>
      <c r="U16" s="101">
        <v>31975501</v>
      </c>
      <c r="V16" s="101">
        <v>28475501</v>
      </c>
      <c r="W16" s="102">
        <v>0.209426784202363</v>
      </c>
      <c r="X16" t="inlineStr">
        <is>
          <t>Lo obligado está por debajo de lo programado en la vigencia</t>
        </is>
      </c>
    </row>
    <row r="17">
      <c r="A17" t="inlineStr">
        <is>
          <t>IP-24</t>
        </is>
      </c>
      <c r="B17" t="inlineStr">
        <is>
          <t>45</t>
        </is>
      </c>
      <c r="C17" t="inlineStr">
        <is>
          <t>Gobierno Territorial</t>
        </is>
      </c>
      <c r="D17" t="inlineStr">
        <is>
          <t>4599</t>
        </is>
      </c>
      <c r="E17" t="inlineStr">
        <is>
          <t>Fortalecimiento a la gestión y dirección de la administración pública territorial</t>
        </is>
      </c>
      <c r="F17" t="inlineStr">
        <is>
          <t>4599025</t>
        </is>
      </c>
      <c r="G17" t="inlineStr">
        <is>
          <t>Servicios de información implementados</t>
        </is>
      </c>
      <c r="H17" t="inlineStr">
        <is>
          <t>Corresponde al proceso que asegura la disposición de la información de manera accesible, confiable y oportuna.</t>
        </is>
      </c>
      <c r="I17" t="inlineStr">
        <is>
          <t>2024257990003</t>
        </is>
      </c>
      <c r="J17" s="99">
        <v>1938157390</v>
      </c>
      <c r="K17" s="99">
        <v>382000000</v>
      </c>
      <c r="L17" s="99">
        <v>510000000</v>
      </c>
      <c r="M17" s="99">
        <v>518670000</v>
      </c>
      <c r="N17" s="99">
        <v>527487390</v>
      </c>
      <c r="O17" s="99">
        <v>16500000</v>
      </c>
      <c r="P17" s="99">
        <v>16500000</v>
      </c>
      <c r="Q17" s="99">
        <v>16500000</v>
      </c>
      <c r="R17" s="100">
        <v>0.0431937172774869</v>
      </c>
      <c r="S17" t="inlineStr">
        <is>
          <t>Lo obligado está por debajo de lo programado en la vigencia</t>
        </is>
      </c>
      <c r="T17" s="101">
        <v>11850000</v>
      </c>
      <c r="U17" s="101">
        <v>11850000</v>
      </c>
      <c r="V17" s="101">
        <v>11850000</v>
      </c>
      <c r="W17" s="102">
        <v>0.0232352941176471</v>
      </c>
      <c r="X17" t="inlineStr">
        <is>
          <t>Lo obligado está por debajo de lo programado en la vigencia</t>
        </is>
      </c>
    </row>
    <row r="18">
      <c r="A18" t="inlineStr">
        <is>
          <t>IP-25</t>
        </is>
      </c>
      <c r="B18" t="inlineStr">
        <is>
          <t>45</t>
        </is>
      </c>
      <c r="C18" t="inlineStr">
        <is>
          <t>Gobierno Territorial</t>
        </is>
      </c>
      <c r="D18" t="inlineStr">
        <is>
          <t>4599</t>
        </is>
      </c>
      <c r="E18" t="inlineStr">
        <is>
          <t>Fortalecimiento a la gestión y dirección de la administración pública territorial</t>
        </is>
      </c>
      <c r="F18" t="inlineStr">
        <is>
          <t>4599031</t>
        </is>
      </c>
      <c r="G18" t="inlineStr">
        <is>
          <t>Servicio de asistencia técnica</t>
        </is>
      </c>
      <c r="H18" t="inlineStr">
        <is>
          <t>Corresponde al acompañamiento,apoyo,  asesoría y seguimiento técnico para la transferencia de herramientas de gestión y conocimiento en políticas, planes , proyectos y programas de apoyo a la dirección y gestión de la administración territorial.</t>
        </is>
      </c>
      <c r="I18" t="inlineStr">
        <is>
          <t>2024257990003</t>
        </is>
      </c>
      <c r="J18" s="99">
        <v>569569130</v>
      </c>
      <c r="K18" s="99">
        <v>50850000</v>
      </c>
      <c r="L18" s="99">
        <v>170000000</v>
      </c>
      <c r="M18" s="99">
        <v>172890000</v>
      </c>
      <c r="N18" s="99">
        <v>175829130</v>
      </c>
      <c r="O18" s="99">
        <v>45533333</v>
      </c>
      <c r="P18" s="99">
        <v>45533333</v>
      </c>
      <c r="Q18" s="99">
        <v>45533333</v>
      </c>
      <c r="R18" s="100">
        <v>0.895444110127827</v>
      </c>
      <c r="S18" t="inlineStr">
        <is>
          <t>Lo obligado está por debajo de lo programado en la vigencia</t>
        </is>
      </c>
      <c r="T18" s="101">
        <v>99753334</v>
      </c>
      <c r="U18" s="101">
        <v>68123333</v>
      </c>
      <c r="V18" s="101">
        <v>68123333</v>
      </c>
      <c r="W18" s="102">
        <v>0.400725488235294</v>
      </c>
      <c r="X18" t="inlineStr">
        <is>
          <t>Lo obligado está por debajo de lo programado en la vigencia</t>
        </is>
      </c>
    </row>
    <row r="19">
      <c r="A19" t="inlineStr">
        <is>
          <t>IP-26</t>
        </is>
      </c>
      <c r="B19" t="inlineStr">
        <is>
          <t>45</t>
        </is>
      </c>
      <c r="C19" t="inlineStr">
        <is>
          <t>Gobierno Territorial</t>
        </is>
      </c>
      <c r="D19" t="inlineStr">
        <is>
          <t>4599</t>
        </is>
      </c>
      <c r="E19" t="inlineStr">
        <is>
          <t>Fortalecimiento a la gestión y dirección de la administración pública territorial</t>
        </is>
      </c>
      <c r="F19" t="inlineStr">
        <is>
          <t>4599032</t>
        </is>
      </c>
      <c r="G19" t="inlineStr">
        <is>
          <t>Documentos de política</t>
        </is>
      </c>
      <c r="H19"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19" t="inlineStr">
        <is>
          <t>2024257990003</t>
        </is>
      </c>
      <c r="J19" s="99">
        <v>443911125</v>
      </c>
      <c r="K19" s="99">
        <v>62500000</v>
      </c>
      <c r="L19" s="99">
        <v>125000000</v>
      </c>
      <c r="M19" s="99">
        <v>127125000</v>
      </c>
      <c r="N19" s="99">
        <v>129286125</v>
      </c>
      <c r="O19" s="99">
        <v>2000000</v>
      </c>
      <c r="P19" s="99">
        <v>2000000</v>
      </c>
      <c r="Q19" s="99">
        <v>2000000</v>
      </c>
      <c r="R19" s="100">
        <v>0.032</v>
      </c>
      <c r="S19" t="inlineStr">
        <is>
          <t>Lo obligado está por debajo de lo programado en la vigencia</t>
        </is>
      </c>
      <c r="T19" s="101">
        <v>63400000</v>
      </c>
      <c r="U19" s="101">
        <v>9666667</v>
      </c>
      <c r="V19" s="101">
        <v>9666667</v>
      </c>
      <c r="W19" s="102">
        <v>0.077333336</v>
      </c>
      <c r="X19" t="inlineStr">
        <is>
          <t>Lo obligado está por debajo de lo programado en la vigencia</t>
        </is>
      </c>
    </row>
    <row r="20">
      <c r="A20" t="inlineStr">
        <is>
          <t>IP-27</t>
        </is>
      </c>
      <c r="B20" t="inlineStr">
        <is>
          <t>45</t>
        </is>
      </c>
      <c r="C20" t="inlineStr">
        <is>
          <t>Gobierno Territorial</t>
        </is>
      </c>
      <c r="D20" t="inlineStr">
        <is>
          <t>4599</t>
        </is>
      </c>
      <c r="E20" t="inlineStr">
        <is>
          <t>Fortalecimiento a la gestión y dirección de la administración pública territorial</t>
        </is>
      </c>
      <c r="F20" t="inlineStr">
        <is>
          <t>4599023</t>
        </is>
      </c>
      <c r="G20" t="inlineStr">
        <is>
          <t>Servicio de Implementación Sistemas de Gestión</t>
        </is>
      </c>
      <c r="H20"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20" t="inlineStr">
        <is>
          <t>2024257990003</t>
        </is>
      </c>
      <c r="J20" s="99">
        <v>278812034.6</v>
      </c>
      <c r="K20" s="99">
        <v>60950000</v>
      </c>
      <c r="L20" s="99">
        <v>71400000</v>
      </c>
      <c r="M20" s="99">
        <v>72613800</v>
      </c>
      <c r="N20" s="99">
        <v>73848234.6</v>
      </c>
      <c r="O20" s="99">
        <v>88000000</v>
      </c>
      <c r="P20" s="99">
        <v>88000000</v>
      </c>
      <c r="Q20" s="99">
        <v>88000000</v>
      </c>
      <c r="R20" s="100">
        <v>1.44380639868745</v>
      </c>
      <c r="S20" t="inlineStr">
        <is>
          <t>Hubo ejecución por encima de lo programado en SisPT</t>
        </is>
      </c>
      <c r="T20" s="101">
        <v>71400000</v>
      </c>
      <c r="U20" s="101">
        <v>45517500</v>
      </c>
      <c r="V20" s="101">
        <v>45517500</v>
      </c>
      <c r="W20" s="102">
        <v>0.6375</v>
      </c>
      <c r="X20" t="inlineStr">
        <is>
          <t>Lo obligado está por debajo de lo programado en la vigencia</t>
        </is>
      </c>
    </row>
    <row r="21">
      <c r="A21" t="inlineStr">
        <is>
          <t>IP-28, IP-29</t>
        </is>
      </c>
      <c r="B21" t="inlineStr">
        <is>
          <t>45</t>
        </is>
      </c>
      <c r="C21" t="inlineStr">
        <is>
          <t>Gobierno Territorial</t>
        </is>
      </c>
      <c r="D21" t="inlineStr">
        <is>
          <t>4599</t>
        </is>
      </c>
      <c r="E21" t="inlineStr">
        <is>
          <t>Fortalecimiento a la gestión y dirección de la administración pública territorial</t>
        </is>
      </c>
      <c r="F21" t="inlineStr">
        <is>
          <t>4599033</t>
        </is>
      </c>
      <c r="G21" t="inlineStr">
        <is>
          <t>Servicio de información para el registro administrativo de SISBEN</t>
        </is>
      </c>
      <c r="H21"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21" t="inlineStr">
        <is>
          <t>2024257990003</t>
        </is>
      </c>
      <c r="J21" s="99">
        <v>306604301</v>
      </c>
      <c r="K21" s="99">
        <v>37063176</v>
      </c>
      <c r="L21" s="99">
        <v>65000000</v>
      </c>
      <c r="M21" s="99">
        <v>75255000</v>
      </c>
      <c r="N21" s="99">
        <v>129286125</v>
      </c>
      <c r="O21" s="99">
        <v>24855200</v>
      </c>
      <c r="P21" s="99">
        <v>18806000</v>
      </c>
      <c r="Q21" s="99">
        <v>18806000</v>
      </c>
      <c r="R21" s="100">
        <v>0.507403898683696</v>
      </c>
      <c r="S21" t="inlineStr">
        <is>
          <t>Lo obligado está por debajo de lo programado en la vigencia</t>
        </is>
      </c>
      <c r="T21" s="101">
        <v>108430914</v>
      </c>
      <c r="U21" s="101">
        <v>65313332</v>
      </c>
      <c r="V21" s="101">
        <v>59713332</v>
      </c>
      <c r="W21" s="102">
        <v>1.00482049230769</v>
      </c>
      <c r="X21" t="inlineStr">
        <is>
          <t>Hubo ejecución por encima de lo programado en SisPT</t>
        </is>
      </c>
    </row>
    <row r="22">
      <c r="A22" t="inlineStr">
        <is>
          <t>IP-31</t>
        </is>
      </c>
      <c r="B22" t="inlineStr">
        <is>
          <t>40</t>
        </is>
      </c>
      <c r="C22" t="inlineStr">
        <is>
          <t>Vivienda, ciudad y territorio</t>
        </is>
      </c>
      <c r="D22" t="inlineStr">
        <is>
          <t>4002</t>
        </is>
      </c>
      <c r="E22" t="inlineStr">
        <is>
          <t>Ordenamiento territorial y desarrollo urbano</t>
        </is>
      </c>
      <c r="F22" t="inlineStr">
        <is>
          <t>4002019</t>
        </is>
      </c>
      <c r="G22" t="inlineStr">
        <is>
          <t>Espacio publico construido</t>
        </is>
      </c>
      <c r="H22" t="inlineStr">
        <is>
          <t>Construcción de obras de infraestructura que intervienen los elementos constitutivos y complementarios del espacio público contenidos en el Decreto 1504 de 1998</t>
        </is>
      </c>
      <c r="I22" t="inlineStr">
        <is>
          <t>2024257990004</t>
        </is>
      </c>
      <c r="J22" s="99">
        <v>650000000</v>
      </c>
      <c r="K22" s="99">
        <v>650000000</v>
      </c>
      <c r="L22" s="99">
        <v>0</v>
      </c>
      <c r="M22" s="99">
        <v>0</v>
      </c>
      <c r="N22" s="99">
        <v>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IP-32</t>
        </is>
      </c>
      <c r="B23" t="inlineStr">
        <is>
          <t>40</t>
        </is>
      </c>
      <c r="C23" t="inlineStr">
        <is>
          <t>Vivienda, ciudad y territorio</t>
        </is>
      </c>
      <c r="D23" t="inlineStr">
        <is>
          <t>4002</t>
        </is>
      </c>
      <c r="E23" t="inlineStr">
        <is>
          <t>Ordenamiento territorial y desarrollo urbano</t>
        </is>
      </c>
      <c r="F23" t="inlineStr">
        <is>
          <t>4002001</t>
        </is>
      </c>
      <c r="G23" t="inlineStr">
        <is>
          <t>Servicios de asistencia técnica en planificación urbana y ordenamiento territorial</t>
        </is>
      </c>
      <c r="H23" t="inlineStr">
        <is>
          <t>Asistencia técnica realizada por Nación o Departamentos  ,en formulación, revisión, ajuste, evaluación y/o implementación de planes de ordenamiento territorial (Para municipios: POT, PBOT y EOT), plan de ordenamiento Departamental o plan Metropolitano de ordenamiento territorial.</t>
        </is>
      </c>
      <c r="I23" t="inlineStr">
        <is>
          <t>2024257990004</t>
        </is>
      </c>
      <c r="J23" s="99">
        <v>623600000</v>
      </c>
      <c r="K23" s="99">
        <v>63600000</v>
      </c>
      <c r="L23" s="99">
        <v>80000000</v>
      </c>
      <c r="M23" s="99">
        <v>400000000</v>
      </c>
      <c r="N23" s="99">
        <v>80000000</v>
      </c>
      <c r="O23" s="99">
        <v>54746667</v>
      </c>
      <c r="P23" s="99">
        <v>54746667</v>
      </c>
      <c r="Q23" s="99">
        <v>54746667</v>
      </c>
      <c r="R23" s="100">
        <v>0.860796650943396</v>
      </c>
      <c r="S23" t="inlineStr">
        <is>
          <t>Lo obligado está por debajo de lo programado en la vigencia</t>
        </is>
      </c>
      <c r="T23" s="101">
        <v>184400000</v>
      </c>
      <c r="U23" s="101">
        <v>144239999</v>
      </c>
      <c r="V23" s="101">
        <v>144239999</v>
      </c>
      <c r="W23" s="102">
        <v>1.8029999875</v>
      </c>
      <c r="X23" t="inlineStr">
        <is>
          <t>Hubo ejecución por encima de lo programado en SisPT</t>
        </is>
      </c>
    </row>
    <row r="24">
      <c r="A24" t="inlineStr">
        <is>
          <t>IP-33, IP-34</t>
        </is>
      </c>
      <c r="B24" t="inlineStr">
        <is>
          <t>40</t>
        </is>
      </c>
      <c r="C24" t="inlineStr">
        <is>
          <t>Vivienda, ciudad y territorio</t>
        </is>
      </c>
      <c r="D24" t="inlineStr">
        <is>
          <t>4002</t>
        </is>
      </c>
      <c r="E24" t="inlineStr">
        <is>
          <t>Ordenamiento territorial y desarrollo urbano</t>
        </is>
      </c>
      <c r="F24" t="inlineStr">
        <is>
          <t>4002016</t>
        </is>
      </c>
      <c r="G24" t="inlineStr">
        <is>
          <t>Documentos de planeación</t>
        </is>
      </c>
      <c r="H24" t="inlineStr">
        <is>
          <t>Documentos cuyo objetivo es plasmar una visión de futuro a nivel país, entidad territorial, comunidad, sector, región, entidad o cualquier nivel de desagregación que se requiera. Incluye objetivos, estrategias, metas e indicadores</t>
        </is>
      </c>
      <c r="I24" t="inlineStr">
        <is>
          <t>2024257990004</t>
        </is>
      </c>
      <c r="J24" s="99">
        <v>229684721.7</v>
      </c>
      <c r="K24" s="99">
        <v>3000000</v>
      </c>
      <c r="L24" s="99">
        <v>45300000</v>
      </c>
      <c r="M24" s="99">
        <v>115560100</v>
      </c>
      <c r="N24" s="99">
        <v>65824621.7</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v>35530000</v>
      </c>
      <c r="U24" s="101">
        <v>22330000</v>
      </c>
      <c r="V24" s="101">
        <v>22330000</v>
      </c>
      <c r="W24" s="102">
        <v>0.492935982339956</v>
      </c>
      <c r="X24" t="inlineStr">
        <is>
          <t>Lo obligado está por debajo de lo programado en la vigencia</t>
        </is>
      </c>
    </row>
    <row r="25">
      <c r="A25" t="inlineStr">
        <is>
          <t>IP-35</t>
        </is>
      </c>
      <c r="B25" t="inlineStr">
        <is>
          <t>40</t>
        </is>
      </c>
      <c r="C25" t="inlineStr">
        <is>
          <t>Vivienda, ciudad y territorio</t>
        </is>
      </c>
      <c r="D25" t="inlineStr">
        <is>
          <t>4002</t>
        </is>
      </c>
      <c r="E25" t="inlineStr">
        <is>
          <t>Ordenamiento territorial y desarrollo urbano</t>
        </is>
      </c>
      <c r="F25" t="inlineStr">
        <is>
          <t>4002023</t>
        </is>
      </c>
      <c r="G25" t="inlineStr">
        <is>
          <t>Parques mejorados</t>
        </is>
      </c>
      <c r="H25" t="inlineStr">
        <is>
          <t/>
        </is>
      </c>
      <c r="I25" t="inlineStr">
        <is>
          <t>2024257990004</t>
        </is>
      </c>
      <c r="J25" s="99">
        <v>2551289000</v>
      </c>
      <c r="K25" s="99">
        <v>0</v>
      </c>
      <c r="L25" s="99">
        <v>1000000000</v>
      </c>
      <c r="M25" s="99">
        <v>517000000</v>
      </c>
      <c r="N25" s="99">
        <v>1034289000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v>50000000</v>
      </c>
      <c r="U25" s="101">
        <v>0</v>
      </c>
      <c r="V25" s="101">
        <v>0</v>
      </c>
      <c r="W25" s="102">
        <v>0</v>
      </c>
      <c r="X25" t="inlineStr">
        <is>
          <t>No se ejecutó en la vigencia</t>
        </is>
      </c>
    </row>
    <row r="26">
      <c r="A26" t="inlineStr">
        <is>
          <t>IP-36, IP-39, IP-40, IP-42</t>
        </is>
      </c>
      <c r="B26" t="inlineStr">
        <is>
          <t>40</t>
        </is>
      </c>
      <c r="C26" t="inlineStr">
        <is>
          <t>Vivienda, ciudad y territorio</t>
        </is>
      </c>
      <c r="D26" t="inlineStr">
        <is>
          <t>4003</t>
        </is>
      </c>
      <c r="E26" t="inlineStr">
        <is>
          <t>Acceso de la población a los servicios de agua potable y saneamiento básico</t>
        </is>
      </c>
      <c r="F26" t="inlineStr">
        <is>
          <t>4003017</t>
        </is>
      </c>
      <c r="G26" t="inlineStr">
        <is>
          <t>Acueductos optimizados</t>
        </is>
      </c>
      <c r="H26" t="inlineStr">
        <is>
          <t>Conjunto de acciones encaminadas a mejorar la capacidad, eficiencia y eficacia de la infraestructura componente del sistema de acueducto mediante su intervención parcial o total.</t>
        </is>
      </c>
      <c r="I26" t="inlineStr">
        <is>
          <t>2024257990005</t>
        </is>
      </c>
      <c r="J26" s="99">
        <v>6448073174</v>
      </c>
      <c r="K26" s="99">
        <v>4027000000</v>
      </c>
      <c r="L26" s="99">
        <v>966000000</v>
      </c>
      <c r="M26" s="99">
        <v>455950000</v>
      </c>
      <c r="N26" s="99">
        <v>999123174</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v>936552668</v>
      </c>
      <c r="U26" s="101">
        <v>909865168</v>
      </c>
      <c r="V26" s="101">
        <v>905240168</v>
      </c>
      <c r="W26" s="102">
        <v>0.941889407867495</v>
      </c>
      <c r="X26" t="inlineStr">
        <is>
          <t>Lo obligado está por debajo de lo programado en la vigencia</t>
        </is>
      </c>
    </row>
    <row r="27">
      <c r="A27" t="inlineStr">
        <is>
          <t>IP-37, IP-38, IP-46, IP-47, IP-50</t>
        </is>
      </c>
      <c r="B27" t="inlineStr">
        <is>
          <t>40</t>
        </is>
      </c>
      <c r="C27" t="inlineStr">
        <is>
          <t>Vivienda, ciudad y territorio</t>
        </is>
      </c>
      <c r="D27" t="inlineStr">
        <is>
          <t>4003</t>
        </is>
      </c>
      <c r="E27" t="inlineStr">
        <is>
          <t>Acceso de la población a los servicios de agua potable y saneamiento básico</t>
        </is>
      </c>
      <c r="F27" t="inlineStr">
        <is>
          <t>4003009</t>
        </is>
      </c>
      <c r="G27" t="inlineStr">
        <is>
          <t>Servicio de Acueducto</t>
        </is>
      </c>
      <c r="H27" t="inlineStr">
        <is>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is>
      </c>
      <c r="I27" t="inlineStr">
        <is>
          <t>2024257990005</t>
        </is>
      </c>
      <c r="J27" s="99">
        <v>2360770690</v>
      </c>
      <c r="K27" s="99">
        <v>980000000</v>
      </c>
      <c r="L27" s="99">
        <v>130000000</v>
      </c>
      <c r="M27" s="99">
        <v>823570000</v>
      </c>
      <c r="N27" s="99">
        <v>427200690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IP-41</t>
        </is>
      </c>
      <c r="B28" t="inlineStr">
        <is>
          <t>40</t>
        </is>
      </c>
      <c r="C28" t="inlineStr">
        <is>
          <t>Vivienda, ciudad y territorio</t>
        </is>
      </c>
      <c r="D28" t="inlineStr">
        <is>
          <t>4003</t>
        </is>
      </c>
      <c r="E28" t="inlineStr">
        <is>
          <t>Acceso de la población a los servicios de agua potable y saneamiento básico</t>
        </is>
      </c>
      <c r="F28" t="inlineStr">
        <is>
          <t>4003053</t>
        </is>
      </c>
      <c r="G28" t="inlineStr">
        <is>
          <t>Soluciones alternativas para acceso al agua para consumo humano</t>
        </is>
      </c>
      <c r="H28" t="inlineStr">
        <is>
          <t>Infraestructura de aprovisionamiento con soluciones alternativas como filtros, pilas públicas, entre otros, que permite acceder al agua en zonas rurales empleando opciones técnicas, operativas y de gestión que no reúnen las condiciones convencionales de los servicios públicos domiciliarios de acueducto.</t>
        </is>
      </c>
      <c r="I28" t="inlineStr">
        <is>
          <t>2024257990005</t>
        </is>
      </c>
      <c r="J28" s="99">
        <v>2320515600</v>
      </c>
      <c r="K28" s="99">
        <v>1100000000</v>
      </c>
      <c r="L28" s="99">
        <v>400000000</v>
      </c>
      <c r="M28" s="99">
        <v>406800000</v>
      </c>
      <c r="N28" s="99">
        <v>413715600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IP-43</t>
        </is>
      </c>
      <c r="B29" t="inlineStr">
        <is>
          <t>40</t>
        </is>
      </c>
      <c r="C29" t="inlineStr">
        <is>
          <t>Vivienda, ciudad y territorio</t>
        </is>
      </c>
      <c r="D29" t="inlineStr">
        <is>
          <t>4003</t>
        </is>
      </c>
      <c r="E29" t="inlineStr">
        <is>
          <t>Acceso de la población a los servicios de agua potable y saneamiento básico</t>
        </is>
      </c>
      <c r="F29" t="inlineStr">
        <is>
          <t>4003030</t>
        </is>
      </c>
      <c r="G29" t="inlineStr">
        <is>
          <t>Servicios de valorización de residuos sólidos</t>
        </is>
      </c>
      <c r="H29" t="inlineStr">
        <is>
          <t>Servicio prestado para la recuperación y tratamiento de los residuos solidos  con el fin de obtener de ellos nuevos productos u otros rendimientos útiles.</t>
        </is>
      </c>
      <c r="I29" t="inlineStr">
        <is>
          <t>2024257990005</t>
        </is>
      </c>
      <c r="J29" s="99">
        <v>1300000000</v>
      </c>
      <c r="K29" s="99">
        <v>1300000000</v>
      </c>
      <c r="L29" s="99">
        <v>0</v>
      </c>
      <c r="M29" s="99">
        <v>0</v>
      </c>
      <c r="N29" s="99">
        <v>0</v>
      </c>
      <c r="O29" s="99" t="inlineStr">
        <is>
          <t xml:space="preserve"> </t>
        </is>
      </c>
      <c r="P29" s="99" t="inlineStr">
        <is>
          <t xml:space="preserve"> </t>
        </is>
      </c>
      <c r="Q29" s="99" t="inlineStr">
        <is>
          <t xml:space="preserve"> </t>
        </is>
      </c>
      <c r="R29" s="100" t="inlineStr">
        <is>
          <t xml:space="preserve"> </t>
        </is>
      </c>
      <c r="S29" t="inlineStr">
        <is>
          <t>No se encontró ejecución en CUIPO</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IP-44</t>
        </is>
      </c>
      <c r="B30" t="inlineStr">
        <is>
          <t>40</t>
        </is>
      </c>
      <c r="C30" t="inlineStr">
        <is>
          <t>Vivienda, ciudad y territorio</t>
        </is>
      </c>
      <c r="D30" t="inlineStr">
        <is>
          <t>4003</t>
        </is>
      </c>
      <c r="E30" t="inlineStr">
        <is>
          <t>Acceso de la población a los servicios de agua potable y saneamiento básico</t>
        </is>
      </c>
      <c r="F30" t="inlineStr">
        <is>
          <t>4003016</t>
        </is>
      </c>
      <c r="G30" t="inlineStr">
        <is>
          <t>Acueductos ampliados</t>
        </is>
      </c>
      <c r="H30" t="inlineStr">
        <is>
          <t>Conjunto de acciones y obras requeridas para aumentar la capacidad del acueducto en una misma área de cobertura.</t>
        </is>
      </c>
      <c r="I30" t="inlineStr">
        <is>
          <t>2024257990005</t>
        </is>
      </c>
      <c r="J30" s="99">
        <v>974587488</v>
      </c>
      <c r="K30" s="99">
        <v>159200788</v>
      </c>
      <c r="L30" s="99">
        <v>200000000</v>
      </c>
      <c r="M30" s="99">
        <v>305100000</v>
      </c>
      <c r="N30" s="99">
        <v>310286700</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t="inlineStr">
        <is>
          <t xml:space="preserve"> </t>
        </is>
      </c>
      <c r="U30" s="101" t="inlineStr">
        <is>
          <t xml:space="preserve"> </t>
        </is>
      </c>
      <c r="V30" s="101" t="inlineStr">
        <is>
          <t xml:space="preserve"> </t>
        </is>
      </c>
      <c r="W30" s="102" t="inlineStr">
        <is>
          <t xml:space="preserve"> </t>
        </is>
      </c>
      <c r="X30" t="inlineStr">
        <is>
          <t>No se encontró ejecución en CUIPO</t>
        </is>
      </c>
    </row>
    <row r="31">
      <c r="A31" t="inlineStr">
        <is>
          <t>IP-45</t>
        </is>
      </c>
      <c r="B31" t="inlineStr">
        <is>
          <t>40</t>
        </is>
      </c>
      <c r="C31" t="inlineStr">
        <is>
          <t>Vivienda, ciudad y territorio</t>
        </is>
      </c>
      <c r="D31" t="inlineStr">
        <is>
          <t>4003</t>
        </is>
      </c>
      <c r="E31" t="inlineStr">
        <is>
          <t>Acceso de la población a los servicios de agua potable y saneamiento básico</t>
        </is>
      </c>
      <c r="F31" t="inlineStr">
        <is>
          <t>4003048</t>
        </is>
      </c>
      <c r="G31" t="inlineStr">
        <is>
          <t>Servicio de suministro de agua</t>
        </is>
      </c>
      <c r="H31" t="inlineStr">
        <is>
          <t>Transporte y distribución de agua potable a familias beneficiadas.</t>
        </is>
      </c>
      <c r="I31" t="inlineStr">
        <is>
          <t>2024257990005</t>
        </is>
      </c>
      <c r="J31" s="99">
        <v>1058899313</v>
      </c>
      <c r="K31" s="99">
        <v>824441743</v>
      </c>
      <c r="L31" s="99">
        <v>100000000</v>
      </c>
      <c r="M31" s="99">
        <v>0</v>
      </c>
      <c r="N31" s="99">
        <v>134457570</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IP-48</t>
        </is>
      </c>
      <c r="B32" t="inlineStr">
        <is>
          <t>40</t>
        </is>
      </c>
      <c r="C32" t="inlineStr">
        <is>
          <t>Vivienda, ciudad y territorio</t>
        </is>
      </c>
      <c r="D32" t="inlineStr">
        <is>
          <t>4003</t>
        </is>
      </c>
      <c r="E32" t="inlineStr">
        <is>
          <t>Acceso de la población a los servicios de agua potable y saneamiento básico</t>
        </is>
      </c>
      <c r="F32" t="inlineStr">
        <is>
          <t>4003026</t>
        </is>
      </c>
      <c r="G32" t="inlineStr">
        <is>
          <t>Servicios de apoyo financiero para la ejecución de proyectos de acueductos y de manejo de aguas residuales</t>
        </is>
      </c>
      <c r="H32" t="inlineStr">
        <is>
          <t/>
        </is>
      </c>
      <c r="I32" t="inlineStr">
        <is>
          <t>2024257990005</t>
        </is>
      </c>
      <c r="J32" s="99">
        <v>30512890</v>
      </c>
      <c r="K32" s="99">
        <v>0</v>
      </c>
      <c r="L32" s="99">
        <v>10000000</v>
      </c>
      <c r="M32" s="99">
        <v>10170000</v>
      </c>
      <c r="N32" s="99">
        <v>10342890</v>
      </c>
      <c r="O32" s="99" t="inlineStr">
        <is>
          <t xml:space="preserve"> </t>
        </is>
      </c>
      <c r="P32" s="99" t="inlineStr">
        <is>
          <t xml:space="preserve"> </t>
        </is>
      </c>
      <c r="Q32" s="99" t="inlineStr">
        <is>
          <t xml:space="preserve"> </t>
        </is>
      </c>
      <c r="R32" s="100" t="inlineStr">
        <is>
          <t xml:space="preserve"> </t>
        </is>
      </c>
      <c r="S32" t="inlineStr">
        <is>
          <t>No se encontró ejecución en CUIPO</t>
        </is>
      </c>
      <c r="T32" s="101" t="inlineStr">
        <is>
          <t xml:space="preserve"> </t>
        </is>
      </c>
      <c r="U32" s="101" t="inlineStr">
        <is>
          <t xml:space="preserve"> </t>
        </is>
      </c>
      <c r="V32" s="101" t="inlineStr">
        <is>
          <t xml:space="preserve"> </t>
        </is>
      </c>
      <c r="W32" s="102" t="inlineStr">
        <is>
          <t xml:space="preserve"> </t>
        </is>
      </c>
      <c r="X32" t="inlineStr">
        <is>
          <t>No se encontró ejecución en CUIPO</t>
        </is>
      </c>
    </row>
    <row r="33">
      <c r="A33" t="inlineStr">
        <is>
          <t>IP-49, IP-54, IP-55</t>
        </is>
      </c>
      <c r="B33" t="inlineStr">
        <is>
          <t>40</t>
        </is>
      </c>
      <c r="C33" t="inlineStr">
        <is>
          <t>Vivienda, ciudad y territorio</t>
        </is>
      </c>
      <c r="D33" t="inlineStr">
        <is>
          <t>4003</t>
        </is>
      </c>
      <c r="E33" t="inlineStr">
        <is>
          <t>Acceso de la población a los servicios de agua potable y saneamiento básico</t>
        </is>
      </c>
      <c r="F33" t="inlineStr">
        <is>
          <t>4003020</t>
        </is>
      </c>
      <c r="G33" t="inlineStr">
        <is>
          <t>Alcantarillados optimizados</t>
        </is>
      </c>
      <c r="H33" t="inlineStr">
        <is>
          <t>Conjunto de acciones encaminadas a mejorar la capacidad, eficiencia y eficacia de la infraestructura componente del sistema de alcantarillado mediante su intervención parcial o total.</t>
        </is>
      </c>
      <c r="I33" t="inlineStr">
        <is>
          <t>2024257990005</t>
        </is>
      </c>
      <c r="J33" s="99">
        <v>5299508867.5828</v>
      </c>
      <c r="K33" s="99">
        <v>2947327740</v>
      </c>
      <c r="L33" s="99">
        <v>838098629</v>
      </c>
      <c r="M33" s="99">
        <v>647246305.693</v>
      </c>
      <c r="N33" s="99">
        <v>866836192.8898</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v>179847070</v>
      </c>
      <c r="U33" s="101">
        <v>179847070</v>
      </c>
      <c r="V33" s="101">
        <v>179847070</v>
      </c>
      <c r="W33" s="102">
        <v>0.214589385755934</v>
      </c>
      <c r="X33" t="inlineStr">
        <is>
          <t>Lo obligado está por debajo de lo programado en la vigencia</t>
        </is>
      </c>
    </row>
    <row r="34">
      <c r="A34" t="inlineStr">
        <is>
          <t>IP-51</t>
        </is>
      </c>
      <c r="B34" t="inlineStr">
        <is>
          <t>40</t>
        </is>
      </c>
      <c r="C34" t="inlineStr">
        <is>
          <t>Vivienda, ciudad y territorio</t>
        </is>
      </c>
      <c r="D34" t="inlineStr">
        <is>
          <t>4003</t>
        </is>
      </c>
      <c r="E34" t="inlineStr">
        <is>
          <t>Acceso de la población a los servicios de agua potable y saneamiento básico</t>
        </is>
      </c>
      <c r="F34" t="inlineStr">
        <is>
          <t>4003008</t>
        </is>
      </c>
      <c r="G34" t="inlineStr">
        <is>
          <t>Servicio de apoyo financiero a los planes, programas y proyectos de Agua Potable y Saneamiento Básico</t>
        </is>
      </c>
      <c r="H34" t="inlineStr">
        <is>
          <t>Financiación o Cofinanciación a planes, programas y proyectos relacionados con Agua Potable y Saneamiento Básico</t>
        </is>
      </c>
      <c r="I34" t="inlineStr">
        <is>
          <t>2024257990005</t>
        </is>
      </c>
      <c r="J34" s="99">
        <v>2905923788.0358</v>
      </c>
      <c r="K34" s="99">
        <v>717283755</v>
      </c>
      <c r="L34" s="99">
        <v>717283755.5</v>
      </c>
      <c r="M34" s="99">
        <v>729477579.3435</v>
      </c>
      <c r="N34" s="99">
        <v>741878698.1923</v>
      </c>
      <c r="O34" s="99" t="inlineStr">
        <is>
          <t xml:space="preserve"> </t>
        </is>
      </c>
      <c r="P34" s="99" t="inlineStr">
        <is>
          <t xml:space="preserve"> </t>
        </is>
      </c>
      <c r="Q34" s="99" t="inlineStr">
        <is>
          <t xml:space="preserve"> </t>
        </is>
      </c>
      <c r="R34" s="100" t="inlineStr">
        <is>
          <t xml:space="preserve"> </t>
        </is>
      </c>
      <c r="S34" t="inlineStr">
        <is>
          <t>No se encontró ejecución en CUIPO</t>
        </is>
      </c>
      <c r="T34" s="101" t="inlineStr">
        <is>
          <t xml:space="preserve"> </t>
        </is>
      </c>
      <c r="U34" s="101" t="inlineStr">
        <is>
          <t xml:space="preserve"> </t>
        </is>
      </c>
      <c r="V34" s="101" t="inlineStr">
        <is>
          <t xml:space="preserve"> </t>
        </is>
      </c>
      <c r="W34" s="102" t="inlineStr">
        <is>
          <t xml:space="preserve"> </t>
        </is>
      </c>
      <c r="X34" t="inlineStr">
        <is>
          <t>No se encontró ejecución en CUIPO</t>
        </is>
      </c>
    </row>
    <row r="35">
      <c r="A35" t="inlineStr">
        <is>
          <t>IP-52</t>
        </is>
      </c>
      <c r="B35" t="inlineStr">
        <is>
          <t>40</t>
        </is>
      </c>
      <c r="C35" t="inlineStr">
        <is>
          <t>Vivienda, ciudad y territorio</t>
        </is>
      </c>
      <c r="D35" t="inlineStr">
        <is>
          <t>4003</t>
        </is>
      </c>
      <c r="E35" t="inlineStr">
        <is>
          <t>Acceso de la población a los servicios de agua potable y saneamiento básico</t>
        </is>
      </c>
      <c r="F35" t="inlineStr">
        <is>
          <t>4003047</t>
        </is>
      </c>
      <c r="G35" t="inlineStr">
        <is>
          <t>Servicio de apoyo financiero para subsidios al consumo en los servicios públicos domiciliarios</t>
        </is>
      </c>
      <c r="H35" t="inlineStr">
        <is>
          <t>Los subsidios al consumo están destinados a satisfacer necesidades básicas de los usuarios de los estratos 1, 2 y 3 en el servicio público domiciliario de acueducto, alcantarillado y aseo.</t>
        </is>
      </c>
      <c r="I35" t="inlineStr">
        <is>
          <t>2024257990005</t>
        </is>
      </c>
      <c r="J35" s="99">
        <v>13552571264.4438</v>
      </c>
      <c r="K35" s="99">
        <v>6715187640.57</v>
      </c>
      <c r="L35" s="99">
        <v>2240818101.4233</v>
      </c>
      <c r="M35" s="99">
        <v>2278912009.1475</v>
      </c>
      <c r="N35" s="99">
        <v>2317653513.303</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v>2240818101</v>
      </c>
      <c r="U35" s="101">
        <v>361707871</v>
      </c>
      <c r="V35" s="101">
        <v>361707871</v>
      </c>
      <c r="W35" s="102">
        <v>0.161417774503988</v>
      </c>
      <c r="X35" t="inlineStr">
        <is>
          <t>Lo obligado está por debajo de lo programado en la vigencia</t>
        </is>
      </c>
    </row>
    <row r="36">
      <c r="A36" t="inlineStr">
        <is>
          <t>IP-53</t>
        </is>
      </c>
      <c r="B36" t="inlineStr">
        <is>
          <t>40</t>
        </is>
      </c>
      <c r="C36" t="inlineStr">
        <is>
          <t>Vivienda, ciudad y territorio</t>
        </is>
      </c>
      <c r="D36" t="inlineStr">
        <is>
          <t>4003</t>
        </is>
      </c>
      <c r="E36" t="inlineStr">
        <is>
          <t>Acceso de la población a los servicios de agua potable y saneamiento básico</t>
        </is>
      </c>
      <c r="F36" t="inlineStr">
        <is>
          <t>4003040</t>
        </is>
      </c>
      <c r="G36" t="inlineStr">
        <is>
          <t>Servicio de apoyo financiero en tratamiento de aguas residuales</t>
        </is>
      </c>
      <c r="H36" t="inlineStr">
        <is>
          <t>Los sistemas de tratamiento de aguas residuales son el conjunto de operaciones requeridas para reducir la carga contaminante vertida a los cuerpos de agua, para mejorar la calidad del recurso hídrico y el bienestar de la población. Con la financiación de proyectos de descontaminación de aguas, se pretende reducir los impactos ambientales negativos generados en las cuencas hidrográficas del país.</t>
        </is>
      </c>
      <c r="I36" t="inlineStr">
        <is>
          <t>2024257990005</t>
        </is>
      </c>
      <c r="J36" s="99">
        <v>1525644500</v>
      </c>
      <c r="K36" s="99">
        <v>0</v>
      </c>
      <c r="L36" s="99">
        <v>500000000</v>
      </c>
      <c r="M36" s="99">
        <v>508500000</v>
      </c>
      <c r="N36" s="99">
        <v>517144500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IP-56, IP-57</t>
        </is>
      </c>
      <c r="B37" t="inlineStr">
        <is>
          <t>40</t>
        </is>
      </c>
      <c r="C37" t="inlineStr">
        <is>
          <t>Vivienda, ciudad y territorio</t>
        </is>
      </c>
      <c r="D37" t="inlineStr">
        <is>
          <t>4003</t>
        </is>
      </c>
      <c r="E37" t="inlineStr">
        <is>
          <t>Acceso de la población a los servicios de agua potable y saneamiento básico</t>
        </is>
      </c>
      <c r="F37" t="inlineStr">
        <is>
          <t>4003022</t>
        </is>
      </c>
      <c r="G37" t="inlineStr">
        <is>
          <t>Servicios de implementación del Plan de Gestión Integral de Residuos Solidos PGIRS</t>
        </is>
      </c>
      <c r="H37" t="inlineStr">
        <is>
          <t>Contempla acciones realizadas para implementar el Plan de Gestión Integral de Residuos Solidos </t>
        </is>
      </c>
      <c r="I37" t="inlineStr">
        <is>
          <t>2024257990005</t>
        </is>
      </c>
      <c r="J37" s="99">
        <v>2275445780.7259</v>
      </c>
      <c r="K37" s="99">
        <v>393835785.34</v>
      </c>
      <c r="L37" s="99">
        <v>616660695</v>
      </c>
      <c r="M37" s="99">
        <v>627143926.815</v>
      </c>
      <c r="N37" s="99">
        <v>637805373.5709</v>
      </c>
      <c r="O37" s="99" t="inlineStr">
        <is>
          <t xml:space="preserve"> </t>
        </is>
      </c>
      <c r="P37" s="99" t="inlineStr">
        <is>
          <t xml:space="preserve"> </t>
        </is>
      </c>
      <c r="Q37" s="99" t="inlineStr">
        <is>
          <t xml:space="preserve"> </t>
        </is>
      </c>
      <c r="R37" s="100" t="inlineStr">
        <is>
          <t xml:space="preserve"> </t>
        </is>
      </c>
      <c r="S37" t="inlineStr">
        <is>
          <t>No se encontró ejecución en CUIPO</t>
        </is>
      </c>
      <c r="T37" s="101">
        <v>399999400</v>
      </c>
      <c r="U37" s="101">
        <v>399999400</v>
      </c>
      <c r="V37" s="101">
        <v>399999400</v>
      </c>
      <c r="W37" s="102">
        <v>0.648653957100347</v>
      </c>
      <c r="X37" t="inlineStr">
        <is>
          <t>Lo obligado está por debajo de lo programado en la vigencia</t>
        </is>
      </c>
    </row>
    <row r="38">
      <c r="A38" t="inlineStr">
        <is>
          <t>IP-58, IP-59</t>
        </is>
      </c>
      <c r="B38" t="inlineStr">
        <is>
          <t>21</t>
        </is>
      </c>
      <c r="C38" t="inlineStr">
        <is>
          <t>Minas y Energía</t>
        </is>
      </c>
      <c r="D38" t="inlineStr">
        <is>
          <t>2102</t>
        </is>
      </c>
      <c r="E38" t="inlineStr">
        <is>
          <t>Consolidación productiva del sector de energía eléctrica</t>
        </is>
      </c>
      <c r="F38" t="inlineStr">
        <is>
          <t>2102010</t>
        </is>
      </c>
      <c r="G38" t="inlineStr">
        <is>
          <t>Redes de alumbrado público ampliadas</t>
        </is>
      </c>
      <c r="H38" t="inlineStr">
        <is>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38" t="inlineStr">
        <is>
          <t>2024257990006</t>
        </is>
      </c>
      <c r="J38" s="99">
        <v>2767125521.149</v>
      </c>
      <c r="K38" s="99">
        <v>754757097</v>
      </c>
      <c r="L38" s="99">
        <v>767587967.649</v>
      </c>
      <c r="M38" s="99">
        <v>617144500</v>
      </c>
      <c r="N38" s="99">
        <v>627635956.5</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t="inlineStr">
        <is>
          <t xml:space="preserve"> </t>
        </is>
      </c>
      <c r="U38" s="101" t="inlineStr">
        <is>
          <t xml:space="preserve"> </t>
        </is>
      </c>
      <c r="V38" s="101" t="inlineStr">
        <is>
          <t xml:space="preserve"> </t>
        </is>
      </c>
      <c r="W38" s="102" t="inlineStr">
        <is>
          <t xml:space="preserve"> </t>
        </is>
      </c>
      <c r="X38" t="inlineStr">
        <is>
          <t>No se encontró ejecución en CUIPO</t>
        </is>
      </c>
    </row>
    <row r="39">
      <c r="A39" t="inlineStr">
        <is>
          <t>IP-60</t>
        </is>
      </c>
      <c r="B39" t="inlineStr">
        <is>
          <t>21</t>
        </is>
      </c>
      <c r="C39" t="inlineStr">
        <is>
          <t>Minas y Energía</t>
        </is>
      </c>
      <c r="D39" t="inlineStr">
        <is>
          <t>2102</t>
        </is>
      </c>
      <c r="E39" t="inlineStr">
        <is>
          <t>Consolidación productiva del sector de energía eléctrica</t>
        </is>
      </c>
      <c r="F39" t="inlineStr">
        <is>
          <t>2102011</t>
        </is>
      </c>
      <c r="G39" t="inlineStr">
        <is>
          <t>Redes de alumbrado público con mantenimiento</t>
        </is>
      </c>
      <c r="H39" t="inlineStr">
        <is>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39" t="inlineStr">
        <is>
          <t>2024257990006</t>
        </is>
      </c>
      <c r="J39" s="99">
        <v>5736218956.374</v>
      </c>
      <c r="K39" s="99">
        <v>1398000000</v>
      </c>
      <c r="L39" s="99">
        <v>1421766000</v>
      </c>
      <c r="M39" s="99">
        <v>1445936022</v>
      </c>
      <c r="N39" s="99">
        <v>1470516934.374</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t="inlineStr">
        <is>
          <t xml:space="preserve"> </t>
        </is>
      </c>
      <c r="U39" s="101" t="inlineStr">
        <is>
          <t xml:space="preserve"> </t>
        </is>
      </c>
      <c r="V39" s="101" t="inlineStr">
        <is>
          <t xml:space="preserve"> </t>
        </is>
      </c>
      <c r="W39" s="102" t="inlineStr">
        <is>
          <t xml:space="preserve"> </t>
        </is>
      </c>
      <c r="X39" t="inlineStr">
        <is>
          <t>No se encontró ejecución en CUIPO</t>
        </is>
      </c>
    </row>
    <row r="40">
      <c r="A40" t="inlineStr">
        <is>
          <t>IP-61, IP-62</t>
        </is>
      </c>
      <c r="B40" t="inlineStr">
        <is>
          <t>21</t>
        </is>
      </c>
      <c r="C40" t="inlineStr">
        <is>
          <t>Minas y Energía</t>
        </is>
      </c>
      <c r="D40" t="inlineStr">
        <is>
          <t>2102</t>
        </is>
      </c>
      <c r="E40" t="inlineStr">
        <is>
          <t>Consolidación productiva del sector de energía eléctrica</t>
        </is>
      </c>
      <c r="F40" t="inlineStr">
        <is>
          <t>2102069</t>
        </is>
      </c>
      <c r="G40" t="inlineStr">
        <is>
          <t>Servicio de alumbrado público</t>
        </is>
      </c>
      <c r="H40"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40" t="inlineStr">
        <is>
          <t>2024257990006</t>
        </is>
      </c>
      <c r="J40" s="99">
        <v>10241433778.4154</v>
      </c>
      <c r="K40" s="99">
        <v>2495986386</v>
      </c>
      <c r="L40" s="99">
        <v>2538418154.562</v>
      </c>
      <c r="M40" s="99">
        <v>2581571263.1896</v>
      </c>
      <c r="N40" s="99">
        <v>2625457974.6638</v>
      </c>
      <c r="O40" s="99" t="inlineStr">
        <is>
          <t xml:space="preserve"> </t>
        </is>
      </c>
      <c r="P40" s="99" t="inlineStr">
        <is>
          <t xml:space="preserve"> </t>
        </is>
      </c>
      <c r="Q40" s="99" t="inlineStr">
        <is>
          <t xml:space="preserve"> </t>
        </is>
      </c>
      <c r="R40" s="100" t="inlineStr">
        <is>
          <t xml:space="preserve"> </t>
        </is>
      </c>
      <c r="S40" t="inlineStr">
        <is>
          <t>No se encontró ejecución en CUIPO</t>
        </is>
      </c>
      <c r="T40" s="101">
        <v>2737432096</v>
      </c>
      <c r="U40" s="101">
        <v>2737432096</v>
      </c>
      <c r="V40" s="101">
        <v>2737432096</v>
      </c>
      <c r="W40" s="102">
        <v>1.07840077139392</v>
      </c>
      <c r="X40" t="inlineStr">
        <is>
          <t>Hubo ejecución por encima de lo programado en SisPT</t>
        </is>
      </c>
    </row>
    <row r="41">
      <c r="A41" t="inlineStr">
        <is>
          <t>IP-63</t>
        </is>
      </c>
      <c r="B41" t="inlineStr">
        <is>
          <t>21</t>
        </is>
      </c>
      <c r="C41" t="inlineStr">
        <is>
          <t>Minas y Energía</t>
        </is>
      </c>
      <c r="D41" t="inlineStr">
        <is>
          <t>2102</t>
        </is>
      </c>
      <c r="E41" t="inlineStr">
        <is>
          <t>Consolidación productiva del sector de energía eléctrica</t>
        </is>
      </c>
      <c r="F41" t="inlineStr">
        <is>
          <t>2102071</t>
        </is>
      </c>
      <c r="G41" t="inlineStr">
        <is>
          <t>Servicio de asistencia técnica</t>
        </is>
      </c>
      <c r="H41"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41" t="inlineStr">
        <is>
          <t>2024257990006</t>
        </is>
      </c>
      <c r="J41" s="99">
        <v>207064314.5</v>
      </c>
      <c r="K41" s="99">
        <v>114000000</v>
      </c>
      <c r="L41" s="99">
        <v>30500000</v>
      </c>
      <c r="M41" s="99">
        <v>31018500</v>
      </c>
      <c r="N41" s="99">
        <v>31545814.5</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IP-64</t>
        </is>
      </c>
      <c r="B42" t="inlineStr">
        <is>
          <t>24</t>
        </is>
      </c>
      <c r="C42" t="inlineStr">
        <is>
          <t>Transporte</t>
        </is>
      </c>
      <c r="D42" t="inlineStr">
        <is>
          <t>2402</t>
        </is>
      </c>
      <c r="E42" t="inlineStr">
        <is>
          <t>Infraestructura red vial regional</t>
        </is>
      </c>
      <c r="F42" t="inlineStr">
        <is>
          <t>2402042</t>
        </is>
      </c>
      <c r="G42" t="inlineStr">
        <is>
          <t>Placa huella construida</t>
        </is>
      </c>
      <c r="H42" t="inlineStr">
        <is>
          <t>Incluye construcción de vías terciarias con sistema de  Placa Huella</t>
        </is>
      </c>
      <c r="I42" t="inlineStr">
        <is>
          <t>2024257990007</t>
        </is>
      </c>
      <c r="J42" s="99">
        <v>1656994500</v>
      </c>
      <c r="K42" s="99">
        <v>131350000</v>
      </c>
      <c r="L42" s="99">
        <v>500000000</v>
      </c>
      <c r="M42" s="99">
        <v>508500000</v>
      </c>
      <c r="N42" s="99">
        <v>517144500</v>
      </c>
      <c r="O42" s="99" t="inlineStr">
        <is>
          <t xml:space="preserve"> </t>
        </is>
      </c>
      <c r="P42" s="99" t="inlineStr">
        <is>
          <t xml:space="preserve"> </t>
        </is>
      </c>
      <c r="Q42" s="99" t="inlineStr">
        <is>
          <t xml:space="preserve"> </t>
        </is>
      </c>
      <c r="R42" s="100" t="inlineStr">
        <is>
          <t xml:space="preserve"> </t>
        </is>
      </c>
      <c r="S42" t="inlineStr">
        <is>
          <t>No se encontró ejecución en CUIPO</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IP-65</t>
        </is>
      </c>
      <c r="B43" t="inlineStr">
        <is>
          <t>24</t>
        </is>
      </c>
      <c r="C43" t="inlineStr">
        <is>
          <t>Transporte</t>
        </is>
      </c>
      <c r="D43" t="inlineStr">
        <is>
          <t>2402</t>
        </is>
      </c>
      <c r="E43" t="inlineStr">
        <is>
          <t>Infraestructura red vial regional</t>
        </is>
      </c>
      <c r="F43" t="inlineStr">
        <is>
          <t>2402112</t>
        </is>
      </c>
      <c r="G43" t="inlineStr">
        <is>
          <t>Vía terciaria con mantenimiento periódico o rutinario</t>
        </is>
      </c>
      <c r="H43" t="inlineStr">
        <is>
          <t>Incluye las acciones de conservación periódica o rutinaria de las vías de la red vial terciaria con el fin de mantener las condiciones óptimas para el tránsito y  el uso adecuado de la infraestructura de transporte.</t>
        </is>
      </c>
      <c r="I43" t="inlineStr">
        <is>
          <t>2024257990007</t>
        </is>
      </c>
      <c r="J43" s="99">
        <v>7353814497.416</v>
      </c>
      <c r="K43" s="99">
        <v>596963283</v>
      </c>
      <c r="L43" s="99">
        <v>2214425187</v>
      </c>
      <c r="M43" s="99">
        <v>2252070415.179</v>
      </c>
      <c r="N43" s="99">
        <v>2290355612.237</v>
      </c>
      <c r="O43" s="99" t="inlineStr">
        <is>
          <t xml:space="preserve"> </t>
        </is>
      </c>
      <c r="P43" s="99" t="inlineStr">
        <is>
          <t xml:space="preserve"> </t>
        </is>
      </c>
      <c r="Q43" s="99" t="inlineStr">
        <is>
          <t xml:space="preserve"> </t>
        </is>
      </c>
      <c r="R43" s="100" t="inlineStr">
        <is>
          <t xml:space="preserve"> </t>
        </is>
      </c>
      <c r="S43" t="inlineStr">
        <is>
          <t>No se encontró ejecución en CUIPO</t>
        </is>
      </c>
      <c r="T43" s="101">
        <v>3653684859</v>
      </c>
      <c r="U43" s="101">
        <v>1034750171</v>
      </c>
      <c r="V43" s="101">
        <v>1028825171</v>
      </c>
      <c r="W43" s="102">
        <v>0.467277096139713</v>
      </c>
      <c r="X43" t="inlineStr">
        <is>
          <t>Lo obligado está por debajo de lo programado en la vigencia</t>
        </is>
      </c>
    </row>
    <row r="44">
      <c r="A44" t="inlineStr">
        <is>
          <t>IP-66</t>
        </is>
      </c>
      <c r="B44" t="inlineStr">
        <is>
          <t>24</t>
        </is>
      </c>
      <c r="C44" t="inlineStr">
        <is>
          <t>Transporte</t>
        </is>
      </c>
      <c r="D44" t="inlineStr">
        <is>
          <t>2402</t>
        </is>
      </c>
      <c r="E44" t="inlineStr">
        <is>
          <t>Infraestructura red vial regional</t>
        </is>
      </c>
      <c r="F44" t="inlineStr">
        <is>
          <t>2402115</t>
        </is>
      </c>
      <c r="G44" t="inlineStr">
        <is>
          <t>Vía urbana con mantenimiento periódico o rutinario</t>
        </is>
      </c>
      <c r="H44" t="inlineStr">
        <is>
          <t>Incluye las acciones de conservación periódica o rutinaria de las vías urbanas con el fin de mantener las condiciones óptimas para el tránsito y  el uso adecuado de la infraestructura de transporte.</t>
        </is>
      </c>
      <c r="I44" t="inlineStr">
        <is>
          <t>2024257990007</t>
        </is>
      </c>
      <c r="J44" s="99">
        <v>2178230372.1368</v>
      </c>
      <c r="K44" s="99">
        <v>512000000</v>
      </c>
      <c r="L44" s="99">
        <v>720758148</v>
      </c>
      <c r="M44" s="99">
        <v>200000000</v>
      </c>
      <c r="N44" s="99">
        <v>745472224.1368</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t="inlineStr">
        <is>
          <t xml:space="preserve"> </t>
        </is>
      </c>
      <c r="U44" s="101" t="inlineStr">
        <is>
          <t xml:space="preserve"> </t>
        </is>
      </c>
      <c r="V44" s="101" t="inlineStr">
        <is>
          <t xml:space="preserve"> </t>
        </is>
      </c>
      <c r="W44" s="102" t="inlineStr">
        <is>
          <t xml:space="preserve"> </t>
        </is>
      </c>
      <c r="X44" t="inlineStr">
        <is>
          <t>No se encontró ejecución en CUIPO</t>
        </is>
      </c>
    </row>
    <row r="45">
      <c r="A45" t="inlineStr">
        <is>
          <t>IP-67</t>
        </is>
      </c>
      <c r="B45" t="inlineStr">
        <is>
          <t>24</t>
        </is>
      </c>
      <c r="C45" t="inlineStr">
        <is>
          <t>Transporte</t>
        </is>
      </c>
      <c r="D45" t="inlineStr">
        <is>
          <t>2402</t>
        </is>
      </c>
      <c r="E45" t="inlineStr">
        <is>
          <t>Infraestructura red vial regional</t>
        </is>
      </c>
      <c r="F45" t="inlineStr">
        <is>
          <t>2402113</t>
        </is>
      </c>
      <c r="G45" t="inlineStr">
        <is>
          <t>Vía urbana construida</t>
        </is>
      </c>
      <c r="H45" t="inlineStr">
        <is>
          <t>Incluye la construcción de vías nuevas en zonas  urbanas sin comunicación vial</t>
        </is>
      </c>
      <c r="I45" t="inlineStr">
        <is>
          <t>2024257990007</t>
        </is>
      </c>
      <c r="J45" s="99">
        <v>2065345941.1088</v>
      </c>
      <c r="K45" s="99">
        <v>280742450</v>
      </c>
      <c r="L45" s="99">
        <v>584868719.78</v>
      </c>
      <c r="M45" s="99">
        <v>594811488.0163</v>
      </c>
      <c r="N45" s="99">
        <v>604923283.3125</v>
      </c>
      <c r="O45" s="99" t="inlineStr">
        <is>
          <t xml:space="preserve"> </t>
        </is>
      </c>
      <c r="P45" s="99" t="inlineStr">
        <is>
          <t xml:space="preserve"> </t>
        </is>
      </c>
      <c r="Q45" s="99" t="inlineStr">
        <is>
          <t xml:space="preserve"> </t>
        </is>
      </c>
      <c r="R45" s="100" t="inlineStr">
        <is>
          <t xml:space="preserve"> </t>
        </is>
      </c>
      <c r="S45" t="inlineStr">
        <is>
          <t>No se encontró ejecución en CUIPO</t>
        </is>
      </c>
      <c r="T45" s="101" t="inlineStr">
        <is>
          <t xml:space="preserve"> </t>
        </is>
      </c>
      <c r="U45" s="101" t="inlineStr">
        <is>
          <t xml:space="preserve"> </t>
        </is>
      </c>
      <c r="V45" s="101" t="inlineStr">
        <is>
          <t xml:space="preserve"> </t>
        </is>
      </c>
      <c r="W45" s="102" t="inlineStr">
        <is>
          <t xml:space="preserve"> </t>
        </is>
      </c>
      <c r="X45" t="inlineStr">
        <is>
          <t>No se encontró ejecución en CUIPO</t>
        </is>
      </c>
    </row>
    <row r="46">
      <c r="A46" t="inlineStr">
        <is>
          <t>IP-68</t>
        </is>
      </c>
      <c r="B46" t="inlineStr">
        <is>
          <t>24</t>
        </is>
      </c>
      <c r="C46" t="inlineStr">
        <is>
          <t>Transporte</t>
        </is>
      </c>
      <c r="D46" t="inlineStr">
        <is>
          <t>2402</t>
        </is>
      </c>
      <c r="E46" t="inlineStr">
        <is>
          <t>Infraestructura red vial regional</t>
        </is>
      </c>
      <c r="F46" t="inlineStr">
        <is>
          <t>2402041</t>
        </is>
      </c>
      <c r="G46" t="inlineStr">
        <is>
          <t>Vía terciaria mejorada</t>
        </is>
      </c>
      <c r="H46"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46" t="inlineStr">
        <is>
          <t>2024257990007</t>
        </is>
      </c>
      <c r="J46" s="99">
        <v>160000000</v>
      </c>
      <c r="K46" s="99">
        <v>0</v>
      </c>
      <c r="L46" s="99">
        <v>0</v>
      </c>
      <c r="M46" s="99">
        <v>80000000</v>
      </c>
      <c r="N46" s="99">
        <v>80000000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t="inlineStr">
        <is>
          <t xml:space="preserve"> </t>
        </is>
      </c>
      <c r="U46" s="101" t="inlineStr">
        <is>
          <t xml:space="preserve"> </t>
        </is>
      </c>
      <c r="V46" s="101" t="inlineStr">
        <is>
          <t xml:space="preserve"> </t>
        </is>
      </c>
      <c r="W46" s="102" t="inlineStr">
        <is>
          <t xml:space="preserve"> </t>
        </is>
      </c>
      <c r="X46" t="inlineStr">
        <is>
          <t>No se encontró ejecución en CUIPO</t>
        </is>
      </c>
    </row>
    <row r="47">
      <c r="A47" t="inlineStr">
        <is>
          <t>IP-69</t>
        </is>
      </c>
      <c r="B47" t="inlineStr">
        <is>
          <t>24</t>
        </is>
      </c>
      <c r="C47" t="inlineStr">
        <is>
          <t>Transporte</t>
        </is>
      </c>
      <c r="D47" t="inlineStr">
        <is>
          <t>2402</t>
        </is>
      </c>
      <c r="E47" t="inlineStr">
        <is>
          <t>Infraestructura red vial regional</t>
        </is>
      </c>
      <c r="F47" t="inlineStr">
        <is>
          <t>2402056</t>
        </is>
      </c>
      <c r="G47" t="inlineStr">
        <is>
          <t>Caminos ancestrales con mantenimiento</t>
        </is>
      </c>
      <c r="H47" t="inlineStr">
        <is>
          <t>Incluye la realización de cambios en un camino ancestral con el propósito de mejorar sus especificaciones técnicas iniciales</t>
        </is>
      </c>
      <c r="I47" t="inlineStr">
        <is>
          <t>2024257990007</t>
        </is>
      </c>
      <c r="J47" s="99">
        <v>300000000</v>
      </c>
      <c r="K47" s="99">
        <v>0</v>
      </c>
      <c r="L47" s="99">
        <v>0</v>
      </c>
      <c r="M47" s="99">
        <v>300000000</v>
      </c>
      <c r="N47" s="99">
        <v>0</v>
      </c>
      <c r="O47" s="99" t="inlineStr">
        <is>
          <t xml:space="preserve"> </t>
        </is>
      </c>
      <c r="P47" s="99" t="inlineStr">
        <is>
          <t xml:space="preserve"> </t>
        </is>
      </c>
      <c r="Q47" s="99" t="inlineStr">
        <is>
          <t xml:space="preserve"> </t>
        </is>
      </c>
      <c r="R47" s="100" t="inlineStr">
        <is>
          <t xml:space="preserve"> </t>
        </is>
      </c>
      <c r="S47" t="inlineStr">
        <is>
          <t>No se encontró ejecución en CUIPO</t>
        </is>
      </c>
      <c r="T47" s="101" t="inlineStr">
        <is>
          <t xml:space="preserve"> </t>
        </is>
      </c>
      <c r="U47" s="101" t="inlineStr">
        <is>
          <t xml:space="preserve"> </t>
        </is>
      </c>
      <c r="V47" s="101" t="inlineStr">
        <is>
          <t xml:space="preserve"> </t>
        </is>
      </c>
      <c r="W47" s="102" t="inlineStr">
        <is>
          <t xml:space="preserve"> </t>
        </is>
      </c>
      <c r="X47" t="inlineStr">
        <is>
          <t>No se encontró ejecución en CUIPO</t>
        </is>
      </c>
    </row>
    <row r="48">
      <c r="A48" t="inlineStr">
        <is>
          <t>IP-70</t>
        </is>
      </c>
      <c r="B48" t="inlineStr">
        <is>
          <t>24</t>
        </is>
      </c>
      <c r="C48" t="inlineStr">
        <is>
          <t>Transporte</t>
        </is>
      </c>
      <c r="D48" t="inlineStr">
        <is>
          <t>2402</t>
        </is>
      </c>
      <c r="E48" t="inlineStr">
        <is>
          <t>Infraestructura red vial regional</t>
        </is>
      </c>
      <c r="F48" t="inlineStr">
        <is>
          <t>2402125</t>
        </is>
      </c>
      <c r="G48" t="inlineStr">
        <is>
          <t>Banco de maquinaria dotado</t>
        </is>
      </c>
      <c r="H48" t="inlineStr">
        <is>
          <t>Incluye la disposición de maquinaria y equipos requeridos para las intervenciones viales en miras a construir, mejorar, rehabilitar o mantener.</t>
        </is>
      </c>
      <c r="I48" t="inlineStr">
        <is>
          <t>2024257990007</t>
        </is>
      </c>
      <c r="J48" s="99">
        <v>3593090630</v>
      </c>
      <c r="K48" s="99">
        <v>2683090630</v>
      </c>
      <c r="L48" s="99">
        <v>600000000</v>
      </c>
      <c r="M48" s="99">
        <v>310000000</v>
      </c>
      <c r="N48" s="99">
        <v>0</v>
      </c>
      <c r="O48" s="99">
        <v>1151203977</v>
      </c>
      <c r="P48" s="99">
        <v>247770000</v>
      </c>
      <c r="Q48" s="99">
        <v>0</v>
      </c>
      <c r="R48" s="100">
        <v>0.0923449984244476</v>
      </c>
      <c r="S48" t="inlineStr">
        <is>
          <t>Lo obligado está por debajo de lo programado en la vigencia</t>
        </is>
      </c>
      <c r="T48" s="101" t="inlineStr">
        <is>
          <t xml:space="preserve"> </t>
        </is>
      </c>
      <c r="U48" s="101" t="inlineStr">
        <is>
          <t xml:space="preserve"> </t>
        </is>
      </c>
      <c r="V48" s="101" t="inlineStr">
        <is>
          <t xml:space="preserve"> </t>
        </is>
      </c>
      <c r="W48" s="102" t="inlineStr">
        <is>
          <t xml:space="preserve"> </t>
        </is>
      </c>
      <c r="X48" t="inlineStr">
        <is>
          <t>No se encontró ejecución en CUIPO</t>
        </is>
      </c>
    </row>
    <row r="49">
      <c r="A49" t="inlineStr">
        <is>
          <t>IP-71, IP-72, IP-75</t>
        </is>
      </c>
      <c r="B49" t="inlineStr">
        <is>
          <t>24</t>
        </is>
      </c>
      <c r="C49" t="inlineStr">
        <is>
          <t>Transporte</t>
        </is>
      </c>
      <c r="D49" t="inlineStr">
        <is>
          <t>2402</t>
        </is>
      </c>
      <c r="E49" t="inlineStr">
        <is>
          <t>Infraestructura red vial regional</t>
        </is>
      </c>
      <c r="F49" t="inlineStr">
        <is>
          <t>2402033</t>
        </is>
      </c>
      <c r="G49" t="inlineStr">
        <is>
          <t>Ciclo infraestructura construida en red vial secundaria</t>
        </is>
      </c>
      <c r="H49" t="inlineStr">
        <is>
          <t>Incluye la construcción de vías o secciones de la calzada destinada al tránsito de bicicletas en forma exclusiva</t>
        </is>
      </c>
      <c r="I49" t="inlineStr">
        <is>
          <t>2024257990008</t>
        </is>
      </c>
      <c r="J49" s="99">
        <v>439045937.2686</v>
      </c>
      <c r="K49" s="99">
        <v>100000000</v>
      </c>
      <c r="L49" s="99">
        <v>118515586.152</v>
      </c>
      <c r="M49" s="99">
        <v>220530351.1166</v>
      </c>
      <c r="N49" s="99">
        <v>0</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t="inlineStr">
        <is>
          <t xml:space="preserve"> </t>
        </is>
      </c>
      <c r="U49" s="101" t="inlineStr">
        <is>
          <t xml:space="preserve"> </t>
        </is>
      </c>
      <c r="V49" s="101" t="inlineStr">
        <is>
          <t xml:space="preserve"> </t>
        </is>
      </c>
      <c r="W49" s="102" t="inlineStr">
        <is>
          <t xml:space="preserve"> </t>
        </is>
      </c>
      <c r="X49" t="inlineStr">
        <is>
          <t>No se encontró ejecución en CUIPO</t>
        </is>
      </c>
    </row>
    <row r="50">
      <c r="A50" t="inlineStr">
        <is>
          <t>IP-73, IP-81</t>
        </is>
      </c>
      <c r="B50" t="inlineStr">
        <is>
          <t>24</t>
        </is>
      </c>
      <c r="C50" t="inlineStr">
        <is>
          <t>Transporte</t>
        </is>
      </c>
      <c r="D50" t="inlineStr">
        <is>
          <t>2402</t>
        </is>
      </c>
      <c r="E50" t="inlineStr">
        <is>
          <t>Infraestructura red vial regional</t>
        </is>
      </c>
      <c r="F50" t="inlineStr">
        <is>
          <t>2402129</t>
        </is>
      </c>
      <c r="G50" t="inlineStr">
        <is>
          <t>Andén de la red urbana mantenido</t>
        </is>
      </c>
      <c r="H50" t="inlineStr">
        <is>
          <t>Incluye las acciones de conservación periódica o rutinaria andenes para mantener las condiciones óptimas para el tránsito y  el uso adecuado de la infraestructura de transporte.</t>
        </is>
      </c>
      <c r="I50" t="inlineStr">
        <is>
          <t>2024257990008</t>
        </is>
      </c>
      <c r="J50" s="99">
        <v>325128900</v>
      </c>
      <c r="K50" s="99">
        <v>0</v>
      </c>
      <c r="L50" s="99">
        <v>100000000</v>
      </c>
      <c r="M50" s="99">
        <v>101700000</v>
      </c>
      <c r="N50" s="99">
        <v>123428900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t="inlineStr">
        <is>
          <t xml:space="preserve"> </t>
        </is>
      </c>
      <c r="U50" s="101" t="inlineStr">
        <is>
          <t xml:space="preserve"> </t>
        </is>
      </c>
      <c r="V50" s="101" t="inlineStr">
        <is>
          <t xml:space="preserve"> </t>
        </is>
      </c>
      <c r="W50" s="102" t="inlineStr">
        <is>
          <t xml:space="preserve"> </t>
        </is>
      </c>
      <c r="X50" t="inlineStr">
        <is>
          <t>No se encontró ejecución en CUIPO</t>
        </is>
      </c>
    </row>
    <row r="51">
      <c r="A51" t="inlineStr">
        <is>
          <t>IP-74, IP-79, IP-80</t>
        </is>
      </c>
      <c r="B51" t="inlineStr">
        <is>
          <t>24</t>
        </is>
      </c>
      <c r="C51" t="inlineStr">
        <is>
          <t>Transporte</t>
        </is>
      </c>
      <c r="D51" t="inlineStr">
        <is>
          <t>2402</t>
        </is>
      </c>
      <c r="E51" t="inlineStr">
        <is>
          <t>Infraestructura red vial regional</t>
        </is>
      </c>
      <c r="F51" t="inlineStr">
        <is>
          <t>2402104</t>
        </is>
      </c>
      <c r="G51" t="inlineStr">
        <is>
          <t>Documentos de planeación</t>
        </is>
      </c>
      <c r="H51" t="inlineStr">
        <is>
          <t>Documentos cuyo objetivo es plasmar una visión de futuro a nivel país, entidad territorial, comunidad, sector, región, entidad o cualquier nivel de desagregación que se requiera. Incluye objetivos, estrategias, metas e indicadores</t>
        </is>
      </c>
      <c r="I51" t="inlineStr">
        <is>
          <t>2024257990008</t>
        </is>
      </c>
      <c r="J51" s="99">
        <v>1106925370</v>
      </c>
      <c r="K51" s="99">
        <v>100000000</v>
      </c>
      <c r="L51" s="99">
        <v>330000000</v>
      </c>
      <c r="M51" s="99">
        <v>335610000</v>
      </c>
      <c r="N51" s="99">
        <v>341315370</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t="inlineStr">
        <is>
          <t xml:space="preserve"> </t>
        </is>
      </c>
      <c r="U51" s="101" t="inlineStr">
        <is>
          <t xml:space="preserve"> </t>
        </is>
      </c>
      <c r="V51" s="101" t="inlineStr">
        <is>
          <t xml:space="preserve"> </t>
        </is>
      </c>
      <c r="W51" s="102" t="inlineStr">
        <is>
          <t xml:space="preserve"> </t>
        </is>
      </c>
      <c r="X51" t="inlineStr">
        <is>
          <t>No se encontró ejecución en CUIPO</t>
        </is>
      </c>
    </row>
    <row r="52">
      <c r="A52" t="inlineStr">
        <is>
          <t>IP-76</t>
        </is>
      </c>
      <c r="B52" t="inlineStr">
        <is>
          <t>24</t>
        </is>
      </c>
      <c r="C52" t="inlineStr">
        <is>
          <t>Transporte</t>
        </is>
      </c>
      <c r="D52" t="inlineStr">
        <is>
          <t>2402</t>
        </is>
      </c>
      <c r="E52" t="inlineStr">
        <is>
          <t>Infraestructura red vial regional</t>
        </is>
      </c>
      <c r="F52" t="inlineStr">
        <is>
          <t>2402005</t>
        </is>
      </c>
      <c r="G52" t="inlineStr">
        <is>
          <t>Intercambiador construido en vía secundaria nueva</t>
        </is>
      </c>
      <c r="H52" t="inlineStr">
        <is>
          <t>Incluye la construcción de nuevos puntos de articulación de redes construidos para la conformación de la red vial secundaria encaminados a facilitar la intermodalidad entre distintos modos de transporte de viajeros</t>
        </is>
      </c>
      <c r="I52" t="inlineStr">
        <is>
          <t>2024257990008</t>
        </is>
      </c>
      <c r="J52" s="99">
        <v>800000000</v>
      </c>
      <c r="K52" s="99">
        <v>800000000</v>
      </c>
      <c r="L52" s="99">
        <v>0</v>
      </c>
      <c r="M52" s="99">
        <v>0</v>
      </c>
      <c r="N52" s="99">
        <v>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IP-77</t>
        </is>
      </c>
      <c r="B53" t="inlineStr">
        <is>
          <t>24</t>
        </is>
      </c>
      <c r="C53" t="inlineStr">
        <is>
          <t>Transporte</t>
        </is>
      </c>
      <c r="D53" t="inlineStr">
        <is>
          <t>2402</t>
        </is>
      </c>
      <c r="E53" t="inlineStr">
        <is>
          <t>Infraestructura red vial regional</t>
        </is>
      </c>
      <c r="F53" t="inlineStr">
        <is>
          <t>2402002</t>
        </is>
      </c>
      <c r="G53" t="inlineStr">
        <is>
          <t>Viaducto construido en vía secundaria nueva</t>
        </is>
      </c>
      <c r="H53" t="inlineStr">
        <is>
          <t>Incluye la construcción de viaductos  para la conformación de la red vial secundaria</t>
        </is>
      </c>
      <c r="I53" t="inlineStr">
        <is>
          <t>2024257990008</t>
        </is>
      </c>
      <c r="J53" s="99">
        <v>305128900</v>
      </c>
      <c r="K53" s="99">
        <v>0</v>
      </c>
      <c r="L53" s="99">
        <v>100000000</v>
      </c>
      <c r="M53" s="99">
        <v>101700000</v>
      </c>
      <c r="N53" s="99">
        <v>103428900</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t="inlineStr">
        <is>
          <t xml:space="preserve"> </t>
        </is>
      </c>
      <c r="U53" s="101" t="inlineStr">
        <is>
          <t xml:space="preserve"> </t>
        </is>
      </c>
      <c r="V53" s="101" t="inlineStr">
        <is>
          <t xml:space="preserve"> </t>
        </is>
      </c>
      <c r="W53" s="102" t="inlineStr">
        <is>
          <t xml:space="preserve"> </t>
        </is>
      </c>
      <c r="X53" t="inlineStr">
        <is>
          <t>No se encontró ejecución en CUIPO</t>
        </is>
      </c>
    </row>
    <row r="54">
      <c r="A54" t="inlineStr">
        <is>
          <t>IP-78</t>
        </is>
      </c>
      <c r="B54" t="inlineStr">
        <is>
          <t>24</t>
        </is>
      </c>
      <c r="C54" t="inlineStr">
        <is>
          <t>Transporte</t>
        </is>
      </c>
      <c r="D54" t="inlineStr">
        <is>
          <t>2402</t>
        </is>
      </c>
      <c r="E54" t="inlineStr">
        <is>
          <t>Infraestructura red vial regional</t>
        </is>
      </c>
      <c r="F54" t="inlineStr">
        <is>
          <t>2402135</t>
        </is>
      </c>
      <c r="G54" t="inlineStr">
        <is>
          <t>Intersección construida en vía urbana</t>
        </is>
      </c>
      <c r="H54" t="inlineStr">
        <is>
          <t>Incluye la construcción de aquellos elementos de la infraestructura vial urbana donde se cruzan dos o más vías, permitiendo a los usuarios el intercambio entre estas. La intersección puede ser a nivel o a desnivel.</t>
        </is>
      </c>
      <c r="I54" t="inlineStr">
        <is>
          <t>2024257990008</t>
        </is>
      </c>
      <c r="J54" s="99">
        <v>1300000000</v>
      </c>
      <c r="K54" s="99">
        <v>0</v>
      </c>
      <c r="L54" s="99">
        <v>0</v>
      </c>
      <c r="M54" s="99">
        <v>0</v>
      </c>
      <c r="N54" s="99">
        <v>1300000000</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IP-82</t>
        </is>
      </c>
      <c r="B55" t="inlineStr">
        <is>
          <t>24</t>
        </is>
      </c>
      <c r="C55" t="inlineStr">
        <is>
          <t>Transporte</t>
        </is>
      </c>
      <c r="D55" t="inlineStr">
        <is>
          <t>2402</t>
        </is>
      </c>
      <c r="E55" t="inlineStr">
        <is>
          <t>Infraestructura red vial regional</t>
        </is>
      </c>
      <c r="F55" t="inlineStr">
        <is>
          <t>2402120</t>
        </is>
      </c>
      <c r="G55" t="inlineStr">
        <is>
          <t>Puente peatonal con mantenimiento</t>
        </is>
      </c>
      <c r="H55" t="inlineStr">
        <is>
          <t>Incluye las acciones de conservación periódica o rutinaria de puentes peatonales de la red vial secundaria, terciaria o urbana con el fin de mantener las condiciones óptimas para el tránsito y  el uso adecuado de la infraestructura de transporte.</t>
        </is>
      </c>
      <c r="I55" t="inlineStr">
        <is>
          <t>2024257990008</t>
        </is>
      </c>
      <c r="J55" s="99">
        <v>809693350</v>
      </c>
      <c r="K55" s="99">
        <v>352000000</v>
      </c>
      <c r="L55" s="99">
        <v>150000000</v>
      </c>
      <c r="M55" s="99">
        <v>152550000</v>
      </c>
      <c r="N55" s="99">
        <v>155143350</v>
      </c>
      <c r="O55" s="99" t="inlineStr">
        <is>
          <t xml:space="preserve"> </t>
        </is>
      </c>
      <c r="P55" s="99" t="inlineStr">
        <is>
          <t xml:space="preserve"> </t>
        </is>
      </c>
      <c r="Q55" s="99" t="inlineStr">
        <is>
          <t xml:space="preserve"> </t>
        </is>
      </c>
      <c r="R55" s="100" t="inlineStr">
        <is>
          <t xml:space="preserve"> </t>
        </is>
      </c>
      <c r="S55" t="inlineStr">
        <is>
          <t>No se encontró ejecución en CUIPO</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IP-83, IP-84</t>
        </is>
      </c>
      <c r="B56" t="inlineStr">
        <is>
          <t>40</t>
        </is>
      </c>
      <c r="C56" t="inlineStr">
        <is>
          <t>Vivienda, ciudad y territorio</t>
        </is>
      </c>
      <c r="D56" t="inlineStr">
        <is>
          <t>4002</t>
        </is>
      </c>
      <c r="E56" t="inlineStr">
        <is>
          <t>Ordenamiento territorial y desarrollo urbano</t>
        </is>
      </c>
      <c r="F56" t="inlineStr">
        <is>
          <t>4002019</t>
        </is>
      </c>
      <c r="G56" t="inlineStr">
        <is>
          <t>Espacio publico construido</t>
        </is>
      </c>
      <c r="H56" t="inlineStr">
        <is>
          <t>Construcción de obras de infraestructura que intervienen los elementos constitutivos y complementarios del espacio público contenidos en el Decreto 1504 de 1998</t>
        </is>
      </c>
      <c r="I56" t="inlineStr">
        <is>
          <t>2024257990009</t>
        </is>
      </c>
      <c r="J56" s="99">
        <v>1077655369</v>
      </c>
      <c r="K56" s="99">
        <v>62239769</v>
      </c>
      <c r="L56" s="99">
        <v>400000000</v>
      </c>
      <c r="M56" s="99">
        <v>201700000</v>
      </c>
      <c r="N56" s="99">
        <v>413715600</v>
      </c>
      <c r="O56" s="99" t="inlineStr">
        <is>
          <t xml:space="preserve"> </t>
        </is>
      </c>
      <c r="P56" s="99" t="inlineStr">
        <is>
          <t xml:space="preserve"> </t>
        </is>
      </c>
      <c r="Q56" s="99" t="inlineStr">
        <is>
          <t xml:space="preserve"> </t>
        </is>
      </c>
      <c r="R56" s="100" t="inlineStr">
        <is>
          <t xml:space="preserve"> </t>
        </is>
      </c>
      <c r="S56" t="inlineStr">
        <is>
          <t>No se encontró ejecución en CUIPO</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IP-85</t>
        </is>
      </c>
      <c r="B57" t="inlineStr">
        <is>
          <t>40</t>
        </is>
      </c>
      <c r="C57" t="inlineStr">
        <is>
          <t>Vivienda, ciudad y territorio</t>
        </is>
      </c>
      <c r="D57" t="inlineStr">
        <is>
          <t>4002</t>
        </is>
      </c>
      <c r="E57" t="inlineStr">
        <is>
          <t>Ordenamiento territorial y desarrollo urbano</t>
        </is>
      </c>
      <c r="F57" t="inlineStr">
        <is>
          <t>4002019</t>
        </is>
      </c>
      <c r="G57" t="inlineStr">
        <is>
          <t>Espacio publico construido</t>
        </is>
      </c>
      <c r="H57" t="inlineStr">
        <is>
          <t>Construcción de obras de infraestructura que intervienen los elementos constitutivos y complementarios del espacio público contenidos en el Decreto 1504 de 1998</t>
        </is>
      </c>
      <c r="I57" t="inlineStr">
        <is>
          <t>2024257990010</t>
        </is>
      </c>
      <c r="J57" s="99">
        <v>152564450</v>
      </c>
      <c r="K57" s="99">
        <v>0</v>
      </c>
      <c r="L57" s="99">
        <v>50000000</v>
      </c>
      <c r="M57" s="99">
        <v>50850000</v>
      </c>
      <c r="N57" s="99">
        <v>51714450</v>
      </c>
      <c r="O57" s="99" t="inlineStr">
        <is>
          <t xml:space="preserve"> </t>
        </is>
      </c>
      <c r="P57" s="99" t="inlineStr">
        <is>
          <t xml:space="preserve"> </t>
        </is>
      </c>
      <c r="Q57" s="99" t="inlineStr">
        <is>
          <t xml:space="preserve"> </t>
        </is>
      </c>
      <c r="R57" s="100" t="inlineStr">
        <is>
          <t xml:space="preserve"> </t>
        </is>
      </c>
      <c r="S57" t="inlineStr">
        <is>
          <t>No se encontró ejecución en CUIPO</t>
        </is>
      </c>
      <c r="T57" s="101" t="inlineStr">
        <is>
          <t xml:space="preserve"> </t>
        </is>
      </c>
      <c r="U57" s="101" t="inlineStr">
        <is>
          <t xml:space="preserve"> </t>
        </is>
      </c>
      <c r="V57" s="101" t="inlineStr">
        <is>
          <t xml:space="preserve"> </t>
        </is>
      </c>
      <c r="W57" s="102" t="inlineStr">
        <is>
          <t xml:space="preserve"> </t>
        </is>
      </c>
      <c r="X57" t="inlineStr">
        <is>
          <t>No se encontró ejecución en CUIPO</t>
        </is>
      </c>
    </row>
    <row r="58">
      <c r="A58" t="inlineStr">
        <is>
          <t>IP-86, IP-87, IP-88, IP-89</t>
        </is>
      </c>
      <c r="B58" t="inlineStr">
        <is>
          <t>40</t>
        </is>
      </c>
      <c r="C58" t="inlineStr">
        <is>
          <t>Vivienda, ciudad y territorio</t>
        </is>
      </c>
      <c r="D58" t="inlineStr">
        <is>
          <t>4001</t>
        </is>
      </c>
      <c r="E58" t="inlineStr">
        <is>
          <t>Acceso a soluciones de vivienda</t>
        </is>
      </c>
      <c r="F58" t="inlineStr">
        <is>
          <t>4001032</t>
        </is>
      </c>
      <c r="G58" t="inlineStr">
        <is>
          <t>Servicio de apoyo financiero para mejoramiento de vivienda</t>
        </is>
      </c>
      <c r="H58" t="inlineStr">
        <is>
          <t>Corresponde al apoyo financiero a través de la asignación de un subsidio familiar de vivienda de interés social para mejoramiento, reparación y/o reconstrucción.</t>
        </is>
      </c>
      <c r="I58" t="inlineStr">
        <is>
          <t>2024257990010</t>
        </is>
      </c>
      <c r="J58" s="99">
        <v>1244224321.84</v>
      </c>
      <c r="K58" s="99">
        <v>7000000</v>
      </c>
      <c r="L58" s="99">
        <v>400560000</v>
      </c>
      <c r="M58" s="99">
        <v>422369520</v>
      </c>
      <c r="N58" s="99">
        <v>414294801.84</v>
      </c>
      <c r="O58" s="99" t="inlineStr">
        <is>
          <t xml:space="preserve"> </t>
        </is>
      </c>
      <c r="P58" s="99" t="inlineStr">
        <is>
          <t xml:space="preserve"> </t>
        </is>
      </c>
      <c r="Q58" s="99" t="inlineStr">
        <is>
          <t xml:space="preserve"> </t>
        </is>
      </c>
      <c r="R58" s="100" t="inlineStr">
        <is>
          <t xml:space="preserve"> </t>
        </is>
      </c>
      <c r="S58" t="inlineStr">
        <is>
          <t>No se encontró ejecución en CUIPO</t>
        </is>
      </c>
      <c r="T58" s="101">
        <v>44175000</v>
      </c>
      <c r="U58" s="101">
        <v>40630000</v>
      </c>
      <c r="V58" s="101">
        <v>40630000</v>
      </c>
      <c r="W58" s="102">
        <v>0.101432993808668</v>
      </c>
      <c r="X58" t="inlineStr">
        <is>
          <t>Lo obligado está por debajo de lo programado en la vigencia</t>
        </is>
      </c>
    </row>
    <row r="59">
      <c r="A59" t="inlineStr">
        <is>
          <t>IP-90</t>
        </is>
      </c>
      <c r="B59" t="inlineStr">
        <is>
          <t>40</t>
        </is>
      </c>
      <c r="C59" t="inlineStr">
        <is>
          <t>Vivienda, ciudad y territorio</t>
        </is>
      </c>
      <c r="D59" t="inlineStr">
        <is>
          <t>4001</t>
        </is>
      </c>
      <c r="E59" t="inlineStr">
        <is>
          <t>Acceso a soluciones de vivienda</t>
        </is>
      </c>
      <c r="F59" t="inlineStr">
        <is>
          <t>4001032</t>
        </is>
      </c>
      <c r="G59" t="inlineStr">
        <is>
          <t>Servicio de apoyo financiero para mejoramiento de vivienda</t>
        </is>
      </c>
      <c r="H59" t="inlineStr">
        <is>
          <t>Corresponde al apoyo financiero a través de la asignación de un subsidio familiar de vivienda de interés social para mejoramiento, reparación y/o reconstrucción.</t>
        </is>
      </c>
      <c r="I59" t="inlineStr">
        <is>
          <t>2024257990011</t>
        </is>
      </c>
      <c r="J59" s="99">
        <v>4988691267</v>
      </c>
      <c r="K59" s="99">
        <v>784015025</v>
      </c>
      <c r="L59" s="99">
        <v>1378000000</v>
      </c>
      <c r="M59" s="99">
        <v>1401426000</v>
      </c>
      <c r="N59" s="99">
        <v>1425250242</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t="inlineStr">
        <is>
          <t xml:space="preserve"> </t>
        </is>
      </c>
      <c r="U59" s="101" t="inlineStr">
        <is>
          <t xml:space="preserve"> </t>
        </is>
      </c>
      <c r="V59" s="101" t="inlineStr">
        <is>
          <t xml:space="preserve"> </t>
        </is>
      </c>
      <c r="W59" s="102" t="inlineStr">
        <is>
          <t xml:space="preserve"> </t>
        </is>
      </c>
      <c r="X59" t="inlineStr">
        <is>
          <t>No se encontró ejecución en CUIPO</t>
        </is>
      </c>
    </row>
    <row r="60">
      <c r="A60" t="inlineStr">
        <is>
          <t>IP-92</t>
        </is>
      </c>
      <c r="B60" t="inlineStr">
        <is>
          <t>45</t>
        </is>
      </c>
      <c r="C60" t="inlineStr">
        <is>
          <t>Gobierno Territorial</t>
        </is>
      </c>
      <c r="D60" t="inlineStr">
        <is>
          <t>4501</t>
        </is>
      </c>
      <c r="E60" t="inlineStr">
        <is>
          <t>Fortalecimiento de la convivencia y la seguridad ciudadana</t>
        </is>
      </c>
      <c r="F60" t="inlineStr">
        <is>
          <t>4501026</t>
        </is>
      </c>
      <c r="G60" t="inlineStr">
        <is>
          <t>Documentos Planeacion</t>
        </is>
      </c>
      <c r="H60" t="inlineStr">
        <is>
          <t>Documentos cuyo objetivo es plasmar una visión de futuro a anivel de entidad territorial, comunidad, sector, región, entidad o cualquier nivel de desagregación que se requiera. Incluye objetivos, estrategias, metas e indicadores.</t>
        </is>
      </c>
      <c r="I60" t="inlineStr">
        <is>
          <t>2024257990011</t>
        </is>
      </c>
      <c r="J60" s="99">
        <v>6790375028.945</v>
      </c>
      <c r="K60" s="99">
        <v>1257004825</v>
      </c>
      <c r="L60" s="99">
        <v>1813453332</v>
      </c>
      <c r="M60" s="99">
        <v>1844282038.644</v>
      </c>
      <c r="N60" s="99">
        <v>1875634833.301</v>
      </c>
      <c r="O60" s="99">
        <v>515865579</v>
      </c>
      <c r="P60" s="99">
        <v>430030379</v>
      </c>
      <c r="Q60" s="99">
        <v>400331371</v>
      </c>
      <c r="R60" s="100">
        <v>0.342107182444586</v>
      </c>
      <c r="S60" t="inlineStr">
        <is>
          <t>Lo obligado está por debajo de lo programado en la vigencia</t>
        </is>
      </c>
      <c r="T60" s="101">
        <v>1696660692</v>
      </c>
      <c r="U60" s="101">
        <v>690480825</v>
      </c>
      <c r="V60" s="101">
        <v>680108825</v>
      </c>
      <c r="W60" s="102">
        <v>0.380754670007687</v>
      </c>
      <c r="X60" t="inlineStr">
        <is>
          <t>Lo obligado está por debajo de lo programado en la vigencia</t>
        </is>
      </c>
    </row>
    <row r="61">
      <c r="A61" t="inlineStr">
        <is>
          <t>IP-93</t>
        </is>
      </c>
      <c r="B61" t="inlineStr">
        <is>
          <t>45</t>
        </is>
      </c>
      <c r="C61" t="inlineStr">
        <is>
          <t>Gobierno Territorial</t>
        </is>
      </c>
      <c r="D61" t="inlineStr">
        <is>
          <t>4501</t>
        </is>
      </c>
      <c r="E61" t="inlineStr">
        <is>
          <t>Fortalecimiento de la convivencia y la seguridad ciudadana</t>
        </is>
      </c>
      <c r="F61" t="inlineStr">
        <is>
          <t>4501001</t>
        </is>
      </c>
      <c r="G61" t="inlineStr">
        <is>
          <t>Servicio de asistencia técnica</t>
        </is>
      </c>
      <c r="H61" t="inlineStr">
        <is>
          <t xml:space="preserve">Incluye las acciones de transferencia de conocimientos y procesos para la implementación de políticas y lineamientos sobre convivencia y seguridad ciudadana, prestados por los actores competentes. </t>
        </is>
      </c>
      <c r="I61" t="inlineStr">
        <is>
          <t>2024257990011</t>
        </is>
      </c>
      <c r="J61" s="99">
        <v>23026500</v>
      </c>
      <c r="K61" s="99">
        <v>0</v>
      </c>
      <c r="L61" s="99">
        <v>23026500</v>
      </c>
      <c r="M61" s="99">
        <v>0</v>
      </c>
      <c r="N61" s="99">
        <v>0</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t="inlineStr">
        <is>
          <t xml:space="preserve"> </t>
        </is>
      </c>
      <c r="U61" s="101" t="inlineStr">
        <is>
          <t xml:space="preserve"> </t>
        </is>
      </c>
      <c r="V61" s="101" t="inlineStr">
        <is>
          <t xml:space="preserve"> </t>
        </is>
      </c>
      <c r="W61" s="102" t="inlineStr">
        <is>
          <t xml:space="preserve"> </t>
        </is>
      </c>
      <c r="X61" t="inlineStr">
        <is>
          <t>No se encontró ejecución en CUIPO</t>
        </is>
      </c>
    </row>
    <row r="62">
      <c r="A62" t="inlineStr">
        <is>
          <t>IP-94, IP-95, IP-97</t>
        </is>
      </c>
      <c r="B62" t="inlineStr">
        <is>
          <t>45</t>
        </is>
      </c>
      <c r="C62" t="inlineStr">
        <is>
          <t>Gobierno Territorial</t>
        </is>
      </c>
      <c r="D62" t="inlineStr">
        <is>
          <t>4501</t>
        </is>
      </c>
      <c r="E62" t="inlineStr">
        <is>
          <t>Fortalecimiento de la convivencia y la seguridad ciudadana</t>
        </is>
      </c>
      <c r="F62" t="inlineStr">
        <is>
          <t>4501032</t>
        </is>
      </c>
      <c r="G62" t="inlineStr">
        <is>
          <t>Servicio de atención de seguridad y emergencias de los Centros de Información Estratégica Policía Seccional</t>
        </is>
      </c>
      <c r="H62" t="inlineStr">
        <is>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is>
      </c>
      <c r="I62" t="inlineStr">
        <is>
          <t>2024257990011</t>
        </is>
      </c>
      <c r="J62" s="99">
        <v>9509642854.4469</v>
      </c>
      <c r="K62" s="99">
        <v>763596615</v>
      </c>
      <c r="L62" s="99">
        <v>2866344761</v>
      </c>
      <c r="M62" s="99">
        <v>2915072621.937</v>
      </c>
      <c r="N62" s="99">
        <v>2964628856.5099</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v>2309015492</v>
      </c>
      <c r="U62" s="101">
        <v>1414330474</v>
      </c>
      <c r="V62" s="101">
        <v>1397002474</v>
      </c>
      <c r="W62" s="102">
        <v>0.493426503763132</v>
      </c>
      <c r="X62" t="inlineStr">
        <is>
          <t>Lo obligado está por debajo de lo programado en la vigencia</t>
        </is>
      </c>
    </row>
    <row r="63">
      <c r="A63" t="inlineStr">
        <is>
          <t>IP-96</t>
        </is>
      </c>
      <c r="B63" t="inlineStr">
        <is>
          <t>45</t>
        </is>
      </c>
      <c r="C63" t="inlineStr">
        <is>
          <t>Gobierno Territorial</t>
        </is>
      </c>
      <c r="D63" t="inlineStr">
        <is>
          <t>4501</t>
        </is>
      </c>
      <c r="E63" t="inlineStr">
        <is>
          <t>Fortalecimiento de la convivencia y la seguridad ciudadana</t>
        </is>
      </c>
      <c r="F63" t="inlineStr">
        <is>
          <t>4501056</t>
        </is>
      </c>
      <c r="G63" t="inlineStr">
        <is>
          <t>Servicio de apoyo financiero para la justicia y seguridad</t>
        </is>
      </c>
      <c r="H63" t="inlineStr">
        <is>
          <t>Corresponde a los recursos destinados a compensar a personas que colaboren con la justicia y a contribuir a la seguridad de las mismas.</t>
        </is>
      </c>
      <c r="I63" t="inlineStr">
        <is>
          <t>2024257990011</t>
        </is>
      </c>
      <c r="J63" s="99">
        <v>122051560</v>
      </c>
      <c r="K63" s="99">
        <v>0</v>
      </c>
      <c r="L63" s="99">
        <v>40000000</v>
      </c>
      <c r="M63" s="99">
        <v>40680000</v>
      </c>
      <c r="N63" s="99">
        <v>41371560</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v>27000000</v>
      </c>
      <c r="U63" s="101">
        <v>27000000</v>
      </c>
      <c r="V63" s="101">
        <v>9000000</v>
      </c>
      <c r="W63" s="102">
        <v>0.675</v>
      </c>
      <c r="X63" t="inlineStr">
        <is>
          <t>Lo obligado está por debajo de lo programado en la vigencia</t>
        </is>
      </c>
    </row>
    <row r="64">
      <c r="A64" t="inlineStr">
        <is>
          <t>IP-98</t>
        </is>
      </c>
      <c r="B64" t="inlineStr">
        <is>
          <t>45</t>
        </is>
      </c>
      <c r="C64" t="inlineStr">
        <is>
          <t>Gobierno Territorial</t>
        </is>
      </c>
      <c r="D64" t="inlineStr">
        <is>
          <t>4501</t>
        </is>
      </c>
      <c r="E64" t="inlineStr">
        <is>
          <t>Fortalecimiento de la convivencia y la seguridad ciudadana</t>
        </is>
      </c>
      <c r="F64" t="inlineStr">
        <is>
          <t>4501048</t>
        </is>
      </c>
      <c r="G64" t="inlineStr">
        <is>
          <t>Servicio de apoyo para el acceso a la justicia policiva</t>
        </is>
      </c>
      <c r="H64" t="inlineStr">
        <is>
          <t>Comprende la estructuración , definición , implementacion y evaluación de estrategias que permitan garantizar el  efectivo cumplimiento de las normas para la prestación de los servicios de justicia policiva.</t>
        </is>
      </c>
      <c r="I64" t="inlineStr">
        <is>
          <t>2024257990011</t>
        </is>
      </c>
      <c r="J64" s="99">
        <v>354616010</v>
      </c>
      <c r="K64" s="99">
        <v>80000000</v>
      </c>
      <c r="L64" s="99">
        <v>90000000</v>
      </c>
      <c r="M64" s="99">
        <v>91530000</v>
      </c>
      <c r="N64" s="99">
        <v>93086010</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v>17047850</v>
      </c>
      <c r="U64" s="101">
        <v>0</v>
      </c>
      <c r="V64" s="101">
        <v>0</v>
      </c>
      <c r="W64" s="102">
        <v>0</v>
      </c>
      <c r="X64" t="inlineStr">
        <is>
          <t>No se ejecutó en la vigencia</t>
        </is>
      </c>
    </row>
    <row r="65">
      <c r="A65" t="inlineStr">
        <is>
          <t>IP-99</t>
        </is>
      </c>
      <c r="B65" t="inlineStr">
        <is>
          <t>45</t>
        </is>
      </c>
      <c r="C65" t="inlineStr">
        <is>
          <t>Gobierno Territorial</t>
        </is>
      </c>
      <c r="D65" t="inlineStr">
        <is>
          <t>4501</t>
        </is>
      </c>
      <c r="E65" t="inlineStr">
        <is>
          <t>Fortalecimiento de la convivencia y la seguridad ciudadana</t>
        </is>
      </c>
      <c r="F65" t="inlineStr">
        <is>
          <t>4501025</t>
        </is>
      </c>
      <c r="G65" t="inlineStr">
        <is>
          <t>Inspecciones de policía dotadas</t>
        </is>
      </c>
      <c r="H65" t="inlineStr">
        <is>
          <t xml:space="preserve">Incluye la dotación a la infraestructura construida. </t>
        </is>
      </c>
      <c r="I65" t="inlineStr">
        <is>
          <t>2024257990011</t>
        </is>
      </c>
      <c r="J65" s="99">
        <v>451924015</v>
      </c>
      <c r="K65" s="99">
        <v>40000000</v>
      </c>
      <c r="L65" s="99">
        <v>135000000</v>
      </c>
      <c r="M65" s="99">
        <v>137295000</v>
      </c>
      <c r="N65" s="99">
        <v>139629015</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IP-100, IP-107</t>
        </is>
      </c>
      <c r="B66" t="inlineStr">
        <is>
          <t>45</t>
        </is>
      </c>
      <c r="C66" t="inlineStr">
        <is>
          <t>Gobierno Territorial</t>
        </is>
      </c>
      <c r="D66" t="inlineStr">
        <is>
          <t>4502</t>
        </is>
      </c>
      <c r="E66" t="inlineStr">
        <is>
          <t>Fortalecimiento del buen gobierno para el respeto y garantía de los derechos humanos.</t>
        </is>
      </c>
      <c r="F66" t="inlineStr">
        <is>
          <t>4502002</t>
        </is>
      </c>
      <c r="G66" t="inlineStr">
        <is>
          <t>Salón comunal construido y dotado</t>
        </is>
      </c>
      <c r="H66" t="inlineStr">
        <is>
          <t xml:space="preserve">Incluye la construcción de Salones comunales en terrenos no construidos o cuya área esté libre por autorización de demolición total. A su vez, contiene la dotación a la infraestructura construida. </t>
        </is>
      </c>
      <c r="I66" t="inlineStr">
        <is>
          <t>2024257990012</t>
        </is>
      </c>
      <c r="J66" s="99">
        <v>3164133307</v>
      </c>
      <c r="K66" s="99">
        <v>1320030187</v>
      </c>
      <c r="L66" s="99">
        <v>80000000</v>
      </c>
      <c r="M66" s="99">
        <v>1381360000</v>
      </c>
      <c r="N66" s="99">
        <v>382743120</v>
      </c>
      <c r="O66" s="99">
        <v>0</v>
      </c>
      <c r="P66" s="99">
        <v>0</v>
      </c>
      <c r="Q66" s="99">
        <v>0</v>
      </c>
      <c r="R66" s="100">
        <v>0</v>
      </c>
      <c r="S66" t="inlineStr">
        <is>
          <t>No se ejecutó en la vigencia</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IP-101, IP-102, IP-103, IP-104, IP-108, IP-109</t>
        </is>
      </c>
      <c r="B67" t="inlineStr">
        <is>
          <t>45</t>
        </is>
      </c>
      <c r="C67" t="inlineStr">
        <is>
          <t>Gobierno Territorial</t>
        </is>
      </c>
      <c r="D67" t="inlineStr">
        <is>
          <t>4502</t>
        </is>
      </c>
      <c r="E67" t="inlineStr">
        <is>
          <t>Fortalecimiento del buen gobierno para el respeto y garantía de los derechos humanos.</t>
        </is>
      </c>
      <c r="F67" t="inlineStr">
        <is>
          <t>4502001</t>
        </is>
      </c>
      <c r="G67" t="inlineStr">
        <is>
          <t>Servicio de promoción a la participación ciudadana</t>
        </is>
      </c>
      <c r="H67" t="inlineStr">
        <is>
          <t>Corresponde al diseño e implementación de acciones y estrategias que promuevan el ejercicio de la participación ciudadana para el respeto y garantía de los derechos humanos</t>
        </is>
      </c>
      <c r="I67" t="inlineStr">
        <is>
          <t>2024257990012</t>
        </is>
      </c>
      <c r="J67" s="99">
        <v>2017621060</v>
      </c>
      <c r="K67" s="99">
        <v>319500000</v>
      </c>
      <c r="L67" s="99">
        <v>565000000</v>
      </c>
      <c r="M67" s="99">
        <v>574605000</v>
      </c>
      <c r="N67" s="99">
        <v>558516060</v>
      </c>
      <c r="O67" s="99">
        <v>115394329</v>
      </c>
      <c r="P67" s="99">
        <v>115394329</v>
      </c>
      <c r="Q67" s="99">
        <v>115394329</v>
      </c>
      <c r="R67" s="100">
        <v>0.361171608763693</v>
      </c>
      <c r="S67" t="inlineStr">
        <is>
          <t>Lo obligado está por debajo de lo programado en la vigencia</t>
        </is>
      </c>
      <c r="T67" s="101">
        <v>925217090</v>
      </c>
      <c r="U67" s="101">
        <v>343103195</v>
      </c>
      <c r="V67" s="101">
        <v>343103195</v>
      </c>
      <c r="W67" s="102">
        <v>0.607262292035398</v>
      </c>
      <c r="X67" t="inlineStr">
        <is>
          <t>Lo obligado está por debajo de lo programado en la vigencia</t>
        </is>
      </c>
    </row>
    <row r="68">
      <c r="A68" t="inlineStr">
        <is>
          <t>IP-105</t>
        </is>
      </c>
      <c r="B68" t="inlineStr">
        <is>
          <t>45</t>
        </is>
      </c>
      <c r="C68" t="inlineStr">
        <is>
          <t>Gobierno Territorial</t>
        </is>
      </c>
      <c r="D68" t="inlineStr">
        <is>
          <t>4502</t>
        </is>
      </c>
      <c r="E68" t="inlineStr">
        <is>
          <t>Fortalecimiento del buen gobierno para el respeto y garantía de los derechos humanos.</t>
        </is>
      </c>
      <c r="F68" t="inlineStr">
        <is>
          <t>4502022</t>
        </is>
      </c>
      <c r="G68" t="inlineStr">
        <is>
          <t>Servicio de asistencia técnica</t>
        </is>
      </c>
      <c r="H68"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68" t="inlineStr">
        <is>
          <t>2024257990012</t>
        </is>
      </c>
      <c r="J68" s="99">
        <v>97282225</v>
      </c>
      <c r="K68" s="99">
        <v>21000000</v>
      </c>
      <c r="L68" s="99">
        <v>25000000</v>
      </c>
      <c r="M68" s="99">
        <v>25425000</v>
      </c>
      <c r="N68" s="99">
        <v>25857225</v>
      </c>
      <c r="O68" s="99">
        <v>197919328</v>
      </c>
      <c r="P68" s="99">
        <v>197919328</v>
      </c>
      <c r="Q68" s="99">
        <v>97224539</v>
      </c>
      <c r="R68" s="100">
        <v>9.42472990476191</v>
      </c>
      <c r="S68" t="inlineStr">
        <is>
          <t>Hubo ejecución por encima de lo programado en SisPT</t>
        </is>
      </c>
      <c r="T68" s="101">
        <v>25000000</v>
      </c>
      <c r="U68" s="101">
        <v>12820000</v>
      </c>
      <c r="V68" s="101">
        <v>8620000</v>
      </c>
      <c r="W68" s="102">
        <v>0.5128</v>
      </c>
      <c r="X68" t="inlineStr">
        <is>
          <t>Lo obligado está por debajo de lo programado en la vigencia</t>
        </is>
      </c>
    </row>
    <row r="69">
      <c r="A69" t="inlineStr">
        <is>
          <t>IP-106</t>
        </is>
      </c>
      <c r="B69" t="inlineStr">
        <is>
          <t>45</t>
        </is>
      </c>
      <c r="C69" t="inlineStr">
        <is>
          <t>Gobierno Territorial</t>
        </is>
      </c>
      <c r="D69" t="inlineStr">
        <is>
          <t>4502</t>
        </is>
      </c>
      <c r="E69" t="inlineStr">
        <is>
          <t>Fortalecimiento del buen gobierno para el respeto y garantía de los derechos humanos.</t>
        </is>
      </c>
      <c r="F69" t="inlineStr">
        <is>
          <t>4502034</t>
        </is>
      </c>
      <c r="G69" t="inlineStr">
        <is>
          <t xml:space="preserve">Servicio de educación informal </t>
        </is>
      </c>
      <c r="H69"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69" t="inlineStr">
        <is>
          <t>2024257990012</t>
        </is>
      </c>
      <c r="J69" s="99">
        <v>30512890</v>
      </c>
      <c r="K69" s="99">
        <v>0</v>
      </c>
      <c r="L69" s="99">
        <v>10000000</v>
      </c>
      <c r="M69" s="99">
        <v>10170000</v>
      </c>
      <c r="N69" s="99">
        <v>10342890</v>
      </c>
      <c r="O69" s="99">
        <v>139402351</v>
      </c>
      <c r="P69" s="99">
        <v>139402351</v>
      </c>
      <c r="Q69" s="99">
        <v>139402351</v>
      </c>
      <c r="R69" s="100" t="inlineStr">
        <is>
          <t xml:space="preserve"> </t>
        </is>
      </c>
      <c r="S69" t="inlineStr">
        <is>
          <t>Se ejecutó un producto no programado en la vigencia</t>
        </is>
      </c>
      <c r="T69" s="101" t="inlineStr">
        <is>
          <t xml:space="preserve"> </t>
        </is>
      </c>
      <c r="U69" s="101" t="inlineStr">
        <is>
          <t xml:space="preserve"> </t>
        </is>
      </c>
      <c r="V69" s="101" t="inlineStr">
        <is>
          <t xml:space="preserve"> </t>
        </is>
      </c>
      <c r="W69" s="102" t="inlineStr">
        <is>
          <t xml:space="preserve"> </t>
        </is>
      </c>
      <c r="X69" t="inlineStr">
        <is>
          <t>No se encontró ejecución en CUIPO</t>
        </is>
      </c>
    </row>
    <row r="70">
      <c r="A70" t="inlineStr">
        <is>
          <t>IP-110</t>
        </is>
      </c>
      <c r="B70" t="inlineStr">
        <is>
          <t>45</t>
        </is>
      </c>
      <c r="C70" t="inlineStr">
        <is>
          <t>Gobierno Territorial</t>
        </is>
      </c>
      <c r="D70" t="inlineStr">
        <is>
          <t>4502</t>
        </is>
      </c>
      <c r="E70" t="inlineStr">
        <is>
          <t>Fortalecimiento del buen gobierno para el respeto y garantía de los derechos humanos.</t>
        </is>
      </c>
      <c r="F70" t="inlineStr">
        <is>
          <t>4502032</t>
        </is>
      </c>
      <c r="G70" t="inlineStr">
        <is>
          <t>Documentos de lineamientos técnicos</t>
        </is>
      </c>
      <c r="H70" t="inlineStr">
        <is>
          <t>Documentos cuyo objetivo es describir y explicar instrumentos, estándares, requisitos y condiciones necesarias para llevar a cabo un proceso o actividad.</t>
        </is>
      </c>
      <c r="I70" t="inlineStr">
        <is>
          <t>2024257990012</t>
        </is>
      </c>
      <c r="J70" s="99">
        <v>61025780</v>
      </c>
      <c r="K70" s="99">
        <v>0</v>
      </c>
      <c r="L70" s="99">
        <v>20000000</v>
      </c>
      <c r="M70" s="99">
        <v>20340000</v>
      </c>
      <c r="N70" s="99">
        <v>20685780</v>
      </c>
      <c r="O70" s="99" t="inlineStr">
        <is>
          <t xml:space="preserve"> </t>
        </is>
      </c>
      <c r="P70" s="99" t="inlineStr">
        <is>
          <t xml:space="preserve"> </t>
        </is>
      </c>
      <c r="Q70" s="99" t="inlineStr">
        <is>
          <t xml:space="preserve"> </t>
        </is>
      </c>
      <c r="R70" s="100" t="inlineStr">
        <is>
          <t xml:space="preserve"> </t>
        </is>
      </c>
      <c r="S70" t="inlineStr">
        <is>
          <t>No se encontró ejecución en CUIPO</t>
        </is>
      </c>
      <c r="T70" s="101" t="inlineStr">
        <is>
          <t xml:space="preserve"> </t>
        </is>
      </c>
      <c r="U70" s="101" t="inlineStr">
        <is>
          <t xml:space="preserve"> </t>
        </is>
      </c>
      <c r="V70" s="101" t="inlineStr">
        <is>
          <t xml:space="preserve"> </t>
        </is>
      </c>
      <c r="W70" s="102" t="inlineStr">
        <is>
          <t xml:space="preserve"> </t>
        </is>
      </c>
      <c r="X70" t="inlineStr">
        <is>
          <t>No se encontró ejecución en CUIPO</t>
        </is>
      </c>
    </row>
    <row r="71">
      <c r="A71" t="inlineStr">
        <is>
          <t>IP-111</t>
        </is>
      </c>
      <c r="B71" t="inlineStr">
        <is>
          <t>41</t>
        </is>
      </c>
      <c r="C71" t="inlineStr">
        <is>
          <t xml:space="preserve">Inclusión social y reconciliación </t>
        </is>
      </c>
      <c r="D71" t="inlineStr">
        <is>
          <t>4103</t>
        </is>
      </c>
      <c r="E71" t="inlineStr">
        <is>
          <t>Inclusión social y productiva para la población en situación de vulnerabilidad</t>
        </is>
      </c>
      <c r="F71" t="inlineStr">
        <is>
          <t>4103050</t>
        </is>
      </c>
      <c r="G71" t="inlineStr">
        <is>
          <t>Servicio de acompañamiento familiar y comunitario para la superación de la pobreza</t>
        </is>
      </c>
      <c r="H71"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71" t="inlineStr">
        <is>
          <t>2024257990013</t>
        </is>
      </c>
      <c r="J71" s="99">
        <v>183077340</v>
      </c>
      <c r="K71" s="99">
        <v>0</v>
      </c>
      <c r="L71" s="99">
        <v>60000000</v>
      </c>
      <c r="M71" s="99">
        <v>61020000</v>
      </c>
      <c r="N71" s="99">
        <v>62057340</v>
      </c>
      <c r="O71" s="99" t="inlineStr">
        <is>
          <t xml:space="preserve"> </t>
        </is>
      </c>
      <c r="P71" s="99" t="inlineStr">
        <is>
          <t xml:space="preserve"> </t>
        </is>
      </c>
      <c r="Q71" s="99" t="inlineStr">
        <is>
          <t xml:space="preserve"> </t>
        </is>
      </c>
      <c r="R71" s="100" t="inlineStr">
        <is>
          <t xml:space="preserve"> </t>
        </is>
      </c>
      <c r="S71" t="inlineStr">
        <is>
          <t>No se encontró ejecución en CUIPO</t>
        </is>
      </c>
      <c r="T71" s="101">
        <v>35133333</v>
      </c>
      <c r="U71" s="101">
        <v>24819999</v>
      </c>
      <c r="V71" s="101">
        <v>21419999</v>
      </c>
      <c r="W71" s="102">
        <v>0.41366665</v>
      </c>
      <c r="X71" t="inlineStr">
        <is>
          <t>Lo obligado está por debajo de lo programado en la vigencia</t>
        </is>
      </c>
    </row>
    <row r="72">
      <c r="A72" t="inlineStr">
        <is>
          <t>IP-112</t>
        </is>
      </c>
      <c r="B72" t="inlineStr">
        <is>
          <t>41</t>
        </is>
      </c>
      <c r="C72" t="inlineStr">
        <is>
          <t xml:space="preserve">Inclusión social y reconciliación </t>
        </is>
      </c>
      <c r="D72" t="inlineStr">
        <is>
          <t>4103</t>
        </is>
      </c>
      <c r="E72" t="inlineStr">
        <is>
          <t>Inclusión social y productiva para la población en situación de vulnerabilidad</t>
        </is>
      </c>
      <c r="F72" t="inlineStr">
        <is>
          <t>4103052</t>
        </is>
      </c>
      <c r="G72" t="inlineStr">
        <is>
          <t>Servicio de gestión de oferta social para la población vulnerable</t>
        </is>
      </c>
      <c r="H72" t="inlineStr">
        <is>
          <t>Incluye el desarrollo de acciones encaminadas a generar dinámicas de atención conjunta, articulada y eficiente entre las instituciones del estado hacia la población vulnerable.</t>
        </is>
      </c>
      <c r="I72" t="inlineStr">
        <is>
          <t>2024257990013</t>
        </is>
      </c>
      <c r="J72" s="99">
        <v>30512890</v>
      </c>
      <c r="K72" s="99">
        <v>0</v>
      </c>
      <c r="L72" s="99">
        <v>10000000</v>
      </c>
      <c r="M72" s="99">
        <v>10170000</v>
      </c>
      <c r="N72" s="99">
        <v>10342890</v>
      </c>
      <c r="O72" s="99" t="inlineStr">
        <is>
          <t xml:space="preserve"> </t>
        </is>
      </c>
      <c r="P72" s="99" t="inlineStr">
        <is>
          <t xml:space="preserve"> </t>
        </is>
      </c>
      <c r="Q72" s="99" t="inlineStr">
        <is>
          <t xml:space="preserve"> </t>
        </is>
      </c>
      <c r="R72" s="100" t="inlineStr">
        <is>
          <t xml:space="preserve"> </t>
        </is>
      </c>
      <c r="S72" t="inlineStr">
        <is>
          <t>No se encontró ejecución en CUIPO</t>
        </is>
      </c>
      <c r="T72" s="101" t="inlineStr">
        <is>
          <t xml:space="preserve"> </t>
        </is>
      </c>
      <c r="U72" s="101" t="inlineStr">
        <is>
          <t xml:space="preserve"> </t>
        </is>
      </c>
      <c r="V72" s="101" t="inlineStr">
        <is>
          <t xml:space="preserve"> </t>
        </is>
      </c>
      <c r="W72" s="102" t="inlineStr">
        <is>
          <t xml:space="preserve"> </t>
        </is>
      </c>
      <c r="X72" t="inlineStr">
        <is>
          <t>No se encontró ejecución en CUIPO</t>
        </is>
      </c>
    </row>
    <row r="73">
      <c r="A73" t="inlineStr">
        <is>
          <t>IP-113, IP-114, IP-119</t>
        </is>
      </c>
      <c r="B73" t="inlineStr">
        <is>
          <t>41</t>
        </is>
      </c>
      <c r="C73" t="inlineStr">
        <is>
          <t xml:space="preserve">Inclusión social y reconciliación </t>
        </is>
      </c>
      <c r="D73" t="inlineStr">
        <is>
          <t>4101</t>
        </is>
      </c>
      <c r="E73" t="inlineStr">
        <is>
          <t>Atención, asistencia y reparación integral a las víctimas</t>
        </is>
      </c>
      <c r="F73" t="inlineStr">
        <is>
          <t>4101031</t>
        </is>
      </c>
      <c r="G73" t="inlineStr">
        <is>
          <t>Servicios de implementaciónde medidas de satisfacción y acompañamiento a las víctimas del conflicto armado</t>
        </is>
      </c>
      <c r="H73" t="inlineStr">
        <is>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is>
      </c>
      <c r="I73" t="inlineStr">
        <is>
          <t>2024257990014</t>
        </is>
      </c>
      <c r="J73" s="99">
        <v>111781362</v>
      </c>
      <c r="K73" s="99">
        <v>11088825</v>
      </c>
      <c r="L73" s="99">
        <v>33000000</v>
      </c>
      <c r="M73" s="99">
        <v>33561000</v>
      </c>
      <c r="N73" s="99">
        <v>34131537</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v>25295500</v>
      </c>
      <c r="U73" s="101">
        <v>14617750</v>
      </c>
      <c r="V73" s="101">
        <v>14617750</v>
      </c>
      <c r="W73" s="102">
        <v>0.442962121212121</v>
      </c>
      <c r="X73" t="inlineStr">
        <is>
          <t>Lo obligado está por debajo de lo programado en la vigencia</t>
        </is>
      </c>
    </row>
    <row r="74">
      <c r="A74" t="inlineStr">
        <is>
          <t>IP-115</t>
        </is>
      </c>
      <c r="B74" t="inlineStr">
        <is>
          <t>41</t>
        </is>
      </c>
      <c r="C74" t="inlineStr">
        <is>
          <t xml:space="preserve">Inclusión social y reconciliación </t>
        </is>
      </c>
      <c r="D74" t="inlineStr">
        <is>
          <t>4101</t>
        </is>
      </c>
      <c r="E74" t="inlineStr">
        <is>
          <t>Atención, asistencia y reparación integral a las víctimas</t>
        </is>
      </c>
      <c r="F74" t="inlineStr">
        <is>
          <t>4101025</t>
        </is>
      </c>
      <c r="G74" t="inlineStr">
        <is>
          <t>Servicio de ayuda y atención humanitaria</t>
        </is>
      </c>
      <c r="H74"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74" t="inlineStr">
        <is>
          <t>2024257990014</t>
        </is>
      </c>
      <c r="J74" s="99">
        <v>390052102</v>
      </c>
      <c r="K74" s="99">
        <v>30000000</v>
      </c>
      <c r="L74" s="99">
        <v>118000000</v>
      </c>
      <c r="M74" s="99">
        <v>120006000</v>
      </c>
      <c r="N74" s="99">
        <v>122046102</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v>115000000</v>
      </c>
      <c r="U74" s="101">
        <v>49381690</v>
      </c>
      <c r="V74" s="101">
        <v>49381690</v>
      </c>
      <c r="W74" s="102">
        <v>0.418488898305085</v>
      </c>
      <c r="X74" t="inlineStr">
        <is>
          <t>Lo obligado está por debajo de lo programado en la vigencia</t>
        </is>
      </c>
    </row>
    <row r="75">
      <c r="A75" t="inlineStr">
        <is>
          <t>IP-116</t>
        </is>
      </c>
      <c r="B75" t="inlineStr">
        <is>
          <t>41</t>
        </is>
      </c>
      <c r="C75" t="inlineStr">
        <is>
          <t xml:space="preserve">Inclusión social y reconciliación </t>
        </is>
      </c>
      <c r="D75" t="inlineStr">
        <is>
          <t>4101</t>
        </is>
      </c>
      <c r="E75" t="inlineStr">
        <is>
          <t>Atención, asistencia y reparación integral a las víctimas</t>
        </is>
      </c>
      <c r="F75" t="inlineStr">
        <is>
          <t>4101027</t>
        </is>
      </c>
      <c r="G75" t="inlineStr">
        <is>
          <t>Servicio de asistencia funeraria</t>
        </is>
      </c>
      <c r="H75" t="inlineStr">
        <is>
          <t>La asistencia funeraria se entrega a los familiares de las víctimas de desaparición forzada y homicidio  en el marco de un proceso de entrega de cuerpos o restos óseos.</t>
        </is>
      </c>
      <c r="I75" t="inlineStr">
        <is>
          <t>2024257990014</t>
        </is>
      </c>
      <c r="J75" s="99">
        <v>12153867</v>
      </c>
      <c r="K75" s="99">
        <v>3000000</v>
      </c>
      <c r="L75" s="99">
        <v>3000000</v>
      </c>
      <c r="M75" s="99">
        <v>3051000</v>
      </c>
      <c r="N75" s="99">
        <v>3102867</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IP-117</t>
        </is>
      </c>
      <c r="B76" t="inlineStr">
        <is>
          <t>41</t>
        </is>
      </c>
      <c r="C76" t="inlineStr">
        <is>
          <t xml:space="preserve">Inclusión social y reconciliación </t>
        </is>
      </c>
      <c r="D76" t="inlineStr">
        <is>
          <t>4101</t>
        </is>
      </c>
      <c r="E76" t="inlineStr">
        <is>
          <t>Atención, asistencia y reparación integral a las víctimas</t>
        </is>
      </c>
      <c r="F76" t="inlineStr">
        <is>
          <t>4101073</t>
        </is>
      </c>
      <c r="G76" t="inlineStr">
        <is>
          <t>Servicio de apoyo para la generación de ingresos</t>
        </is>
      </c>
      <c r="H76" t="inlineStr">
        <is>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is>
      </c>
      <c r="I76" t="inlineStr">
        <is>
          <t>2024257990014</t>
        </is>
      </c>
      <c r="J76" s="99">
        <v>102538670</v>
      </c>
      <c r="K76" s="99">
        <v>11000000</v>
      </c>
      <c r="L76" s="99">
        <v>30000000</v>
      </c>
      <c r="M76" s="99">
        <v>30510000</v>
      </c>
      <c r="N76" s="99">
        <v>31028670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IP-118</t>
        </is>
      </c>
      <c r="B77" t="inlineStr">
        <is>
          <t>41</t>
        </is>
      </c>
      <c r="C77" t="inlineStr">
        <is>
          <t xml:space="preserve">Inclusión social y reconciliación </t>
        </is>
      </c>
      <c r="D77" t="inlineStr">
        <is>
          <t>4101</t>
        </is>
      </c>
      <c r="E77" t="inlineStr">
        <is>
          <t>Atención, asistencia y reparación integral a las víctimas</t>
        </is>
      </c>
      <c r="F77" t="inlineStr">
        <is>
          <t>4101014</t>
        </is>
      </c>
      <c r="G77" t="inlineStr">
        <is>
          <t>Servicio de caracterización de la población víctima para su posterior atención, asistencia y reparación integral</t>
        </is>
      </c>
      <c r="H77" t="inlineStr">
        <is>
          <t xml:space="preserve">Mediante los cuales se caracteriza y se hace levantamiento de información individual de cada víctima y su hogar para la Asistencia Atención y Reparación Integral  </t>
        </is>
      </c>
      <c r="I77" t="inlineStr">
        <is>
          <t>2024257990014</t>
        </is>
      </c>
      <c r="J77" s="99">
        <v>170531716</v>
      </c>
      <c r="K77" s="99">
        <v>36275000</v>
      </c>
      <c r="L77" s="99">
        <v>44000000</v>
      </c>
      <c r="M77" s="99">
        <v>44748000</v>
      </c>
      <c r="N77" s="99">
        <v>45508716</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v>40813332</v>
      </c>
      <c r="U77" s="101">
        <v>28813332</v>
      </c>
      <c r="V77" s="101">
        <v>24813332</v>
      </c>
      <c r="W77" s="102">
        <v>0.654848454545455</v>
      </c>
      <c r="X77" t="inlineStr">
        <is>
          <t>Lo obligado está por debajo de lo programado en la vigencia</t>
        </is>
      </c>
    </row>
    <row r="78">
      <c r="A78" t="inlineStr">
        <is>
          <t>IP-120</t>
        </is>
      </c>
      <c r="B78" t="inlineStr">
        <is>
          <t>41</t>
        </is>
      </c>
      <c r="C78" t="inlineStr">
        <is>
          <t xml:space="preserve">Inclusión social y reconciliación </t>
        </is>
      </c>
      <c r="D78" t="inlineStr">
        <is>
          <t>4101</t>
        </is>
      </c>
      <c r="E78" t="inlineStr">
        <is>
          <t>Atención, asistencia y reparación integral a las víctimas</t>
        </is>
      </c>
      <c r="F78" t="inlineStr">
        <is>
          <t>4101038</t>
        </is>
      </c>
      <c r="G78" t="inlineStr">
        <is>
          <t>Servicio de asistencia técnica para la participación de las víctimas</t>
        </is>
      </c>
      <c r="H78" t="inlineStr">
        <is>
          <t>Orientados a generar mecanismos mediante los cuales las víctimas tengan participación conjunta y activa en la determinación de las medidas y programas que se desarrollan en su proceso de atención y reparación.</t>
        </is>
      </c>
      <c r="I78" t="inlineStr">
        <is>
          <t>2024257990014</t>
        </is>
      </c>
      <c r="J78" s="99">
        <v>23045134</v>
      </c>
      <c r="K78" s="99">
        <v>4737400</v>
      </c>
      <c r="L78" s="99">
        <v>6000000</v>
      </c>
      <c r="M78" s="99">
        <v>6102000</v>
      </c>
      <c r="N78" s="99">
        <v>6205734</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IP-121</t>
        </is>
      </c>
      <c r="B79" t="inlineStr">
        <is>
          <t>45</t>
        </is>
      </c>
      <c r="C79" t="inlineStr">
        <is>
          <t>Gobierno Territorial</t>
        </is>
      </c>
      <c r="D79" t="inlineStr">
        <is>
          <t>4502</t>
        </is>
      </c>
      <c r="E79" t="inlineStr">
        <is>
          <t>Fortalecimiento del buen gobierno para el respeto y garantía de los derechos humanos.</t>
        </is>
      </c>
      <c r="F79" t="inlineStr">
        <is>
          <t>4502024</t>
        </is>
      </c>
      <c r="G79" t="inlineStr">
        <is>
          <t>Servicio de apoyo para la implementación de medidas en derechos humanos y derecho internacional humanitario</t>
        </is>
      </c>
      <c r="H79" t="inlineStr">
        <is>
          <t xml:space="preserve"> Implementar decisiones de instancias internacionales frente a violaciones de Derechos Humanos para el cumplimiento de las obligaciones que tiene el Estado colombiano.</t>
        </is>
      </c>
      <c r="I79" t="inlineStr">
        <is>
          <t>2024257990015</t>
        </is>
      </c>
      <c r="J79" s="99">
        <v>5000000</v>
      </c>
      <c r="K79" s="99">
        <v>0</v>
      </c>
      <c r="L79" s="99">
        <v>0</v>
      </c>
      <c r="M79" s="99">
        <v>2000000</v>
      </c>
      <c r="N79" s="99">
        <v>3000000</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IP-122</t>
        </is>
      </c>
      <c r="B80" t="inlineStr">
        <is>
          <t>45</t>
        </is>
      </c>
      <c r="C80" t="inlineStr">
        <is>
          <t>Gobierno Territorial</t>
        </is>
      </c>
      <c r="D80" t="inlineStr">
        <is>
          <t>4502</t>
        </is>
      </c>
      <c r="E80" t="inlineStr">
        <is>
          <t>Fortalecimiento del buen gobierno para el respeto y garantía de los derechos humanos.</t>
        </is>
      </c>
      <c r="F80" t="inlineStr">
        <is>
          <t>4502020</t>
        </is>
      </c>
      <c r="G80" t="inlineStr">
        <is>
          <t>Servicio de información estadística en temas de Derechos Humanos</t>
        </is>
      </c>
      <c r="H80" t="inlineStr">
        <is>
          <t>Recolección y procesamiento de información estadística</t>
        </is>
      </c>
      <c r="I80" t="inlineStr">
        <is>
          <t>2024257990015</t>
        </is>
      </c>
      <c r="J80" s="99">
        <v>30512890</v>
      </c>
      <c r="K80" s="99">
        <v>0</v>
      </c>
      <c r="L80" s="99">
        <v>10000000</v>
      </c>
      <c r="M80" s="99">
        <v>10170000</v>
      </c>
      <c r="N80" s="99">
        <v>10342890</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t="inlineStr">
        <is>
          <t xml:space="preserve"> </t>
        </is>
      </c>
      <c r="U80" s="101" t="inlineStr">
        <is>
          <t xml:space="preserve"> </t>
        </is>
      </c>
      <c r="V80" s="101" t="inlineStr">
        <is>
          <t xml:space="preserve"> </t>
        </is>
      </c>
      <c r="W80" s="102" t="inlineStr">
        <is>
          <t xml:space="preserve"> </t>
        </is>
      </c>
      <c r="X80" t="inlineStr">
        <is>
          <t>No se encontró ejecución en CUIPO</t>
        </is>
      </c>
    </row>
    <row r="81">
      <c r="A81" t="inlineStr">
        <is>
          <t>IP-123</t>
        </is>
      </c>
      <c r="B81" t="inlineStr">
        <is>
          <t>45</t>
        </is>
      </c>
      <c r="C81" t="inlineStr">
        <is>
          <t>Gobierno Territorial</t>
        </is>
      </c>
      <c r="D81" t="inlineStr">
        <is>
          <t>4502</t>
        </is>
      </c>
      <c r="E81" t="inlineStr">
        <is>
          <t>Fortalecimiento del buen gobierno para el respeto y garantía de los derechos humanos.</t>
        </is>
      </c>
      <c r="F81" t="inlineStr">
        <is>
          <t>4502019</t>
        </is>
      </c>
      <c r="G81" t="inlineStr">
        <is>
          <t>Servicio de prevención a violaciones de derechos humanos</t>
        </is>
      </c>
      <c r="H81" t="inlineStr">
        <is>
          <t xml:space="preserve">Mediante los cuales se activan mecanismos que permiten neutralizar o superar las causas y circunstancias que generan riesgo en el marco del conflicto armado interno y así evitar la ocurrencia de violaciones de Derechos Humanos e infracciones al Derecho Internacional Humanitario </t>
        </is>
      </c>
      <c r="I81" t="inlineStr">
        <is>
          <t>2024257990015</t>
        </is>
      </c>
      <c r="J81" s="99">
        <v>17144500</v>
      </c>
      <c r="K81" s="99">
        <v>0</v>
      </c>
      <c r="L81" s="99">
        <v>8500000</v>
      </c>
      <c r="M81" s="99">
        <v>8644500</v>
      </c>
      <c r="N81" s="99">
        <v>0</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IP-124</t>
        </is>
      </c>
      <c r="B82" t="inlineStr">
        <is>
          <t>45</t>
        </is>
      </c>
      <c r="C82" t="inlineStr">
        <is>
          <t>Gobierno Territorial</t>
        </is>
      </c>
      <c r="D82" t="inlineStr">
        <is>
          <t>4502</t>
        </is>
      </c>
      <c r="E82" t="inlineStr">
        <is>
          <t>Fortalecimiento del buen gobierno para el respeto y garantía de los derechos humanos.</t>
        </is>
      </c>
      <c r="F82" t="inlineStr">
        <is>
          <t>4502022</t>
        </is>
      </c>
      <c r="G82" t="inlineStr">
        <is>
          <t>Servicio de asistencia técnica</t>
        </is>
      </c>
      <c r="H82"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82" t="inlineStr">
        <is>
          <t>2024257990015</t>
        </is>
      </c>
      <c r="J82" s="99">
        <v>25935956.5</v>
      </c>
      <c r="K82" s="99">
        <v>0</v>
      </c>
      <c r="L82" s="99">
        <v>8500000</v>
      </c>
      <c r="M82" s="99">
        <v>8644500</v>
      </c>
      <c r="N82" s="99">
        <v>8791456.5</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IP-125</t>
        </is>
      </c>
      <c r="B83" t="inlineStr">
        <is>
          <t>45</t>
        </is>
      </c>
      <c r="C83" t="inlineStr">
        <is>
          <t>Gobierno Territorial</t>
        </is>
      </c>
      <c r="D83" t="inlineStr">
        <is>
          <t>4503</t>
        </is>
      </c>
      <c r="E83" t="inlineStr">
        <is>
          <t>Gestión del riesgo de desastres y emergencias</t>
        </is>
      </c>
      <c r="F83" t="inlineStr">
        <is>
          <t>4503015</t>
        </is>
      </c>
      <c r="G83" t="inlineStr">
        <is>
          <t>Estaciones de bomberos construidas</t>
        </is>
      </c>
      <c r="H83" t="inlineStr">
        <is>
          <t xml:space="preserve">Incluye la construcción de Estaciones de bomberos en terrenos no construidos o cuya área esté libre por autorización de demolición total. A su vez, contiene la dotación a la infraestructura construida. </t>
        </is>
      </c>
      <c r="I83" t="inlineStr">
        <is>
          <t>2024257990016</t>
        </is>
      </c>
      <c r="J83" s="99">
        <v>996428653</v>
      </c>
      <c r="K83" s="99">
        <v>996428653</v>
      </c>
      <c r="L83" s="99">
        <v>0</v>
      </c>
      <c r="M83" s="99">
        <v>0</v>
      </c>
      <c r="N83" s="99">
        <v>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IP-126</t>
        </is>
      </c>
      <c r="B84" t="inlineStr">
        <is>
          <t>45</t>
        </is>
      </c>
      <c r="C84" t="inlineStr">
        <is>
          <t>Gobierno Territorial</t>
        </is>
      </c>
      <c r="D84" t="inlineStr">
        <is>
          <t>4503</t>
        </is>
      </c>
      <c r="E84" t="inlineStr">
        <is>
          <t>Gestión del riesgo de desastres y emergencias</t>
        </is>
      </c>
      <c r="F84" t="inlineStr">
        <is>
          <t>4503024</t>
        </is>
      </c>
      <c r="G84" t="inlineStr">
        <is>
          <t>Documentos normativos</t>
        </is>
      </c>
      <c r="H84" t="inlineStr">
        <is>
          <t>Incluye la realización de los documentos de contenido normativo para la reglamentación de las diferentes lineas de acción del programa.</t>
        </is>
      </c>
      <c r="I84" t="inlineStr">
        <is>
          <t>2024257990016</t>
        </is>
      </c>
      <c r="J84" s="99">
        <v>7485893084.6809</v>
      </c>
      <c r="K84" s="99">
        <v>253115909</v>
      </c>
      <c r="L84" s="99">
        <v>2370400567</v>
      </c>
      <c r="M84" s="99">
        <v>2410697376.639</v>
      </c>
      <c r="N84" s="99">
        <v>2451679232.0419</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v>2335738832</v>
      </c>
      <c r="U84" s="101">
        <v>1854800539</v>
      </c>
      <c r="V84" s="101">
        <v>1673876099</v>
      </c>
      <c r="W84" s="102">
        <v>0.78248400916789</v>
      </c>
      <c r="X84" t="inlineStr">
        <is>
          <t>Lo obligado está por debajo de lo programado en la vigencia</t>
        </is>
      </c>
    </row>
    <row r="85">
      <c r="A85" t="inlineStr">
        <is>
          <t>IP-127</t>
        </is>
      </c>
      <c r="B85" t="inlineStr">
        <is>
          <t>45</t>
        </is>
      </c>
      <c r="C85" t="inlineStr">
        <is>
          <t>Gobierno Territorial</t>
        </is>
      </c>
      <c r="D85" t="inlineStr">
        <is>
          <t>4503</t>
        </is>
      </c>
      <c r="E85" t="inlineStr">
        <is>
          <t>Gestión del riesgo de desastres y emergencias</t>
        </is>
      </c>
      <c r="F85" t="inlineStr">
        <is>
          <t>4503008</t>
        </is>
      </c>
      <c r="G85" t="inlineStr">
        <is>
          <t>Infraestructura para alojamiento temporal con reforzamiento estructural</t>
        </is>
      </c>
      <c r="H85" t="inlineStr">
        <is>
          <t>Corresponde a un inmueble sobre el cual se procede a intervenir o reforzar la estructura, con el objeto de acondicionarlo a niveles adecuados de seguridad sismo resistente de acuerdo con los requisitos. (Corresponde a la licencia de construcción por reforzamiento estructural)</t>
        </is>
      </c>
      <c r="I85" t="inlineStr">
        <is>
          <t>2024257990016</t>
        </is>
      </c>
      <c r="J85" s="99">
        <v>1387053132.8635</v>
      </c>
      <c r="K85" s="99">
        <v>460000000</v>
      </c>
      <c r="L85" s="99">
        <v>303823444.08</v>
      </c>
      <c r="M85" s="99">
        <v>308988442.6294</v>
      </c>
      <c r="N85" s="99">
        <v>314241246.1541</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v>31450000</v>
      </c>
      <c r="U85" s="101">
        <v>12200000</v>
      </c>
      <c r="V85" s="101">
        <v>12200000</v>
      </c>
      <c r="W85" s="102">
        <v>0.0401548999516562</v>
      </c>
      <c r="X85" t="inlineStr">
        <is>
          <t>Lo obligado está por debajo de lo programado en la vigencia</t>
        </is>
      </c>
    </row>
    <row r="86">
      <c r="A86" t="inlineStr">
        <is>
          <t>IP-128</t>
        </is>
      </c>
      <c r="B86" t="inlineStr">
        <is>
          <t>45</t>
        </is>
      </c>
      <c r="C86" t="inlineStr">
        <is>
          <t>Gobierno Territorial</t>
        </is>
      </c>
      <c r="D86" t="inlineStr">
        <is>
          <t>4503</t>
        </is>
      </c>
      <c r="E86" t="inlineStr">
        <is>
          <t>Gestión del riesgo de desastres y emergencias</t>
        </is>
      </c>
      <c r="F86" t="inlineStr">
        <is>
          <t>4503004</t>
        </is>
      </c>
      <c r="G86" t="inlineStr">
        <is>
          <t>Servicio de atención a emergencias y desastres</t>
        </is>
      </c>
      <c r="H86"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86" t="inlineStr">
        <is>
          <t>2024257990016</t>
        </is>
      </c>
      <c r="J86" s="99">
        <v>991904939</v>
      </c>
      <c r="K86" s="99">
        <v>100928551</v>
      </c>
      <c r="L86" s="99">
        <v>292000000</v>
      </c>
      <c r="M86" s="99">
        <v>296964000</v>
      </c>
      <c r="N86" s="99">
        <v>302012388</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v>280000000</v>
      </c>
      <c r="U86" s="101">
        <v>25638484</v>
      </c>
      <c r="V86" s="101">
        <v>25638484</v>
      </c>
      <c r="W86" s="102">
        <v>0.0878030273972603</v>
      </c>
      <c r="X86" t="inlineStr">
        <is>
          <t>Lo obligado está por debajo de lo programado en la vigencia</t>
        </is>
      </c>
    </row>
    <row r="87">
      <c r="A87" t="inlineStr">
        <is>
          <t>IP-129</t>
        </is>
      </c>
      <c r="B87" t="inlineStr">
        <is>
          <t>35</t>
        </is>
      </c>
      <c r="C87" t="inlineStr">
        <is>
          <t>Comercio, industria y turismo</t>
        </is>
      </c>
      <c r="D87" t="inlineStr">
        <is>
          <t>3502</t>
        </is>
      </c>
      <c r="E87" t="inlineStr">
        <is>
          <t>Productividad y competitividad de las empresas colombianas</t>
        </is>
      </c>
      <c r="F87" t="inlineStr">
        <is>
          <t>3502048</t>
        </is>
      </c>
      <c r="G87" t="inlineStr">
        <is>
          <t>Documentos normativos</t>
        </is>
      </c>
      <c r="H87" t="inlineStr">
        <is>
          <t>Corresponde a documentos que contengan decretos, acuerdos, resoluciones, entre otros sobre los asuntos del sector.</t>
        </is>
      </c>
      <c r="I87" t="inlineStr">
        <is>
          <t>2024257990017</t>
        </is>
      </c>
      <c r="J87" s="99">
        <v>252877430</v>
      </c>
      <c r="K87" s="99">
        <v>39287200</v>
      </c>
      <c r="L87" s="99">
        <v>70000000</v>
      </c>
      <c r="M87" s="99">
        <v>71190000</v>
      </c>
      <c r="N87" s="99">
        <v>72400230</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v>70000000</v>
      </c>
      <c r="U87" s="101">
        <v>70000000</v>
      </c>
      <c r="V87" s="101">
        <v>70000000</v>
      </c>
      <c r="W87" s="102">
        <v>1</v>
      </c>
      <c r="X87" t="inlineStr">
        <is>
          <t>Se ejecutó el 100% de lo programado en la vigencia</t>
        </is>
      </c>
    </row>
    <row r="88">
      <c r="A88" t="inlineStr">
        <is>
          <t>IP-130, IP-133, IP-141, IP-142, IP-146</t>
        </is>
      </c>
      <c r="B88" t="inlineStr">
        <is>
          <t>35</t>
        </is>
      </c>
      <c r="C88" t="inlineStr">
        <is>
          <t>Comercio, industria y turismo</t>
        </is>
      </c>
      <c r="D88" t="inlineStr">
        <is>
          <t>3502</t>
        </is>
      </c>
      <c r="E88" t="inlineStr">
        <is>
          <t>Productividad y competitividad de las empresas colombianas</t>
        </is>
      </c>
      <c r="F88" t="inlineStr">
        <is>
          <t>3502046</t>
        </is>
      </c>
      <c r="G88" t="inlineStr">
        <is>
          <t>Servicio de promoción turística</t>
        </is>
      </c>
      <c r="H88" t="inlineStr">
        <is>
          <t>Corresponde a campañas de divulgación y promoción de los atractivos turísticos de la zonas, así como las actividades para el posicionamiento de las regiones, departamentos y municipios como destinos turísticos.</t>
        </is>
      </c>
      <c r="I88" t="inlineStr">
        <is>
          <t>2024257990017</t>
        </is>
      </c>
      <c r="J88" s="99">
        <v>4412827670</v>
      </c>
      <c r="K88" s="99">
        <v>1270000000</v>
      </c>
      <c r="L88" s="99">
        <v>1030000000</v>
      </c>
      <c r="M88" s="99">
        <v>1047510000</v>
      </c>
      <c r="N88" s="99">
        <v>1065317670</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v>300000000</v>
      </c>
      <c r="U88" s="101">
        <v>300000000</v>
      </c>
      <c r="V88" s="101">
        <v>300000000</v>
      </c>
      <c r="W88" s="102">
        <v>0.29126213592233</v>
      </c>
      <c r="X88" t="inlineStr">
        <is>
          <t>Lo obligado está por debajo de lo programado en la vigencia</t>
        </is>
      </c>
    </row>
    <row r="89">
      <c r="A89" t="inlineStr">
        <is>
          <t>IP-131, IP-144, IP-148</t>
        </is>
      </c>
      <c r="B89" t="inlineStr">
        <is>
          <t>35</t>
        </is>
      </c>
      <c r="C89" t="inlineStr">
        <is>
          <t>Comercio, industria y turismo</t>
        </is>
      </c>
      <c r="D89" t="inlineStr">
        <is>
          <t>3502</t>
        </is>
      </c>
      <c r="E89" t="inlineStr">
        <is>
          <t>Productividad y competitividad de las empresas colombianas</t>
        </is>
      </c>
      <c r="F89" t="inlineStr">
        <is>
          <t>3502045</t>
        </is>
      </c>
      <c r="G89" t="inlineStr">
        <is>
          <t>Servicio de educación informal en asuntos turísticos</t>
        </is>
      </c>
      <c r="H89" t="inlineStr">
        <is>
          <t>Consiste en la capacitación y entrenamiento a personas interesadas en trabajar en el sector turismo. Incluye fortalecimiento de atención al cliente, de conocimientos históricos, entre otros.</t>
        </is>
      </c>
      <c r="I89" t="inlineStr">
        <is>
          <t>2024257990017</t>
        </is>
      </c>
      <c r="J89" s="99">
        <v>535688175</v>
      </c>
      <c r="K89" s="99">
        <v>123764160</v>
      </c>
      <c r="L89" s="99">
        <v>135000000</v>
      </c>
      <c r="M89" s="99">
        <v>137295000</v>
      </c>
      <c r="N89" s="99">
        <v>139629015</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v>145000000</v>
      </c>
      <c r="U89" s="101">
        <v>145000000</v>
      </c>
      <c r="V89" s="101">
        <v>145000000</v>
      </c>
      <c r="W89" s="102">
        <v>1.07407407407407</v>
      </c>
      <c r="X89" t="inlineStr">
        <is>
          <t>Hubo ejecución por encima de lo programado en SisPT</t>
        </is>
      </c>
    </row>
    <row r="90">
      <c r="A90" t="inlineStr">
        <is>
          <t>IP-132, IP-137</t>
        </is>
      </c>
      <c r="B90" t="inlineStr">
        <is>
          <t>35</t>
        </is>
      </c>
      <c r="C90" t="inlineStr">
        <is>
          <t>Comercio, industria y turismo</t>
        </is>
      </c>
      <c r="D90" t="inlineStr">
        <is>
          <t>3502</t>
        </is>
      </c>
      <c r="E90" t="inlineStr">
        <is>
          <t>Productividad y competitividad de las empresas colombianas</t>
        </is>
      </c>
      <c r="F90" t="inlineStr">
        <is>
          <t>3502012</t>
        </is>
      </c>
      <c r="G90" t="inlineStr">
        <is>
          <t>Servicio de apoyo para la modernización y fomento de la innovación empresarial</t>
        </is>
      </c>
      <c r="H90"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90" t="inlineStr">
        <is>
          <t>2024257990017</t>
        </is>
      </c>
      <c r="J90" s="99">
        <v>615630230</v>
      </c>
      <c r="K90" s="99">
        <v>160000000</v>
      </c>
      <c r="L90" s="99">
        <v>190000000</v>
      </c>
      <c r="M90" s="99">
        <v>193230000</v>
      </c>
      <c r="N90" s="99">
        <v>72400230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v>160000000</v>
      </c>
      <c r="U90" s="101">
        <v>160000000</v>
      </c>
      <c r="V90" s="101">
        <v>160000000</v>
      </c>
      <c r="W90" s="102">
        <v>0.842105263157895</v>
      </c>
      <c r="X90" t="inlineStr">
        <is>
          <t>Lo obligado está por debajo de lo programado en la vigencia</t>
        </is>
      </c>
    </row>
    <row r="91">
      <c r="A91" t="inlineStr">
        <is>
          <t>IP-134, IP-149</t>
        </is>
      </c>
      <c r="B91" t="inlineStr">
        <is>
          <t>35</t>
        </is>
      </c>
      <c r="C91" t="inlineStr">
        <is>
          <t>Comercio, industria y turismo</t>
        </is>
      </c>
      <c r="D91" t="inlineStr">
        <is>
          <t>3502</t>
        </is>
      </c>
      <c r="E91" t="inlineStr">
        <is>
          <t>Productividad y competitividad de las empresas colombianas</t>
        </is>
      </c>
      <c r="F91" t="inlineStr">
        <is>
          <t>3502036</t>
        </is>
      </c>
      <c r="G91" t="inlineStr">
        <is>
          <t>Servicio de apoyo financiero para la competitividad turística</t>
        </is>
      </c>
      <c r="H91" t="inlineStr">
        <is>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is>
      </c>
      <c r="I91" t="inlineStr">
        <is>
          <t>2024257990017</t>
        </is>
      </c>
      <c r="J91" s="99">
        <v>246103120</v>
      </c>
      <c r="K91" s="99">
        <v>0</v>
      </c>
      <c r="L91" s="99">
        <v>80000000</v>
      </c>
      <c r="M91" s="99">
        <v>83360000</v>
      </c>
      <c r="N91" s="99">
        <v>82743120</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v>89000000</v>
      </c>
      <c r="U91" s="101">
        <v>89000000</v>
      </c>
      <c r="V91" s="101">
        <v>89000000</v>
      </c>
      <c r="W91" s="102">
        <v>1.1125</v>
      </c>
      <c r="X91" t="inlineStr">
        <is>
          <t>Hubo ejecución por encima de lo programado en SisPT</t>
        </is>
      </c>
    </row>
    <row r="92">
      <c r="A92" t="inlineStr">
        <is>
          <t>IP-135</t>
        </is>
      </c>
      <c r="B92" t="inlineStr">
        <is>
          <t>35</t>
        </is>
      </c>
      <c r="C92" t="inlineStr">
        <is>
          <t>Comercio, industria y turismo</t>
        </is>
      </c>
      <c r="D92" t="inlineStr">
        <is>
          <t>3502</t>
        </is>
      </c>
      <c r="E92" t="inlineStr">
        <is>
          <t>Productividad y competitividad de las empresas colombianas</t>
        </is>
      </c>
      <c r="F92" t="inlineStr">
        <is>
          <t>3502039</t>
        </is>
      </c>
      <c r="G92" t="inlineStr">
        <is>
          <t>Servicio de asistencia técnica a los entes territoriales para el desarrollo turístico</t>
        </is>
      </c>
      <c r="H92" t="inlineStr">
        <is>
          <t>Asistencia y acompañamiento a los Entes Territoriales para la promoción y competitividad turística de sus regiones.</t>
        </is>
      </c>
      <c r="I92" t="inlineStr">
        <is>
          <t>2024257990017</t>
        </is>
      </c>
      <c r="J92" s="99">
        <v>91538670</v>
      </c>
      <c r="K92" s="99">
        <v>0</v>
      </c>
      <c r="L92" s="99">
        <v>30000000</v>
      </c>
      <c r="M92" s="99">
        <v>30510000</v>
      </c>
      <c r="N92" s="99">
        <v>31028670</v>
      </c>
      <c r="O92" s="99">
        <v>30000000</v>
      </c>
      <c r="P92" s="99">
        <v>30000000</v>
      </c>
      <c r="Q92" s="99">
        <v>30000000</v>
      </c>
      <c r="R92" s="100" t="inlineStr">
        <is>
          <t xml:space="preserve"> </t>
        </is>
      </c>
      <c r="S92" t="inlineStr">
        <is>
          <t>Se ejecutó un producto no programado en la vigencia</t>
        </is>
      </c>
      <c r="T92" s="101">
        <v>30000000</v>
      </c>
      <c r="U92" s="101">
        <v>30000000</v>
      </c>
      <c r="V92" s="101">
        <v>30000000</v>
      </c>
      <c r="W92" s="102">
        <v>1</v>
      </c>
      <c r="X92" t="inlineStr">
        <is>
          <t>Se ejecutó el 100% de lo programado en la vigencia</t>
        </is>
      </c>
    </row>
    <row r="93">
      <c r="A93" t="inlineStr">
        <is>
          <t>IP-136</t>
        </is>
      </c>
      <c r="B93" t="inlineStr">
        <is>
          <t>35</t>
        </is>
      </c>
      <c r="C93" t="inlineStr">
        <is>
          <t>Comercio, industria y turismo</t>
        </is>
      </c>
      <c r="D93" t="inlineStr">
        <is>
          <t>3502</t>
        </is>
      </c>
      <c r="E93" t="inlineStr">
        <is>
          <t>Productividad y competitividad de las empresas colombianas</t>
        </is>
      </c>
      <c r="F93" t="inlineStr">
        <is>
          <t>3502043</t>
        </is>
      </c>
      <c r="G93" t="inlineStr">
        <is>
          <t>Ecoparque turístico construido</t>
        </is>
      </c>
      <c r="H93" t="inlineStr">
        <is>
          <t>Construcción de parque turístico con servicios complementarios tales como señalización, zona de comidas y servicios sanitarios.</t>
        </is>
      </c>
      <c r="I93" t="inlineStr">
        <is>
          <t>2024257990017</t>
        </is>
      </c>
      <c r="J93" s="99">
        <v>457693350</v>
      </c>
      <c r="K93" s="99">
        <v>0</v>
      </c>
      <c r="L93" s="99">
        <v>150000000</v>
      </c>
      <c r="M93" s="99">
        <v>152550000</v>
      </c>
      <c r="N93" s="99">
        <v>155143350</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v>130000000</v>
      </c>
      <c r="U93" s="101">
        <v>130000000</v>
      </c>
      <c r="V93" s="101">
        <v>130000000</v>
      </c>
      <c r="W93" s="102">
        <v>0.866666666666667</v>
      </c>
      <c r="X93" t="inlineStr">
        <is>
          <t>Lo obligado está por debajo de lo programado en la vigencia</t>
        </is>
      </c>
    </row>
    <row r="94">
      <c r="A94" t="inlineStr">
        <is>
          <t>IP-138</t>
        </is>
      </c>
      <c r="B94" t="inlineStr">
        <is>
          <t>35</t>
        </is>
      </c>
      <c r="C94" t="inlineStr">
        <is>
          <t>Comercio, industria y turismo</t>
        </is>
      </c>
      <c r="D94" t="inlineStr">
        <is>
          <t>3502</t>
        </is>
      </c>
      <c r="E94" t="inlineStr">
        <is>
          <t>Productividad y competitividad de las empresas colombianas</t>
        </is>
      </c>
      <c r="F94" t="inlineStr">
        <is>
          <t>3502059</t>
        </is>
      </c>
      <c r="G94" t="inlineStr">
        <is>
          <t>Señalización turística construida</t>
        </is>
      </c>
      <c r="H94" t="inlineStr">
        <is>
          <t>Corresponde a la señalización de espacios turísticos que lo requieran.</t>
        </is>
      </c>
      <c r="I94" t="inlineStr">
        <is>
          <t>2024257990017</t>
        </is>
      </c>
      <c r="J94" s="99">
        <v>263077340</v>
      </c>
      <c r="K94" s="99">
        <v>80000000</v>
      </c>
      <c r="L94" s="99">
        <v>60000000</v>
      </c>
      <c r="M94" s="99">
        <v>61020000</v>
      </c>
      <c r="N94" s="99">
        <v>62057340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v>60000000</v>
      </c>
      <c r="U94" s="101">
        <v>60000000</v>
      </c>
      <c r="V94" s="101">
        <v>60000000</v>
      </c>
      <c r="W94" s="102">
        <v>1</v>
      </c>
      <c r="X94" t="inlineStr">
        <is>
          <t>Se ejecutó el 100% de lo programado en la vigencia</t>
        </is>
      </c>
    </row>
    <row r="95">
      <c r="A95" t="inlineStr">
        <is>
          <t>IP-139, IP-140, IP-145</t>
        </is>
      </c>
      <c r="B95" t="inlineStr">
        <is>
          <t>35</t>
        </is>
      </c>
      <c r="C95" t="inlineStr">
        <is>
          <t>Comercio, industria y turismo</t>
        </is>
      </c>
      <c r="D95" t="inlineStr">
        <is>
          <t>3502</t>
        </is>
      </c>
      <c r="E95" t="inlineStr">
        <is>
          <t>Productividad y competitividad de las empresas colombianas</t>
        </is>
      </c>
      <c r="F95" t="inlineStr">
        <is>
          <t>3502093</t>
        </is>
      </c>
      <c r="G95" t="inlineStr">
        <is>
          <t>Servicios de información turística a nivel nacional</t>
        </is>
      </c>
      <c r="H95" t="inlineStr">
        <is>
          <t>Comprende las actividades necesarias para la generación de información y herramientas tecnológicas en el uso de datos referentes al sector turismo.</t>
        </is>
      </c>
      <c r="I95" t="inlineStr">
        <is>
          <t>2024257990017</t>
        </is>
      </c>
      <c r="J95" s="99">
        <v>238761560</v>
      </c>
      <c r="K95" s="99">
        <v>56200000</v>
      </c>
      <c r="L95" s="99">
        <v>70000000</v>
      </c>
      <c r="M95" s="99">
        <v>71190000</v>
      </c>
      <c r="N95" s="99">
        <v>41371560</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v>70000000</v>
      </c>
      <c r="U95" s="101">
        <v>70000000</v>
      </c>
      <c r="V95" s="101">
        <v>70000000</v>
      </c>
      <c r="W95" s="102">
        <v>1</v>
      </c>
      <c r="X95" t="inlineStr">
        <is>
          <t>Se ejecutó el 100% de lo programado en la vigencia</t>
        </is>
      </c>
    </row>
    <row r="96">
      <c r="A96" t="inlineStr">
        <is>
          <t>IP-143</t>
        </is>
      </c>
      <c r="B96" t="inlineStr">
        <is>
          <t>35</t>
        </is>
      </c>
      <c r="C96" t="inlineStr">
        <is>
          <t>Comercio, industria y turismo</t>
        </is>
      </c>
      <c r="D96" t="inlineStr">
        <is>
          <t>3502</t>
        </is>
      </c>
      <c r="E96" t="inlineStr">
        <is>
          <t>Productividad y competitividad de las empresas colombianas</t>
        </is>
      </c>
      <c r="F96" t="inlineStr">
        <is>
          <t>3502049</t>
        </is>
      </c>
      <c r="G96" t="inlineStr">
        <is>
          <t>Servicio de circuito turístico</t>
        </is>
      </c>
      <c r="H96" t="inlineStr">
        <is>
          <t>Corresponde a un recorrido por determinados atractivos turísticos.</t>
        </is>
      </c>
      <c r="I96" t="inlineStr">
        <is>
          <t>2024257990017</t>
        </is>
      </c>
      <c r="J96" s="99">
        <v>338128900</v>
      </c>
      <c r="K96" s="99">
        <v>33000000</v>
      </c>
      <c r="L96" s="99">
        <v>100000000</v>
      </c>
      <c r="M96" s="99">
        <v>101700000</v>
      </c>
      <c r="N96" s="99">
        <v>103428900</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v>200000000</v>
      </c>
      <c r="U96" s="101">
        <v>200000000</v>
      </c>
      <c r="V96" s="101">
        <v>200000000</v>
      </c>
      <c r="W96" s="102">
        <v>2</v>
      </c>
      <c r="X96" t="inlineStr">
        <is>
          <t>Hubo ejecución por encima de lo programado en SisPT</t>
        </is>
      </c>
    </row>
    <row r="97">
      <c r="A97" t="inlineStr">
        <is>
          <t>IP-147</t>
        </is>
      </c>
      <c r="B97" t="inlineStr">
        <is>
          <t>35</t>
        </is>
      </c>
      <c r="C97" t="inlineStr">
        <is>
          <t>Comercio, industria y turismo</t>
        </is>
      </c>
      <c r="D97" t="inlineStr">
        <is>
          <t>3502</t>
        </is>
      </c>
      <c r="E97" t="inlineStr">
        <is>
          <t>Productividad y competitividad de las empresas colombianas</t>
        </is>
      </c>
      <c r="F97" t="inlineStr">
        <is>
          <t>3502053</t>
        </is>
      </c>
      <c r="G97" t="inlineStr">
        <is>
          <t>Centro turístico construido</t>
        </is>
      </c>
      <c r="H97" t="inlineStr">
        <is>
          <t>Corresponde a la infraestructura diseñada para la realización de actividades turísticas.</t>
        </is>
      </c>
      <c r="I97" t="inlineStr">
        <is>
          <t>2024257990017</t>
        </is>
      </c>
      <c r="J97" s="99">
        <v>120000000</v>
      </c>
      <c r="K97" s="99">
        <v>0</v>
      </c>
      <c r="L97" s="99">
        <v>120000000</v>
      </c>
      <c r="M97" s="99">
        <v>0</v>
      </c>
      <c r="N97" s="99">
        <v>0</v>
      </c>
      <c r="O97" s="99">
        <v>1000000000</v>
      </c>
      <c r="P97" s="99">
        <v>1000000000</v>
      </c>
      <c r="Q97" s="99">
        <v>1000000000</v>
      </c>
      <c r="R97" s="100" t="inlineStr">
        <is>
          <t xml:space="preserve"> </t>
        </is>
      </c>
      <c r="S97" t="inlineStr">
        <is>
          <t>Se ejecutó un producto no programado en la vigencia</t>
        </is>
      </c>
      <c r="T97" s="101" t="inlineStr">
        <is>
          <t xml:space="preserve"> </t>
        </is>
      </c>
      <c r="U97" s="101" t="inlineStr">
        <is>
          <t xml:space="preserve"> </t>
        </is>
      </c>
      <c r="V97" s="101" t="inlineStr">
        <is>
          <t xml:space="preserve"> </t>
        </is>
      </c>
      <c r="W97" s="102" t="inlineStr">
        <is>
          <t xml:space="preserve"> </t>
        </is>
      </c>
      <c r="X97" t="inlineStr">
        <is>
          <t>No se encontró ejecución en CUIPO</t>
        </is>
      </c>
    </row>
    <row r="98">
      <c r="A98" t="inlineStr">
        <is>
          <t>IP-150, IP-154</t>
        </is>
      </c>
      <c r="B98" t="inlineStr">
        <is>
          <t>17</t>
        </is>
      </c>
      <c r="C98" t="inlineStr">
        <is>
          <t xml:space="preserve">Agricultura y desarrollo rural
</t>
        </is>
      </c>
      <c r="D98" t="inlineStr">
        <is>
          <t>1702</t>
        </is>
      </c>
      <c r="E98" t="inlineStr">
        <is>
          <t>Inclusión productiva de pequeños productores rurales</t>
        </is>
      </c>
      <c r="F98" t="inlineStr">
        <is>
          <t>1702017</t>
        </is>
      </c>
      <c r="G98" t="inlineStr">
        <is>
          <t>Servicio de apoyo para el fomento organizativo de la Agricultura Campesina, Familiar y Comunitaria</t>
        </is>
      </c>
      <c r="H98" t="inlineStr">
        <is>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is>
      </c>
      <c r="I98" t="inlineStr">
        <is>
          <t>2024257990018</t>
        </is>
      </c>
      <c r="J98" s="99">
        <v>245756587.362</v>
      </c>
      <c r="K98" s="99">
        <v>21615000</v>
      </c>
      <c r="L98" s="99">
        <v>73458000</v>
      </c>
      <c r="M98" s="99">
        <v>74706786</v>
      </c>
      <c r="N98" s="99">
        <v>75976801.362</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v>72091334</v>
      </c>
      <c r="U98" s="101">
        <v>35679467</v>
      </c>
      <c r="V98" s="101">
        <v>34222467</v>
      </c>
      <c r="W98" s="102">
        <v>0.485712475155871</v>
      </c>
      <c r="X98" t="inlineStr">
        <is>
          <t>Lo obligado está por debajo de lo programado en la vigencia</t>
        </is>
      </c>
    </row>
    <row r="99">
      <c r="A99" t="inlineStr">
        <is>
          <t>IP-151</t>
        </is>
      </c>
      <c r="B99" t="inlineStr">
        <is>
          <t>17</t>
        </is>
      </c>
      <c r="C99" t="inlineStr">
        <is>
          <t xml:space="preserve">Agricultura y desarrollo rural
</t>
        </is>
      </c>
      <c r="D99" t="inlineStr">
        <is>
          <t>1702</t>
        </is>
      </c>
      <c r="E99" t="inlineStr">
        <is>
          <t>Inclusión productiva de pequeños productores rurales</t>
        </is>
      </c>
      <c r="F99" t="inlineStr">
        <is>
          <t>1702010</t>
        </is>
      </c>
      <c r="G99" t="inlineStr">
        <is>
          <t>Servicio de asistencia técnica agropecuaria dirigida a pequeños productores</t>
        </is>
      </c>
      <c r="H99" t="inlineStr">
        <is>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is>
      </c>
      <c r="I99" t="inlineStr">
        <is>
          <t>2024257990018</t>
        </is>
      </c>
      <c r="J99" s="99">
        <v>78481184.184</v>
      </c>
      <c r="K99" s="99">
        <v>53900000</v>
      </c>
      <c r="L99" s="99">
        <v>8056000</v>
      </c>
      <c r="M99" s="99">
        <v>8192952</v>
      </c>
      <c r="N99" s="99">
        <v>8332232.184</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v>8056000</v>
      </c>
      <c r="U99" s="101">
        <v>0</v>
      </c>
      <c r="V99" s="101">
        <v>0</v>
      </c>
      <c r="W99" s="102">
        <v>0</v>
      </c>
      <c r="X99" t="inlineStr">
        <is>
          <t>No se ejecutó en la vigencia</t>
        </is>
      </c>
    </row>
    <row r="100">
      <c r="A100" t="inlineStr">
        <is>
          <t>IP-152, IP-153</t>
        </is>
      </c>
      <c r="B100" t="inlineStr">
        <is>
          <t>17</t>
        </is>
      </c>
      <c r="C100" t="inlineStr">
        <is>
          <t xml:space="preserve">Agricultura y desarrollo rural
</t>
        </is>
      </c>
      <c r="D100" t="inlineStr">
        <is>
          <t>1702</t>
        </is>
      </c>
      <c r="E100" t="inlineStr">
        <is>
          <t>Inclusión productiva de pequeños productores rurales</t>
        </is>
      </c>
      <c r="F100" t="inlineStr">
        <is>
          <t>1702024</t>
        </is>
      </c>
      <c r="G100" t="inlineStr">
        <is>
          <t>Servicios de acompañamiento en la implementaciónde Planes de desarrollo agropecuario y rural</t>
        </is>
      </c>
      <c r="H100" t="inlineStr">
        <is>
          <t>Acciones orientadas a acompañar a los territorios en la articulación y gestión del Plan de Desarrollo Agropecuario y Rural</t>
        </is>
      </c>
      <c r="I100" t="inlineStr">
        <is>
          <t>2024257990018</t>
        </is>
      </c>
      <c r="J100" s="99">
        <v>12148282364.6507</v>
      </c>
      <c r="K100" s="99">
        <v>1558627655</v>
      </c>
      <c r="L100" s="99">
        <v>3470551203</v>
      </c>
      <c r="M100" s="99">
        <v>3529550573.451</v>
      </c>
      <c r="N100" s="99">
        <v>3589552933.1997</v>
      </c>
      <c r="O100" s="99" t="inlineStr">
        <is>
          <t xml:space="preserve"> </t>
        </is>
      </c>
      <c r="P100" s="99" t="inlineStr">
        <is>
          <t xml:space="preserve"> </t>
        </is>
      </c>
      <c r="Q100" s="99" t="inlineStr">
        <is>
          <t xml:space="preserve"> </t>
        </is>
      </c>
      <c r="R100" s="100" t="inlineStr">
        <is>
          <t xml:space="preserve"> </t>
        </is>
      </c>
      <c r="S100" t="inlineStr">
        <is>
          <t>No se encontró ejecución en CUIPO</t>
        </is>
      </c>
      <c r="T100" s="101">
        <v>2741850937</v>
      </c>
      <c r="U100" s="101">
        <v>1059497220</v>
      </c>
      <c r="V100" s="101">
        <v>1028261211</v>
      </c>
      <c r="W100" s="102">
        <v>0.305282117458504</v>
      </c>
      <c r="X100" t="inlineStr">
        <is>
          <t>Lo obligado está por debajo de lo programado en la vigencia</t>
        </is>
      </c>
    </row>
    <row r="101">
      <c r="A101" t="inlineStr">
        <is>
          <t>IP-155</t>
        </is>
      </c>
      <c r="B101" t="inlineStr">
        <is>
          <t>17</t>
        </is>
      </c>
      <c r="C101" t="inlineStr">
        <is>
          <t xml:space="preserve">Agricultura y desarrollo rural
</t>
        </is>
      </c>
      <c r="D101" t="inlineStr">
        <is>
          <t>1702</t>
        </is>
      </c>
      <c r="E101" t="inlineStr">
        <is>
          <t>Inclusión productiva de pequeños productores rurales</t>
        </is>
      </c>
      <c r="F101" t="inlineStr">
        <is>
          <t>1702023</t>
        </is>
      </c>
      <c r="G101" t="inlineStr">
        <is>
          <t>Documentos de planeación</t>
        </is>
      </c>
      <c r="H101" t="inlineStr">
        <is>
          <t>Documentos cuyo objetivo es plasmar una visión de futuro a nivel país, entidad territorial, comunidad, sector, región, entidad o cualquier nivel de desagregación que se requiera. Incluye objetivos, estrategias, metas e indicadores.</t>
        </is>
      </c>
      <c r="I101" t="inlineStr">
        <is>
          <t>2024257990018</t>
        </is>
      </c>
      <c r="J101" s="99">
        <v>223504122.002</v>
      </c>
      <c r="K101" s="99">
        <v>12300000</v>
      </c>
      <c r="L101" s="99">
        <v>69218000</v>
      </c>
      <c r="M101" s="99">
        <v>70394706</v>
      </c>
      <c r="N101" s="99">
        <v>71591416.002</v>
      </c>
      <c r="O101" s="99">
        <v>990706599</v>
      </c>
      <c r="P101" s="99">
        <v>948829434</v>
      </c>
      <c r="Q101" s="99">
        <v>918019623</v>
      </c>
      <c r="R101" s="100">
        <v>77.1406043902439</v>
      </c>
      <c r="S101" t="inlineStr">
        <is>
          <t>Hubo ejecución por encima de lo programado en SisPT</t>
        </is>
      </c>
      <c r="T101" s="101">
        <v>55275334</v>
      </c>
      <c r="U101" s="101">
        <v>40273662</v>
      </c>
      <c r="V101" s="101">
        <v>36087996</v>
      </c>
      <c r="W101" s="102">
        <v>0.581837990118177</v>
      </c>
      <c r="X101" t="inlineStr">
        <is>
          <t>Lo obligado está por debajo de lo programado en la vigencia</t>
        </is>
      </c>
    </row>
    <row r="102">
      <c r="A102" t="inlineStr">
        <is>
          <t>IP-156</t>
        </is>
      </c>
      <c r="B102" t="inlineStr">
        <is>
          <t>17</t>
        </is>
      </c>
      <c r="C102" t="inlineStr">
        <is>
          <t xml:space="preserve">Agricultura y desarrollo rural
</t>
        </is>
      </c>
      <c r="D102" t="inlineStr">
        <is>
          <t>1707</t>
        </is>
      </c>
      <c r="E102" t="inlineStr">
        <is>
          <t>Sanidad agropecuaria e inocuidad agroalimentaria</t>
        </is>
      </c>
      <c r="F102" t="inlineStr">
        <is>
          <t>1707069</t>
        </is>
      </c>
      <c r="G102" t="inlineStr">
        <is>
          <t>Servicio de divulgación y socialización</t>
        </is>
      </c>
      <c r="H102" t="inlineStr">
        <is>
          <t>Comprende el desarrollo  de la divulgación y socialización de política, documentos de lineamientos técnicos, documentos  de seguimiento y evaluación.</t>
        </is>
      </c>
      <c r="I102" t="inlineStr">
        <is>
          <t>2024257990019</t>
        </is>
      </c>
      <c r="J102" s="99">
        <v>1081750934.3</v>
      </c>
      <c r="K102" s="99">
        <v>164228332</v>
      </c>
      <c r="L102" s="99">
        <v>300700000</v>
      </c>
      <c r="M102" s="99">
        <v>305811900</v>
      </c>
      <c r="N102" s="99">
        <v>311010702.3</v>
      </c>
      <c r="O102" s="99" t="inlineStr">
        <is>
          <t xml:space="preserve"> </t>
        </is>
      </c>
      <c r="P102" s="99" t="inlineStr">
        <is>
          <t xml:space="preserve"> </t>
        </is>
      </c>
      <c r="Q102" s="99" t="inlineStr">
        <is>
          <t xml:space="preserve"> </t>
        </is>
      </c>
      <c r="R102" s="100" t="inlineStr">
        <is>
          <t xml:space="preserve"> </t>
        </is>
      </c>
      <c r="S102" t="inlineStr">
        <is>
          <t>No se encontró ejecución en CUIPO</t>
        </is>
      </c>
      <c r="T102" s="101" t="inlineStr">
        <is>
          <t xml:space="preserve"> </t>
        </is>
      </c>
      <c r="U102" s="101" t="inlineStr">
        <is>
          <t xml:space="preserve"> </t>
        </is>
      </c>
      <c r="V102" s="101" t="inlineStr">
        <is>
          <t xml:space="preserve"> </t>
        </is>
      </c>
      <c r="W102" s="102" t="inlineStr">
        <is>
          <t xml:space="preserve"> </t>
        </is>
      </c>
      <c r="X102" t="inlineStr">
        <is>
          <t>No se encontró ejecución en CUIPO</t>
        </is>
      </c>
    </row>
    <row r="103">
      <c r="A103" t="inlineStr">
        <is>
          <t>IP-157</t>
        </is>
      </c>
      <c r="B103" t="inlineStr">
        <is>
          <t>17</t>
        </is>
      </c>
      <c r="C103" t="inlineStr">
        <is>
          <t xml:space="preserve">Agricultura y desarrollo rural
</t>
        </is>
      </c>
      <c r="D103" t="inlineStr">
        <is>
          <t>1707</t>
        </is>
      </c>
      <c r="E103" t="inlineStr">
        <is>
          <t>Sanidad agropecuaria e inocuidad agroalimentaria</t>
        </is>
      </c>
      <c r="F103" t="inlineStr">
        <is>
          <t>1707070</t>
        </is>
      </c>
      <c r="G103" t="inlineStr">
        <is>
          <t>Documentos de política</t>
        </is>
      </c>
      <c r="H103" t="inlineStr">
        <is>
          <t>Documentos cuyo objetivo es emitir los lineamientos de política para el Ministerio de Agricultura y Desarrollo Rural, las entidades adscritas y vinculadas, gremios, asociaciones o comités de productores y secretarías de agricultura, entidades del orden departamental, municipal y distrital.</t>
        </is>
      </c>
      <c r="I103" t="inlineStr">
        <is>
          <t>2024257990019</t>
        </is>
      </c>
      <c r="J103" s="99">
        <v>30255000</v>
      </c>
      <c r="K103" s="99">
        <v>0</v>
      </c>
      <c r="L103" s="99">
        <v>15000000</v>
      </c>
      <c r="M103" s="99">
        <v>15255000</v>
      </c>
      <c r="N103" s="99">
        <v>0</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IP-158</t>
        </is>
      </c>
      <c r="B104" t="inlineStr">
        <is>
          <t>35</t>
        </is>
      </c>
      <c r="C104" t="inlineStr">
        <is>
          <t>Comercio, industria y turismo</t>
        </is>
      </c>
      <c r="D104" t="inlineStr">
        <is>
          <t>3502</t>
        </is>
      </c>
      <c r="E104" t="inlineStr">
        <is>
          <t>Productividad y competitividad de las empresas colombianas</t>
        </is>
      </c>
      <c r="F104" t="inlineStr">
        <is>
          <t>3502012</t>
        </is>
      </c>
      <c r="G104" t="inlineStr">
        <is>
          <t>Servicio de apoyo para la modernización y fomento de la innovación empresarial</t>
        </is>
      </c>
      <c r="H104"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104" t="inlineStr">
        <is>
          <t>2024257990020</t>
        </is>
      </c>
      <c r="J104" s="99">
        <v>824209360</v>
      </c>
      <c r="K104" s="99">
        <v>91900000</v>
      </c>
      <c r="L104" s="99">
        <v>240000000</v>
      </c>
      <c r="M104" s="99">
        <v>244080000</v>
      </c>
      <c r="N104" s="99">
        <v>248229360</v>
      </c>
      <c r="O104" s="99" t="inlineStr">
        <is>
          <t xml:space="preserve"> </t>
        </is>
      </c>
      <c r="P104" s="99" t="inlineStr">
        <is>
          <t xml:space="preserve"> </t>
        </is>
      </c>
      <c r="Q104" s="99" t="inlineStr">
        <is>
          <t xml:space="preserve"> </t>
        </is>
      </c>
      <c r="R104" s="100" t="inlineStr">
        <is>
          <t xml:space="preserve"> </t>
        </is>
      </c>
      <c r="S104" t="inlineStr">
        <is>
          <t>No se encontró ejecución en CUIPO</t>
        </is>
      </c>
      <c r="T104" s="101">
        <v>197428405</v>
      </c>
      <c r="U104" s="101">
        <v>132483333</v>
      </c>
      <c r="V104" s="101">
        <v>111683333</v>
      </c>
      <c r="W104" s="102">
        <v>0.5520138875</v>
      </c>
      <c r="X104" t="inlineStr">
        <is>
          <t>Lo obligado está por debajo de lo programado en la vigencia</t>
        </is>
      </c>
    </row>
    <row r="105">
      <c r="A105" t="inlineStr">
        <is>
          <t>IP-159</t>
        </is>
      </c>
      <c r="B105" t="inlineStr">
        <is>
          <t>35</t>
        </is>
      </c>
      <c r="C105" t="inlineStr">
        <is>
          <t>Comercio, industria y turismo</t>
        </is>
      </c>
      <c r="D105" t="inlineStr">
        <is>
          <t>3502</t>
        </is>
      </c>
      <c r="E105" t="inlineStr">
        <is>
          <t>Productividad y competitividad de las empresas colombianas</t>
        </is>
      </c>
      <c r="F105" t="inlineStr">
        <is>
          <t>3502004</t>
        </is>
      </c>
      <c r="G105" t="inlineStr">
        <is>
          <t>Servicio de apoyo financiero para el mejoramiento de productos o procesos</t>
        </is>
      </c>
      <c r="H105" t="inlineStr">
        <is>
          <t>Con este servicio se busca financiar iniciativas de mejoramiento en la calidad de los productos y Servicio, así como en el mejoramiento de procesos productivos de las empresas nacionales.</t>
        </is>
      </c>
      <c r="I105" t="inlineStr">
        <is>
          <t>2024257990020</t>
        </is>
      </c>
      <c r="J105" s="99">
        <v>1504080142</v>
      </c>
      <c r="K105" s="99">
        <v>436128992</v>
      </c>
      <c r="L105" s="99">
        <v>350000000</v>
      </c>
      <c r="M105" s="99">
        <v>355950000</v>
      </c>
      <c r="N105" s="99">
        <v>362001150</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IP-160</t>
        </is>
      </c>
      <c r="B106" t="inlineStr">
        <is>
          <t>35</t>
        </is>
      </c>
      <c r="C106" t="inlineStr">
        <is>
          <t>Comercio, industria y turismo</t>
        </is>
      </c>
      <c r="D106" t="inlineStr">
        <is>
          <t>3502</t>
        </is>
      </c>
      <c r="E106" t="inlineStr">
        <is>
          <t>Productividad y competitividad de las empresas colombianas</t>
        </is>
      </c>
      <c r="F106" t="inlineStr">
        <is>
          <t>3502021</t>
        </is>
      </c>
      <c r="G106" t="inlineStr">
        <is>
          <t>Servicio de fortalecimiento y desarrollo de unidades productivas para la comercialización de productos agroindustriales</t>
        </is>
      </c>
      <c r="H106" t="inlineStr">
        <is>
          <t>Generación de encadenamientos productivos con procesos asociativos bajo el esquema de marca social jalonados por empresas ancla para impulsar la comercialización de la producción agrícola familiar</t>
        </is>
      </c>
      <c r="I106" t="inlineStr">
        <is>
          <t>2024257990020</t>
        </is>
      </c>
      <c r="J106" s="99">
        <v>117023660.3478</v>
      </c>
      <c r="K106" s="99">
        <v>13600000</v>
      </c>
      <c r="L106" s="99">
        <v>33895072</v>
      </c>
      <c r="M106" s="99">
        <v>34471288.224</v>
      </c>
      <c r="N106" s="99">
        <v>35057300.1238</v>
      </c>
      <c r="O106" s="99" t="inlineStr">
        <is>
          <t xml:space="preserve"> </t>
        </is>
      </c>
      <c r="P106" s="99" t="inlineStr">
        <is>
          <t xml:space="preserve"> </t>
        </is>
      </c>
      <c r="Q106" s="99" t="inlineStr">
        <is>
          <t xml:space="preserve"> </t>
        </is>
      </c>
      <c r="R106" s="100" t="inlineStr">
        <is>
          <t xml:space="preserve"> </t>
        </is>
      </c>
      <c r="S106" t="inlineStr">
        <is>
          <t>No se encontró ejecución en CUIPO</t>
        </is>
      </c>
      <c r="T106" s="101">
        <v>33895072</v>
      </c>
      <c r="U106" s="101">
        <v>20800000</v>
      </c>
      <c r="V106" s="101">
        <v>20800000</v>
      </c>
      <c r="W106" s="102">
        <v>0.613658528295795</v>
      </c>
      <c r="X106" t="inlineStr">
        <is>
          <t>Lo obligado está por debajo de lo programado en la vigencia</t>
        </is>
      </c>
    </row>
    <row r="107">
      <c r="A107" t="inlineStr">
        <is>
          <t>IP-161</t>
        </is>
      </c>
      <c r="B107" t="inlineStr">
        <is>
          <t>35</t>
        </is>
      </c>
      <c r="C107" t="inlineStr">
        <is>
          <t>Comercio, industria y turismo</t>
        </is>
      </c>
      <c r="D107" t="inlineStr">
        <is>
          <t>3502</t>
        </is>
      </c>
      <c r="E107" t="inlineStr">
        <is>
          <t>Productividad y competitividad de las empresas colombianas</t>
        </is>
      </c>
      <c r="F107" t="inlineStr">
        <is>
          <t>3502006</t>
        </is>
      </c>
      <c r="G107" t="inlineStr">
        <is>
          <t>Servicio de apoyo y consolidación de las Comisiones Regionales de Competitividad - CRC</t>
        </is>
      </c>
      <c r="H107" t="inlineStr">
        <is>
          <t>Con este servicio se busca fortalecer la articulación publico privada de las comisiones regionales de competitividad (CRC) en los territorios, para la implementación de las políticas de desarrollo productivo, de competitividad y productividad,</t>
        </is>
      </c>
      <c r="I107" t="inlineStr">
        <is>
          <t>2024257990020</t>
        </is>
      </c>
      <c r="J107" s="99">
        <v>485401084</v>
      </c>
      <c r="K107" s="99">
        <v>9400000</v>
      </c>
      <c r="L107" s="99">
        <v>156000000</v>
      </c>
      <c r="M107" s="99">
        <v>158652000</v>
      </c>
      <c r="N107" s="99">
        <v>161349084</v>
      </c>
      <c r="O107" s="99" t="inlineStr">
        <is>
          <t xml:space="preserve"> </t>
        </is>
      </c>
      <c r="P107" s="99" t="inlineStr">
        <is>
          <t xml:space="preserve"> </t>
        </is>
      </c>
      <c r="Q107" s="99" t="inlineStr">
        <is>
          <t xml:space="preserve"> </t>
        </is>
      </c>
      <c r="R107" s="100" t="inlineStr">
        <is>
          <t xml:space="preserve"> </t>
        </is>
      </c>
      <c r="S107" t="inlineStr">
        <is>
          <t>No se encontró ejecución en CUIPO</t>
        </is>
      </c>
      <c r="T107" s="101">
        <v>120000000</v>
      </c>
      <c r="U107" s="101">
        <v>81550000</v>
      </c>
      <c r="V107" s="101">
        <v>70250000</v>
      </c>
      <c r="W107" s="102">
        <v>0.52275641025641</v>
      </c>
      <c r="X107" t="inlineStr">
        <is>
          <t>Lo obligado está por debajo de lo programado en la vigencia</t>
        </is>
      </c>
    </row>
    <row r="108">
      <c r="A108" t="inlineStr">
        <is>
          <t>IP-162</t>
        </is>
      </c>
      <c r="B108" t="inlineStr">
        <is>
          <t>35</t>
        </is>
      </c>
      <c r="C108" t="inlineStr">
        <is>
          <t>Comercio, industria y turismo</t>
        </is>
      </c>
      <c r="D108" t="inlineStr">
        <is>
          <t>3502</t>
        </is>
      </c>
      <c r="E108" t="inlineStr">
        <is>
          <t>Productividad y competitividad de las empresas colombianas</t>
        </is>
      </c>
      <c r="F108" t="inlineStr">
        <is>
          <t>3502090</t>
        </is>
      </c>
      <c r="G108" t="inlineStr">
        <is>
          <t>Servicio de educación informal</t>
        </is>
      </c>
      <c r="H108" t="inlineStr">
        <is>
          <t>Corresponde a talleres, sensibilizaciones, cursos en temáticas de emprendimiento, productividad, competitividad y asuntos comerciales.</t>
        </is>
      </c>
      <c r="I108" t="inlineStr">
        <is>
          <t>2024257990020</t>
        </is>
      </c>
      <c r="J108" s="99">
        <v>679898506</v>
      </c>
      <c r="K108" s="99">
        <v>210000000</v>
      </c>
      <c r="L108" s="99">
        <v>154000000</v>
      </c>
      <c r="M108" s="99">
        <v>156618000</v>
      </c>
      <c r="N108" s="99">
        <v>159280506</v>
      </c>
      <c r="O108" s="99" t="inlineStr">
        <is>
          <t xml:space="preserve"> </t>
        </is>
      </c>
      <c r="P108" s="99" t="inlineStr">
        <is>
          <t xml:space="preserve"> </t>
        </is>
      </c>
      <c r="Q108" s="99" t="inlineStr">
        <is>
          <t xml:space="preserve"> </t>
        </is>
      </c>
      <c r="R108" s="100" t="inlineStr">
        <is>
          <t xml:space="preserve"> </t>
        </is>
      </c>
      <c r="S108" t="inlineStr">
        <is>
          <t>No se encontró ejecución en CUIPO</t>
        </is>
      </c>
      <c r="T108" s="101" t="inlineStr">
        <is>
          <t xml:space="preserve"> </t>
        </is>
      </c>
      <c r="U108" s="101" t="inlineStr">
        <is>
          <t xml:space="preserve"> </t>
        </is>
      </c>
      <c r="V108" s="101" t="inlineStr">
        <is>
          <t xml:space="preserve"> </t>
        </is>
      </c>
      <c r="W108" s="102" t="inlineStr">
        <is>
          <t xml:space="preserve"> </t>
        </is>
      </c>
      <c r="X108" t="inlineStr">
        <is>
          <t>No se encontró ejecución en CUIPO</t>
        </is>
      </c>
    </row>
    <row r="109">
      <c r="A109" t="inlineStr">
        <is>
          <t>IP-163</t>
        </is>
      </c>
      <c r="B109" t="inlineStr">
        <is>
          <t>35</t>
        </is>
      </c>
      <c r="C109" t="inlineStr">
        <is>
          <t>Comercio, industria y turismo</t>
        </is>
      </c>
      <c r="D109" t="inlineStr">
        <is>
          <t>3502</t>
        </is>
      </c>
      <c r="E109" t="inlineStr">
        <is>
          <t>Productividad y competitividad de las empresas colombianas</t>
        </is>
      </c>
      <c r="F109" t="inlineStr">
        <is>
          <t>3502008</t>
        </is>
      </c>
      <c r="G109" t="inlineStr">
        <is>
          <t>Servicio de asistencia técnica para mejorar la competitividad de los sectores productivos</t>
        </is>
      </c>
      <c r="H109" t="inlineStr">
        <is>
          <t>Con este servicio se busca remover cuellos de botella que afecten la competitividad de los sectores productivo de interés para las regiones, específicamente sectores que no están organizados en iniciativas clúster</t>
        </is>
      </c>
      <c r="I109" t="inlineStr">
        <is>
          <t>2024257990020</t>
        </is>
      </c>
      <c r="J109" s="99">
        <v>1671283580</v>
      </c>
      <c r="K109" s="99">
        <v>1000000000</v>
      </c>
      <c r="L109" s="99">
        <v>220000000</v>
      </c>
      <c r="M109" s="99">
        <v>223740000</v>
      </c>
      <c r="N109" s="99">
        <v>227543580</v>
      </c>
      <c r="O109" s="99" t="inlineStr">
        <is>
          <t xml:space="preserve"> </t>
        </is>
      </c>
      <c r="P109" s="99" t="inlineStr">
        <is>
          <t xml:space="preserve"> </t>
        </is>
      </c>
      <c r="Q109" s="99" t="inlineStr">
        <is>
          <t xml:space="preserve"> </t>
        </is>
      </c>
      <c r="R109" s="100" t="inlineStr">
        <is>
          <t xml:space="preserve"> </t>
        </is>
      </c>
      <c r="S109" t="inlineStr">
        <is>
          <t>No se encontró ejecución en CUIPO</t>
        </is>
      </c>
      <c r="T109" s="101">
        <v>200000000</v>
      </c>
      <c r="U109" s="101">
        <v>141571165</v>
      </c>
      <c r="V109" s="101">
        <v>124571165</v>
      </c>
      <c r="W109" s="102">
        <v>0.643505295454545</v>
      </c>
      <c r="X109" t="inlineStr">
        <is>
          <t>Lo obligado está por debajo de lo programado en la vigencia</t>
        </is>
      </c>
    </row>
    <row r="110">
      <c r="A110" t="inlineStr">
        <is>
          <t>IP-164</t>
        </is>
      </c>
      <c r="B110" t="inlineStr">
        <is>
          <t>39</t>
        </is>
      </c>
      <c r="C110" t="inlineStr">
        <is>
          <t xml:space="preserve">Ciencia, tecnología e innovación
</t>
        </is>
      </c>
      <c r="D110" t="inlineStr">
        <is>
          <t>3906</t>
        </is>
      </c>
      <c r="E110" t="inlineStr">
        <is>
          <t>Fomento a vocaciones y formación, generación, uso y apropiación social del conocimiento de la ciencia, tecnología e innovación</t>
        </is>
      </c>
      <c r="F110" t="inlineStr">
        <is>
          <t>3906015</t>
        </is>
      </c>
      <c r="G110" t="inlineStr">
        <is>
          <t>Documentos de planeación</t>
        </is>
      </c>
      <c r="H110" t="inlineStr">
        <is>
          <t>Documentos cuyo objetivo es plasmar una visión de futuro a nivel país, entidad territorial, comunidad, sector, región, entidad o cualquier nivel de desagregación que se requiera. Incluye objetivos, estrategias, metas e indicadores</t>
        </is>
      </c>
      <c r="I110" t="inlineStr">
        <is>
          <t>2024257990021</t>
        </is>
      </c>
      <c r="J110" s="99">
        <v>0</v>
      </c>
      <c r="K110" s="99">
        <v>0</v>
      </c>
      <c r="L110" s="99">
        <v>0</v>
      </c>
      <c r="M110" s="99">
        <v>0</v>
      </c>
      <c r="N110" s="99">
        <v>0</v>
      </c>
      <c r="O110" s="99" t="inlineStr">
        <is>
          <t xml:space="preserve"> </t>
        </is>
      </c>
      <c r="P110" s="99" t="inlineStr">
        <is>
          <t xml:space="preserve"> </t>
        </is>
      </c>
      <c r="Q110" s="99" t="inlineStr">
        <is>
          <t xml:space="preserve"> </t>
        </is>
      </c>
      <c r="R110" s="100" t="inlineStr">
        <is>
          <t xml:space="preserve"> </t>
        </is>
      </c>
      <c r="S110" t="inlineStr">
        <is>
          <t>No se encontró ejecución en CUIPO</t>
        </is>
      </c>
      <c r="T110" s="101" t="inlineStr">
        <is>
          <t xml:space="preserve"> </t>
        </is>
      </c>
      <c r="U110" s="101" t="inlineStr">
        <is>
          <t xml:space="preserve"> </t>
        </is>
      </c>
      <c r="V110" s="101" t="inlineStr">
        <is>
          <t xml:space="preserve"> </t>
        </is>
      </c>
      <c r="W110" s="102" t="inlineStr">
        <is>
          <t xml:space="preserve"> </t>
        </is>
      </c>
      <c r="X110" t="inlineStr">
        <is>
          <t>No se encontró ejecución en CUIPO</t>
        </is>
      </c>
    </row>
    <row r="111">
      <c r="A111" t="inlineStr">
        <is>
          <t>IP-165</t>
        </is>
      </c>
      <c r="B111" t="inlineStr">
        <is>
          <t>39</t>
        </is>
      </c>
      <c r="C111" t="inlineStr">
        <is>
          <t xml:space="preserve">Ciencia, tecnología e innovación
</t>
        </is>
      </c>
      <c r="D111" t="inlineStr">
        <is>
          <t>3906</t>
        </is>
      </c>
      <c r="E111" t="inlineStr">
        <is>
          <t>Fomento a vocaciones y formación, generación, uso y apropiación social del conocimiento de la ciencia, tecnología e innovación</t>
        </is>
      </c>
      <c r="F111" t="inlineStr">
        <is>
          <t>3906005</t>
        </is>
      </c>
      <c r="G111" t="inlineStr">
        <is>
          <t>Servicio de apoyo financiero a programas y proyectos de Ciencia, Tecnología e Innovación (CTI) para la generación de conocimiento, desarrollo tecnológico e innovación. (I+D+i)</t>
        </is>
      </c>
      <c r="H111" t="inlineStr">
        <is>
          <t>Servicio mediante el cual se realiza apoyo financiero a los programas y proyectos de investigación, desarrollo experimental, procesos de innovación y desarrollo tecnológico del Sistema Nacional de Ciencia, Tecnología e Innovación transformativa</t>
        </is>
      </c>
      <c r="I111" t="inlineStr">
        <is>
          <t>2024257990021</t>
        </is>
      </c>
      <c r="J111" s="99">
        <v>1000000000</v>
      </c>
      <c r="K111" s="99">
        <v>1000000000</v>
      </c>
      <c r="L111" s="99">
        <v>0</v>
      </c>
      <c r="M111" s="99">
        <v>0</v>
      </c>
      <c r="N111" s="99">
        <v>0</v>
      </c>
      <c r="O111" s="99" t="inlineStr">
        <is>
          <t xml:space="preserve"> </t>
        </is>
      </c>
      <c r="P111" s="99" t="inlineStr">
        <is>
          <t xml:space="preserve"> </t>
        </is>
      </c>
      <c r="Q111" s="99" t="inlineStr">
        <is>
          <t xml:space="preserve"> </t>
        </is>
      </c>
      <c r="R111" s="100" t="inlineStr">
        <is>
          <t xml:space="preserve"> </t>
        </is>
      </c>
      <c r="S111" t="inlineStr">
        <is>
          <t>No se encontró ejecución en CUIPO</t>
        </is>
      </c>
      <c r="T111" s="101" t="inlineStr">
        <is>
          <t xml:space="preserve"> </t>
        </is>
      </c>
      <c r="U111" s="101" t="inlineStr">
        <is>
          <t xml:space="preserve"> </t>
        </is>
      </c>
      <c r="V111" s="101" t="inlineStr">
        <is>
          <t xml:space="preserve"> </t>
        </is>
      </c>
      <c r="W111" s="102" t="inlineStr">
        <is>
          <t xml:space="preserve"> </t>
        </is>
      </c>
      <c r="X111" t="inlineStr">
        <is>
          <t>No se encontró ejecución en CUIPO</t>
        </is>
      </c>
    </row>
    <row r="112">
      <c r="A112" t="inlineStr">
        <is>
          <t>IP-166</t>
        </is>
      </c>
      <c r="B112" t="inlineStr">
        <is>
          <t>39</t>
        </is>
      </c>
      <c r="C112" t="inlineStr">
        <is>
          <t xml:space="preserve">Ciencia, tecnología e innovación
</t>
        </is>
      </c>
      <c r="D112" t="inlineStr">
        <is>
          <t>3906</t>
        </is>
      </c>
      <c r="E112" t="inlineStr">
        <is>
          <t>Fomento a vocaciones y formación, generación, uso y apropiación social del conocimiento de la ciencia, tecnología e innovación</t>
        </is>
      </c>
      <c r="F112" t="inlineStr">
        <is>
          <t>3906018</t>
        </is>
      </c>
      <c r="G112" t="inlineStr">
        <is>
          <t xml:space="preserve">Infraestructura para la I+D+i construida y dotada </t>
        </is>
      </c>
      <c r="H112" t="inlineStr">
        <is>
          <t>Contempla la construcción de infraestructura para la I+D+i, de conformidad con lo establecido en las políticas, normatividad y lineamientos técnicos. Incluye la dotación.</t>
        </is>
      </c>
      <c r="I112" t="inlineStr">
        <is>
          <t>2024257990021</t>
        </is>
      </c>
      <c r="J112" s="99">
        <v>1062822250</v>
      </c>
      <c r="K112" s="99">
        <v>300000000</v>
      </c>
      <c r="L112" s="99">
        <v>250000000</v>
      </c>
      <c r="M112" s="99">
        <v>254250000</v>
      </c>
      <c r="N112" s="99">
        <v>258572250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IP-167</t>
        </is>
      </c>
      <c r="B113" t="inlineStr">
        <is>
          <t>39</t>
        </is>
      </c>
      <c r="C113" t="inlineStr">
        <is>
          <t xml:space="preserve">Ciencia, tecnología e innovación
</t>
        </is>
      </c>
      <c r="D113" t="inlineStr">
        <is>
          <t>3906</t>
        </is>
      </c>
      <c r="E113" t="inlineStr">
        <is>
          <t>Fomento a vocaciones y formación, generación, uso y apropiación social del conocimiento de la ciencia, tecnología e innovación</t>
        </is>
      </c>
      <c r="F113" t="inlineStr">
        <is>
          <t>3906021</t>
        </is>
      </c>
      <c r="G113" t="inlineStr">
        <is>
          <t>Infraestructura para la I+D+i adecuada</t>
        </is>
      </c>
      <c r="H113" t="inlineStr">
        <is>
          <t>Corresponde al proceso de ajuste o adaptación de un espacio o área, de una infraestructura de I+D+i, con las especificaciones técnicas requeridas para el desarrollo de las actividades propias de su objeto. Incluye acciones de remodelación o ampliación o modificación, entendidas como cambios de la infraestructura o arquitectura de una edificación.</t>
        </is>
      </c>
      <c r="I113" t="inlineStr">
        <is>
          <t>2024257990021</t>
        </is>
      </c>
      <c r="J113" s="99">
        <v>250000000</v>
      </c>
      <c r="K113" s="99">
        <v>250000000</v>
      </c>
      <c r="L113" s="99">
        <v>0</v>
      </c>
      <c r="M113" s="99">
        <v>0</v>
      </c>
      <c r="N113" s="99">
        <v>0</v>
      </c>
      <c r="O113" s="99" t="inlineStr">
        <is>
          <t xml:space="preserve"> </t>
        </is>
      </c>
      <c r="P113" s="99" t="inlineStr">
        <is>
          <t xml:space="preserve"> </t>
        </is>
      </c>
      <c r="Q113" s="99" t="inlineStr">
        <is>
          <t xml:space="preserve"> </t>
        </is>
      </c>
      <c r="R113" s="100" t="inlineStr">
        <is>
          <t xml:space="preserve"> </t>
        </is>
      </c>
      <c r="S113" t="inlineStr">
        <is>
          <t>No se encontró ejecución en CUIPO</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IP-168, IP-171</t>
        </is>
      </c>
      <c r="B114" t="inlineStr">
        <is>
          <t>39</t>
        </is>
      </c>
      <c r="C114" t="inlineStr">
        <is>
          <t xml:space="preserve">Ciencia, tecnología e innovación
</t>
        </is>
      </c>
      <c r="D114" t="inlineStr">
        <is>
          <t>3905</t>
        </is>
      </c>
      <c r="E114" t="inlineStr">
        <is>
          <t>Fortalecimiento de la gobernanza e institucionalidad multinivel del sector de CTeI</t>
        </is>
      </c>
      <c r="F114" t="inlineStr">
        <is>
          <t>3905005</t>
        </is>
      </c>
      <c r="G114" t="inlineStr">
        <is>
          <t>Servicio de asistencia técnica</t>
        </is>
      </c>
      <c r="H114" t="inlineStr">
        <is>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is>
      </c>
      <c r="I114" t="inlineStr">
        <is>
          <t>2024257990022</t>
        </is>
      </c>
      <c r="J114" s="99">
        <v>41500000</v>
      </c>
      <c r="K114" s="99">
        <v>40000000</v>
      </c>
      <c r="L114" s="99">
        <v>0</v>
      </c>
      <c r="M114" s="99">
        <v>1500000</v>
      </c>
      <c r="N114" s="99">
        <v>0</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t="inlineStr">
        <is>
          <t xml:space="preserve"> </t>
        </is>
      </c>
      <c r="U114" s="101" t="inlineStr">
        <is>
          <t xml:space="preserve"> </t>
        </is>
      </c>
      <c r="V114" s="101" t="inlineStr">
        <is>
          <t xml:space="preserve"> </t>
        </is>
      </c>
      <c r="W114" s="102" t="inlineStr">
        <is>
          <t xml:space="preserve"> </t>
        </is>
      </c>
      <c r="X114" t="inlineStr">
        <is>
          <t>No se encontró ejecución en CUIPO</t>
        </is>
      </c>
    </row>
    <row r="115">
      <c r="A115" t="inlineStr">
        <is>
          <t>IP-169</t>
        </is>
      </c>
      <c r="B115" t="inlineStr">
        <is>
          <t>39</t>
        </is>
      </c>
      <c r="C115" t="inlineStr">
        <is>
          <t xml:space="preserve">Ciencia, tecnología e innovación
</t>
        </is>
      </c>
      <c r="D115" t="inlineStr">
        <is>
          <t>3905</t>
        </is>
      </c>
      <c r="E115" t="inlineStr">
        <is>
          <t>Fortalecimiento de la gobernanza e institucionalidad multinivel del sector de CTeI</t>
        </is>
      </c>
      <c r="F115" t="inlineStr">
        <is>
          <t>3905004</t>
        </is>
      </c>
      <c r="G115" t="inlineStr">
        <is>
          <t>Servicio de reconocimiento de actores del SNCTI</t>
        </is>
      </c>
      <c r="H115" t="inlineStr">
        <is>
          <t>Servicios prestados para reconocer los actores del SNCTI de acuerdo con la producción de resultados tangibles y verificables, fruto de proyectos y otras actividades de ciencia, tecnología e innovación que realicen.</t>
        </is>
      </c>
      <c r="I115" t="inlineStr">
        <is>
          <t>2024257990022</t>
        </is>
      </c>
      <c r="J115" s="99">
        <v>50000000</v>
      </c>
      <c r="K115" s="99">
        <v>50000000</v>
      </c>
      <c r="L115" s="99">
        <v>0</v>
      </c>
      <c r="M115" s="99">
        <v>0</v>
      </c>
      <c r="N115" s="99">
        <v>0</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t="inlineStr">
        <is>
          <t xml:space="preserve"> </t>
        </is>
      </c>
      <c r="U115" s="101" t="inlineStr">
        <is>
          <t xml:space="preserve"> </t>
        </is>
      </c>
      <c r="V115" s="101" t="inlineStr">
        <is>
          <t xml:space="preserve"> </t>
        </is>
      </c>
      <c r="W115" s="102" t="inlineStr">
        <is>
          <t xml:space="preserve"> </t>
        </is>
      </c>
      <c r="X115" t="inlineStr">
        <is>
          <t>No se encontró ejecución en CUIPO</t>
        </is>
      </c>
    </row>
    <row r="116">
      <c r="A116" t="inlineStr">
        <is>
          <t>IP-170</t>
        </is>
      </c>
      <c r="B116" t="inlineStr">
        <is>
          <t>39</t>
        </is>
      </c>
      <c r="C116" t="inlineStr">
        <is>
          <t xml:space="preserve">Ciencia, tecnología e innovación
</t>
        </is>
      </c>
      <c r="D116" t="inlineStr">
        <is>
          <t>3905</t>
        </is>
      </c>
      <c r="E116" t="inlineStr">
        <is>
          <t>Fortalecimiento de la gobernanza e institucionalidad multinivel del sector de CTeI</t>
        </is>
      </c>
      <c r="F116" t="inlineStr">
        <is>
          <t>3905007</t>
        </is>
      </c>
      <c r="G116" t="inlineStr">
        <is>
          <t>Servicio de cooperación internacional para la CTeI</t>
        </is>
      </c>
      <c r="H116" t="inlineStr">
        <is>
          <t>Hace referencia a las acciones desarrolladas en el campo de relaciones y cooperación de CTI con organismos y entidades internacionales.</t>
        </is>
      </c>
      <c r="I116" t="inlineStr">
        <is>
          <t>2024257990022</t>
        </is>
      </c>
      <c r="J116" s="99">
        <v>30512890</v>
      </c>
      <c r="K116" s="99">
        <v>0</v>
      </c>
      <c r="L116" s="99">
        <v>10000000</v>
      </c>
      <c r="M116" s="99">
        <v>10170000</v>
      </c>
      <c r="N116" s="99">
        <v>10342890</v>
      </c>
      <c r="O116" s="99" t="inlineStr">
        <is>
          <t xml:space="preserve"> </t>
        </is>
      </c>
      <c r="P116" s="99" t="inlineStr">
        <is>
          <t xml:space="preserve"> </t>
        </is>
      </c>
      <c r="Q116" s="99" t="inlineStr">
        <is>
          <t xml:space="preserve"> </t>
        </is>
      </c>
      <c r="R116" s="100" t="inlineStr">
        <is>
          <t xml:space="preserve"> </t>
        </is>
      </c>
      <c r="S116" t="inlineStr">
        <is>
          <t>No se encontró ejecución en CUIPO</t>
        </is>
      </c>
      <c r="T116" s="101" t="inlineStr">
        <is>
          <t xml:space="preserve"> </t>
        </is>
      </c>
      <c r="U116" s="101" t="inlineStr">
        <is>
          <t xml:space="preserve"> </t>
        </is>
      </c>
      <c r="V116" s="101" t="inlineStr">
        <is>
          <t xml:space="preserve"> </t>
        </is>
      </c>
      <c r="W116" s="102" t="inlineStr">
        <is>
          <t xml:space="preserve"> </t>
        </is>
      </c>
      <c r="X116" t="inlineStr">
        <is>
          <t>No se encontró ejecución en CUIPO</t>
        </is>
      </c>
    </row>
    <row r="117">
      <c r="A117" t="inlineStr">
        <is>
          <t>IP-172</t>
        </is>
      </c>
      <c r="B117" t="inlineStr">
        <is>
          <t>39</t>
        </is>
      </c>
      <c r="C117" t="inlineStr">
        <is>
          <t xml:space="preserve">Ciencia, tecnología e innovación
</t>
        </is>
      </c>
      <c r="D117" t="inlineStr">
        <is>
          <t>3905</t>
        </is>
      </c>
      <c r="E117" t="inlineStr">
        <is>
          <t>Fortalecimiento de la gobernanza e institucionalidad multinivel del sector de CTeI</t>
        </is>
      </c>
      <c r="F117" t="inlineStr">
        <is>
          <t>3905002</t>
        </is>
      </c>
      <c r="G117" t="inlineStr">
        <is>
          <t>Documentos de política</t>
        </is>
      </c>
      <c r="H117" t="inlineStr">
        <is>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is>
      </c>
      <c r="I117" t="inlineStr">
        <is>
          <t>2024257990022</t>
        </is>
      </c>
      <c r="J117" s="99">
        <v>108500000</v>
      </c>
      <c r="K117" s="99">
        <v>108500000</v>
      </c>
      <c r="L117" s="99">
        <v>0</v>
      </c>
      <c r="M117" s="99">
        <v>0</v>
      </c>
      <c r="N117" s="99">
        <v>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t="inlineStr">
        <is>
          <t xml:space="preserve"> </t>
        </is>
      </c>
      <c r="U117" s="101" t="inlineStr">
        <is>
          <t xml:space="preserve"> </t>
        </is>
      </c>
      <c r="V117" s="101" t="inlineStr">
        <is>
          <t xml:space="preserve"> </t>
        </is>
      </c>
      <c r="W117" s="102" t="inlineStr">
        <is>
          <t xml:space="preserve"> </t>
        </is>
      </c>
      <c r="X117" t="inlineStr">
        <is>
          <t>No se encontró ejecución en CUIPO</t>
        </is>
      </c>
    </row>
    <row r="118">
      <c r="A118" t="inlineStr">
        <is>
          <t>IP-173</t>
        </is>
      </c>
      <c r="B118" t="inlineStr">
        <is>
          <t>22</t>
        </is>
      </c>
      <c r="C118" t="inlineStr">
        <is>
          <t>Educación</t>
        </is>
      </c>
      <c r="D118" t="inlineStr">
        <is>
          <t>2201</t>
        </is>
      </c>
      <c r="E118" t="inlineStr">
        <is>
          <t>Calidad, cobertura y fortalecimiento de la educación inicial, prescolar, básica y media</t>
        </is>
      </c>
      <c r="F118" t="inlineStr">
        <is>
          <t>2201028</t>
        </is>
      </c>
      <c r="G118" t="inlineStr">
        <is>
          <t>Servicio de apoyo a la permanencia con alimentación escolar</t>
        </is>
      </c>
      <c r="H118" t="inlineStr">
        <is>
          <t>Incluye la implementación de estrategias de alimentación escolar para fortalecer las acciones de retención estudiantil.</t>
        </is>
      </c>
      <c r="I118" t="inlineStr">
        <is>
          <t>2024257990023</t>
        </is>
      </c>
      <c r="J118" s="99">
        <v>1497537430.1971</v>
      </c>
      <c r="K118" s="99">
        <v>557750577</v>
      </c>
      <c r="L118" s="99">
        <v>307996670.652</v>
      </c>
      <c r="M118" s="99">
        <v>313232614.0531</v>
      </c>
      <c r="N118" s="99">
        <v>318557568.492</v>
      </c>
      <c r="O118" s="99" t="inlineStr">
        <is>
          <t xml:space="preserve"> </t>
        </is>
      </c>
      <c r="P118" s="99" t="inlineStr">
        <is>
          <t xml:space="preserve"> </t>
        </is>
      </c>
      <c r="Q118" s="99" t="inlineStr">
        <is>
          <t xml:space="preserve"> </t>
        </is>
      </c>
      <c r="R118" s="100" t="inlineStr">
        <is>
          <t xml:space="preserve"> </t>
        </is>
      </c>
      <c r="S118" t="inlineStr">
        <is>
          <t>No se encontró ejecución en CUIPO</t>
        </is>
      </c>
      <c r="T118" s="101">
        <v>198476000</v>
      </c>
      <c r="U118" s="101">
        <v>94328000</v>
      </c>
      <c r="V118" s="101">
        <v>82268000</v>
      </c>
      <c r="W118" s="102">
        <v>0.306263050832064</v>
      </c>
      <c r="X118" t="inlineStr">
        <is>
          <t>Lo obligado está por debajo de lo programado en la vigencia</t>
        </is>
      </c>
    </row>
    <row r="119">
      <c r="A119" t="inlineStr">
        <is>
          <t>IP-174</t>
        </is>
      </c>
      <c r="B119" t="inlineStr">
        <is>
          <t>22</t>
        </is>
      </c>
      <c r="C119" t="inlineStr">
        <is>
          <t>Educación</t>
        </is>
      </c>
      <c r="D119" t="inlineStr">
        <is>
          <t>2201</t>
        </is>
      </c>
      <c r="E119" t="inlineStr">
        <is>
          <t>Calidad, cobertura y fortalecimiento de la educación inicial, prescolar, básica y media</t>
        </is>
      </c>
      <c r="F119" t="inlineStr">
        <is>
          <t>2201029</t>
        </is>
      </c>
      <c r="G119" t="inlineStr">
        <is>
          <t>Servicio de apoyo a la permanencia con transporte escolar</t>
        </is>
      </c>
      <c r="H119" t="inlineStr">
        <is>
          <t>Incluye la implementación de estrategias de transporte escolar para fortalecer las acciones de retención estudiantil</t>
        </is>
      </c>
      <c r="I119" t="inlineStr">
        <is>
          <t>2024257990023</t>
        </is>
      </c>
      <c r="J119" s="99">
        <v>5491638018</v>
      </c>
      <c r="K119" s="99">
        <v>457011168</v>
      </c>
      <c r="L119" s="99">
        <v>1650000000</v>
      </c>
      <c r="M119" s="99">
        <v>1678050000</v>
      </c>
      <c r="N119" s="99">
        <v>1706576850</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v>1789726666</v>
      </c>
      <c r="U119" s="101">
        <v>1492021281</v>
      </c>
      <c r="V119" s="101">
        <v>1231511522</v>
      </c>
      <c r="W119" s="102">
        <v>0.904255321818182</v>
      </c>
      <c r="X119" t="inlineStr">
        <is>
          <t>Lo obligado está por debajo de lo programado en la vigencia</t>
        </is>
      </c>
    </row>
    <row r="120">
      <c r="A120" t="inlineStr">
        <is>
          <t>IP-175, IP-177, IP-182</t>
        </is>
      </c>
      <c r="B120" t="inlineStr">
        <is>
          <t>22</t>
        </is>
      </c>
      <c r="C120" t="inlineStr">
        <is>
          <t>Educación</t>
        </is>
      </c>
      <c r="D120" t="inlineStr">
        <is>
          <t>2201</t>
        </is>
      </c>
      <c r="E120" t="inlineStr">
        <is>
          <t>Calidad, cobertura y fortalecimiento de la educación inicial, prescolar, básica y media</t>
        </is>
      </c>
      <c r="F120" t="inlineStr">
        <is>
          <t>2201017</t>
        </is>
      </c>
      <c r="G120" t="inlineStr">
        <is>
          <t>Servicio de fomento para el acceso a la educación inicial, preescolar, básica y media.</t>
        </is>
      </c>
      <c r="H120" t="inlineStr">
        <is>
          <t xml:space="preserve">Incluye el desarrollo de estrategias para  ampliar la cobertura de la educación  inicial, preescolar, básica y media. </t>
        </is>
      </c>
      <c r="I120" t="inlineStr">
        <is>
          <t>2024257990023</t>
        </is>
      </c>
      <c r="J120" s="99">
        <v>5605429229.639</v>
      </c>
      <c r="K120" s="99">
        <v>1836194543</v>
      </c>
      <c r="L120" s="99">
        <v>678151000</v>
      </c>
      <c r="M120" s="99">
        <v>2389679567</v>
      </c>
      <c r="N120" s="99">
        <v>701404119.639</v>
      </c>
      <c r="O120" s="99" t="inlineStr">
        <is>
          <t xml:space="preserve"> </t>
        </is>
      </c>
      <c r="P120" s="99" t="inlineStr">
        <is>
          <t xml:space="preserve"> </t>
        </is>
      </c>
      <c r="Q120" s="99" t="inlineStr">
        <is>
          <t xml:space="preserve"> </t>
        </is>
      </c>
      <c r="R120" s="100" t="inlineStr">
        <is>
          <t xml:space="preserve"> </t>
        </is>
      </c>
      <c r="S120" t="inlineStr">
        <is>
          <t>No se encontró ejecución en CUIPO</t>
        </is>
      </c>
      <c r="T120" s="101">
        <v>590656358</v>
      </c>
      <c r="U120" s="101">
        <v>276558931</v>
      </c>
      <c r="V120" s="101">
        <v>240814931</v>
      </c>
      <c r="W120" s="102">
        <v>0.407813202369384</v>
      </c>
      <c r="X120" t="inlineStr">
        <is>
          <t>Lo obligado está por debajo de lo programado en la vigencia</t>
        </is>
      </c>
    </row>
    <row r="121">
      <c r="A121" t="inlineStr">
        <is>
          <t>IP-176</t>
        </is>
      </c>
      <c r="B121" t="inlineStr">
        <is>
          <t>22</t>
        </is>
      </c>
      <c r="C121" t="inlineStr">
        <is>
          <t>Educación</t>
        </is>
      </c>
      <c r="D121" t="inlineStr">
        <is>
          <t>2201</t>
        </is>
      </c>
      <c r="E121" t="inlineStr">
        <is>
          <t>Calidad, cobertura y fortalecimiento de la educación inicial, prescolar, básica y media</t>
        </is>
      </c>
      <c r="F121" t="inlineStr">
        <is>
          <t>2201069</t>
        </is>
      </c>
      <c r="G121" t="inlineStr">
        <is>
          <t>Infraestructura educativa dotada</t>
        </is>
      </c>
      <c r="H121"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21" t="inlineStr">
        <is>
          <t>2024257990023</t>
        </is>
      </c>
      <c r="J121" s="99">
        <v>657693350</v>
      </c>
      <c r="K121" s="99">
        <v>200000000</v>
      </c>
      <c r="L121" s="99">
        <v>150000000</v>
      </c>
      <c r="M121" s="99">
        <v>152550000</v>
      </c>
      <c r="N121" s="99">
        <v>155143350</v>
      </c>
      <c r="O121" s="99">
        <v>200000000</v>
      </c>
      <c r="P121" s="99">
        <v>200000000</v>
      </c>
      <c r="Q121" s="99">
        <v>200000000</v>
      </c>
      <c r="R121" s="100">
        <v>1</v>
      </c>
      <c r="S121" t="inlineStr">
        <is>
          <t>Se ejecutó el 100% de lo programado en la vigencia</t>
        </is>
      </c>
      <c r="T121" s="101">
        <v>71000223</v>
      </c>
      <c r="U121" s="101">
        <v>0</v>
      </c>
      <c r="V121" s="101">
        <v>0</v>
      </c>
      <c r="W121" s="102">
        <v>0</v>
      </c>
      <c r="X121" t="inlineStr">
        <is>
          <t>No se ejecutó en la vigencia</t>
        </is>
      </c>
    </row>
    <row r="122">
      <c r="A122" t="inlineStr">
        <is>
          <t>IP-178</t>
        </is>
      </c>
      <c r="B122" t="inlineStr">
        <is>
          <t>22</t>
        </is>
      </c>
      <c r="C122" t="inlineStr">
        <is>
          <t>Educación</t>
        </is>
      </c>
      <c r="D122" t="inlineStr">
        <is>
          <t>2201</t>
        </is>
      </c>
      <c r="E122" t="inlineStr">
        <is>
          <t>Calidad, cobertura y fortalecimiento de la educación inicial, prescolar, básica y media</t>
        </is>
      </c>
      <c r="F122" t="inlineStr">
        <is>
          <t>2201026</t>
        </is>
      </c>
      <c r="G122" t="inlineStr">
        <is>
          <t>Servicio de acondicionamiento de ambientes de aprendizaje</t>
        </is>
      </c>
      <c r="H122" t="inlineStr">
        <is>
          <t>Incluye la disposición de material didáctico, pedagógico, tecnológico o de mobiliario en espacios estructurados para el aprendizaje significativo.</t>
        </is>
      </c>
      <c r="I122" t="inlineStr">
        <is>
          <t>2024257990023</t>
        </is>
      </c>
      <c r="J122" s="99">
        <v>1379727578</v>
      </c>
      <c r="K122" s="99">
        <v>159211978</v>
      </c>
      <c r="L122" s="99">
        <v>400000000</v>
      </c>
      <c r="M122" s="99">
        <v>406800000</v>
      </c>
      <c r="N122" s="99">
        <v>413715600</v>
      </c>
      <c r="O122" s="99" t="inlineStr">
        <is>
          <t xml:space="preserve"> </t>
        </is>
      </c>
      <c r="P122" s="99" t="inlineStr">
        <is>
          <t xml:space="preserve"> </t>
        </is>
      </c>
      <c r="Q122" s="99" t="inlineStr">
        <is>
          <t xml:space="preserve"> </t>
        </is>
      </c>
      <c r="R122" s="100" t="inlineStr">
        <is>
          <t xml:space="preserve"> </t>
        </is>
      </c>
      <c r="S122" t="inlineStr">
        <is>
          <t>No se encontró ejecución en CUIPO</t>
        </is>
      </c>
      <c r="T122" s="101">
        <v>115597000</v>
      </c>
      <c r="U122" s="101">
        <v>66786000</v>
      </c>
      <c r="V122" s="101">
        <v>66786000</v>
      </c>
      <c r="W122" s="102">
        <v>0.166965</v>
      </c>
      <c r="X122" t="inlineStr">
        <is>
          <t>Lo obligado está por debajo de lo programado en la vigencia</t>
        </is>
      </c>
    </row>
    <row r="123">
      <c r="A123" t="inlineStr">
        <is>
          <t>IP-179, IP-180</t>
        </is>
      </c>
      <c r="B123" t="inlineStr">
        <is>
          <t>22</t>
        </is>
      </c>
      <c r="C123" t="inlineStr">
        <is>
          <t>Educación</t>
        </is>
      </c>
      <c r="D123" t="inlineStr">
        <is>
          <t>2201</t>
        </is>
      </c>
      <c r="E123" t="inlineStr">
        <is>
          <t>Calidad, cobertura y fortalecimiento de la educación inicial, prescolar, básica y media</t>
        </is>
      </c>
      <c r="F123" t="inlineStr">
        <is>
          <t>2201070</t>
        </is>
      </c>
      <c r="G123" t="inlineStr">
        <is>
          <t>Ambientes de aprendizaje para la educación inicial preescolar, básica y media dotados</t>
        </is>
      </c>
      <c r="H123" t="inlineStr">
        <is>
          <t>Incluye la disposición de material didáctico, pedagógico, tecnológico o de mobiliario en espacios estructurados para el aprendizaje significativo.</t>
        </is>
      </c>
      <c r="I123" t="inlineStr">
        <is>
          <t>2024257990023</t>
        </is>
      </c>
      <c r="J123" s="99">
        <v>796996686.8</v>
      </c>
      <c r="K123" s="99">
        <v>0</v>
      </c>
      <c r="L123" s="99">
        <v>261200000</v>
      </c>
      <c r="M123" s="99">
        <v>265640400</v>
      </c>
      <c r="N123" s="99">
        <v>270156286.8</v>
      </c>
      <c r="O123" s="99" t="inlineStr">
        <is>
          <t xml:space="preserve"> </t>
        </is>
      </c>
      <c r="P123" s="99" t="inlineStr">
        <is>
          <t xml:space="preserve"> </t>
        </is>
      </c>
      <c r="Q123" s="99" t="inlineStr">
        <is>
          <t xml:space="preserve"> </t>
        </is>
      </c>
      <c r="R123" s="100" t="inlineStr">
        <is>
          <t xml:space="preserve"> </t>
        </is>
      </c>
      <c r="S123" t="inlineStr">
        <is>
          <t>No se encontró ejecución en CUIPO</t>
        </is>
      </c>
      <c r="T123" s="101">
        <v>61200000</v>
      </c>
      <c r="U123" s="101">
        <v>6999880</v>
      </c>
      <c r="V123" s="101">
        <v>6999880</v>
      </c>
      <c r="W123" s="102">
        <v>0.0267989280245023</v>
      </c>
      <c r="X123" t="inlineStr">
        <is>
          <t>Lo obligado está por debajo de lo programado en la vigencia</t>
        </is>
      </c>
    </row>
    <row r="124">
      <c r="A124" t="inlineStr">
        <is>
          <t>IP-181</t>
        </is>
      </c>
      <c r="B124" t="inlineStr">
        <is>
          <t>22</t>
        </is>
      </c>
      <c r="C124" t="inlineStr">
        <is>
          <t>Educación</t>
        </is>
      </c>
      <c r="D124" t="inlineStr">
        <is>
          <t>2201</t>
        </is>
      </c>
      <c r="E124" t="inlineStr">
        <is>
          <t>Calidad, cobertura y fortalecimiento de la educación inicial, prescolar, básica y media</t>
        </is>
      </c>
      <c r="F124" t="inlineStr">
        <is>
          <t>2201022</t>
        </is>
      </c>
      <c r="G124" t="inlineStr">
        <is>
          <t>Infraestructura para educación inicial construida</t>
        </is>
      </c>
      <c r="H124" t="inlineStr">
        <is>
          <t>Contempla la construcción de aulas  de clase nuevas para la educación inicial de conformidad con lo establecido en las políticas, normatividad y lineamientos técnicos.</t>
        </is>
      </c>
      <c r="I124" t="inlineStr">
        <is>
          <t>2024257990023</t>
        </is>
      </c>
      <c r="J124" s="99">
        <v>629421203.923</v>
      </c>
      <c r="K124" s="99">
        <v>0</v>
      </c>
      <c r="L124" s="99">
        <v>206280429</v>
      </c>
      <c r="M124" s="99">
        <v>209787196.293</v>
      </c>
      <c r="N124" s="99">
        <v>213353578.63</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t="inlineStr">
        <is>
          <t xml:space="preserve"> </t>
        </is>
      </c>
      <c r="U124" s="101" t="inlineStr">
        <is>
          <t xml:space="preserve"> </t>
        </is>
      </c>
      <c r="V124" s="101" t="inlineStr">
        <is>
          <t xml:space="preserve"> </t>
        </is>
      </c>
      <c r="W124" s="102" t="inlineStr">
        <is>
          <t xml:space="preserve"> </t>
        </is>
      </c>
      <c r="X124" t="inlineStr">
        <is>
          <t>No se encontró ejecución en CUIPO</t>
        </is>
      </c>
    </row>
    <row r="125">
      <c r="A125" t="inlineStr">
        <is>
          <t>IP-183</t>
        </is>
      </c>
      <c r="B125" t="inlineStr">
        <is>
          <t>22</t>
        </is>
      </c>
      <c r="C125" t="inlineStr">
        <is>
          <t>Educación</t>
        </is>
      </c>
      <c r="D125" t="inlineStr">
        <is>
          <t>2201</t>
        </is>
      </c>
      <c r="E125" t="inlineStr">
        <is>
          <t>Calidad, cobertura y fortalecimiento de la educación inicial, prescolar, básica y media</t>
        </is>
      </c>
      <c r="F125" t="inlineStr">
        <is>
          <t>2201072</t>
        </is>
      </c>
      <c r="G125" t="inlineStr">
        <is>
          <t>Servicio de evaluación de las estrategias educativas implementadas en la educación inicial, preescolar, básica y media</t>
        </is>
      </c>
      <c r="H125" t="inlineStr">
        <is>
          <t>Incluye el diseño, validación e implementación de mecanismos y demás procesos que permitan evaluar el impacto de la implementación de programas, proyectos y estrategias educativas para la educación inicial, preescolar, básica y media.</t>
        </is>
      </c>
      <c r="I125" t="inlineStr">
        <is>
          <t>2024257990024</t>
        </is>
      </c>
      <c r="J125" s="99">
        <v>231121550</v>
      </c>
      <c r="K125" s="99">
        <v>75505811</v>
      </c>
      <c r="L125" s="99">
        <v>51000000</v>
      </c>
      <c r="M125" s="99">
        <v>51867000</v>
      </c>
      <c r="N125" s="99">
        <v>52748739</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t="inlineStr">
        <is>
          <t xml:space="preserve"> </t>
        </is>
      </c>
      <c r="U125" s="101" t="inlineStr">
        <is>
          <t xml:space="preserve"> </t>
        </is>
      </c>
      <c r="V125" s="101" t="inlineStr">
        <is>
          <t xml:space="preserve"> </t>
        </is>
      </c>
      <c r="W125" s="102" t="inlineStr">
        <is>
          <t xml:space="preserve"> </t>
        </is>
      </c>
      <c r="X125" t="inlineStr">
        <is>
          <t>No se encontró ejecución en CUIPO</t>
        </is>
      </c>
    </row>
    <row r="126">
      <c r="A126" t="inlineStr">
        <is>
          <t>IP-184</t>
        </is>
      </c>
      <c r="B126" t="inlineStr">
        <is>
          <t>22</t>
        </is>
      </c>
      <c r="C126" t="inlineStr">
        <is>
          <t>Educación</t>
        </is>
      </c>
      <c r="D126" t="inlineStr">
        <is>
          <t>2201</t>
        </is>
      </c>
      <c r="E126" t="inlineStr">
        <is>
          <t>Calidad, cobertura y fortalecimiento de la educación inicial, prescolar, básica y media</t>
        </is>
      </c>
      <c r="F126" t="inlineStr">
        <is>
          <t>2201067</t>
        </is>
      </c>
      <c r="G126" t="inlineStr">
        <is>
          <t>Servicio de apoyo para el fortalecimiento de escuelas de padres</t>
        </is>
      </c>
      <c r="H126" t="inlineStr">
        <is>
          <t>Incluye las diferentes estrategias desarrolladas para fortalecer la conformación y la participación activa de las escuelas de padres.</t>
        </is>
      </c>
      <c r="I126" t="inlineStr">
        <is>
          <t>2024257990024</t>
        </is>
      </c>
      <c r="J126" s="99">
        <v>1182822250</v>
      </c>
      <c r="K126" s="99">
        <v>420000000</v>
      </c>
      <c r="L126" s="99">
        <v>250000000</v>
      </c>
      <c r="M126" s="99">
        <v>254250000</v>
      </c>
      <c r="N126" s="99">
        <v>258572250</v>
      </c>
      <c r="O126" s="99" t="inlineStr">
        <is>
          <t xml:space="preserve"> </t>
        </is>
      </c>
      <c r="P126" s="99" t="inlineStr">
        <is>
          <t xml:space="preserve"> </t>
        </is>
      </c>
      <c r="Q126" s="99" t="inlineStr">
        <is>
          <t xml:space="preserve"> </t>
        </is>
      </c>
      <c r="R126" s="100" t="inlineStr">
        <is>
          <t xml:space="preserve"> </t>
        </is>
      </c>
      <c r="S126" t="inlineStr">
        <is>
          <t>No se encontró ejecución en CUIPO</t>
        </is>
      </c>
      <c r="T126" s="101">
        <v>212413333</v>
      </c>
      <c r="U126" s="101">
        <v>115373333</v>
      </c>
      <c r="V126" s="101">
        <v>104173333</v>
      </c>
      <c r="W126" s="102">
        <v>0.461493332</v>
      </c>
      <c r="X126" t="inlineStr">
        <is>
          <t>Lo obligado está por debajo de lo programado en la vigencia</t>
        </is>
      </c>
    </row>
    <row r="127">
      <c r="A127" t="inlineStr">
        <is>
          <t>IP-185</t>
        </is>
      </c>
      <c r="B127" t="inlineStr">
        <is>
          <t>22</t>
        </is>
      </c>
      <c r="C127" t="inlineStr">
        <is>
          <t>Educación</t>
        </is>
      </c>
      <c r="D127" t="inlineStr">
        <is>
          <t>2201</t>
        </is>
      </c>
      <c r="E127" t="inlineStr">
        <is>
          <t>Calidad, cobertura y fortalecimiento de la educación inicial, prescolar, básica y media</t>
        </is>
      </c>
      <c r="F127" t="inlineStr">
        <is>
          <t>2201001</t>
        </is>
      </c>
      <c r="G127" t="inlineStr">
        <is>
          <t>Documentos de planeación</t>
        </is>
      </c>
      <c r="H127" t="inlineStr">
        <is>
          <t>Incluyen los servicio de asesoría y orientación técnica prestados a las Secretarías de Educación o por estas en los temas relacionados con la política educativa y aquellos definidos para la educación inicial, preescolar, básica y media.</t>
        </is>
      </c>
      <c r="I127" t="inlineStr">
        <is>
          <t>2024257990024</t>
        </is>
      </c>
      <c r="J127" s="99">
        <v>135706387.74</v>
      </c>
      <c r="K127" s="99">
        <v>33000000</v>
      </c>
      <c r="L127" s="99">
        <v>33660000</v>
      </c>
      <c r="M127" s="99">
        <v>34232220</v>
      </c>
      <c r="N127" s="99">
        <v>34814167.74</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IP-186</t>
        </is>
      </c>
      <c r="B128" t="inlineStr">
        <is>
          <t>22</t>
        </is>
      </c>
      <c r="C128" t="inlineStr">
        <is>
          <t>Educación</t>
        </is>
      </c>
      <c r="D128" t="inlineStr">
        <is>
          <t>2201</t>
        </is>
      </c>
      <c r="E128" t="inlineStr">
        <is>
          <t>Calidad, cobertura y fortalecimiento de la educación inicial, prescolar, básica y media</t>
        </is>
      </c>
      <c r="F128" t="inlineStr">
        <is>
          <t>2201017</t>
        </is>
      </c>
      <c r="G128" t="inlineStr">
        <is>
          <t>Servicio de fomento para el acceso a la educación inicial, preescolar, básica y media.</t>
        </is>
      </c>
      <c r="H128" t="inlineStr">
        <is>
          <t xml:space="preserve">Incluye el desarrollo de estrategias para  ampliar la cobertura de la educación  inicial, preescolar, básica y media. </t>
        </is>
      </c>
      <c r="I128" t="inlineStr">
        <is>
          <t>2024257990024</t>
        </is>
      </c>
      <c r="J128" s="99">
        <v>1291062436.875</v>
      </c>
      <c r="K128" s="99">
        <v>318679422</v>
      </c>
      <c r="L128" s="99">
        <v>318679422</v>
      </c>
      <c r="M128" s="99">
        <v>324096972.174</v>
      </c>
      <c r="N128" s="99">
        <v>329606620.701</v>
      </c>
      <c r="O128" s="99" t="inlineStr">
        <is>
          <t xml:space="preserve"> </t>
        </is>
      </c>
      <c r="P128" s="99" t="inlineStr">
        <is>
          <t xml:space="preserve"> </t>
        </is>
      </c>
      <c r="Q128" s="99" t="inlineStr">
        <is>
          <t xml:space="preserve"> </t>
        </is>
      </c>
      <c r="R128" s="100" t="inlineStr">
        <is>
          <t xml:space="preserve"> </t>
        </is>
      </c>
      <c r="S128" t="inlineStr">
        <is>
          <t>No se encontró ejecución en CUIPO</t>
        </is>
      </c>
      <c r="T128" s="101">
        <v>497753511</v>
      </c>
      <c r="U128" s="101">
        <v>497753511</v>
      </c>
      <c r="V128" s="101">
        <v>497753511</v>
      </c>
      <c r="W128" s="102">
        <v>1.56192548573155</v>
      </c>
      <c r="X128" t="inlineStr">
        <is>
          <t>Hubo ejecución por encima de lo programado en SisPT</t>
        </is>
      </c>
    </row>
    <row r="129">
      <c r="A129" t="inlineStr">
        <is>
          <t>IP-187, IP-188, IP-190, IP-191</t>
        </is>
      </c>
      <c r="B129" t="inlineStr">
        <is>
          <t>22</t>
        </is>
      </c>
      <c r="C129" t="inlineStr">
        <is>
          <t>Educación</t>
        </is>
      </c>
      <c r="D129" t="inlineStr">
        <is>
          <t>2201</t>
        </is>
      </c>
      <c r="E129" t="inlineStr">
        <is>
          <t>Calidad, cobertura y fortalecimiento de la educación inicial, prescolar, básica y media</t>
        </is>
      </c>
      <c r="F129" t="inlineStr">
        <is>
          <t>2201049</t>
        </is>
      </c>
      <c r="G129" t="inlineStr">
        <is>
          <t>Servicio de educación informal</t>
        </is>
      </c>
      <c r="H129" t="inlineStr">
        <is>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29" t="inlineStr">
        <is>
          <t>2024257990024</t>
        </is>
      </c>
      <c r="J129" s="99">
        <v>2414751892.797</v>
      </c>
      <c r="K129" s="99">
        <v>405865600</v>
      </c>
      <c r="L129" s="99">
        <v>658373000</v>
      </c>
      <c r="M129" s="99">
        <v>669565341</v>
      </c>
      <c r="N129" s="99">
        <v>680947951.797</v>
      </c>
      <c r="O129" s="99" t="inlineStr">
        <is>
          <t xml:space="preserve"> </t>
        </is>
      </c>
      <c r="P129" s="99" t="inlineStr">
        <is>
          <t xml:space="preserve"> </t>
        </is>
      </c>
      <c r="Q129" s="99" t="inlineStr">
        <is>
          <t xml:space="preserve"> </t>
        </is>
      </c>
      <c r="R129" s="100" t="inlineStr">
        <is>
          <t xml:space="preserve"> </t>
        </is>
      </c>
      <c r="S129" t="inlineStr">
        <is>
          <t>No se encontró ejecución en CUIPO</t>
        </is>
      </c>
      <c r="T129" s="101">
        <v>490665945</v>
      </c>
      <c r="U129" s="101">
        <v>318319859</v>
      </c>
      <c r="V129" s="101">
        <v>300659859</v>
      </c>
      <c r="W129" s="102">
        <v>0.483494704369711</v>
      </c>
      <c r="X129" t="inlineStr">
        <is>
          <t>Lo obligado está por debajo de lo programado en la vigencia</t>
        </is>
      </c>
    </row>
    <row r="130">
      <c r="A130" t="inlineStr">
        <is>
          <t>IP-189</t>
        </is>
      </c>
      <c r="B130" t="inlineStr">
        <is>
          <t>22</t>
        </is>
      </c>
      <c r="C130" t="inlineStr">
        <is>
          <t>Educación</t>
        </is>
      </c>
      <c r="D130" t="inlineStr">
        <is>
          <t>2201</t>
        </is>
      </c>
      <c r="E130" t="inlineStr">
        <is>
          <t>Calidad, cobertura y fortalecimiento de la educación inicial, prescolar, básica y media</t>
        </is>
      </c>
      <c r="F130" t="inlineStr">
        <is>
          <t>2201034</t>
        </is>
      </c>
      <c r="G130" t="inlineStr">
        <is>
          <t>Servicio educativos de promoción del bilingüismo</t>
        </is>
      </c>
      <c r="H130" t="inlineStr">
        <is>
          <t xml:space="preserve">Procesos de formación para el desarrollo de competencias en un segundo idioma </t>
        </is>
      </c>
      <c r="I130" t="inlineStr">
        <is>
          <t>2024257990024</t>
        </is>
      </c>
      <c r="J130" s="99">
        <v>452354625.8</v>
      </c>
      <c r="K130" s="99">
        <v>110000000</v>
      </c>
      <c r="L130" s="99">
        <v>112200000</v>
      </c>
      <c r="M130" s="99">
        <v>114107400</v>
      </c>
      <c r="N130" s="99">
        <v>116047225.8</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v>161988750</v>
      </c>
      <c r="U130" s="101">
        <v>112200000</v>
      </c>
      <c r="V130" s="101">
        <v>112200000</v>
      </c>
      <c r="W130" s="102">
        <v>1</v>
      </c>
      <c r="X130" t="inlineStr">
        <is>
          <t>Se ejecutó el 100% de lo programado en la vigencia</t>
        </is>
      </c>
    </row>
    <row r="131">
      <c r="A131" t="inlineStr">
        <is>
          <t>IP-192, IP-193</t>
        </is>
      </c>
      <c r="B131" t="inlineStr">
        <is>
          <t>22</t>
        </is>
      </c>
      <c r="C131" t="inlineStr">
        <is>
          <t>Educación</t>
        </is>
      </c>
      <c r="D131" t="inlineStr">
        <is>
          <t>2202</t>
        </is>
      </c>
      <c r="E131" t="inlineStr">
        <is>
          <t>Calidad y fomento de la educación superior</t>
        </is>
      </c>
      <c r="F131" t="inlineStr">
        <is>
          <t>2202061</t>
        </is>
      </c>
      <c r="G131" t="inlineStr">
        <is>
          <t xml:space="preserve">Servicio de apoyo financiero para la permanencia a la educación superior </t>
        </is>
      </c>
      <c r="H131" t="inlineStr">
        <is>
          <t xml:space="preserve">Incluye créditos - beca y subsidios en todas sus modalidades  para fortalecer las acciones de retención estudiantil en la educación superior </t>
        </is>
      </c>
      <c r="I131" t="inlineStr">
        <is>
          <t>2024257990025</t>
        </is>
      </c>
      <c r="J131" s="99">
        <v>7855926599.4134</v>
      </c>
      <c r="K131" s="99">
        <v>1252710633</v>
      </c>
      <c r="L131" s="99">
        <v>2164074254</v>
      </c>
      <c r="M131" s="99">
        <v>2200863516.318</v>
      </c>
      <c r="N131" s="99">
        <v>2238278196.0954</v>
      </c>
      <c r="O131" s="99" t="inlineStr">
        <is>
          <t xml:space="preserve"> </t>
        </is>
      </c>
      <c r="P131" s="99" t="inlineStr">
        <is>
          <t xml:space="preserve"> </t>
        </is>
      </c>
      <c r="Q131" s="99" t="inlineStr">
        <is>
          <t xml:space="preserve"> </t>
        </is>
      </c>
      <c r="R131" s="100" t="inlineStr">
        <is>
          <t xml:space="preserve"> </t>
        </is>
      </c>
      <c r="S131" t="inlineStr">
        <is>
          <t>No se encontró ejecución en CUIPO</t>
        </is>
      </c>
      <c r="T131" s="101">
        <v>2104304552</v>
      </c>
      <c r="U131" s="101">
        <v>1739758008</v>
      </c>
      <c r="V131" s="101">
        <v>1739758008</v>
      </c>
      <c r="W131" s="102">
        <v>0.803927131790553</v>
      </c>
      <c r="X131" t="inlineStr">
        <is>
          <t>Lo obligado está por debajo de lo programado en la vigencia</t>
        </is>
      </c>
    </row>
    <row r="132">
      <c r="A132" t="inlineStr">
        <is>
          <t>IP-194</t>
        </is>
      </c>
      <c r="B132" t="inlineStr">
        <is>
          <t>22</t>
        </is>
      </c>
      <c r="C132" t="inlineStr">
        <is>
          <t>Educación</t>
        </is>
      </c>
      <c r="D132" t="inlineStr">
        <is>
          <t>2202</t>
        </is>
      </c>
      <c r="E132" t="inlineStr">
        <is>
          <t>Calidad y fomento de la educación superior</t>
        </is>
      </c>
      <c r="F132" t="inlineStr">
        <is>
          <t>2202062</t>
        </is>
      </c>
      <c r="G132" t="inlineStr">
        <is>
          <t xml:space="preserve">Servicio de fomento para el acceso a la educación superior </t>
        </is>
      </c>
      <c r="H132" t="inlineStr">
        <is>
          <t xml:space="preserve">Incluye el desarrollo de estrategias diferentes a las de apoyo financiero para el acceso a educación superior
</t>
        </is>
      </c>
      <c r="I132" t="inlineStr">
        <is>
          <t>2024257990025</t>
        </is>
      </c>
      <c r="J132" s="99">
        <v>41123147.8</v>
      </c>
      <c r="K132" s="99">
        <v>10000000</v>
      </c>
      <c r="L132" s="99">
        <v>10200000</v>
      </c>
      <c r="M132" s="99">
        <v>10373400</v>
      </c>
      <c r="N132" s="99">
        <v>10549747.8</v>
      </c>
      <c r="O132" s="99" t="inlineStr">
        <is>
          <t xml:space="preserve"> </t>
        </is>
      </c>
      <c r="P132" s="99" t="inlineStr">
        <is>
          <t xml:space="preserve"> </t>
        </is>
      </c>
      <c r="Q132" s="99" t="inlineStr">
        <is>
          <t xml:space="preserve"> </t>
        </is>
      </c>
      <c r="R132" s="100" t="inlineStr">
        <is>
          <t xml:space="preserve"> </t>
        </is>
      </c>
      <c r="S132" t="inlineStr">
        <is>
          <t>No se encontró ejecución en CUIPO</t>
        </is>
      </c>
      <c r="T132" s="101" t="inlineStr">
        <is>
          <t xml:space="preserve"> </t>
        </is>
      </c>
      <c r="U132" s="101" t="inlineStr">
        <is>
          <t xml:space="preserve"> </t>
        </is>
      </c>
      <c r="V132" s="101" t="inlineStr">
        <is>
          <t xml:space="preserve"> </t>
        </is>
      </c>
      <c r="W132" s="102" t="inlineStr">
        <is>
          <t xml:space="preserve"> </t>
        </is>
      </c>
      <c r="X132" t="inlineStr">
        <is>
          <t>No se encontró ejecución en CUIPO</t>
        </is>
      </c>
    </row>
    <row r="133">
      <c r="A133" t="inlineStr">
        <is>
          <t>IP-195</t>
        </is>
      </c>
      <c r="B133" t="inlineStr">
        <is>
          <t>22</t>
        </is>
      </c>
      <c r="C133" t="inlineStr">
        <is>
          <t>Educación</t>
        </is>
      </c>
      <c r="D133" t="inlineStr">
        <is>
          <t>2202</t>
        </is>
      </c>
      <c r="E133" t="inlineStr">
        <is>
          <t>Calidad y fomento de la educación superior</t>
        </is>
      </c>
      <c r="F133" t="inlineStr">
        <is>
          <t>2202063</t>
        </is>
      </c>
      <c r="G133" t="inlineStr">
        <is>
          <t>Servicio de apoyo financiero para el acceso a la educación superior</t>
        </is>
      </c>
      <c r="H133" t="inlineStr">
        <is>
          <t>Incluye becas y créditos en todas sus modalidades</t>
        </is>
      </c>
      <c r="I133" t="inlineStr">
        <is>
          <t>2024257990025</t>
        </is>
      </c>
      <c r="J133" s="99">
        <v>464421992</v>
      </c>
      <c r="K133" s="99">
        <v>67754422</v>
      </c>
      <c r="L133" s="99">
        <v>130000000</v>
      </c>
      <c r="M133" s="99">
        <v>132210000</v>
      </c>
      <c r="N133" s="99">
        <v>134457570</v>
      </c>
      <c r="O133" s="99" t="inlineStr">
        <is>
          <t xml:space="preserve"> </t>
        </is>
      </c>
      <c r="P133" s="99" t="inlineStr">
        <is>
          <t xml:space="preserve"> </t>
        </is>
      </c>
      <c r="Q133" s="99" t="inlineStr">
        <is>
          <t xml:space="preserve"> </t>
        </is>
      </c>
      <c r="R133" s="100" t="inlineStr">
        <is>
          <t xml:space="preserve"> </t>
        </is>
      </c>
      <c r="S133" t="inlineStr">
        <is>
          <t>No se encontró ejecución en CUIPO</t>
        </is>
      </c>
      <c r="T133" s="101">
        <v>44752500</v>
      </c>
      <c r="U133" s="101">
        <v>44752500</v>
      </c>
      <c r="V133" s="101">
        <v>44752500</v>
      </c>
      <c r="W133" s="102">
        <v>0.34425</v>
      </c>
      <c r="X133" t="inlineStr">
        <is>
          <t>Lo obligado está por debajo de lo programado en la vigencia</t>
        </is>
      </c>
    </row>
    <row r="134">
      <c r="A134" t="inlineStr">
        <is>
          <t>IP-196, IP-197</t>
        </is>
      </c>
      <c r="B134" t="inlineStr">
        <is>
          <t>22</t>
        </is>
      </c>
      <c r="C134" t="inlineStr">
        <is>
          <t>Educación</t>
        </is>
      </c>
      <c r="D134" t="inlineStr">
        <is>
          <t>2201</t>
        </is>
      </c>
      <c r="E134" t="inlineStr">
        <is>
          <t>Calidad, cobertura y fortalecimiento de la educación inicial, prescolar, básica y media</t>
        </is>
      </c>
      <c r="F134" t="inlineStr">
        <is>
          <t>2201074</t>
        </is>
      </c>
      <c r="G134" t="inlineStr">
        <is>
          <t>Servicio de fortalecimiento a las capacidades de los docentes de educación Inicial, preescolar, básica y media</t>
        </is>
      </c>
      <c r="H134" t="inlineStr">
        <is>
          <t>Incluye el apoyo prestado a docentes, directivos docentes y agentes educativos para la realización de estudios en los diferentes niveles educativos con el fin de que estos fortalezcan sus capacidades.</t>
        </is>
      </c>
      <c r="I134" t="inlineStr">
        <is>
          <t>2024257990026</t>
        </is>
      </c>
      <c r="J134" s="99">
        <v>467180460</v>
      </c>
      <c r="K134" s="99">
        <v>40000000</v>
      </c>
      <c r="L134" s="99">
        <v>140000000</v>
      </c>
      <c r="M134" s="99">
        <v>142380000</v>
      </c>
      <c r="N134" s="99">
        <v>144800460</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v>134888349</v>
      </c>
      <c r="U134" s="101">
        <v>15600000</v>
      </c>
      <c r="V134" s="101">
        <v>15600000</v>
      </c>
      <c r="W134" s="102">
        <v>0.111428571428571</v>
      </c>
      <c r="X134" t="inlineStr">
        <is>
          <t>Lo obligado está por debajo de lo programado en la vigencia</t>
        </is>
      </c>
    </row>
    <row r="135">
      <c r="A135" t="inlineStr">
        <is>
          <t>IP-198</t>
        </is>
      </c>
      <c r="B135" t="inlineStr">
        <is>
          <t>22</t>
        </is>
      </c>
      <c r="C135" t="inlineStr">
        <is>
          <t>Educación</t>
        </is>
      </c>
      <c r="D135" t="inlineStr">
        <is>
          <t>2201</t>
        </is>
      </c>
      <c r="E135" t="inlineStr">
        <is>
          <t>Calidad, cobertura y fortalecimiento de la educación inicial, prescolar, básica y media</t>
        </is>
      </c>
      <c r="F135" t="inlineStr">
        <is>
          <t>2201049</t>
        </is>
      </c>
      <c r="G135" t="inlineStr">
        <is>
          <t>Servicio de educación informal</t>
        </is>
      </c>
      <c r="H135" t="inlineStr">
        <is>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35" t="inlineStr">
        <is>
          <t>2024257990026</t>
        </is>
      </c>
      <c r="J135" s="99">
        <v>82246295.6</v>
      </c>
      <c r="K135" s="99">
        <v>20000000</v>
      </c>
      <c r="L135" s="99">
        <v>20400000</v>
      </c>
      <c r="M135" s="99">
        <v>20746800</v>
      </c>
      <c r="N135" s="99">
        <v>21099495.6</v>
      </c>
      <c r="O135" s="99" t="inlineStr">
        <is>
          <t xml:space="preserve"> </t>
        </is>
      </c>
      <c r="P135" s="99" t="inlineStr">
        <is>
          <t xml:space="preserve"> </t>
        </is>
      </c>
      <c r="Q135" s="99" t="inlineStr">
        <is>
          <t xml:space="preserve"> </t>
        </is>
      </c>
      <c r="R135" s="100" t="inlineStr">
        <is>
          <t xml:space="preserve"> </t>
        </is>
      </c>
      <c r="S135" t="inlineStr">
        <is>
          <t>No se encontró ejecución en CUIPO</t>
        </is>
      </c>
      <c r="T135" s="101">
        <v>19968741</v>
      </c>
      <c r="U135" s="101">
        <v>0</v>
      </c>
      <c r="V135" s="101">
        <v>0</v>
      </c>
      <c r="W135" s="102">
        <v>0</v>
      </c>
      <c r="X135" t="inlineStr">
        <is>
          <t>No se ejecutó en la vigencia</t>
        </is>
      </c>
    </row>
    <row r="136">
      <c r="A136" t="inlineStr">
        <is>
          <t>IP-199</t>
        </is>
      </c>
      <c r="B136" t="inlineStr">
        <is>
          <t>19</t>
        </is>
      </c>
      <c r="C136" t="inlineStr">
        <is>
          <t>Salud y protección social</t>
        </is>
      </c>
      <c r="D136" t="inlineStr">
        <is>
          <t>1906</t>
        </is>
      </c>
      <c r="E136" t="inlineStr">
        <is>
          <t>Aseguramiento y prestación integral de servicios de salud</t>
        </is>
      </c>
      <c r="F136" t="inlineStr">
        <is>
          <t>1906044</t>
        </is>
      </c>
      <c r="G136" t="inlineStr">
        <is>
          <t>Servicio de afiliaciones al régimen subsidiado del Sistema General de Seguridad Social</t>
        </is>
      </c>
      <c r="H136"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136" t="inlineStr">
        <is>
          <t>2024257990027</t>
        </is>
      </c>
      <c r="J136" s="99">
        <v>25514557845.3593</v>
      </c>
      <c r="K136" s="99">
        <v>3849262837.91</v>
      </c>
      <c r="L136" s="99">
        <v>7100374631</v>
      </c>
      <c r="M136" s="99">
        <v>7221080999.727</v>
      </c>
      <c r="N136" s="99">
        <v>7343839376.7223</v>
      </c>
      <c r="O136" s="99" t="inlineStr">
        <is>
          <t xml:space="preserve"> </t>
        </is>
      </c>
      <c r="P136" s="99" t="inlineStr">
        <is>
          <t xml:space="preserve"> </t>
        </is>
      </c>
      <c r="Q136" s="99" t="inlineStr">
        <is>
          <t xml:space="preserve"> </t>
        </is>
      </c>
      <c r="R136" s="100" t="inlineStr">
        <is>
          <t xml:space="preserve"> </t>
        </is>
      </c>
      <c r="S136" t="inlineStr">
        <is>
          <t>No se encontró ejecución en CUIPO</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IP-200</t>
        </is>
      </c>
      <c r="B137" t="inlineStr">
        <is>
          <t>19</t>
        </is>
      </c>
      <c r="C137" t="inlineStr">
        <is>
          <t>Salud y protección social</t>
        </is>
      </c>
      <c r="D137" t="inlineStr">
        <is>
          <t>1906</t>
        </is>
      </c>
      <c r="E137" t="inlineStr">
        <is>
          <t>Aseguramiento y prestación integral de servicios de salud</t>
        </is>
      </c>
      <c r="F137" t="inlineStr">
        <is>
          <t>1906038</t>
        </is>
      </c>
      <c r="G137" t="inlineStr">
        <is>
          <t>Documentos metodológicos</t>
        </is>
      </c>
      <c r="H137" t="inlineStr">
        <is>
          <t>Documentos cuyo objetivo es describir y explicar métodos, herramientas analíticas, o procesos que determinan un camino o forma de realizar un análisis en particular.</t>
        </is>
      </c>
      <c r="I137" t="inlineStr">
        <is>
          <t>2024257990027</t>
        </is>
      </c>
      <c r="J137" s="99">
        <v>71025780</v>
      </c>
      <c r="K137" s="99">
        <v>10000000</v>
      </c>
      <c r="L137" s="99">
        <v>20000000</v>
      </c>
      <c r="M137" s="99">
        <v>20340000</v>
      </c>
      <c r="N137" s="99">
        <v>20685780</v>
      </c>
      <c r="O137" s="99" t="inlineStr">
        <is>
          <t xml:space="preserve"> </t>
        </is>
      </c>
      <c r="P137" s="99" t="inlineStr">
        <is>
          <t xml:space="preserve"> </t>
        </is>
      </c>
      <c r="Q137" s="99" t="inlineStr">
        <is>
          <t xml:space="preserve"> </t>
        </is>
      </c>
      <c r="R137" s="100" t="inlineStr">
        <is>
          <t xml:space="preserve"> </t>
        </is>
      </c>
      <c r="S137" t="inlineStr">
        <is>
          <t>No se encontró ejecución en CUIPO</t>
        </is>
      </c>
      <c r="T137" s="101" t="inlineStr">
        <is>
          <t xml:space="preserve"> </t>
        </is>
      </c>
      <c r="U137" s="101" t="inlineStr">
        <is>
          <t xml:space="preserve"> </t>
        </is>
      </c>
      <c r="V137" s="101" t="inlineStr">
        <is>
          <t xml:space="preserve"> </t>
        </is>
      </c>
      <c r="W137" s="102" t="inlineStr">
        <is>
          <t xml:space="preserve"> </t>
        </is>
      </c>
      <c r="X137" t="inlineStr">
        <is>
          <t>No se encontró ejecución en CUIPO</t>
        </is>
      </c>
    </row>
    <row r="138">
      <c r="A138" t="inlineStr">
        <is>
          <t>IP-201, IP-202</t>
        </is>
      </c>
      <c r="B138" t="inlineStr">
        <is>
          <t>19</t>
        </is>
      </c>
      <c r="C138" t="inlineStr">
        <is>
          <t>Salud y protección social</t>
        </is>
      </c>
      <c r="D138" t="inlineStr">
        <is>
          <t>1905</t>
        </is>
      </c>
      <c r="E138" t="inlineStr">
        <is>
          <t>Salud pública</t>
        </is>
      </c>
      <c r="F138" t="inlineStr">
        <is>
          <t>1905028</t>
        </is>
      </c>
      <c r="G138" t="inlineStr">
        <is>
          <t>Servicio de gestión del riesgo para temas de consumo, aprovechamiento biológico, calidad e inocuidad de los alimentos</t>
        </is>
      </c>
      <c r="H138" t="inlineStr">
        <is>
          <t>Comprende acciones para disminuir la probabilidad de ocurrencia de eventos no deseados, evitables y negativos para la salud del individuo relacionado con la alimentación, como la obesidad, la desnutrición, la intoxicación, entre otros.</t>
        </is>
      </c>
      <c r="I138" t="inlineStr">
        <is>
          <t>2024257990028</t>
        </is>
      </c>
      <c r="J138" s="99">
        <v>299434451.875</v>
      </c>
      <c r="K138" s="99">
        <v>77071766</v>
      </c>
      <c r="L138" s="99">
        <v>72875000</v>
      </c>
      <c r="M138" s="99">
        <v>74113875</v>
      </c>
      <c r="N138" s="99">
        <v>75373810.875</v>
      </c>
      <c r="O138" s="99" t="inlineStr">
        <is>
          <t xml:space="preserve"> </t>
        </is>
      </c>
      <c r="P138" s="99" t="inlineStr">
        <is>
          <t xml:space="preserve"> </t>
        </is>
      </c>
      <c r="Q138" s="99" t="inlineStr">
        <is>
          <t xml:space="preserve"> </t>
        </is>
      </c>
      <c r="R138" s="100" t="inlineStr">
        <is>
          <t xml:space="preserve"> </t>
        </is>
      </c>
      <c r="S138" t="inlineStr">
        <is>
          <t>No se encontró ejecución en CUIPO</t>
        </is>
      </c>
      <c r="T138" s="101">
        <v>41816620</v>
      </c>
      <c r="U138" s="101">
        <v>25200000</v>
      </c>
      <c r="V138" s="101">
        <v>21000000</v>
      </c>
      <c r="W138" s="102">
        <v>0.345797598627787</v>
      </c>
      <c r="X138" t="inlineStr">
        <is>
          <t>Lo obligado está por debajo de lo programado en la vigencia</t>
        </is>
      </c>
    </row>
    <row r="139">
      <c r="A139" t="inlineStr">
        <is>
          <t>IP-203, IP-204</t>
        </is>
      </c>
      <c r="B139" t="inlineStr">
        <is>
          <t>19</t>
        </is>
      </c>
      <c r="C139" t="inlineStr">
        <is>
          <t>Salud y protección social</t>
        </is>
      </c>
      <c r="D139" t="inlineStr">
        <is>
          <t>1905</t>
        </is>
      </c>
      <c r="E139" t="inlineStr">
        <is>
          <t>Salud pública</t>
        </is>
      </c>
      <c r="F139" t="inlineStr">
        <is>
          <t>1905022</t>
        </is>
      </c>
      <c r="G139" t="inlineStr">
        <is>
          <t>Servicio de gestión del riesgo en temas de trastornos mentales</t>
        </is>
      </c>
      <c r="H139" t="inlineStr">
        <is>
          <t>Incluye acciones de prevención de los trastornos mentales asociados a factores sociales, psicológicos y biológicos, en los diferentes entornos en los que se desarrollan los individuos.</t>
        </is>
      </c>
      <c r="I139" t="inlineStr">
        <is>
          <t>2024257990028</t>
        </is>
      </c>
      <c r="J139" s="99">
        <v>380046891.8</v>
      </c>
      <c r="K139" s="99">
        <v>56000000</v>
      </c>
      <c r="L139" s="99">
        <v>106200000</v>
      </c>
      <c r="M139" s="99">
        <v>108005400</v>
      </c>
      <c r="N139" s="99">
        <v>109841491.8</v>
      </c>
      <c r="O139" s="99" t="inlineStr">
        <is>
          <t xml:space="preserve"> </t>
        </is>
      </c>
      <c r="P139" s="99" t="inlineStr">
        <is>
          <t xml:space="preserve"> </t>
        </is>
      </c>
      <c r="Q139" s="99" t="inlineStr">
        <is>
          <t xml:space="preserve"> </t>
        </is>
      </c>
      <c r="R139" s="100" t="inlineStr">
        <is>
          <t xml:space="preserve"> </t>
        </is>
      </c>
      <c r="S139" t="inlineStr">
        <is>
          <t>No se encontró ejecución en CUIPO</t>
        </is>
      </c>
      <c r="T139" s="101" t="inlineStr">
        <is>
          <t xml:space="preserve"> </t>
        </is>
      </c>
      <c r="U139" s="101" t="inlineStr">
        <is>
          <t xml:space="preserve"> </t>
        </is>
      </c>
      <c r="V139" s="101" t="inlineStr">
        <is>
          <t xml:space="preserve"> </t>
        </is>
      </c>
      <c r="W139" s="102" t="inlineStr">
        <is>
          <t xml:space="preserve"> </t>
        </is>
      </c>
      <c r="X139" t="inlineStr">
        <is>
          <t>No se encontró ejecución en CUIPO</t>
        </is>
      </c>
    </row>
    <row r="140">
      <c r="A140" t="inlineStr">
        <is>
          <t>IP-205</t>
        </is>
      </c>
      <c r="B140" t="inlineStr">
        <is>
          <t>19</t>
        </is>
      </c>
      <c r="C140" t="inlineStr">
        <is>
          <t>Salud y protección social</t>
        </is>
      </c>
      <c r="D140" t="inlineStr">
        <is>
          <t>1905</t>
        </is>
      </c>
      <c r="E140" t="inlineStr">
        <is>
          <t>Salud pública</t>
        </is>
      </c>
      <c r="F140" t="inlineStr">
        <is>
          <t>1905021</t>
        </is>
      </c>
      <c r="G140" t="inlineStr">
        <is>
          <t>Servicio de gestión del riesgo en temas de salud sexual y reproductiva</t>
        </is>
      </c>
      <c r="H140" t="inlineStr">
        <is>
          <t>Corresponde a las acciones relacionadas con la prevención y mitigación de riesgos que afectan la salud sexual y reproductiva de las personas en el curso de su vida desde un enfoque de derechos.</t>
        </is>
      </c>
      <c r="I140" t="inlineStr">
        <is>
          <t>2024257990028</t>
        </is>
      </c>
      <c r="J140" s="99">
        <v>236731342.71</v>
      </c>
      <c r="K140" s="99">
        <v>52464000</v>
      </c>
      <c r="L140" s="99">
        <v>60390000</v>
      </c>
      <c r="M140" s="99">
        <v>61416630</v>
      </c>
      <c r="N140" s="99">
        <v>62460712.71</v>
      </c>
      <c r="O140" s="99" t="inlineStr">
        <is>
          <t xml:space="preserve"> </t>
        </is>
      </c>
      <c r="P140" s="99" t="inlineStr">
        <is>
          <t xml:space="preserve"> </t>
        </is>
      </c>
      <c r="Q140" s="99" t="inlineStr">
        <is>
          <t xml:space="preserve"> </t>
        </is>
      </c>
      <c r="R140" s="100" t="inlineStr">
        <is>
          <t xml:space="preserve"> </t>
        </is>
      </c>
      <c r="S140" t="inlineStr">
        <is>
          <t>No se encontró ejecución en CUIPO</t>
        </is>
      </c>
      <c r="T140" s="101">
        <v>56685262</v>
      </c>
      <c r="U140" s="101">
        <v>40532600</v>
      </c>
      <c r="V140" s="101">
        <v>36532600</v>
      </c>
      <c r="W140" s="102">
        <v>0.671180659049512</v>
      </c>
      <c r="X140" t="inlineStr">
        <is>
          <t>Lo obligado está por debajo de lo programado en la vigencia</t>
        </is>
      </c>
    </row>
    <row r="141">
      <c r="A141" t="inlineStr">
        <is>
          <t>IP-206</t>
        </is>
      </c>
      <c r="B141" t="inlineStr">
        <is>
          <t>19</t>
        </is>
      </c>
      <c r="C141" t="inlineStr">
        <is>
          <t>Salud y protección social</t>
        </is>
      </c>
      <c r="D141" t="inlineStr">
        <is>
          <t>1905</t>
        </is>
      </c>
      <c r="E141" t="inlineStr">
        <is>
          <t>Salud pública</t>
        </is>
      </c>
      <c r="F141" t="inlineStr">
        <is>
          <t>1905026</t>
        </is>
      </c>
      <c r="G141" t="inlineStr">
        <is>
          <t>Servicio de gestión del riesgo para enfermedades emergentes, reemergentes y desatendidas</t>
        </is>
      </c>
      <c r="H141"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141" t="inlineStr">
        <is>
          <t>2024257990028</t>
        </is>
      </c>
      <c r="J141" s="99">
        <v>168795012.185</v>
      </c>
      <c r="K141" s="99">
        <v>17252744</v>
      </c>
      <c r="L141" s="99">
        <v>49665000</v>
      </c>
      <c r="M141" s="99">
        <v>50509305</v>
      </c>
      <c r="N141" s="99">
        <v>51367963.185</v>
      </c>
      <c r="O141" s="99" t="inlineStr">
        <is>
          <t xml:space="preserve"> </t>
        </is>
      </c>
      <c r="P141" s="99" t="inlineStr">
        <is>
          <t xml:space="preserve"> </t>
        </is>
      </c>
      <c r="Q141" s="99" t="inlineStr">
        <is>
          <t xml:space="preserve"> </t>
        </is>
      </c>
      <c r="R141" s="100" t="inlineStr">
        <is>
          <t xml:space="preserve"> </t>
        </is>
      </c>
      <c r="S141" t="inlineStr">
        <is>
          <t>No se encontró ejecución en CUIPO</t>
        </is>
      </c>
      <c r="T141" s="101" t="inlineStr">
        <is>
          <t xml:space="preserve"> </t>
        </is>
      </c>
      <c r="U141" s="101" t="inlineStr">
        <is>
          <t xml:space="preserve"> </t>
        </is>
      </c>
      <c r="V141" s="101" t="inlineStr">
        <is>
          <t xml:space="preserve"> </t>
        </is>
      </c>
      <c r="W141" s="102" t="inlineStr">
        <is>
          <t xml:space="preserve"> </t>
        </is>
      </c>
      <c r="X141" t="inlineStr">
        <is>
          <t>No se encontró ejecución en CUIPO</t>
        </is>
      </c>
    </row>
    <row r="142">
      <c r="A142" t="inlineStr">
        <is>
          <t>IP-207</t>
        </is>
      </c>
      <c r="B142" t="inlineStr">
        <is>
          <t>19</t>
        </is>
      </c>
      <c r="C142" t="inlineStr">
        <is>
          <t>Salud y protección social</t>
        </is>
      </c>
      <c r="D142" t="inlineStr">
        <is>
          <t>1905</t>
        </is>
      </c>
      <c r="E142" t="inlineStr">
        <is>
          <t>Salud pública</t>
        </is>
      </c>
      <c r="F142" t="inlineStr">
        <is>
          <t>1905007</t>
        </is>
      </c>
      <c r="G142" t="inlineStr">
        <is>
          <t>Centros reguladores de urgencias, emergencias y desastres con reforzamiento estructural</t>
        </is>
      </c>
      <c r="H142" t="inlineStr">
        <is>
          <t xml:space="preserve">Infraestructura con reforzamiento estructural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is>
      </c>
      <c r="I142" t="inlineStr">
        <is>
          <t>2024257990028</t>
        </is>
      </c>
      <c r="J142" s="99">
        <v>24350000</v>
      </c>
      <c r="K142" s="99">
        <v>2163000</v>
      </c>
      <c r="L142" s="99">
        <v>11000000</v>
      </c>
      <c r="M142" s="99">
        <v>11187000</v>
      </c>
      <c r="N142" s="99">
        <v>0</v>
      </c>
      <c r="O142" s="99" t="inlineStr">
        <is>
          <t xml:space="preserve"> </t>
        </is>
      </c>
      <c r="P142" s="99" t="inlineStr">
        <is>
          <t xml:space="preserve"> </t>
        </is>
      </c>
      <c r="Q142" s="99" t="inlineStr">
        <is>
          <t xml:space="preserve"> </t>
        </is>
      </c>
      <c r="R142" s="100" t="inlineStr">
        <is>
          <t xml:space="preserve"> </t>
        </is>
      </c>
      <c r="S142" t="inlineStr">
        <is>
          <t>No se encontró ejecución en CUIPO</t>
        </is>
      </c>
      <c r="T142" s="101" t="inlineStr">
        <is>
          <t xml:space="preserve"> </t>
        </is>
      </c>
      <c r="U142" s="101" t="inlineStr">
        <is>
          <t xml:space="preserve"> </t>
        </is>
      </c>
      <c r="V142" s="101" t="inlineStr">
        <is>
          <t xml:space="preserve"> </t>
        </is>
      </c>
      <c r="W142" s="102" t="inlineStr">
        <is>
          <t xml:space="preserve"> </t>
        </is>
      </c>
      <c r="X142" t="inlineStr">
        <is>
          <t>No se encontró ejecución en CUIPO</t>
        </is>
      </c>
    </row>
    <row r="143">
      <c r="A143" t="inlineStr">
        <is>
          <t>IP-208</t>
        </is>
      </c>
      <c r="B143" t="inlineStr">
        <is>
          <t>19</t>
        </is>
      </c>
      <c r="C143" t="inlineStr">
        <is>
          <t>Salud y protección social</t>
        </is>
      </c>
      <c r="D143" t="inlineStr">
        <is>
          <t>1905</t>
        </is>
      </c>
      <c r="E143" t="inlineStr">
        <is>
          <t>Salud pública</t>
        </is>
      </c>
      <c r="F143" t="inlineStr">
        <is>
          <t>1905027</t>
        </is>
      </c>
      <c r="G143" t="inlineStr">
        <is>
          <t>Servicio de gestión del riesgo para enfermedades inmunoprevenibles</t>
        </is>
      </c>
      <c r="H143"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143" t="inlineStr">
        <is>
          <t>2024257990028</t>
        </is>
      </c>
      <c r="J143" s="99">
        <v>217661603.185</v>
      </c>
      <c r="K143" s="99">
        <v>20350000</v>
      </c>
      <c r="L143" s="99">
        <v>64665000</v>
      </c>
      <c r="M143" s="99">
        <v>65764305</v>
      </c>
      <c r="N143" s="99">
        <v>66882298.185</v>
      </c>
      <c r="O143" s="99" t="inlineStr">
        <is>
          <t xml:space="preserve"> </t>
        </is>
      </c>
      <c r="P143" s="99" t="inlineStr">
        <is>
          <t xml:space="preserve"> </t>
        </is>
      </c>
      <c r="Q143" s="99" t="inlineStr">
        <is>
          <t xml:space="preserve"> </t>
        </is>
      </c>
      <c r="R143" s="100" t="inlineStr">
        <is>
          <t xml:space="preserve"> </t>
        </is>
      </c>
      <c r="S143" t="inlineStr">
        <is>
          <t>No se encontró ejecución en CUIPO</t>
        </is>
      </c>
      <c r="T143" s="101" t="inlineStr">
        <is>
          <t xml:space="preserve"> </t>
        </is>
      </c>
      <c r="U143" s="101" t="inlineStr">
        <is>
          <t xml:space="preserve"> </t>
        </is>
      </c>
      <c r="V143" s="101" t="inlineStr">
        <is>
          <t xml:space="preserve"> </t>
        </is>
      </c>
      <c r="W143" s="102" t="inlineStr">
        <is>
          <t xml:space="preserve"> </t>
        </is>
      </c>
      <c r="X143" t="inlineStr">
        <is>
          <t>No se encontró ejecución en CUIPO</t>
        </is>
      </c>
    </row>
    <row r="144">
      <c r="A144" t="inlineStr">
        <is>
          <t>IP-209</t>
        </is>
      </c>
      <c r="B144" t="inlineStr">
        <is>
          <t>19</t>
        </is>
      </c>
      <c r="C144" t="inlineStr">
        <is>
          <t>Salud y protección social</t>
        </is>
      </c>
      <c r="D144" t="inlineStr">
        <is>
          <t>1905</t>
        </is>
      </c>
      <c r="E144" t="inlineStr">
        <is>
          <t>Salud pública</t>
        </is>
      </c>
      <c r="F144" t="inlineStr">
        <is>
          <t>1905019</t>
        </is>
      </c>
      <c r="G144" t="inlineStr">
        <is>
          <t>Servicio de educación informal en temas de salud pública</t>
        </is>
      </c>
      <c r="H144" t="inlineStr">
        <is>
          <t>Corresponde al servicio de educación informal en temas de salud pública, orientado a la población a nivel de individuos, familias y comunidad en general.</t>
        </is>
      </c>
      <c r="I144" t="inlineStr">
        <is>
          <t>2024257990028</t>
        </is>
      </c>
      <c r="J144" s="99">
        <v>2014199649.8241</v>
      </c>
      <c r="K144" s="99">
        <v>352009966</v>
      </c>
      <c r="L144" s="99">
        <v>544750000.352</v>
      </c>
      <c r="M144" s="99">
        <v>554010750.358</v>
      </c>
      <c r="N144" s="99">
        <v>563428933.1141</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t="inlineStr">
        <is>
          <t xml:space="preserve"> </t>
        </is>
      </c>
      <c r="U144" s="101" t="inlineStr">
        <is>
          <t xml:space="preserve"> </t>
        </is>
      </c>
      <c r="V144" s="101" t="inlineStr">
        <is>
          <t xml:space="preserve"> </t>
        </is>
      </c>
      <c r="W144" s="102" t="inlineStr">
        <is>
          <t xml:space="preserve"> </t>
        </is>
      </c>
      <c r="X144" t="inlineStr">
        <is>
          <t>No se encontró ejecución en CUIPO</t>
        </is>
      </c>
    </row>
    <row r="145">
      <c r="A145" t="inlineStr">
        <is>
          <t>IP-210</t>
        </is>
      </c>
      <c r="B145" t="inlineStr">
        <is>
          <t>19</t>
        </is>
      </c>
      <c r="C145" t="inlineStr">
        <is>
          <t>Salud y protección social</t>
        </is>
      </c>
      <c r="D145" t="inlineStr">
        <is>
          <t>1903</t>
        </is>
      </c>
      <c r="E145" t="inlineStr">
        <is>
          <t>Inspección, vigilancia y control</t>
        </is>
      </c>
      <c r="F145" t="inlineStr">
        <is>
          <t>1903033</t>
        </is>
      </c>
      <c r="G145" t="inlineStr">
        <is>
          <t>Servicio de verificación de técnicas de análisis</t>
        </is>
      </c>
      <c r="H145" t="inlineStr">
        <is>
          <t>Este servicio permite validar las técnicas de análisis de las instituciones bajo control y establecer que el laboratorio está realizando el análisis aplicando las técnicas avaladas.</t>
        </is>
      </c>
      <c r="I145" t="inlineStr">
        <is>
          <t>2024257990029</t>
        </is>
      </c>
      <c r="J145" s="99">
        <v>447363949.96</v>
      </c>
      <c r="K145" s="99">
        <v>64000000</v>
      </c>
      <c r="L145" s="99">
        <v>125640000</v>
      </c>
      <c r="M145" s="99">
        <v>127775880</v>
      </c>
      <c r="N145" s="99">
        <v>129948069.96</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v>109816667</v>
      </c>
      <c r="U145" s="101">
        <v>82463334</v>
      </c>
      <c r="V145" s="101">
        <v>73063334</v>
      </c>
      <c r="W145" s="102">
        <v>0.656346179560649</v>
      </c>
      <c r="X145" t="inlineStr">
        <is>
          <t>Lo obligado está por debajo de lo programado en la vigencia</t>
        </is>
      </c>
    </row>
    <row r="146">
      <c r="A146" t="inlineStr">
        <is>
          <t>IP-211</t>
        </is>
      </c>
      <c r="B146" t="inlineStr">
        <is>
          <t>19</t>
        </is>
      </c>
      <c r="C146" t="inlineStr">
        <is>
          <t>Salud y protección social</t>
        </is>
      </c>
      <c r="D146" t="inlineStr">
        <is>
          <t>1903</t>
        </is>
      </c>
      <c r="E146" t="inlineStr">
        <is>
          <t>Inspección, vigilancia y control</t>
        </is>
      </c>
      <c r="F146" t="inlineStr">
        <is>
          <t>1903057</t>
        </is>
      </c>
      <c r="G146" t="inlineStr">
        <is>
          <t>Servicio de promoción, prevención, vigilancia y control de vectores y zoonosis</t>
        </is>
      </c>
      <c r="H146" t="inlineStr">
        <is>
          <t>El Servicio de promoción, prevención, vigilancia  y control de vectores y zoonosis  permite a las entidades formular y ejecutar  efectivamente acciones para la atención del tema control de vectores y zoonosis.</t>
        </is>
      </c>
      <c r="I146" t="inlineStr">
        <is>
          <t>2024257990029</t>
        </is>
      </c>
      <c r="J146" s="99">
        <v>158764395.8</v>
      </c>
      <c r="K146" s="99">
        <v>30000000</v>
      </c>
      <c r="L146" s="99">
        <v>42200000</v>
      </c>
      <c r="M146" s="99">
        <v>42917400</v>
      </c>
      <c r="N146" s="99">
        <v>43646995.8</v>
      </c>
      <c r="O146" s="99" t="inlineStr">
        <is>
          <t xml:space="preserve"> </t>
        </is>
      </c>
      <c r="P146" s="99" t="inlineStr">
        <is>
          <t xml:space="preserve"> </t>
        </is>
      </c>
      <c r="Q146" s="99" t="inlineStr">
        <is>
          <t xml:space="preserve"> </t>
        </is>
      </c>
      <c r="R146" s="100" t="inlineStr">
        <is>
          <t xml:space="preserve"> </t>
        </is>
      </c>
      <c r="S146" t="inlineStr">
        <is>
          <t>No se encontró ejecución en CUIPO</t>
        </is>
      </c>
      <c r="T146" s="101">
        <v>96521667</v>
      </c>
      <c r="U146" s="101">
        <v>67538333</v>
      </c>
      <c r="V146" s="101">
        <v>57438333</v>
      </c>
      <c r="W146" s="102">
        <v>1.60043443127962</v>
      </c>
      <c r="X146" t="inlineStr">
        <is>
          <t>Hubo ejecución por encima de lo programado en SisPT</t>
        </is>
      </c>
    </row>
    <row r="147">
      <c r="A147" t="inlineStr">
        <is>
          <t>IP-212, IP-213, IP-214, IP-215, IP-216, IP-218</t>
        </is>
      </c>
      <c r="B147" t="inlineStr">
        <is>
          <t>19</t>
        </is>
      </c>
      <c r="C147" t="inlineStr">
        <is>
          <t>Salud y protección social</t>
        </is>
      </c>
      <c r="D147" t="inlineStr">
        <is>
          <t>1903</t>
        </is>
      </c>
      <c r="E147" t="inlineStr">
        <is>
          <t>Inspección, vigilancia y control</t>
        </is>
      </c>
      <c r="F147" t="inlineStr">
        <is>
          <t>1903023</t>
        </is>
      </c>
      <c r="G147" t="inlineStr">
        <is>
          <t>Servicio de asistencia técnica en inspección, vigilancia y control</t>
        </is>
      </c>
      <c r="H147" t="inlineStr">
        <is>
          <t>Este servicio permite ofrecer la asistencias técnica en Inspección, Vigilancia y Control</t>
        </is>
      </c>
      <c r="I147" t="inlineStr">
        <is>
          <t>2024257990029</t>
        </is>
      </c>
      <c r="J147" s="99">
        <v>2483370673.4046</v>
      </c>
      <c r="K147" s="99">
        <v>320372928</v>
      </c>
      <c r="L147" s="99">
        <v>708879999.7</v>
      </c>
      <c r="M147" s="99">
        <v>720930959.6949</v>
      </c>
      <c r="N147" s="99">
        <v>733186786.0097</v>
      </c>
      <c r="O147" s="99" t="inlineStr">
        <is>
          <t xml:space="preserve"> </t>
        </is>
      </c>
      <c r="P147" s="99" t="inlineStr">
        <is>
          <t xml:space="preserve"> </t>
        </is>
      </c>
      <c r="Q147" s="99" t="inlineStr">
        <is>
          <t xml:space="preserve"> </t>
        </is>
      </c>
      <c r="R147" s="100" t="inlineStr">
        <is>
          <t xml:space="preserve"> </t>
        </is>
      </c>
      <c r="S147" t="inlineStr">
        <is>
          <t>No se encontró ejecución en CUIPO</t>
        </is>
      </c>
      <c r="T147" s="101">
        <v>374416101</v>
      </c>
      <c r="U147" s="101">
        <v>240768868</v>
      </c>
      <c r="V147" s="101">
        <v>209223868</v>
      </c>
      <c r="W147" s="102">
        <v>0.339646862800325</v>
      </c>
      <c r="X147" t="inlineStr">
        <is>
          <t>Lo obligado está por debajo de lo programado en la vigencia</t>
        </is>
      </c>
    </row>
    <row r="148">
      <c r="A148" t="inlineStr">
        <is>
          <t>IP-217</t>
        </is>
      </c>
      <c r="B148" t="inlineStr">
        <is>
          <t>19</t>
        </is>
      </c>
      <c r="C148" t="inlineStr">
        <is>
          <t>Salud y protección social</t>
        </is>
      </c>
      <c r="D148" t="inlineStr">
        <is>
          <t>1903</t>
        </is>
      </c>
      <c r="E148" t="inlineStr">
        <is>
          <t>Inspección, vigilancia y control</t>
        </is>
      </c>
      <c r="F148" t="inlineStr">
        <is>
          <t>1903031</t>
        </is>
      </c>
      <c r="G148" t="inlineStr">
        <is>
          <t>Servicio de información de vigilancia epidemiológica</t>
        </is>
      </c>
      <c r="H148" t="inlineStr">
        <is>
          <t>Informes de evento generados en la vigencia</t>
        </is>
      </c>
      <c r="I148" t="inlineStr">
        <is>
          <t>2024257990029</t>
        </is>
      </c>
      <c r="J148" s="99">
        <v>576141138.8135</v>
      </c>
      <c r="K148" s="99">
        <v>84000000</v>
      </c>
      <c r="L148" s="99">
        <v>161289585.75</v>
      </c>
      <c r="M148" s="99">
        <v>164031508.7077</v>
      </c>
      <c r="N148" s="99">
        <v>166820044.3558</v>
      </c>
      <c r="O148" s="99" t="inlineStr">
        <is>
          <t xml:space="preserve"> </t>
        </is>
      </c>
      <c r="P148" s="99" t="inlineStr">
        <is>
          <t xml:space="preserve"> </t>
        </is>
      </c>
      <c r="Q148" s="99" t="inlineStr">
        <is>
          <t xml:space="preserve"> </t>
        </is>
      </c>
      <c r="R148" s="100" t="inlineStr">
        <is>
          <t xml:space="preserve"> </t>
        </is>
      </c>
      <c r="S148" t="inlineStr">
        <is>
          <t>No se encontró ejecución en CUIPO</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IP-219, IP-220, IP-221</t>
        </is>
      </c>
      <c r="B149" t="inlineStr">
        <is>
          <t>33</t>
        </is>
      </c>
      <c r="C149" t="inlineStr">
        <is>
          <t>Cultura</t>
        </is>
      </c>
      <c r="D149" t="inlineStr">
        <is>
          <t>3301</t>
        </is>
      </c>
      <c r="E149" t="inlineStr">
        <is>
          <t>Promoción y acceso efectivo a procesos culturales y artísticos</t>
        </is>
      </c>
      <c r="F149" t="inlineStr">
        <is>
          <t>3301071</t>
        </is>
      </c>
      <c r="G149" t="inlineStr">
        <is>
          <t>Documentos normativos</t>
        </is>
      </c>
      <c r="H149" t="inlineStr">
        <is>
          <t>Corresponde a los actos administrativos de carácter normativo y legal para la organización, funcionamiento, gestión y sostenibilidad del sector artístico y cultural.</t>
        </is>
      </c>
      <c r="I149" t="inlineStr">
        <is>
          <t>2024257990030</t>
        </is>
      </c>
      <c r="J149" s="99">
        <v>2131303400</v>
      </c>
      <c r="K149" s="99">
        <v>300530000</v>
      </c>
      <c r="L149" s="99">
        <v>600000000</v>
      </c>
      <c r="M149" s="99">
        <v>610200000</v>
      </c>
      <c r="N149" s="99">
        <v>620573400</v>
      </c>
      <c r="O149" s="99" t="inlineStr">
        <is>
          <t xml:space="preserve"> </t>
        </is>
      </c>
      <c r="P149" s="99" t="inlineStr">
        <is>
          <t xml:space="preserve"> </t>
        </is>
      </c>
      <c r="Q149" s="99" t="inlineStr">
        <is>
          <t xml:space="preserve"> </t>
        </is>
      </c>
      <c r="R149" s="100" t="inlineStr">
        <is>
          <t xml:space="preserve"> </t>
        </is>
      </c>
      <c r="S149" t="inlineStr">
        <is>
          <t>No se encontró ejecución en CUIPO</t>
        </is>
      </c>
      <c r="T149" s="101">
        <v>610000000</v>
      </c>
      <c r="U149" s="101">
        <v>610000000</v>
      </c>
      <c r="V149" s="101">
        <v>610000000</v>
      </c>
      <c r="W149" s="102">
        <v>1.01666666666667</v>
      </c>
      <c r="X149" t="inlineStr">
        <is>
          <t>Hubo ejecución por encima de lo programado en SisPT</t>
        </is>
      </c>
    </row>
    <row r="150">
      <c r="A150" t="inlineStr">
        <is>
          <t>IP-222</t>
        </is>
      </c>
      <c r="B150" t="inlineStr">
        <is>
          <t>33</t>
        </is>
      </c>
      <c r="C150" t="inlineStr">
        <is>
          <t>Cultura</t>
        </is>
      </c>
      <c r="D150" t="inlineStr">
        <is>
          <t>3301</t>
        </is>
      </c>
      <c r="E150" t="inlineStr">
        <is>
          <t>Promoción y acceso efectivo a procesos culturales y artísticos</t>
        </is>
      </c>
      <c r="F150" t="inlineStr">
        <is>
          <t>3301070</t>
        </is>
      </c>
      <c r="G150" t="inlineStr">
        <is>
          <t>Documentos de lineamientos técnicos</t>
        </is>
      </c>
      <c r="H150" t="inlineStr">
        <is>
          <t>Corresponde a los lineamientos técnicos para la creación, dotación, organización, administración, funcionamiento, gestión y prestación de servicios en el sector cultural y artístico</t>
        </is>
      </c>
      <c r="I150" t="inlineStr">
        <is>
          <t>2024257990030</t>
        </is>
      </c>
      <c r="J150" s="99">
        <v>122051560</v>
      </c>
      <c r="K150" s="99">
        <v>0</v>
      </c>
      <c r="L150" s="99">
        <v>40000000</v>
      </c>
      <c r="M150" s="99">
        <v>40680000</v>
      </c>
      <c r="N150" s="99">
        <v>41371560</v>
      </c>
      <c r="O150" s="99" t="inlineStr">
        <is>
          <t xml:space="preserve"> </t>
        </is>
      </c>
      <c r="P150" s="99" t="inlineStr">
        <is>
          <t xml:space="preserve"> </t>
        </is>
      </c>
      <c r="Q150" s="99" t="inlineStr">
        <is>
          <t xml:space="preserve"> </t>
        </is>
      </c>
      <c r="R150" s="100" t="inlineStr">
        <is>
          <t xml:space="preserve"> </t>
        </is>
      </c>
      <c r="S150" t="inlineStr">
        <is>
          <t>No se encontró ejecución en CUIPO</t>
        </is>
      </c>
      <c r="T150" s="101">
        <v>40000000</v>
      </c>
      <c r="U150" s="101">
        <v>40000000</v>
      </c>
      <c r="V150" s="101">
        <v>40000000</v>
      </c>
      <c r="W150" s="102">
        <v>1</v>
      </c>
      <c r="X150" t="inlineStr">
        <is>
          <t>Se ejecutó el 100% de lo programado en la vigencia</t>
        </is>
      </c>
    </row>
    <row r="151">
      <c r="A151" t="inlineStr">
        <is>
          <t>IP-223</t>
        </is>
      </c>
      <c r="B151" t="inlineStr">
        <is>
          <t>33</t>
        </is>
      </c>
      <c r="C151" t="inlineStr">
        <is>
          <t>Cultura</t>
        </is>
      </c>
      <c r="D151" t="inlineStr">
        <is>
          <t>3301</t>
        </is>
      </c>
      <c r="E151" t="inlineStr">
        <is>
          <t>Promoción y acceso efectivo a procesos culturales y artísticos</t>
        </is>
      </c>
      <c r="F151" t="inlineStr">
        <is>
          <t>3301073</t>
        </is>
      </c>
      <c r="G151" t="inlineStr">
        <is>
          <t>Servicio de circulación artística y cultural</t>
        </is>
      </c>
      <c r="H151"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51" t="inlineStr">
        <is>
          <t>2024257990030</t>
        </is>
      </c>
      <c r="J151" s="99">
        <v>874360920</v>
      </c>
      <c r="K151" s="99">
        <v>20000000</v>
      </c>
      <c r="L151" s="99">
        <v>280000000</v>
      </c>
      <c r="M151" s="99">
        <v>284760000</v>
      </c>
      <c r="N151" s="99">
        <v>289600920</v>
      </c>
      <c r="O151" s="99" t="inlineStr">
        <is>
          <t xml:space="preserve"> </t>
        </is>
      </c>
      <c r="P151" s="99" t="inlineStr">
        <is>
          <t xml:space="preserve"> </t>
        </is>
      </c>
      <c r="Q151" s="99" t="inlineStr">
        <is>
          <t xml:space="preserve"> </t>
        </is>
      </c>
      <c r="R151" s="100" t="inlineStr">
        <is>
          <t xml:space="preserve"> </t>
        </is>
      </c>
      <c r="S151" t="inlineStr">
        <is>
          <t>No se encontró ejecución en CUIPO</t>
        </is>
      </c>
      <c r="T151" s="101">
        <v>180000000</v>
      </c>
      <c r="U151" s="101">
        <v>180000000</v>
      </c>
      <c r="V151" s="101">
        <v>180000000</v>
      </c>
      <c r="W151" s="102">
        <v>0.642857142857143</v>
      </c>
      <c r="X151" t="inlineStr">
        <is>
          <t>Lo obligado está por debajo de lo programado en la vigencia</t>
        </is>
      </c>
    </row>
    <row r="152">
      <c r="A152" t="inlineStr">
        <is>
          <t>IP-224, IP-225</t>
        </is>
      </c>
      <c r="B152" t="inlineStr">
        <is>
          <t>33</t>
        </is>
      </c>
      <c r="C152" t="inlineStr">
        <is>
          <t>Cultura</t>
        </is>
      </c>
      <c r="D152" t="inlineStr">
        <is>
          <t>3301</t>
        </is>
      </c>
      <c r="E152" t="inlineStr">
        <is>
          <t>Promoción y acceso efectivo a procesos culturales y artísticos</t>
        </is>
      </c>
      <c r="F152" t="inlineStr">
        <is>
          <t>3301126</t>
        </is>
      </c>
      <c r="G152" t="inlineStr">
        <is>
          <t>Servicio de apoyo al proceso de formación artística y cultural</t>
        </is>
      </c>
      <c r="H152" t="inlineStr">
        <is>
          <t xml:space="preserve">Este servicio está orientado apoyar el proceso de formación artística y cultural a través del equipamiento de instrumentos y elementos propios de cada área (música, teatro, danzas y/o artes plásticas y visuales). </t>
        </is>
      </c>
      <c r="I152" t="inlineStr">
        <is>
          <t>2024257990030</t>
        </is>
      </c>
      <c r="J152" s="99">
        <v>10237510945</v>
      </c>
      <c r="K152" s="99">
        <v>1449798625</v>
      </c>
      <c r="L152" s="99">
        <v>2880000000</v>
      </c>
      <c r="M152" s="99">
        <v>2928960000</v>
      </c>
      <c r="N152" s="99">
        <v>2978752320</v>
      </c>
      <c r="O152" s="99" t="inlineStr">
        <is>
          <t xml:space="preserve"> </t>
        </is>
      </c>
      <c r="P152" s="99" t="inlineStr">
        <is>
          <t xml:space="preserve"> </t>
        </is>
      </c>
      <c r="Q152" s="99" t="inlineStr">
        <is>
          <t xml:space="preserve"> </t>
        </is>
      </c>
      <c r="R152" s="100" t="inlineStr">
        <is>
          <t xml:space="preserve"> </t>
        </is>
      </c>
      <c r="S152" t="inlineStr">
        <is>
          <t>No se encontró ejecución en CUIPO</t>
        </is>
      </c>
      <c r="T152" s="101">
        <v>2592949494</v>
      </c>
      <c r="U152" s="101">
        <v>2592949494</v>
      </c>
      <c r="V152" s="101">
        <v>2592949494</v>
      </c>
      <c r="W152" s="102">
        <v>0.900329685416667</v>
      </c>
      <c r="X152" t="inlineStr">
        <is>
          <t>Lo obligado está por debajo de lo programado en la vigencia</t>
        </is>
      </c>
    </row>
    <row r="153">
      <c r="A153" t="inlineStr">
        <is>
          <t>IP-226, IP-227</t>
        </is>
      </c>
      <c r="B153" t="inlineStr">
        <is>
          <t>33</t>
        </is>
      </c>
      <c r="C153" t="inlineStr">
        <is>
          <t>Cultura</t>
        </is>
      </c>
      <c r="D153" t="inlineStr">
        <is>
          <t>3301</t>
        </is>
      </c>
      <c r="E153" t="inlineStr">
        <is>
          <t>Promoción y acceso efectivo a procesos culturales y artísticos</t>
        </is>
      </c>
      <c r="F153" t="inlineStr">
        <is>
          <t>3301054</t>
        </is>
      </c>
      <c r="G153" t="inlineStr">
        <is>
          <t>Servicio de apoyo financiero al sector artístico y cultural</t>
        </is>
      </c>
      <c r="H153"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53" t="inlineStr">
        <is>
          <t>2024257990030</t>
        </is>
      </c>
      <c r="J153" s="99">
        <v>1450508020.6671</v>
      </c>
      <c r="K153" s="99">
        <v>804084949</v>
      </c>
      <c r="L153" s="99">
        <v>211852457</v>
      </c>
      <c r="M153" s="99">
        <v>215453948.769</v>
      </c>
      <c r="N153" s="99">
        <v>219116665.8981</v>
      </c>
      <c r="O153" s="99" t="inlineStr">
        <is>
          <t xml:space="preserve"> </t>
        </is>
      </c>
      <c r="P153" s="99" t="inlineStr">
        <is>
          <t xml:space="preserve"> </t>
        </is>
      </c>
      <c r="Q153" s="99" t="inlineStr">
        <is>
          <t xml:space="preserve"> </t>
        </is>
      </c>
      <c r="R153" s="100" t="inlineStr">
        <is>
          <t xml:space="preserve"> </t>
        </is>
      </c>
      <c r="S153" t="inlineStr">
        <is>
          <t>No se encontró ejecución en CUIPO</t>
        </is>
      </c>
      <c r="T153" s="101">
        <v>294406000</v>
      </c>
      <c r="U153" s="101">
        <v>294406000</v>
      </c>
      <c r="V153" s="101">
        <v>294406000</v>
      </c>
      <c r="W153" s="102">
        <v>1.38967470176662</v>
      </c>
      <c r="X153" t="inlineStr">
        <is>
          <t>Hubo ejecución por encima de lo programado en SisPT</t>
        </is>
      </c>
    </row>
    <row r="154">
      <c r="A154" t="inlineStr">
        <is>
          <t>IP-228, IP-229, IP-230</t>
        </is>
      </c>
      <c r="B154" t="inlineStr">
        <is>
          <t>33</t>
        </is>
      </c>
      <c r="C154" t="inlineStr">
        <is>
          <t>Cultura</t>
        </is>
      </c>
      <c r="D154" t="inlineStr">
        <is>
          <t>3301</t>
        </is>
      </c>
      <c r="E154" t="inlineStr">
        <is>
          <t>Promoción y acceso efectivo a procesos culturales y artísticos</t>
        </is>
      </c>
      <c r="F154" t="inlineStr">
        <is>
          <t>3301085</t>
        </is>
      </c>
      <c r="G154" t="inlineStr">
        <is>
          <t>Servicios bibliotecarios</t>
        </is>
      </c>
      <c r="H154" t="inlineStr">
        <is>
          <t>Conjunto de actividades desarrolladas en una biblioteca, con el fin de facilitar y promover la disponibilidad y el acceso a la información y a la cultura con estándares de calidad, pertinencia y oportunidad.   </t>
        </is>
      </c>
      <c r="I154" t="inlineStr">
        <is>
          <t>2024257990031</t>
        </is>
      </c>
      <c r="J154" s="99">
        <v>1386773867</v>
      </c>
      <c r="K154" s="99">
        <v>74719597</v>
      </c>
      <c r="L154" s="99">
        <v>430000000</v>
      </c>
      <c r="M154" s="99">
        <v>437310000</v>
      </c>
      <c r="N154" s="99">
        <v>444744270</v>
      </c>
      <c r="O154" s="99" t="inlineStr">
        <is>
          <t xml:space="preserve"> </t>
        </is>
      </c>
      <c r="P154" s="99" t="inlineStr">
        <is>
          <t xml:space="preserve"> </t>
        </is>
      </c>
      <c r="Q154" s="99" t="inlineStr">
        <is>
          <t xml:space="preserve"> </t>
        </is>
      </c>
      <c r="R154" s="100" t="inlineStr">
        <is>
          <t xml:space="preserve"> </t>
        </is>
      </c>
      <c r="S154" t="inlineStr">
        <is>
          <t>No se encontró ejecución en CUIPO</t>
        </is>
      </c>
      <c r="T154" s="101">
        <v>350000000</v>
      </c>
      <c r="U154" s="101">
        <v>350000000</v>
      </c>
      <c r="V154" s="101">
        <v>350000000</v>
      </c>
      <c r="W154" s="102">
        <v>0.813953488372093</v>
      </c>
      <c r="X154" t="inlineStr">
        <is>
          <t>Lo obligado está por debajo de lo programado en la vigencia</t>
        </is>
      </c>
    </row>
    <row r="155">
      <c r="A155" t="inlineStr">
        <is>
          <t>IP-231</t>
        </is>
      </c>
      <c r="B155" t="inlineStr">
        <is>
          <t>33</t>
        </is>
      </c>
      <c r="C155" t="inlineStr">
        <is>
          <t>Cultura</t>
        </is>
      </c>
      <c r="D155" t="inlineStr">
        <is>
          <t>3301</t>
        </is>
      </c>
      <c r="E155" t="inlineStr">
        <is>
          <t>Promoción y acceso efectivo a procesos culturales y artísticos</t>
        </is>
      </c>
      <c r="F155" t="inlineStr">
        <is>
          <t>3301075</t>
        </is>
      </c>
      <c r="G155" t="inlineStr">
        <is>
          <t>Bibliotecas construidas y dotadas</t>
        </is>
      </c>
      <c r="H155" t="inlineStr">
        <is>
          <t xml:space="preserve">Son todas aquellas infraestructuras culturales que se construyan en un predio o terreno donde no existen elementos o construcciones previstas. 
</t>
        </is>
      </c>
      <c r="I155" t="inlineStr">
        <is>
          <t>2024257990031</t>
        </is>
      </c>
      <c r="J155" s="99">
        <v>298207335.6671</v>
      </c>
      <c r="K155" s="99">
        <v>109477614</v>
      </c>
      <c r="L155" s="99">
        <v>61852457</v>
      </c>
      <c r="M155" s="99">
        <v>62903948.769</v>
      </c>
      <c r="N155" s="99">
        <v>63973315.8981</v>
      </c>
      <c r="O155" s="99" t="inlineStr">
        <is>
          <t xml:space="preserve"> </t>
        </is>
      </c>
      <c r="P155" s="99" t="inlineStr">
        <is>
          <t xml:space="preserve"> </t>
        </is>
      </c>
      <c r="Q155" s="99" t="inlineStr">
        <is>
          <t xml:space="preserve"> </t>
        </is>
      </c>
      <c r="R155" s="100" t="inlineStr">
        <is>
          <t xml:space="preserve"> </t>
        </is>
      </c>
      <c r="S155" t="inlineStr">
        <is>
          <t>No se encontró ejecución en CUIPO</t>
        </is>
      </c>
      <c r="T155" s="101">
        <v>41852457</v>
      </c>
      <c r="U155" s="101">
        <v>41852457</v>
      </c>
      <c r="V155" s="101">
        <v>41852457</v>
      </c>
      <c r="W155" s="102">
        <v>0.676649870190282</v>
      </c>
      <c r="X155" t="inlineStr">
        <is>
          <t>Lo obligado está por debajo de lo programado en la vigencia</t>
        </is>
      </c>
    </row>
    <row r="156">
      <c r="A156" t="inlineStr">
        <is>
          <t>IP-232</t>
        </is>
      </c>
      <c r="B156" t="inlineStr">
        <is>
          <t>33</t>
        </is>
      </c>
      <c r="C156" t="inlineStr">
        <is>
          <t>Cultura</t>
        </is>
      </c>
      <c r="D156" t="inlineStr">
        <is>
          <t>3302</t>
        </is>
      </c>
      <c r="E156" t="inlineStr">
        <is>
          <t>Gestión, protección y salvaguardia del patrimonio cultural colombiano</t>
        </is>
      </c>
      <c r="F156" t="inlineStr">
        <is>
          <t>3302044</t>
        </is>
      </c>
      <c r="G156" t="inlineStr">
        <is>
          <t>Servicio de promoción de actividades culturales.</t>
        </is>
      </c>
      <c r="H156" t="inlineStr">
        <is>
          <t>Se refiere a actividades culturales relacionadas con las exposiciones que se realizan y de demás actividades de interés educativo en los Museos del Ministerio de Cultura ubicados en las regiones del país (Talleres de dibujo, bordado, pintura al oleo, música, ciclos de teatro, conciertos, conferencias, etc.).</t>
        </is>
      </c>
      <c r="I156" t="inlineStr">
        <is>
          <t>2024257990032</t>
        </is>
      </c>
      <c r="J156" s="99">
        <v>6090915830</v>
      </c>
      <c r="K156" s="99">
        <v>1513982330</v>
      </c>
      <c r="L156" s="99">
        <v>1500000000</v>
      </c>
      <c r="M156" s="99">
        <v>1525500000</v>
      </c>
      <c r="N156" s="99">
        <v>1551433500</v>
      </c>
      <c r="O156" s="99" t="inlineStr">
        <is>
          <t xml:space="preserve"> </t>
        </is>
      </c>
      <c r="P156" s="99" t="inlineStr">
        <is>
          <t xml:space="preserve"> </t>
        </is>
      </c>
      <c r="Q156" s="99" t="inlineStr">
        <is>
          <t xml:space="preserve"> </t>
        </is>
      </c>
      <c r="R156" s="100" t="inlineStr">
        <is>
          <t xml:space="preserve"> </t>
        </is>
      </c>
      <c r="S156" t="inlineStr">
        <is>
          <t>No se encontró ejecución en CUIPO</t>
        </is>
      </c>
      <c r="T156" s="101">
        <v>1600000000</v>
      </c>
      <c r="U156" s="101">
        <v>1600000000</v>
      </c>
      <c r="V156" s="101">
        <v>1600000000</v>
      </c>
      <c r="W156" s="102">
        <v>1.06666666666667</v>
      </c>
      <c r="X156" t="inlineStr">
        <is>
          <t>Hubo ejecución por encima de lo programado en SisPT</t>
        </is>
      </c>
    </row>
    <row r="157">
      <c r="A157" t="inlineStr">
        <is>
          <t>IP-233</t>
        </is>
      </c>
      <c r="B157" t="inlineStr">
        <is>
          <t>33</t>
        </is>
      </c>
      <c r="C157" t="inlineStr">
        <is>
          <t>Cultura</t>
        </is>
      </c>
      <c r="D157" t="inlineStr">
        <is>
          <t>3302</t>
        </is>
      </c>
      <c r="E157" t="inlineStr">
        <is>
          <t>Gestión, protección y salvaguardia del patrimonio cultural colombiano</t>
        </is>
      </c>
      <c r="F157" t="inlineStr">
        <is>
          <t>3302069</t>
        </is>
      </c>
      <c r="G157" t="inlineStr">
        <is>
          <t>Servicio de apoyo financiero al sector museos</t>
        </is>
      </c>
      <c r="H157" t="inlineStr">
        <is>
          <t>Corresponde a los estímulos económicos entregados al sector museos, para incentivar la interactividad de los museos con la comunidad, que generen desarrollo, dialogo y apropiación del patrimonio.</t>
        </is>
      </c>
      <c r="I157" t="inlineStr">
        <is>
          <t>2024257990032</t>
        </is>
      </c>
      <c r="J157" s="99">
        <v>995386700</v>
      </c>
      <c r="K157" s="99">
        <v>80000000</v>
      </c>
      <c r="L157" s="99">
        <v>300000000</v>
      </c>
      <c r="M157" s="99">
        <v>305100000</v>
      </c>
      <c r="N157" s="99">
        <v>310286700</v>
      </c>
      <c r="O157" s="99" t="inlineStr">
        <is>
          <t xml:space="preserve"> </t>
        </is>
      </c>
      <c r="P157" s="99" t="inlineStr">
        <is>
          <t xml:space="preserve"> </t>
        </is>
      </c>
      <c r="Q157" s="99" t="inlineStr">
        <is>
          <t xml:space="preserve"> </t>
        </is>
      </c>
      <c r="R157" s="100" t="inlineStr">
        <is>
          <t xml:space="preserve"> </t>
        </is>
      </c>
      <c r="S157" t="inlineStr">
        <is>
          <t>No se encontró ejecución en CUIPO</t>
        </is>
      </c>
      <c r="T157" s="101">
        <v>250000000</v>
      </c>
      <c r="U157" s="101">
        <v>250000000</v>
      </c>
      <c r="V157" s="101">
        <v>250000000</v>
      </c>
      <c r="W157" s="102">
        <v>0.833333333333333</v>
      </c>
      <c r="X157" t="inlineStr">
        <is>
          <t>Lo obligado está por debajo de lo programado en la vigencia</t>
        </is>
      </c>
    </row>
    <row r="158">
      <c r="A158" t="inlineStr">
        <is>
          <t>IP-234</t>
        </is>
      </c>
      <c r="B158" t="inlineStr">
        <is>
          <t>33</t>
        </is>
      </c>
      <c r="C158" t="inlineStr">
        <is>
          <t>Cultura</t>
        </is>
      </c>
      <c r="D158" t="inlineStr">
        <is>
          <t>3302</t>
        </is>
      </c>
      <c r="E158" t="inlineStr">
        <is>
          <t>Gestión, protección y salvaguardia del patrimonio cultural colombiano</t>
        </is>
      </c>
      <c r="F158" t="inlineStr">
        <is>
          <t>3302049</t>
        </is>
      </c>
      <c r="G158" t="inlineStr">
        <is>
          <t>Servicio de salvaguardia al patrimonio inmaterial</t>
        </is>
      </c>
      <c r="H158"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158" t="inlineStr">
        <is>
          <t>2024257990033</t>
        </is>
      </c>
      <c r="J158" s="99">
        <v>183077340</v>
      </c>
      <c r="K158" s="99">
        <v>0</v>
      </c>
      <c r="L158" s="99">
        <v>60000000</v>
      </c>
      <c r="M158" s="99">
        <v>61020000</v>
      </c>
      <c r="N158" s="99">
        <v>62057340</v>
      </c>
      <c r="O158" s="99" t="inlineStr">
        <is>
          <t xml:space="preserve"> </t>
        </is>
      </c>
      <c r="P158" s="99" t="inlineStr">
        <is>
          <t xml:space="preserve"> </t>
        </is>
      </c>
      <c r="Q158" s="99" t="inlineStr">
        <is>
          <t xml:space="preserve"> </t>
        </is>
      </c>
      <c r="R158" s="100" t="inlineStr">
        <is>
          <t xml:space="preserve"> </t>
        </is>
      </c>
      <c r="S158" t="inlineStr">
        <is>
          <t>No se encontró ejecución en CUIPO</t>
        </is>
      </c>
      <c r="T158" s="101">
        <v>60000000</v>
      </c>
      <c r="U158" s="101">
        <v>60000000</v>
      </c>
      <c r="V158" s="101">
        <v>60000000</v>
      </c>
      <c r="W158" s="102">
        <v>1</v>
      </c>
      <c r="X158" t="inlineStr">
        <is>
          <t>Se ejecutó el 100% de lo programado en la vigencia</t>
        </is>
      </c>
    </row>
    <row r="159">
      <c r="A159" t="inlineStr">
        <is>
          <t>IP-235</t>
        </is>
      </c>
      <c r="B159" t="inlineStr">
        <is>
          <t>33</t>
        </is>
      </c>
      <c r="C159" t="inlineStr">
        <is>
          <t>Cultura</t>
        </is>
      </c>
      <c r="D159" t="inlineStr">
        <is>
          <t>3302</t>
        </is>
      </c>
      <c r="E159" t="inlineStr">
        <is>
          <t>Gestión, protección y salvaguardia del patrimonio cultural colombiano</t>
        </is>
      </c>
      <c r="F159" t="inlineStr">
        <is>
          <t>3302078</t>
        </is>
      </c>
      <c r="G159" t="inlineStr">
        <is>
          <t>Servicio de educación informal en asuntos patrimoniales</t>
        </is>
      </c>
      <c r="H159" t="inlineStr">
        <is>
          <t>Hace referencia a las actividades que se llevan a cabo fuera del ámbito escolar, que buscan desarrollar competencias y facultades de los individuos en temas de salvaguardia, protección, recuperación, conservación, sostenimiento y divulgación del Patrimonio Cultural de la Nación.</t>
        </is>
      </c>
      <c r="I159" t="inlineStr">
        <is>
          <t>2024257990033</t>
        </is>
      </c>
      <c r="J159" s="99">
        <v>81025780</v>
      </c>
      <c r="K159" s="99">
        <v>20000000</v>
      </c>
      <c r="L159" s="99">
        <v>20000000</v>
      </c>
      <c r="M159" s="99">
        <v>20340000</v>
      </c>
      <c r="N159" s="99">
        <v>20685780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v>20000000</v>
      </c>
      <c r="U159" s="101">
        <v>20000000</v>
      </c>
      <c r="V159" s="101">
        <v>20000000</v>
      </c>
      <c r="W159" s="102">
        <v>1</v>
      </c>
      <c r="X159" t="inlineStr">
        <is>
          <t>Se ejecutó el 100% de lo programado en la vigencia</t>
        </is>
      </c>
    </row>
    <row r="160">
      <c r="A160" t="inlineStr">
        <is>
          <t>IP-236</t>
        </is>
      </c>
      <c r="B160" t="inlineStr">
        <is>
          <t>33</t>
        </is>
      </c>
      <c r="C160" t="inlineStr">
        <is>
          <t>Cultura</t>
        </is>
      </c>
      <c r="D160" t="inlineStr">
        <is>
          <t>3302</t>
        </is>
      </c>
      <c r="E160" t="inlineStr">
        <is>
          <t>Gestión, protección y salvaguardia del patrimonio cultural colombiano</t>
        </is>
      </c>
      <c r="F160" t="inlineStr">
        <is>
          <t>3302073</t>
        </is>
      </c>
      <c r="G160" t="inlineStr">
        <is>
          <t>Servicios de restauración del patrimonio cultural material inmueble</t>
        </is>
      </c>
      <c r="H160" t="inlineStr">
        <is>
          <t>Hace referencia a intervenciones de restauración integral de bienes inmuebles de interés cultural con el fin de mantener el buen estado de la infraestructura.</t>
        </is>
      </c>
      <c r="I160" t="inlineStr">
        <is>
          <t>2024257990033</t>
        </is>
      </c>
      <c r="J160" s="99">
        <v>665100000</v>
      </c>
      <c r="K160" s="99">
        <v>60000000</v>
      </c>
      <c r="L160" s="99">
        <v>300000000</v>
      </c>
      <c r="M160" s="99">
        <v>305100000</v>
      </c>
      <c r="N160" s="99">
        <v>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t="inlineStr">
        <is>
          <t xml:space="preserve"> </t>
        </is>
      </c>
      <c r="U160" s="101" t="inlineStr">
        <is>
          <t xml:space="preserve"> </t>
        </is>
      </c>
      <c r="V160" s="101" t="inlineStr">
        <is>
          <t xml:space="preserve"> </t>
        </is>
      </c>
      <c r="W160" s="102" t="inlineStr">
        <is>
          <t xml:space="preserve"> </t>
        </is>
      </c>
      <c r="X160" t="inlineStr">
        <is>
          <t>No se encontró ejecución en CUIPO</t>
        </is>
      </c>
    </row>
    <row r="161">
      <c r="A161" t="inlineStr">
        <is>
          <t>IP-237</t>
        </is>
      </c>
      <c r="B161" t="inlineStr">
        <is>
          <t>33</t>
        </is>
      </c>
      <c r="C161" t="inlineStr">
        <is>
          <t>Cultura</t>
        </is>
      </c>
      <c r="D161" t="inlineStr">
        <is>
          <t>3302</t>
        </is>
      </c>
      <c r="E161" t="inlineStr">
        <is>
          <t>Gestión, protección y salvaguardia del patrimonio cultural colombiano</t>
        </is>
      </c>
      <c r="F161" t="inlineStr">
        <is>
          <t>3302058</t>
        </is>
      </c>
      <c r="G161" t="inlineStr">
        <is>
          <t>Servicio de museología</t>
        </is>
      </c>
      <c r="H161" t="inlineStr">
        <is>
          <t>Corresponde a la realización de las curadurías Arqueológicas y Antropológicas (Desarrollar guiones museográficos para museos regionales y el museo nacional). Y la Sistematización de la colección etnográfica</t>
        </is>
      </c>
      <c r="I161" t="inlineStr">
        <is>
          <t>2024257990033</t>
        </is>
      </c>
      <c r="J161" s="99">
        <v>610257800</v>
      </c>
      <c r="K161" s="99">
        <v>0</v>
      </c>
      <c r="L161" s="99">
        <v>200000000</v>
      </c>
      <c r="M161" s="99">
        <v>203400000</v>
      </c>
      <c r="N161" s="99">
        <v>206857800</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v>200000000</v>
      </c>
      <c r="U161" s="101">
        <v>200000000</v>
      </c>
      <c r="V161" s="101">
        <v>200000000</v>
      </c>
      <c r="W161" s="102">
        <v>1</v>
      </c>
      <c r="X161" t="inlineStr">
        <is>
          <t>Se ejecutó el 100% de lo programado en la vigencia</t>
        </is>
      </c>
    </row>
    <row r="162">
      <c r="A162" t="inlineStr">
        <is>
          <t>IP-238</t>
        </is>
      </c>
      <c r="B162" t="inlineStr">
        <is>
          <t>33</t>
        </is>
      </c>
      <c r="C162" t="inlineStr">
        <is>
          <t>Cultura</t>
        </is>
      </c>
      <c r="D162" t="inlineStr">
        <is>
          <t>3302</t>
        </is>
      </c>
      <c r="E162" t="inlineStr">
        <is>
          <t>Gestión, protección y salvaguardia del patrimonio cultural colombiano</t>
        </is>
      </c>
      <c r="F162" t="inlineStr">
        <is>
          <t>3302072</t>
        </is>
      </c>
      <c r="G162" t="inlineStr">
        <is>
          <t>Estudios de preinversión elaborados</t>
        </is>
      </c>
      <c r="H162" t="inlineStr">
        <is>
          <t>Corresponde a los productos relacionados con la etapa de preinversión de infraestructura, como son estudios de factibilidad, diseños arquitectónicos, planos, estudios de suelos y otros estudios y/o instrumentos similares.</t>
        </is>
      </c>
      <c r="I162" t="inlineStr">
        <is>
          <t>2024257990033</t>
        </is>
      </c>
      <c r="J162" s="99">
        <v>457693350</v>
      </c>
      <c r="K162" s="99">
        <v>0</v>
      </c>
      <c r="L162" s="99">
        <v>150000000</v>
      </c>
      <c r="M162" s="99">
        <v>152550000</v>
      </c>
      <c r="N162" s="99">
        <v>155143350</v>
      </c>
      <c r="O162" s="99" t="inlineStr">
        <is>
          <t xml:space="preserve"> </t>
        </is>
      </c>
      <c r="P162" s="99" t="inlineStr">
        <is>
          <t xml:space="preserve"> </t>
        </is>
      </c>
      <c r="Q162" s="99" t="inlineStr">
        <is>
          <t xml:space="preserve"> </t>
        </is>
      </c>
      <c r="R162" s="100" t="inlineStr">
        <is>
          <t xml:space="preserve"> </t>
        </is>
      </c>
      <c r="S162" t="inlineStr">
        <is>
          <t>No se encontró ejecución en CUIPO</t>
        </is>
      </c>
      <c r="T162" s="101" t="inlineStr">
        <is>
          <t xml:space="preserve"> </t>
        </is>
      </c>
      <c r="U162" s="101" t="inlineStr">
        <is>
          <t xml:space="preserve"> </t>
        </is>
      </c>
      <c r="V162" s="101" t="inlineStr">
        <is>
          <t xml:space="preserve"> </t>
        </is>
      </c>
      <c r="W162" s="102" t="inlineStr">
        <is>
          <t xml:space="preserve"> </t>
        </is>
      </c>
      <c r="X162" t="inlineStr">
        <is>
          <t>No se encontró ejecución en CUIPO</t>
        </is>
      </c>
    </row>
    <row r="163">
      <c r="A163" t="inlineStr">
        <is>
          <t>IP-239</t>
        </is>
      </c>
      <c r="B163" t="inlineStr">
        <is>
          <t>33</t>
        </is>
      </c>
      <c r="C163" t="inlineStr">
        <is>
          <t>Cultura</t>
        </is>
      </c>
      <c r="D163" t="inlineStr">
        <is>
          <t>3302</t>
        </is>
      </c>
      <c r="E163" t="inlineStr">
        <is>
          <t>Gestión, protección y salvaguardia del patrimonio cultural colombiano</t>
        </is>
      </c>
      <c r="F163" t="inlineStr">
        <is>
          <t>3302064</t>
        </is>
      </c>
      <c r="G163" t="inlineStr">
        <is>
          <t>Servicio de información del patrimonio bibliográfico y documental</t>
        </is>
      </c>
      <c r="H163" t="inlineStr">
        <is>
          <t>Desarrollo del sistema integrado de información de seguimiento y evaluación SIISE para la gestión de procesos relacionados con el patrimonio bibliográfico y documental. Incluye los sistemas de información de la gestión interna del patrimonio bibliográfico y documental,  tales como: El sistema integrado de biblioteca (ILS), Sistema para la gestión de la conservación (PMS), Sistema de Información del Sistema Nacional de Archivos (SISNA), entre otros</t>
        </is>
      </c>
      <c r="I163" t="inlineStr">
        <is>
          <t>2024257990033</t>
        </is>
      </c>
      <c r="J163" s="99">
        <v>140179228</v>
      </c>
      <c r="K163" s="99">
        <v>33384113</v>
      </c>
      <c r="L163" s="99">
        <v>35000000</v>
      </c>
      <c r="M163" s="99">
        <v>35595000</v>
      </c>
      <c r="N163" s="99">
        <v>36200115</v>
      </c>
      <c r="O163" s="99" t="inlineStr">
        <is>
          <t xml:space="preserve"> </t>
        </is>
      </c>
      <c r="P163" s="99" t="inlineStr">
        <is>
          <t xml:space="preserve"> </t>
        </is>
      </c>
      <c r="Q163" s="99" t="inlineStr">
        <is>
          <t xml:space="preserve"> </t>
        </is>
      </c>
      <c r="R163" s="100" t="inlineStr">
        <is>
          <t xml:space="preserve"> </t>
        </is>
      </c>
      <c r="S163" t="inlineStr">
        <is>
          <t>No se encontró ejecución en CUIPO</t>
        </is>
      </c>
      <c r="T163" s="101">
        <v>35000000</v>
      </c>
      <c r="U163" s="101">
        <v>35000000</v>
      </c>
      <c r="V163" s="101">
        <v>35000000</v>
      </c>
      <c r="W163" s="102">
        <v>1</v>
      </c>
      <c r="X163" t="inlineStr">
        <is>
          <t>Se ejecutó el 100% de lo programado en la vigencia</t>
        </is>
      </c>
    </row>
    <row r="164">
      <c r="A164" t="inlineStr">
        <is>
          <t>IP-240</t>
        </is>
      </c>
      <c r="B164" t="inlineStr">
        <is>
          <t>33</t>
        </is>
      </c>
      <c r="C164" t="inlineStr">
        <is>
          <t>Cultura</t>
        </is>
      </c>
      <c r="D164" t="inlineStr">
        <is>
          <t>3302</t>
        </is>
      </c>
      <c r="E164" t="inlineStr">
        <is>
          <t>Gestión, protección y salvaguardia del patrimonio cultural colombiano</t>
        </is>
      </c>
      <c r="F164" t="inlineStr">
        <is>
          <t>3302002</t>
        </is>
      </c>
      <c r="G164" t="inlineStr">
        <is>
          <t>Documentos de lineamientos técnicos</t>
        </is>
      </c>
      <c r="H164" t="inlineStr">
        <is>
          <t>Documentos cuyo objetivo es describir y explicar instrumentos, estándares, requisitos y condiciones necesarias para llevar a cabo un proceso o actividad.</t>
        </is>
      </c>
      <c r="I164" t="inlineStr">
        <is>
          <t>2024257990033</t>
        </is>
      </c>
      <c r="J164" s="99">
        <v>2135902300</v>
      </c>
      <c r="K164" s="99">
        <v>0</v>
      </c>
      <c r="L164" s="99">
        <v>700000000</v>
      </c>
      <c r="M164" s="99">
        <v>711900000</v>
      </c>
      <c r="N164" s="99">
        <v>724002300</v>
      </c>
      <c r="O164" s="99" t="inlineStr">
        <is>
          <t xml:space="preserve"> </t>
        </is>
      </c>
      <c r="P164" s="99" t="inlineStr">
        <is>
          <t xml:space="preserve"> </t>
        </is>
      </c>
      <c r="Q164" s="99" t="inlineStr">
        <is>
          <t xml:space="preserve"> </t>
        </is>
      </c>
      <c r="R164" s="100" t="inlineStr">
        <is>
          <t xml:space="preserve"> </t>
        </is>
      </c>
      <c r="S164" t="inlineStr">
        <is>
          <t>No se encontró ejecución en CUIPO</t>
        </is>
      </c>
      <c r="T164" s="101">
        <v>650000000</v>
      </c>
      <c r="U164" s="101">
        <v>650000000</v>
      </c>
      <c r="V164" s="101">
        <v>650000000</v>
      </c>
      <c r="W164" s="102">
        <v>0.928571428571429</v>
      </c>
      <c r="X164" t="inlineStr">
        <is>
          <t>Lo obligado está por debajo de lo programado en la vigencia</t>
        </is>
      </c>
    </row>
    <row r="165">
      <c r="A165" t="inlineStr">
        <is>
          <t>IP-241, IP-243, IP-245, IP-247</t>
        </is>
      </c>
      <c r="B165" t="inlineStr">
        <is>
          <t>43</t>
        </is>
      </c>
      <c r="C165" t="inlineStr">
        <is>
          <t>Deporte y Recreación</t>
        </is>
      </c>
      <c r="D165" t="inlineStr">
        <is>
          <t>4301</t>
        </is>
      </c>
      <c r="E165" t="inlineStr">
        <is>
          <t>Fomento a la recreación, la actividad física y el deporte para desarrollar entornos de convivencia y paz</t>
        </is>
      </c>
      <c r="F165" t="inlineStr">
        <is>
          <t>4301004</t>
        </is>
      </c>
      <c r="G165" t="inlineStr">
        <is>
          <t>Servicio de mantenimiento a la infraestructura deportiva</t>
        </is>
      </c>
      <c r="H165"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65" t="inlineStr">
        <is>
          <t>2024257990034</t>
        </is>
      </c>
      <c r="J165" s="99">
        <v>16485792188.204</v>
      </c>
      <c r="K165" s="99">
        <v>6647847434</v>
      </c>
      <c r="L165" s="99">
        <v>8091813711</v>
      </c>
      <c r="M165" s="99">
        <v>865707012</v>
      </c>
      <c r="N165" s="99">
        <v>880424031.204</v>
      </c>
      <c r="O165" s="99" t="inlineStr">
        <is>
          <t xml:space="preserve"> </t>
        </is>
      </c>
      <c r="P165" s="99" t="inlineStr">
        <is>
          <t xml:space="preserve"> </t>
        </is>
      </c>
      <c r="Q165" s="99" t="inlineStr">
        <is>
          <t xml:space="preserve"> </t>
        </is>
      </c>
      <c r="R165" s="100" t="inlineStr">
        <is>
          <t xml:space="preserve"> </t>
        </is>
      </c>
      <c r="S165" t="inlineStr">
        <is>
          <t>No se encontró ejecución en CUIPO</t>
        </is>
      </c>
      <c r="T165" s="101">
        <v>10940577711</v>
      </c>
      <c r="U165" s="101">
        <v>965340000</v>
      </c>
      <c r="V165" s="101">
        <v>965340000</v>
      </c>
      <c r="W165" s="102">
        <v>0.119298347005656</v>
      </c>
      <c r="X165" t="inlineStr">
        <is>
          <t>Lo obligado está por debajo de lo programado en la vigencia</t>
        </is>
      </c>
    </row>
    <row r="166">
      <c r="A166" t="inlineStr">
        <is>
          <t>IP-242</t>
        </is>
      </c>
      <c r="B166" t="inlineStr">
        <is>
          <t>43</t>
        </is>
      </c>
      <c r="C166" t="inlineStr">
        <is>
          <t>Deporte y Recreación</t>
        </is>
      </c>
      <c r="D166" t="inlineStr">
        <is>
          <t>4301</t>
        </is>
      </c>
      <c r="E166" t="inlineStr">
        <is>
          <t>Fomento a la recreación, la actividad física y el deporte para desarrollar entornos de convivencia y paz</t>
        </is>
      </c>
      <c r="F166" t="inlineStr">
        <is>
          <t>4301031</t>
        </is>
      </c>
      <c r="G166" t="inlineStr">
        <is>
          <t>Estudios y diseños de infraestructura recreo-deportiva</t>
        </is>
      </c>
      <c r="H166" t="inlineStr">
        <is>
          <t>Corresponde a todos los productos relacionados a la etapa de preinversión en infraestructura recreo-deportiva, como son estudios de factibilidad, diseños arquitectónicos, planos, estudio de suelos y otros estudios y/o instrumentos similares.</t>
        </is>
      </c>
      <c r="I166" t="inlineStr">
        <is>
          <t>2024257990034</t>
        </is>
      </c>
      <c r="J166" s="99">
        <v>1702307504</v>
      </c>
      <c r="K166" s="99">
        <v>1702307504</v>
      </c>
      <c r="L166" s="99">
        <v>0</v>
      </c>
      <c r="M166" s="99">
        <v>0</v>
      </c>
      <c r="N166" s="99">
        <v>0</v>
      </c>
      <c r="O166" s="99" t="inlineStr">
        <is>
          <t xml:space="preserve"> </t>
        </is>
      </c>
      <c r="P166" s="99" t="inlineStr">
        <is>
          <t xml:space="preserve"> </t>
        </is>
      </c>
      <c r="Q166" s="99" t="inlineStr">
        <is>
          <t xml:space="preserve"> </t>
        </is>
      </c>
      <c r="R166" s="100" t="inlineStr">
        <is>
          <t xml:space="preserve"> </t>
        </is>
      </c>
      <c r="S166" t="inlineStr">
        <is>
          <t>No se encontró ejecución en CUIPO</t>
        </is>
      </c>
      <c r="T166" s="101" t="inlineStr">
        <is>
          <t xml:space="preserve"> </t>
        </is>
      </c>
      <c r="U166" s="101" t="inlineStr">
        <is>
          <t xml:space="preserve"> </t>
        </is>
      </c>
      <c r="V166" s="101" t="inlineStr">
        <is>
          <t xml:space="preserve"> </t>
        </is>
      </c>
      <c r="W166" s="102" t="inlineStr">
        <is>
          <t xml:space="preserve"> </t>
        </is>
      </c>
      <c r="X166" t="inlineStr">
        <is>
          <t>No se encontró ejecución en CUIPO</t>
        </is>
      </c>
    </row>
    <row r="167">
      <c r="A167" t="inlineStr">
        <is>
          <t>IP-244</t>
        </is>
      </c>
      <c r="B167" t="inlineStr">
        <is>
          <t>43</t>
        </is>
      </c>
      <c r="C167" t="inlineStr">
        <is>
          <t>Deporte y Recreación</t>
        </is>
      </c>
      <c r="D167" t="inlineStr">
        <is>
          <t>4301</t>
        </is>
      </c>
      <c r="E167" t="inlineStr">
        <is>
          <t>Fomento a la recreación, la actividad física y el deporte para desarrollar entornos de convivencia y paz</t>
        </is>
      </c>
      <c r="F167" t="inlineStr">
        <is>
          <t>4301024</t>
        </is>
      </c>
      <c r="G167" t="inlineStr">
        <is>
          <t>Gimnasios al aire libre estáticos</t>
        </is>
      </c>
      <c r="H167" t="inlineStr">
        <is>
          <t>Se realizan en el marco de la construcción de la modalidad de parques donde se habilita un sector para implementación de parques biosaludables  (mobiliario  para la practica de  ejercicios son estáticos)</t>
        </is>
      </c>
      <c r="I167" t="inlineStr">
        <is>
          <t>2024257990034</t>
        </is>
      </c>
      <c r="J167" s="99">
        <v>0</v>
      </c>
      <c r="K167" s="99">
        <v>0</v>
      </c>
      <c r="L167" s="99">
        <v>0</v>
      </c>
      <c r="M167" s="99">
        <v>0</v>
      </c>
      <c r="N167" s="99">
        <v>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t="inlineStr">
        <is>
          <t xml:space="preserve"> </t>
        </is>
      </c>
      <c r="U167" s="101" t="inlineStr">
        <is>
          <t xml:space="preserve"> </t>
        </is>
      </c>
      <c r="V167" s="101" t="inlineStr">
        <is>
          <t xml:space="preserve"> </t>
        </is>
      </c>
      <c r="W167" s="102" t="inlineStr">
        <is>
          <t xml:space="preserve"> </t>
        </is>
      </c>
      <c r="X167" t="inlineStr">
        <is>
          <t>No se encontró ejecución en CUIPO</t>
        </is>
      </c>
    </row>
    <row r="168">
      <c r="A168" t="inlineStr">
        <is>
          <t>IP-246</t>
        </is>
      </c>
      <c r="B168" t="inlineStr">
        <is>
          <t>43</t>
        </is>
      </c>
      <c r="C168" t="inlineStr">
        <is>
          <t>Deporte y Recreación</t>
        </is>
      </c>
      <c r="D168" t="inlineStr">
        <is>
          <t>4301</t>
        </is>
      </c>
      <c r="E168" t="inlineStr">
        <is>
          <t>Fomento a la recreación, la actividad física y el deporte para desarrollar entornos de convivencia y paz</t>
        </is>
      </c>
      <c r="F168" t="inlineStr">
        <is>
          <t>4301025</t>
        </is>
      </c>
      <c r="G168" t="inlineStr">
        <is>
          <t>Cancha construida</t>
        </is>
      </c>
      <c r="H168" t="inlineStr">
        <is>
          <t>Construcción de canchas, entendidas como el lugar específico donde se realiza una práctica deportiva, que puede ser cubierto o descubierto de acuerdo con la disciplina deportiva</t>
        </is>
      </c>
      <c r="I168" t="inlineStr">
        <is>
          <t>2024257990034</t>
        </is>
      </c>
      <c r="J168" s="99">
        <v>1993000000</v>
      </c>
      <c r="K168" s="99">
        <v>1993000000</v>
      </c>
      <c r="L168" s="99">
        <v>0</v>
      </c>
      <c r="M168" s="99">
        <v>0</v>
      </c>
      <c r="N168" s="99">
        <v>0</v>
      </c>
      <c r="O168" s="99">
        <v>0</v>
      </c>
      <c r="P168" s="99">
        <v>0</v>
      </c>
      <c r="Q168" s="99">
        <v>0</v>
      </c>
      <c r="R168" s="100">
        <v>0</v>
      </c>
      <c r="S168" t="inlineStr">
        <is>
          <t>No se ejecutó en la vigencia</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IP-248</t>
        </is>
      </c>
      <c r="B169" t="inlineStr">
        <is>
          <t>43</t>
        </is>
      </c>
      <c r="C169" t="inlineStr">
        <is>
          <t>Deporte y Recreación</t>
        </is>
      </c>
      <c r="D169" t="inlineStr">
        <is>
          <t>4301</t>
        </is>
      </c>
      <c r="E169" t="inlineStr">
        <is>
          <t>Fomento a la recreación, la actividad física y el deporte para desarrollar entornos de convivencia y paz</t>
        </is>
      </c>
      <c r="F169" t="inlineStr">
        <is>
          <t>4301010</t>
        </is>
      </c>
      <c r="G169" t="inlineStr">
        <is>
          <t>Parques recreativos construidos y dotados</t>
        </is>
      </c>
      <c r="H169" t="inlineStr">
        <is>
          <t>Construcción y dotación de infraestructura parques recreativos para garantizar  la práctica de la actividad física, la recreación y el deporte.</t>
        </is>
      </c>
      <c r="I169" t="inlineStr">
        <is>
          <t>2024257990034</t>
        </is>
      </c>
      <c r="J169" s="99">
        <v>2518059579</v>
      </c>
      <c r="K169" s="99">
        <v>2518059579</v>
      </c>
      <c r="L169" s="99">
        <v>0</v>
      </c>
      <c r="M169" s="99">
        <v>0</v>
      </c>
      <c r="N169" s="99">
        <v>0</v>
      </c>
      <c r="O169" s="99" t="inlineStr">
        <is>
          <t xml:space="preserve"> </t>
        </is>
      </c>
      <c r="P169" s="99" t="inlineStr">
        <is>
          <t xml:space="preserve"> </t>
        </is>
      </c>
      <c r="Q169" s="99" t="inlineStr">
        <is>
          <t xml:space="preserve"> </t>
        </is>
      </c>
      <c r="R169" s="100" t="inlineStr">
        <is>
          <t xml:space="preserve"> </t>
        </is>
      </c>
      <c r="S169" t="inlineStr">
        <is>
          <t>No se encontró ejecución en CUIPO</t>
        </is>
      </c>
      <c r="T169" s="101" t="inlineStr">
        <is>
          <t xml:space="preserve"> </t>
        </is>
      </c>
      <c r="U169" s="101" t="inlineStr">
        <is>
          <t xml:space="preserve"> </t>
        </is>
      </c>
      <c r="V169" s="101" t="inlineStr">
        <is>
          <t xml:space="preserve"> </t>
        </is>
      </c>
      <c r="W169" s="102" t="inlineStr">
        <is>
          <t xml:space="preserve"> </t>
        </is>
      </c>
      <c r="X169" t="inlineStr">
        <is>
          <t>No se encontró ejecución en CUIPO</t>
        </is>
      </c>
    </row>
    <row r="170">
      <c r="A170" t="inlineStr">
        <is>
          <t>IP-249, IP-253, IP-256</t>
        </is>
      </c>
      <c r="B170" t="inlineStr">
        <is>
          <t>43</t>
        </is>
      </c>
      <c r="C170" t="inlineStr">
        <is>
          <t>Deporte y Recreación</t>
        </is>
      </c>
      <c r="D170" t="inlineStr">
        <is>
          <t>4301</t>
        </is>
      </c>
      <c r="E170" t="inlineStr">
        <is>
          <t>Fomento a la recreación, la actividad física y el deporte para desarrollar entornos de convivencia y paz</t>
        </is>
      </c>
      <c r="F170" t="inlineStr">
        <is>
          <t>4301007</t>
        </is>
      </c>
      <c r="G170" t="inlineStr">
        <is>
          <t>Servicio de Escuelas Deportivas</t>
        </is>
      </c>
      <c r="H170" t="inlineStr">
        <is>
          <t>Corresponde a los procesos de iniciación, fundamentación y perfeccionamiento deportivos a partir de  las clases donde se practica la actividad física, la recreación y/o el deporte.</t>
        </is>
      </c>
      <c r="I170" t="inlineStr">
        <is>
          <t>2024257990035</t>
        </is>
      </c>
      <c r="J170" s="99">
        <v>10318424755</v>
      </c>
      <c r="K170" s="99">
        <v>1317122205</v>
      </c>
      <c r="L170" s="99">
        <v>2950000000</v>
      </c>
      <c r="M170" s="99">
        <v>3000150000</v>
      </c>
      <c r="N170" s="99">
        <v>3051152550</v>
      </c>
      <c r="O170" s="99" t="inlineStr">
        <is>
          <t xml:space="preserve"> </t>
        </is>
      </c>
      <c r="P170" s="99" t="inlineStr">
        <is>
          <t xml:space="preserve"> </t>
        </is>
      </c>
      <c r="Q170" s="99" t="inlineStr">
        <is>
          <t xml:space="preserve"> </t>
        </is>
      </c>
      <c r="R170" s="100" t="inlineStr">
        <is>
          <t xml:space="preserve"> </t>
        </is>
      </c>
      <c r="S170" t="inlineStr">
        <is>
          <t>No se encontró ejecución en CUIPO</t>
        </is>
      </c>
      <c r="T170" s="101">
        <v>2926077810</v>
      </c>
      <c r="U170" s="101">
        <v>2926077810</v>
      </c>
      <c r="V170" s="101">
        <v>2926077810</v>
      </c>
      <c r="W170" s="102">
        <v>0.991890783050847</v>
      </c>
      <c r="X170" t="inlineStr">
        <is>
          <t>Lo obligado está por debajo de lo programado en la vigencia</t>
        </is>
      </c>
    </row>
    <row r="171">
      <c r="A171" t="inlineStr">
        <is>
          <t>IP-250</t>
        </is>
      </c>
      <c r="B171" t="inlineStr">
        <is>
          <t>43</t>
        </is>
      </c>
      <c r="C171" t="inlineStr">
        <is>
          <t>Deporte y Recreación</t>
        </is>
      </c>
      <c r="D171" t="inlineStr">
        <is>
          <t>4301</t>
        </is>
      </c>
      <c r="E171" t="inlineStr">
        <is>
          <t>Fomento a la recreación, la actividad física y el deporte para desarrollar entornos de convivencia y paz</t>
        </is>
      </c>
      <c r="F171" t="inlineStr">
        <is>
          <t>4301037</t>
        </is>
      </c>
      <c r="G171" t="inlineStr">
        <is>
          <t>Servicio de promoción de la actividad física, la recreación y el deporte</t>
        </is>
      </c>
      <c r="H171"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71" t="inlineStr">
        <is>
          <t>2024257990035</t>
        </is>
      </c>
      <c r="J171" s="99">
        <v>366154680</v>
      </c>
      <c r="K171" s="99">
        <v>0</v>
      </c>
      <c r="L171" s="99">
        <v>120000000</v>
      </c>
      <c r="M171" s="99">
        <v>122040000</v>
      </c>
      <c r="N171" s="99">
        <v>124114680</v>
      </c>
      <c r="O171" s="99" t="inlineStr">
        <is>
          <t xml:space="preserve"> </t>
        </is>
      </c>
      <c r="P171" s="99" t="inlineStr">
        <is>
          <t xml:space="preserve"> </t>
        </is>
      </c>
      <c r="Q171" s="99" t="inlineStr">
        <is>
          <t xml:space="preserve"> </t>
        </is>
      </c>
      <c r="R171" s="100" t="inlineStr">
        <is>
          <t xml:space="preserve"> </t>
        </is>
      </c>
      <c r="S171" t="inlineStr">
        <is>
          <t>No se encontró ejecución en CUIPO</t>
        </is>
      </c>
      <c r="T171" s="101">
        <v>120000000</v>
      </c>
      <c r="U171" s="101">
        <v>120000000</v>
      </c>
      <c r="V171" s="101">
        <v>120000000</v>
      </c>
      <c r="W171" s="102">
        <v>1</v>
      </c>
      <c r="X171" t="inlineStr">
        <is>
          <t>Se ejecutó el 100% de lo programado en la vigencia</t>
        </is>
      </c>
    </row>
    <row r="172">
      <c r="A172" t="inlineStr">
        <is>
          <t>IP-251, IP-252, IP-257</t>
        </is>
      </c>
      <c r="B172" t="inlineStr">
        <is>
          <t>43</t>
        </is>
      </c>
      <c r="C172" t="inlineStr">
        <is>
          <t>Deporte y Recreación</t>
        </is>
      </c>
      <c r="D172" t="inlineStr">
        <is>
          <t>4301</t>
        </is>
      </c>
      <c r="E172" t="inlineStr">
        <is>
          <t>Fomento a la recreación, la actividad física y el deporte para desarrollar entornos de convivencia y paz</t>
        </is>
      </c>
      <c r="F172" t="inlineStr">
        <is>
          <t>4301001</t>
        </is>
      </c>
      <c r="G172" t="inlineStr">
        <is>
          <t>Servicio de apoyo a la actividad física, la recreación y el deporte</t>
        </is>
      </c>
      <c r="H172"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72" t="inlineStr">
        <is>
          <t>2024257990035</t>
        </is>
      </c>
      <c r="J172" s="99">
        <v>566970423</v>
      </c>
      <c r="K172" s="99">
        <v>45200004</v>
      </c>
      <c r="L172" s="99">
        <v>171000000</v>
      </c>
      <c r="M172" s="99">
        <v>173907000</v>
      </c>
      <c r="N172" s="99">
        <v>176863419</v>
      </c>
      <c r="O172" s="99" t="inlineStr">
        <is>
          <t xml:space="preserve"> </t>
        </is>
      </c>
      <c r="P172" s="99" t="inlineStr">
        <is>
          <t xml:space="preserve"> </t>
        </is>
      </c>
      <c r="Q172" s="99" t="inlineStr">
        <is>
          <t xml:space="preserve"> </t>
        </is>
      </c>
      <c r="R172" s="100" t="inlineStr">
        <is>
          <t xml:space="preserve"> </t>
        </is>
      </c>
      <c r="S172" t="inlineStr">
        <is>
          <t>No se encontró ejecución en CUIPO</t>
        </is>
      </c>
      <c r="T172" s="101">
        <v>211000000</v>
      </c>
      <c r="U172" s="101">
        <v>211000000</v>
      </c>
      <c r="V172" s="101">
        <v>211000000</v>
      </c>
      <c r="W172" s="102">
        <v>1.23391812865497</v>
      </c>
      <c r="X172" t="inlineStr">
        <is>
          <t>Hubo ejecución por encima de lo programado en SisPT</t>
        </is>
      </c>
    </row>
    <row r="173">
      <c r="A173" t="inlineStr">
        <is>
          <t>IP-254, IP-255</t>
        </is>
      </c>
      <c r="B173" t="inlineStr">
        <is>
          <t>43</t>
        </is>
      </c>
      <c r="C173" t="inlineStr">
        <is>
          <t>Deporte y Recreación</t>
        </is>
      </c>
      <c r="D173" t="inlineStr">
        <is>
          <t>4301</t>
        </is>
      </c>
      <c r="E173" t="inlineStr">
        <is>
          <t>Fomento a la recreación, la actividad física y el deporte para desarrollar entornos de convivencia y paz</t>
        </is>
      </c>
      <c r="F173" t="inlineStr">
        <is>
          <t>4301032</t>
        </is>
      </c>
      <c r="G173" t="inlineStr">
        <is>
          <t>Servicio de organización de eventos deportivos comunitarios</t>
        </is>
      </c>
      <c r="H173" t="inlineStr">
        <is>
          <t>Corresponde a la planeación, organización y realización de eventos deportivos en las diferentes disciplinas con la comunidad.</t>
        </is>
      </c>
      <c r="I173" t="inlineStr">
        <is>
          <t>2024257990035</t>
        </is>
      </c>
      <c r="J173" s="99">
        <v>1335946793</v>
      </c>
      <c r="K173" s="99">
        <v>390047203</v>
      </c>
      <c r="L173" s="99">
        <v>310000000</v>
      </c>
      <c r="M173" s="99">
        <v>315270000</v>
      </c>
      <c r="N173" s="99">
        <v>320629590</v>
      </c>
      <c r="O173" s="99" t="inlineStr">
        <is>
          <t xml:space="preserve"> </t>
        </is>
      </c>
      <c r="P173" s="99" t="inlineStr">
        <is>
          <t xml:space="preserve"> </t>
        </is>
      </c>
      <c r="Q173" s="99" t="inlineStr">
        <is>
          <t xml:space="preserve"> </t>
        </is>
      </c>
      <c r="R173" s="100" t="inlineStr">
        <is>
          <t xml:space="preserve"> </t>
        </is>
      </c>
      <c r="S173" t="inlineStr">
        <is>
          <t>No se encontró ejecución en CUIPO</t>
        </is>
      </c>
      <c r="T173" s="101">
        <v>407955264</v>
      </c>
      <c r="U173" s="101">
        <v>407955264</v>
      </c>
      <c r="V173" s="101">
        <v>407955264</v>
      </c>
      <c r="W173" s="102">
        <v>1.31598472258065</v>
      </c>
      <c r="X173" t="inlineStr">
        <is>
          <t>Hubo ejecución por encima de lo programado en SisPT</t>
        </is>
      </c>
    </row>
    <row r="174">
      <c r="A174" t="inlineStr">
        <is>
          <t>IP-258</t>
        </is>
      </c>
      <c r="B174" t="inlineStr">
        <is>
          <t>43</t>
        </is>
      </c>
      <c r="C174" t="inlineStr">
        <is>
          <t>Deporte y Recreación</t>
        </is>
      </c>
      <c r="D174" t="inlineStr">
        <is>
          <t>4301</t>
        </is>
      </c>
      <c r="E174" t="inlineStr">
        <is>
          <t>Fomento a la recreación, la actividad física y el deporte para desarrollar entornos de convivencia y paz</t>
        </is>
      </c>
      <c r="F174" t="inlineStr">
        <is>
          <t>4301006</t>
        </is>
      </c>
      <c r="G174" t="inlineStr">
        <is>
          <t>Documentos normativos</t>
        </is>
      </c>
      <c r="H174" t="inlineStr">
        <is>
          <t>Corresponde a la formulación o reformulación de políticas públicas o normatividad concerniente a la práctica de la actividad física, de la recreación y el deporte.</t>
        </is>
      </c>
      <c r="I174" t="inlineStr">
        <is>
          <t>2024257990035</t>
        </is>
      </c>
      <c r="J174" s="99">
        <v>152564450</v>
      </c>
      <c r="K174" s="99">
        <v>0</v>
      </c>
      <c r="L174" s="99">
        <v>50000000</v>
      </c>
      <c r="M174" s="99">
        <v>50850000</v>
      </c>
      <c r="N174" s="99">
        <v>51714450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v>160000000</v>
      </c>
      <c r="U174" s="101">
        <v>160000000</v>
      </c>
      <c r="V174" s="101">
        <v>160000000</v>
      </c>
      <c r="W174" s="102">
        <v>3.2</v>
      </c>
      <c r="X174" t="inlineStr">
        <is>
          <t>Hubo ejecución por encima de lo programado en SisPT</t>
        </is>
      </c>
    </row>
    <row r="175">
      <c r="A175" t="inlineStr">
        <is>
          <t>IP-259</t>
        </is>
      </c>
      <c r="B175" t="inlineStr">
        <is>
          <t>43</t>
        </is>
      </c>
      <c r="C175" t="inlineStr">
        <is>
          <t>Deporte y Recreación</t>
        </is>
      </c>
      <c r="D175" t="inlineStr">
        <is>
          <t>4301</t>
        </is>
      </c>
      <c r="E175" t="inlineStr">
        <is>
          <t>Fomento a la recreación, la actividad física y el deporte para desarrollar entornos de convivencia y paz</t>
        </is>
      </c>
      <c r="F175" t="inlineStr">
        <is>
          <t>4301035</t>
        </is>
      </c>
      <c r="G175" t="inlineStr">
        <is>
          <t>Servicio de educación informal en recreación</t>
        </is>
      </c>
      <c r="H175" t="inlineStr">
        <is>
          <t>Corresponde a la formación a la ciudadanía  en recreación, actividad física, deportes social comunitario y/o aprovechamiento del tiempo libre con enfoque diferencial.</t>
        </is>
      </c>
      <c r="I175" t="inlineStr">
        <is>
          <t>2024257990035</t>
        </is>
      </c>
      <c r="J175" s="99">
        <v>76282225</v>
      </c>
      <c r="K175" s="99">
        <v>0</v>
      </c>
      <c r="L175" s="99">
        <v>25000000</v>
      </c>
      <c r="M175" s="99">
        <v>25425000</v>
      </c>
      <c r="N175" s="99">
        <v>25857225</v>
      </c>
      <c r="O175" s="99" t="inlineStr">
        <is>
          <t xml:space="preserve"> </t>
        </is>
      </c>
      <c r="P175" s="99" t="inlineStr">
        <is>
          <t xml:space="preserve"> </t>
        </is>
      </c>
      <c r="Q175" s="99" t="inlineStr">
        <is>
          <t xml:space="preserve"> </t>
        </is>
      </c>
      <c r="R175" s="100" t="inlineStr">
        <is>
          <t xml:space="preserve"> </t>
        </is>
      </c>
      <c r="S175" t="inlineStr">
        <is>
          <t>No se encontró ejecución en CUIPO</t>
        </is>
      </c>
      <c r="T175" s="101">
        <v>25000000</v>
      </c>
      <c r="U175" s="101">
        <v>25000000</v>
      </c>
      <c r="V175" s="101">
        <v>25000000</v>
      </c>
      <c r="W175" s="102">
        <v>1</v>
      </c>
      <c r="X175" t="inlineStr">
        <is>
          <t>Se ejecutó el 100% de lo programado en la vigencia</t>
        </is>
      </c>
    </row>
    <row r="176">
      <c r="A176" t="inlineStr">
        <is>
          <t>IP-261</t>
        </is>
      </c>
      <c r="B176" t="inlineStr">
        <is>
          <t>41</t>
        </is>
      </c>
      <c r="C176" t="inlineStr">
        <is>
          <t xml:space="preserve">Inclusión social y reconciliación </t>
        </is>
      </c>
      <c r="D176" t="inlineStr">
        <is>
          <t>4102</t>
        </is>
      </c>
      <c r="E176" t="inlineStr">
        <is>
          <t>Desarrollo integral de la primera infancia a la juventud, y fortalecimiento de las capacidades de las familias de niñas, niños y adolescentes</t>
        </is>
      </c>
      <c r="F176" t="inlineStr">
        <is>
          <t>4102051</t>
        </is>
      </c>
      <c r="G176" t="inlineStr">
        <is>
          <t>Documentos de planeación</t>
        </is>
      </c>
      <c r="H176"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76" t="inlineStr">
        <is>
          <t>2024257990035</t>
        </is>
      </c>
      <c r="J176" s="99">
        <v>50000000</v>
      </c>
      <c r="K176" s="99">
        <v>0</v>
      </c>
      <c r="L176" s="99">
        <v>50000000</v>
      </c>
      <c r="M176" s="99">
        <v>0</v>
      </c>
      <c r="N176" s="99">
        <v>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IP-262, IP-263, IP-264</t>
        </is>
      </c>
      <c r="B177" t="inlineStr">
        <is>
          <t>41</t>
        </is>
      </c>
      <c r="C177" t="inlineStr">
        <is>
          <t xml:space="preserve">Inclusión social y reconciliación </t>
        </is>
      </c>
      <c r="D177" t="inlineStr">
        <is>
          <t>4102</t>
        </is>
      </c>
      <c r="E177" t="inlineStr">
        <is>
          <t>Desarrollo integral de la primera infancia a la juventud, y fortalecimiento de las capacidades de las familias de niñas, niños y adolescentes</t>
        </is>
      </c>
      <c r="F177" t="inlineStr">
        <is>
          <t>4102001</t>
        </is>
      </c>
      <c r="G177" t="inlineStr">
        <is>
          <t>Servicio de atención integral a la primera infancia</t>
        </is>
      </c>
      <c r="H177"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177" t="inlineStr">
        <is>
          <t>2024257990036</t>
        </is>
      </c>
      <c r="J177" s="99">
        <v>2004069168</v>
      </c>
      <c r="K177" s="99">
        <v>258731860</v>
      </c>
      <c r="L177" s="99">
        <v>572000000</v>
      </c>
      <c r="M177" s="99">
        <v>581724000</v>
      </c>
      <c r="N177" s="99">
        <v>591613308</v>
      </c>
      <c r="O177" s="99" t="inlineStr">
        <is>
          <t xml:space="preserve"> </t>
        </is>
      </c>
      <c r="P177" s="99" t="inlineStr">
        <is>
          <t xml:space="preserve"> </t>
        </is>
      </c>
      <c r="Q177" s="99" t="inlineStr">
        <is>
          <t xml:space="preserve"> </t>
        </is>
      </c>
      <c r="R177" s="100" t="inlineStr">
        <is>
          <t xml:space="preserve"> </t>
        </is>
      </c>
      <c r="S177" t="inlineStr">
        <is>
          <t>No se encontró ejecución en CUIPO</t>
        </is>
      </c>
      <c r="T177" s="101">
        <v>2619895418</v>
      </c>
      <c r="U177" s="101">
        <v>1507475741</v>
      </c>
      <c r="V177" s="101">
        <v>1478729711</v>
      </c>
      <c r="W177" s="102">
        <v>2.63544709965035</v>
      </c>
      <c r="X177" t="inlineStr">
        <is>
          <t>Hubo ejecución por encima de lo programado en SisPT</t>
        </is>
      </c>
    </row>
    <row r="178">
      <c r="A178" t="inlineStr">
        <is>
          <t>IP-265, IP-270, IP-271, IP-272</t>
        </is>
      </c>
      <c r="B178" t="inlineStr">
        <is>
          <t>41</t>
        </is>
      </c>
      <c r="C178" t="inlineStr">
        <is>
          <t xml:space="preserve">Inclusión social y reconciliación </t>
        </is>
      </c>
      <c r="D178" t="inlineStr">
        <is>
          <t>4102</t>
        </is>
      </c>
      <c r="E178" t="inlineStr">
        <is>
          <t>Desarrollo integral de la primera infancia a la juventud, y fortalecimiento de las capacidades de las familias de niñas, niños y adolescentes</t>
        </is>
      </c>
      <c r="F178" t="inlineStr">
        <is>
          <t>4102038</t>
        </is>
      </c>
      <c r="G178" t="inlineStr">
        <is>
          <t>Servicio dirigidos a la atención de niños, niñas, adolescentes y jóvenes, con enfoque pedagógico y restaurativo encaminados a la inclusión social</t>
        </is>
      </c>
      <c r="H178" t="inlineStr">
        <is>
          <t>Servicio dirigidos a la atención de niños, niñas, adolescentes y jóvenes, con enfoque pedagógico y restaurativo encaminados a la inclusión social.</t>
        </is>
      </c>
      <c r="I178" t="inlineStr">
        <is>
          <t>2024257990036</t>
        </is>
      </c>
      <c r="J178" s="99">
        <v>8306208910.8363</v>
      </c>
      <c r="K178" s="99">
        <v>504749517</v>
      </c>
      <c r="L178" s="99">
        <v>2556611122</v>
      </c>
      <c r="M178" s="99">
        <v>2600573511.074</v>
      </c>
      <c r="N178" s="99">
        <v>2644274760.7623</v>
      </c>
      <c r="O178" s="99" t="inlineStr">
        <is>
          <t xml:space="preserve"> </t>
        </is>
      </c>
      <c r="P178" s="99" t="inlineStr">
        <is>
          <t xml:space="preserve"> </t>
        </is>
      </c>
      <c r="Q178" s="99" t="inlineStr">
        <is>
          <t xml:space="preserve"> </t>
        </is>
      </c>
      <c r="R178" s="100" t="inlineStr">
        <is>
          <t xml:space="preserve"> </t>
        </is>
      </c>
      <c r="S178" t="inlineStr">
        <is>
          <t>No se encontró ejecución en CUIPO</t>
        </is>
      </c>
      <c r="T178" s="101">
        <v>224998990</v>
      </c>
      <c r="U178" s="101">
        <v>180655920</v>
      </c>
      <c r="V178" s="101">
        <v>180655920</v>
      </c>
      <c r="W178" s="102">
        <v>0.0706622600697581</v>
      </c>
      <c r="X178" t="inlineStr">
        <is>
          <t>Lo obligado está por debajo de lo programado en la vigencia</t>
        </is>
      </c>
    </row>
    <row r="179">
      <c r="A179" t="inlineStr">
        <is>
          <t>IP-266</t>
        </is>
      </c>
      <c r="B179" t="inlineStr">
        <is>
          <t>41</t>
        </is>
      </c>
      <c r="C179" t="inlineStr">
        <is>
          <t xml:space="preserve">Inclusión social y reconciliación </t>
        </is>
      </c>
      <c r="D179" t="inlineStr">
        <is>
          <t>4102</t>
        </is>
      </c>
      <c r="E179" t="inlineStr">
        <is>
          <t>Desarrollo integral de la primera infancia a la juventud, y fortalecimiento de las capacidades de las familias de niñas, niños y adolescentes</t>
        </is>
      </c>
      <c r="F179" t="inlineStr">
        <is>
          <t>4102035</t>
        </is>
      </c>
      <c r="G179" t="inlineStr">
        <is>
          <t>Documentos de lineamientos técnicos</t>
        </is>
      </c>
      <c r="H179" t="inlineStr">
        <is>
          <t>Documentos cuyo objetivo es describir y explicar instrumentos, estándares, requisitos y condiciones necesarias para llevar a cabo un proceso o actividad</t>
        </is>
      </c>
      <c r="I179" t="inlineStr">
        <is>
          <t>2024257990036</t>
        </is>
      </c>
      <c r="J179" s="99">
        <v>478054680</v>
      </c>
      <c r="K179" s="99">
        <v>111900000</v>
      </c>
      <c r="L179" s="99">
        <v>120000000</v>
      </c>
      <c r="M179" s="99">
        <v>122040000</v>
      </c>
      <c r="N179" s="99">
        <v>124114680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t="inlineStr">
        <is>
          <t xml:space="preserve"> </t>
        </is>
      </c>
      <c r="U179" s="101" t="inlineStr">
        <is>
          <t xml:space="preserve"> </t>
        </is>
      </c>
      <c r="V179" s="101" t="inlineStr">
        <is>
          <t xml:space="preserve"> </t>
        </is>
      </c>
      <c r="W179" s="102" t="inlineStr">
        <is>
          <t xml:space="preserve"> </t>
        </is>
      </c>
      <c r="X179" t="inlineStr">
        <is>
          <t>No se encontró ejecución en CUIPO</t>
        </is>
      </c>
    </row>
    <row r="180">
      <c r="A180" t="inlineStr">
        <is>
          <t>IP-267, IP-268, IP-269</t>
        </is>
      </c>
      <c r="B180" t="inlineStr">
        <is>
          <t>41</t>
        </is>
      </c>
      <c r="C180" t="inlineStr">
        <is>
          <t xml:space="preserve">Inclusión social y reconciliación </t>
        </is>
      </c>
      <c r="D180" t="inlineStr">
        <is>
          <t>4102</t>
        </is>
      </c>
      <c r="E180" t="inlineStr">
        <is>
          <t>Desarrollo integral de la primera infancia a la juventud, y fortalecimiento de las capacidades de las familias de niñas, niños y adolescentes</t>
        </is>
      </c>
      <c r="F180" t="inlineStr">
        <is>
          <t>4102043</t>
        </is>
      </c>
      <c r="G180" t="inlineStr">
        <is>
          <t>Servicio de promoción de temas de dinámica relacional y desarrollo autónomo</t>
        </is>
      </c>
      <c r="H180"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180" t="inlineStr">
        <is>
          <t>2024257990036</t>
        </is>
      </c>
      <c r="J180" s="99">
        <v>1819144500</v>
      </c>
      <c r="K180" s="99">
        <v>550000000</v>
      </c>
      <c r="L180" s="99">
        <v>500000000</v>
      </c>
      <c r="M180" s="99">
        <v>252000000</v>
      </c>
      <c r="N180" s="99">
        <v>517144500</v>
      </c>
      <c r="O180" s="99" t="inlineStr">
        <is>
          <t xml:space="preserve"> </t>
        </is>
      </c>
      <c r="P180" s="99" t="inlineStr">
        <is>
          <t xml:space="preserve"> </t>
        </is>
      </c>
      <c r="Q180" s="99" t="inlineStr">
        <is>
          <t xml:space="preserve"> </t>
        </is>
      </c>
      <c r="R180" s="100" t="inlineStr">
        <is>
          <t xml:space="preserve"> </t>
        </is>
      </c>
      <c r="S180" t="inlineStr">
        <is>
          <t>No se encontró ejecución en CUIPO</t>
        </is>
      </c>
      <c r="T180" s="101">
        <v>499170166</v>
      </c>
      <c r="U180" s="101">
        <v>0</v>
      </c>
      <c r="V180" s="101">
        <v>0</v>
      </c>
      <c r="W180" s="102">
        <v>0</v>
      </c>
      <c r="X180" t="inlineStr">
        <is>
          <t>No se ejecutó en la vigencia</t>
        </is>
      </c>
    </row>
    <row r="181">
      <c r="A181" t="inlineStr">
        <is>
          <t>IP-273</t>
        </is>
      </c>
      <c r="B181" t="inlineStr">
        <is>
          <t>41</t>
        </is>
      </c>
      <c r="C181" t="inlineStr">
        <is>
          <t xml:space="preserve">Inclusión social y reconciliación </t>
        </is>
      </c>
      <c r="D181" t="inlineStr">
        <is>
          <t>4102</t>
        </is>
      </c>
      <c r="E181" t="inlineStr">
        <is>
          <t>Desarrollo integral de la primera infancia a la juventud, y fortalecimiento de las capacidades de las familias de niñas, niños y adolescentes</t>
        </is>
      </c>
      <c r="F181" t="inlineStr">
        <is>
          <t>4102052</t>
        </is>
      </c>
      <c r="G181" t="inlineStr">
        <is>
          <t>Servicio de protección integral a niños, niñas, adolescentes y jóvenes</t>
        </is>
      </c>
      <c r="H181" t="inlineStr">
        <is>
          <t>Servicios enfocados a garantizar los derechos fundamentales , la prevención de amenazas o vulneración y restablecimiento de derechos.</t>
        </is>
      </c>
      <c r="I181" t="inlineStr">
        <is>
          <t>2024257990036</t>
        </is>
      </c>
      <c r="J181" s="99">
        <v>61769335</v>
      </c>
      <c r="K181" s="99">
        <v>16000000</v>
      </c>
      <c r="L181" s="99">
        <v>15000000</v>
      </c>
      <c r="M181" s="99">
        <v>15255000</v>
      </c>
      <c r="N181" s="99">
        <v>15514335</v>
      </c>
      <c r="O181" s="99" t="inlineStr">
        <is>
          <t xml:space="preserve"> </t>
        </is>
      </c>
      <c r="P181" s="99" t="inlineStr">
        <is>
          <t xml:space="preserve"> </t>
        </is>
      </c>
      <c r="Q181" s="99" t="inlineStr">
        <is>
          <t xml:space="preserve"> </t>
        </is>
      </c>
      <c r="R181" s="100" t="inlineStr">
        <is>
          <t xml:space="preserve"> </t>
        </is>
      </c>
      <c r="S181" t="inlineStr">
        <is>
          <t>No se encontró ejecución en CUIPO</t>
        </is>
      </c>
      <c r="T181" s="101" t="inlineStr">
        <is>
          <t xml:space="preserve"> </t>
        </is>
      </c>
      <c r="U181" s="101" t="inlineStr">
        <is>
          <t xml:space="preserve"> </t>
        </is>
      </c>
      <c r="V181" s="101" t="inlineStr">
        <is>
          <t xml:space="preserve"> </t>
        </is>
      </c>
      <c r="W181" s="102" t="inlineStr">
        <is>
          <t xml:space="preserve"> </t>
        </is>
      </c>
      <c r="X181" t="inlineStr">
        <is>
          <t>No se encontró ejecución en CUIPO</t>
        </is>
      </c>
    </row>
    <row r="182">
      <c r="A182" t="inlineStr">
        <is>
          <t>IP-278</t>
        </is>
      </c>
      <c r="B182" t="inlineStr">
        <is>
          <t>41</t>
        </is>
      </c>
      <c r="C182" t="inlineStr">
        <is>
          <t xml:space="preserve">Inclusión social y reconciliación </t>
        </is>
      </c>
      <c r="D182" t="inlineStr">
        <is>
          <t>4102</t>
        </is>
      </c>
      <c r="E182" t="inlineStr">
        <is>
          <t>Desarrollo integral de la primera infancia a la juventud, y fortalecimiento de las capacidades de las familias de niñas, niños y adolescentes</t>
        </is>
      </c>
      <c r="F182" t="inlineStr">
        <is>
          <t>4102051</t>
        </is>
      </c>
      <c r="G182" t="inlineStr">
        <is>
          <t>Documentos de planeación</t>
        </is>
      </c>
      <c r="H182"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82" t="inlineStr">
        <is>
          <t>2024257990036</t>
        </is>
      </c>
      <c r="J182" s="99">
        <v>26377300</v>
      </c>
      <c r="K182" s="99">
        <v>26377300</v>
      </c>
      <c r="L182" s="99">
        <v>0</v>
      </c>
      <c r="M182" s="99">
        <v>0</v>
      </c>
      <c r="N182" s="99">
        <v>0</v>
      </c>
      <c r="O182" s="99" t="inlineStr">
        <is>
          <t xml:space="preserve"> </t>
        </is>
      </c>
      <c r="P182" s="99" t="inlineStr">
        <is>
          <t xml:space="preserve"> </t>
        </is>
      </c>
      <c r="Q182" s="99" t="inlineStr">
        <is>
          <t xml:space="preserve"> </t>
        </is>
      </c>
      <c r="R182" s="100" t="inlineStr">
        <is>
          <t xml:space="preserve"> </t>
        </is>
      </c>
      <c r="S182" t="inlineStr">
        <is>
          <t>No se encontró ejecución en CUIPO</t>
        </is>
      </c>
      <c r="T182" s="101">
        <v>74200000</v>
      </c>
      <c r="U182" s="101">
        <v>37733333</v>
      </c>
      <c r="V182" s="101">
        <v>33733333</v>
      </c>
      <c r="W182" s="102" t="inlineStr">
        <is>
          <t xml:space="preserve"> </t>
        </is>
      </c>
      <c r="X182" t="inlineStr">
        <is>
          <t>Se ejecutó un producto no programado en la vigencia</t>
        </is>
      </c>
    </row>
    <row r="183">
      <c r="A183" t="inlineStr">
        <is>
          <t>IP-279</t>
        </is>
      </c>
      <c r="B183" t="inlineStr">
        <is>
          <t>45</t>
        </is>
      </c>
      <c r="C183" t="inlineStr">
        <is>
          <t>Gobierno Territorial</t>
        </is>
      </c>
      <c r="D183" t="inlineStr">
        <is>
          <t>4502</t>
        </is>
      </c>
      <c r="E183" t="inlineStr">
        <is>
          <t>Fortalecimiento del buen gobierno para el respeto y garantía de los derechos humanos.</t>
        </is>
      </c>
      <c r="F183" t="inlineStr">
        <is>
          <t>4502026</t>
        </is>
      </c>
      <c r="G183" t="inlineStr">
        <is>
          <t>Documentos normativos</t>
        </is>
      </c>
      <c r="H183" t="inlineStr">
        <is>
          <t>Incluye la realización de los documentos de contenido normativo para la reglamentación de las diferentes lineas de acción del programa.</t>
        </is>
      </c>
      <c r="I183" t="inlineStr">
        <is>
          <t>2024257990036</t>
        </is>
      </c>
      <c r="J183" s="99">
        <v>3500000</v>
      </c>
      <c r="K183" s="99">
        <v>0</v>
      </c>
      <c r="L183" s="99">
        <v>0</v>
      </c>
      <c r="M183" s="99">
        <v>500000</v>
      </c>
      <c r="N183" s="99">
        <v>3000000</v>
      </c>
      <c r="O183" s="99" t="inlineStr">
        <is>
          <t xml:space="preserve"> </t>
        </is>
      </c>
      <c r="P183" s="99" t="inlineStr">
        <is>
          <t xml:space="preserve"> </t>
        </is>
      </c>
      <c r="Q183" s="99" t="inlineStr">
        <is>
          <t xml:space="preserve"> </t>
        </is>
      </c>
      <c r="R183" s="100" t="inlineStr">
        <is>
          <t xml:space="preserve"> </t>
        </is>
      </c>
      <c r="S183" t="inlineStr">
        <is>
          <t>No se encontró ejecución en CUIPO</t>
        </is>
      </c>
      <c r="T183" s="101" t="inlineStr">
        <is>
          <t xml:space="preserve"> </t>
        </is>
      </c>
      <c r="U183" s="101" t="inlineStr">
        <is>
          <t xml:space="preserve"> </t>
        </is>
      </c>
      <c r="V183" s="101" t="inlineStr">
        <is>
          <t xml:space="preserve"> </t>
        </is>
      </c>
      <c r="W183" s="102" t="inlineStr">
        <is>
          <t xml:space="preserve"> </t>
        </is>
      </c>
      <c r="X183" t="inlineStr">
        <is>
          <t>No se encontró ejecución en CUIPO</t>
        </is>
      </c>
    </row>
    <row r="184">
      <c r="A184" t="inlineStr">
        <is>
          <t>IP-280, IP-292</t>
        </is>
      </c>
      <c r="B184" t="inlineStr">
        <is>
          <t>45</t>
        </is>
      </c>
      <c r="C184" t="inlineStr">
        <is>
          <t>Gobierno Territorial</t>
        </is>
      </c>
      <c r="D184" t="inlineStr">
        <is>
          <t>4502</t>
        </is>
      </c>
      <c r="E184" t="inlineStr">
        <is>
          <t>Fortalecimiento del buen gobierno para el respeto y garantía de los derechos humanos.</t>
        </is>
      </c>
      <c r="F184" t="inlineStr">
        <is>
          <t>4502039</t>
        </is>
      </c>
      <c r="G184" t="inlineStr">
        <is>
          <t>Servicio de apoyo financiero para empresas y emprendimientos productivos</t>
        </is>
      </c>
      <c r="H184" t="inlineStr">
        <is>
          <t xml:space="preserve">Comprende el apoyo con recursos monetarios para el fortalecimiento de empresas y el desarrollo de emprendimientos de personas y comunidades en riesgo, mujeres y población LGTBI. </t>
        </is>
      </c>
      <c r="I184" t="inlineStr">
        <is>
          <t>2024257990037</t>
        </is>
      </c>
      <c r="J184" s="99">
        <v>606928395.012</v>
      </c>
      <c r="K184" s="99">
        <v>101000000</v>
      </c>
      <c r="L184" s="99">
        <v>182308000</v>
      </c>
      <c r="M184" s="99">
        <v>135061236</v>
      </c>
      <c r="N184" s="99">
        <v>188559159.012</v>
      </c>
      <c r="O184" s="99" t="inlineStr">
        <is>
          <t xml:space="preserve"> </t>
        </is>
      </c>
      <c r="P184" s="99" t="inlineStr">
        <is>
          <t xml:space="preserve"> </t>
        </is>
      </c>
      <c r="Q184" s="99" t="inlineStr">
        <is>
          <t xml:space="preserve"> </t>
        </is>
      </c>
      <c r="R184" s="100" t="inlineStr">
        <is>
          <t xml:space="preserve"> </t>
        </is>
      </c>
      <c r="S184" t="inlineStr">
        <is>
          <t>No se encontró ejecución en CUIPO</t>
        </is>
      </c>
      <c r="T184" s="101">
        <v>37333333</v>
      </c>
      <c r="U184" s="101">
        <v>27066667</v>
      </c>
      <c r="V184" s="101">
        <v>23566667</v>
      </c>
      <c r="W184" s="102">
        <v>0.148466699212322</v>
      </c>
      <c r="X184" t="inlineStr">
        <is>
          <t>Lo obligado está por debajo de lo programado en la vigencia</t>
        </is>
      </c>
    </row>
    <row r="185">
      <c r="A185" t="inlineStr">
        <is>
          <t>IP-281, IP-282, IP-287, IP-289</t>
        </is>
      </c>
      <c r="B185" t="inlineStr">
        <is>
          <t>45</t>
        </is>
      </c>
      <c r="C185" t="inlineStr">
        <is>
          <t>Gobierno Territorial</t>
        </is>
      </c>
      <c r="D185" t="inlineStr">
        <is>
          <t>4502</t>
        </is>
      </c>
      <c r="E185" t="inlineStr">
        <is>
          <t>Fortalecimiento del buen gobierno para el respeto y garantía de los derechos humanos.</t>
        </is>
      </c>
      <c r="F185" t="inlineStr">
        <is>
          <t>4502026</t>
        </is>
      </c>
      <c r="G185" t="inlineStr">
        <is>
          <t>Documentos normativos</t>
        </is>
      </c>
      <c r="H185" t="inlineStr">
        <is>
          <t>Incluye la realización de los documentos de contenido normativo para la reglamentación de las diferentes lineas de acción del programa.</t>
        </is>
      </c>
      <c r="I185" t="inlineStr">
        <is>
          <t>2024257990037</t>
        </is>
      </c>
      <c r="J185" s="99">
        <v>1255605338.027</v>
      </c>
      <c r="K185" s="99">
        <v>222917935</v>
      </c>
      <c r="L185" s="99">
        <v>338443000</v>
      </c>
      <c r="M185" s="99">
        <v>344196531</v>
      </c>
      <c r="N185" s="99">
        <v>350047872.027</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v>439308000</v>
      </c>
      <c r="U185" s="101">
        <v>54411311</v>
      </c>
      <c r="V185" s="101">
        <v>42019728</v>
      </c>
      <c r="W185" s="102">
        <v>0.160769497374743</v>
      </c>
      <c r="X185" t="inlineStr">
        <is>
          <t>Lo obligado está por debajo de lo programado en la vigencia</t>
        </is>
      </c>
    </row>
    <row r="186">
      <c r="A186" t="inlineStr">
        <is>
          <t>IP-283, IP-285, IP-286</t>
        </is>
      </c>
      <c r="B186" t="inlineStr">
        <is>
          <t>45</t>
        </is>
      </c>
      <c r="C186" t="inlineStr">
        <is>
          <t>Gobierno Territorial</t>
        </is>
      </c>
      <c r="D186" t="inlineStr">
        <is>
          <t>4502</t>
        </is>
      </c>
      <c r="E186" t="inlineStr">
        <is>
          <t>Fortalecimiento del buen gobierno para el respeto y garantía de los derechos humanos.</t>
        </is>
      </c>
      <c r="F186" t="inlineStr">
        <is>
          <t>4502001</t>
        </is>
      </c>
      <c r="G186" t="inlineStr">
        <is>
          <t>Servicio de promoción a la participación ciudadana</t>
        </is>
      </c>
      <c r="H186" t="inlineStr">
        <is>
          <t>Corresponde al diseño e implementación de acciones y estrategias que promuevan el ejercicio de la participación ciudadana para el respeto y garantía de los derechos humanos</t>
        </is>
      </c>
      <c r="I186" t="inlineStr">
        <is>
          <t>2024257990037</t>
        </is>
      </c>
      <c r="J186" s="99">
        <v>995959457.647</v>
      </c>
      <c r="K186" s="99">
        <v>74400000</v>
      </c>
      <c r="L186" s="99">
        <v>302023000</v>
      </c>
      <c r="M186" s="99">
        <v>307157391</v>
      </c>
      <c r="N186" s="99">
        <v>312379066.647</v>
      </c>
      <c r="O186" s="99" t="inlineStr">
        <is>
          <t xml:space="preserve"> </t>
        </is>
      </c>
      <c r="P186" s="99" t="inlineStr">
        <is>
          <t xml:space="preserve"> </t>
        </is>
      </c>
      <c r="Q186" s="99" t="inlineStr">
        <is>
          <t xml:space="preserve"> </t>
        </is>
      </c>
      <c r="R186" s="100" t="inlineStr">
        <is>
          <t xml:space="preserve"> </t>
        </is>
      </c>
      <c r="S186" t="inlineStr">
        <is>
          <t>No se encontró ejecución en CUIPO</t>
        </is>
      </c>
      <c r="T186" s="101">
        <v>254840759</v>
      </c>
      <c r="U186" s="101">
        <v>120000000</v>
      </c>
      <c r="V186" s="101">
        <v>120000000</v>
      </c>
      <c r="W186" s="102">
        <v>0.397320733851395</v>
      </c>
      <c r="X186" t="inlineStr">
        <is>
          <t>Lo obligado está por debajo de lo programado en la vigencia</t>
        </is>
      </c>
    </row>
    <row r="187">
      <c r="A187" t="inlineStr">
        <is>
          <t>IP-284, IP-288</t>
        </is>
      </c>
      <c r="B187" t="inlineStr">
        <is>
          <t>45</t>
        </is>
      </c>
      <c r="C187" t="inlineStr">
        <is>
          <t>Gobierno Territorial</t>
        </is>
      </c>
      <c r="D187" t="inlineStr">
        <is>
          <t>4502</t>
        </is>
      </c>
      <c r="E187" t="inlineStr">
        <is>
          <t>Fortalecimiento del buen gobierno para el respeto y garantía de los derechos humanos.</t>
        </is>
      </c>
      <c r="F187" t="inlineStr">
        <is>
          <t>4502037</t>
        </is>
      </c>
      <c r="G187" t="inlineStr">
        <is>
          <t>Servicio de apoyo para el acceso a programas de educación para el trabajo y el desarrollo humano</t>
        </is>
      </c>
      <c r="H187" t="inlineStr">
        <is>
          <t>Corresponde al diseño y desarrollo de programas de educación para el trabajo y el desarrollo humano en el campo de la participación ciudadana y comunitaria el cual tiene como objeto preparar a la persona para impulsar procesos de autogestión, de participación, de formación democrática y en general, de organización del trabajo comunitario e institucional.en las instituciones educativas del Estado o en instituciones privadas, debidamente autorizadas.</t>
        </is>
      </c>
      <c r="I187" t="inlineStr">
        <is>
          <t>2024257990037</t>
        </is>
      </c>
      <c r="J187" s="99">
        <v>1512698837</v>
      </c>
      <c r="K187" s="99">
        <v>43000002</v>
      </c>
      <c r="L187" s="99">
        <v>515000000</v>
      </c>
      <c r="M187" s="99">
        <v>422040000</v>
      </c>
      <c r="N187" s="99">
        <v>532658835</v>
      </c>
      <c r="O187" s="99" t="inlineStr">
        <is>
          <t xml:space="preserve"> </t>
        </is>
      </c>
      <c r="P187" s="99" t="inlineStr">
        <is>
          <t xml:space="preserve"> </t>
        </is>
      </c>
      <c r="Q187" s="99" t="inlineStr">
        <is>
          <t xml:space="preserve"> </t>
        </is>
      </c>
      <c r="R187" s="100" t="inlineStr">
        <is>
          <t xml:space="preserve"> </t>
        </is>
      </c>
      <c r="S187" t="inlineStr">
        <is>
          <t>No se encontró ejecución en CUIPO</t>
        </is>
      </c>
      <c r="T187" s="101">
        <v>357173493</v>
      </c>
      <c r="U187" s="101">
        <v>255971743</v>
      </c>
      <c r="V187" s="101">
        <v>222744243</v>
      </c>
      <c r="W187" s="102">
        <v>0.497032510679612</v>
      </c>
      <c r="X187" t="inlineStr">
        <is>
          <t>Lo obligado está por debajo de lo programado en la vigencia</t>
        </is>
      </c>
    </row>
    <row r="188">
      <c r="A188" t="inlineStr">
        <is>
          <t>IP-290, IP-291, IP-293, IP-294</t>
        </is>
      </c>
      <c r="B188" t="inlineStr">
        <is>
          <t>45</t>
        </is>
      </c>
      <c r="C188" t="inlineStr">
        <is>
          <t>Gobierno Territorial</t>
        </is>
      </c>
      <c r="D188" t="inlineStr">
        <is>
          <t>4502</t>
        </is>
      </c>
      <c r="E188" t="inlineStr">
        <is>
          <t>Fortalecimiento del buen gobierno para el respeto y garantía de los derechos humanos.</t>
        </is>
      </c>
      <c r="F188" t="inlineStr">
        <is>
          <t>4502038</t>
        </is>
      </c>
      <c r="G188" t="inlineStr">
        <is>
          <t>Servicio de promoción de la garantía de derechos</t>
        </is>
      </c>
      <c r="H188" t="inlineStr">
        <is>
          <t>Incluye el desarrollo de acciones orientadas a divulgar y promover los mecanismos de atención, protección y ejercicio de los derechos de las mujeres, población LGTBI y personas y comunidades en riesgo así como la prevención de su vulneración.</t>
        </is>
      </c>
      <c r="I188" t="inlineStr">
        <is>
          <t>2024257990037</t>
        </is>
      </c>
      <c r="J188" s="99">
        <v>494762906.9478</v>
      </c>
      <c r="K188" s="99">
        <v>133360100</v>
      </c>
      <c r="L188" s="99">
        <v>118442667</v>
      </c>
      <c r="M188" s="99">
        <v>120456192.339</v>
      </c>
      <c r="N188" s="99">
        <v>122503947.6088</v>
      </c>
      <c r="O188" s="99" t="inlineStr">
        <is>
          <t xml:space="preserve"> </t>
        </is>
      </c>
      <c r="P188" s="99" t="inlineStr">
        <is>
          <t xml:space="preserve"> </t>
        </is>
      </c>
      <c r="Q188" s="99" t="inlineStr">
        <is>
          <t xml:space="preserve"> </t>
        </is>
      </c>
      <c r="R188" s="100" t="inlineStr">
        <is>
          <t xml:space="preserve"> </t>
        </is>
      </c>
      <c r="S188" t="inlineStr">
        <is>
          <t>No se encontró ejecución en CUIPO</t>
        </is>
      </c>
      <c r="T188" s="101">
        <v>295286862</v>
      </c>
      <c r="U188" s="101">
        <v>171957307</v>
      </c>
      <c r="V188" s="101">
        <v>152857307</v>
      </c>
      <c r="W188" s="102">
        <v>1.45181893784948</v>
      </c>
      <c r="X188" t="inlineStr">
        <is>
          <t>Hubo ejecución por encima de lo programado en SisPT</t>
        </is>
      </c>
    </row>
    <row r="189">
      <c r="A189" t="inlineStr">
        <is>
          <t>IP-295</t>
        </is>
      </c>
      <c r="B189" t="inlineStr">
        <is>
          <t>41</t>
        </is>
      </c>
      <c r="C189" t="inlineStr">
        <is>
          <t xml:space="preserve">Inclusión social y reconciliación </t>
        </is>
      </c>
      <c r="D189" t="inlineStr">
        <is>
          <t>4104</t>
        </is>
      </c>
      <c r="E189" t="inlineStr">
        <is>
          <t>Atención integral de población en situación permanente de desprotección social y/o familiar</t>
        </is>
      </c>
      <c r="F189" t="inlineStr">
        <is>
          <t>4104010</t>
        </is>
      </c>
      <c r="G189" t="inlineStr">
        <is>
          <t>Servicio de educación informal a los cuidadores del adulto mayor</t>
        </is>
      </c>
      <c r="H189" t="inlineStr">
        <is>
          <t>Servicios dirigidos a fortalecer las habilidades y competencias de los cuidadores del adulto mayor en temas de protección y atención integral a esta población.</t>
        </is>
      </c>
      <c r="I189" t="inlineStr">
        <is>
          <t>2024257990037</t>
        </is>
      </c>
      <c r="J189" s="99">
        <v>472349061</v>
      </c>
      <c r="K189" s="99">
        <v>69240000</v>
      </c>
      <c r="L189" s="99">
        <v>149000000</v>
      </c>
      <c r="M189" s="99">
        <v>100000000</v>
      </c>
      <c r="N189" s="99">
        <v>154109061</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IP-296, IP-297, IP-298, IP-299, IP-300, IP-301</t>
        </is>
      </c>
      <c r="B190" t="inlineStr">
        <is>
          <t>41</t>
        </is>
      </c>
      <c r="C190" t="inlineStr">
        <is>
          <t xml:space="preserve">Inclusión social y reconciliación </t>
        </is>
      </c>
      <c r="D190" t="inlineStr">
        <is>
          <t>4104</t>
        </is>
      </c>
      <c r="E190" t="inlineStr">
        <is>
          <t>Atención integral de población en situación permanente de desprotección social y/o familiar</t>
        </is>
      </c>
      <c r="F190" t="inlineStr">
        <is>
          <t>4104008</t>
        </is>
      </c>
      <c r="G190" t="inlineStr">
        <is>
          <t>Servicio de atención y protección integral al adulto mayor</t>
        </is>
      </c>
      <c r="H190" t="inlineStr">
        <is>
          <t>Servicios integrales que incluyen aspectos relacionados con protección a la salud y bienestar social, educación, cultura, recreación, entorno físico y social favorable, productividad para los adultos mayores.</t>
        </is>
      </c>
      <c r="I190" t="inlineStr">
        <is>
          <t>2024257990038</t>
        </is>
      </c>
      <c r="J190" s="99">
        <v>16192563504.4989</v>
      </c>
      <c r="K190" s="99">
        <v>2351029743.94</v>
      </c>
      <c r="L190" s="99">
        <v>4570187439</v>
      </c>
      <c r="M190" s="99">
        <v>4647880625.463</v>
      </c>
      <c r="N190" s="99">
        <v>4623465696.0959</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v>3455855080</v>
      </c>
      <c r="U190" s="101">
        <v>2698612432</v>
      </c>
      <c r="V190" s="101">
        <v>2511120212</v>
      </c>
      <c r="W190" s="102">
        <v>0.590481783957308</v>
      </c>
      <c r="X190" t="inlineStr">
        <is>
          <t>Lo obligado está por debajo de lo programado en la vigencia</t>
        </is>
      </c>
    </row>
    <row r="191">
      <c r="A191" t="inlineStr">
        <is>
          <t>IP-302</t>
        </is>
      </c>
      <c r="B191" t="inlineStr">
        <is>
          <t>41</t>
        </is>
      </c>
      <c r="C191" t="inlineStr">
        <is>
          <t xml:space="preserve">Inclusión social y reconciliación </t>
        </is>
      </c>
      <c r="D191" t="inlineStr">
        <is>
          <t>4104</t>
        </is>
      </c>
      <c r="E191" t="inlineStr">
        <is>
          <t>Atención integral de población en situación permanente de desprotección social y/o familiar</t>
        </is>
      </c>
      <c r="F191" t="inlineStr">
        <is>
          <t>4104025</t>
        </is>
      </c>
      <c r="G191" t="inlineStr">
        <is>
          <t>Centros de protección social de día para el adulto mayor con reforzamiento estructural</t>
        </is>
      </c>
      <c r="H191" t="inlineStr">
        <is>
          <t>Corresponde al reforzamiento estructural de infraestructura destinada a brindar servicios diurnos para el cuidado, bienestar integral y asistencia social de los adultos mayores en condicionesde descuido, abandono o víctimas de violencia intrafamiliar.</t>
        </is>
      </c>
      <c r="I191" t="inlineStr">
        <is>
          <t>2024257990038</t>
        </is>
      </c>
      <c r="J191" s="99">
        <v>1880665750</v>
      </c>
      <c r="K191" s="99">
        <v>202456800</v>
      </c>
      <c r="L191" s="99">
        <v>550000000</v>
      </c>
      <c r="M191" s="99">
        <v>559350000</v>
      </c>
      <c r="N191" s="99">
        <v>568858950</v>
      </c>
      <c r="O191" s="99">
        <v>0</v>
      </c>
      <c r="P191" s="99">
        <v>0</v>
      </c>
      <c r="Q191" s="99">
        <v>0</v>
      </c>
      <c r="R191" s="100">
        <v>0</v>
      </c>
      <c r="S191" t="inlineStr">
        <is>
          <t>No se ejecutó en la vigencia</t>
        </is>
      </c>
      <c r="T191" s="101">
        <v>107999853</v>
      </c>
      <c r="U191" s="101">
        <v>36355000</v>
      </c>
      <c r="V191" s="101">
        <v>36355000</v>
      </c>
      <c r="W191" s="102">
        <v>0.0661</v>
      </c>
      <c r="X191" t="inlineStr">
        <is>
          <t>Lo obligado está por debajo de lo programado en la vigencia</t>
        </is>
      </c>
    </row>
    <row r="192">
      <c r="A192" t="inlineStr">
        <is>
          <t>IP-303</t>
        </is>
      </c>
      <c r="B192" t="inlineStr">
        <is>
          <t>41</t>
        </is>
      </c>
      <c r="C192" t="inlineStr">
        <is>
          <t xml:space="preserve">Inclusión social y reconciliación </t>
        </is>
      </c>
      <c r="D192" t="inlineStr">
        <is>
          <t>4102</t>
        </is>
      </c>
      <c r="E192" t="inlineStr">
        <is>
          <t>Desarrollo integral de la primera infancia a la juventud, y fortalecimiento de las capacidades de las familias de niñas, niños y adolescentes</t>
        </is>
      </c>
      <c r="F192" t="inlineStr">
        <is>
          <t>4102047</t>
        </is>
      </c>
      <c r="G192" t="inlineStr">
        <is>
          <t>Servicios de asistencia técnica en políticas públicas de infancia, adolescencia y juventud</t>
        </is>
      </c>
      <c r="H192" t="inlineStr">
        <is>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is>
      </c>
      <c r="I192" t="inlineStr">
        <is>
          <t>2024257990038</t>
        </is>
      </c>
      <c r="J192" s="99">
        <v>2875644500</v>
      </c>
      <c r="K192" s="99">
        <v>1350000000</v>
      </c>
      <c r="L192" s="99">
        <v>500000000</v>
      </c>
      <c r="M192" s="99">
        <v>508500000</v>
      </c>
      <c r="N192" s="99">
        <v>517144500</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t="inlineStr">
        <is>
          <t xml:space="preserve"> </t>
        </is>
      </c>
      <c r="U192" s="101" t="inlineStr">
        <is>
          <t xml:space="preserve"> </t>
        </is>
      </c>
      <c r="V192" s="101" t="inlineStr">
        <is>
          <t xml:space="preserve"> </t>
        </is>
      </c>
      <c r="W192" s="102" t="inlineStr">
        <is>
          <t xml:space="preserve"> </t>
        </is>
      </c>
      <c r="X192" t="inlineStr">
        <is>
          <t>No se encontró ejecución en CUIPO</t>
        </is>
      </c>
    </row>
    <row r="193">
      <c r="A193" t="inlineStr">
        <is>
          <t>IP-304, IP-308</t>
        </is>
      </c>
      <c r="B193" t="inlineStr">
        <is>
          <t>41</t>
        </is>
      </c>
      <c r="C193" t="inlineStr">
        <is>
          <t xml:space="preserve">Inclusión social y reconciliación </t>
        </is>
      </c>
      <c r="D193" t="inlineStr">
        <is>
          <t>4102</t>
        </is>
      </c>
      <c r="E193" t="inlineStr">
        <is>
          <t>Desarrollo integral de la primera infancia a la juventud, y fortalecimiento de las capacidades de las familias de niñas, niños y adolescentes</t>
        </is>
      </c>
      <c r="F193" t="inlineStr">
        <is>
          <t>4102038</t>
        </is>
      </c>
      <c r="G193" t="inlineStr">
        <is>
          <t>Servicio dirigidos a la atención de niños, niñas, adolescentes y jóvenes, con enfoque pedagógico y restaurativo encaminados a la inclusión social</t>
        </is>
      </c>
      <c r="H193" t="inlineStr">
        <is>
          <t>Servicio dirigidos a la atención de niños, niñas, adolescentes y jóvenes, con enfoque pedagógico y restaurativo encaminados a la inclusión social.</t>
        </is>
      </c>
      <c r="I193" t="inlineStr">
        <is>
          <t>2024257990039</t>
        </is>
      </c>
      <c r="J193" s="99">
        <v>294464676</v>
      </c>
      <c r="K193" s="99">
        <v>63414400</v>
      </c>
      <c r="L193" s="99">
        <v>84000000</v>
      </c>
      <c r="M193" s="99">
        <v>60170000</v>
      </c>
      <c r="N193" s="99">
        <v>86880276</v>
      </c>
      <c r="O193" s="99">
        <v>10000000</v>
      </c>
      <c r="P193" s="99">
        <v>0</v>
      </c>
      <c r="Q193" s="99">
        <v>0</v>
      </c>
      <c r="R193" s="100">
        <v>0</v>
      </c>
      <c r="S193" t="inlineStr">
        <is>
          <t>No se ejecutó en la vigencia</t>
        </is>
      </c>
      <c r="T193" s="101">
        <v>33700000</v>
      </c>
      <c r="U193" s="101">
        <v>29882900</v>
      </c>
      <c r="V193" s="101">
        <v>29882900</v>
      </c>
      <c r="W193" s="102">
        <v>0.35574880952381</v>
      </c>
      <c r="X193" t="inlineStr">
        <is>
          <t>Lo obligado está por debajo de lo programado en la vigencia</t>
        </is>
      </c>
    </row>
    <row r="194">
      <c r="A194" t="inlineStr">
        <is>
          <t>IP-305, IP-309</t>
        </is>
      </c>
      <c r="B194" t="inlineStr">
        <is>
          <t>41</t>
        </is>
      </c>
      <c r="C194" t="inlineStr">
        <is>
          <t xml:space="preserve">Inclusión social y reconciliación </t>
        </is>
      </c>
      <c r="D194" t="inlineStr">
        <is>
          <t>4102</t>
        </is>
      </c>
      <c r="E194" t="inlineStr">
        <is>
          <t>Desarrollo integral de la primera infancia a la juventud, y fortalecimiento de las capacidades de las familias de niñas, niños y adolescentes</t>
        </is>
      </c>
      <c r="F194" t="inlineStr">
        <is>
          <t>4102052</t>
        </is>
      </c>
      <c r="G194" t="inlineStr">
        <is>
          <t>Servicio de protección integral a niños, niñas, adolescentes y jóvenes</t>
        </is>
      </c>
      <c r="H194" t="inlineStr">
        <is>
          <t>Servicios enfocados a garantizar los derechos fundamentales , la prevención de amenazas o vulneración y restablecimiento de derechos.</t>
        </is>
      </c>
      <c r="I194" t="inlineStr">
        <is>
          <t>2024257990039</t>
        </is>
      </c>
      <c r="J194" s="99">
        <v>205568785</v>
      </c>
      <c r="K194" s="99">
        <v>33000000</v>
      </c>
      <c r="L194" s="99">
        <v>65000000</v>
      </c>
      <c r="M194" s="99">
        <v>40340000</v>
      </c>
      <c r="N194" s="99">
        <v>67228785</v>
      </c>
      <c r="O194" s="99" t="inlineStr">
        <is>
          <t xml:space="preserve"> </t>
        </is>
      </c>
      <c r="P194" s="99" t="inlineStr">
        <is>
          <t xml:space="preserve"> </t>
        </is>
      </c>
      <c r="Q194" s="99" t="inlineStr">
        <is>
          <t xml:space="preserve"> </t>
        </is>
      </c>
      <c r="R194" s="100" t="inlineStr">
        <is>
          <t xml:space="preserve"> </t>
        </is>
      </c>
      <c r="S194" t="inlineStr">
        <is>
          <t>No se encontró ejecución en CUIPO</t>
        </is>
      </c>
      <c r="T194" s="101">
        <v>48000000</v>
      </c>
      <c r="U194" s="101">
        <v>48000000</v>
      </c>
      <c r="V194" s="101">
        <v>48000000</v>
      </c>
      <c r="W194" s="102">
        <v>0.738461538461539</v>
      </c>
      <c r="X194" t="inlineStr">
        <is>
          <t>Lo obligado está por debajo de lo programado en la vigencia</t>
        </is>
      </c>
    </row>
    <row r="195">
      <c r="A195" t="inlineStr">
        <is>
          <t>IP-306, IP-307</t>
        </is>
      </c>
      <c r="B195" t="inlineStr">
        <is>
          <t>41</t>
        </is>
      </c>
      <c r="C195" t="inlineStr">
        <is>
          <t xml:space="preserve">Inclusión social y reconciliación </t>
        </is>
      </c>
      <c r="D195" t="inlineStr">
        <is>
          <t>4102</t>
        </is>
      </c>
      <c r="E195" t="inlineStr">
        <is>
          <t>Desarrollo integral de la primera infancia a la juventud, y fortalecimiento de las capacidades de las familias de niñas, niños y adolescentes</t>
        </is>
      </c>
      <c r="F195" t="inlineStr">
        <is>
          <t>4102045</t>
        </is>
      </c>
      <c r="G195" t="inlineStr">
        <is>
          <t>Servicios de educación informal a niños, niñas, adolescentes  y jóvenes para el reconocimiento de sus derechos</t>
        </is>
      </c>
      <c r="H195" t="inlineStr">
        <is>
          <t>Servicios mediante los cuales se socializan a los niños, niñas, adolescentes y jóvenes;  al igual que a sus padres, madres, cuidadores y docentes, los temas relacionados con el reconocimiento de los derechos de la niñez, la adolescencia y la juventud.</t>
        </is>
      </c>
      <c r="I195" t="inlineStr">
        <is>
          <t>2024257990039</t>
        </is>
      </c>
      <c r="J195" s="99">
        <v>439141790</v>
      </c>
      <c r="K195" s="99">
        <v>103500000</v>
      </c>
      <c r="L195" s="99">
        <v>110000000</v>
      </c>
      <c r="M195" s="99">
        <v>111870000</v>
      </c>
      <c r="N195" s="99">
        <v>113771790</v>
      </c>
      <c r="O195" s="99" t="inlineStr">
        <is>
          <t xml:space="preserve"> </t>
        </is>
      </c>
      <c r="P195" s="99" t="inlineStr">
        <is>
          <t xml:space="preserve"> </t>
        </is>
      </c>
      <c r="Q195" s="99" t="inlineStr">
        <is>
          <t xml:space="preserve"> </t>
        </is>
      </c>
      <c r="R195" s="100" t="inlineStr">
        <is>
          <t xml:space="preserve"> </t>
        </is>
      </c>
      <c r="S195" t="inlineStr">
        <is>
          <t>No se encontró ejecución en CUIPO</t>
        </is>
      </c>
      <c r="T195" s="101">
        <v>187844920</v>
      </c>
      <c r="U195" s="101">
        <v>526667</v>
      </c>
      <c r="V195" s="101">
        <v>0</v>
      </c>
      <c r="W195" s="102">
        <v>0.00478788181818182</v>
      </c>
      <c r="X195" t="inlineStr">
        <is>
          <t>Lo obligado está por debajo de lo programado en la vigencia</t>
        </is>
      </c>
    </row>
    <row r="196">
      <c r="A196" t="inlineStr">
        <is>
          <t>IP-310</t>
        </is>
      </c>
      <c r="B196" t="inlineStr">
        <is>
          <t>41</t>
        </is>
      </c>
      <c r="C196" t="inlineStr">
        <is>
          <t xml:space="preserve">Inclusión social y reconciliación </t>
        </is>
      </c>
      <c r="D196" t="inlineStr">
        <is>
          <t>4104</t>
        </is>
      </c>
      <c r="E196" t="inlineStr">
        <is>
          <t>Atención integral de población en situación permanente de desprotección social y/o familiar</t>
        </is>
      </c>
      <c r="F196" t="inlineStr">
        <is>
          <t>4104037</t>
        </is>
      </c>
      <c r="G196" t="inlineStr">
        <is>
          <t>Centros de atención integral para personas con discapacidad adecuados</t>
        </is>
      </c>
      <c r="H196" t="inlineStr">
        <is>
          <t>Corresponde a la adecuación de infraestructura destinada al ofrecimiento de servicios de atención integral para población en condición de discapacidad.</t>
        </is>
      </c>
      <c r="I196" t="inlineStr">
        <is>
          <t>2024257990039</t>
        </is>
      </c>
      <c r="J196" s="99">
        <v>124645872</v>
      </c>
      <c r="K196" s="99">
        <v>12000000</v>
      </c>
      <c r="L196" s="99">
        <v>48000000</v>
      </c>
      <c r="M196" s="99">
        <v>15000000</v>
      </c>
      <c r="N196" s="99">
        <v>49645872</v>
      </c>
      <c r="O196" s="99" t="inlineStr">
        <is>
          <t xml:space="preserve"> </t>
        </is>
      </c>
      <c r="P196" s="99" t="inlineStr">
        <is>
          <t xml:space="preserve"> </t>
        </is>
      </c>
      <c r="Q196" s="99" t="inlineStr">
        <is>
          <t xml:space="preserve"> </t>
        </is>
      </c>
      <c r="R196" s="100" t="inlineStr">
        <is>
          <t xml:space="preserve"> </t>
        </is>
      </c>
      <c r="S196" t="inlineStr">
        <is>
          <t>No se encontró ejecución en CUIPO</t>
        </is>
      </c>
      <c r="T196" s="101" t="inlineStr">
        <is>
          <t xml:space="preserve"> </t>
        </is>
      </c>
      <c r="U196" s="101" t="inlineStr">
        <is>
          <t xml:space="preserve"> </t>
        </is>
      </c>
      <c r="V196" s="101" t="inlineStr">
        <is>
          <t xml:space="preserve"> </t>
        </is>
      </c>
      <c r="W196" s="102" t="inlineStr">
        <is>
          <t xml:space="preserve"> </t>
        </is>
      </c>
      <c r="X196" t="inlineStr">
        <is>
          <t>No se encontró ejecución en CUIPO</t>
        </is>
      </c>
    </row>
    <row r="197">
      <c r="A197" t="inlineStr">
        <is>
          <t>IP-311, IP-312, IP-313, IP-314, IP-315, IP-316</t>
        </is>
      </c>
      <c r="B197" t="inlineStr">
        <is>
          <t>41</t>
        </is>
      </c>
      <c r="C197" t="inlineStr">
        <is>
          <t xml:space="preserve">Inclusión social y reconciliación </t>
        </is>
      </c>
      <c r="D197" t="inlineStr">
        <is>
          <t>4104</t>
        </is>
      </c>
      <c r="E197" t="inlineStr">
        <is>
          <t>Atención integral de población en situación permanente de desprotección social y/o familiar</t>
        </is>
      </c>
      <c r="F197" t="inlineStr">
        <is>
          <t>4104020</t>
        </is>
      </c>
      <c r="G197" t="inlineStr">
        <is>
          <t>Servicio de atención integral a población en condición de discapacidad</t>
        </is>
      </c>
      <c r="H197" t="inlineStr">
        <is>
          <t>Servicios integrales que incluyen aspectos relacionados con atención en salud, cuidado, alimentación, hospedaje, formación para el trabajo, inclusión productiva, recreación, entre otros, para población en condición de discapacidad.</t>
        </is>
      </c>
      <c r="I197" t="inlineStr">
        <is>
          <t>2024257990040</t>
        </is>
      </c>
      <c r="J197" s="99">
        <v>12865466297.9002</v>
      </c>
      <c r="K197" s="99">
        <v>2249692887</v>
      </c>
      <c r="L197" s="99">
        <v>3479111094</v>
      </c>
      <c r="M197" s="99">
        <v>3538255982.598</v>
      </c>
      <c r="N197" s="99">
        <v>3598406334.3022</v>
      </c>
      <c r="O197" s="99" t="inlineStr">
        <is>
          <t xml:space="preserve"> </t>
        </is>
      </c>
      <c r="P197" s="99" t="inlineStr">
        <is>
          <t xml:space="preserve"> </t>
        </is>
      </c>
      <c r="Q197" s="99" t="inlineStr">
        <is>
          <t xml:space="preserve"> </t>
        </is>
      </c>
      <c r="R197" s="100" t="inlineStr">
        <is>
          <t xml:space="preserve"> </t>
        </is>
      </c>
      <c r="S197" t="inlineStr">
        <is>
          <t>No se encontró ejecución en CUIPO</t>
        </is>
      </c>
      <c r="T197" s="101">
        <v>2399366074</v>
      </c>
      <c r="U197" s="101">
        <v>1460180406</v>
      </c>
      <c r="V197" s="101">
        <v>1394539526</v>
      </c>
      <c r="W197" s="102">
        <v>0.419699275633421</v>
      </c>
      <c r="X197" t="inlineStr">
        <is>
          <t>Lo obligado está por debajo de lo programado en la vigencia</t>
        </is>
      </c>
    </row>
    <row r="198">
      <c r="A198" t="inlineStr">
        <is>
          <t>IP-317</t>
        </is>
      </c>
      <c r="B198" t="inlineStr">
        <is>
          <t>41</t>
        </is>
      </c>
      <c r="C198" t="inlineStr">
        <is>
          <t xml:space="preserve">Inclusión social y reconciliación </t>
        </is>
      </c>
      <c r="D198" t="inlineStr">
        <is>
          <t>4102</t>
        </is>
      </c>
      <c r="E198" t="inlineStr">
        <is>
          <t>Desarrollo integral de la primera infancia a la juventud, y fortalecimiento de las capacidades de las familias de niñas, niños y adolescentes</t>
        </is>
      </c>
      <c r="F198" t="inlineStr">
        <is>
          <t>4102042</t>
        </is>
      </c>
      <c r="G198" t="inlineStr">
        <is>
          <t>Servicio de asistencia técnica a comunidades en temas de fortalecimiento del tejido social y construcción de escenarios comunitarios protectores de derechos</t>
        </is>
      </c>
      <c r="H198"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198" t="inlineStr">
        <is>
          <t>2024257990040</t>
        </is>
      </c>
      <c r="J198" s="99">
        <v>183077340</v>
      </c>
      <c r="K198" s="99">
        <v>0</v>
      </c>
      <c r="L198" s="99">
        <v>60000000</v>
      </c>
      <c r="M198" s="99">
        <v>61020000</v>
      </c>
      <c r="N198" s="99">
        <v>62057340</v>
      </c>
      <c r="O198" s="99" t="inlineStr">
        <is>
          <t xml:space="preserve"> </t>
        </is>
      </c>
      <c r="P198" s="99" t="inlineStr">
        <is>
          <t xml:space="preserve"> </t>
        </is>
      </c>
      <c r="Q198" s="99" t="inlineStr">
        <is>
          <t xml:space="preserve"> </t>
        </is>
      </c>
      <c r="R198" s="100" t="inlineStr">
        <is>
          <t xml:space="preserve"> </t>
        </is>
      </c>
      <c r="S198" t="inlineStr">
        <is>
          <t>No se encontró ejecución en CUIPO</t>
        </is>
      </c>
      <c r="T198" s="101" t="inlineStr">
        <is>
          <t xml:space="preserve"> </t>
        </is>
      </c>
      <c r="U198" s="101" t="inlineStr">
        <is>
          <t xml:space="preserve"> </t>
        </is>
      </c>
      <c r="V198" s="101" t="inlineStr">
        <is>
          <t xml:space="preserve"> </t>
        </is>
      </c>
      <c r="W198" s="102" t="inlineStr">
        <is>
          <t xml:space="preserve"> </t>
        </is>
      </c>
      <c r="X198" t="inlineStr">
        <is>
          <t>No se encontró ejecución en CUIPO</t>
        </is>
      </c>
    </row>
    <row r="199">
      <c r="A199" t="inlineStr">
        <is>
          <t>IP-318</t>
        </is>
      </c>
      <c r="B199" t="inlineStr">
        <is>
          <t>41</t>
        </is>
      </c>
      <c r="C199" t="inlineStr">
        <is>
          <t xml:space="preserve">Inclusión social y reconciliación </t>
        </is>
      </c>
      <c r="D199" t="inlineStr">
        <is>
          <t>4102</t>
        </is>
      </c>
      <c r="E199" t="inlineStr">
        <is>
          <t>Desarrollo integral de la primera infancia a la juventud, y fortalecimiento de las capacidades de las familias de niñas, niños y adolescentes</t>
        </is>
      </c>
      <c r="F199" t="inlineStr">
        <is>
          <t>4102041</t>
        </is>
      </c>
      <c r="G199" t="inlineStr">
        <is>
          <t>Servicio de asistencia técnica en el ciclo de políticas públicas de familia y otras relacionadas</t>
        </is>
      </c>
      <c r="H199" t="inlineStr">
        <is>
          <t>Comprende la capacitación, asesoría y acompañamiento en el diseño e implementación de programas dirigidos a las familias y a la garantía de sus derechos y los de sus integrantes .</t>
        </is>
      </c>
      <c r="I199" t="inlineStr">
        <is>
          <t>2024257990041</t>
        </is>
      </c>
      <c r="J199" s="99">
        <v>288987743</v>
      </c>
      <c r="K199" s="99">
        <v>29628178</v>
      </c>
      <c r="L199" s="99">
        <v>85000000</v>
      </c>
      <c r="M199" s="99">
        <v>86445000</v>
      </c>
      <c r="N199" s="99">
        <v>87914565</v>
      </c>
      <c r="O199" s="99" t="inlineStr">
        <is>
          <t xml:space="preserve"> </t>
        </is>
      </c>
      <c r="P199" s="99" t="inlineStr">
        <is>
          <t xml:space="preserve"> </t>
        </is>
      </c>
      <c r="Q199" s="99" t="inlineStr">
        <is>
          <t xml:space="preserve"> </t>
        </is>
      </c>
      <c r="R199" s="100" t="inlineStr">
        <is>
          <t xml:space="preserve"> </t>
        </is>
      </c>
      <c r="S199" t="inlineStr">
        <is>
          <t>No se encontró ejecución en CUIPO</t>
        </is>
      </c>
      <c r="T199" s="101">
        <v>65000000</v>
      </c>
      <c r="U199" s="101">
        <v>14639690</v>
      </c>
      <c r="V199" s="101">
        <v>14639690</v>
      </c>
      <c r="W199" s="102">
        <v>0.172231647058824</v>
      </c>
      <c r="X199" t="inlineStr">
        <is>
          <t>Lo obligado está por debajo de lo programado en la vigencia</t>
        </is>
      </c>
    </row>
    <row r="200">
      <c r="A200" t="inlineStr">
        <is>
          <t>IP-319</t>
        </is>
      </c>
      <c r="B200" t="inlineStr">
        <is>
          <t>41</t>
        </is>
      </c>
      <c r="C200" t="inlineStr">
        <is>
          <t xml:space="preserve">Inclusión social y reconciliación </t>
        </is>
      </c>
      <c r="D200" t="inlineStr">
        <is>
          <t>4102</t>
        </is>
      </c>
      <c r="E200" t="inlineStr">
        <is>
          <t>Desarrollo integral de la primera infancia a la juventud, y fortalecimiento de las capacidades de las familias de niñas, niños y adolescentes</t>
        </is>
      </c>
      <c r="F200" t="inlineStr">
        <is>
          <t>4102042</t>
        </is>
      </c>
      <c r="G200" t="inlineStr">
        <is>
          <t>Servicio de asistencia técnica a comunidades en temas de fortalecimiento del tejido social y construcción de escenarios comunitarios protectores de derechos</t>
        </is>
      </c>
      <c r="H200"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200" t="inlineStr">
        <is>
          <t>2024257990041</t>
        </is>
      </c>
      <c r="J200" s="99">
        <v>277295306</v>
      </c>
      <c r="K200" s="99">
        <v>33192186</v>
      </c>
      <c r="L200" s="99">
        <v>80000000</v>
      </c>
      <c r="M200" s="99">
        <v>81360000</v>
      </c>
      <c r="N200" s="99">
        <v>82743120</v>
      </c>
      <c r="O200" s="99" t="inlineStr">
        <is>
          <t xml:space="preserve"> </t>
        </is>
      </c>
      <c r="P200" s="99" t="inlineStr">
        <is>
          <t xml:space="preserve"> </t>
        </is>
      </c>
      <c r="Q200" s="99" t="inlineStr">
        <is>
          <t xml:space="preserve"> </t>
        </is>
      </c>
      <c r="R200" s="100" t="inlineStr">
        <is>
          <t xml:space="preserve"> </t>
        </is>
      </c>
      <c r="S200" t="inlineStr">
        <is>
          <t>No se encontró ejecución en CUIPO</t>
        </is>
      </c>
      <c r="T200" s="101">
        <v>132809518</v>
      </c>
      <c r="U200" s="101">
        <v>63406200</v>
      </c>
      <c r="V200" s="101">
        <v>56474867</v>
      </c>
      <c r="W200" s="102">
        <v>0.7925775</v>
      </c>
      <c r="X200" t="inlineStr">
        <is>
          <t>Lo obligado está por debajo de lo programado en la vigencia</t>
        </is>
      </c>
    </row>
    <row r="201">
      <c r="A201" t="inlineStr">
        <is>
          <t>IP-320</t>
        </is>
      </c>
      <c r="B201" t="inlineStr">
        <is>
          <t>45</t>
        </is>
      </c>
      <c r="C201" t="inlineStr">
        <is>
          <t>Gobierno Territorial</t>
        </is>
      </c>
      <c r="D201" t="inlineStr">
        <is>
          <t>4599</t>
        </is>
      </c>
      <c r="E201" t="inlineStr">
        <is>
          <t>Fortalecimiento a la gestión y dirección de la administración pública territorial</t>
        </is>
      </c>
      <c r="F201" t="inlineStr">
        <is>
          <t>4599037</t>
        </is>
      </c>
      <c r="G201" t="inlineStr">
        <is>
          <t>Servicio de actualización del Sistema de Gestión</t>
        </is>
      </c>
      <c r="H201" t="inlineStr">
        <is>
          <t>Contempla actividades de apoyo, necesarias para la actualización del sistema de gestión y de desempeño institucional en el marco del Modelo Integrado de Planeación y Gestión – MIPG.</t>
        </is>
      </c>
      <c r="I201" t="inlineStr">
        <is>
          <t>2024257990041</t>
        </is>
      </c>
      <c r="J201" s="99">
        <v>207564450</v>
      </c>
      <c r="K201" s="99">
        <v>55000000</v>
      </c>
      <c r="L201" s="99">
        <v>50000000</v>
      </c>
      <c r="M201" s="99">
        <v>50850000</v>
      </c>
      <c r="N201" s="99">
        <v>51714450</v>
      </c>
      <c r="O201" s="99" t="inlineStr">
        <is>
          <t xml:space="preserve"> </t>
        </is>
      </c>
      <c r="P201" s="99" t="inlineStr">
        <is>
          <t xml:space="preserve"> </t>
        </is>
      </c>
      <c r="Q201" s="99" t="inlineStr">
        <is>
          <t xml:space="preserve"> </t>
        </is>
      </c>
      <c r="R201" s="100" t="inlineStr">
        <is>
          <t xml:space="preserve"> </t>
        </is>
      </c>
      <c r="S201" t="inlineStr">
        <is>
          <t>No se encontró ejecución en CUIPO</t>
        </is>
      </c>
      <c r="T201" s="101" t="inlineStr">
        <is>
          <t xml:space="preserve"> </t>
        </is>
      </c>
      <c r="U201" s="101" t="inlineStr">
        <is>
          <t xml:space="preserve"> </t>
        </is>
      </c>
      <c r="V201" s="101" t="inlineStr">
        <is>
          <t xml:space="preserve"> </t>
        </is>
      </c>
      <c r="W201" s="102" t="inlineStr">
        <is>
          <t xml:space="preserve"> </t>
        </is>
      </c>
      <c r="X201" t="inlineStr">
        <is>
          <t>No se encontró ejecución en CUIPO</t>
        </is>
      </c>
    </row>
    <row r="202">
      <c r="A202" t="inlineStr">
        <is>
          <t>IP-321</t>
        </is>
      </c>
      <c r="B202" t="inlineStr">
        <is>
          <t>45</t>
        </is>
      </c>
      <c r="C202" t="inlineStr">
        <is>
          <t>Gobierno Territorial</t>
        </is>
      </c>
      <c r="D202" t="inlineStr">
        <is>
          <t>4599</t>
        </is>
      </c>
      <c r="E202" t="inlineStr">
        <is>
          <t>Fortalecimiento a la gestión y dirección de la administración pública territorial</t>
        </is>
      </c>
      <c r="F202" t="inlineStr">
        <is>
          <t>4599002</t>
        </is>
      </c>
      <c r="G202" t="inlineStr">
        <is>
          <t>Servicio de saneamiento fiscal y financiero</t>
        </is>
      </c>
      <c r="H202"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202" t="inlineStr">
        <is>
          <t>2024257990042</t>
        </is>
      </c>
      <c r="J202" s="99">
        <v>961230447</v>
      </c>
      <c r="K202" s="99">
        <v>158741440</v>
      </c>
      <c r="L202" s="99">
        <v>263000000</v>
      </c>
      <c r="M202" s="99">
        <v>267471000</v>
      </c>
      <c r="N202" s="99">
        <v>272018007</v>
      </c>
      <c r="O202" s="99">
        <v>0</v>
      </c>
      <c r="P202" s="99">
        <v>0</v>
      </c>
      <c r="Q202" s="99">
        <v>0</v>
      </c>
      <c r="R202" s="100">
        <v>0</v>
      </c>
      <c r="S202" t="inlineStr">
        <is>
          <t>No se ejecutó en la vigencia</t>
        </is>
      </c>
      <c r="T202" s="101">
        <v>433500000</v>
      </c>
      <c r="U202" s="101">
        <v>323690000</v>
      </c>
      <c r="V202" s="101">
        <v>284290000</v>
      </c>
      <c r="W202" s="102">
        <v>1.23076045627376</v>
      </c>
      <c r="X202" t="inlineStr">
        <is>
          <t>Hubo ejecución por encima de lo programado en SisPT</t>
        </is>
      </c>
    </row>
    <row r="203">
      <c r="A203" t="inlineStr">
        <is>
          <t>IP-322, IP-331, IP-332, IP-335</t>
        </is>
      </c>
      <c r="B203" t="inlineStr">
        <is>
          <t>45</t>
        </is>
      </c>
      <c r="C203" t="inlineStr">
        <is>
          <t>Gobierno Territorial</t>
        </is>
      </c>
      <c r="D203" t="inlineStr">
        <is>
          <t>4599</t>
        </is>
      </c>
      <c r="E203" t="inlineStr">
        <is>
          <t>Fortalecimiento a la gestión y dirección de la administración pública territorial</t>
        </is>
      </c>
      <c r="F203" t="inlineStr">
        <is>
          <t>4599023</t>
        </is>
      </c>
      <c r="G203" t="inlineStr">
        <is>
          <t>Servicio de Implementación Sistemas de Gestión</t>
        </is>
      </c>
      <c r="H203"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203" t="inlineStr">
        <is>
          <t>2024257990042</t>
        </is>
      </c>
      <c r="J203" s="99">
        <v>2072624960</v>
      </c>
      <c r="K203" s="99">
        <v>450000000</v>
      </c>
      <c r="L203" s="99">
        <v>670000000</v>
      </c>
      <c r="M203" s="99">
        <v>290680000</v>
      </c>
      <c r="N203" s="99">
        <v>661944960</v>
      </c>
      <c r="O203" s="99">
        <v>33449750</v>
      </c>
      <c r="P203" s="99">
        <v>33449750</v>
      </c>
      <c r="Q203" s="99">
        <v>33449750</v>
      </c>
      <c r="R203" s="100">
        <v>0.0743327777777778</v>
      </c>
      <c r="S203" t="inlineStr">
        <is>
          <t>Lo obligado está por debajo de lo programado en la vigencia</t>
        </is>
      </c>
      <c r="T203" s="101" t="inlineStr">
        <is>
          <t xml:space="preserve"> </t>
        </is>
      </c>
      <c r="U203" s="101" t="inlineStr">
        <is>
          <t xml:space="preserve"> </t>
        </is>
      </c>
      <c r="V203" s="101" t="inlineStr">
        <is>
          <t xml:space="preserve"> </t>
        </is>
      </c>
      <c r="W203" s="102" t="inlineStr">
        <is>
          <t xml:space="preserve"> </t>
        </is>
      </c>
      <c r="X203" t="inlineStr">
        <is>
          <t>No se encontró ejecución en CUIPO</t>
        </is>
      </c>
    </row>
    <row r="204">
      <c r="A204" t="inlineStr">
        <is>
          <t>IP-323</t>
        </is>
      </c>
      <c r="B204" t="inlineStr">
        <is>
          <t>45</t>
        </is>
      </c>
      <c r="C204" t="inlineStr">
        <is>
          <t>Gobierno Territorial</t>
        </is>
      </c>
      <c r="D204" t="inlineStr">
        <is>
          <t>4599</t>
        </is>
      </c>
      <c r="E204" t="inlineStr">
        <is>
          <t>Fortalecimiento a la gestión y dirección de la administración pública territorial</t>
        </is>
      </c>
      <c r="F204" t="inlineStr">
        <is>
          <t>4599030</t>
        </is>
      </c>
      <c r="G204" t="inlineStr">
        <is>
          <t xml:space="preserve">Servicio de educación informal </t>
        </is>
      </c>
      <c r="H204"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04" t="inlineStr">
        <is>
          <t>2024257990042</t>
        </is>
      </c>
      <c r="J204" s="99">
        <v>202564450</v>
      </c>
      <c r="K204" s="99">
        <v>50000000</v>
      </c>
      <c r="L204" s="99">
        <v>50000000</v>
      </c>
      <c r="M204" s="99">
        <v>50850000</v>
      </c>
      <c r="N204" s="99">
        <v>51714450</v>
      </c>
      <c r="O204" s="99" t="inlineStr">
        <is>
          <t xml:space="preserve"> </t>
        </is>
      </c>
      <c r="P204" s="99" t="inlineStr">
        <is>
          <t xml:space="preserve"> </t>
        </is>
      </c>
      <c r="Q204" s="99" t="inlineStr">
        <is>
          <t xml:space="preserve"> </t>
        </is>
      </c>
      <c r="R204" s="100" t="inlineStr">
        <is>
          <t xml:space="preserve"> </t>
        </is>
      </c>
      <c r="S204" t="inlineStr">
        <is>
          <t>No se encontró ejecución en CUIPO</t>
        </is>
      </c>
      <c r="T204" s="101" t="inlineStr">
        <is>
          <t xml:space="preserve"> </t>
        </is>
      </c>
      <c r="U204" s="101" t="inlineStr">
        <is>
          <t xml:space="preserve"> </t>
        </is>
      </c>
      <c r="V204" s="101" t="inlineStr">
        <is>
          <t xml:space="preserve"> </t>
        </is>
      </c>
      <c r="W204" s="102" t="inlineStr">
        <is>
          <t xml:space="preserve"> </t>
        </is>
      </c>
      <c r="X204" t="inlineStr">
        <is>
          <t>No se encontró ejecución en CUIPO</t>
        </is>
      </c>
    </row>
    <row r="205">
      <c r="A205" t="inlineStr">
        <is>
          <t>IP-324</t>
        </is>
      </c>
      <c r="B205" t="inlineStr">
        <is>
          <t>45</t>
        </is>
      </c>
      <c r="C205" t="inlineStr">
        <is>
          <t>Gobierno Territorial</t>
        </is>
      </c>
      <c r="D205" t="inlineStr">
        <is>
          <t>4599</t>
        </is>
      </c>
      <c r="E205" t="inlineStr">
        <is>
          <t>Fortalecimiento a la gestión y dirección de la administración pública territorial</t>
        </is>
      </c>
      <c r="F205" t="inlineStr">
        <is>
          <t>4599034</t>
        </is>
      </c>
      <c r="G205" t="inlineStr">
        <is>
          <t>Sedes dotadas</t>
        </is>
      </c>
      <c r="H205" t="inlineStr">
        <is>
          <t>Incluye el proceso de identificación de necesidades de dotación administrativa, así como la adquisición e instalación de mobiliario y demás elementos no consumibles requeridos para apoyar la prestación de los servicios de la entidad.</t>
        </is>
      </c>
      <c r="I205" t="inlineStr">
        <is>
          <t>2024257990042</t>
        </is>
      </c>
      <c r="J205" s="99">
        <v>324103120</v>
      </c>
      <c r="K205" s="99">
        <v>80000000</v>
      </c>
      <c r="L205" s="99">
        <v>80000000</v>
      </c>
      <c r="M205" s="99">
        <v>81360000</v>
      </c>
      <c r="N205" s="99">
        <v>82743120</v>
      </c>
      <c r="O205" s="99" t="inlineStr">
        <is>
          <t xml:space="preserve"> </t>
        </is>
      </c>
      <c r="P205" s="99" t="inlineStr">
        <is>
          <t xml:space="preserve"> </t>
        </is>
      </c>
      <c r="Q205" s="99" t="inlineStr">
        <is>
          <t xml:space="preserve"> </t>
        </is>
      </c>
      <c r="R205" s="100" t="inlineStr">
        <is>
          <t xml:space="preserve"> </t>
        </is>
      </c>
      <c r="S205" t="inlineStr">
        <is>
          <t>No se encontró ejecución en CUIPO</t>
        </is>
      </c>
      <c r="T205" s="101" t="inlineStr">
        <is>
          <t xml:space="preserve"> </t>
        </is>
      </c>
      <c r="U205" s="101" t="inlineStr">
        <is>
          <t xml:space="preserve"> </t>
        </is>
      </c>
      <c r="V205" s="101" t="inlineStr">
        <is>
          <t xml:space="preserve"> </t>
        </is>
      </c>
      <c r="W205" s="102" t="inlineStr">
        <is>
          <t xml:space="preserve"> </t>
        </is>
      </c>
      <c r="X205" t="inlineStr">
        <is>
          <t>No se encontró ejecución en CUIPO</t>
        </is>
      </c>
    </row>
    <row r="206">
      <c r="A206" t="inlineStr">
        <is>
          <t>IP-325</t>
        </is>
      </c>
      <c r="B206" t="inlineStr">
        <is>
          <t>45</t>
        </is>
      </c>
      <c r="C206" t="inlineStr">
        <is>
          <t>Gobierno Territorial</t>
        </is>
      </c>
      <c r="D206" t="inlineStr">
        <is>
          <t>4599</t>
        </is>
      </c>
      <c r="E206" t="inlineStr">
        <is>
          <t>Fortalecimiento a la gestión y dirección de la administración pública territorial</t>
        </is>
      </c>
      <c r="F206" t="inlineStr">
        <is>
          <t>4599003</t>
        </is>
      </c>
      <c r="G206" t="inlineStr">
        <is>
          <t>Servicio de reeestructuracion de pasivos</t>
        </is>
      </c>
      <c r="H206" t="inlineStr">
        <is>
          <t>Corresponde a la ejecución del programa integral, institucional, financiero y administrativo que cubra la entidad territorial y las Empresas Sociales y del Estado que tenga por objeto restablecer la solidez económica y financiera de la misma mediante la adopción de medidas de reorganización administrativa, racionalización del gasto, reestructuración de la deuda, saneamiento de pasivos y fortalecimiento de los ingresos</t>
        </is>
      </c>
      <c r="I206" t="inlineStr">
        <is>
          <t>2024257990042</t>
        </is>
      </c>
      <c r="J206" s="99">
        <v>470530079</v>
      </c>
      <c r="K206" s="99">
        <v>470530079</v>
      </c>
      <c r="L206" s="99">
        <v>0</v>
      </c>
      <c r="M206" s="99">
        <v>0</v>
      </c>
      <c r="N206" s="99">
        <v>0</v>
      </c>
      <c r="O206" s="99" t="inlineStr">
        <is>
          <t xml:space="preserve"> </t>
        </is>
      </c>
      <c r="P206" s="99" t="inlineStr">
        <is>
          <t xml:space="preserve"> </t>
        </is>
      </c>
      <c r="Q206" s="99" t="inlineStr">
        <is>
          <t xml:space="preserve"> </t>
        </is>
      </c>
      <c r="R206" s="100" t="inlineStr">
        <is>
          <t xml:space="preserve"> </t>
        </is>
      </c>
      <c r="S206" t="inlineStr">
        <is>
          <t>No se encontró ejecución en CUIPO</t>
        </is>
      </c>
      <c r="T206" s="101" t="inlineStr">
        <is>
          <t xml:space="preserve"> </t>
        </is>
      </c>
      <c r="U206" s="101" t="inlineStr">
        <is>
          <t xml:space="preserve"> </t>
        </is>
      </c>
      <c r="V206" s="101" t="inlineStr">
        <is>
          <t xml:space="preserve"> </t>
        </is>
      </c>
      <c r="W206" s="102" t="inlineStr">
        <is>
          <t xml:space="preserve"> </t>
        </is>
      </c>
      <c r="X206" t="inlineStr">
        <is>
          <t>No se encontró ejecución en CUIPO</t>
        </is>
      </c>
    </row>
    <row r="207">
      <c r="A207" t="inlineStr">
        <is>
          <t>IP-326</t>
        </is>
      </c>
      <c r="B207" t="inlineStr">
        <is>
          <t>45</t>
        </is>
      </c>
      <c r="C207" t="inlineStr">
        <is>
          <t>Gobierno Territorial</t>
        </is>
      </c>
      <c r="D207" t="inlineStr">
        <is>
          <t>4599</t>
        </is>
      </c>
      <c r="E207" t="inlineStr">
        <is>
          <t>Fortalecimiento a la gestión y dirección de la administración pública territorial</t>
        </is>
      </c>
      <c r="F207" t="inlineStr">
        <is>
          <t>4599026</t>
        </is>
      </c>
      <c r="G207" t="inlineStr">
        <is>
          <t>Documentos de investigación</t>
        </is>
      </c>
      <c r="H207" t="inlineStr">
        <is>
          <t>Consiste en la formulación de documentos generados a partir de la recolección, análisis y procesamiento de la información.</t>
        </is>
      </c>
      <c r="I207" t="inlineStr">
        <is>
          <t>2024257990042</t>
        </is>
      </c>
      <c r="J207" s="99">
        <v>1884372186</v>
      </c>
      <c r="K207" s="99">
        <v>206163236</v>
      </c>
      <c r="L207" s="99">
        <v>550000000</v>
      </c>
      <c r="M207" s="99">
        <v>559350000</v>
      </c>
      <c r="N207" s="99">
        <v>568858950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IP-327, IP-336</t>
        </is>
      </c>
      <c r="B208" t="inlineStr">
        <is>
          <t>45</t>
        </is>
      </c>
      <c r="C208" t="inlineStr">
        <is>
          <t>Gobierno Territorial</t>
        </is>
      </c>
      <c r="D208" t="inlineStr">
        <is>
          <t>4599</t>
        </is>
      </c>
      <c r="E208" t="inlineStr">
        <is>
          <t>Fortalecimiento a la gestión y dirección de la administración pública territorial</t>
        </is>
      </c>
      <c r="F208" t="inlineStr">
        <is>
          <t>4599031</t>
        </is>
      </c>
      <c r="G208" t="inlineStr">
        <is>
          <t>Servicio de asistencia técnica</t>
        </is>
      </c>
      <c r="H208" t="inlineStr">
        <is>
          <t>Corresponde al acompañamiento,apoyo,  asesoría y seguimiento técnico para la transferencia de herramientas de gestión y conocimiento en políticas, planes , proyectos y programas de apoyo a la dirección y gestión de la administración territorial.</t>
        </is>
      </c>
      <c r="I208" t="inlineStr">
        <is>
          <t>2024257990042</t>
        </is>
      </c>
      <c r="J208" s="99">
        <v>1423848030</v>
      </c>
      <c r="K208" s="99">
        <v>600000000</v>
      </c>
      <c r="L208" s="99">
        <v>270000000</v>
      </c>
      <c r="M208" s="99">
        <v>274590000</v>
      </c>
      <c r="N208" s="99">
        <v>279258030</v>
      </c>
      <c r="O208" s="99">
        <v>309403228</v>
      </c>
      <c r="P208" s="99">
        <v>0</v>
      </c>
      <c r="Q208" s="99">
        <v>0</v>
      </c>
      <c r="R208" s="100">
        <v>0</v>
      </c>
      <c r="S208" t="inlineStr">
        <is>
          <t>No se ejecutó en la vigencia</t>
        </is>
      </c>
      <c r="T208" s="101">
        <v>278608000</v>
      </c>
      <c r="U208" s="101">
        <v>205277775</v>
      </c>
      <c r="V208" s="101">
        <v>186197775</v>
      </c>
      <c r="W208" s="102">
        <v>0.760288055555556</v>
      </c>
      <c r="X208" t="inlineStr">
        <is>
          <t>Lo obligado está por debajo de lo programado en la vigencia</t>
        </is>
      </c>
    </row>
    <row r="209">
      <c r="A209" t="inlineStr">
        <is>
          <t>IP-328, IP-330</t>
        </is>
      </c>
      <c r="B209" t="inlineStr">
        <is>
          <t>45</t>
        </is>
      </c>
      <c r="C209" t="inlineStr">
        <is>
          <t>Gobierno Territorial</t>
        </is>
      </c>
      <c r="D209" t="inlineStr">
        <is>
          <t>4599</t>
        </is>
      </c>
      <c r="E209" t="inlineStr">
        <is>
          <t>Fortalecimiento a la gestión y dirección de la administración pública territorial</t>
        </is>
      </c>
      <c r="F209" t="inlineStr">
        <is>
          <t>4599007</t>
        </is>
      </c>
      <c r="G209" t="inlineStr">
        <is>
          <t>Servicios tecnológicos</t>
        </is>
      </c>
      <c r="H209"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209" t="inlineStr">
        <is>
          <t>2024257990042</t>
        </is>
      </c>
      <c r="J209" s="99">
        <v>1106089820</v>
      </c>
      <c r="K209" s="99">
        <v>50000000</v>
      </c>
      <c r="L209" s="99">
        <v>380000000</v>
      </c>
      <c r="M209" s="99">
        <v>283060000</v>
      </c>
      <c r="N209" s="99">
        <v>393029820</v>
      </c>
      <c r="O209" s="99" t="inlineStr">
        <is>
          <t xml:space="preserve"> </t>
        </is>
      </c>
      <c r="P209" s="99" t="inlineStr">
        <is>
          <t xml:space="preserve"> </t>
        </is>
      </c>
      <c r="Q209" s="99" t="inlineStr">
        <is>
          <t xml:space="preserve"> </t>
        </is>
      </c>
      <c r="R209" s="100" t="inlineStr">
        <is>
          <t xml:space="preserve"> </t>
        </is>
      </c>
      <c r="S209" t="inlineStr">
        <is>
          <t>No se encontró ejecución en CUIPO</t>
        </is>
      </c>
      <c r="T209" s="101">
        <v>276373543</v>
      </c>
      <c r="U209" s="101">
        <v>145264729</v>
      </c>
      <c r="V209" s="101">
        <v>138154729</v>
      </c>
      <c r="W209" s="102">
        <v>0.382275602631579</v>
      </c>
      <c r="X209" t="inlineStr">
        <is>
          <t>Lo obligado está por debajo de lo programado en la vigencia</t>
        </is>
      </c>
    </row>
    <row r="210">
      <c r="A210" t="inlineStr">
        <is>
          <t>IP-329</t>
        </is>
      </c>
      <c r="B210" t="inlineStr">
        <is>
          <t>45</t>
        </is>
      </c>
      <c r="C210" t="inlineStr">
        <is>
          <t>Gobierno Territorial</t>
        </is>
      </c>
      <c r="D210" t="inlineStr">
        <is>
          <t>4599</t>
        </is>
      </c>
      <c r="E210" t="inlineStr">
        <is>
          <t>Fortalecimiento a la gestión y dirección de la administración pública territorial</t>
        </is>
      </c>
      <c r="F210" t="inlineStr">
        <is>
          <t>4599037</t>
        </is>
      </c>
      <c r="G210" t="inlineStr">
        <is>
          <t>Servicio de actualización del Sistema de Gestión</t>
        </is>
      </c>
      <c r="H210" t="inlineStr">
        <is>
          <t>Contempla actividades de apoyo, necesarias para la actualización del sistema de gestión y de desempeño institucional en el marco del Modelo Integrado de Planeación y Gestión – MIPG.</t>
        </is>
      </c>
      <c r="I210" t="inlineStr">
        <is>
          <t>2024257990042</t>
        </is>
      </c>
      <c r="J210" s="99">
        <v>994087118</v>
      </c>
      <c r="K210" s="99">
        <v>244829088</v>
      </c>
      <c r="L210" s="99">
        <v>270000000</v>
      </c>
      <c r="M210" s="99">
        <v>200000000</v>
      </c>
      <c r="N210" s="99">
        <v>279258030</v>
      </c>
      <c r="O210" s="99" t="inlineStr">
        <is>
          <t xml:space="preserve"> </t>
        </is>
      </c>
      <c r="P210" s="99" t="inlineStr">
        <is>
          <t xml:space="preserve"> </t>
        </is>
      </c>
      <c r="Q210" s="99" t="inlineStr">
        <is>
          <t xml:space="preserve"> </t>
        </is>
      </c>
      <c r="R210" s="100" t="inlineStr">
        <is>
          <t xml:space="preserve"> </t>
        </is>
      </c>
      <c r="S210" t="inlineStr">
        <is>
          <t>No se encontró ejecución en CUIPO</t>
        </is>
      </c>
      <c r="T210" s="101" t="inlineStr">
        <is>
          <t xml:space="preserve"> </t>
        </is>
      </c>
      <c r="U210" s="101" t="inlineStr">
        <is>
          <t xml:space="preserve"> </t>
        </is>
      </c>
      <c r="V210" s="101" t="inlineStr">
        <is>
          <t xml:space="preserve"> </t>
        </is>
      </c>
      <c r="W210" s="102" t="inlineStr">
        <is>
          <t xml:space="preserve"> </t>
        </is>
      </c>
      <c r="X210" t="inlineStr">
        <is>
          <t>No se encontró ejecución en CUIPO</t>
        </is>
      </c>
    </row>
    <row r="211">
      <c r="A211" t="inlineStr">
        <is>
          <t>IP-333, IP-339, IP-340, IP-341</t>
        </is>
      </c>
      <c r="B211" t="inlineStr">
        <is>
          <t>45</t>
        </is>
      </c>
      <c r="C211" t="inlineStr">
        <is>
          <t>Gobierno Territorial</t>
        </is>
      </c>
      <c r="D211" t="inlineStr">
        <is>
          <t>4599</t>
        </is>
      </c>
      <c r="E211" t="inlineStr">
        <is>
          <t>Fortalecimiento a la gestión y dirección de la administración pública territorial</t>
        </is>
      </c>
      <c r="F211" t="inlineStr">
        <is>
          <t>4599016</t>
        </is>
      </c>
      <c r="G211" t="inlineStr">
        <is>
          <t>Sedes mantenidas</t>
        </is>
      </c>
      <c r="H211"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211" t="inlineStr">
        <is>
          <t>2024257990042</t>
        </is>
      </c>
      <c r="J211" s="99">
        <v>52387750462</v>
      </c>
      <c r="K211" s="99">
        <v>11047966712</v>
      </c>
      <c r="L211" s="99">
        <v>3750000000</v>
      </c>
      <c r="M211" s="99">
        <v>33711200000</v>
      </c>
      <c r="N211" s="99">
        <v>3878583750</v>
      </c>
      <c r="O211" s="99">
        <v>328547085</v>
      </c>
      <c r="P211" s="99">
        <v>129198187</v>
      </c>
      <c r="Q211" s="99">
        <v>129198187</v>
      </c>
      <c r="R211" s="100">
        <v>0.0116942954634058</v>
      </c>
      <c r="S211" t="inlineStr">
        <is>
          <t>Lo obligado está por debajo de lo programado en la vigencia</t>
        </is>
      </c>
      <c r="T211" s="101">
        <v>3166450578</v>
      </c>
      <c r="U211" s="101">
        <v>1738218423</v>
      </c>
      <c r="V211" s="101">
        <v>1492928281</v>
      </c>
      <c r="W211" s="102">
        <v>0.4635249128</v>
      </c>
      <c r="X211" t="inlineStr">
        <is>
          <t>Lo obligado está por debajo de lo programado en la vigencia</t>
        </is>
      </c>
    </row>
    <row r="212">
      <c r="A212" t="inlineStr">
        <is>
          <t>IP-334, IP-337</t>
        </is>
      </c>
      <c r="B212" t="inlineStr">
        <is>
          <t>45</t>
        </is>
      </c>
      <c r="C212" t="inlineStr">
        <is>
          <t>Gobierno Territorial</t>
        </is>
      </c>
      <c r="D212" t="inlineStr">
        <is>
          <t>4599</t>
        </is>
      </c>
      <c r="E212" t="inlineStr">
        <is>
          <t>Fortalecimiento a la gestión y dirección de la administración pública territorial</t>
        </is>
      </c>
      <c r="F212" t="inlineStr">
        <is>
          <t>4599005</t>
        </is>
      </c>
      <c r="G212" t="inlineStr">
        <is>
          <t>Documento para la planeación estratégica en TI</t>
        </is>
      </c>
      <c r="H212" t="inlineStr">
        <is>
          <t xml:space="preserve">Consiste en la formulación de documento cuyo objetivo es definir el marco de referencia que alinea la gestión de tecnologías  de la información con las políticas de estado y sectoriales que se definan en la materia. </t>
        </is>
      </c>
      <c r="I212" t="inlineStr">
        <is>
          <t>2024257990042</t>
        </is>
      </c>
      <c r="J212" s="99">
        <v>609623488</v>
      </c>
      <c r="K212" s="99">
        <v>67000000</v>
      </c>
      <c r="L212" s="99">
        <v>192000000</v>
      </c>
      <c r="M212" s="99">
        <v>152040000</v>
      </c>
      <c r="N212" s="99">
        <v>198583488</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IP-338</t>
        </is>
      </c>
      <c r="B213" t="inlineStr">
        <is>
          <t>45</t>
        </is>
      </c>
      <c r="C213" t="inlineStr">
        <is>
          <t>Gobierno Territorial</t>
        </is>
      </c>
      <c r="D213" t="inlineStr">
        <is>
          <t>4599</t>
        </is>
      </c>
      <c r="E213" t="inlineStr">
        <is>
          <t>Fortalecimiento a la gestión y dirección de la administración pública territorial</t>
        </is>
      </c>
      <c r="F213" t="inlineStr">
        <is>
          <t>4599008</t>
        </is>
      </c>
      <c r="G213" t="inlineStr">
        <is>
          <t>Sede construida y dotada</t>
        </is>
      </c>
      <c r="H213" t="inlineStr">
        <is>
          <t>Corresponde a un inmueble resultado de obras de edificación en terrenos no construidos o cuya área esté libre por autorización de demolición total. Incluye la dotación del inmueble. (Corresponde a la licencia de construcción por obra nueva)</t>
        </is>
      </c>
      <c r="I213" t="inlineStr">
        <is>
          <t>2024257990042</t>
        </is>
      </c>
      <c r="J213" s="99">
        <v>161360000</v>
      </c>
      <c r="K213" s="99">
        <v>0</v>
      </c>
      <c r="L213" s="99">
        <v>80000000</v>
      </c>
      <c r="M213" s="99">
        <v>81360000</v>
      </c>
      <c r="N213" s="99">
        <v>0</v>
      </c>
      <c r="O213" s="99" t="inlineStr">
        <is>
          <t xml:space="preserve"> </t>
        </is>
      </c>
      <c r="P213" s="99" t="inlineStr">
        <is>
          <t xml:space="preserve"> </t>
        </is>
      </c>
      <c r="Q213" s="99" t="inlineStr">
        <is>
          <t xml:space="preserve"> </t>
        </is>
      </c>
      <c r="R213" s="100" t="inlineStr">
        <is>
          <t xml:space="preserve"> </t>
        </is>
      </c>
      <c r="S213" t="inlineStr">
        <is>
          <t>No se encontró ejecución en CUIPO</t>
        </is>
      </c>
      <c r="T213" s="101" t="inlineStr">
        <is>
          <t xml:space="preserve"> </t>
        </is>
      </c>
      <c r="U213" s="101" t="inlineStr">
        <is>
          <t xml:space="preserve"> </t>
        </is>
      </c>
      <c r="V213" s="101" t="inlineStr">
        <is>
          <t xml:space="preserve"> </t>
        </is>
      </c>
      <c r="W213" s="102" t="inlineStr">
        <is>
          <t xml:space="preserve"> </t>
        </is>
      </c>
      <c r="X213" t="inlineStr">
        <is>
          <t>No se encontró ejecución en CUIPO</t>
        </is>
      </c>
    </row>
    <row r="214">
      <c r="A214" t="inlineStr">
        <is>
          <t>IP-342</t>
        </is>
      </c>
      <c r="B214" t="inlineStr">
        <is>
          <t>45</t>
        </is>
      </c>
      <c r="C214" t="inlineStr">
        <is>
          <t>Gobierno Territorial</t>
        </is>
      </c>
      <c r="D214" t="inlineStr">
        <is>
          <t>4599</t>
        </is>
      </c>
      <c r="E214" t="inlineStr">
        <is>
          <t>Fortalecimiento a la gestión y dirección de la administración pública territorial</t>
        </is>
      </c>
      <c r="F214" t="inlineStr">
        <is>
          <t>4599026</t>
        </is>
      </c>
      <c r="G214" t="inlineStr">
        <is>
          <t>Documentos de investigación</t>
        </is>
      </c>
      <c r="H214" t="inlineStr">
        <is>
          <t>Consiste en la formulación de documentos generados a partir de la recolección, análisis y procesamiento de la información.</t>
        </is>
      </c>
      <c r="I214" t="inlineStr">
        <is>
          <t>2024257990043</t>
        </is>
      </c>
      <c r="J214" s="99">
        <v>315878709</v>
      </c>
      <c r="K214" s="99">
        <v>41262699</v>
      </c>
      <c r="L214" s="99">
        <v>90000000</v>
      </c>
      <c r="M214" s="99">
        <v>91530000</v>
      </c>
      <c r="N214" s="99">
        <v>93086010</v>
      </c>
      <c r="O214" s="99">
        <v>41262699</v>
      </c>
      <c r="P214" s="99">
        <v>41262699</v>
      </c>
      <c r="Q214" s="99">
        <v>41262699</v>
      </c>
      <c r="R214" s="100">
        <v>1</v>
      </c>
      <c r="S214" t="inlineStr">
        <is>
          <t>Se ejecutó el 100% de lo programado en la vigencia</t>
        </is>
      </c>
      <c r="T214" s="101" t="inlineStr">
        <is>
          <t xml:space="preserve"> </t>
        </is>
      </c>
      <c r="U214" s="101" t="inlineStr">
        <is>
          <t xml:space="preserve"> </t>
        </is>
      </c>
      <c r="V214" s="101" t="inlineStr">
        <is>
          <t xml:space="preserve"> </t>
        </is>
      </c>
      <c r="W214" s="102" t="inlineStr">
        <is>
          <t xml:space="preserve"> </t>
        </is>
      </c>
      <c r="X214" t="inlineStr">
        <is>
          <t>No se encontró ejecución en CUIPO</t>
        </is>
      </c>
    </row>
    <row r="215">
      <c r="A215" t="inlineStr">
        <is>
          <t>IP-343, IP-345, IP-346, IP-347, IP-348</t>
        </is>
      </c>
      <c r="B215" t="inlineStr">
        <is>
          <t>45</t>
        </is>
      </c>
      <c r="C215" t="inlineStr">
        <is>
          <t>Gobierno Territorial</t>
        </is>
      </c>
      <c r="D215" t="inlineStr">
        <is>
          <t>4599</t>
        </is>
      </c>
      <c r="E215" t="inlineStr">
        <is>
          <t>Fortalecimiento a la gestión y dirección de la administración pública territorial</t>
        </is>
      </c>
      <c r="F215" t="inlineStr">
        <is>
          <t>4599025</t>
        </is>
      </c>
      <c r="G215" t="inlineStr">
        <is>
          <t>Servicios de información implementados</t>
        </is>
      </c>
      <c r="H215" t="inlineStr">
        <is>
          <t>Corresponde al proceso que asegura la disposición de la información de manera accesible, confiable y oportuna.</t>
        </is>
      </c>
      <c r="I215" t="inlineStr">
        <is>
          <t>2024257990043</t>
        </is>
      </c>
      <c r="J215" s="99">
        <v>416616010</v>
      </c>
      <c r="K215" s="99">
        <v>140000000</v>
      </c>
      <c r="L215" s="99">
        <v>90000000</v>
      </c>
      <c r="M215" s="99">
        <v>93530000</v>
      </c>
      <c r="N215" s="99">
        <v>93086010</v>
      </c>
      <c r="O215" s="99">
        <v>43400000</v>
      </c>
      <c r="P215" s="99">
        <v>18400000</v>
      </c>
      <c r="Q215" s="99">
        <v>18400000</v>
      </c>
      <c r="R215" s="100">
        <v>0.131428571428571</v>
      </c>
      <c r="S215" t="inlineStr">
        <is>
          <t>Lo obligado está por debajo de lo programado en la vigencia</t>
        </is>
      </c>
      <c r="T215" s="101">
        <v>150800000</v>
      </c>
      <c r="U215" s="101">
        <v>107743333</v>
      </c>
      <c r="V215" s="101">
        <v>105543333</v>
      </c>
      <c r="W215" s="102">
        <v>1.19714814444444</v>
      </c>
      <c r="X215" t="inlineStr">
        <is>
          <t>Hubo ejecución por encima de lo programado en SisPT</t>
        </is>
      </c>
    </row>
    <row r="216">
      <c r="A216" t="inlineStr">
        <is>
          <t>IP-350</t>
        </is>
      </c>
      <c r="B216" t="inlineStr">
        <is>
          <t>43</t>
        </is>
      </c>
      <c r="C216" t="inlineStr">
        <is>
          <t>Deporte y Recreación</t>
        </is>
      </c>
      <c r="D216" t="inlineStr">
        <is>
          <t>4301</t>
        </is>
      </c>
      <c r="E216" t="inlineStr">
        <is>
          <t>Fomento a la recreación, la actividad física y el deporte para desarrollar entornos de convivencia y paz</t>
        </is>
      </c>
      <c r="F216" t="inlineStr">
        <is>
          <t>4301006</t>
        </is>
      </c>
      <c r="G216" t="inlineStr">
        <is>
          <t>Documentos normativos</t>
        </is>
      </c>
      <c r="H216" t="inlineStr">
        <is>
          <t>Corresponde a la formulación o reformulación de políticas públicas o normatividad concerniente a la práctica de la actividad física, de la recreación y el deporte.</t>
        </is>
      </c>
      <c r="I216" t="inlineStr">
        <is>
          <t>2024257990043</t>
        </is>
      </c>
      <c r="J216" s="99">
        <v>616172020</v>
      </c>
      <c r="K216" s="99">
        <v>150000000</v>
      </c>
      <c r="L216" s="99">
        <v>180000000</v>
      </c>
      <c r="M216" s="99">
        <v>100000000</v>
      </c>
      <c r="N216" s="99">
        <v>186172020</v>
      </c>
      <c r="O216" s="99" t="inlineStr">
        <is>
          <t xml:space="preserve"> </t>
        </is>
      </c>
      <c r="P216" s="99" t="inlineStr">
        <is>
          <t xml:space="preserve"> </t>
        </is>
      </c>
      <c r="Q216" s="99" t="inlineStr">
        <is>
          <t xml:space="preserve"> </t>
        </is>
      </c>
      <c r="R216" s="100" t="inlineStr">
        <is>
          <t xml:space="preserve"> </t>
        </is>
      </c>
      <c r="S216" t="inlineStr">
        <is>
          <t>No se encontró ejecución en CUIPO</t>
        </is>
      </c>
      <c r="T216" s="101" t="inlineStr">
        <is>
          <t xml:space="preserve"> </t>
        </is>
      </c>
      <c r="U216" s="101" t="inlineStr">
        <is>
          <t xml:space="preserve"> </t>
        </is>
      </c>
      <c r="V216" s="101" t="inlineStr">
        <is>
          <t xml:space="preserve"> </t>
        </is>
      </c>
      <c r="W216" s="102" t="inlineStr">
        <is>
          <t xml:space="preserve"> </t>
        </is>
      </c>
      <c r="X216" t="inlineStr">
        <is>
          <t>No se encontró ejecución en CUIPO</t>
        </is>
      </c>
    </row>
    <row r="217">
      <c r="J217" s="99"/>
      <c r="K217" s="99"/>
      <c r="L217" s="99"/>
      <c r="M217" s="99"/>
      <c r="N217" s="99"/>
      <c r="O217" s="99"/>
      <c r="P217" s="99"/>
      <c r="Q217" s="99"/>
      <c r="R217" s="100"/>
      <c r="T217" s="101"/>
      <c r="U217" s="101"/>
      <c r="V217" s="101"/>
      <c r="W217"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253"/>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IP-12, IP-16</t>
        </is>
      </c>
      <c r="B8" t="inlineStr">
        <is>
          <t>32</t>
        </is>
      </c>
      <c r="C8" t="inlineStr">
        <is>
          <t>Ambiente y desarrollo sostenible</t>
        </is>
      </c>
      <c r="D8" t="inlineStr">
        <is>
          <t>3204</t>
        </is>
      </c>
      <c r="E8" t="inlineStr">
        <is>
          <t>Gestión de la información y el conocimiento ambiental</t>
        </is>
      </c>
      <c r="F8" t="inlineStr">
        <is>
          <t>3204001</t>
        </is>
      </c>
      <c r="G8" t="inlineStr">
        <is>
          <t>Documentos de investigación para la gestión de la información y el conocimiento ambiental</t>
        </is>
      </c>
      <c r="H8" t="inlineStr">
        <is>
          <t>320400100</t>
        </is>
      </c>
      <c r="I8" t="inlineStr">
        <is>
          <t xml:space="preserve">Documentos de investigación realizados </t>
        </is>
      </c>
      <c r="J8" t="inlineStr">
        <is>
          <t>2024257990001</t>
        </is>
      </c>
      <c r="K8" t="inlineStr">
        <is>
          <t>No</t>
        </is>
      </c>
      <c r="L8" t="inlineStr">
        <is>
          <t>Número</t>
        </is>
      </c>
      <c r="M8">
        <v>5</v>
      </c>
      <c r="N8">
        <v>1.1</v>
      </c>
      <c r="O8">
        <v>1.4</v>
      </c>
      <c r="P8">
        <v>1.4</v>
      </c>
      <c r="Q8">
        <v>1.1</v>
      </c>
      <c r="R8">
        <v>0</v>
      </c>
      <c r="S8" s="103">
        <v>0</v>
      </c>
      <c r="T8" t="inlineStr">
        <is>
          <t>No se ejecutó en la vigencia</t>
        </is>
      </c>
      <c r="U8" t="inlineStr">
        <is>
          <t xml:space="preserve"> </t>
        </is>
      </c>
      <c r="V8" s="104" t="inlineStr">
        <is>
          <t xml:space="preserve"> </t>
        </is>
      </c>
      <c r="W8" t="inlineStr">
        <is>
          <t>No se encontró ejecución en PIIP</t>
        </is>
      </c>
    </row>
    <row r="9">
      <c r="A9" t="inlineStr">
        <is>
          <t>IP-13</t>
        </is>
      </c>
      <c r="B9" t="inlineStr">
        <is>
          <t>32</t>
        </is>
      </c>
      <c r="C9" t="inlineStr">
        <is>
          <t>Ambiente y desarrollo sostenible</t>
        </is>
      </c>
      <c r="D9" t="inlineStr">
        <is>
          <t>3204</t>
        </is>
      </c>
      <c r="E9" t="inlineStr">
        <is>
          <t>Gestión de la información y el conocimiento ambiental</t>
        </is>
      </c>
      <c r="F9" t="inlineStr">
        <is>
          <t>3204002</t>
        </is>
      </c>
      <c r="G9" t="inlineStr">
        <is>
          <t>Documentos diagnóstico para la gestión de la información y el conocimiento ambiental</t>
        </is>
      </c>
      <c r="H9" t="inlineStr">
        <is>
          <t>320400200</t>
        </is>
      </c>
      <c r="I9" t="inlineStr">
        <is>
          <t xml:space="preserve">Documentos diagnóstico realizados </t>
        </is>
      </c>
      <c r="J9" t="inlineStr">
        <is>
          <t>2024257990001</t>
        </is>
      </c>
      <c r="K9" t="inlineStr">
        <is>
          <t>No</t>
        </is>
      </c>
      <c r="L9" t="inlineStr">
        <is>
          <t>Número</t>
        </is>
      </c>
      <c r="M9">
        <v>1</v>
      </c>
      <c r="N9">
        <v>1</v>
      </c>
      <c r="O9">
        <v>1</v>
      </c>
      <c r="P9">
        <v>1</v>
      </c>
      <c r="Q9">
        <v>1</v>
      </c>
      <c r="R9">
        <v>0</v>
      </c>
      <c r="S9" s="103">
        <v>0</v>
      </c>
      <c r="T9" t="inlineStr">
        <is>
          <t>No se ejecutó en la vigencia</t>
        </is>
      </c>
      <c r="U9" t="inlineStr">
        <is>
          <t xml:space="preserve"> </t>
        </is>
      </c>
      <c r="V9" s="104" t="inlineStr">
        <is>
          <t xml:space="preserve"> </t>
        </is>
      </c>
      <c r="W9" t="inlineStr">
        <is>
          <t>No se encontró ejecución en PIIP</t>
        </is>
      </c>
    </row>
    <row r="10">
      <c r="A10" t="inlineStr">
        <is>
          <t>IP-14</t>
        </is>
      </c>
      <c r="B10" t="inlineStr">
        <is>
          <t>32</t>
        </is>
      </c>
      <c r="C10" t="inlineStr">
        <is>
          <t>Ambiente y desarrollo sostenible</t>
        </is>
      </c>
      <c r="D10" t="inlineStr">
        <is>
          <t>3204</t>
        </is>
      </c>
      <c r="E10" t="inlineStr">
        <is>
          <t>Gestión de la información y el conocimiento ambiental</t>
        </is>
      </c>
      <c r="F10" t="inlineStr">
        <is>
          <t>3204006</t>
        </is>
      </c>
      <c r="G10" t="inlineStr">
        <is>
          <t>Servicio de información en tiempo real de pronósticos y alertas</t>
        </is>
      </c>
      <c r="H10" t="inlineStr">
        <is>
          <t>320400600</t>
        </is>
      </c>
      <c r="I10" t="inlineStr">
        <is>
          <t>Informes de pronósticos y alertas generados</t>
        </is>
      </c>
      <c r="J10" t="inlineStr">
        <is>
          <t>2024257990001</t>
        </is>
      </c>
      <c r="K10" t="inlineStr">
        <is>
          <t>Si</t>
        </is>
      </c>
      <c r="L10" t="inlineStr">
        <is>
          <t>Número</t>
        </is>
      </c>
      <c r="M10">
        <v>4</v>
      </c>
      <c r="N10">
        <v>1</v>
      </c>
      <c r="O10">
        <v>1</v>
      </c>
      <c r="P10">
        <v>1</v>
      </c>
      <c r="Q10">
        <v>1</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IP-15</t>
        </is>
      </c>
      <c r="B11" t="inlineStr">
        <is>
          <t>32</t>
        </is>
      </c>
      <c r="C11" t="inlineStr">
        <is>
          <t>Ambiente y desarrollo sostenible</t>
        </is>
      </c>
      <c r="D11" t="inlineStr">
        <is>
          <t>3204</t>
        </is>
      </c>
      <c r="E11" t="inlineStr">
        <is>
          <t>Gestión de la información y el conocimiento ambiental</t>
        </is>
      </c>
      <c r="F11" t="inlineStr">
        <is>
          <t>3204001</t>
        </is>
      </c>
      <c r="G11" t="inlineStr">
        <is>
          <t>Documentos de investigación para la gestión de la información y el conocimiento ambiental</t>
        </is>
      </c>
      <c r="H11" t="inlineStr">
        <is>
          <t>320400100</t>
        </is>
      </c>
      <c r="I11" t="inlineStr">
        <is>
          <t xml:space="preserve">Documentos de investigación realizados </t>
        </is>
      </c>
      <c r="J11" t="inlineStr">
        <is>
          <t>2024257990001</t>
        </is>
      </c>
      <c r="K11" t="inlineStr">
        <is>
          <t>Si</t>
        </is>
      </c>
      <c r="L11" t="inlineStr">
        <is>
          <t>Número</t>
        </is>
      </c>
      <c r="M11">
        <v>25</v>
      </c>
      <c r="N11">
        <v>4</v>
      </c>
      <c r="O11">
        <v>10</v>
      </c>
      <c r="P11">
        <v>10</v>
      </c>
      <c r="Q11">
        <v>5</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IP-17</t>
        </is>
      </c>
      <c r="B12" t="inlineStr">
        <is>
          <t>32</t>
        </is>
      </c>
      <c r="C12" t="inlineStr">
        <is>
          <t>Ambiente y desarrollo sostenible</t>
        </is>
      </c>
      <c r="D12" t="inlineStr">
        <is>
          <t>3204</t>
        </is>
      </c>
      <c r="E12" t="inlineStr">
        <is>
          <t>Gestión de la información y el conocimiento ambiental</t>
        </is>
      </c>
      <c r="F12" t="inlineStr">
        <is>
          <t>3204049</t>
        </is>
      </c>
      <c r="G12" t="inlineStr">
        <is>
          <t>Servicio de divulgación deconocimiento generado para la Planificación sectorial y la gestión ambiental.</t>
        </is>
      </c>
      <c r="H12" t="inlineStr">
        <is>
          <t>320404900</t>
        </is>
      </c>
      <c r="I12" t="inlineStr">
        <is>
          <t>Documentos divulgados</t>
        </is>
      </c>
      <c r="J12" t="inlineStr">
        <is>
          <t>2024257990001</t>
        </is>
      </c>
      <c r="K12" t="inlineStr">
        <is>
          <t>Si</t>
        </is>
      </c>
      <c r="L12" t="inlineStr">
        <is>
          <t>Número</t>
        </is>
      </c>
      <c r="M12">
        <v>1</v>
      </c>
      <c r="N12">
        <v>0.1</v>
      </c>
      <c r="O12">
        <v>0.4</v>
      </c>
      <c r="P12">
        <v>0.4</v>
      </c>
      <c r="Q12">
        <v>0.1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IP-18</t>
        </is>
      </c>
      <c r="B13" t="inlineStr">
        <is>
          <t>32</t>
        </is>
      </c>
      <c r="C13" t="inlineStr">
        <is>
          <t>Ambiente y desarrollo sostenible</t>
        </is>
      </c>
      <c r="D13" t="inlineStr">
        <is>
          <t>3204</t>
        </is>
      </c>
      <c r="E13" t="inlineStr">
        <is>
          <t>Gestión de la información y el conocimiento ambiental</t>
        </is>
      </c>
      <c r="F13" t="inlineStr">
        <is>
          <t>3204056</t>
        </is>
      </c>
      <c r="G13" t="inlineStr">
        <is>
          <t>Servicios tecnológicos para el sistema de información ambiental </t>
        </is>
      </c>
      <c r="H13" t="inlineStr">
        <is>
          <t>320405600</t>
        </is>
      </c>
      <c r="I13" t="inlineStr">
        <is>
          <t>Instrumentos tecnológicos implementados </t>
        </is>
      </c>
      <c r="J13" t="inlineStr">
        <is>
          <t>2024257990001</t>
        </is>
      </c>
      <c r="K13" t="inlineStr">
        <is>
          <t>No</t>
        </is>
      </c>
      <c r="L13" t="inlineStr">
        <is>
          <t>Número</t>
        </is>
      </c>
      <c r="M13">
        <v>100</v>
      </c>
      <c r="N13">
        <v>100</v>
      </c>
      <c r="O13">
        <v>100</v>
      </c>
      <c r="P13">
        <v>100</v>
      </c>
      <c r="Q13">
        <v>100</v>
      </c>
      <c r="R13">
        <v>0</v>
      </c>
      <c r="S13" s="103">
        <v>0</v>
      </c>
      <c r="T13" t="inlineStr">
        <is>
          <t>No se ejecutó en la vigencia</t>
        </is>
      </c>
      <c r="U13" t="inlineStr">
        <is>
          <t xml:space="preserve"> </t>
        </is>
      </c>
      <c r="V13" s="104" t="inlineStr">
        <is>
          <t xml:space="preserve"> </t>
        </is>
      </c>
      <c r="W13" t="inlineStr">
        <is>
          <t>No se encontró ejecución en PIIP</t>
        </is>
      </c>
    </row>
    <row r="14">
      <c r="A14" t="inlineStr">
        <is>
          <t>IP-19</t>
        </is>
      </c>
      <c r="B14" t="inlineStr">
        <is>
          <t>40</t>
        </is>
      </c>
      <c r="C14" t="inlineStr">
        <is>
          <t>Vivienda, ciudad y territorio</t>
        </is>
      </c>
      <c r="D14" t="inlineStr">
        <is>
          <t>4002</t>
        </is>
      </c>
      <c r="E14" t="inlineStr">
        <is>
          <t>Ordenamiento territorial y desarrollo urbano</t>
        </is>
      </c>
      <c r="F14" t="inlineStr">
        <is>
          <t>4002016</t>
        </is>
      </c>
      <c r="G14" t="inlineStr">
        <is>
          <t>Documentos de planeación</t>
        </is>
      </c>
      <c r="H14" t="inlineStr">
        <is>
          <t>400201600</t>
        </is>
      </c>
      <c r="I14" t="inlineStr">
        <is>
          <t>Documentos de planeación elaborados</t>
        </is>
      </c>
      <c r="J14" t="inlineStr">
        <is>
          <t>2024257990002</t>
        </is>
      </c>
      <c r="K14" t="inlineStr">
        <is>
          <t>Si</t>
        </is>
      </c>
      <c r="L14" t="inlineStr">
        <is>
          <t>Número</t>
        </is>
      </c>
      <c r="M14">
        <v>10</v>
      </c>
      <c r="N14">
        <v>2</v>
      </c>
      <c r="O14">
        <v>3</v>
      </c>
      <c r="P14">
        <v>3</v>
      </c>
      <c r="Q14">
        <v>2</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IP-20</t>
        </is>
      </c>
      <c r="B15" t="inlineStr">
        <is>
          <t>40</t>
        </is>
      </c>
      <c r="C15" t="inlineStr">
        <is>
          <t>Vivienda, ciudad y territorio</t>
        </is>
      </c>
      <c r="D15" t="inlineStr">
        <is>
          <t>4002</t>
        </is>
      </c>
      <c r="E15" t="inlineStr">
        <is>
          <t>Ordenamiento territorial y desarrollo urbano</t>
        </is>
      </c>
      <c r="F15" t="inlineStr">
        <is>
          <t>4002040</t>
        </is>
      </c>
      <c r="G15" t="inlineStr">
        <is>
          <t>Servicio de adquisición de predios en zonas de alto riesgo</t>
        </is>
      </c>
      <c r="H15" t="inlineStr">
        <is>
          <t>400204000</t>
        </is>
      </c>
      <c r="I15" t="inlineStr">
        <is>
          <t>Predios adquiridos</t>
        </is>
      </c>
      <c r="J15" t="inlineStr">
        <is>
          <t>2024257990002</t>
        </is>
      </c>
      <c r="K15" t="inlineStr">
        <is>
          <t>Si</t>
        </is>
      </c>
      <c r="L15" t="inlineStr">
        <is>
          <t>Número</t>
        </is>
      </c>
      <c r="M15">
        <v>80</v>
      </c>
      <c r="N15">
        <v>10</v>
      </c>
      <c r="O15">
        <v>20</v>
      </c>
      <c r="P15">
        <v>30</v>
      </c>
      <c r="Q15">
        <v>20</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IP-21</t>
        </is>
      </c>
      <c r="B16" t="inlineStr">
        <is>
          <t>40</t>
        </is>
      </c>
      <c r="C16" t="inlineStr">
        <is>
          <t>Vivienda, ciudad y territorio</t>
        </is>
      </c>
      <c r="D16" t="inlineStr">
        <is>
          <t>4002</t>
        </is>
      </c>
      <c r="E16" t="inlineStr">
        <is>
          <t>Ordenamiento territorial y desarrollo urbano</t>
        </is>
      </c>
      <c r="F16" t="inlineStr">
        <is>
          <t>4002040</t>
        </is>
      </c>
      <c r="G16" t="inlineStr">
        <is>
          <t>Servicio de adquisición de predios en zonas de alto riesgo</t>
        </is>
      </c>
      <c r="H16" t="inlineStr">
        <is>
          <t>400204000</t>
        </is>
      </c>
      <c r="I16" t="inlineStr">
        <is>
          <t>Predios adquiridos</t>
        </is>
      </c>
      <c r="J16" t="inlineStr">
        <is>
          <t>2024257990002</t>
        </is>
      </c>
      <c r="K16" t="inlineStr">
        <is>
          <t>No</t>
        </is>
      </c>
      <c r="L16" t="inlineStr">
        <is>
          <t>Número</t>
        </is>
      </c>
      <c r="M16">
        <v>100</v>
      </c>
      <c r="N16">
        <v>0</v>
      </c>
      <c r="O16">
        <v>0</v>
      </c>
      <c r="P16">
        <v>100</v>
      </c>
      <c r="Q16">
        <v>0</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IP-22</t>
        </is>
      </c>
      <c r="B17" t="inlineStr">
        <is>
          <t>40</t>
        </is>
      </c>
      <c r="C17" t="inlineStr">
        <is>
          <t>Vivienda, ciudad y territorio</t>
        </is>
      </c>
      <c r="D17" t="inlineStr">
        <is>
          <t>4002</t>
        </is>
      </c>
      <c r="E17" t="inlineStr">
        <is>
          <t>Ordenamiento territorial y desarrollo urbano</t>
        </is>
      </c>
      <c r="F17" t="inlineStr">
        <is>
          <t>4002030</t>
        </is>
      </c>
      <c r="G17" t="inlineStr">
        <is>
          <t>Plazas construidas</t>
        </is>
      </c>
      <c r="H17" t="inlineStr">
        <is>
          <t>400203000</t>
        </is>
      </c>
      <c r="I17" t="inlineStr">
        <is>
          <t>Plazas construidas</t>
        </is>
      </c>
      <c r="J17" t="inlineStr">
        <is>
          <t>2024257990002</t>
        </is>
      </c>
      <c r="K17" t="inlineStr">
        <is>
          <t>No</t>
        </is>
      </c>
      <c r="L17" t="inlineStr">
        <is>
          <t>Metros cuadrados</t>
        </is>
      </c>
      <c r="M17">
        <v>4</v>
      </c>
      <c r="N17">
        <v>1</v>
      </c>
      <c r="O17">
        <v>1</v>
      </c>
      <c r="P17">
        <v>1</v>
      </c>
      <c r="Q17">
        <v>1</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IP-23, IP-30</t>
        </is>
      </c>
      <c r="B18" t="inlineStr">
        <is>
          <t>45</t>
        </is>
      </c>
      <c r="C18" t="inlineStr">
        <is>
          <t>Gobierno Territorial</t>
        </is>
      </c>
      <c r="D18" t="inlineStr">
        <is>
          <t>4599</t>
        </is>
      </c>
      <c r="E18" t="inlineStr">
        <is>
          <t>Fortalecimiento a la gestión y dirección de la administración pública territorial</t>
        </is>
      </c>
      <c r="F18" t="inlineStr">
        <is>
          <t>4599005</t>
        </is>
      </c>
      <c r="G18" t="inlineStr">
        <is>
          <t>Documento para la planeación estratégica en TI</t>
        </is>
      </c>
      <c r="H18" t="inlineStr">
        <is>
          <t>459900500</t>
        </is>
      </c>
      <c r="I18" t="inlineStr">
        <is>
          <t xml:space="preserve">Documentos para la planeación estratégica en TI </t>
        </is>
      </c>
      <c r="J18" t="inlineStr">
        <is>
          <t>2024257990003</t>
        </is>
      </c>
      <c r="K18" t="inlineStr">
        <is>
          <t>No</t>
        </is>
      </c>
      <c r="L18" t="inlineStr">
        <is>
          <t>Número</t>
        </is>
      </c>
      <c r="M18">
        <v>200</v>
      </c>
      <c r="N18">
        <v>200</v>
      </c>
      <c r="O18">
        <v>200</v>
      </c>
      <c r="P18">
        <v>200</v>
      </c>
      <c r="Q18">
        <v>200</v>
      </c>
      <c r="R18">
        <v>0.2</v>
      </c>
      <c r="S18" s="103">
        <v>0.001</v>
      </c>
      <c r="T18" t="inlineStr">
        <is>
          <t>Lo ejecutado está por debajo de lo programado en la vigencia</t>
        </is>
      </c>
      <c r="U18" t="inlineStr">
        <is>
          <t xml:space="preserve"> </t>
        </is>
      </c>
      <c r="V18" s="104" t="inlineStr">
        <is>
          <t xml:space="preserve"> </t>
        </is>
      </c>
      <c r="W18" t="inlineStr">
        <is>
          <t>No se encontró ejecución en PIIP</t>
        </is>
      </c>
    </row>
    <row r="19">
      <c r="A19" t="inlineStr">
        <is>
          <t>IP-24</t>
        </is>
      </c>
      <c r="B19" t="inlineStr">
        <is>
          <t>45</t>
        </is>
      </c>
      <c r="C19" t="inlineStr">
        <is>
          <t>Gobierno Territorial</t>
        </is>
      </c>
      <c r="D19" t="inlineStr">
        <is>
          <t>4599</t>
        </is>
      </c>
      <c r="E19" t="inlineStr">
        <is>
          <t>Fortalecimiento a la gestión y dirección de la administración pública territorial</t>
        </is>
      </c>
      <c r="F19" t="inlineStr">
        <is>
          <t>4599025</t>
        </is>
      </c>
      <c r="G19" t="inlineStr">
        <is>
          <t>Servicios de información implementados</t>
        </is>
      </c>
      <c r="H19" t="inlineStr">
        <is>
          <t>459902500</t>
        </is>
      </c>
      <c r="I19" t="inlineStr">
        <is>
          <t>Sistemas de información implementados</t>
        </is>
      </c>
      <c r="J19" t="inlineStr">
        <is>
          <t>2024257990003</t>
        </is>
      </c>
      <c r="K19" t="inlineStr">
        <is>
          <t>No</t>
        </is>
      </c>
      <c r="L19" t="inlineStr">
        <is>
          <t>Número</t>
        </is>
      </c>
      <c r="M19">
        <v>100</v>
      </c>
      <c r="N19">
        <v>100</v>
      </c>
      <c r="O19">
        <v>100</v>
      </c>
      <c r="P19">
        <v>100</v>
      </c>
      <c r="Q19">
        <v>100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IP-25</t>
        </is>
      </c>
      <c r="B20" t="inlineStr">
        <is>
          <t>45</t>
        </is>
      </c>
      <c r="C20" t="inlineStr">
        <is>
          <t>Gobierno Territorial</t>
        </is>
      </c>
      <c r="D20" t="inlineStr">
        <is>
          <t>4599</t>
        </is>
      </c>
      <c r="E20" t="inlineStr">
        <is>
          <t>Fortalecimiento a la gestión y dirección de la administración pública territorial</t>
        </is>
      </c>
      <c r="F20" t="inlineStr">
        <is>
          <t>4599031</t>
        </is>
      </c>
      <c r="G20" t="inlineStr">
        <is>
          <t>Servicio de asistencia técnica</t>
        </is>
      </c>
      <c r="H20" t="inlineStr">
        <is>
          <t>459903100</t>
        </is>
      </c>
      <c r="I20" t="inlineStr">
        <is>
          <t>Entidades, organismos y dependencias asistidos técnicamente</t>
        </is>
      </c>
      <c r="J20" t="inlineStr">
        <is>
          <t>2024257990003</t>
        </is>
      </c>
      <c r="K20" t="inlineStr">
        <is>
          <t>No</t>
        </is>
      </c>
      <c r="L20" t="inlineStr">
        <is>
          <t>Número</t>
        </is>
      </c>
      <c r="M20">
        <v>100</v>
      </c>
      <c r="N20">
        <v>100</v>
      </c>
      <c r="O20">
        <v>100</v>
      </c>
      <c r="P20">
        <v>100</v>
      </c>
      <c r="Q20">
        <v>100</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IP-26</t>
        </is>
      </c>
      <c r="B21" t="inlineStr">
        <is>
          <t>45</t>
        </is>
      </c>
      <c r="C21" t="inlineStr">
        <is>
          <t>Gobierno Territorial</t>
        </is>
      </c>
      <c r="D21" t="inlineStr">
        <is>
          <t>4599</t>
        </is>
      </c>
      <c r="E21" t="inlineStr">
        <is>
          <t>Fortalecimiento a la gestión y dirección de la administración pública territorial</t>
        </is>
      </c>
      <c r="F21" t="inlineStr">
        <is>
          <t>4599032</t>
        </is>
      </c>
      <c r="G21" t="inlineStr">
        <is>
          <t>Documentos de política</t>
        </is>
      </c>
      <c r="H21" t="inlineStr">
        <is>
          <t>459903200</t>
        </is>
      </c>
      <c r="I21" t="inlineStr">
        <is>
          <t>Documentos de política elaborados</t>
        </is>
      </c>
      <c r="J21" t="inlineStr">
        <is>
          <t>2024257990003</t>
        </is>
      </c>
      <c r="K21" t="inlineStr">
        <is>
          <t>No</t>
        </is>
      </c>
      <c r="L21" t="inlineStr">
        <is>
          <t>Número</t>
        </is>
      </c>
      <c r="M21">
        <v>16</v>
      </c>
      <c r="N21">
        <v>4</v>
      </c>
      <c r="O21">
        <v>4</v>
      </c>
      <c r="P21">
        <v>4</v>
      </c>
      <c r="Q21">
        <v>4</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IP-27</t>
        </is>
      </c>
      <c r="B22" t="inlineStr">
        <is>
          <t>45</t>
        </is>
      </c>
      <c r="C22" t="inlineStr">
        <is>
          <t>Gobierno Territorial</t>
        </is>
      </c>
      <c r="D22" t="inlineStr">
        <is>
          <t>4599</t>
        </is>
      </c>
      <c r="E22" t="inlineStr">
        <is>
          <t>Fortalecimiento a la gestión y dirección de la administración pública territorial</t>
        </is>
      </c>
      <c r="F22" t="inlineStr">
        <is>
          <t>4599023</t>
        </is>
      </c>
      <c r="G22" t="inlineStr">
        <is>
          <t>Servicio de Implementación Sistemas de Gestión</t>
        </is>
      </c>
      <c r="H22" t="inlineStr">
        <is>
          <t>459902300</t>
        </is>
      </c>
      <c r="I22" t="inlineStr">
        <is>
          <t>Sistema de Gestión implementado</t>
        </is>
      </c>
      <c r="J22" t="inlineStr">
        <is>
          <t>2024257990003</t>
        </is>
      </c>
      <c r="K22" t="inlineStr">
        <is>
          <t>Si</t>
        </is>
      </c>
      <c r="L22" t="inlineStr">
        <is>
          <t>Número</t>
        </is>
      </c>
      <c r="M22">
        <v>1</v>
      </c>
      <c r="N22">
        <v>0.2</v>
      </c>
      <c r="O22">
        <v>0.3</v>
      </c>
      <c r="P22">
        <v>0.3</v>
      </c>
      <c r="Q22">
        <v>0.2</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IP-28, IP-29</t>
        </is>
      </c>
      <c r="B23" t="inlineStr">
        <is>
          <t>45</t>
        </is>
      </c>
      <c r="C23" t="inlineStr">
        <is>
          <t>Gobierno Territorial</t>
        </is>
      </c>
      <c r="D23" t="inlineStr">
        <is>
          <t>4599</t>
        </is>
      </c>
      <c r="E23" t="inlineStr">
        <is>
          <t>Fortalecimiento a la gestión y dirección de la administración pública territorial</t>
        </is>
      </c>
      <c r="F23" t="inlineStr">
        <is>
          <t>4599033</t>
        </is>
      </c>
      <c r="G23" t="inlineStr">
        <is>
          <t>Servicio de información para el registro administrativo de SISBEN</t>
        </is>
      </c>
      <c r="H23" t="inlineStr">
        <is>
          <t>459903300</t>
        </is>
      </c>
      <c r="I23" t="inlineStr">
        <is>
          <t>Hogares que realizaron la encuesta</t>
        </is>
      </c>
      <c r="J23" t="inlineStr">
        <is>
          <t>2024257990003</t>
        </is>
      </c>
      <c r="K23" t="inlineStr">
        <is>
          <t>No</t>
        </is>
      </c>
      <c r="L23" t="inlineStr">
        <is>
          <t>Número</t>
        </is>
      </c>
      <c r="M23">
        <v>101</v>
      </c>
      <c r="N23">
        <v>101</v>
      </c>
      <c r="O23">
        <v>101</v>
      </c>
      <c r="P23">
        <v>101</v>
      </c>
      <c r="Q23">
        <v>101</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IP-31</t>
        </is>
      </c>
      <c r="B24" t="inlineStr">
        <is>
          <t>40</t>
        </is>
      </c>
      <c r="C24" t="inlineStr">
        <is>
          <t>Vivienda, ciudad y territorio</t>
        </is>
      </c>
      <c r="D24" t="inlineStr">
        <is>
          <t>4002</t>
        </is>
      </c>
      <c r="E24" t="inlineStr">
        <is>
          <t>Ordenamiento territorial y desarrollo urbano</t>
        </is>
      </c>
      <c r="F24" t="inlineStr">
        <is>
          <t>4002019</t>
        </is>
      </c>
      <c r="G24" t="inlineStr">
        <is>
          <t>Espacio publico construido</t>
        </is>
      </c>
      <c r="H24" t="inlineStr">
        <is>
          <t>400201900</t>
        </is>
      </c>
      <c r="I24" t="inlineStr">
        <is>
          <t>Espacio publico construido</t>
        </is>
      </c>
      <c r="J24" t="inlineStr">
        <is>
          <t>2024257990004</t>
        </is>
      </c>
      <c r="K24" t="inlineStr">
        <is>
          <t>Si</t>
        </is>
      </c>
      <c r="L24" t="inlineStr">
        <is>
          <t>Metros cuadrados</t>
        </is>
      </c>
      <c r="M24">
        <v>1</v>
      </c>
      <c r="N24">
        <v>1</v>
      </c>
      <c r="O24">
        <v>0</v>
      </c>
      <c r="P24">
        <v>0</v>
      </c>
      <c r="Q24">
        <v>0</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IP-32</t>
        </is>
      </c>
      <c r="B25" t="inlineStr">
        <is>
          <t>40</t>
        </is>
      </c>
      <c r="C25" t="inlineStr">
        <is>
          <t>Vivienda, ciudad y territorio</t>
        </is>
      </c>
      <c r="D25" t="inlineStr">
        <is>
          <t>4002</t>
        </is>
      </c>
      <c r="E25" t="inlineStr">
        <is>
          <t>Ordenamiento territorial y desarrollo urbano</t>
        </is>
      </c>
      <c r="F25" t="inlineStr">
        <is>
          <t>4002001</t>
        </is>
      </c>
      <c r="G25" t="inlineStr">
        <is>
          <t>Servicios de asistencia técnica en planificación urbana y ordenamiento territorial</t>
        </is>
      </c>
      <c r="H25" t="inlineStr">
        <is>
          <t>400200100</t>
        </is>
      </c>
      <c r="I25" t="inlineStr">
        <is>
          <t>Entidades territoriales asistidas técnicamente</t>
        </is>
      </c>
      <c r="J25" t="inlineStr">
        <is>
          <t>2024257990004</t>
        </is>
      </c>
      <c r="K25" t="inlineStr">
        <is>
          <t>Si</t>
        </is>
      </c>
      <c r="L25" t="inlineStr">
        <is>
          <t>Número</t>
        </is>
      </c>
      <c r="M25">
        <v>1</v>
      </c>
      <c r="N25">
        <v>0</v>
      </c>
      <c r="O25">
        <v>0.4</v>
      </c>
      <c r="P25">
        <v>0.4</v>
      </c>
      <c r="Q25">
        <v>0.4</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IP-33</t>
        </is>
      </c>
      <c r="B26" t="inlineStr">
        <is>
          <t>40</t>
        </is>
      </c>
      <c r="C26" t="inlineStr">
        <is>
          <t>Vivienda, ciudad y territorio</t>
        </is>
      </c>
      <c r="D26" t="inlineStr">
        <is>
          <t>4002</t>
        </is>
      </c>
      <c r="E26" t="inlineStr">
        <is>
          <t>Ordenamiento territorial y desarrollo urbano</t>
        </is>
      </c>
      <c r="F26" t="inlineStr">
        <is>
          <t>4002016</t>
        </is>
      </c>
      <c r="G26" t="inlineStr">
        <is>
          <t>Documentos de planeación</t>
        </is>
      </c>
      <c r="H26" t="inlineStr">
        <is>
          <t>400201600</t>
        </is>
      </c>
      <c r="I26" t="inlineStr">
        <is>
          <t>Documentos de planeación elaborados</t>
        </is>
      </c>
      <c r="J26" t="inlineStr">
        <is>
          <t>2024257990004</t>
        </is>
      </c>
      <c r="K26" t="inlineStr">
        <is>
          <t>No</t>
        </is>
      </c>
      <c r="L26" t="inlineStr">
        <is>
          <t>Número</t>
        </is>
      </c>
      <c r="M26">
        <v>100</v>
      </c>
      <c r="N26">
        <v>100</v>
      </c>
      <c r="O26">
        <v>100</v>
      </c>
      <c r="P26">
        <v>100</v>
      </c>
      <c r="Q26">
        <v>100</v>
      </c>
      <c r="R26">
        <v>0</v>
      </c>
      <c r="S26" s="103">
        <v>0</v>
      </c>
      <c r="T26" t="inlineStr">
        <is>
          <t>No se ejecutó en la vigencia</t>
        </is>
      </c>
      <c r="U26" t="inlineStr">
        <is>
          <t xml:space="preserve"> </t>
        </is>
      </c>
      <c r="V26" s="104" t="inlineStr">
        <is>
          <t xml:space="preserve"> </t>
        </is>
      </c>
      <c r="W26" t="inlineStr">
        <is>
          <t>No se encontró ejecución en PIIP</t>
        </is>
      </c>
    </row>
    <row r="27">
      <c r="A27" t="inlineStr">
        <is>
          <t>IP-34</t>
        </is>
      </c>
      <c r="B27" t="inlineStr">
        <is>
          <t>40</t>
        </is>
      </c>
      <c r="C27" t="inlineStr">
        <is>
          <t>Vivienda, ciudad y territorio</t>
        </is>
      </c>
      <c r="D27" t="inlineStr">
        <is>
          <t>4002</t>
        </is>
      </c>
      <c r="E27" t="inlineStr">
        <is>
          <t>Ordenamiento territorial y desarrollo urbano</t>
        </is>
      </c>
      <c r="F27" t="inlineStr">
        <is>
          <t>4002016</t>
        </is>
      </c>
      <c r="G27" t="inlineStr">
        <is>
          <t>Documentos de planeación</t>
        </is>
      </c>
      <c r="H27" t="inlineStr">
        <is>
          <t>400201600</t>
        </is>
      </c>
      <c r="I27" t="inlineStr">
        <is>
          <t>Documentos de planeación elaborados</t>
        </is>
      </c>
      <c r="J27" t="inlineStr">
        <is>
          <t>2024257990004</t>
        </is>
      </c>
      <c r="K27" t="inlineStr">
        <is>
          <t>Si</t>
        </is>
      </c>
      <c r="L27" t="inlineStr">
        <is>
          <t>Número</t>
        </is>
      </c>
      <c r="M27">
        <v>30</v>
      </c>
      <c r="N27">
        <v>0</v>
      </c>
      <c r="O27">
        <v>0.2</v>
      </c>
      <c r="P27">
        <v>0.4</v>
      </c>
      <c r="Q27">
        <v>0.4</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IP-35</t>
        </is>
      </c>
      <c r="B28" t="inlineStr">
        <is>
          <t>40</t>
        </is>
      </c>
      <c r="C28" t="inlineStr">
        <is>
          <t>Vivienda, ciudad y territorio</t>
        </is>
      </c>
      <c r="D28" t="inlineStr">
        <is>
          <t>4002</t>
        </is>
      </c>
      <c r="E28" t="inlineStr">
        <is>
          <t>Ordenamiento territorial y desarrollo urbano</t>
        </is>
      </c>
      <c r="F28" t="inlineStr">
        <is>
          <t>4002023</t>
        </is>
      </c>
      <c r="G28" t="inlineStr">
        <is>
          <t>Parques mejorados</t>
        </is>
      </c>
      <c r="H28" t="inlineStr">
        <is>
          <t>400202300</t>
        </is>
      </c>
      <c r="I28" t="inlineStr">
        <is>
          <t>Parques mejorados</t>
        </is>
      </c>
      <c r="J28" t="inlineStr">
        <is>
          <t>2024257990004</t>
        </is>
      </c>
      <c r="K28" t="inlineStr">
        <is>
          <t>Si</t>
        </is>
      </c>
      <c r="L28" t="inlineStr">
        <is>
          <t>Metros cuadrados</t>
        </is>
      </c>
      <c r="M28">
        <v>1</v>
      </c>
      <c r="N28">
        <v>0</v>
      </c>
      <c r="O28">
        <v>0.41</v>
      </c>
      <c r="P28">
        <v>0.12</v>
      </c>
      <c r="Q28">
        <v>0.47</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IP-36</t>
        </is>
      </c>
      <c r="B29" t="inlineStr">
        <is>
          <t>40</t>
        </is>
      </c>
      <c r="C29" t="inlineStr">
        <is>
          <t>Vivienda, ciudad y territorio</t>
        </is>
      </c>
      <c r="D29" t="inlineStr">
        <is>
          <t>4003</t>
        </is>
      </c>
      <c r="E29" t="inlineStr">
        <is>
          <t>Acceso de la población a los servicios de agua potable y saneamiento básico</t>
        </is>
      </c>
      <c r="F29" t="inlineStr">
        <is>
          <t>4003017</t>
        </is>
      </c>
      <c r="G29" t="inlineStr">
        <is>
          <t>Acueductos optimizados</t>
        </is>
      </c>
      <c r="H29" t="inlineStr">
        <is>
          <t>400301700</t>
        </is>
      </c>
      <c r="I29" t="inlineStr">
        <is>
          <t>Acueductos optimizados</t>
        </is>
      </c>
      <c r="J29" t="inlineStr">
        <is>
          <t>2024257990005</t>
        </is>
      </c>
      <c r="K29" t="inlineStr">
        <is>
          <t>No</t>
        </is>
      </c>
      <c r="L29" t="inlineStr">
        <is>
          <t>Número</t>
        </is>
      </c>
      <c r="M29">
        <v>27</v>
      </c>
      <c r="N29">
        <v>6</v>
      </c>
      <c r="O29">
        <v>10</v>
      </c>
      <c r="P29">
        <v>6</v>
      </c>
      <c r="Q29">
        <v>5</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IP-37, IP-38, IP-47, IP-50</t>
        </is>
      </c>
      <c r="B30" t="inlineStr">
        <is>
          <t>40</t>
        </is>
      </c>
      <c r="C30" t="inlineStr">
        <is>
          <t>Vivienda, ciudad y territorio</t>
        </is>
      </c>
      <c r="D30" t="inlineStr">
        <is>
          <t>4003</t>
        </is>
      </c>
      <c r="E30" t="inlineStr">
        <is>
          <t>Acceso de la población a los servicios de agua potable y saneamiento básico</t>
        </is>
      </c>
      <c r="F30" t="inlineStr">
        <is>
          <t>4003009</t>
        </is>
      </c>
      <c r="G30" t="inlineStr">
        <is>
          <t>Servicio de Acueducto</t>
        </is>
      </c>
      <c r="H30" t="inlineStr">
        <is>
          <t>400300900</t>
        </is>
      </c>
      <c r="I30" t="inlineStr">
        <is>
          <t>Usuarios conectados a la red de servicio de acueducto</t>
        </is>
      </c>
      <c r="J30" t="inlineStr">
        <is>
          <t>2024257990005</t>
        </is>
      </c>
      <c r="K30" t="inlineStr">
        <is>
          <t>Si</t>
        </is>
      </c>
      <c r="L30" t="inlineStr">
        <is>
          <t>Número</t>
        </is>
      </c>
      <c r="M30">
        <v>3621</v>
      </c>
      <c r="N30">
        <v>40</v>
      </c>
      <c r="O30">
        <v>150</v>
      </c>
      <c r="P30">
        <v>2020</v>
      </c>
      <c r="Q30">
        <v>1510</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IP-39, IP-40, IP-42</t>
        </is>
      </c>
      <c r="B31" t="inlineStr">
        <is>
          <t>40</t>
        </is>
      </c>
      <c r="C31" t="inlineStr">
        <is>
          <t>Vivienda, ciudad y territorio</t>
        </is>
      </c>
      <c r="D31" t="inlineStr">
        <is>
          <t>4003</t>
        </is>
      </c>
      <c r="E31" t="inlineStr">
        <is>
          <t>Acceso de la población a los servicios de agua potable y saneamiento básico</t>
        </is>
      </c>
      <c r="F31" t="inlineStr">
        <is>
          <t>4003017</t>
        </is>
      </c>
      <c r="G31" t="inlineStr">
        <is>
          <t>Acueductos optimizados</t>
        </is>
      </c>
      <c r="H31" t="inlineStr">
        <is>
          <t>400301700</t>
        </is>
      </c>
      <c r="I31" t="inlineStr">
        <is>
          <t>Acueductos optimizados</t>
        </is>
      </c>
      <c r="J31" t="inlineStr">
        <is>
          <t>2024257990005</t>
        </is>
      </c>
      <c r="K31" t="inlineStr">
        <is>
          <t>Si</t>
        </is>
      </c>
      <c r="L31" t="inlineStr">
        <is>
          <t>Número</t>
        </is>
      </c>
      <c r="M31">
        <v>65</v>
      </c>
      <c r="N31">
        <v>101</v>
      </c>
      <c r="O31">
        <v>33.7</v>
      </c>
      <c r="P31">
        <v>34.3</v>
      </c>
      <c r="Q31">
        <v>34.9</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IP-41</t>
        </is>
      </c>
      <c r="B32" t="inlineStr">
        <is>
          <t>40</t>
        </is>
      </c>
      <c r="C32" t="inlineStr">
        <is>
          <t>Vivienda, ciudad y territorio</t>
        </is>
      </c>
      <c r="D32" t="inlineStr">
        <is>
          <t>4003</t>
        </is>
      </c>
      <c r="E32" t="inlineStr">
        <is>
          <t>Acceso de la población a los servicios de agua potable y saneamiento básico</t>
        </is>
      </c>
      <c r="F32" t="inlineStr">
        <is>
          <t>4003053</t>
        </is>
      </c>
      <c r="G32" t="inlineStr">
        <is>
          <t>Soluciones alternativas para acceso al agua para consumo humano</t>
        </is>
      </c>
      <c r="H32" t="inlineStr">
        <is>
          <t>400305300</t>
        </is>
      </c>
      <c r="I32" t="inlineStr">
        <is>
          <t>Soluciones alternativas para acceso al agua para consumo humano implementadas</t>
        </is>
      </c>
      <c r="J32" t="inlineStr">
        <is>
          <t>2024257990005</t>
        </is>
      </c>
      <c r="K32" t="inlineStr">
        <is>
          <t>No</t>
        </is>
      </c>
      <c r="L32" t="inlineStr">
        <is>
          <t>Número</t>
        </is>
      </c>
      <c r="M32">
        <v>100</v>
      </c>
      <c r="N32">
        <v>100</v>
      </c>
      <c r="O32">
        <v>100</v>
      </c>
      <c r="P32">
        <v>100</v>
      </c>
      <c r="Q32">
        <v>100</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IP-43</t>
        </is>
      </c>
      <c r="B33" t="inlineStr">
        <is>
          <t>40</t>
        </is>
      </c>
      <c r="C33" t="inlineStr">
        <is>
          <t>Vivienda, ciudad y territorio</t>
        </is>
      </c>
      <c r="D33" t="inlineStr">
        <is>
          <t>4003</t>
        </is>
      </c>
      <c r="E33" t="inlineStr">
        <is>
          <t>Acceso de la población a los servicios de agua potable y saneamiento básico</t>
        </is>
      </c>
      <c r="F33" t="inlineStr">
        <is>
          <t>4003030</t>
        </is>
      </c>
      <c r="G33" t="inlineStr">
        <is>
          <t>Servicios de valorización de residuos sólidos</t>
        </is>
      </c>
      <c r="H33" t="inlineStr">
        <is>
          <t>400303000</t>
        </is>
      </c>
      <c r="I33" t="inlineStr">
        <is>
          <t>Residuos valorizados producidos</t>
        </is>
      </c>
      <c r="J33" t="inlineStr">
        <is>
          <t>2024257990005</t>
        </is>
      </c>
      <c r="K33" t="inlineStr">
        <is>
          <t>No</t>
        </is>
      </c>
      <c r="L33" t="inlineStr">
        <is>
          <t>Toneladas</t>
        </is>
      </c>
      <c r="M33">
        <v>1</v>
      </c>
      <c r="N33">
        <v>1</v>
      </c>
      <c r="O33">
        <v>0</v>
      </c>
      <c r="P33">
        <v>0</v>
      </c>
      <c r="Q33">
        <v>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IP-44</t>
        </is>
      </c>
      <c r="B34" t="inlineStr">
        <is>
          <t>40</t>
        </is>
      </c>
      <c r="C34" t="inlineStr">
        <is>
          <t>Vivienda, ciudad y territorio</t>
        </is>
      </c>
      <c r="D34" t="inlineStr">
        <is>
          <t>4003</t>
        </is>
      </c>
      <c r="E34" t="inlineStr">
        <is>
          <t>Acceso de la población a los servicios de agua potable y saneamiento básico</t>
        </is>
      </c>
      <c r="F34" t="inlineStr">
        <is>
          <t>4003016</t>
        </is>
      </c>
      <c r="G34" t="inlineStr">
        <is>
          <t>Acueductos ampliados</t>
        </is>
      </c>
      <c r="H34" t="inlineStr">
        <is>
          <t>400301600</t>
        </is>
      </c>
      <c r="I34" t="inlineStr">
        <is>
          <t>Acueductos ampliados</t>
        </is>
      </c>
      <c r="J34" t="inlineStr">
        <is>
          <t>2024257990005</t>
        </is>
      </c>
      <c r="K34" t="inlineStr">
        <is>
          <t>Si</t>
        </is>
      </c>
      <c r="L34" t="inlineStr">
        <is>
          <t>Número</t>
        </is>
      </c>
      <c r="M34">
        <v>4000</v>
      </c>
      <c r="N34">
        <v>1000</v>
      </c>
      <c r="O34">
        <v>1000</v>
      </c>
      <c r="P34">
        <v>1000</v>
      </c>
      <c r="Q34">
        <v>1000</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IP-45</t>
        </is>
      </c>
      <c r="B35" t="inlineStr">
        <is>
          <t>40</t>
        </is>
      </c>
      <c r="C35" t="inlineStr">
        <is>
          <t>Vivienda, ciudad y territorio</t>
        </is>
      </c>
      <c r="D35" t="inlineStr">
        <is>
          <t>4003</t>
        </is>
      </c>
      <c r="E35" t="inlineStr">
        <is>
          <t>Acceso de la población a los servicios de agua potable y saneamiento básico</t>
        </is>
      </c>
      <c r="F35" t="inlineStr">
        <is>
          <t>4003048</t>
        </is>
      </c>
      <c r="G35" t="inlineStr">
        <is>
          <t>Servicio de suministro de agua</t>
        </is>
      </c>
      <c r="H35" t="inlineStr">
        <is>
          <t>400304800</t>
        </is>
      </c>
      <c r="I35" t="inlineStr">
        <is>
          <t>Agua transportada y entregada</t>
        </is>
      </c>
      <c r="J35" t="inlineStr">
        <is>
          <t>2024257990005</t>
        </is>
      </c>
      <c r="K35" t="inlineStr">
        <is>
          <t>Si</t>
        </is>
      </c>
      <c r="L35" t="inlineStr">
        <is>
          <t>Metros cúbicos</t>
        </is>
      </c>
      <c r="M35">
        <v>1</v>
      </c>
      <c r="N35">
        <v>100</v>
      </c>
      <c r="O35">
        <v>0</v>
      </c>
      <c r="P35">
        <v>0</v>
      </c>
      <c r="Q35">
        <v>0</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IP-46</t>
        </is>
      </c>
      <c r="B36" t="inlineStr">
        <is>
          <t>40</t>
        </is>
      </c>
      <c r="C36" t="inlineStr">
        <is>
          <t>Vivienda, ciudad y territorio</t>
        </is>
      </c>
      <c r="D36" t="inlineStr">
        <is>
          <t>4003</t>
        </is>
      </c>
      <c r="E36" t="inlineStr">
        <is>
          <t>Acceso de la población a los servicios de agua potable y saneamiento básico</t>
        </is>
      </c>
      <c r="F36" t="inlineStr">
        <is>
          <t>4003009</t>
        </is>
      </c>
      <c r="G36" t="inlineStr">
        <is>
          <t>Servicio de Acueducto</t>
        </is>
      </c>
      <c r="H36" t="inlineStr">
        <is>
          <t>400300900</t>
        </is>
      </c>
      <c r="I36" t="inlineStr">
        <is>
          <t>Usuarios conectados a la red de servicio de acueducto</t>
        </is>
      </c>
      <c r="J36" t="inlineStr">
        <is>
          <t>2024257990005</t>
        </is>
      </c>
      <c r="K36" t="inlineStr">
        <is>
          <t>No</t>
        </is>
      </c>
      <c r="L36" t="inlineStr">
        <is>
          <t>Número</t>
        </is>
      </c>
      <c r="M36">
        <v>100</v>
      </c>
      <c r="N36">
        <v>0</v>
      </c>
      <c r="O36">
        <v>100</v>
      </c>
      <c r="P36">
        <v>100</v>
      </c>
      <c r="Q36">
        <v>100</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IP-48</t>
        </is>
      </c>
      <c r="B37" t="inlineStr">
        <is>
          <t>40</t>
        </is>
      </c>
      <c r="C37" t="inlineStr">
        <is>
          <t>Vivienda, ciudad y territorio</t>
        </is>
      </c>
      <c r="D37" t="inlineStr">
        <is>
          <t>4003</t>
        </is>
      </c>
      <c r="E37" t="inlineStr">
        <is>
          <t>Acceso de la población a los servicios de agua potable y saneamiento básico</t>
        </is>
      </c>
      <c r="F37" t="inlineStr">
        <is>
          <t>4003026</t>
        </is>
      </c>
      <c r="G37" t="inlineStr">
        <is>
          <t>Servicios de apoyo financiero para la ejecución de proyectos de acueductos y de manejo de aguas residuales</t>
        </is>
      </c>
      <c r="H37" t="inlineStr">
        <is>
          <t>400302600</t>
        </is>
      </c>
      <c r="I37" t="inlineStr">
        <is>
          <t>Proyectos de acueducto y de manejo de aguas residuales en área rural financiados</t>
        </is>
      </c>
      <c r="J37" t="inlineStr">
        <is>
          <t>2024257990005</t>
        </is>
      </c>
      <c r="K37" t="inlineStr">
        <is>
          <t>No</t>
        </is>
      </c>
      <c r="L37" t="inlineStr">
        <is>
          <t>Número</t>
        </is>
      </c>
      <c r="M37">
        <v>0</v>
      </c>
      <c r="N37">
        <v>0</v>
      </c>
      <c r="O37">
        <v>100</v>
      </c>
      <c r="P37">
        <v>100</v>
      </c>
      <c r="Q37">
        <v>100</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IP-49</t>
        </is>
      </c>
      <c r="B38" t="inlineStr">
        <is>
          <t>40</t>
        </is>
      </c>
      <c r="C38" t="inlineStr">
        <is>
          <t>Vivienda, ciudad y territorio</t>
        </is>
      </c>
      <c r="D38" t="inlineStr">
        <is>
          <t>4003</t>
        </is>
      </c>
      <c r="E38" t="inlineStr">
        <is>
          <t>Acceso de la población a los servicios de agua potable y saneamiento básico</t>
        </is>
      </c>
      <c r="F38" t="inlineStr">
        <is>
          <t>4003020</t>
        </is>
      </c>
      <c r="G38" t="inlineStr">
        <is>
          <t>Alcantarillados optimizados</t>
        </is>
      </c>
      <c r="H38" t="inlineStr">
        <is>
          <t>400302000</t>
        </is>
      </c>
      <c r="I38" t="inlineStr">
        <is>
          <t>Alcantarillados optimizados</t>
        </is>
      </c>
      <c r="J38" t="inlineStr">
        <is>
          <t>2024257990005</t>
        </is>
      </c>
      <c r="K38" t="inlineStr">
        <is>
          <t>No</t>
        </is>
      </c>
      <c r="L38" t="inlineStr">
        <is>
          <t>Número</t>
        </is>
      </c>
      <c r="M38">
        <v>100</v>
      </c>
      <c r="N38">
        <v>100</v>
      </c>
      <c r="O38">
        <v>100</v>
      </c>
      <c r="P38">
        <v>100</v>
      </c>
      <c r="Q38">
        <v>100</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IP-51</t>
        </is>
      </c>
      <c r="B39" t="inlineStr">
        <is>
          <t>40</t>
        </is>
      </c>
      <c r="C39" t="inlineStr">
        <is>
          <t>Vivienda, ciudad y territorio</t>
        </is>
      </c>
      <c r="D39" t="inlineStr">
        <is>
          <t>4003</t>
        </is>
      </c>
      <c r="E39" t="inlineStr">
        <is>
          <t>Acceso de la población a los servicios de agua potable y saneamiento básico</t>
        </is>
      </c>
      <c r="F39" t="inlineStr">
        <is>
          <t>4003008</t>
        </is>
      </c>
      <c r="G39" t="inlineStr">
        <is>
          <t>Servicio de apoyo financiero a los planes, programas y proyectos de Agua Potable y Saneamiento Básico</t>
        </is>
      </c>
      <c r="H39" t="inlineStr">
        <is>
          <t>400300800</t>
        </is>
      </c>
      <c r="I39" t="inlineStr">
        <is>
          <t>Proyectos de acueducto, alcantarillado y aseo apoyados financieramente</t>
        </is>
      </c>
      <c r="J39" t="inlineStr">
        <is>
          <t>2024257990005</t>
        </is>
      </c>
      <c r="K39" t="inlineStr">
        <is>
          <t>No</t>
        </is>
      </c>
      <c r="L39" t="inlineStr">
        <is>
          <t>Número</t>
        </is>
      </c>
      <c r="M39">
        <v>100</v>
      </c>
      <c r="N39">
        <v>100</v>
      </c>
      <c r="O39">
        <v>100</v>
      </c>
      <c r="P39">
        <v>100</v>
      </c>
      <c r="Q39">
        <v>100</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IP-52</t>
        </is>
      </c>
      <c r="B40" t="inlineStr">
        <is>
          <t>40</t>
        </is>
      </c>
      <c r="C40" t="inlineStr">
        <is>
          <t>Vivienda, ciudad y territorio</t>
        </is>
      </c>
      <c r="D40" t="inlineStr">
        <is>
          <t>4003</t>
        </is>
      </c>
      <c r="E40" t="inlineStr">
        <is>
          <t>Acceso de la población a los servicios de agua potable y saneamiento básico</t>
        </is>
      </c>
      <c r="F40" t="inlineStr">
        <is>
          <t>4003047</t>
        </is>
      </c>
      <c r="G40" t="inlineStr">
        <is>
          <t>Servicio de apoyo financiero para subsidios al consumo en los servicios públicos domiciliarios</t>
        </is>
      </c>
      <c r="H40" t="inlineStr">
        <is>
          <t>400304700</t>
        </is>
      </c>
      <c r="I40" t="inlineStr">
        <is>
          <t>Usuarios beneficiados con subsidios al consumo</t>
        </is>
      </c>
      <c r="J40" t="inlineStr">
        <is>
          <t>2024257990005</t>
        </is>
      </c>
      <c r="K40" t="inlineStr">
        <is>
          <t>No</t>
        </is>
      </c>
      <c r="L40" t="inlineStr">
        <is>
          <t>Número</t>
        </is>
      </c>
      <c r="M40">
        <v>100</v>
      </c>
      <c r="N40">
        <v>100</v>
      </c>
      <c r="O40">
        <v>100</v>
      </c>
      <c r="P40">
        <v>100</v>
      </c>
      <c r="Q40">
        <v>100</v>
      </c>
      <c r="R40">
        <v>19200</v>
      </c>
      <c r="S40" s="103">
        <v>192</v>
      </c>
      <c r="T40" t="inlineStr">
        <is>
          <t>Hubo ejecución por encima de lo programado en SisPT</t>
        </is>
      </c>
      <c r="U40">
        <v>13415</v>
      </c>
      <c r="V40" s="104">
        <v>134.15</v>
      </c>
      <c r="W40" t="inlineStr">
        <is>
          <t>Hubo ejecución por encima de lo programado en SisPT</t>
        </is>
      </c>
    </row>
    <row r="41">
      <c r="A41" t="inlineStr">
        <is>
          <t>IP-53</t>
        </is>
      </c>
      <c r="B41" t="inlineStr">
        <is>
          <t>40</t>
        </is>
      </c>
      <c r="C41" t="inlineStr">
        <is>
          <t>Vivienda, ciudad y territorio</t>
        </is>
      </c>
      <c r="D41" t="inlineStr">
        <is>
          <t>4003</t>
        </is>
      </c>
      <c r="E41" t="inlineStr">
        <is>
          <t>Acceso de la población a los servicios de agua potable y saneamiento básico</t>
        </is>
      </c>
      <c r="F41" t="inlineStr">
        <is>
          <t>4003040</t>
        </is>
      </c>
      <c r="G41" t="inlineStr">
        <is>
          <t>Servicio de apoyo financiero en tratamiento de aguas residuales</t>
        </is>
      </c>
      <c r="H41" t="inlineStr">
        <is>
          <t>400304000</t>
        </is>
      </c>
      <c r="I41" t="inlineStr">
        <is>
          <t>Proyectos apoyados financieramente</t>
        </is>
      </c>
      <c r="J41" t="inlineStr">
        <is>
          <t>2024257990005</t>
        </is>
      </c>
      <c r="K41" t="inlineStr">
        <is>
          <t>Si</t>
        </is>
      </c>
      <c r="L41" t="inlineStr">
        <is>
          <t>Número</t>
        </is>
      </c>
      <c r="M41">
        <v>40</v>
      </c>
      <c r="N41">
        <v>4</v>
      </c>
      <c r="O41">
        <v>36</v>
      </c>
      <c r="P41">
        <v>0</v>
      </c>
      <c r="Q41">
        <v>0</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IP-54, IP-55</t>
        </is>
      </c>
      <c r="B42" t="inlineStr">
        <is>
          <t>40</t>
        </is>
      </c>
      <c r="C42" t="inlineStr">
        <is>
          <t>Vivienda, ciudad y territorio</t>
        </is>
      </c>
      <c r="D42" t="inlineStr">
        <is>
          <t>4003</t>
        </is>
      </c>
      <c r="E42" t="inlineStr">
        <is>
          <t>Acceso de la población a los servicios de agua potable y saneamiento básico</t>
        </is>
      </c>
      <c r="F42" t="inlineStr">
        <is>
          <t>4003020</t>
        </is>
      </c>
      <c r="G42" t="inlineStr">
        <is>
          <t>Alcantarillados optimizados</t>
        </is>
      </c>
      <c r="H42" t="inlineStr">
        <is>
          <t>400302000</t>
        </is>
      </c>
      <c r="I42" t="inlineStr">
        <is>
          <t>Alcantarillados optimizados</t>
        </is>
      </c>
      <c r="J42" t="inlineStr">
        <is>
          <t>2024257990005</t>
        </is>
      </c>
      <c r="K42" t="inlineStr">
        <is>
          <t>Si</t>
        </is>
      </c>
      <c r="L42" t="inlineStr">
        <is>
          <t>Número</t>
        </is>
      </c>
      <c r="M42">
        <v>16.86</v>
      </c>
      <c r="N42">
        <v>5</v>
      </c>
      <c r="O42">
        <v>5.5</v>
      </c>
      <c r="P42">
        <v>3.5</v>
      </c>
      <c r="Q42">
        <v>2.5</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IP-56, IP-57</t>
        </is>
      </c>
      <c r="B43" t="inlineStr">
        <is>
          <t>40</t>
        </is>
      </c>
      <c r="C43" t="inlineStr">
        <is>
          <t>Vivienda, ciudad y territorio</t>
        </is>
      </c>
      <c r="D43" t="inlineStr">
        <is>
          <t>4003</t>
        </is>
      </c>
      <c r="E43" t="inlineStr">
        <is>
          <t>Acceso de la población a los servicios de agua potable y saneamiento básico</t>
        </is>
      </c>
      <c r="F43" t="inlineStr">
        <is>
          <t>4003022</t>
        </is>
      </c>
      <c r="G43" t="inlineStr">
        <is>
          <t>Servicios de implementación del Plan de Gestión Integral de Residuos Solidos PGIRS</t>
        </is>
      </c>
      <c r="H43" t="inlineStr">
        <is>
          <t>400302200</t>
        </is>
      </c>
      <c r="I43" t="inlineStr">
        <is>
          <t>Plan de Gestión Integral de Residuos Solidos implementado</t>
        </is>
      </c>
      <c r="J43" t="inlineStr">
        <is>
          <t>2024257990005</t>
        </is>
      </c>
      <c r="K43" t="inlineStr">
        <is>
          <t>Si</t>
        </is>
      </c>
      <c r="L43" t="inlineStr">
        <is>
          <t>Número</t>
        </is>
      </c>
      <c r="M43">
        <v>43</v>
      </c>
      <c r="N43">
        <v>9</v>
      </c>
      <c r="O43">
        <v>13</v>
      </c>
      <c r="P43">
        <v>11</v>
      </c>
      <c r="Q43">
        <v>10</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IP-58, IP-59</t>
        </is>
      </c>
      <c r="B44" t="inlineStr">
        <is>
          <t>21</t>
        </is>
      </c>
      <c r="C44" t="inlineStr">
        <is>
          <t>Minas y Energía</t>
        </is>
      </c>
      <c r="D44" t="inlineStr">
        <is>
          <t>2102</t>
        </is>
      </c>
      <c r="E44" t="inlineStr">
        <is>
          <t>Consolidación productiva del sector de energía eléctrica</t>
        </is>
      </c>
      <c r="F44" t="inlineStr">
        <is>
          <t>2102010</t>
        </is>
      </c>
      <c r="G44" t="inlineStr">
        <is>
          <t>Redes de alumbrado público ampliadas</t>
        </is>
      </c>
      <c r="H44" t="inlineStr">
        <is>
          <t>210201000</t>
        </is>
      </c>
      <c r="I44" t="inlineStr">
        <is>
          <t>Redes de alumbrado público ampliadas</t>
        </is>
      </c>
      <c r="J44" t="inlineStr">
        <is>
          <t>2024257990006</t>
        </is>
      </c>
      <c r="K44" t="inlineStr">
        <is>
          <t>Si</t>
        </is>
      </c>
      <c r="L44" t="inlineStr">
        <is>
          <t xml:space="preserve">Metros </t>
        </is>
      </c>
      <c r="M44">
        <v>5015</v>
      </c>
      <c r="N44">
        <v>5002</v>
      </c>
      <c r="O44">
        <v>7</v>
      </c>
      <c r="P44">
        <v>4</v>
      </c>
      <c r="Q44">
        <v>2</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IP-60</t>
        </is>
      </c>
      <c r="B45" t="inlineStr">
        <is>
          <t>21</t>
        </is>
      </c>
      <c r="C45" t="inlineStr">
        <is>
          <t>Minas y Energía</t>
        </is>
      </c>
      <c r="D45" t="inlineStr">
        <is>
          <t>2102</t>
        </is>
      </c>
      <c r="E45" t="inlineStr">
        <is>
          <t>Consolidación productiva del sector de energía eléctrica</t>
        </is>
      </c>
      <c r="F45" t="inlineStr">
        <is>
          <t>2102011</t>
        </is>
      </c>
      <c r="G45" t="inlineStr">
        <is>
          <t>Redes de alumbrado público con mantenimiento</t>
        </is>
      </c>
      <c r="H45" t="inlineStr">
        <is>
          <t>210201100</t>
        </is>
      </c>
      <c r="I45" t="inlineStr">
        <is>
          <t>Redes de alumbrado público con mantenimiento</t>
        </is>
      </c>
      <c r="J45" t="inlineStr">
        <is>
          <t>2024257990006</t>
        </is>
      </c>
      <c r="K45" t="inlineStr">
        <is>
          <t>No</t>
        </is>
      </c>
      <c r="L45" t="inlineStr">
        <is>
          <t xml:space="preserve">Metros </t>
        </is>
      </c>
      <c r="M45">
        <v>100</v>
      </c>
      <c r="N45">
        <v>100</v>
      </c>
      <c r="O45">
        <v>100</v>
      </c>
      <c r="P45">
        <v>100</v>
      </c>
      <c r="Q45">
        <v>100</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IP-61</t>
        </is>
      </c>
      <c r="B46" t="inlineStr">
        <is>
          <t>21</t>
        </is>
      </c>
      <c r="C46" t="inlineStr">
        <is>
          <t>Minas y Energía</t>
        </is>
      </c>
      <c r="D46" t="inlineStr">
        <is>
          <t>2102</t>
        </is>
      </c>
      <c r="E46" t="inlineStr">
        <is>
          <t>Consolidación productiva del sector de energía eléctrica</t>
        </is>
      </c>
      <c r="F46" t="inlineStr">
        <is>
          <t>2102069</t>
        </is>
      </c>
      <c r="G46" t="inlineStr">
        <is>
          <t>Servicio de alumbrado público</t>
        </is>
      </c>
      <c r="H46" t="inlineStr">
        <is>
          <t>210206900</t>
        </is>
      </c>
      <c r="I46" t="inlineStr">
        <is>
          <t>Lámparas de alumbrado público en funcionamiento</t>
        </is>
      </c>
      <c r="J46" t="inlineStr">
        <is>
          <t>2024257990006</t>
        </is>
      </c>
      <c r="K46" t="inlineStr">
        <is>
          <t>No</t>
        </is>
      </c>
      <c r="L46" t="inlineStr">
        <is>
          <t>Número</t>
        </is>
      </c>
      <c r="M46">
        <v>100</v>
      </c>
      <c r="N46">
        <v>100</v>
      </c>
      <c r="O46">
        <v>100</v>
      </c>
      <c r="P46">
        <v>100</v>
      </c>
      <c r="Q46">
        <v>100</v>
      </c>
      <c r="R46">
        <v>0.7</v>
      </c>
      <c r="S46" s="103">
        <v>0.007</v>
      </c>
      <c r="T46" t="inlineStr">
        <is>
          <t>Lo ejecutado está por debajo de lo programado en la vigencia</t>
        </is>
      </c>
      <c r="U46">
        <v>0.3</v>
      </c>
      <c r="V46" s="104">
        <v>0.003</v>
      </c>
      <c r="W46" t="inlineStr">
        <is>
          <t>Lo ejecutado está por debajo de lo programado en la vigencia</t>
        </is>
      </c>
    </row>
    <row r="47">
      <c r="A47" t="inlineStr">
        <is>
          <t>IP-62</t>
        </is>
      </c>
      <c r="B47" t="inlineStr">
        <is>
          <t>21</t>
        </is>
      </c>
      <c r="C47" t="inlineStr">
        <is>
          <t>Minas y Energía</t>
        </is>
      </c>
      <c r="D47" t="inlineStr">
        <is>
          <t>2102</t>
        </is>
      </c>
      <c r="E47" t="inlineStr">
        <is>
          <t>Consolidación productiva del sector de energía eléctrica</t>
        </is>
      </c>
      <c r="F47" t="inlineStr">
        <is>
          <t>2102069</t>
        </is>
      </c>
      <c r="G47" t="inlineStr">
        <is>
          <t>Servicio de alumbrado público</t>
        </is>
      </c>
      <c r="H47" t="inlineStr">
        <is>
          <t>210206900</t>
        </is>
      </c>
      <c r="I47" t="inlineStr">
        <is>
          <t>Lámparas de alumbrado público en funcionamiento</t>
        </is>
      </c>
      <c r="J47" t="inlineStr">
        <is>
          <t>2024257990006</t>
        </is>
      </c>
      <c r="K47" t="inlineStr">
        <is>
          <t>Si</t>
        </is>
      </c>
      <c r="L47" t="inlineStr">
        <is>
          <t>Número</t>
        </is>
      </c>
      <c r="M47">
        <v>1</v>
      </c>
      <c r="N47">
        <v>0</v>
      </c>
      <c r="O47">
        <v>0</v>
      </c>
      <c r="P47">
        <v>100</v>
      </c>
      <c r="Q47">
        <v>0</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IP-63</t>
        </is>
      </c>
      <c r="B48" t="inlineStr">
        <is>
          <t>21</t>
        </is>
      </c>
      <c r="C48" t="inlineStr">
        <is>
          <t>Minas y Energía</t>
        </is>
      </c>
      <c r="D48" t="inlineStr">
        <is>
          <t>2102</t>
        </is>
      </c>
      <c r="E48" t="inlineStr">
        <is>
          <t>Consolidación productiva del sector de energía eléctrica</t>
        </is>
      </c>
      <c r="F48" t="inlineStr">
        <is>
          <t>2102071</t>
        </is>
      </c>
      <c r="G48" t="inlineStr">
        <is>
          <t>Servicio de asistencia técnica</t>
        </is>
      </c>
      <c r="H48" t="inlineStr">
        <is>
          <t>210207100</t>
        </is>
      </c>
      <c r="I48" t="inlineStr">
        <is>
          <t>Asistencias Técnicas Realizadas</t>
        </is>
      </c>
      <c r="J48" t="inlineStr">
        <is>
          <t>2024257990006</t>
        </is>
      </c>
      <c r="K48" t="inlineStr">
        <is>
          <t>Si</t>
        </is>
      </c>
      <c r="L48" t="inlineStr">
        <is>
          <t>Número</t>
        </is>
      </c>
      <c r="M48">
        <v>570</v>
      </c>
      <c r="N48">
        <v>150</v>
      </c>
      <c r="O48">
        <v>30</v>
      </c>
      <c r="P48">
        <v>0</v>
      </c>
      <c r="Q48">
        <v>0</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IP-64</t>
        </is>
      </c>
      <c r="B49" t="inlineStr">
        <is>
          <t>24</t>
        </is>
      </c>
      <c r="C49" t="inlineStr">
        <is>
          <t>Transporte</t>
        </is>
      </c>
      <c r="D49" t="inlineStr">
        <is>
          <t>2402</t>
        </is>
      </c>
      <c r="E49" t="inlineStr">
        <is>
          <t>Infraestructura red vial regional</t>
        </is>
      </c>
      <c r="F49" t="inlineStr">
        <is>
          <t>2402042</t>
        </is>
      </c>
      <c r="G49" t="inlineStr">
        <is>
          <t>Placa huella construida</t>
        </is>
      </c>
      <c r="H49" t="inlineStr">
        <is>
          <t>240204200</t>
        </is>
      </c>
      <c r="I49" t="inlineStr">
        <is>
          <t>Vía terciaria mejorada</t>
        </is>
      </c>
      <c r="J49" t="inlineStr">
        <is>
          <t>2024257990007</t>
        </is>
      </c>
      <c r="K49" t="inlineStr">
        <is>
          <t>Si</t>
        </is>
      </c>
      <c r="L49" t="inlineStr">
        <is>
          <t>Metros lineales</t>
        </is>
      </c>
      <c r="M49">
        <v>3402</v>
      </c>
      <c r="N49">
        <v>1500</v>
      </c>
      <c r="O49">
        <v>500</v>
      </c>
      <c r="P49">
        <v>0</v>
      </c>
      <c r="Q49">
        <v>0</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IP-65</t>
        </is>
      </c>
      <c r="B50" t="inlineStr">
        <is>
          <t>24</t>
        </is>
      </c>
      <c r="C50" t="inlineStr">
        <is>
          <t>Transporte</t>
        </is>
      </c>
      <c r="D50" t="inlineStr">
        <is>
          <t>2402</t>
        </is>
      </c>
      <c r="E50" t="inlineStr">
        <is>
          <t>Infraestructura red vial regional</t>
        </is>
      </c>
      <c r="F50" t="inlineStr">
        <is>
          <t>2402112</t>
        </is>
      </c>
      <c r="G50" t="inlineStr">
        <is>
          <t>Vía terciaria con mantenimiento periódico o rutinario</t>
        </is>
      </c>
      <c r="H50" t="inlineStr">
        <is>
          <t>240211200</t>
        </is>
      </c>
      <c r="I50" t="inlineStr">
        <is>
          <t xml:space="preserve">Vía terciaria con mantenimiento </t>
        </is>
      </c>
      <c r="J50" t="inlineStr">
        <is>
          <t>2024257990007</t>
        </is>
      </c>
      <c r="K50" t="inlineStr">
        <is>
          <t>Si</t>
        </is>
      </c>
      <c r="L50" t="inlineStr">
        <is>
          <t>Kilómetros</t>
        </is>
      </c>
      <c r="M50">
        <v>113</v>
      </c>
      <c r="N50">
        <v>113</v>
      </c>
      <c r="O50">
        <v>113</v>
      </c>
      <c r="P50">
        <v>113</v>
      </c>
      <c r="Q50">
        <v>113</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IP-66</t>
        </is>
      </c>
      <c r="B51" t="inlineStr">
        <is>
          <t>24</t>
        </is>
      </c>
      <c r="C51" t="inlineStr">
        <is>
          <t>Transporte</t>
        </is>
      </c>
      <c r="D51" t="inlineStr">
        <is>
          <t>2402</t>
        </is>
      </c>
      <c r="E51" t="inlineStr">
        <is>
          <t>Infraestructura red vial regional</t>
        </is>
      </c>
      <c r="F51" t="inlineStr">
        <is>
          <t>2402115</t>
        </is>
      </c>
      <c r="G51" t="inlineStr">
        <is>
          <t>Vía urbana con mantenimiento periódico o rutinario</t>
        </is>
      </c>
      <c r="H51" t="inlineStr">
        <is>
          <t>240211500</t>
        </is>
      </c>
      <c r="I51" t="inlineStr">
        <is>
          <t xml:space="preserve">Vía urbana con mantenimiento  </t>
        </is>
      </c>
      <c r="J51" t="inlineStr">
        <is>
          <t>2024257990007</t>
        </is>
      </c>
      <c r="K51" t="inlineStr">
        <is>
          <t>Si</t>
        </is>
      </c>
      <c r="L51" t="inlineStr">
        <is>
          <t>Kilómetros</t>
        </is>
      </c>
      <c r="M51">
        <v>16.5</v>
      </c>
      <c r="N51">
        <v>1000</v>
      </c>
      <c r="O51">
        <v>5500</v>
      </c>
      <c r="P51">
        <v>8000</v>
      </c>
      <c r="Q51">
        <v>2000</v>
      </c>
      <c r="R51" t="inlineStr">
        <is>
          <t xml:space="preserve"> </t>
        </is>
      </c>
      <c r="S51" s="103" t="inlineStr">
        <is>
          <t xml:space="preserve"> </t>
        </is>
      </c>
      <c r="T51" t="inlineStr">
        <is>
          <t>No se encontró ejecución en PIIP</t>
        </is>
      </c>
      <c r="U51" t="inlineStr">
        <is>
          <t xml:space="preserve"> </t>
        </is>
      </c>
      <c r="V51" s="104" t="inlineStr">
        <is>
          <t xml:space="preserve"> </t>
        </is>
      </c>
      <c r="W51" t="inlineStr">
        <is>
          <t>No se encontró ejecución en PIIP</t>
        </is>
      </c>
    </row>
    <row r="52">
      <c r="A52" t="inlineStr">
        <is>
          <t>IP-67</t>
        </is>
      </c>
      <c r="B52" t="inlineStr">
        <is>
          <t>24</t>
        </is>
      </c>
      <c r="C52" t="inlineStr">
        <is>
          <t>Transporte</t>
        </is>
      </c>
      <c r="D52" t="inlineStr">
        <is>
          <t>2402</t>
        </is>
      </c>
      <c r="E52" t="inlineStr">
        <is>
          <t>Infraestructura red vial regional</t>
        </is>
      </c>
      <c r="F52" t="inlineStr">
        <is>
          <t>2402113</t>
        </is>
      </c>
      <c r="G52" t="inlineStr">
        <is>
          <t>Vía urbana construida</t>
        </is>
      </c>
      <c r="H52" t="inlineStr">
        <is>
          <t>240211300</t>
        </is>
      </c>
      <c r="I52" t="inlineStr">
        <is>
          <t xml:space="preserve">Vía urbana construida </t>
        </is>
      </c>
      <c r="J52" t="inlineStr">
        <is>
          <t>2024257990007</t>
        </is>
      </c>
      <c r="K52" t="inlineStr">
        <is>
          <t>Si</t>
        </is>
      </c>
      <c r="L52" t="inlineStr">
        <is>
          <t>Kilómetros</t>
        </is>
      </c>
      <c r="M52">
        <v>1335</v>
      </c>
      <c r="N52">
        <v>0</v>
      </c>
      <c r="O52">
        <v>200</v>
      </c>
      <c r="P52">
        <v>300</v>
      </c>
      <c r="Q52">
        <v>200</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IP-68</t>
        </is>
      </c>
      <c r="B53" t="inlineStr">
        <is>
          <t>24</t>
        </is>
      </c>
      <c r="C53" t="inlineStr">
        <is>
          <t>Transporte</t>
        </is>
      </c>
      <c r="D53" t="inlineStr">
        <is>
          <t>2402</t>
        </is>
      </c>
      <c r="E53" t="inlineStr">
        <is>
          <t>Infraestructura red vial regional</t>
        </is>
      </c>
      <c r="F53" t="inlineStr">
        <is>
          <t>2402041</t>
        </is>
      </c>
      <c r="G53" t="inlineStr">
        <is>
          <t>Vía terciaria mejorada</t>
        </is>
      </c>
      <c r="H53" t="inlineStr">
        <is>
          <t>240204100</t>
        </is>
      </c>
      <c r="I53" t="inlineStr">
        <is>
          <t>Vía terciaria mejorada</t>
        </is>
      </c>
      <c r="J53" t="inlineStr">
        <is>
          <t>2024257990007</t>
        </is>
      </c>
      <c r="K53" t="inlineStr">
        <is>
          <t>Si</t>
        </is>
      </c>
      <c r="L53" t="inlineStr">
        <is>
          <t>Kilómetros</t>
        </is>
      </c>
      <c r="M53">
        <v>1</v>
      </c>
      <c r="N53">
        <v>0</v>
      </c>
      <c r="O53">
        <v>0</v>
      </c>
      <c r="P53">
        <v>1</v>
      </c>
      <c r="Q53">
        <v>1</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IP-69</t>
        </is>
      </c>
      <c r="B54" t="inlineStr">
        <is>
          <t>24</t>
        </is>
      </c>
      <c r="C54" t="inlineStr">
        <is>
          <t>Transporte</t>
        </is>
      </c>
      <c r="D54" t="inlineStr">
        <is>
          <t>2402</t>
        </is>
      </c>
      <c r="E54" t="inlineStr">
        <is>
          <t>Infraestructura red vial regional</t>
        </is>
      </c>
      <c r="F54" t="inlineStr">
        <is>
          <t>2402056</t>
        </is>
      </c>
      <c r="G54" t="inlineStr">
        <is>
          <t>Caminos ancestrales con mantenimiento</t>
        </is>
      </c>
      <c r="H54" t="inlineStr">
        <is>
          <t>240205600</t>
        </is>
      </c>
      <c r="I54" t="inlineStr">
        <is>
          <t xml:space="preserve">Caminos ancestrales con mantenimiento </t>
        </is>
      </c>
      <c r="J54" t="inlineStr">
        <is>
          <t>2024257990007</t>
        </is>
      </c>
      <c r="K54" t="inlineStr">
        <is>
          <t>Si</t>
        </is>
      </c>
      <c r="L54" t="inlineStr">
        <is>
          <t>Kilómetros</t>
        </is>
      </c>
      <c r="M54">
        <v>3</v>
      </c>
      <c r="N54">
        <v>0</v>
      </c>
      <c r="O54">
        <v>0</v>
      </c>
      <c r="P54">
        <v>1</v>
      </c>
      <c r="Q54">
        <v>0</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IP-70</t>
        </is>
      </c>
      <c r="B55" t="inlineStr">
        <is>
          <t>24</t>
        </is>
      </c>
      <c r="C55" t="inlineStr">
        <is>
          <t>Transporte</t>
        </is>
      </c>
      <c r="D55" t="inlineStr">
        <is>
          <t>2402</t>
        </is>
      </c>
      <c r="E55" t="inlineStr">
        <is>
          <t>Infraestructura red vial regional</t>
        </is>
      </c>
      <c r="F55" t="inlineStr">
        <is>
          <t>2402125</t>
        </is>
      </c>
      <c r="G55" t="inlineStr">
        <is>
          <t>Banco de maquinaria dotado</t>
        </is>
      </c>
      <c r="H55" t="inlineStr">
        <is>
          <t>240212500</t>
        </is>
      </c>
      <c r="I55" t="inlineStr">
        <is>
          <t>Maquinaria y equipos adquiridos</t>
        </is>
      </c>
      <c r="J55" t="inlineStr">
        <is>
          <t>2024257990007</t>
        </is>
      </c>
      <c r="K55" t="inlineStr">
        <is>
          <t>Si</t>
        </is>
      </c>
      <c r="L55" t="inlineStr">
        <is>
          <t>Número</t>
        </is>
      </c>
      <c r="M55">
        <v>2</v>
      </c>
      <c r="N55">
        <v>2</v>
      </c>
      <c r="O55">
        <v>1</v>
      </c>
      <c r="P55">
        <v>0</v>
      </c>
      <c r="Q55">
        <v>0</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IP-71, IP-72, IP-75</t>
        </is>
      </c>
      <c r="B56" t="inlineStr">
        <is>
          <t>24</t>
        </is>
      </c>
      <c r="C56" t="inlineStr">
        <is>
          <t>Transporte</t>
        </is>
      </c>
      <c r="D56" t="inlineStr">
        <is>
          <t>2402</t>
        </is>
      </c>
      <c r="E56" t="inlineStr">
        <is>
          <t>Infraestructura red vial regional</t>
        </is>
      </c>
      <c r="F56" t="inlineStr">
        <is>
          <t>2402033</t>
        </is>
      </c>
      <c r="G56" t="inlineStr">
        <is>
          <t>Ciclo infraestructura construida en red vial secundaria</t>
        </is>
      </c>
      <c r="H56" t="inlineStr">
        <is>
          <t>240203300</t>
        </is>
      </c>
      <c r="I56" t="inlineStr">
        <is>
          <t>Ciclo infraestructura de la red secundaria construida</t>
        </is>
      </c>
      <c r="J56" t="inlineStr">
        <is>
          <t>2024257990008</t>
        </is>
      </c>
      <c r="K56" t="inlineStr">
        <is>
          <t>Si</t>
        </is>
      </c>
      <c r="L56" t="inlineStr">
        <is>
          <t>Metros lineales</t>
        </is>
      </c>
      <c r="M56">
        <v>1003</v>
      </c>
      <c r="N56">
        <v>0</v>
      </c>
      <c r="O56">
        <v>441</v>
      </c>
      <c r="P56">
        <v>441.7</v>
      </c>
      <c r="Q56">
        <v>120.3</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IP-73, IP-81</t>
        </is>
      </c>
      <c r="B57" t="inlineStr">
        <is>
          <t>24</t>
        </is>
      </c>
      <c r="C57" t="inlineStr">
        <is>
          <t>Transporte</t>
        </is>
      </c>
      <c r="D57" t="inlineStr">
        <is>
          <t>2402</t>
        </is>
      </c>
      <c r="E57" t="inlineStr">
        <is>
          <t>Infraestructura red vial regional</t>
        </is>
      </c>
      <c r="F57" t="inlineStr">
        <is>
          <t>2402129</t>
        </is>
      </c>
      <c r="G57" t="inlineStr">
        <is>
          <t>Andén de la red urbana mantenido</t>
        </is>
      </c>
      <c r="H57" t="inlineStr">
        <is>
          <t>240212900</t>
        </is>
      </c>
      <c r="I57" t="inlineStr">
        <is>
          <t>Andenes de la red urbana mantenidos</t>
        </is>
      </c>
      <c r="J57" t="inlineStr">
        <is>
          <t>2024257990008</t>
        </is>
      </c>
      <c r="K57" t="inlineStr">
        <is>
          <t>Si</t>
        </is>
      </c>
      <c r="L57" t="inlineStr">
        <is>
          <t xml:space="preserve">Metros </t>
        </is>
      </c>
      <c r="M57">
        <v>2</v>
      </c>
      <c r="N57">
        <v>0</v>
      </c>
      <c r="O57">
        <v>0.33</v>
      </c>
      <c r="P57">
        <v>0.33</v>
      </c>
      <c r="Q57">
        <v>1.33</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IP-74, IP-80</t>
        </is>
      </c>
      <c r="B58" t="inlineStr">
        <is>
          <t>24</t>
        </is>
      </c>
      <c r="C58" t="inlineStr">
        <is>
          <t>Transporte</t>
        </is>
      </c>
      <c r="D58" t="inlineStr">
        <is>
          <t>2402</t>
        </is>
      </c>
      <c r="E58" t="inlineStr">
        <is>
          <t>Infraestructura red vial regional</t>
        </is>
      </c>
      <c r="F58" t="inlineStr">
        <is>
          <t>2402104</t>
        </is>
      </c>
      <c r="G58" t="inlineStr">
        <is>
          <t>Documentos de planeación</t>
        </is>
      </c>
      <c r="H58" t="inlineStr">
        <is>
          <t>240210400</t>
        </is>
      </c>
      <c r="I58" t="inlineStr">
        <is>
          <t>Documentos de planeación realizados</t>
        </is>
      </c>
      <c r="J58" t="inlineStr">
        <is>
          <t>2024257990008</t>
        </is>
      </c>
      <c r="K58" t="inlineStr">
        <is>
          <t>Si</t>
        </is>
      </c>
      <c r="L58" t="inlineStr">
        <is>
          <t>Número</t>
        </is>
      </c>
      <c r="M58">
        <v>3</v>
      </c>
      <c r="N58">
        <v>0.05</v>
      </c>
      <c r="O58">
        <v>1.33</v>
      </c>
      <c r="P58">
        <v>1.33</v>
      </c>
      <c r="Q58">
        <v>1.28</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IP-76</t>
        </is>
      </c>
      <c r="B59" t="inlineStr">
        <is>
          <t>24</t>
        </is>
      </c>
      <c r="C59" t="inlineStr">
        <is>
          <t>Transporte</t>
        </is>
      </c>
      <c r="D59" t="inlineStr">
        <is>
          <t>2402</t>
        </is>
      </c>
      <c r="E59" t="inlineStr">
        <is>
          <t>Infraestructura red vial regional</t>
        </is>
      </c>
      <c r="F59" t="inlineStr">
        <is>
          <t>2402005</t>
        </is>
      </c>
      <c r="G59" t="inlineStr">
        <is>
          <t>Intercambiador construido en vía secundaria nueva</t>
        </is>
      </c>
      <c r="H59" t="inlineStr">
        <is>
          <t>240200500</t>
        </is>
      </c>
      <c r="I59" t="inlineStr">
        <is>
          <t>Intercambiador construido en vía secundaria nueva</t>
        </is>
      </c>
      <c r="J59" t="inlineStr">
        <is>
          <t>2024257990008</t>
        </is>
      </c>
      <c r="K59" t="inlineStr">
        <is>
          <t>Si</t>
        </is>
      </c>
      <c r="L59" t="inlineStr">
        <is>
          <t>Número</t>
        </is>
      </c>
      <c r="M59">
        <v>3</v>
      </c>
      <c r="N59">
        <v>3</v>
      </c>
      <c r="O59">
        <v>0</v>
      </c>
      <c r="P59">
        <v>1</v>
      </c>
      <c r="Q59">
        <v>0</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IP-77</t>
        </is>
      </c>
      <c r="B60" t="inlineStr">
        <is>
          <t>24</t>
        </is>
      </c>
      <c r="C60" t="inlineStr">
        <is>
          <t>Transporte</t>
        </is>
      </c>
      <c r="D60" t="inlineStr">
        <is>
          <t>2402</t>
        </is>
      </c>
      <c r="E60" t="inlineStr">
        <is>
          <t>Infraestructura red vial regional</t>
        </is>
      </c>
      <c r="F60" t="inlineStr">
        <is>
          <t>2402002</t>
        </is>
      </c>
      <c r="G60" t="inlineStr">
        <is>
          <t>Viaducto construido en vía secundaria nueva</t>
        </is>
      </c>
      <c r="H60" t="inlineStr">
        <is>
          <t>240200200</t>
        </is>
      </c>
      <c r="I60" t="inlineStr">
        <is>
          <t>Viaducto construido en vía secundaria nueva</t>
        </is>
      </c>
      <c r="J60" t="inlineStr">
        <is>
          <t>2024257990008</t>
        </is>
      </c>
      <c r="K60" t="inlineStr">
        <is>
          <t>Si</t>
        </is>
      </c>
      <c r="L60" t="inlineStr">
        <is>
          <t>Número</t>
        </is>
      </c>
      <c r="M60">
        <v>2</v>
      </c>
      <c r="N60">
        <v>0</v>
      </c>
      <c r="O60">
        <v>1</v>
      </c>
      <c r="P60">
        <v>1</v>
      </c>
      <c r="Q60">
        <v>0</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IP-78</t>
        </is>
      </c>
      <c r="B61" t="inlineStr">
        <is>
          <t>24</t>
        </is>
      </c>
      <c r="C61" t="inlineStr">
        <is>
          <t>Transporte</t>
        </is>
      </c>
      <c r="D61" t="inlineStr">
        <is>
          <t>2402</t>
        </is>
      </c>
      <c r="E61" t="inlineStr">
        <is>
          <t>Infraestructura red vial regional</t>
        </is>
      </c>
      <c r="F61" t="inlineStr">
        <is>
          <t>2402135</t>
        </is>
      </c>
      <c r="G61" t="inlineStr">
        <is>
          <t>Intersección construida en vía urbana</t>
        </is>
      </c>
      <c r="H61" t="inlineStr">
        <is>
          <t>240213500</t>
        </is>
      </c>
      <c r="I61" t="inlineStr">
        <is>
          <t>Intersección construida en la red vial urbana</t>
        </is>
      </c>
      <c r="J61" t="inlineStr">
        <is>
          <t>2024257990008</t>
        </is>
      </c>
      <c r="K61" t="inlineStr">
        <is>
          <t>Si</t>
        </is>
      </c>
      <c r="L61" t="inlineStr">
        <is>
          <t>Número</t>
        </is>
      </c>
      <c r="M61">
        <v>1000</v>
      </c>
      <c r="N61">
        <v>0</v>
      </c>
      <c r="O61">
        <v>0</v>
      </c>
      <c r="P61">
        <v>400</v>
      </c>
      <c r="Q61">
        <v>600</v>
      </c>
      <c r="R61" t="inlineStr">
        <is>
          <t xml:space="preserve"> </t>
        </is>
      </c>
      <c r="S61" s="103" t="inlineStr">
        <is>
          <t xml:space="preserve"> </t>
        </is>
      </c>
      <c r="T61" t="inlineStr">
        <is>
          <t>No se encontró ejecución en PIIP</t>
        </is>
      </c>
      <c r="U61" t="inlineStr">
        <is>
          <t xml:space="preserve"> </t>
        </is>
      </c>
      <c r="V61" s="104" t="inlineStr">
        <is>
          <t xml:space="preserve"> </t>
        </is>
      </c>
      <c r="W61" t="inlineStr">
        <is>
          <t>No se encontró ejecución en PIIP</t>
        </is>
      </c>
    </row>
    <row r="62">
      <c r="A62" t="inlineStr">
        <is>
          <t>IP-79</t>
        </is>
      </c>
      <c r="B62" t="inlineStr">
        <is>
          <t>24</t>
        </is>
      </c>
      <c r="C62" t="inlineStr">
        <is>
          <t>Transporte</t>
        </is>
      </c>
      <c r="D62" t="inlineStr">
        <is>
          <t>2402</t>
        </is>
      </c>
      <c r="E62" t="inlineStr">
        <is>
          <t>Infraestructura red vial regional</t>
        </is>
      </c>
      <c r="F62" t="inlineStr">
        <is>
          <t>2402104</t>
        </is>
      </c>
      <c r="G62" t="inlineStr">
        <is>
          <t>Documentos de planeación</t>
        </is>
      </c>
      <c r="H62" t="inlineStr">
        <is>
          <t>240210400</t>
        </is>
      </c>
      <c r="I62" t="inlineStr">
        <is>
          <t>Documentos de planeación realizados</t>
        </is>
      </c>
      <c r="J62" t="inlineStr">
        <is>
          <t>2024257990008</t>
        </is>
      </c>
      <c r="K62" t="inlineStr">
        <is>
          <t>No</t>
        </is>
      </c>
      <c r="L62" t="inlineStr">
        <is>
          <t>Número</t>
        </is>
      </c>
      <c r="M62">
        <v>1</v>
      </c>
      <c r="N62">
        <v>0</v>
      </c>
      <c r="O62">
        <v>20</v>
      </c>
      <c r="P62">
        <v>10</v>
      </c>
      <c r="Q62">
        <v>10</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IP-82</t>
        </is>
      </c>
      <c r="B63" t="inlineStr">
        <is>
          <t>24</t>
        </is>
      </c>
      <c r="C63" t="inlineStr">
        <is>
          <t>Transporte</t>
        </is>
      </c>
      <c r="D63" t="inlineStr">
        <is>
          <t>2402</t>
        </is>
      </c>
      <c r="E63" t="inlineStr">
        <is>
          <t>Infraestructura red vial regional</t>
        </is>
      </c>
      <c r="F63" t="inlineStr">
        <is>
          <t>2402120</t>
        </is>
      </c>
      <c r="G63" t="inlineStr">
        <is>
          <t>Puente peatonal con mantenimiento</t>
        </is>
      </c>
      <c r="H63" t="inlineStr">
        <is>
          <t>240212000</t>
        </is>
      </c>
      <c r="I63" t="inlineStr">
        <is>
          <t>Puente peatonal con mantenimiento</t>
        </is>
      </c>
      <c r="J63" t="inlineStr">
        <is>
          <t>2024257990008</t>
        </is>
      </c>
      <c r="K63" t="inlineStr">
        <is>
          <t>Si</t>
        </is>
      </c>
      <c r="L63" t="inlineStr">
        <is>
          <t>Número</t>
        </is>
      </c>
      <c r="M63">
        <v>8</v>
      </c>
      <c r="N63">
        <v>1</v>
      </c>
      <c r="O63">
        <v>3</v>
      </c>
      <c r="P63">
        <v>3</v>
      </c>
      <c r="Q63">
        <v>1</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IP-83, IP-84</t>
        </is>
      </c>
      <c r="B64" t="inlineStr">
        <is>
          <t>40</t>
        </is>
      </c>
      <c r="C64" t="inlineStr">
        <is>
          <t>Vivienda, ciudad y territorio</t>
        </is>
      </c>
      <c r="D64" t="inlineStr">
        <is>
          <t>4002</t>
        </is>
      </c>
      <c r="E64" t="inlineStr">
        <is>
          <t>Ordenamiento territorial y desarrollo urbano</t>
        </is>
      </c>
      <c r="F64" t="inlineStr">
        <is>
          <t>4002019</t>
        </is>
      </c>
      <c r="G64" t="inlineStr">
        <is>
          <t>Espacio publico construido</t>
        </is>
      </c>
      <c r="H64" t="inlineStr">
        <is>
          <t>400201900</t>
        </is>
      </c>
      <c r="I64" t="inlineStr">
        <is>
          <t>Espacio publico construido</t>
        </is>
      </c>
      <c r="J64" t="inlineStr">
        <is>
          <t>2024257990009</t>
        </is>
      </c>
      <c r="K64" t="inlineStr">
        <is>
          <t>Si</t>
        </is>
      </c>
      <c r="L64" t="inlineStr">
        <is>
          <t>Metros cuadrados</t>
        </is>
      </c>
      <c r="M64">
        <v>1100</v>
      </c>
      <c r="N64">
        <v>0</v>
      </c>
      <c r="O64">
        <v>480</v>
      </c>
      <c r="P64">
        <v>220</v>
      </c>
      <c r="Q64">
        <v>400</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IP-85</t>
        </is>
      </c>
      <c r="B65" t="inlineStr">
        <is>
          <t>40</t>
        </is>
      </c>
      <c r="C65" t="inlineStr">
        <is>
          <t>Vivienda, ciudad y territorio</t>
        </is>
      </c>
      <c r="D65" t="inlineStr">
        <is>
          <t>4002</t>
        </is>
      </c>
      <c r="E65" t="inlineStr">
        <is>
          <t>Ordenamiento territorial y desarrollo urbano</t>
        </is>
      </c>
      <c r="F65" t="inlineStr">
        <is>
          <t>4002019</t>
        </is>
      </c>
      <c r="G65" t="inlineStr">
        <is>
          <t>Espacio publico construido</t>
        </is>
      </c>
      <c r="H65" t="inlineStr">
        <is>
          <t>400201900</t>
        </is>
      </c>
      <c r="I65" t="inlineStr">
        <is>
          <t>Espacio publico construido</t>
        </is>
      </c>
      <c r="J65" t="inlineStr">
        <is>
          <t>2024257990010</t>
        </is>
      </c>
      <c r="K65" t="inlineStr">
        <is>
          <t>No</t>
        </is>
      </c>
      <c r="L65" t="inlineStr">
        <is>
          <t>Metros cuadrados</t>
        </is>
      </c>
      <c r="M65">
        <v>100</v>
      </c>
      <c r="N65">
        <v>0</v>
      </c>
      <c r="O65">
        <v>0.3</v>
      </c>
      <c r="P65">
        <v>0.4</v>
      </c>
      <c r="Q65">
        <v>0.3</v>
      </c>
      <c r="R65" t="inlineStr">
        <is>
          <t xml:space="preserve"> </t>
        </is>
      </c>
      <c r="S65" s="103" t="inlineStr">
        <is>
          <t xml:space="preserve"> </t>
        </is>
      </c>
      <c r="T65" t="inlineStr">
        <is>
          <t>No se encontró ejecución en PIIP</t>
        </is>
      </c>
      <c r="U65" t="inlineStr">
        <is>
          <t xml:space="preserve"> </t>
        </is>
      </c>
      <c r="V65" s="104" t="inlineStr">
        <is>
          <t xml:space="preserve"> </t>
        </is>
      </c>
      <c r="W65" t="inlineStr">
        <is>
          <t>No se encontró ejecución en PIIP</t>
        </is>
      </c>
    </row>
    <row r="66">
      <c r="A66" t="inlineStr">
        <is>
          <t>IP-86, IP-87, IP-88, IP-89</t>
        </is>
      </c>
      <c r="B66" t="inlineStr">
        <is>
          <t>40</t>
        </is>
      </c>
      <c r="C66" t="inlineStr">
        <is>
          <t>Vivienda, ciudad y territorio</t>
        </is>
      </c>
      <c r="D66" t="inlineStr">
        <is>
          <t>4001</t>
        </is>
      </c>
      <c r="E66" t="inlineStr">
        <is>
          <t>Acceso a soluciones de vivienda</t>
        </is>
      </c>
      <c r="F66" t="inlineStr">
        <is>
          <t>4001032</t>
        </is>
      </c>
      <c r="G66" t="inlineStr">
        <is>
          <t>Servicio de apoyo financiero para mejoramiento de vivienda</t>
        </is>
      </c>
      <c r="H66" t="inlineStr">
        <is>
          <t>400103200</t>
        </is>
      </c>
      <c r="I66" t="inlineStr">
        <is>
          <t>Hogares beneficiados con mejoramiento de una vivienda  </t>
        </is>
      </c>
      <c r="J66" t="inlineStr">
        <is>
          <t>2024257990010</t>
        </is>
      </c>
      <c r="K66" t="inlineStr">
        <is>
          <t>Si</t>
        </is>
      </c>
      <c r="L66" t="inlineStr">
        <is>
          <t>Número</t>
        </is>
      </c>
      <c r="M66">
        <v>202</v>
      </c>
      <c r="N66">
        <v>0</v>
      </c>
      <c r="O66">
        <v>51.5</v>
      </c>
      <c r="P66">
        <v>51.5</v>
      </c>
      <c r="Q66">
        <v>50.5</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IP-90</t>
        </is>
      </c>
      <c r="B67" t="inlineStr">
        <is>
          <t>40</t>
        </is>
      </c>
      <c r="C67" t="inlineStr">
        <is>
          <t>Vivienda, ciudad y territorio</t>
        </is>
      </c>
      <c r="D67" t="inlineStr">
        <is>
          <t>4001</t>
        </is>
      </c>
      <c r="E67" t="inlineStr">
        <is>
          <t>Acceso a soluciones de vivienda</t>
        </is>
      </c>
      <c r="F67" t="inlineStr">
        <is>
          <t>4001032</t>
        </is>
      </c>
      <c r="G67" t="inlineStr">
        <is>
          <t>Servicio de apoyo financiero para mejoramiento de vivienda</t>
        </is>
      </c>
      <c r="H67" t="inlineStr">
        <is>
          <t>400103200</t>
        </is>
      </c>
      <c r="I67" t="inlineStr">
        <is>
          <t>Hogares beneficiados con mejoramiento de una vivienda  </t>
        </is>
      </c>
      <c r="J67" t="inlineStr">
        <is>
          <t>2024257990011</t>
        </is>
      </c>
      <c r="K67" t="inlineStr">
        <is>
          <t>No</t>
        </is>
      </c>
      <c r="L67" t="inlineStr">
        <is>
          <t>Número</t>
        </is>
      </c>
      <c r="M67">
        <v>5</v>
      </c>
      <c r="N67">
        <v>1</v>
      </c>
      <c r="O67">
        <v>2</v>
      </c>
      <c r="P67">
        <v>2</v>
      </c>
      <c r="Q67">
        <v>0</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IP-92</t>
        </is>
      </c>
      <c r="B68" t="inlineStr">
        <is>
          <t>45</t>
        </is>
      </c>
      <c r="C68" t="inlineStr">
        <is>
          <t>Gobierno Territorial</t>
        </is>
      </c>
      <c r="D68" t="inlineStr">
        <is>
          <t>4501</t>
        </is>
      </c>
      <c r="E68" t="inlineStr">
        <is>
          <t>Fortalecimiento de la convivencia y la seguridad ciudadana</t>
        </is>
      </c>
      <c r="F68" t="inlineStr">
        <is>
          <t>4501026</t>
        </is>
      </c>
      <c r="G68" t="inlineStr">
        <is>
          <t>Documentos Planeacion</t>
        </is>
      </c>
      <c r="H68" t="inlineStr">
        <is>
          <t>450102600</t>
        </is>
      </c>
      <c r="I68" t="inlineStr">
        <is>
          <t>Planes estratégicos elaborados</t>
        </is>
      </c>
      <c r="J68" t="inlineStr">
        <is>
          <t>2024257990011</t>
        </is>
      </c>
      <c r="K68" t="inlineStr">
        <is>
          <t>No</t>
        </is>
      </c>
      <c r="L68" t="inlineStr">
        <is>
          <t>Número</t>
        </is>
      </c>
      <c r="M68">
        <v>100</v>
      </c>
      <c r="N68">
        <v>100</v>
      </c>
      <c r="O68">
        <v>100</v>
      </c>
      <c r="P68">
        <v>100</v>
      </c>
      <c r="Q68">
        <v>100</v>
      </c>
      <c r="R68">
        <v>0</v>
      </c>
      <c r="S68" s="103">
        <v>0</v>
      </c>
      <c r="T68" t="inlineStr">
        <is>
          <t>No se ejecutó en la vigencia</t>
        </is>
      </c>
      <c r="U68" t="inlineStr">
        <is>
          <t xml:space="preserve"> </t>
        </is>
      </c>
      <c r="V68" s="104" t="inlineStr">
        <is>
          <t xml:space="preserve"> </t>
        </is>
      </c>
      <c r="W68" t="inlineStr">
        <is>
          <t>No se encontró ejecución en PIIP</t>
        </is>
      </c>
    </row>
    <row r="69">
      <c r="A69" t="inlineStr">
        <is>
          <t>IP-93</t>
        </is>
      </c>
      <c r="B69" t="inlineStr">
        <is>
          <t>45</t>
        </is>
      </c>
      <c r="C69" t="inlineStr">
        <is>
          <t>Gobierno Territorial</t>
        </is>
      </c>
      <c r="D69" t="inlineStr">
        <is>
          <t>4501</t>
        </is>
      </c>
      <c r="E69" t="inlineStr">
        <is>
          <t>Fortalecimiento de la convivencia y la seguridad ciudadana</t>
        </is>
      </c>
      <c r="F69" t="inlineStr">
        <is>
          <t>4501001</t>
        </is>
      </c>
      <c r="G69" t="inlineStr">
        <is>
          <t>Servicio de asistencia técnica</t>
        </is>
      </c>
      <c r="H69" t="inlineStr">
        <is>
          <t>450100100</t>
        </is>
      </c>
      <c r="I69" t="inlineStr">
        <is>
          <t>Instancias territoriales asistidas técnicamente</t>
        </is>
      </c>
      <c r="J69" t="inlineStr">
        <is>
          <t>2024257990011</t>
        </is>
      </c>
      <c r="K69" t="inlineStr">
        <is>
          <t>Si</t>
        </is>
      </c>
      <c r="L69" t="inlineStr">
        <is>
          <t>Número</t>
        </is>
      </c>
      <c r="M69">
        <v>8</v>
      </c>
      <c r="N69">
        <v>0</v>
      </c>
      <c r="O69">
        <v>3</v>
      </c>
      <c r="P69">
        <v>3</v>
      </c>
      <c r="Q69">
        <v>2</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IP-94, IP-95, IP-97</t>
        </is>
      </c>
      <c r="B70" t="inlineStr">
        <is>
          <t>45</t>
        </is>
      </c>
      <c r="C70" t="inlineStr">
        <is>
          <t>Gobierno Territorial</t>
        </is>
      </c>
      <c r="D70" t="inlineStr">
        <is>
          <t>4501</t>
        </is>
      </c>
      <c r="E70" t="inlineStr">
        <is>
          <t>Fortalecimiento de la convivencia y la seguridad ciudadana</t>
        </is>
      </c>
      <c r="F70" t="inlineStr">
        <is>
          <t>4501032</t>
        </is>
      </c>
      <c r="G70" t="inlineStr">
        <is>
          <t>Servicio de atención de seguridad y emergencias de los Centros de Información Estratégica Policía Seccional</t>
        </is>
      </c>
      <c r="H70" t="inlineStr">
        <is>
          <t>450103200</t>
        </is>
      </c>
      <c r="I70" t="inlineStr">
        <is>
          <t>Centros de Información Estratégica Policía Seccional instalados y dotados</t>
        </is>
      </c>
      <c r="J70" t="inlineStr">
        <is>
          <t>2024257990011</t>
        </is>
      </c>
      <c r="K70" t="inlineStr">
        <is>
          <t>No</t>
        </is>
      </c>
      <c r="L70" t="inlineStr">
        <is>
          <t>Número</t>
        </is>
      </c>
      <c r="M70">
        <v>201</v>
      </c>
      <c r="N70">
        <v>200</v>
      </c>
      <c r="O70">
        <v>201</v>
      </c>
      <c r="P70">
        <v>201</v>
      </c>
      <c r="Q70">
        <v>201</v>
      </c>
      <c r="R70">
        <v>1</v>
      </c>
      <c r="S70" s="103">
        <v>0.005</v>
      </c>
      <c r="T70" t="inlineStr">
        <is>
          <t>Lo ejecutado está por debajo de lo programado en la vigencia</t>
        </is>
      </c>
      <c r="U70" t="inlineStr">
        <is>
          <t xml:space="preserve"> </t>
        </is>
      </c>
      <c r="V70" s="104" t="inlineStr">
        <is>
          <t xml:space="preserve"> </t>
        </is>
      </c>
      <c r="W70" t="inlineStr">
        <is>
          <t>No se encontró ejecución en PIIP</t>
        </is>
      </c>
    </row>
    <row r="71">
      <c r="A71" t="inlineStr">
        <is>
          <t>IP-96</t>
        </is>
      </c>
      <c r="B71" t="inlineStr">
        <is>
          <t>45</t>
        </is>
      </c>
      <c r="C71" t="inlineStr">
        <is>
          <t>Gobierno Territorial</t>
        </is>
      </c>
      <c r="D71" t="inlineStr">
        <is>
          <t>4501</t>
        </is>
      </c>
      <c r="E71" t="inlineStr">
        <is>
          <t>Fortalecimiento de la convivencia y la seguridad ciudadana</t>
        </is>
      </c>
      <c r="F71" t="inlineStr">
        <is>
          <t>4501056</t>
        </is>
      </c>
      <c r="G71" t="inlineStr">
        <is>
          <t>Servicio de apoyo financiero para la justicia y seguridad</t>
        </is>
      </c>
      <c r="H71" t="inlineStr">
        <is>
          <t>450105600</t>
        </is>
      </c>
      <c r="I71" t="inlineStr">
        <is>
          <t>Recompensas entregadas a la ciudadanía</t>
        </is>
      </c>
      <c r="J71" t="inlineStr">
        <is>
          <t>2024257990011</t>
        </is>
      </c>
      <c r="K71" t="inlineStr">
        <is>
          <t>Si</t>
        </is>
      </c>
      <c r="L71" t="inlineStr">
        <is>
          <t>Número</t>
        </is>
      </c>
      <c r="M71">
        <v>1</v>
      </c>
      <c r="N71">
        <v>0</v>
      </c>
      <c r="O71">
        <v>1</v>
      </c>
      <c r="P71">
        <v>1</v>
      </c>
      <c r="Q71">
        <v>1</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IP-98</t>
        </is>
      </c>
      <c r="B72" t="inlineStr">
        <is>
          <t>45</t>
        </is>
      </c>
      <c r="C72" t="inlineStr">
        <is>
          <t>Gobierno Territorial</t>
        </is>
      </c>
      <c r="D72" t="inlineStr">
        <is>
          <t>4501</t>
        </is>
      </c>
      <c r="E72" t="inlineStr">
        <is>
          <t>Fortalecimiento de la convivencia y la seguridad ciudadana</t>
        </is>
      </c>
      <c r="F72" t="inlineStr">
        <is>
          <t>4501048</t>
        </is>
      </c>
      <c r="G72" t="inlineStr">
        <is>
          <t>Servicio de apoyo para el acceso a la justicia policiva</t>
        </is>
      </c>
      <c r="H72" t="inlineStr">
        <is>
          <t>450104800</t>
        </is>
      </c>
      <c r="I72" t="inlineStr">
        <is>
          <t>Estrategias implementadas</t>
        </is>
      </c>
      <c r="J72" t="inlineStr">
        <is>
          <t>2024257990011</t>
        </is>
      </c>
      <c r="K72" t="inlineStr">
        <is>
          <t>No</t>
        </is>
      </c>
      <c r="L72" t="inlineStr">
        <is>
          <t>Número</t>
        </is>
      </c>
      <c r="M72">
        <v>100</v>
      </c>
      <c r="N72">
        <v>100</v>
      </c>
      <c r="O72">
        <v>100</v>
      </c>
      <c r="P72">
        <v>100</v>
      </c>
      <c r="Q72">
        <v>100</v>
      </c>
      <c r="R72">
        <v>1</v>
      </c>
      <c r="S72" s="103">
        <v>0.01</v>
      </c>
      <c r="T72" t="inlineStr">
        <is>
          <t>Lo ejecutado está por debajo de lo programado en la vigencia</t>
        </is>
      </c>
      <c r="U72" t="inlineStr">
        <is>
          <t xml:space="preserve"> </t>
        </is>
      </c>
      <c r="V72" s="104" t="inlineStr">
        <is>
          <t xml:space="preserve"> </t>
        </is>
      </c>
      <c r="W72" t="inlineStr">
        <is>
          <t>No se encontró ejecución en PIIP</t>
        </is>
      </c>
    </row>
    <row r="73">
      <c r="A73" t="inlineStr">
        <is>
          <t>IP-99</t>
        </is>
      </c>
      <c r="B73" t="inlineStr">
        <is>
          <t>45</t>
        </is>
      </c>
      <c r="C73" t="inlineStr">
        <is>
          <t>Gobierno Territorial</t>
        </is>
      </c>
      <c r="D73" t="inlineStr">
        <is>
          <t>4501</t>
        </is>
      </c>
      <c r="E73" t="inlineStr">
        <is>
          <t>Fortalecimiento de la convivencia y la seguridad ciudadana</t>
        </is>
      </c>
      <c r="F73" t="inlineStr">
        <is>
          <t>4501025</t>
        </is>
      </c>
      <c r="G73" t="inlineStr">
        <is>
          <t>Inspecciones de policía dotadas</t>
        </is>
      </c>
      <c r="H73" t="inlineStr">
        <is>
          <t>450102500</t>
        </is>
      </c>
      <c r="I73" t="inlineStr">
        <is>
          <t>Inspecciones de policía dotadas</t>
        </is>
      </c>
      <c r="J73" t="inlineStr">
        <is>
          <t>2024257990011</t>
        </is>
      </c>
      <c r="K73" t="inlineStr">
        <is>
          <t>No</t>
        </is>
      </c>
      <c r="L73" t="inlineStr">
        <is>
          <t>Número</t>
        </is>
      </c>
      <c r="M73">
        <v>1</v>
      </c>
      <c r="N73">
        <v>1</v>
      </c>
      <c r="O73">
        <v>1</v>
      </c>
      <c r="P73">
        <v>1</v>
      </c>
      <c r="Q73">
        <v>1</v>
      </c>
      <c r="R73">
        <v>1</v>
      </c>
      <c r="S73" s="103">
        <v>1</v>
      </c>
      <c r="T73" t="inlineStr">
        <is>
          <t>Se ejecutó el 100% de lo programado en la vigencia</t>
        </is>
      </c>
      <c r="U73" t="inlineStr">
        <is>
          <t xml:space="preserve"> </t>
        </is>
      </c>
      <c r="V73" s="104" t="inlineStr">
        <is>
          <t xml:space="preserve"> </t>
        </is>
      </c>
      <c r="W73" t="inlineStr">
        <is>
          <t>No se encontró ejecución en PIIP</t>
        </is>
      </c>
    </row>
    <row r="74">
      <c r="A74" t="inlineStr">
        <is>
          <t>IP-100</t>
        </is>
      </c>
      <c r="B74" t="inlineStr">
        <is>
          <t>45</t>
        </is>
      </c>
      <c r="C74" t="inlineStr">
        <is>
          <t>Gobierno Territorial</t>
        </is>
      </c>
      <c r="D74" t="inlineStr">
        <is>
          <t>4502</t>
        </is>
      </c>
      <c r="E74" t="inlineStr">
        <is>
          <t>Fortalecimiento del buen gobierno para el respeto y garantía de los derechos humanos.</t>
        </is>
      </c>
      <c r="F74" t="inlineStr">
        <is>
          <t>4502002</t>
        </is>
      </c>
      <c r="G74" t="inlineStr">
        <is>
          <t>Salón comunal construido y dotado</t>
        </is>
      </c>
      <c r="H74" t="inlineStr">
        <is>
          <t>450200200</t>
        </is>
      </c>
      <c r="I74" t="inlineStr">
        <is>
          <t>Salones comunales construidos y dotados</t>
        </is>
      </c>
      <c r="J74" t="inlineStr">
        <is>
          <t>2024257990012</t>
        </is>
      </c>
      <c r="K74" t="inlineStr">
        <is>
          <t>Si</t>
        </is>
      </c>
      <c r="L74" t="inlineStr">
        <is>
          <t>Número</t>
        </is>
      </c>
      <c r="M74">
        <v>2</v>
      </c>
      <c r="N74">
        <v>0</v>
      </c>
      <c r="O74">
        <v>0</v>
      </c>
      <c r="P74">
        <v>1</v>
      </c>
      <c r="Q74">
        <v>1</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IP-101, IP-108, IP-109</t>
        </is>
      </c>
      <c r="B75" t="inlineStr">
        <is>
          <t>45</t>
        </is>
      </c>
      <c r="C75" t="inlineStr">
        <is>
          <t>Gobierno Territorial</t>
        </is>
      </c>
      <c r="D75" t="inlineStr">
        <is>
          <t>4502</t>
        </is>
      </c>
      <c r="E75" t="inlineStr">
        <is>
          <t>Fortalecimiento del buen gobierno para el respeto y garantía de los derechos humanos.</t>
        </is>
      </c>
      <c r="F75" t="inlineStr">
        <is>
          <t>4502001</t>
        </is>
      </c>
      <c r="G75" t="inlineStr">
        <is>
          <t>Servicio de promoción a la participación ciudadana</t>
        </is>
      </c>
      <c r="H75" t="inlineStr">
        <is>
          <t>450200100</t>
        </is>
      </c>
      <c r="I75" t="inlineStr">
        <is>
          <t>Espacios de participación promovidos</t>
        </is>
      </c>
      <c r="J75" t="inlineStr">
        <is>
          <t>2024257990012</t>
        </is>
      </c>
      <c r="K75" t="inlineStr">
        <is>
          <t>No</t>
        </is>
      </c>
      <c r="L75" t="inlineStr">
        <is>
          <t>Número</t>
        </is>
      </c>
      <c r="M75">
        <v>108</v>
      </c>
      <c r="N75">
        <v>2</v>
      </c>
      <c r="O75">
        <v>102</v>
      </c>
      <c r="P75">
        <v>102</v>
      </c>
      <c r="Q75">
        <v>102</v>
      </c>
      <c r="R75">
        <v>0</v>
      </c>
      <c r="S75" s="103">
        <v>0</v>
      </c>
      <c r="T75" t="inlineStr">
        <is>
          <t>No se ejecutó en la vigencia</t>
        </is>
      </c>
      <c r="U75" t="inlineStr">
        <is>
          <t xml:space="preserve"> </t>
        </is>
      </c>
      <c r="V75" s="104" t="inlineStr">
        <is>
          <t xml:space="preserve"> </t>
        </is>
      </c>
      <c r="W75" t="inlineStr">
        <is>
          <t>No se encontró ejecución en PIIP</t>
        </is>
      </c>
    </row>
    <row r="76">
      <c r="A76" t="inlineStr">
        <is>
          <t>IP-102, IP-103, IP-104</t>
        </is>
      </c>
      <c r="B76" t="inlineStr">
        <is>
          <t>45</t>
        </is>
      </c>
      <c r="C76" t="inlineStr">
        <is>
          <t>Gobierno Territorial</t>
        </is>
      </c>
      <c r="D76" t="inlineStr">
        <is>
          <t>4502</t>
        </is>
      </c>
      <c r="E76" t="inlineStr">
        <is>
          <t>Fortalecimiento del buen gobierno para el respeto y garantía de los derechos humanos.</t>
        </is>
      </c>
      <c r="F76" t="inlineStr">
        <is>
          <t>4502001</t>
        </is>
      </c>
      <c r="G76" t="inlineStr">
        <is>
          <t>Servicio de promoción a la participación ciudadana</t>
        </is>
      </c>
      <c r="H76" t="inlineStr">
        <is>
          <t>450200100</t>
        </is>
      </c>
      <c r="I76" t="inlineStr">
        <is>
          <t>Espacios de participación promovidos</t>
        </is>
      </c>
      <c r="J76" t="inlineStr">
        <is>
          <t>2024257990012</t>
        </is>
      </c>
      <c r="K76" t="inlineStr">
        <is>
          <t>Si</t>
        </is>
      </c>
      <c r="L76" t="inlineStr">
        <is>
          <t>Número</t>
        </is>
      </c>
      <c r="M76">
        <v>22</v>
      </c>
      <c r="N76">
        <v>0</v>
      </c>
      <c r="O76">
        <v>7.5</v>
      </c>
      <c r="P76">
        <v>8.5</v>
      </c>
      <c r="Q76">
        <v>8</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IP-105</t>
        </is>
      </c>
      <c r="B77" t="inlineStr">
        <is>
          <t>45</t>
        </is>
      </c>
      <c r="C77" t="inlineStr">
        <is>
          <t>Gobierno Territorial</t>
        </is>
      </c>
      <c r="D77" t="inlineStr">
        <is>
          <t>4502</t>
        </is>
      </c>
      <c r="E77" t="inlineStr">
        <is>
          <t>Fortalecimiento del buen gobierno para el respeto y garantía de los derechos humanos.</t>
        </is>
      </c>
      <c r="F77" t="inlineStr">
        <is>
          <t>4502022</t>
        </is>
      </c>
      <c r="G77" t="inlineStr">
        <is>
          <t>Servicio de asistencia técnica</t>
        </is>
      </c>
      <c r="H77" t="inlineStr">
        <is>
          <t>450202200</t>
        </is>
      </c>
      <c r="I77" t="inlineStr">
        <is>
          <t>Instancias territoriales de coordinación institucional asistidas y apoyadas</t>
        </is>
      </c>
      <c r="J77" t="inlineStr">
        <is>
          <t>2024257990012</t>
        </is>
      </c>
      <c r="K77" t="inlineStr">
        <is>
          <t>No</t>
        </is>
      </c>
      <c r="L77" t="inlineStr">
        <is>
          <t>Número</t>
        </is>
      </c>
      <c r="M77">
        <v>100</v>
      </c>
      <c r="N77">
        <v>100</v>
      </c>
      <c r="O77">
        <v>100</v>
      </c>
      <c r="P77">
        <v>100</v>
      </c>
      <c r="Q77">
        <v>100</v>
      </c>
      <c r="R77">
        <v>0</v>
      </c>
      <c r="S77" s="103">
        <v>0</v>
      </c>
      <c r="T77" t="inlineStr">
        <is>
          <t>No se ejecutó en la vigencia</t>
        </is>
      </c>
      <c r="U77" t="inlineStr">
        <is>
          <t xml:space="preserve"> </t>
        </is>
      </c>
      <c r="V77" s="104" t="inlineStr">
        <is>
          <t xml:space="preserve"> </t>
        </is>
      </c>
      <c r="W77" t="inlineStr">
        <is>
          <t>No se encontró ejecución en PIIP</t>
        </is>
      </c>
    </row>
    <row r="78">
      <c r="A78" t="inlineStr">
        <is>
          <t>IP-106</t>
        </is>
      </c>
      <c r="B78" t="inlineStr">
        <is>
          <t>45</t>
        </is>
      </c>
      <c r="C78" t="inlineStr">
        <is>
          <t>Gobierno Territorial</t>
        </is>
      </c>
      <c r="D78" t="inlineStr">
        <is>
          <t>4502</t>
        </is>
      </c>
      <c r="E78" t="inlineStr">
        <is>
          <t>Fortalecimiento del buen gobierno para el respeto y garantía de los derechos humanos.</t>
        </is>
      </c>
      <c r="F78" t="inlineStr">
        <is>
          <t>4502034</t>
        </is>
      </c>
      <c r="G78" t="inlineStr">
        <is>
          <t xml:space="preserve">Servicio de educación informal </t>
        </is>
      </c>
      <c r="H78" t="inlineStr">
        <is>
          <t>450203400</t>
        </is>
      </c>
      <c r="I78" t="inlineStr">
        <is>
          <t>Personas capacitadas</t>
        </is>
      </c>
      <c r="J78" t="inlineStr">
        <is>
          <t>2024257990012</t>
        </is>
      </c>
      <c r="K78" t="inlineStr">
        <is>
          <t>Si</t>
        </is>
      </c>
      <c r="L78" t="inlineStr">
        <is>
          <t>Número</t>
        </is>
      </c>
      <c r="M78">
        <v>4</v>
      </c>
      <c r="N78">
        <v>0</v>
      </c>
      <c r="O78">
        <v>2</v>
      </c>
      <c r="P78">
        <v>1</v>
      </c>
      <c r="Q78">
        <v>1</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IP-107</t>
        </is>
      </c>
      <c r="B79" t="inlineStr">
        <is>
          <t>45</t>
        </is>
      </c>
      <c r="C79" t="inlineStr">
        <is>
          <t>Gobierno Territorial</t>
        </is>
      </c>
      <c r="D79" t="inlineStr">
        <is>
          <t>4502</t>
        </is>
      </c>
      <c r="E79" t="inlineStr">
        <is>
          <t>Fortalecimiento del buen gobierno para el respeto y garantía de los derechos humanos.</t>
        </is>
      </c>
      <c r="F79" t="inlineStr">
        <is>
          <t>4502002</t>
        </is>
      </c>
      <c r="G79" t="inlineStr">
        <is>
          <t>Salón comunal construido y dotado</t>
        </is>
      </c>
      <c r="H79" t="inlineStr">
        <is>
          <t>450200200</t>
        </is>
      </c>
      <c r="I79" t="inlineStr">
        <is>
          <t>Salones comunales construidos y dotados</t>
        </is>
      </c>
      <c r="J79" t="inlineStr">
        <is>
          <t>2024257990012</t>
        </is>
      </c>
      <c r="K79" t="inlineStr">
        <is>
          <t>No</t>
        </is>
      </c>
      <c r="L79" t="inlineStr">
        <is>
          <t>Número</t>
        </is>
      </c>
      <c r="M79">
        <v>4</v>
      </c>
      <c r="N79">
        <v>1</v>
      </c>
      <c r="O79">
        <v>1</v>
      </c>
      <c r="P79">
        <v>1</v>
      </c>
      <c r="Q79">
        <v>1</v>
      </c>
      <c r="R79">
        <v>0</v>
      </c>
      <c r="S79" s="103">
        <v>0</v>
      </c>
      <c r="T79" t="inlineStr">
        <is>
          <t>No se ejecutó en la vigencia</t>
        </is>
      </c>
      <c r="U79" t="inlineStr">
        <is>
          <t xml:space="preserve"> </t>
        </is>
      </c>
      <c r="V79" s="104" t="inlineStr">
        <is>
          <t xml:space="preserve"> </t>
        </is>
      </c>
      <c r="W79" t="inlineStr">
        <is>
          <t>No se encontró ejecución en PIIP</t>
        </is>
      </c>
    </row>
    <row r="80">
      <c r="A80" t="inlineStr">
        <is>
          <t>IP-110</t>
        </is>
      </c>
      <c r="B80" t="inlineStr">
        <is>
          <t>45</t>
        </is>
      </c>
      <c r="C80" t="inlineStr">
        <is>
          <t>Gobierno Territorial</t>
        </is>
      </c>
      <c r="D80" t="inlineStr">
        <is>
          <t>4502</t>
        </is>
      </c>
      <c r="E80" t="inlineStr">
        <is>
          <t>Fortalecimiento del buen gobierno para el respeto y garantía de los derechos humanos.</t>
        </is>
      </c>
      <c r="F80" t="inlineStr">
        <is>
          <t>4502032</t>
        </is>
      </c>
      <c r="G80" t="inlineStr">
        <is>
          <t>Documentos de lineamientos técnicos</t>
        </is>
      </c>
      <c r="H80" t="inlineStr">
        <is>
          <t>450203200</t>
        </is>
      </c>
      <c r="I80" t="inlineStr">
        <is>
          <t>Documentos de lineamientos técnicos realizados</t>
        </is>
      </c>
      <c r="J80" t="inlineStr">
        <is>
          <t>2024257990012</t>
        </is>
      </c>
      <c r="K80" t="inlineStr">
        <is>
          <t>Si</t>
        </is>
      </c>
      <c r="L80" t="inlineStr">
        <is>
          <t>Número</t>
        </is>
      </c>
      <c r="M80">
        <v>35</v>
      </c>
      <c r="N80">
        <v>5</v>
      </c>
      <c r="O80">
        <v>12</v>
      </c>
      <c r="P80">
        <v>12</v>
      </c>
      <c r="Q80">
        <v>6</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IP-111</t>
        </is>
      </c>
      <c r="B81" t="inlineStr">
        <is>
          <t>41</t>
        </is>
      </c>
      <c r="C81" t="inlineStr">
        <is>
          <t xml:space="preserve">Inclusión social y reconciliación </t>
        </is>
      </c>
      <c r="D81" t="inlineStr">
        <is>
          <t>4103</t>
        </is>
      </c>
      <c r="E81" t="inlineStr">
        <is>
          <t>Inclusión social y productiva para la población en situación de vulnerabilidad</t>
        </is>
      </c>
      <c r="F81" t="inlineStr">
        <is>
          <t>4103050</t>
        </is>
      </c>
      <c r="G81" t="inlineStr">
        <is>
          <t>Servicio de acompañamiento familiar y comunitario para la superación de la pobreza</t>
        </is>
      </c>
      <c r="H81" t="inlineStr">
        <is>
          <t>410305000</t>
        </is>
      </c>
      <c r="I81" t="inlineStr">
        <is>
          <t>Hogares con acompañamiento familiar</t>
        </is>
      </c>
      <c r="J81" t="inlineStr">
        <is>
          <t>2024257990013</t>
        </is>
      </c>
      <c r="K81" t="inlineStr">
        <is>
          <t>Si</t>
        </is>
      </c>
      <c r="L81" t="inlineStr">
        <is>
          <t>Número</t>
        </is>
      </c>
      <c r="M81">
        <v>4</v>
      </c>
      <c r="N81">
        <v>0</v>
      </c>
      <c r="O81">
        <v>2</v>
      </c>
      <c r="P81">
        <v>1</v>
      </c>
      <c r="Q81">
        <v>1</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IP-112</t>
        </is>
      </c>
      <c r="B82" t="inlineStr">
        <is>
          <t>41</t>
        </is>
      </c>
      <c r="C82" t="inlineStr">
        <is>
          <t xml:space="preserve">Inclusión social y reconciliación </t>
        </is>
      </c>
      <c r="D82" t="inlineStr">
        <is>
          <t>4103</t>
        </is>
      </c>
      <c r="E82" t="inlineStr">
        <is>
          <t>Inclusión social y productiva para la población en situación de vulnerabilidad</t>
        </is>
      </c>
      <c r="F82" t="inlineStr">
        <is>
          <t>4103052</t>
        </is>
      </c>
      <c r="G82" t="inlineStr">
        <is>
          <t>Servicio de gestión de oferta social para la población vulnerable</t>
        </is>
      </c>
      <c r="H82" t="inlineStr">
        <is>
          <t>410305200</t>
        </is>
      </c>
      <c r="I82" t="inlineStr">
        <is>
          <t>Beneficiarios potenciales para quienes se gestiona la oferta social</t>
        </is>
      </c>
      <c r="J82" t="inlineStr">
        <is>
          <t>2024257990013</t>
        </is>
      </c>
      <c r="K82" t="inlineStr">
        <is>
          <t>Si</t>
        </is>
      </c>
      <c r="L82" t="inlineStr">
        <is>
          <t>Número</t>
        </is>
      </c>
      <c r="M82">
        <v>1</v>
      </c>
      <c r="N82">
        <v>0</v>
      </c>
      <c r="O82">
        <v>0.2</v>
      </c>
      <c r="P82">
        <v>0.4</v>
      </c>
      <c r="Q82">
        <v>0.4</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IP-113, IP-114, IP-119</t>
        </is>
      </c>
      <c r="B83" t="inlineStr">
        <is>
          <t>41</t>
        </is>
      </c>
      <c r="C83" t="inlineStr">
        <is>
          <t xml:space="preserve">Inclusión social y reconciliación </t>
        </is>
      </c>
      <c r="D83" t="inlineStr">
        <is>
          <t>4101</t>
        </is>
      </c>
      <c r="E83" t="inlineStr">
        <is>
          <t>Atención, asistencia y reparación integral a las víctimas</t>
        </is>
      </c>
      <c r="F83" t="inlineStr">
        <is>
          <t>4101031</t>
        </is>
      </c>
      <c r="G83" t="inlineStr">
        <is>
          <t>Servicios de implementaciónde medidas de satisfacción y acompañamiento a las víctimas del conflicto armado</t>
        </is>
      </c>
      <c r="H83" t="inlineStr">
        <is>
          <t>410103100</t>
        </is>
      </c>
      <c r="I83" t="inlineStr">
        <is>
          <t>Víctimas reconocidas, recordadas y dignificadas por el Estado.</t>
        </is>
      </c>
      <c r="J83" t="inlineStr">
        <is>
          <t>2024257990014</t>
        </is>
      </c>
      <c r="K83" t="inlineStr">
        <is>
          <t>No</t>
        </is>
      </c>
      <c r="L83" t="inlineStr">
        <is>
          <t>Número</t>
        </is>
      </c>
      <c r="M83">
        <v>3</v>
      </c>
      <c r="N83">
        <v>3</v>
      </c>
      <c r="O83">
        <v>3</v>
      </c>
      <c r="P83">
        <v>3</v>
      </c>
      <c r="Q83">
        <v>3</v>
      </c>
      <c r="R83">
        <v>0</v>
      </c>
      <c r="S83" s="103">
        <v>0</v>
      </c>
      <c r="T83" t="inlineStr">
        <is>
          <t>No se ejecutó en la vigencia</t>
        </is>
      </c>
      <c r="U83" t="inlineStr">
        <is>
          <t xml:space="preserve"> </t>
        </is>
      </c>
      <c r="V83" s="104" t="inlineStr">
        <is>
          <t xml:space="preserve"> </t>
        </is>
      </c>
      <c r="W83" t="inlineStr">
        <is>
          <t>No se encontró ejecución en PIIP</t>
        </is>
      </c>
    </row>
    <row r="84">
      <c r="A84" t="inlineStr">
        <is>
          <t>IP-115</t>
        </is>
      </c>
      <c r="B84" t="inlineStr">
        <is>
          <t>41</t>
        </is>
      </c>
      <c r="C84" t="inlineStr">
        <is>
          <t xml:space="preserve">Inclusión social y reconciliación </t>
        </is>
      </c>
      <c r="D84" t="inlineStr">
        <is>
          <t>4101</t>
        </is>
      </c>
      <c r="E84" t="inlineStr">
        <is>
          <t>Atención, asistencia y reparación integral a las víctimas</t>
        </is>
      </c>
      <c r="F84" t="inlineStr">
        <is>
          <t>4101025</t>
        </is>
      </c>
      <c r="G84" t="inlineStr">
        <is>
          <t>Servicio de ayuda y atención humanitaria</t>
        </is>
      </c>
      <c r="H84" t="inlineStr">
        <is>
          <t>410102500</t>
        </is>
      </c>
      <c r="I84" t="inlineStr">
        <is>
          <t>Personas con asistencia humanitaria</t>
        </is>
      </c>
      <c r="J84" t="inlineStr">
        <is>
          <t>2024257990014</t>
        </is>
      </c>
      <c r="K84" t="inlineStr">
        <is>
          <t>No</t>
        </is>
      </c>
      <c r="L84" t="inlineStr">
        <is>
          <t>Número</t>
        </is>
      </c>
      <c r="M84">
        <v>100</v>
      </c>
      <c r="N84">
        <v>100</v>
      </c>
      <c r="O84">
        <v>100</v>
      </c>
      <c r="P84">
        <v>100</v>
      </c>
      <c r="Q84">
        <v>100</v>
      </c>
      <c r="R84">
        <v>0</v>
      </c>
      <c r="S84" s="103">
        <v>0</v>
      </c>
      <c r="T84" t="inlineStr">
        <is>
          <t>No se ejecutó en la vigencia</t>
        </is>
      </c>
      <c r="U84" t="inlineStr">
        <is>
          <t xml:space="preserve"> </t>
        </is>
      </c>
      <c r="V84" s="104" t="inlineStr">
        <is>
          <t xml:space="preserve"> </t>
        </is>
      </c>
      <c r="W84" t="inlineStr">
        <is>
          <t>No se encontró ejecución en PIIP</t>
        </is>
      </c>
    </row>
    <row r="85">
      <c r="A85" t="inlineStr">
        <is>
          <t>IP-116</t>
        </is>
      </c>
      <c r="B85" t="inlineStr">
        <is>
          <t>41</t>
        </is>
      </c>
      <c r="C85" t="inlineStr">
        <is>
          <t xml:space="preserve">Inclusión social y reconciliación </t>
        </is>
      </c>
      <c r="D85" t="inlineStr">
        <is>
          <t>4101</t>
        </is>
      </c>
      <c r="E85" t="inlineStr">
        <is>
          <t>Atención, asistencia y reparación integral a las víctimas</t>
        </is>
      </c>
      <c r="F85" t="inlineStr">
        <is>
          <t>4101027</t>
        </is>
      </c>
      <c r="G85" t="inlineStr">
        <is>
          <t>Servicio de asistencia funeraria</t>
        </is>
      </c>
      <c r="H85" t="inlineStr">
        <is>
          <t>410102700</t>
        </is>
      </c>
      <c r="I85" t="inlineStr">
        <is>
          <t>Procesos de entrega de cuerpos o restos óseos acompañados según solicitudes remitidas por la Fiscalía</t>
        </is>
      </c>
      <c r="J85" t="inlineStr">
        <is>
          <t>2024257990014</t>
        </is>
      </c>
      <c r="K85" t="inlineStr">
        <is>
          <t>No</t>
        </is>
      </c>
      <c r="L85" t="inlineStr">
        <is>
          <t>Porcentaje</t>
        </is>
      </c>
      <c r="M85">
        <v>100</v>
      </c>
      <c r="N85">
        <v>100</v>
      </c>
      <c r="O85">
        <v>100</v>
      </c>
      <c r="P85">
        <v>100</v>
      </c>
      <c r="Q85">
        <v>100</v>
      </c>
      <c r="R85">
        <v>0</v>
      </c>
      <c r="S85" s="103">
        <v>0</v>
      </c>
      <c r="T85" t="inlineStr">
        <is>
          <t>No se ejecutó en la vigencia</t>
        </is>
      </c>
      <c r="U85" t="inlineStr">
        <is>
          <t xml:space="preserve"> </t>
        </is>
      </c>
      <c r="V85" s="104" t="inlineStr">
        <is>
          <t xml:space="preserve"> </t>
        </is>
      </c>
      <c r="W85" t="inlineStr">
        <is>
          <t>No se encontró ejecución en PIIP</t>
        </is>
      </c>
    </row>
    <row r="86">
      <c r="A86" t="inlineStr">
        <is>
          <t>IP-117</t>
        </is>
      </c>
      <c r="B86" t="inlineStr">
        <is>
          <t>41</t>
        </is>
      </c>
      <c r="C86" t="inlineStr">
        <is>
          <t xml:space="preserve">Inclusión social y reconciliación </t>
        </is>
      </c>
      <c r="D86" t="inlineStr">
        <is>
          <t>4101</t>
        </is>
      </c>
      <c r="E86" t="inlineStr">
        <is>
          <t>Atención, asistencia y reparación integral a las víctimas</t>
        </is>
      </c>
      <c r="F86" t="inlineStr">
        <is>
          <t>4101073</t>
        </is>
      </c>
      <c r="G86" t="inlineStr">
        <is>
          <t>Servicio de apoyo para la generación de ingresos</t>
        </is>
      </c>
      <c r="H86" t="inlineStr">
        <is>
          <t>410107300</t>
        </is>
      </c>
      <c r="I86" t="inlineStr">
        <is>
          <t>Hogares con asistencia técnica para la generación de ingresos</t>
        </is>
      </c>
      <c r="J86" t="inlineStr">
        <is>
          <t>2024257990014</t>
        </is>
      </c>
      <c r="K86" t="inlineStr">
        <is>
          <t>No</t>
        </is>
      </c>
      <c r="L86" t="inlineStr">
        <is>
          <t>Número</t>
        </is>
      </c>
      <c r="M86">
        <v>1</v>
      </c>
      <c r="N86">
        <v>1</v>
      </c>
      <c r="O86">
        <v>1</v>
      </c>
      <c r="P86">
        <v>1</v>
      </c>
      <c r="Q86">
        <v>1</v>
      </c>
      <c r="R86">
        <v>0</v>
      </c>
      <c r="S86" s="103">
        <v>0</v>
      </c>
      <c r="T86" t="inlineStr">
        <is>
          <t>No se ejecutó en la vigencia</t>
        </is>
      </c>
      <c r="U86" t="inlineStr">
        <is>
          <t xml:space="preserve"> </t>
        </is>
      </c>
      <c r="V86" s="104" t="inlineStr">
        <is>
          <t xml:space="preserve"> </t>
        </is>
      </c>
      <c r="W86" t="inlineStr">
        <is>
          <t>No se encontró ejecución en PIIP</t>
        </is>
      </c>
    </row>
    <row r="87">
      <c r="A87" t="inlineStr">
        <is>
          <t>IP-118</t>
        </is>
      </c>
      <c r="B87" t="inlineStr">
        <is>
          <t>41</t>
        </is>
      </c>
      <c r="C87" t="inlineStr">
        <is>
          <t xml:space="preserve">Inclusión social y reconciliación </t>
        </is>
      </c>
      <c r="D87" t="inlineStr">
        <is>
          <t>4101</t>
        </is>
      </c>
      <c r="E87" t="inlineStr">
        <is>
          <t>Atención, asistencia y reparación integral a las víctimas</t>
        </is>
      </c>
      <c r="F87" t="inlineStr">
        <is>
          <t>4101014</t>
        </is>
      </c>
      <c r="G87" t="inlineStr">
        <is>
          <t>Servicio de caracterización de la población víctima para su posterior atención, asistencia y reparación integral</t>
        </is>
      </c>
      <c r="H87" t="inlineStr">
        <is>
          <t>410101400</t>
        </is>
      </c>
      <c r="I87" t="inlineStr">
        <is>
          <t>Víctimas caracterizadas</t>
        </is>
      </c>
      <c r="J87" t="inlineStr">
        <is>
          <t>2024257990014</t>
        </is>
      </c>
      <c r="K87" t="inlineStr">
        <is>
          <t>No</t>
        </is>
      </c>
      <c r="L87" t="inlineStr">
        <is>
          <t>Número</t>
        </is>
      </c>
      <c r="M87">
        <v>100</v>
      </c>
      <c r="N87">
        <v>100</v>
      </c>
      <c r="O87">
        <v>100</v>
      </c>
      <c r="P87">
        <v>100</v>
      </c>
      <c r="Q87">
        <v>100</v>
      </c>
      <c r="R87">
        <v>0</v>
      </c>
      <c r="S87" s="103">
        <v>0</v>
      </c>
      <c r="T87" t="inlineStr">
        <is>
          <t>No se ejecutó en la vigencia</t>
        </is>
      </c>
      <c r="U87" t="inlineStr">
        <is>
          <t xml:space="preserve"> </t>
        </is>
      </c>
      <c r="V87" s="104" t="inlineStr">
        <is>
          <t xml:space="preserve"> </t>
        </is>
      </c>
      <c r="W87" t="inlineStr">
        <is>
          <t>No se encontró ejecución en PIIP</t>
        </is>
      </c>
    </row>
    <row r="88">
      <c r="A88" t="inlineStr">
        <is>
          <t>IP-120</t>
        </is>
      </c>
      <c r="B88" t="inlineStr">
        <is>
          <t>41</t>
        </is>
      </c>
      <c r="C88" t="inlineStr">
        <is>
          <t xml:space="preserve">Inclusión social y reconciliación </t>
        </is>
      </c>
      <c r="D88" t="inlineStr">
        <is>
          <t>4101</t>
        </is>
      </c>
      <c r="E88" t="inlineStr">
        <is>
          <t>Atención, asistencia y reparación integral a las víctimas</t>
        </is>
      </c>
      <c r="F88" t="inlineStr">
        <is>
          <t>4101038</t>
        </is>
      </c>
      <c r="G88" t="inlineStr">
        <is>
          <t>Servicio de asistencia técnica para la participación de las víctimas</t>
        </is>
      </c>
      <c r="H88" t="inlineStr">
        <is>
          <t>410103800</t>
        </is>
      </c>
      <c r="I88" t="inlineStr">
        <is>
          <t>Eventos de participación realizados</t>
        </is>
      </c>
      <c r="J88" t="inlineStr">
        <is>
          <t>2024257990014</t>
        </is>
      </c>
      <c r="K88" t="inlineStr">
        <is>
          <t>No</t>
        </is>
      </c>
      <c r="L88" t="inlineStr">
        <is>
          <t>Número</t>
        </is>
      </c>
      <c r="M88">
        <v>1</v>
      </c>
      <c r="N88">
        <v>1</v>
      </c>
      <c r="O88">
        <v>1</v>
      </c>
      <c r="P88">
        <v>1</v>
      </c>
      <c r="Q88">
        <v>1</v>
      </c>
      <c r="R88">
        <v>0</v>
      </c>
      <c r="S88" s="103">
        <v>0</v>
      </c>
      <c r="T88" t="inlineStr">
        <is>
          <t>No se ejecutó en la vigencia</t>
        </is>
      </c>
      <c r="U88" t="inlineStr">
        <is>
          <t xml:space="preserve"> </t>
        </is>
      </c>
      <c r="V88" s="104" t="inlineStr">
        <is>
          <t xml:space="preserve"> </t>
        </is>
      </c>
      <c r="W88" t="inlineStr">
        <is>
          <t>No se encontró ejecución en PIIP</t>
        </is>
      </c>
    </row>
    <row r="89">
      <c r="A89" t="inlineStr">
        <is>
          <t>IP-121</t>
        </is>
      </c>
      <c r="B89" t="inlineStr">
        <is>
          <t>45</t>
        </is>
      </c>
      <c r="C89" t="inlineStr">
        <is>
          <t>Gobierno Territorial</t>
        </is>
      </c>
      <c r="D89" t="inlineStr">
        <is>
          <t>4502</t>
        </is>
      </c>
      <c r="E89" t="inlineStr">
        <is>
          <t>Fortalecimiento del buen gobierno para el respeto y garantía de los derechos humanos.</t>
        </is>
      </c>
      <c r="F89" t="inlineStr">
        <is>
          <t>4502024</t>
        </is>
      </c>
      <c r="G89" t="inlineStr">
        <is>
          <t>Servicio de apoyo para la implementación de medidas en derechos humanos y derecho internacional humanitario</t>
        </is>
      </c>
      <c r="H89" t="inlineStr">
        <is>
          <t>450202400</t>
        </is>
      </c>
      <c r="I89" t="inlineStr">
        <is>
          <t>Medidas implementadas en cumplimiento de las obligaciones internacionales en materia de Derechos Humanos y Derecho Internacional Humanitario</t>
        </is>
      </c>
      <c r="J89" t="inlineStr">
        <is>
          <t>2024257990015</t>
        </is>
      </c>
      <c r="K89" t="inlineStr">
        <is>
          <t>Si</t>
        </is>
      </c>
      <c r="L89" t="inlineStr">
        <is>
          <t>Número</t>
        </is>
      </c>
      <c r="M89">
        <v>35</v>
      </c>
      <c r="N89">
        <v>0</v>
      </c>
      <c r="O89">
        <v>0</v>
      </c>
      <c r="P89">
        <v>28</v>
      </c>
      <c r="Q89">
        <v>7</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IP-122</t>
        </is>
      </c>
      <c r="B90" t="inlineStr">
        <is>
          <t>45</t>
        </is>
      </c>
      <c r="C90" t="inlineStr">
        <is>
          <t>Gobierno Territorial</t>
        </is>
      </c>
      <c r="D90" t="inlineStr">
        <is>
          <t>4502</t>
        </is>
      </c>
      <c r="E90" t="inlineStr">
        <is>
          <t>Fortalecimiento del buen gobierno para el respeto y garantía de los derechos humanos.</t>
        </is>
      </c>
      <c r="F90" t="inlineStr">
        <is>
          <t>4502020</t>
        </is>
      </c>
      <c r="G90" t="inlineStr">
        <is>
          <t>Servicio de información estadística en temas de Derechos Humanos</t>
        </is>
      </c>
      <c r="H90" t="inlineStr">
        <is>
          <t>450202000</t>
        </is>
      </c>
      <c r="I90" t="inlineStr">
        <is>
          <t>Boletines estadísticos producidos</t>
        </is>
      </c>
      <c r="J90" t="inlineStr">
        <is>
          <t>2024257990015</t>
        </is>
      </c>
      <c r="K90" t="inlineStr">
        <is>
          <t>Si</t>
        </is>
      </c>
      <c r="L90" t="inlineStr">
        <is>
          <t>Número</t>
        </is>
      </c>
      <c r="M90">
        <v>1</v>
      </c>
      <c r="N90">
        <v>0</v>
      </c>
      <c r="O90">
        <v>0.33</v>
      </c>
      <c r="P90">
        <v>0.33</v>
      </c>
      <c r="Q90">
        <v>0.33</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IP-123</t>
        </is>
      </c>
      <c r="B91" t="inlineStr">
        <is>
          <t>45</t>
        </is>
      </c>
      <c r="C91" t="inlineStr">
        <is>
          <t>Gobierno Territorial</t>
        </is>
      </c>
      <c r="D91" t="inlineStr">
        <is>
          <t>4502</t>
        </is>
      </c>
      <c r="E91" t="inlineStr">
        <is>
          <t>Fortalecimiento del buen gobierno para el respeto y garantía de los derechos humanos.</t>
        </is>
      </c>
      <c r="F91" t="inlineStr">
        <is>
          <t>4502019</t>
        </is>
      </c>
      <c r="G91" t="inlineStr">
        <is>
          <t>Servicio de prevención a violaciones de derechos humanos</t>
        </is>
      </c>
      <c r="H91" t="inlineStr">
        <is>
          <t>450201900</t>
        </is>
      </c>
      <c r="I91" t="inlineStr">
        <is>
          <t>Misiones humanitarias realizadas</t>
        </is>
      </c>
      <c r="J91" t="inlineStr">
        <is>
          <t>2024257990015</t>
        </is>
      </c>
      <c r="K91" t="inlineStr">
        <is>
          <t>Si</t>
        </is>
      </c>
      <c r="L91" t="inlineStr">
        <is>
          <t>Número</t>
        </is>
      </c>
      <c r="M91">
        <v>1</v>
      </c>
      <c r="N91">
        <v>0</v>
      </c>
      <c r="O91">
        <v>0.5</v>
      </c>
      <c r="P91">
        <v>0.5</v>
      </c>
      <c r="Q91">
        <v>0</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IP-124</t>
        </is>
      </c>
      <c r="B92" t="inlineStr">
        <is>
          <t>45</t>
        </is>
      </c>
      <c r="C92" t="inlineStr">
        <is>
          <t>Gobierno Territorial</t>
        </is>
      </c>
      <c r="D92" t="inlineStr">
        <is>
          <t>4502</t>
        </is>
      </c>
      <c r="E92" t="inlineStr">
        <is>
          <t>Fortalecimiento del buen gobierno para el respeto y garantía de los derechos humanos.</t>
        </is>
      </c>
      <c r="F92" t="inlineStr">
        <is>
          <t>4502022</t>
        </is>
      </c>
      <c r="G92" t="inlineStr">
        <is>
          <t>Servicio de asistencia técnica</t>
        </is>
      </c>
      <c r="H92" t="inlineStr">
        <is>
          <t>450202200</t>
        </is>
      </c>
      <c r="I92" t="inlineStr">
        <is>
          <t>Instancias territoriales de coordinación institucional asistidas y apoyadas</t>
        </is>
      </c>
      <c r="J92" t="inlineStr">
        <is>
          <t>2024257990015</t>
        </is>
      </c>
      <c r="K92" t="inlineStr">
        <is>
          <t>Si</t>
        </is>
      </c>
      <c r="L92" t="inlineStr">
        <is>
          <t>Número</t>
        </is>
      </c>
      <c r="M92">
        <v>20</v>
      </c>
      <c r="N92">
        <v>0</v>
      </c>
      <c r="O92">
        <v>8</v>
      </c>
      <c r="P92">
        <v>8</v>
      </c>
      <c r="Q92">
        <v>4</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IP-125</t>
        </is>
      </c>
      <c r="B93" t="inlineStr">
        <is>
          <t>45</t>
        </is>
      </c>
      <c r="C93" t="inlineStr">
        <is>
          <t>Gobierno Territorial</t>
        </is>
      </c>
      <c r="D93" t="inlineStr">
        <is>
          <t>4503</t>
        </is>
      </c>
      <c r="E93" t="inlineStr">
        <is>
          <t>Gestión del riesgo de desastres y emergencias</t>
        </is>
      </c>
      <c r="F93" t="inlineStr">
        <is>
          <t>4503015</t>
        </is>
      </c>
      <c r="G93" t="inlineStr">
        <is>
          <t>Estaciones de bomberos construidas</t>
        </is>
      </c>
      <c r="H93" t="inlineStr">
        <is>
          <t>450301500</t>
        </is>
      </c>
      <c r="I93" t="inlineStr">
        <is>
          <t>Estaciones de bomberos construidas</t>
        </is>
      </c>
      <c r="J93" t="inlineStr">
        <is>
          <t>2024257990016</t>
        </is>
      </c>
      <c r="K93" t="inlineStr">
        <is>
          <t>Si</t>
        </is>
      </c>
      <c r="L93" t="inlineStr">
        <is>
          <t>Número</t>
        </is>
      </c>
      <c r="M93">
        <v>1</v>
      </c>
      <c r="N93">
        <v>0.2</v>
      </c>
      <c r="O93">
        <v>0.6</v>
      </c>
      <c r="P93">
        <v>0.2</v>
      </c>
      <c r="Q93">
        <v>0</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IP-126</t>
        </is>
      </c>
      <c r="B94" t="inlineStr">
        <is>
          <t>45</t>
        </is>
      </c>
      <c r="C94" t="inlineStr">
        <is>
          <t>Gobierno Territorial</t>
        </is>
      </c>
      <c r="D94" t="inlineStr">
        <is>
          <t>4503</t>
        </is>
      </c>
      <c r="E94" t="inlineStr">
        <is>
          <t>Gestión del riesgo de desastres y emergencias</t>
        </is>
      </c>
      <c r="F94" t="inlineStr">
        <is>
          <t>4503024</t>
        </is>
      </c>
      <c r="G94" t="inlineStr">
        <is>
          <t>Documentos normativos</t>
        </is>
      </c>
      <c r="H94" t="inlineStr">
        <is>
          <t>450302400</t>
        </is>
      </c>
      <c r="I94" t="inlineStr">
        <is>
          <t>Documentos normativos realizados</t>
        </is>
      </c>
      <c r="J94" t="inlineStr">
        <is>
          <t>2024257990016</t>
        </is>
      </c>
      <c r="K94" t="inlineStr">
        <is>
          <t>No</t>
        </is>
      </c>
      <c r="L94" t="inlineStr">
        <is>
          <t>Número</t>
        </is>
      </c>
      <c r="M94">
        <v>100</v>
      </c>
      <c r="N94">
        <v>100</v>
      </c>
      <c r="O94">
        <v>100</v>
      </c>
      <c r="P94">
        <v>100</v>
      </c>
      <c r="Q94">
        <v>100</v>
      </c>
      <c r="R94">
        <v>1</v>
      </c>
      <c r="S94" s="103">
        <v>0.01</v>
      </c>
      <c r="T94" t="inlineStr">
        <is>
          <t>Lo ejecutado está por debajo de lo programado en la vigencia</t>
        </is>
      </c>
      <c r="U94" t="inlineStr">
        <is>
          <t xml:space="preserve"> </t>
        </is>
      </c>
      <c r="V94" s="104" t="inlineStr">
        <is>
          <t xml:space="preserve"> </t>
        </is>
      </c>
      <c r="W94" t="inlineStr">
        <is>
          <t>No se encontró ejecución en PIIP</t>
        </is>
      </c>
    </row>
    <row r="95">
      <c r="A95" t="inlineStr">
        <is>
          <t>IP-127</t>
        </is>
      </c>
      <c r="B95" t="inlineStr">
        <is>
          <t>45</t>
        </is>
      </c>
      <c r="C95" t="inlineStr">
        <is>
          <t>Gobierno Territorial</t>
        </is>
      </c>
      <c r="D95" t="inlineStr">
        <is>
          <t>4503</t>
        </is>
      </c>
      <c r="E95" t="inlineStr">
        <is>
          <t>Gestión del riesgo de desastres y emergencias</t>
        </is>
      </c>
      <c r="F95" t="inlineStr">
        <is>
          <t>4503008</t>
        </is>
      </c>
      <c r="G95" t="inlineStr">
        <is>
          <t>Infraestructura para alojamiento temporal con reforzamiento estructural</t>
        </is>
      </c>
      <c r="H95" t="inlineStr">
        <is>
          <t>450300800</t>
        </is>
      </c>
      <c r="I95" t="inlineStr">
        <is>
          <t>Infraestructura para alojamiento temporal con reforzamiento estructural</t>
        </is>
      </c>
      <c r="J95" t="inlineStr">
        <is>
          <t>2024257990016</t>
        </is>
      </c>
      <c r="K95" t="inlineStr">
        <is>
          <t>Si</t>
        </is>
      </c>
      <c r="L95" t="inlineStr">
        <is>
          <t>Número</t>
        </is>
      </c>
      <c r="M95">
        <v>3</v>
      </c>
      <c r="N95">
        <v>0</v>
      </c>
      <c r="O95">
        <v>1</v>
      </c>
      <c r="P95">
        <v>1</v>
      </c>
      <c r="Q95">
        <v>1</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IP-128</t>
        </is>
      </c>
      <c r="B96" t="inlineStr">
        <is>
          <t>45</t>
        </is>
      </c>
      <c r="C96" t="inlineStr">
        <is>
          <t>Gobierno Territorial</t>
        </is>
      </c>
      <c r="D96" t="inlineStr">
        <is>
          <t>4503</t>
        </is>
      </c>
      <c r="E96" t="inlineStr">
        <is>
          <t>Gestión del riesgo de desastres y emergencias</t>
        </is>
      </c>
      <c r="F96" t="inlineStr">
        <is>
          <t>4503004</t>
        </is>
      </c>
      <c r="G96" t="inlineStr">
        <is>
          <t>Servicio de atención a emergencias y desastres</t>
        </is>
      </c>
      <c r="H96" t="inlineStr">
        <is>
          <t>450300400</t>
        </is>
      </c>
      <c r="I96" t="inlineStr">
        <is>
          <t>Emergencias y desastres atendidas</t>
        </is>
      </c>
      <c r="J96" t="inlineStr">
        <is>
          <t>2024257990016</t>
        </is>
      </c>
      <c r="K96" t="inlineStr">
        <is>
          <t>No</t>
        </is>
      </c>
      <c r="L96" t="inlineStr">
        <is>
          <t>Número</t>
        </is>
      </c>
      <c r="M96">
        <v>100</v>
      </c>
      <c r="N96">
        <v>100</v>
      </c>
      <c r="O96">
        <v>100</v>
      </c>
      <c r="P96">
        <v>100</v>
      </c>
      <c r="Q96">
        <v>100</v>
      </c>
      <c r="R96">
        <v>0</v>
      </c>
      <c r="S96" s="103">
        <v>0</v>
      </c>
      <c r="T96" t="inlineStr">
        <is>
          <t>No se ejecutó en la vigencia</t>
        </is>
      </c>
      <c r="U96" t="inlineStr">
        <is>
          <t xml:space="preserve"> </t>
        </is>
      </c>
      <c r="V96" s="104" t="inlineStr">
        <is>
          <t xml:space="preserve"> </t>
        </is>
      </c>
      <c r="W96" t="inlineStr">
        <is>
          <t>No se encontró ejecución en PIIP</t>
        </is>
      </c>
    </row>
    <row r="97">
      <c r="A97" t="inlineStr">
        <is>
          <t>IP-129</t>
        </is>
      </c>
      <c r="B97" t="inlineStr">
        <is>
          <t>35</t>
        </is>
      </c>
      <c r="C97" t="inlineStr">
        <is>
          <t>Comercio, industria y turismo</t>
        </is>
      </c>
      <c r="D97" t="inlineStr">
        <is>
          <t>3502</t>
        </is>
      </c>
      <c r="E97" t="inlineStr">
        <is>
          <t>Productividad y competitividad de las empresas colombianas</t>
        </is>
      </c>
      <c r="F97" t="inlineStr">
        <is>
          <t>3502048</t>
        </is>
      </c>
      <c r="G97" t="inlineStr">
        <is>
          <t>Documentos normativos</t>
        </is>
      </c>
      <c r="H97" t="inlineStr">
        <is>
          <t>350204800</t>
        </is>
      </c>
      <c r="I97" t="inlineStr">
        <is>
          <t>Documentos realizados</t>
        </is>
      </c>
      <c r="J97" t="inlineStr">
        <is>
          <t>2024257990017</t>
        </is>
      </c>
      <c r="K97" t="inlineStr">
        <is>
          <t>Si</t>
        </is>
      </c>
      <c r="L97" t="inlineStr">
        <is>
          <t>Número</t>
        </is>
      </c>
      <c r="M97">
        <v>1</v>
      </c>
      <c r="N97">
        <v>0.2</v>
      </c>
      <c r="O97">
        <v>0.6</v>
      </c>
      <c r="P97">
        <v>0.1</v>
      </c>
      <c r="Q97">
        <v>0.1</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IP-130, IP-133, IP-142</t>
        </is>
      </c>
      <c r="B98" t="inlineStr">
        <is>
          <t>35</t>
        </is>
      </c>
      <c r="C98" t="inlineStr">
        <is>
          <t>Comercio, industria y turismo</t>
        </is>
      </c>
      <c r="D98" t="inlineStr">
        <is>
          <t>3502</t>
        </is>
      </c>
      <c r="E98" t="inlineStr">
        <is>
          <t>Productividad y competitividad de las empresas colombianas</t>
        </is>
      </c>
      <c r="F98" t="inlineStr">
        <is>
          <t>3502046</t>
        </is>
      </c>
      <c r="G98" t="inlineStr">
        <is>
          <t>Servicio de promoción turística</t>
        </is>
      </c>
      <c r="H98" t="inlineStr">
        <is>
          <t>350204600</t>
        </is>
      </c>
      <c r="I98" t="inlineStr">
        <is>
          <t>Campañas realizadas</t>
        </is>
      </c>
      <c r="J98" t="inlineStr">
        <is>
          <t>2024257990017</t>
        </is>
      </c>
      <c r="K98" t="inlineStr">
        <is>
          <t>Si</t>
        </is>
      </c>
      <c r="L98" t="inlineStr">
        <is>
          <t>Número</t>
        </is>
      </c>
      <c r="M98">
        <v>3</v>
      </c>
      <c r="N98">
        <v>0.45</v>
      </c>
      <c r="O98">
        <v>0.85</v>
      </c>
      <c r="P98">
        <v>1</v>
      </c>
      <c r="Q98">
        <v>0.7</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IP-131, IP-144, IP-148</t>
        </is>
      </c>
      <c r="B99" t="inlineStr">
        <is>
          <t>35</t>
        </is>
      </c>
      <c r="C99" t="inlineStr">
        <is>
          <t>Comercio, industria y turismo</t>
        </is>
      </c>
      <c r="D99" t="inlineStr">
        <is>
          <t>3502</t>
        </is>
      </c>
      <c r="E99" t="inlineStr">
        <is>
          <t>Productividad y competitividad de las empresas colombianas</t>
        </is>
      </c>
      <c r="F99" t="inlineStr">
        <is>
          <t>3502045</t>
        </is>
      </c>
      <c r="G99" t="inlineStr">
        <is>
          <t>Servicio de educación informal en asuntos turísticos</t>
        </is>
      </c>
      <c r="H99" t="inlineStr">
        <is>
          <t>350204500</t>
        </is>
      </c>
      <c r="I99" t="inlineStr">
        <is>
          <t>Personas capacitadas</t>
        </is>
      </c>
      <c r="J99" t="inlineStr">
        <is>
          <t>2024257990017</t>
        </is>
      </c>
      <c r="K99" t="inlineStr">
        <is>
          <t>Si</t>
        </is>
      </c>
      <c r="L99" t="inlineStr">
        <is>
          <t>Número</t>
        </is>
      </c>
      <c r="M99">
        <v>8</v>
      </c>
      <c r="N99">
        <v>5</v>
      </c>
      <c r="O99">
        <v>6.3</v>
      </c>
      <c r="P99">
        <v>7.4</v>
      </c>
      <c r="Q99">
        <v>7.3</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IP-132, IP-137</t>
        </is>
      </c>
      <c r="B100" t="inlineStr">
        <is>
          <t>35</t>
        </is>
      </c>
      <c r="C100" t="inlineStr">
        <is>
          <t>Comercio, industria y turismo</t>
        </is>
      </c>
      <c r="D100" t="inlineStr">
        <is>
          <t>3502</t>
        </is>
      </c>
      <c r="E100" t="inlineStr">
        <is>
          <t>Productividad y competitividad de las empresas colombianas</t>
        </is>
      </c>
      <c r="F100" t="inlineStr">
        <is>
          <t>3502012</t>
        </is>
      </c>
      <c r="G100" t="inlineStr">
        <is>
          <t>Servicio de apoyo para la modernización y fomento de la innovación empresarial</t>
        </is>
      </c>
      <c r="H100" t="inlineStr">
        <is>
          <t>350201200</t>
        </is>
      </c>
      <c r="I100" t="inlineStr">
        <is>
          <t>Proyectos de innovación cofinanciados</t>
        </is>
      </c>
      <c r="J100" t="inlineStr">
        <is>
          <t>2024257990017</t>
        </is>
      </c>
      <c r="K100" t="inlineStr">
        <is>
          <t>Si</t>
        </is>
      </c>
      <c r="L100" t="inlineStr">
        <is>
          <t>Número</t>
        </is>
      </c>
      <c r="M100">
        <v>4</v>
      </c>
      <c r="N100">
        <v>31</v>
      </c>
      <c r="O100">
        <v>31</v>
      </c>
      <c r="P100">
        <v>21</v>
      </c>
      <c r="Q100">
        <v>20</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IP-134, IP-149</t>
        </is>
      </c>
      <c r="B101" t="inlineStr">
        <is>
          <t>35</t>
        </is>
      </c>
      <c r="C101" t="inlineStr">
        <is>
          <t>Comercio, industria y turismo</t>
        </is>
      </c>
      <c r="D101" t="inlineStr">
        <is>
          <t>3502</t>
        </is>
      </c>
      <c r="E101" t="inlineStr">
        <is>
          <t>Productividad y competitividad de las empresas colombianas</t>
        </is>
      </c>
      <c r="F101" t="inlineStr">
        <is>
          <t>3502036</t>
        </is>
      </c>
      <c r="G101" t="inlineStr">
        <is>
          <t>Servicio de apoyo financiero para la competitividad turística</t>
        </is>
      </c>
      <c r="H101" t="inlineStr">
        <is>
          <t>350203600</t>
        </is>
      </c>
      <c r="I101" t="inlineStr">
        <is>
          <t>Proyectos cofinanciados para la adecuación de la oferta turística</t>
        </is>
      </c>
      <c r="J101" t="inlineStr">
        <is>
          <t>2024257990017</t>
        </is>
      </c>
      <c r="K101" t="inlineStr">
        <is>
          <t>Si</t>
        </is>
      </c>
      <c r="L101" t="inlineStr">
        <is>
          <t>Número</t>
        </is>
      </c>
      <c r="M101">
        <v>6</v>
      </c>
      <c r="N101">
        <v>0</v>
      </c>
      <c r="O101">
        <v>5</v>
      </c>
      <c r="P101">
        <v>5.7</v>
      </c>
      <c r="Q101">
        <v>5.3</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IP-135</t>
        </is>
      </c>
      <c r="B102" t="inlineStr">
        <is>
          <t>35</t>
        </is>
      </c>
      <c r="C102" t="inlineStr">
        <is>
          <t>Comercio, industria y turismo</t>
        </is>
      </c>
      <c r="D102" t="inlineStr">
        <is>
          <t>3502</t>
        </is>
      </c>
      <c r="E102" t="inlineStr">
        <is>
          <t>Productividad y competitividad de las empresas colombianas</t>
        </is>
      </c>
      <c r="F102" t="inlineStr">
        <is>
          <t>3502039</t>
        </is>
      </c>
      <c r="G102" t="inlineStr">
        <is>
          <t>Servicio de asistencia técnica a los entes territoriales para el desarrollo turístico</t>
        </is>
      </c>
      <c r="H102" t="inlineStr">
        <is>
          <t>350203900</t>
        </is>
      </c>
      <c r="I102" t="inlineStr">
        <is>
          <t>Entidades territoriales asistidas técnicamente</t>
        </is>
      </c>
      <c r="J102" t="inlineStr">
        <is>
          <t>2024257990017</t>
        </is>
      </c>
      <c r="K102" t="inlineStr">
        <is>
          <t>Si</t>
        </is>
      </c>
      <c r="L102" t="inlineStr">
        <is>
          <t>Número</t>
        </is>
      </c>
      <c r="M102">
        <v>4</v>
      </c>
      <c r="N102">
        <v>0</v>
      </c>
      <c r="O102">
        <v>1</v>
      </c>
      <c r="P102">
        <v>1</v>
      </c>
      <c r="Q102">
        <v>1</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IP-136</t>
        </is>
      </c>
      <c r="B103" t="inlineStr">
        <is>
          <t>35</t>
        </is>
      </c>
      <c r="C103" t="inlineStr">
        <is>
          <t>Comercio, industria y turismo</t>
        </is>
      </c>
      <c r="D103" t="inlineStr">
        <is>
          <t>3502</t>
        </is>
      </c>
      <c r="E103" t="inlineStr">
        <is>
          <t>Productividad y competitividad de las empresas colombianas</t>
        </is>
      </c>
      <c r="F103" t="inlineStr">
        <is>
          <t>3502043</t>
        </is>
      </c>
      <c r="G103" t="inlineStr">
        <is>
          <t>Ecoparque turístico construido</t>
        </is>
      </c>
      <c r="H103" t="inlineStr">
        <is>
          <t>350204300</t>
        </is>
      </c>
      <c r="I103" t="inlineStr">
        <is>
          <t>Ecoparque turístico construido</t>
        </is>
      </c>
      <c r="J103" t="inlineStr">
        <is>
          <t>2024257990017</t>
        </is>
      </c>
      <c r="K103" t="inlineStr">
        <is>
          <t>Si</t>
        </is>
      </c>
      <c r="L103" t="inlineStr">
        <is>
          <t>Número</t>
        </is>
      </c>
      <c r="M103">
        <v>1</v>
      </c>
      <c r="N103">
        <v>0</v>
      </c>
      <c r="O103">
        <v>0.4</v>
      </c>
      <c r="P103">
        <v>0.4</v>
      </c>
      <c r="Q103">
        <v>0.2</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IP-138</t>
        </is>
      </c>
      <c r="B104" t="inlineStr">
        <is>
          <t>35</t>
        </is>
      </c>
      <c r="C104" t="inlineStr">
        <is>
          <t>Comercio, industria y turismo</t>
        </is>
      </c>
      <c r="D104" t="inlineStr">
        <is>
          <t>3502</t>
        </is>
      </c>
      <c r="E104" t="inlineStr">
        <is>
          <t>Productividad y competitividad de las empresas colombianas</t>
        </is>
      </c>
      <c r="F104" t="inlineStr">
        <is>
          <t>3502059</t>
        </is>
      </c>
      <c r="G104" t="inlineStr">
        <is>
          <t>Señalización turística construida</t>
        </is>
      </c>
      <c r="H104" t="inlineStr">
        <is>
          <t>350205900</t>
        </is>
      </c>
      <c r="I104" t="inlineStr">
        <is>
          <t>Señalización realizada</t>
        </is>
      </c>
      <c r="J104" t="inlineStr">
        <is>
          <t>2024257990017</t>
        </is>
      </c>
      <c r="K104" t="inlineStr">
        <is>
          <t>Si</t>
        </is>
      </c>
      <c r="L104" t="inlineStr">
        <is>
          <t>Número</t>
        </is>
      </c>
      <c r="M104">
        <v>4</v>
      </c>
      <c r="N104">
        <v>1</v>
      </c>
      <c r="O104">
        <v>1</v>
      </c>
      <c r="P104">
        <v>1</v>
      </c>
      <c r="Q104">
        <v>1</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IP-139, IP-140, IP-145</t>
        </is>
      </c>
      <c r="B105" t="inlineStr">
        <is>
          <t>35</t>
        </is>
      </c>
      <c r="C105" t="inlineStr">
        <is>
          <t>Comercio, industria y turismo</t>
        </is>
      </c>
      <c r="D105" t="inlineStr">
        <is>
          <t>3502</t>
        </is>
      </c>
      <c r="E105" t="inlineStr">
        <is>
          <t>Productividad y competitividad de las empresas colombianas</t>
        </is>
      </c>
      <c r="F105" t="inlineStr">
        <is>
          <t>3502093</t>
        </is>
      </c>
      <c r="G105" t="inlineStr">
        <is>
          <t>Servicios de información turística a nivel nacional</t>
        </is>
      </c>
      <c r="H105" t="inlineStr">
        <is>
          <t>350209300</t>
        </is>
      </c>
      <c r="I105" t="inlineStr">
        <is>
          <t>Portales integrados</t>
        </is>
      </c>
      <c r="J105" t="inlineStr">
        <is>
          <t>2024257990017</t>
        </is>
      </c>
      <c r="K105" t="inlineStr">
        <is>
          <t>Si</t>
        </is>
      </c>
      <c r="L105" t="inlineStr">
        <is>
          <t>Número</t>
        </is>
      </c>
      <c r="M105">
        <v>4.59</v>
      </c>
      <c r="N105">
        <v>1.2</v>
      </c>
      <c r="O105">
        <v>3.4</v>
      </c>
      <c r="P105">
        <v>3.89</v>
      </c>
      <c r="Q105">
        <v>1.1</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IP-141, IP-146</t>
        </is>
      </c>
      <c r="B106" t="inlineStr">
        <is>
          <t>35</t>
        </is>
      </c>
      <c r="C106" t="inlineStr">
        <is>
          <t>Comercio, industria y turismo</t>
        </is>
      </c>
      <c r="D106" t="inlineStr">
        <is>
          <t>3502</t>
        </is>
      </c>
      <c r="E106" t="inlineStr">
        <is>
          <t>Productividad y competitividad de las empresas colombianas</t>
        </is>
      </c>
      <c r="F106" t="inlineStr">
        <is>
          <t>3502046</t>
        </is>
      </c>
      <c r="G106" t="inlineStr">
        <is>
          <t>Servicio de promoción turística</t>
        </is>
      </c>
      <c r="H106" t="inlineStr">
        <is>
          <t>350204600</t>
        </is>
      </c>
      <c r="I106" t="inlineStr">
        <is>
          <t>Campañas realizadas</t>
        </is>
      </c>
      <c r="J106" t="inlineStr">
        <is>
          <t>2024257990017</t>
        </is>
      </c>
      <c r="K106" t="inlineStr">
        <is>
          <t>No</t>
        </is>
      </c>
      <c r="L106" t="inlineStr">
        <is>
          <t>Número</t>
        </is>
      </c>
      <c r="M106">
        <v>12</v>
      </c>
      <c r="N106">
        <v>3</v>
      </c>
      <c r="O106">
        <v>3</v>
      </c>
      <c r="P106">
        <v>3</v>
      </c>
      <c r="Q106">
        <v>3</v>
      </c>
      <c r="R106">
        <v>0.5</v>
      </c>
      <c r="S106" s="103">
        <v>0.166666666666667</v>
      </c>
      <c r="T106" t="inlineStr">
        <is>
          <t>Lo ejecutado está por debajo de lo programado en la vigencia</t>
        </is>
      </c>
      <c r="U106">
        <v>0.7</v>
      </c>
      <c r="V106" s="104">
        <v>0.233333333333333</v>
      </c>
      <c r="W106" t="inlineStr">
        <is>
          <t>Lo ejecutado está por debajo de lo programado en la vigencia</t>
        </is>
      </c>
    </row>
    <row r="107">
      <c r="A107" t="inlineStr">
        <is>
          <t>IP-143</t>
        </is>
      </c>
      <c r="B107" t="inlineStr">
        <is>
          <t>35</t>
        </is>
      </c>
      <c r="C107" t="inlineStr">
        <is>
          <t>Comercio, industria y turismo</t>
        </is>
      </c>
      <c r="D107" t="inlineStr">
        <is>
          <t>3502</t>
        </is>
      </c>
      <c r="E107" t="inlineStr">
        <is>
          <t>Productividad y competitividad de las empresas colombianas</t>
        </is>
      </c>
      <c r="F107" t="inlineStr">
        <is>
          <t>3502049</t>
        </is>
      </c>
      <c r="G107" t="inlineStr">
        <is>
          <t>Servicio de circuito turístico</t>
        </is>
      </c>
      <c r="H107" t="inlineStr">
        <is>
          <t>350204900</t>
        </is>
      </c>
      <c r="I107" t="inlineStr">
        <is>
          <t>Recorridos realizados</t>
        </is>
      </c>
      <c r="J107" t="inlineStr">
        <is>
          <t>2024257990017</t>
        </is>
      </c>
      <c r="K107" t="inlineStr">
        <is>
          <t>Si</t>
        </is>
      </c>
      <c r="L107" t="inlineStr">
        <is>
          <t>Número</t>
        </is>
      </c>
      <c r="M107">
        <v>2</v>
      </c>
      <c r="N107">
        <v>0.2</v>
      </c>
      <c r="O107">
        <v>0.4</v>
      </c>
      <c r="P107">
        <v>0.2</v>
      </c>
      <c r="Q107">
        <v>0.2</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IP-147</t>
        </is>
      </c>
      <c r="B108" t="inlineStr">
        <is>
          <t>35</t>
        </is>
      </c>
      <c r="C108" t="inlineStr">
        <is>
          <t>Comercio, industria y turismo</t>
        </is>
      </c>
      <c r="D108" t="inlineStr">
        <is>
          <t>3502</t>
        </is>
      </c>
      <c r="E108" t="inlineStr">
        <is>
          <t>Productividad y competitividad de las empresas colombianas</t>
        </is>
      </c>
      <c r="F108" t="inlineStr">
        <is>
          <t>3502053</t>
        </is>
      </c>
      <c r="G108" t="inlineStr">
        <is>
          <t>Centro turístico construido</t>
        </is>
      </c>
      <c r="H108" t="inlineStr">
        <is>
          <t>350205300</t>
        </is>
      </c>
      <c r="I108" t="inlineStr">
        <is>
          <t>Centro turístico construido</t>
        </is>
      </c>
      <c r="J108" t="inlineStr">
        <is>
          <t>2024257990017</t>
        </is>
      </c>
      <c r="K108" t="inlineStr">
        <is>
          <t>Si</t>
        </is>
      </c>
      <c r="L108" t="inlineStr">
        <is>
          <t>Número</t>
        </is>
      </c>
      <c r="M108">
        <v>1</v>
      </c>
      <c r="N108">
        <v>0</v>
      </c>
      <c r="O108">
        <v>1</v>
      </c>
      <c r="P108">
        <v>0</v>
      </c>
      <c r="Q108">
        <v>0</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IP-150, IP-154</t>
        </is>
      </c>
      <c r="B109" t="inlineStr">
        <is>
          <t>17</t>
        </is>
      </c>
      <c r="C109" t="inlineStr">
        <is>
          <t xml:space="preserve">Agricultura y desarrollo rural
</t>
        </is>
      </c>
      <c r="D109" t="inlineStr">
        <is>
          <t>1702</t>
        </is>
      </c>
      <c r="E109" t="inlineStr">
        <is>
          <t>Inclusión productiva de pequeños productores rurales</t>
        </is>
      </c>
      <c r="F109" t="inlineStr">
        <is>
          <t>1702017</t>
        </is>
      </c>
      <c r="G109" t="inlineStr">
        <is>
          <t>Servicio de apoyo para el fomento organizativo de la Agricultura Campesina, Familiar y Comunitaria</t>
        </is>
      </c>
      <c r="H109" t="inlineStr">
        <is>
          <t>170201700</t>
        </is>
      </c>
      <c r="I109" t="inlineStr">
        <is>
          <t>Productores agropecuarios apoyados</t>
        </is>
      </c>
      <c r="J109" t="inlineStr">
        <is>
          <t>2024257990018</t>
        </is>
      </c>
      <c r="K109" t="inlineStr">
        <is>
          <t>No</t>
        </is>
      </c>
      <c r="L109" t="inlineStr">
        <is>
          <t>Número</t>
        </is>
      </c>
      <c r="M109">
        <v>31</v>
      </c>
      <c r="N109">
        <v>8.5</v>
      </c>
      <c r="O109">
        <v>8.5</v>
      </c>
      <c r="P109">
        <v>8.5</v>
      </c>
      <c r="Q109">
        <v>8.5</v>
      </c>
      <c r="R109">
        <v>300</v>
      </c>
      <c r="S109" s="103">
        <v>35.2941176470588</v>
      </c>
      <c r="T109" t="inlineStr">
        <is>
          <t>Hubo ejecución por encima de lo programado en SisPT</t>
        </is>
      </c>
      <c r="U109">
        <v>420</v>
      </c>
      <c r="V109" s="104">
        <v>49.4117647058824</v>
      </c>
      <c r="W109" t="inlineStr">
        <is>
          <t>Hubo ejecución por encima de lo programado en SisPT</t>
        </is>
      </c>
    </row>
    <row r="110">
      <c r="A110" t="inlineStr">
        <is>
          <t>IP-151</t>
        </is>
      </c>
      <c r="B110" t="inlineStr">
        <is>
          <t>17</t>
        </is>
      </c>
      <c r="C110" t="inlineStr">
        <is>
          <t xml:space="preserve">Agricultura y desarrollo rural
</t>
        </is>
      </c>
      <c r="D110" t="inlineStr">
        <is>
          <t>1702</t>
        </is>
      </c>
      <c r="E110" t="inlineStr">
        <is>
          <t>Inclusión productiva de pequeños productores rurales</t>
        </is>
      </c>
      <c r="F110" t="inlineStr">
        <is>
          <t>1702010</t>
        </is>
      </c>
      <c r="G110" t="inlineStr">
        <is>
          <t>Servicio de asistencia técnica agropecuaria dirigida a pequeños productores</t>
        </is>
      </c>
      <c r="H110" t="inlineStr">
        <is>
          <t>170201000</t>
        </is>
      </c>
      <c r="I110" t="inlineStr">
        <is>
          <t>Pequeños productores rurales asistidos técnicamente</t>
        </is>
      </c>
      <c r="J110" t="inlineStr">
        <is>
          <t>2024257990018</t>
        </is>
      </c>
      <c r="K110" t="inlineStr">
        <is>
          <t>No</t>
        </is>
      </c>
      <c r="L110" t="inlineStr">
        <is>
          <t>Número</t>
        </is>
      </c>
      <c r="M110">
        <v>1</v>
      </c>
      <c r="N110">
        <v>1</v>
      </c>
      <c r="O110">
        <v>1</v>
      </c>
      <c r="P110">
        <v>1</v>
      </c>
      <c r="Q110">
        <v>1</v>
      </c>
      <c r="R110">
        <v>200</v>
      </c>
      <c r="S110" s="103">
        <v>200</v>
      </c>
      <c r="T110" t="inlineStr">
        <is>
          <t>Hubo ejecución por encima de lo programado en SisPT</t>
        </is>
      </c>
      <c r="U110">
        <v>400</v>
      </c>
      <c r="V110" s="104">
        <v>400</v>
      </c>
      <c r="W110" t="inlineStr">
        <is>
          <t>Hubo ejecución por encima de lo programado en SisPT</t>
        </is>
      </c>
    </row>
    <row r="111">
      <c r="A111" t="inlineStr">
        <is>
          <t>IP-152, IP-153</t>
        </is>
      </c>
      <c r="B111" t="inlineStr">
        <is>
          <t>17</t>
        </is>
      </c>
      <c r="C111" t="inlineStr">
        <is>
          <t xml:space="preserve">Agricultura y desarrollo rural
</t>
        </is>
      </c>
      <c r="D111" t="inlineStr">
        <is>
          <t>1702</t>
        </is>
      </c>
      <c r="E111" t="inlineStr">
        <is>
          <t>Inclusión productiva de pequeños productores rurales</t>
        </is>
      </c>
      <c r="F111" t="inlineStr">
        <is>
          <t>1702024</t>
        </is>
      </c>
      <c r="G111" t="inlineStr">
        <is>
          <t>Servicios de acompañamiento en la implementaciónde Planes de desarrollo agropecuario y rural</t>
        </is>
      </c>
      <c r="H111" t="inlineStr">
        <is>
          <t>170202400</t>
        </is>
      </c>
      <c r="I111" t="inlineStr">
        <is>
          <t>Planes de Desarrollo Agropecuario y Rural acompañados</t>
        </is>
      </c>
      <c r="J111" t="inlineStr">
        <is>
          <t>2024257990018</t>
        </is>
      </c>
      <c r="K111" t="inlineStr">
        <is>
          <t>Si</t>
        </is>
      </c>
      <c r="L111" t="inlineStr">
        <is>
          <t>Número</t>
        </is>
      </c>
      <c r="M111">
        <v>5</v>
      </c>
      <c r="N111">
        <v>1.1</v>
      </c>
      <c r="O111">
        <v>1.3</v>
      </c>
      <c r="P111">
        <v>1.4</v>
      </c>
      <c r="Q111">
        <v>1.2</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IP-155</t>
        </is>
      </c>
      <c r="B112" t="inlineStr">
        <is>
          <t>17</t>
        </is>
      </c>
      <c r="C112" t="inlineStr">
        <is>
          <t xml:space="preserve">Agricultura y desarrollo rural
</t>
        </is>
      </c>
      <c r="D112" t="inlineStr">
        <is>
          <t>1702</t>
        </is>
      </c>
      <c r="E112" t="inlineStr">
        <is>
          <t>Inclusión productiva de pequeños productores rurales</t>
        </is>
      </c>
      <c r="F112" t="inlineStr">
        <is>
          <t>1702023</t>
        </is>
      </c>
      <c r="G112" t="inlineStr">
        <is>
          <t>Documentos de planeación</t>
        </is>
      </c>
      <c r="H112" t="inlineStr">
        <is>
          <t>170202300</t>
        </is>
      </c>
      <c r="I112" t="inlineStr">
        <is>
          <t>Documentos de planeación elaborados</t>
        </is>
      </c>
      <c r="J112" t="inlineStr">
        <is>
          <t>2024257990018</t>
        </is>
      </c>
      <c r="K112" t="inlineStr">
        <is>
          <t>Si</t>
        </is>
      </c>
      <c r="L112" t="inlineStr">
        <is>
          <t>Número</t>
        </is>
      </c>
      <c r="M112">
        <v>63.7</v>
      </c>
      <c r="N112">
        <v>10</v>
      </c>
      <c r="O112">
        <v>10</v>
      </c>
      <c r="P112">
        <v>10</v>
      </c>
      <c r="Q112">
        <v>10</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IP-156</t>
        </is>
      </c>
      <c r="B113" t="inlineStr">
        <is>
          <t>17</t>
        </is>
      </c>
      <c r="C113" t="inlineStr">
        <is>
          <t xml:space="preserve">Agricultura y desarrollo rural
</t>
        </is>
      </c>
      <c r="D113" t="inlineStr">
        <is>
          <t>1707</t>
        </is>
      </c>
      <c r="E113" t="inlineStr">
        <is>
          <t>Sanidad agropecuaria e inocuidad agroalimentaria</t>
        </is>
      </c>
      <c r="F113" t="inlineStr">
        <is>
          <t>1707069</t>
        </is>
      </c>
      <c r="G113" t="inlineStr">
        <is>
          <t>Servicio de divulgación y socialización</t>
        </is>
      </c>
      <c r="H113" t="inlineStr">
        <is>
          <t>170706900</t>
        </is>
      </c>
      <c r="I113" t="inlineStr">
        <is>
          <t>Eventos realizados</t>
        </is>
      </c>
      <c r="J113" t="inlineStr">
        <is>
          <t>2024257990019</t>
        </is>
      </c>
      <c r="K113" t="inlineStr">
        <is>
          <t>Si</t>
        </is>
      </c>
      <c r="L113" t="inlineStr">
        <is>
          <t>Número</t>
        </is>
      </c>
      <c r="M113">
        <v>40</v>
      </c>
      <c r="N113">
        <v>10</v>
      </c>
      <c r="O113">
        <v>10</v>
      </c>
      <c r="P113">
        <v>10</v>
      </c>
      <c r="Q113">
        <v>10</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IP-157</t>
        </is>
      </c>
      <c r="B114" t="inlineStr">
        <is>
          <t>17</t>
        </is>
      </c>
      <c r="C114" t="inlineStr">
        <is>
          <t xml:space="preserve">Agricultura y desarrollo rural
</t>
        </is>
      </c>
      <c r="D114" t="inlineStr">
        <is>
          <t>1707</t>
        </is>
      </c>
      <c r="E114" t="inlineStr">
        <is>
          <t>Sanidad agropecuaria e inocuidad agroalimentaria</t>
        </is>
      </c>
      <c r="F114" t="inlineStr">
        <is>
          <t>1707070</t>
        </is>
      </c>
      <c r="G114" t="inlineStr">
        <is>
          <t>Documentos de política</t>
        </is>
      </c>
      <c r="H114" t="inlineStr">
        <is>
          <t>170707000</t>
        </is>
      </c>
      <c r="I114" t="inlineStr">
        <is>
          <t>Documentos de política elaborados</t>
        </is>
      </c>
      <c r="J114" t="inlineStr">
        <is>
          <t>2024257990019</t>
        </is>
      </c>
      <c r="K114" t="inlineStr">
        <is>
          <t>Si</t>
        </is>
      </c>
      <c r="L114" t="inlineStr">
        <is>
          <t>Número</t>
        </is>
      </c>
      <c r="M114">
        <v>4</v>
      </c>
      <c r="N114">
        <v>0</v>
      </c>
      <c r="O114">
        <v>2</v>
      </c>
      <c r="P114">
        <v>2</v>
      </c>
      <c r="Q114">
        <v>0</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IP-158</t>
        </is>
      </c>
      <c r="B115" t="inlineStr">
        <is>
          <t>35</t>
        </is>
      </c>
      <c r="C115" t="inlineStr">
        <is>
          <t>Comercio, industria y turismo</t>
        </is>
      </c>
      <c r="D115" t="inlineStr">
        <is>
          <t>3502</t>
        </is>
      </c>
      <c r="E115" t="inlineStr">
        <is>
          <t>Productividad y competitividad de las empresas colombianas</t>
        </is>
      </c>
      <c r="F115" t="inlineStr">
        <is>
          <t>3502012</t>
        </is>
      </c>
      <c r="G115" t="inlineStr">
        <is>
          <t>Servicio de apoyo para la modernización y fomento de la innovación empresarial</t>
        </is>
      </c>
      <c r="H115" t="inlineStr">
        <is>
          <t>350201200</t>
        </is>
      </c>
      <c r="I115" t="inlineStr">
        <is>
          <t>Proyectos de innovación cofinanciados</t>
        </is>
      </c>
      <c r="J115" t="inlineStr">
        <is>
          <t>2024257990020</t>
        </is>
      </c>
      <c r="K115" t="inlineStr">
        <is>
          <t>No</t>
        </is>
      </c>
      <c r="L115" t="inlineStr">
        <is>
          <t>Número</t>
        </is>
      </c>
      <c r="M115">
        <v>5</v>
      </c>
      <c r="N115">
        <v>5</v>
      </c>
      <c r="O115">
        <v>5</v>
      </c>
      <c r="P115">
        <v>5</v>
      </c>
      <c r="Q115">
        <v>5</v>
      </c>
      <c r="R115">
        <v>5</v>
      </c>
      <c r="S115" s="103">
        <v>1</v>
      </c>
      <c r="T115" t="inlineStr">
        <is>
          <t>Se ejecutó el 100% de lo programado en la vigencia</t>
        </is>
      </c>
      <c r="U115">
        <v>2.5</v>
      </c>
      <c r="V115" s="104">
        <v>0.5</v>
      </c>
      <c r="W115" t="inlineStr">
        <is>
          <t>Lo ejecutado está por debajo de lo programado en la vigencia</t>
        </is>
      </c>
    </row>
    <row r="116">
      <c r="A116" t="inlineStr">
        <is>
          <t>IP-159</t>
        </is>
      </c>
      <c r="B116" t="inlineStr">
        <is>
          <t>35</t>
        </is>
      </c>
      <c r="C116" t="inlineStr">
        <is>
          <t>Comercio, industria y turismo</t>
        </is>
      </c>
      <c r="D116" t="inlineStr">
        <is>
          <t>3502</t>
        </is>
      </c>
      <c r="E116" t="inlineStr">
        <is>
          <t>Productividad y competitividad de las empresas colombianas</t>
        </is>
      </c>
      <c r="F116" t="inlineStr">
        <is>
          <t>3502004</t>
        </is>
      </c>
      <c r="G116" t="inlineStr">
        <is>
          <t>Servicio de apoyo financiero para el mejoramiento de productos o procesos</t>
        </is>
      </c>
      <c r="H116" t="inlineStr">
        <is>
          <t>350200400</t>
        </is>
      </c>
      <c r="I116" t="inlineStr">
        <is>
          <t>Empresas beneficiadas</t>
        </is>
      </c>
      <c r="J116" t="inlineStr">
        <is>
          <t>2024257990020</t>
        </is>
      </c>
      <c r="K116" t="inlineStr">
        <is>
          <t>No</t>
        </is>
      </c>
      <c r="L116" t="inlineStr">
        <is>
          <t>Número</t>
        </is>
      </c>
      <c r="M116">
        <v>100</v>
      </c>
      <c r="N116">
        <v>100</v>
      </c>
      <c r="O116">
        <v>100</v>
      </c>
      <c r="P116">
        <v>100</v>
      </c>
      <c r="Q116">
        <v>100</v>
      </c>
      <c r="R116">
        <v>0.8</v>
      </c>
      <c r="S116" s="103">
        <v>0.008</v>
      </c>
      <c r="T116" t="inlineStr">
        <is>
          <t>Lo ejecutado está por debajo de lo programado en la vigencia</t>
        </is>
      </c>
      <c r="U116">
        <v>0.4</v>
      </c>
      <c r="V116" s="104">
        <v>0.004</v>
      </c>
      <c r="W116" t="inlineStr">
        <is>
          <t>Lo ejecutado está por debajo de lo programado en la vigencia</t>
        </is>
      </c>
    </row>
    <row r="117">
      <c r="A117" t="inlineStr">
        <is>
          <t>IP-160</t>
        </is>
      </c>
      <c r="B117" t="inlineStr">
        <is>
          <t>35</t>
        </is>
      </c>
      <c r="C117" t="inlineStr">
        <is>
          <t>Comercio, industria y turismo</t>
        </is>
      </c>
      <c r="D117" t="inlineStr">
        <is>
          <t>3502</t>
        </is>
      </c>
      <c r="E117" t="inlineStr">
        <is>
          <t>Productividad y competitividad de las empresas colombianas</t>
        </is>
      </c>
      <c r="F117" t="inlineStr">
        <is>
          <t>3502021</t>
        </is>
      </c>
      <c r="G117" t="inlineStr">
        <is>
          <t>Servicio de fortalecimiento y desarrollo de unidades productivas para la comercialización de productos agroindustriales</t>
        </is>
      </c>
      <c r="H117" t="inlineStr">
        <is>
          <t>350202100</t>
        </is>
      </c>
      <c r="I117" t="inlineStr">
        <is>
          <t xml:space="preserve">Unidades productivas fortalecidas </t>
        </is>
      </c>
      <c r="J117" t="inlineStr">
        <is>
          <t>2024257990020</t>
        </is>
      </c>
      <c r="K117" t="inlineStr">
        <is>
          <t>Si</t>
        </is>
      </c>
      <c r="L117" t="inlineStr">
        <is>
          <t>Número</t>
        </is>
      </c>
      <c r="M117">
        <v>1</v>
      </c>
      <c r="N117">
        <v>0.1</v>
      </c>
      <c r="O117">
        <v>0.4</v>
      </c>
      <c r="P117">
        <v>0.4</v>
      </c>
      <c r="Q117">
        <v>0.1</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IP-161</t>
        </is>
      </c>
      <c r="B118" t="inlineStr">
        <is>
          <t>35</t>
        </is>
      </c>
      <c r="C118" t="inlineStr">
        <is>
          <t>Comercio, industria y turismo</t>
        </is>
      </c>
      <c r="D118" t="inlineStr">
        <is>
          <t>3502</t>
        </is>
      </c>
      <c r="E118" t="inlineStr">
        <is>
          <t>Productividad y competitividad de las empresas colombianas</t>
        </is>
      </c>
      <c r="F118" t="inlineStr">
        <is>
          <t>3502006</t>
        </is>
      </c>
      <c r="G118" t="inlineStr">
        <is>
          <t>Servicio de apoyo y consolidación de las Comisiones Regionales de Competitividad - CRC</t>
        </is>
      </c>
      <c r="H118" t="inlineStr">
        <is>
          <t>350200600</t>
        </is>
      </c>
      <c r="I118" t="inlineStr">
        <is>
          <t xml:space="preserve">Planes de trabajo concertados con las CRC para su consolidación </t>
        </is>
      </c>
      <c r="J118" t="inlineStr">
        <is>
          <t>2024257990020</t>
        </is>
      </c>
      <c r="K118" t="inlineStr">
        <is>
          <t>No</t>
        </is>
      </c>
      <c r="L118" t="inlineStr">
        <is>
          <t>Número</t>
        </is>
      </c>
      <c r="M118">
        <v>1</v>
      </c>
      <c r="N118">
        <v>1</v>
      </c>
      <c r="O118">
        <v>1</v>
      </c>
      <c r="P118">
        <v>1</v>
      </c>
      <c r="Q118">
        <v>1</v>
      </c>
      <c r="R118">
        <v>0.9</v>
      </c>
      <c r="S118" s="103">
        <v>0.9</v>
      </c>
      <c r="T118" t="inlineStr">
        <is>
          <t>Lo ejecutado está por debajo de lo programado en la vigencia</t>
        </is>
      </c>
      <c r="U118">
        <v>0.6</v>
      </c>
      <c r="V118" s="104">
        <v>0.6</v>
      </c>
      <c r="W118" t="inlineStr">
        <is>
          <t>Lo ejecutado está por debajo de lo programado en la vigencia</t>
        </is>
      </c>
    </row>
    <row r="119">
      <c r="A119" t="inlineStr">
        <is>
          <t>IP-162</t>
        </is>
      </c>
      <c r="B119" t="inlineStr">
        <is>
          <t>35</t>
        </is>
      </c>
      <c r="C119" t="inlineStr">
        <is>
          <t>Comercio, industria y turismo</t>
        </is>
      </c>
      <c r="D119" t="inlineStr">
        <is>
          <t>3502</t>
        </is>
      </c>
      <c r="E119" t="inlineStr">
        <is>
          <t>Productividad y competitividad de las empresas colombianas</t>
        </is>
      </c>
      <c r="F119" t="inlineStr">
        <is>
          <t>3502090</t>
        </is>
      </c>
      <c r="G119" t="inlineStr">
        <is>
          <t>Servicio de educación informal</t>
        </is>
      </c>
      <c r="H119" t="inlineStr">
        <is>
          <t>350209000</t>
        </is>
      </c>
      <c r="I119" t="inlineStr">
        <is>
          <t>Cursos ofrecidos</t>
        </is>
      </c>
      <c r="J119" t="inlineStr">
        <is>
          <t>2024257990020</t>
        </is>
      </c>
      <c r="K119" t="inlineStr">
        <is>
          <t>Si</t>
        </is>
      </c>
      <c r="L119" t="inlineStr">
        <is>
          <t>Número</t>
        </is>
      </c>
      <c r="M119">
        <v>1</v>
      </c>
      <c r="N119">
        <v>1</v>
      </c>
      <c r="O119">
        <v>1</v>
      </c>
      <c r="P119">
        <v>1</v>
      </c>
      <c r="Q119">
        <v>1</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IP-163</t>
        </is>
      </c>
      <c r="B120" t="inlineStr">
        <is>
          <t>35</t>
        </is>
      </c>
      <c r="C120" t="inlineStr">
        <is>
          <t>Comercio, industria y turismo</t>
        </is>
      </c>
      <c r="D120" t="inlineStr">
        <is>
          <t>3502</t>
        </is>
      </c>
      <c r="E120" t="inlineStr">
        <is>
          <t>Productividad y competitividad de las empresas colombianas</t>
        </is>
      </c>
      <c r="F120" t="inlineStr">
        <is>
          <t>3502008</t>
        </is>
      </c>
      <c r="G120" t="inlineStr">
        <is>
          <t>Servicio de asistencia técnica para mejorar la competitividad de los sectores productivos</t>
        </is>
      </c>
      <c r="H120" t="inlineStr">
        <is>
          <t>350200800</t>
        </is>
      </c>
      <c r="I120" t="inlineStr">
        <is>
          <t xml:space="preserve">Proyectos de alto impacto asistidos para el fortalecimiento de cadenas productivas </t>
        </is>
      </c>
      <c r="J120" t="inlineStr">
        <is>
          <t>2024257990020</t>
        </is>
      </c>
      <c r="K120" t="inlineStr">
        <is>
          <t>Si</t>
        </is>
      </c>
      <c r="L120" t="inlineStr">
        <is>
          <t>Número</t>
        </is>
      </c>
      <c r="M120">
        <v>1</v>
      </c>
      <c r="N120">
        <v>0.2</v>
      </c>
      <c r="O120">
        <v>0.3</v>
      </c>
      <c r="P120">
        <v>0.3</v>
      </c>
      <c r="Q120">
        <v>0.2</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A121" t="inlineStr">
        <is>
          <t>IP-164</t>
        </is>
      </c>
      <c r="B121" t="inlineStr">
        <is>
          <t>39</t>
        </is>
      </c>
      <c r="C121" t="inlineStr">
        <is>
          <t xml:space="preserve">Ciencia, tecnología e innovación
</t>
        </is>
      </c>
      <c r="D121" t="inlineStr">
        <is>
          <t>3906</t>
        </is>
      </c>
      <c r="E121" t="inlineStr">
        <is>
          <t>Fomento a vocaciones y formación, generación, uso y apropiación social del conocimiento de la ciencia, tecnología e innovación</t>
        </is>
      </c>
      <c r="F121" t="inlineStr">
        <is>
          <t>3906015</t>
        </is>
      </c>
      <c r="G121" t="inlineStr">
        <is>
          <t>Documentos de planeación</t>
        </is>
      </c>
      <c r="H121" t="inlineStr">
        <is>
          <t>390601500</t>
        </is>
      </c>
      <c r="I121" t="inlineStr">
        <is>
          <t>Documentos de planeación elaborados</t>
        </is>
      </c>
      <c r="J121" t="inlineStr">
        <is>
          <t>2024257990021</t>
        </is>
      </c>
      <c r="K121" t="inlineStr">
        <is>
          <t>Si</t>
        </is>
      </c>
      <c r="L121" t="inlineStr">
        <is>
          <t>Número</t>
        </is>
      </c>
      <c r="M121">
        <v>2</v>
      </c>
      <c r="N121">
        <v>0</v>
      </c>
      <c r="O121">
        <v>0</v>
      </c>
      <c r="P121">
        <v>1</v>
      </c>
      <c r="Q121">
        <v>1</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IP-165</t>
        </is>
      </c>
      <c r="B122" t="inlineStr">
        <is>
          <t>39</t>
        </is>
      </c>
      <c r="C122" t="inlineStr">
        <is>
          <t xml:space="preserve">Ciencia, tecnología e innovación
</t>
        </is>
      </c>
      <c r="D122" t="inlineStr">
        <is>
          <t>3906</t>
        </is>
      </c>
      <c r="E122" t="inlineStr">
        <is>
          <t>Fomento a vocaciones y formación, generación, uso y apropiación social del conocimiento de la ciencia, tecnología e innovación</t>
        </is>
      </c>
      <c r="F122" t="inlineStr">
        <is>
          <t>3906005</t>
        </is>
      </c>
      <c r="G122" t="inlineStr">
        <is>
          <t>Servicio de apoyo financiero a programas y proyectos de Ciencia, Tecnología e Innovación (CTI) para la generación de conocimiento, desarrollo tecnológico e innovación. (I+D+i)</t>
        </is>
      </c>
      <c r="H122" t="inlineStr">
        <is>
          <t>390600500</t>
        </is>
      </c>
      <c r="I122" t="inlineStr">
        <is>
          <t xml:space="preserve">Programas y proyectos financiados </t>
        </is>
      </c>
      <c r="J122" t="inlineStr">
        <is>
          <t>2024257990021</t>
        </is>
      </c>
      <c r="K122" t="inlineStr">
        <is>
          <t>Si</t>
        </is>
      </c>
      <c r="L122" t="inlineStr">
        <is>
          <t>Número</t>
        </is>
      </c>
      <c r="M122">
        <v>2</v>
      </c>
      <c r="N122">
        <v>1</v>
      </c>
      <c r="O122">
        <v>1</v>
      </c>
      <c r="P122">
        <v>0</v>
      </c>
      <c r="Q122">
        <v>0</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IP-166</t>
        </is>
      </c>
      <c r="B123" t="inlineStr">
        <is>
          <t>39</t>
        </is>
      </c>
      <c r="C123" t="inlineStr">
        <is>
          <t xml:space="preserve">Ciencia, tecnología e innovación
</t>
        </is>
      </c>
      <c r="D123" t="inlineStr">
        <is>
          <t>3906</t>
        </is>
      </c>
      <c r="E123" t="inlineStr">
        <is>
          <t>Fomento a vocaciones y formación, generación, uso y apropiación social del conocimiento de la ciencia, tecnología e innovación</t>
        </is>
      </c>
      <c r="F123" t="inlineStr">
        <is>
          <t>3906018</t>
        </is>
      </c>
      <c r="G123" t="inlineStr">
        <is>
          <t xml:space="preserve">Infraestructura para la I+D+i construida y dotada </t>
        </is>
      </c>
      <c r="H123" t="inlineStr">
        <is>
          <t>390601800</t>
        </is>
      </c>
      <c r="I123" t="inlineStr">
        <is>
          <t>Centros o laboratorios construidos y dotados</t>
        </is>
      </c>
      <c r="J123" t="inlineStr">
        <is>
          <t>2024257990021</t>
        </is>
      </c>
      <c r="K123" t="inlineStr">
        <is>
          <t>Si</t>
        </is>
      </c>
      <c r="L123" t="inlineStr">
        <is>
          <t>Número</t>
        </is>
      </c>
      <c r="M123">
        <v>1</v>
      </c>
      <c r="N123">
        <v>0.2</v>
      </c>
      <c r="O123">
        <v>0.3</v>
      </c>
      <c r="P123">
        <v>0.3</v>
      </c>
      <c r="Q123">
        <v>0.2</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IP-167</t>
        </is>
      </c>
      <c r="B124" t="inlineStr">
        <is>
          <t>39</t>
        </is>
      </c>
      <c r="C124" t="inlineStr">
        <is>
          <t xml:space="preserve">Ciencia, tecnología e innovación
</t>
        </is>
      </c>
      <c r="D124" t="inlineStr">
        <is>
          <t>3906</t>
        </is>
      </c>
      <c r="E124" t="inlineStr">
        <is>
          <t>Fomento a vocaciones y formación, generación, uso y apropiación social del conocimiento de la ciencia, tecnología e innovación</t>
        </is>
      </c>
      <c r="F124" t="inlineStr">
        <is>
          <t>3906021</t>
        </is>
      </c>
      <c r="G124" t="inlineStr">
        <is>
          <t>Infraestructura para la I+D+i adecuada</t>
        </is>
      </c>
      <c r="H124" t="inlineStr">
        <is>
          <t>390602100</t>
        </is>
      </c>
      <c r="I124" t="inlineStr">
        <is>
          <t>Centros o laboratorios adecuados</t>
        </is>
      </c>
      <c r="J124" t="inlineStr">
        <is>
          <t>2024257990021</t>
        </is>
      </c>
      <c r="K124" t="inlineStr">
        <is>
          <t>Si</t>
        </is>
      </c>
      <c r="L124" t="inlineStr">
        <is>
          <t>Número</t>
        </is>
      </c>
      <c r="M124">
        <v>1</v>
      </c>
      <c r="N124">
        <v>0.2</v>
      </c>
      <c r="O124">
        <v>0.3</v>
      </c>
      <c r="P124">
        <v>0.4</v>
      </c>
      <c r="Q124">
        <v>0.1</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IP-168, IP-171</t>
        </is>
      </c>
      <c r="B125" t="inlineStr">
        <is>
          <t>39</t>
        </is>
      </c>
      <c r="C125" t="inlineStr">
        <is>
          <t xml:space="preserve">Ciencia, tecnología e innovación
</t>
        </is>
      </c>
      <c r="D125" t="inlineStr">
        <is>
          <t>3905</t>
        </is>
      </c>
      <c r="E125" t="inlineStr">
        <is>
          <t>Fortalecimiento de la gobernanza e institucionalidad multinivel del sector de CTeI</t>
        </is>
      </c>
      <c r="F125" t="inlineStr">
        <is>
          <t>3905005</t>
        </is>
      </c>
      <c r="G125" t="inlineStr">
        <is>
          <t>Servicio de asistencia técnica</t>
        </is>
      </c>
      <c r="H125" t="inlineStr">
        <is>
          <t>390500500</t>
        </is>
      </c>
      <c r="I125" t="inlineStr">
        <is>
          <t>Asistencias Técnicas Realizadas</t>
        </is>
      </c>
      <c r="J125" t="inlineStr">
        <is>
          <t>2024257990022</t>
        </is>
      </c>
      <c r="K125" t="inlineStr">
        <is>
          <t>Si</t>
        </is>
      </c>
      <c r="L125" t="inlineStr">
        <is>
          <t>Número</t>
        </is>
      </c>
      <c r="M125">
        <v>2</v>
      </c>
      <c r="N125">
        <v>0</v>
      </c>
      <c r="O125">
        <v>0</v>
      </c>
      <c r="P125">
        <v>2</v>
      </c>
      <c r="Q125">
        <v>1</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IP-169</t>
        </is>
      </c>
      <c r="B126" t="inlineStr">
        <is>
          <t>39</t>
        </is>
      </c>
      <c r="C126" t="inlineStr">
        <is>
          <t xml:space="preserve">Ciencia, tecnología e innovación
</t>
        </is>
      </c>
      <c r="D126" t="inlineStr">
        <is>
          <t>3905</t>
        </is>
      </c>
      <c r="E126" t="inlineStr">
        <is>
          <t>Fortalecimiento de la gobernanza e institucionalidad multinivel del sector de CTeI</t>
        </is>
      </c>
      <c r="F126" t="inlineStr">
        <is>
          <t>3905004</t>
        </is>
      </c>
      <c r="G126" t="inlineStr">
        <is>
          <t>Servicio de reconocimiento de actores del SNCTI</t>
        </is>
      </c>
      <c r="H126" t="inlineStr">
        <is>
          <t>390500400</t>
        </is>
      </c>
      <c r="I126" t="inlineStr">
        <is>
          <t>Actores reconocidos</t>
        </is>
      </c>
      <c r="J126" t="inlineStr">
        <is>
          <t>2024257990022</t>
        </is>
      </c>
      <c r="K126" t="inlineStr">
        <is>
          <t>Si</t>
        </is>
      </c>
      <c r="L126" t="inlineStr">
        <is>
          <t>Número</t>
        </is>
      </c>
      <c r="M126">
        <v>1</v>
      </c>
      <c r="N126">
        <v>0</v>
      </c>
      <c r="O126">
        <v>1</v>
      </c>
      <c r="P126">
        <v>1</v>
      </c>
      <c r="Q126">
        <v>1</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IP-170</t>
        </is>
      </c>
      <c r="B127" t="inlineStr">
        <is>
          <t>39</t>
        </is>
      </c>
      <c r="C127" t="inlineStr">
        <is>
          <t xml:space="preserve">Ciencia, tecnología e innovación
</t>
        </is>
      </c>
      <c r="D127" t="inlineStr">
        <is>
          <t>3905</t>
        </is>
      </c>
      <c r="E127" t="inlineStr">
        <is>
          <t>Fortalecimiento de la gobernanza e institucionalidad multinivel del sector de CTeI</t>
        </is>
      </c>
      <c r="F127" t="inlineStr">
        <is>
          <t>3905007</t>
        </is>
      </c>
      <c r="G127" t="inlineStr">
        <is>
          <t>Servicio de cooperación internacional para la CTeI</t>
        </is>
      </c>
      <c r="H127" t="inlineStr">
        <is>
          <t>390500700</t>
        </is>
      </c>
      <c r="I127" t="inlineStr">
        <is>
          <t>Acuerdos de cooperación suscritos</t>
        </is>
      </c>
      <c r="J127" t="inlineStr">
        <is>
          <t>2024257990022</t>
        </is>
      </c>
      <c r="K127" t="inlineStr">
        <is>
          <t>Si</t>
        </is>
      </c>
      <c r="L127" t="inlineStr">
        <is>
          <t>Número</t>
        </is>
      </c>
      <c r="M127">
        <v>1</v>
      </c>
      <c r="N127">
        <v>0</v>
      </c>
      <c r="O127">
        <v>1</v>
      </c>
      <c r="P127">
        <v>1</v>
      </c>
      <c r="Q127">
        <v>1</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IP-172</t>
        </is>
      </c>
      <c r="B128" t="inlineStr">
        <is>
          <t>39</t>
        </is>
      </c>
      <c r="C128" t="inlineStr">
        <is>
          <t xml:space="preserve">Ciencia, tecnología e innovación
</t>
        </is>
      </c>
      <c r="D128" t="inlineStr">
        <is>
          <t>3905</t>
        </is>
      </c>
      <c r="E128" t="inlineStr">
        <is>
          <t>Fortalecimiento de la gobernanza e institucionalidad multinivel del sector de CTeI</t>
        </is>
      </c>
      <c r="F128" t="inlineStr">
        <is>
          <t>3905002</t>
        </is>
      </c>
      <c r="G128" t="inlineStr">
        <is>
          <t>Documentos de política</t>
        </is>
      </c>
      <c r="H128" t="inlineStr">
        <is>
          <t>390500200</t>
        </is>
      </c>
      <c r="I128" t="inlineStr">
        <is>
          <t>Documentos de política elaborados</t>
        </is>
      </c>
      <c r="J128" t="inlineStr">
        <is>
          <t>2024257990022</t>
        </is>
      </c>
      <c r="K128" t="inlineStr">
        <is>
          <t>Si</t>
        </is>
      </c>
      <c r="L128" t="inlineStr">
        <is>
          <t>Número</t>
        </is>
      </c>
      <c r="M128">
        <v>40</v>
      </c>
      <c r="N128">
        <v>30</v>
      </c>
      <c r="O128">
        <v>0</v>
      </c>
      <c r="P128">
        <v>0</v>
      </c>
      <c r="Q128">
        <v>70</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IP-173</t>
        </is>
      </c>
      <c r="B129" t="inlineStr">
        <is>
          <t>22</t>
        </is>
      </c>
      <c r="C129" t="inlineStr">
        <is>
          <t>Educación</t>
        </is>
      </c>
      <c r="D129" t="inlineStr">
        <is>
          <t>2201</t>
        </is>
      </c>
      <c r="E129" t="inlineStr">
        <is>
          <t>Calidad, cobertura y fortalecimiento de la educación inicial, prescolar, básica y media</t>
        </is>
      </c>
      <c r="F129" t="inlineStr">
        <is>
          <t>2201028</t>
        </is>
      </c>
      <c r="G129" t="inlineStr">
        <is>
          <t>Servicio de apoyo a la permanencia con alimentación escolar</t>
        </is>
      </c>
      <c r="H129" t="inlineStr">
        <is>
          <t>220102800</t>
        </is>
      </c>
      <c r="I129" t="inlineStr">
        <is>
          <t>Raciones contratadas</t>
        </is>
      </c>
      <c r="J129" t="inlineStr">
        <is>
          <t>2024257990023</t>
        </is>
      </c>
      <c r="K129" t="inlineStr">
        <is>
          <t>No</t>
        </is>
      </c>
      <c r="L129" t="inlineStr">
        <is>
          <t>Número</t>
        </is>
      </c>
      <c r="M129">
        <v>100</v>
      </c>
      <c r="N129">
        <v>100</v>
      </c>
      <c r="O129">
        <v>100</v>
      </c>
      <c r="P129">
        <v>100</v>
      </c>
      <c r="Q129">
        <v>100</v>
      </c>
      <c r="R129">
        <v>3456</v>
      </c>
      <c r="S129" s="103">
        <v>34.56</v>
      </c>
      <c r="T129" t="inlineStr">
        <is>
          <t>Hubo ejecución por encima de lo programado en SisPT</t>
        </is>
      </c>
      <c r="U129">
        <v>2080</v>
      </c>
      <c r="V129" s="104">
        <v>20.8</v>
      </c>
      <c r="W129" t="inlineStr">
        <is>
          <t>Hubo ejecución por encima de lo programado en SisPT</t>
        </is>
      </c>
    </row>
    <row r="130">
      <c r="A130" t="inlineStr">
        <is>
          <t>IP-174</t>
        </is>
      </c>
      <c r="B130" t="inlineStr">
        <is>
          <t>22</t>
        </is>
      </c>
      <c r="C130" t="inlineStr">
        <is>
          <t>Educación</t>
        </is>
      </c>
      <c r="D130" t="inlineStr">
        <is>
          <t>2201</t>
        </is>
      </c>
      <c r="E130" t="inlineStr">
        <is>
          <t>Calidad, cobertura y fortalecimiento de la educación inicial, prescolar, básica y media</t>
        </is>
      </c>
      <c r="F130" t="inlineStr">
        <is>
          <t>2201029</t>
        </is>
      </c>
      <c r="G130" t="inlineStr">
        <is>
          <t>Servicio de apoyo a la permanencia con transporte escolar</t>
        </is>
      </c>
      <c r="H130" t="inlineStr">
        <is>
          <t>220102900</t>
        </is>
      </c>
      <c r="I130" t="inlineStr">
        <is>
          <t>Beneficiarios de transporte escolar</t>
        </is>
      </c>
      <c r="J130" t="inlineStr">
        <is>
          <t>2024257990023</t>
        </is>
      </c>
      <c r="K130" t="inlineStr">
        <is>
          <t>No</t>
        </is>
      </c>
      <c r="L130" t="inlineStr">
        <is>
          <t>Número</t>
        </is>
      </c>
      <c r="M130">
        <v>100</v>
      </c>
      <c r="N130">
        <v>100</v>
      </c>
      <c r="O130">
        <v>100</v>
      </c>
      <c r="P130">
        <v>100</v>
      </c>
      <c r="Q130">
        <v>100</v>
      </c>
      <c r="R130">
        <v>1500</v>
      </c>
      <c r="S130" s="103">
        <v>15</v>
      </c>
      <c r="T130" t="inlineStr">
        <is>
          <t>Hubo ejecución por encima de lo programado en SisPT</t>
        </is>
      </c>
      <c r="U130">
        <v>800</v>
      </c>
      <c r="V130" s="104">
        <v>8</v>
      </c>
      <c r="W130" t="inlineStr">
        <is>
          <t>Hubo ejecución por encima de lo programado en SisPT</t>
        </is>
      </c>
    </row>
    <row r="131">
      <c r="A131" t="inlineStr">
        <is>
          <t>IP-175, IP-177</t>
        </is>
      </c>
      <c r="B131" t="inlineStr">
        <is>
          <t>22</t>
        </is>
      </c>
      <c r="C131" t="inlineStr">
        <is>
          <t>Educación</t>
        </is>
      </c>
      <c r="D131" t="inlineStr">
        <is>
          <t>2201</t>
        </is>
      </c>
      <c r="E131" t="inlineStr">
        <is>
          <t>Calidad, cobertura y fortalecimiento de la educación inicial, prescolar, básica y media</t>
        </is>
      </c>
      <c r="F131" t="inlineStr">
        <is>
          <t>2201017</t>
        </is>
      </c>
      <c r="G131" t="inlineStr">
        <is>
          <t>Servicio de fomento para el acceso a la educación inicial, preescolar, básica y media.</t>
        </is>
      </c>
      <c r="H131" t="inlineStr">
        <is>
          <t>220101700</t>
        </is>
      </c>
      <c r="I131" t="inlineStr">
        <is>
          <t xml:space="preserve">Personas beneficiadas con estrategias de fomento para el acceso a la educación inicial, preescolar, básica y media. </t>
        </is>
      </c>
      <c r="J131" t="inlineStr">
        <is>
          <t>2024257990023</t>
        </is>
      </c>
      <c r="K131" t="inlineStr">
        <is>
          <t>No</t>
        </is>
      </c>
      <c r="L131" t="inlineStr">
        <is>
          <t>Número</t>
        </is>
      </c>
      <c r="M131">
        <v>200</v>
      </c>
      <c r="N131">
        <v>110</v>
      </c>
      <c r="O131">
        <v>140</v>
      </c>
      <c r="P131">
        <v>110</v>
      </c>
      <c r="Q131">
        <v>140</v>
      </c>
      <c r="R131">
        <v>3456</v>
      </c>
      <c r="S131" s="103">
        <v>31.4181818181818</v>
      </c>
      <c r="T131" t="inlineStr">
        <is>
          <t>Hubo ejecución por encima de lo programado en SisPT</t>
        </is>
      </c>
      <c r="U131">
        <v>2425</v>
      </c>
      <c r="V131" s="104">
        <v>17.3214285714286</v>
      </c>
      <c r="W131" t="inlineStr">
        <is>
          <t>Hubo ejecución por encima de lo programado en SisPT</t>
        </is>
      </c>
    </row>
    <row r="132">
      <c r="A132" t="inlineStr">
        <is>
          <t>IP-176</t>
        </is>
      </c>
      <c r="B132" t="inlineStr">
        <is>
          <t>22</t>
        </is>
      </c>
      <c r="C132" t="inlineStr">
        <is>
          <t>Educación</t>
        </is>
      </c>
      <c r="D132" t="inlineStr">
        <is>
          <t>2201</t>
        </is>
      </c>
      <c r="E132" t="inlineStr">
        <is>
          <t>Calidad, cobertura y fortalecimiento de la educación inicial, prescolar, básica y media</t>
        </is>
      </c>
      <c r="F132" t="inlineStr">
        <is>
          <t>2201069</t>
        </is>
      </c>
      <c r="G132" t="inlineStr">
        <is>
          <t>Infraestructura educativa dotada</t>
        </is>
      </c>
      <c r="H132" t="inlineStr">
        <is>
          <t>220106900</t>
        </is>
      </c>
      <c r="I132" t="inlineStr">
        <is>
          <t>Sedes dotadas</t>
        </is>
      </c>
      <c r="J132" t="inlineStr">
        <is>
          <t>2024257990023</t>
        </is>
      </c>
      <c r="K132" t="inlineStr">
        <is>
          <t>Si</t>
        </is>
      </c>
      <c r="L132" t="inlineStr">
        <is>
          <t>Número</t>
        </is>
      </c>
      <c r="M132">
        <v>4</v>
      </c>
      <c r="N132">
        <v>1</v>
      </c>
      <c r="O132">
        <v>1</v>
      </c>
      <c r="P132">
        <v>1</v>
      </c>
      <c r="Q132">
        <v>1</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IP-178</t>
        </is>
      </c>
      <c r="B133" t="inlineStr">
        <is>
          <t>22</t>
        </is>
      </c>
      <c r="C133" t="inlineStr">
        <is>
          <t>Educación</t>
        </is>
      </c>
      <c r="D133" t="inlineStr">
        <is>
          <t>2201</t>
        </is>
      </c>
      <c r="E133" t="inlineStr">
        <is>
          <t>Calidad, cobertura y fortalecimiento de la educación inicial, prescolar, básica y media</t>
        </is>
      </c>
      <c r="F133" t="inlineStr">
        <is>
          <t>2201026</t>
        </is>
      </c>
      <c r="G133" t="inlineStr">
        <is>
          <t>Servicio de acondicionamiento de ambientes de aprendizaje</t>
        </is>
      </c>
      <c r="H133" t="inlineStr">
        <is>
          <t>220102600</t>
        </is>
      </c>
      <c r="I133" t="inlineStr">
        <is>
          <t>Ambientes de aprendizaje en funcionamiento</t>
        </is>
      </c>
      <c r="J133" t="inlineStr">
        <is>
          <t>2024257990023</t>
        </is>
      </c>
      <c r="K133" t="inlineStr">
        <is>
          <t>Si</t>
        </is>
      </c>
      <c r="L133" t="inlineStr">
        <is>
          <t>Número</t>
        </is>
      </c>
      <c r="M133">
        <v>3</v>
      </c>
      <c r="N133">
        <v>0</v>
      </c>
      <c r="O133">
        <v>6</v>
      </c>
      <c r="P133">
        <v>6</v>
      </c>
      <c r="Q133">
        <v>5</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IP-179, IP-180</t>
        </is>
      </c>
      <c r="B134" t="inlineStr">
        <is>
          <t>22</t>
        </is>
      </c>
      <c r="C134" t="inlineStr">
        <is>
          <t>Educación</t>
        </is>
      </c>
      <c r="D134" t="inlineStr">
        <is>
          <t>2201</t>
        </is>
      </c>
      <c r="E134" t="inlineStr">
        <is>
          <t>Calidad, cobertura y fortalecimiento de la educación inicial, prescolar, básica y media</t>
        </is>
      </c>
      <c r="F134" t="inlineStr">
        <is>
          <t>2201070</t>
        </is>
      </c>
      <c r="G134" t="inlineStr">
        <is>
          <t>Ambientes de aprendizaje para la educación inicial preescolar, básica y media dotados</t>
        </is>
      </c>
      <c r="H134" t="inlineStr">
        <is>
          <t>220107000</t>
        </is>
      </c>
      <c r="I134" t="inlineStr">
        <is>
          <t>Ambientes de aprendizaje dotados</t>
        </is>
      </c>
      <c r="J134" t="inlineStr">
        <is>
          <t>2024257990023</t>
        </is>
      </c>
      <c r="K134" t="inlineStr">
        <is>
          <t>Si</t>
        </is>
      </c>
      <c r="L134" t="inlineStr">
        <is>
          <t>Número</t>
        </is>
      </c>
      <c r="M134">
        <v>20</v>
      </c>
      <c r="N134">
        <v>0</v>
      </c>
      <c r="O134">
        <v>18</v>
      </c>
      <c r="P134">
        <v>18</v>
      </c>
      <c r="Q134">
        <v>18</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IP-181</t>
        </is>
      </c>
      <c r="B135" t="inlineStr">
        <is>
          <t>22</t>
        </is>
      </c>
      <c r="C135" t="inlineStr">
        <is>
          <t>Educación</t>
        </is>
      </c>
      <c r="D135" t="inlineStr">
        <is>
          <t>2201</t>
        </is>
      </c>
      <c r="E135" t="inlineStr">
        <is>
          <t>Calidad, cobertura y fortalecimiento de la educación inicial, prescolar, básica y media</t>
        </is>
      </c>
      <c r="F135" t="inlineStr">
        <is>
          <t>2201022</t>
        </is>
      </c>
      <c r="G135" t="inlineStr">
        <is>
          <t>Infraestructura para educación inicial construida</t>
        </is>
      </c>
      <c r="H135" t="inlineStr">
        <is>
          <t>220102200</t>
        </is>
      </c>
      <c r="I135" t="inlineStr">
        <is>
          <t>Aulas nuevas para la educación inicial construidas</t>
        </is>
      </c>
      <c r="J135" t="inlineStr">
        <is>
          <t>2024257990023</t>
        </is>
      </c>
      <c r="K135" t="inlineStr">
        <is>
          <t>Si</t>
        </is>
      </c>
      <c r="L135" t="inlineStr">
        <is>
          <t>Número</t>
        </is>
      </c>
      <c r="M135">
        <v>3</v>
      </c>
      <c r="N135">
        <v>0</v>
      </c>
      <c r="O135">
        <v>1</v>
      </c>
      <c r="P135">
        <v>1</v>
      </c>
      <c r="Q135">
        <v>1</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IP-182</t>
        </is>
      </c>
      <c r="B136" t="inlineStr">
        <is>
          <t>22</t>
        </is>
      </c>
      <c r="C136" t="inlineStr">
        <is>
          <t>Educación</t>
        </is>
      </c>
      <c r="D136" t="inlineStr">
        <is>
          <t>2201</t>
        </is>
      </c>
      <c r="E136" t="inlineStr">
        <is>
          <t>Calidad, cobertura y fortalecimiento de la educación inicial, prescolar, básica y media</t>
        </is>
      </c>
      <c r="F136" t="inlineStr">
        <is>
          <t>2201017</t>
        </is>
      </c>
      <c r="G136" t="inlineStr">
        <is>
          <t>Servicio de fomento para el acceso a la educación inicial, preescolar, básica y media.</t>
        </is>
      </c>
      <c r="H136" t="inlineStr">
        <is>
          <t>220101700</t>
        </is>
      </c>
      <c r="I136" t="inlineStr">
        <is>
          <t xml:space="preserve">Personas beneficiadas con estrategias de fomento para el acceso a la educación inicial, preescolar, básica y media. </t>
        </is>
      </c>
      <c r="J136" t="inlineStr">
        <is>
          <t>2024257990023</t>
        </is>
      </c>
      <c r="K136" t="inlineStr">
        <is>
          <t>Si</t>
        </is>
      </c>
      <c r="L136" t="inlineStr">
        <is>
          <t>Número</t>
        </is>
      </c>
      <c r="M136">
        <v>4</v>
      </c>
      <c r="N136">
        <v>1</v>
      </c>
      <c r="O136">
        <v>1</v>
      </c>
      <c r="P136">
        <v>1</v>
      </c>
      <c r="Q136">
        <v>1</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IP-183</t>
        </is>
      </c>
      <c r="B137" t="inlineStr">
        <is>
          <t>22</t>
        </is>
      </c>
      <c r="C137" t="inlineStr">
        <is>
          <t>Educación</t>
        </is>
      </c>
      <c r="D137" t="inlineStr">
        <is>
          <t>2201</t>
        </is>
      </c>
      <c r="E137" t="inlineStr">
        <is>
          <t>Calidad, cobertura y fortalecimiento de la educación inicial, prescolar, básica y media</t>
        </is>
      </c>
      <c r="F137" t="inlineStr">
        <is>
          <t>2201072</t>
        </is>
      </c>
      <c r="G137" t="inlineStr">
        <is>
          <t>Servicio de evaluación de las estrategias educativas implementadas en la educación inicial, preescolar, básica y media</t>
        </is>
      </c>
      <c r="H137" t="inlineStr">
        <is>
          <t>220107200</t>
        </is>
      </c>
      <c r="I137" t="inlineStr">
        <is>
          <t>Programas, proyectos y estrategias evaluadas</t>
        </is>
      </c>
      <c r="J137" t="inlineStr">
        <is>
          <t>2024257990024</t>
        </is>
      </c>
      <c r="K137" t="inlineStr">
        <is>
          <t>No</t>
        </is>
      </c>
      <c r="L137" t="inlineStr">
        <is>
          <t>Número</t>
        </is>
      </c>
      <c r="M137">
        <v>3</v>
      </c>
      <c r="N137">
        <v>3</v>
      </c>
      <c r="O137">
        <v>3</v>
      </c>
      <c r="P137">
        <v>3</v>
      </c>
      <c r="Q137">
        <v>3</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IP-184</t>
        </is>
      </c>
      <c r="B138" t="inlineStr">
        <is>
          <t>22</t>
        </is>
      </c>
      <c r="C138" t="inlineStr">
        <is>
          <t>Educación</t>
        </is>
      </c>
      <c r="D138" t="inlineStr">
        <is>
          <t>2201</t>
        </is>
      </c>
      <c r="E138" t="inlineStr">
        <is>
          <t>Calidad, cobertura y fortalecimiento de la educación inicial, prescolar, básica y media</t>
        </is>
      </c>
      <c r="F138" t="inlineStr">
        <is>
          <t>2201067</t>
        </is>
      </c>
      <c r="G138" t="inlineStr">
        <is>
          <t>Servicio de apoyo para el fortalecimiento de escuelas de padres</t>
        </is>
      </c>
      <c r="H138" t="inlineStr">
        <is>
          <t>220106700</t>
        </is>
      </c>
      <c r="I138" t="inlineStr">
        <is>
          <t>Escuelas de padres apoyadas</t>
        </is>
      </c>
      <c r="J138" t="inlineStr">
        <is>
          <t>2024257990024</t>
        </is>
      </c>
      <c r="K138" t="inlineStr">
        <is>
          <t>Si</t>
        </is>
      </c>
      <c r="L138" t="inlineStr">
        <is>
          <t>Número</t>
        </is>
      </c>
      <c r="M138">
        <v>500</v>
      </c>
      <c r="N138">
        <v>125</v>
      </c>
      <c r="O138">
        <v>125</v>
      </c>
      <c r="P138">
        <v>125</v>
      </c>
      <c r="Q138">
        <v>125</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IP-185</t>
        </is>
      </c>
      <c r="B139" t="inlineStr">
        <is>
          <t>22</t>
        </is>
      </c>
      <c r="C139" t="inlineStr">
        <is>
          <t>Educación</t>
        </is>
      </c>
      <c r="D139" t="inlineStr">
        <is>
          <t>2201</t>
        </is>
      </c>
      <c r="E139" t="inlineStr">
        <is>
          <t>Calidad, cobertura y fortalecimiento de la educación inicial, prescolar, básica y media</t>
        </is>
      </c>
      <c r="F139" t="inlineStr">
        <is>
          <t>2201001</t>
        </is>
      </c>
      <c r="G139" t="inlineStr">
        <is>
          <t>Documentos de planeación</t>
        </is>
      </c>
      <c r="H139" t="inlineStr">
        <is>
          <t>220100100</t>
        </is>
      </c>
      <c r="I139" t="inlineStr">
        <is>
          <t>Documentos de planeación para la educación inicial, preescolar, básica y media emitidos</t>
        </is>
      </c>
      <c r="J139" t="inlineStr">
        <is>
          <t>2024257990024</t>
        </is>
      </c>
      <c r="K139" t="inlineStr">
        <is>
          <t>Si</t>
        </is>
      </c>
      <c r="L139" t="inlineStr">
        <is>
          <t>Número</t>
        </is>
      </c>
      <c r="M139">
        <v>40</v>
      </c>
      <c r="N139">
        <v>10</v>
      </c>
      <c r="O139">
        <v>20</v>
      </c>
      <c r="P139">
        <v>30</v>
      </c>
      <c r="Q139">
        <v>40</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IP-186</t>
        </is>
      </c>
      <c r="B140" t="inlineStr">
        <is>
          <t>22</t>
        </is>
      </c>
      <c r="C140" t="inlineStr">
        <is>
          <t>Educación</t>
        </is>
      </c>
      <c r="D140" t="inlineStr">
        <is>
          <t>2201</t>
        </is>
      </c>
      <c r="E140" t="inlineStr">
        <is>
          <t>Calidad, cobertura y fortalecimiento de la educación inicial, prescolar, básica y media</t>
        </is>
      </c>
      <c r="F140" t="inlineStr">
        <is>
          <t>2201017</t>
        </is>
      </c>
      <c r="G140" t="inlineStr">
        <is>
          <t>Servicio de fomento para el acceso a la educación inicial, preescolar, básica y media.</t>
        </is>
      </c>
      <c r="H140" t="inlineStr">
        <is>
          <t>220101700</t>
        </is>
      </c>
      <c r="I140" t="inlineStr">
        <is>
          <t xml:space="preserve">Personas beneficiadas con estrategias de fomento para el acceso a la educación inicial, preescolar, básica y media. </t>
        </is>
      </c>
      <c r="J140" t="inlineStr">
        <is>
          <t>2024257990024</t>
        </is>
      </c>
      <c r="K140" t="inlineStr">
        <is>
          <t>No</t>
        </is>
      </c>
      <c r="L140" t="inlineStr">
        <is>
          <t>Número</t>
        </is>
      </c>
      <c r="M140">
        <v>100</v>
      </c>
      <c r="N140">
        <v>100</v>
      </c>
      <c r="O140">
        <v>100</v>
      </c>
      <c r="P140">
        <v>100</v>
      </c>
      <c r="Q140">
        <v>100</v>
      </c>
      <c r="R140">
        <v>3456</v>
      </c>
      <c r="S140" s="103">
        <v>34.56</v>
      </c>
      <c r="T140" t="inlineStr">
        <is>
          <t>Hubo ejecución por encima de lo programado en SisPT</t>
        </is>
      </c>
      <c r="U140">
        <v>1380</v>
      </c>
      <c r="V140" s="104">
        <v>13.8</v>
      </c>
      <c r="W140" t="inlineStr">
        <is>
          <t>Hubo ejecución por encima de lo programado en SisPT</t>
        </is>
      </c>
    </row>
    <row r="141">
      <c r="A141" t="inlineStr">
        <is>
          <t>IP-187, IP-188</t>
        </is>
      </c>
      <c r="B141" t="inlineStr">
        <is>
          <t>22</t>
        </is>
      </c>
      <c r="C141" t="inlineStr">
        <is>
          <t>Educación</t>
        </is>
      </c>
      <c r="D141" t="inlineStr">
        <is>
          <t>2201</t>
        </is>
      </c>
      <c r="E141" t="inlineStr">
        <is>
          <t>Calidad, cobertura y fortalecimiento de la educación inicial, prescolar, básica y media</t>
        </is>
      </c>
      <c r="F141" t="inlineStr">
        <is>
          <t>2201049</t>
        </is>
      </c>
      <c r="G141" t="inlineStr">
        <is>
          <t>Servicio de educación informal</t>
        </is>
      </c>
      <c r="H141" t="inlineStr">
        <is>
          <t>220104900</t>
        </is>
      </c>
      <c r="I141" t="inlineStr">
        <is>
          <t>Personas beneficiadas con procesos de formación informal</t>
        </is>
      </c>
      <c r="J141" t="inlineStr">
        <is>
          <t>2024257990024</t>
        </is>
      </c>
      <c r="K141" t="inlineStr">
        <is>
          <t>No</t>
        </is>
      </c>
      <c r="L141" t="inlineStr">
        <is>
          <t>Número</t>
        </is>
      </c>
      <c r="M141">
        <v>104</v>
      </c>
      <c r="N141">
        <v>100</v>
      </c>
      <c r="O141">
        <v>101</v>
      </c>
      <c r="P141">
        <v>101</v>
      </c>
      <c r="Q141">
        <v>101</v>
      </c>
      <c r="R141">
        <v>3456</v>
      </c>
      <c r="S141" s="103">
        <v>34.56</v>
      </c>
      <c r="T141" t="inlineStr">
        <is>
          <t>Hubo ejecución por encima de lo programado en SisPT</t>
        </is>
      </c>
      <c r="U141">
        <v>2925</v>
      </c>
      <c r="V141" s="104">
        <v>28.960396039604</v>
      </c>
      <c r="W141" t="inlineStr">
        <is>
          <t>Hubo ejecución por encima de lo programado en SisPT</t>
        </is>
      </c>
    </row>
    <row r="142">
      <c r="A142" t="inlineStr">
        <is>
          <t>IP-189</t>
        </is>
      </c>
      <c r="B142" t="inlineStr">
        <is>
          <t>22</t>
        </is>
      </c>
      <c r="C142" t="inlineStr">
        <is>
          <t>Educación</t>
        </is>
      </c>
      <c r="D142" t="inlineStr">
        <is>
          <t>2201</t>
        </is>
      </c>
      <c r="E142" t="inlineStr">
        <is>
          <t>Calidad, cobertura y fortalecimiento de la educación inicial, prescolar, básica y media</t>
        </is>
      </c>
      <c r="F142" t="inlineStr">
        <is>
          <t>2201034</t>
        </is>
      </c>
      <c r="G142" t="inlineStr">
        <is>
          <t>Servicio educativos de promoción del bilingüismo</t>
        </is>
      </c>
      <c r="H142" t="inlineStr">
        <is>
          <t>220103400</t>
        </is>
      </c>
      <c r="I142" t="inlineStr">
        <is>
          <t>Estudiantes beneficiados con estrategias de promoción del bilingüismo</t>
        </is>
      </c>
      <c r="J142" t="inlineStr">
        <is>
          <t>2024257990024</t>
        </is>
      </c>
      <c r="K142" t="inlineStr">
        <is>
          <t>Si</t>
        </is>
      </c>
      <c r="L142" t="inlineStr">
        <is>
          <t>Número</t>
        </is>
      </c>
      <c r="M142">
        <v>500</v>
      </c>
      <c r="N142">
        <v>100</v>
      </c>
      <c r="O142">
        <v>140</v>
      </c>
      <c r="P142">
        <v>130</v>
      </c>
      <c r="Q142">
        <v>130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IP-190, IP-191</t>
        </is>
      </c>
      <c r="B143" t="inlineStr">
        <is>
          <t>22</t>
        </is>
      </c>
      <c r="C143" t="inlineStr">
        <is>
          <t>Educación</t>
        </is>
      </c>
      <c r="D143" t="inlineStr">
        <is>
          <t>2201</t>
        </is>
      </c>
      <c r="E143" t="inlineStr">
        <is>
          <t>Calidad, cobertura y fortalecimiento de la educación inicial, prescolar, básica y media</t>
        </is>
      </c>
      <c r="F143" t="inlineStr">
        <is>
          <t>2201049</t>
        </is>
      </c>
      <c r="G143" t="inlineStr">
        <is>
          <t>Servicio de educación informal</t>
        </is>
      </c>
      <c r="H143" t="inlineStr">
        <is>
          <t>220104900</t>
        </is>
      </c>
      <c r="I143" t="inlineStr">
        <is>
          <t>Personas beneficiadas con procesos de formación informal</t>
        </is>
      </c>
      <c r="J143" t="inlineStr">
        <is>
          <t>2024257990024</t>
        </is>
      </c>
      <c r="K143" t="inlineStr">
        <is>
          <t>Si</t>
        </is>
      </c>
      <c r="L143" t="inlineStr">
        <is>
          <t>Número</t>
        </is>
      </c>
      <c r="M143">
        <v>8</v>
      </c>
      <c r="N143">
        <v>2</v>
      </c>
      <c r="O143">
        <v>2</v>
      </c>
      <c r="P143">
        <v>2</v>
      </c>
      <c r="Q143">
        <v>2</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IP-192, IP-193</t>
        </is>
      </c>
      <c r="B144" t="inlineStr">
        <is>
          <t>22</t>
        </is>
      </c>
      <c r="C144" t="inlineStr">
        <is>
          <t>Educación</t>
        </is>
      </c>
      <c r="D144" t="inlineStr">
        <is>
          <t>2202</t>
        </is>
      </c>
      <c r="E144" t="inlineStr">
        <is>
          <t>Calidad y fomento de la educación superior</t>
        </is>
      </c>
      <c r="F144" t="inlineStr">
        <is>
          <t>2202061</t>
        </is>
      </c>
      <c r="G144" t="inlineStr">
        <is>
          <t xml:space="preserve">Servicio de apoyo financiero para la permanencia a la educación superior </t>
        </is>
      </c>
      <c r="H144" t="inlineStr">
        <is>
          <t>220206100</t>
        </is>
      </c>
      <c r="I144" t="inlineStr">
        <is>
          <t xml:space="preserve">Beneficiarios de estrategias o programas de  apoyo financiero para la permanencia en la educación superior  </t>
        </is>
      </c>
      <c r="J144" t="inlineStr">
        <is>
          <t>2024257990025</t>
        </is>
      </c>
      <c r="K144" t="inlineStr">
        <is>
          <t>Si</t>
        </is>
      </c>
      <c r="L144" t="inlineStr">
        <is>
          <t>Número</t>
        </is>
      </c>
      <c r="M144">
        <v>7000</v>
      </c>
      <c r="N144">
        <v>1750</v>
      </c>
      <c r="O144">
        <v>1750</v>
      </c>
      <c r="P144">
        <v>1750</v>
      </c>
      <c r="Q144">
        <v>1750</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IP-194</t>
        </is>
      </c>
      <c r="B145" t="inlineStr">
        <is>
          <t>22</t>
        </is>
      </c>
      <c r="C145" t="inlineStr">
        <is>
          <t>Educación</t>
        </is>
      </c>
      <c r="D145" t="inlineStr">
        <is>
          <t>2202</t>
        </is>
      </c>
      <c r="E145" t="inlineStr">
        <is>
          <t>Calidad y fomento de la educación superior</t>
        </is>
      </c>
      <c r="F145" t="inlineStr">
        <is>
          <t>2202062</t>
        </is>
      </c>
      <c r="G145" t="inlineStr">
        <is>
          <t xml:space="preserve">Servicio de fomento para el acceso a la educación superior </t>
        </is>
      </c>
      <c r="H145" t="inlineStr">
        <is>
          <t>220206200</t>
        </is>
      </c>
      <c r="I145" t="inlineStr">
        <is>
          <t>Beneficiarios de estrategias o programas de  fomento para el acceso a la educación superior</t>
        </is>
      </c>
      <c r="J145" t="inlineStr">
        <is>
          <t>2024257990025</t>
        </is>
      </c>
      <c r="K145" t="inlineStr">
        <is>
          <t>Si</t>
        </is>
      </c>
      <c r="L145" t="inlineStr">
        <is>
          <t>Número</t>
        </is>
      </c>
      <c r="M145">
        <v>500</v>
      </c>
      <c r="N145">
        <v>100</v>
      </c>
      <c r="O145">
        <v>150</v>
      </c>
      <c r="P145">
        <v>150</v>
      </c>
      <c r="Q145">
        <v>100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IP-195</t>
        </is>
      </c>
      <c r="B146" t="inlineStr">
        <is>
          <t>22</t>
        </is>
      </c>
      <c r="C146" t="inlineStr">
        <is>
          <t>Educación</t>
        </is>
      </c>
      <c r="D146" t="inlineStr">
        <is>
          <t>2202</t>
        </is>
      </c>
      <c r="E146" t="inlineStr">
        <is>
          <t>Calidad y fomento de la educación superior</t>
        </is>
      </c>
      <c r="F146" t="inlineStr">
        <is>
          <t>2202063</t>
        </is>
      </c>
      <c r="G146" t="inlineStr">
        <is>
          <t>Servicio de apoyo financiero para el acceso a la educación superior</t>
        </is>
      </c>
      <c r="H146" t="inlineStr">
        <is>
          <t>220206300</t>
        </is>
      </c>
      <c r="I146" t="inlineStr">
        <is>
          <t xml:space="preserve">Beneficiarios de estrategias o programas de  apoyo financiero para el acceso a la educación superior  </t>
        </is>
      </c>
      <c r="J146" t="inlineStr">
        <is>
          <t>2024257990025</t>
        </is>
      </c>
      <c r="K146" t="inlineStr">
        <is>
          <t>Si</t>
        </is>
      </c>
      <c r="L146" t="inlineStr">
        <is>
          <t>Número</t>
        </is>
      </c>
      <c r="M146">
        <v>60</v>
      </c>
      <c r="N146">
        <v>15</v>
      </c>
      <c r="O146">
        <v>15</v>
      </c>
      <c r="P146">
        <v>15</v>
      </c>
      <c r="Q146">
        <v>15</v>
      </c>
      <c r="R146" t="inlineStr">
        <is>
          <t xml:space="preserve"> </t>
        </is>
      </c>
      <c r="S146" s="103" t="inlineStr">
        <is>
          <t xml:space="preserve"> </t>
        </is>
      </c>
      <c r="T146" t="inlineStr">
        <is>
          <t>No se encontró ejecución en PIIP</t>
        </is>
      </c>
      <c r="U146" t="inlineStr">
        <is>
          <t xml:space="preserve"> </t>
        </is>
      </c>
      <c r="V146" s="104" t="inlineStr">
        <is>
          <t xml:space="preserve"> </t>
        </is>
      </c>
      <c r="W146" t="inlineStr">
        <is>
          <t>No se encontró ejecución en PIIP</t>
        </is>
      </c>
    </row>
    <row r="147">
      <c r="A147" t="inlineStr">
        <is>
          <t>IP-196</t>
        </is>
      </c>
      <c r="B147" t="inlineStr">
        <is>
          <t>22</t>
        </is>
      </c>
      <c r="C147" t="inlineStr">
        <is>
          <t>Educación</t>
        </is>
      </c>
      <c r="D147" t="inlineStr">
        <is>
          <t>2201</t>
        </is>
      </c>
      <c r="E147" t="inlineStr">
        <is>
          <t>Calidad, cobertura y fortalecimiento de la educación inicial, prescolar, básica y media</t>
        </is>
      </c>
      <c r="F147" t="inlineStr">
        <is>
          <t>2201074</t>
        </is>
      </c>
      <c r="G147" t="inlineStr">
        <is>
          <t>Servicio de fortalecimiento a las capacidades de los docentes de educación Inicial, preescolar, básica y media</t>
        </is>
      </c>
      <c r="H147" t="inlineStr">
        <is>
          <t>220107400</t>
        </is>
      </c>
      <c r="I147" t="inlineStr">
        <is>
          <t>Docentes y agentes educativos  de educación inicial, preescolar, básica y media beneficiados con estrategias de mejoramiento de sus capacidades</t>
        </is>
      </c>
      <c r="J147" t="inlineStr">
        <is>
          <t>2024257990026</t>
        </is>
      </c>
      <c r="K147" t="inlineStr">
        <is>
          <t>No</t>
        </is>
      </c>
      <c r="L147" t="inlineStr">
        <is>
          <t>Número</t>
        </is>
      </c>
      <c r="M147">
        <v>260</v>
      </c>
      <c r="N147">
        <v>0</v>
      </c>
      <c r="O147">
        <v>260</v>
      </c>
      <c r="P147">
        <v>260</v>
      </c>
      <c r="Q147">
        <v>260</v>
      </c>
      <c r="R147">
        <v>0</v>
      </c>
      <c r="S147" s="103" t="inlineStr">
        <is>
          <t xml:space="preserve"> </t>
        </is>
      </c>
      <c r="T147" t="inlineStr">
        <is>
          <t>No se programó ni ejecutó en la vigencia</t>
        </is>
      </c>
      <c r="U147" t="inlineStr">
        <is>
          <t xml:space="preserve"> </t>
        </is>
      </c>
      <c r="V147" s="104" t="inlineStr">
        <is>
          <t xml:space="preserve"> </t>
        </is>
      </c>
      <c r="W147" t="inlineStr">
        <is>
          <t>No se encontró ejecución en PIIP</t>
        </is>
      </c>
    </row>
    <row r="148">
      <c r="A148" t="inlineStr">
        <is>
          <t>IP-197</t>
        </is>
      </c>
      <c r="B148" t="inlineStr">
        <is>
          <t>22</t>
        </is>
      </c>
      <c r="C148" t="inlineStr">
        <is>
          <t>Educación</t>
        </is>
      </c>
      <c r="D148" t="inlineStr">
        <is>
          <t>2201</t>
        </is>
      </c>
      <c r="E148" t="inlineStr">
        <is>
          <t>Calidad, cobertura y fortalecimiento de la educación inicial, prescolar, básica y media</t>
        </is>
      </c>
      <c r="F148" t="inlineStr">
        <is>
          <t>2201074</t>
        </is>
      </c>
      <c r="G148" t="inlineStr">
        <is>
          <t>Servicio de fortalecimiento a las capacidades de los docentes de educación Inicial, preescolar, básica y media</t>
        </is>
      </c>
      <c r="H148" t="inlineStr">
        <is>
          <t>220107400</t>
        </is>
      </c>
      <c r="I148" t="inlineStr">
        <is>
          <t>Docentes y agentes educativos  de educación inicial, preescolar, básica y media beneficiados con estrategias de mejoramiento de sus capacidades</t>
        </is>
      </c>
      <c r="J148" t="inlineStr">
        <is>
          <t>2024257990026</t>
        </is>
      </c>
      <c r="K148" t="inlineStr">
        <is>
          <t>Si</t>
        </is>
      </c>
      <c r="L148" t="inlineStr">
        <is>
          <t>Número</t>
        </is>
      </c>
      <c r="M148">
        <v>24</v>
      </c>
      <c r="N148">
        <v>3</v>
      </c>
      <c r="O148">
        <v>7</v>
      </c>
      <c r="P148">
        <v>7</v>
      </c>
      <c r="Q148">
        <v>7</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IP-198</t>
        </is>
      </c>
      <c r="B149" t="inlineStr">
        <is>
          <t>22</t>
        </is>
      </c>
      <c r="C149" t="inlineStr">
        <is>
          <t>Educación</t>
        </is>
      </c>
      <c r="D149" t="inlineStr">
        <is>
          <t>2201</t>
        </is>
      </c>
      <c r="E149" t="inlineStr">
        <is>
          <t>Calidad, cobertura y fortalecimiento de la educación inicial, prescolar, básica y media</t>
        </is>
      </c>
      <c r="F149" t="inlineStr">
        <is>
          <t>2201049</t>
        </is>
      </c>
      <c r="G149" t="inlineStr">
        <is>
          <t>Servicio de educación informal</t>
        </is>
      </c>
      <c r="H149" t="inlineStr">
        <is>
          <t>220104900</t>
        </is>
      </c>
      <c r="I149" t="inlineStr">
        <is>
          <t>Personas beneficiadas con procesos de formación informal</t>
        </is>
      </c>
      <c r="J149" t="inlineStr">
        <is>
          <t>2024257990026</t>
        </is>
      </c>
      <c r="K149" t="inlineStr">
        <is>
          <t>No</t>
        </is>
      </c>
      <c r="L149" t="inlineStr">
        <is>
          <t>Número</t>
        </is>
      </c>
      <c r="M149">
        <v>1</v>
      </c>
      <c r="N149">
        <v>1</v>
      </c>
      <c r="O149">
        <v>1</v>
      </c>
      <c r="P149">
        <v>1</v>
      </c>
      <c r="Q149">
        <v>1</v>
      </c>
      <c r="R149">
        <v>0</v>
      </c>
      <c r="S149" s="103">
        <v>0</v>
      </c>
      <c r="T149" t="inlineStr">
        <is>
          <t>No se ejecutó en la vigencia</t>
        </is>
      </c>
      <c r="U149" t="inlineStr">
        <is>
          <t xml:space="preserve"> </t>
        </is>
      </c>
      <c r="V149" s="104" t="inlineStr">
        <is>
          <t xml:space="preserve"> </t>
        </is>
      </c>
      <c r="W149" t="inlineStr">
        <is>
          <t>No se encontró ejecución en PIIP</t>
        </is>
      </c>
    </row>
    <row r="150">
      <c r="A150" t="inlineStr">
        <is>
          <t>IP-199</t>
        </is>
      </c>
      <c r="B150" t="inlineStr">
        <is>
          <t>19</t>
        </is>
      </c>
      <c r="C150" t="inlineStr">
        <is>
          <t>Salud y protección social</t>
        </is>
      </c>
      <c r="D150" t="inlineStr">
        <is>
          <t>1906</t>
        </is>
      </c>
      <c r="E150" t="inlineStr">
        <is>
          <t>Aseguramiento y prestación integral de servicios de salud</t>
        </is>
      </c>
      <c r="F150" t="inlineStr">
        <is>
          <t>1906044</t>
        </is>
      </c>
      <c r="G150" t="inlineStr">
        <is>
          <t>Servicio de afiliaciones al régimen subsidiado del Sistema General de Seguridad Social</t>
        </is>
      </c>
      <c r="H150" t="inlineStr">
        <is>
          <t>190604400</t>
        </is>
      </c>
      <c r="I150" t="inlineStr">
        <is>
          <t>Personas afiliadas al régimen subsidiado</t>
        </is>
      </c>
      <c r="J150" t="inlineStr">
        <is>
          <t>2024257990027</t>
        </is>
      </c>
      <c r="K150" t="inlineStr">
        <is>
          <t>No</t>
        </is>
      </c>
      <c r="L150" t="inlineStr">
        <is>
          <t>Número</t>
        </is>
      </c>
      <c r="M150">
        <v>4500</v>
      </c>
      <c r="N150">
        <v>4500</v>
      </c>
      <c r="O150">
        <v>4500</v>
      </c>
      <c r="P150">
        <v>4500</v>
      </c>
      <c r="Q150">
        <v>4500</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IP-200</t>
        </is>
      </c>
      <c r="B151" t="inlineStr">
        <is>
          <t>19</t>
        </is>
      </c>
      <c r="C151" t="inlineStr">
        <is>
          <t>Salud y protección social</t>
        </is>
      </c>
      <c r="D151" t="inlineStr">
        <is>
          <t>1906</t>
        </is>
      </c>
      <c r="E151" t="inlineStr">
        <is>
          <t>Aseguramiento y prestación integral de servicios de salud</t>
        </is>
      </c>
      <c r="F151" t="inlineStr">
        <is>
          <t>1906038</t>
        </is>
      </c>
      <c r="G151" t="inlineStr">
        <is>
          <t>Documentos metodológicos</t>
        </is>
      </c>
      <c r="H151" t="inlineStr">
        <is>
          <t>190603800</t>
        </is>
      </c>
      <c r="I151" t="inlineStr">
        <is>
          <t>Documentos metodológicos realizados</t>
        </is>
      </c>
      <c r="J151" t="inlineStr">
        <is>
          <t>2024257990027</t>
        </is>
      </c>
      <c r="K151" t="inlineStr">
        <is>
          <t>Si</t>
        </is>
      </c>
      <c r="L151" t="inlineStr">
        <is>
          <t>Número</t>
        </is>
      </c>
      <c r="M151">
        <v>1</v>
      </c>
      <c r="N151">
        <v>1</v>
      </c>
      <c r="O151">
        <v>1</v>
      </c>
      <c r="P151">
        <v>1</v>
      </c>
      <c r="Q151">
        <v>1</v>
      </c>
      <c r="R151" t="inlineStr">
        <is>
          <t xml:space="preserve"> </t>
        </is>
      </c>
      <c r="S151" s="103" t="inlineStr">
        <is>
          <t xml:space="preserve"> </t>
        </is>
      </c>
      <c r="T151" t="inlineStr">
        <is>
          <t>No se encontró ejecución en PIIP</t>
        </is>
      </c>
      <c r="U151" t="inlineStr">
        <is>
          <t xml:space="preserve"> </t>
        </is>
      </c>
      <c r="V151" s="104" t="inlineStr">
        <is>
          <t xml:space="preserve"> </t>
        </is>
      </c>
      <c r="W151" t="inlineStr">
        <is>
          <t>No se encontró ejecución en PIIP</t>
        </is>
      </c>
    </row>
    <row r="152">
      <c r="A152" t="inlineStr">
        <is>
          <t>IP-201</t>
        </is>
      </c>
      <c r="B152" t="inlineStr">
        <is>
          <t>19</t>
        </is>
      </c>
      <c r="C152" t="inlineStr">
        <is>
          <t>Salud y protección social</t>
        </is>
      </c>
      <c r="D152" t="inlineStr">
        <is>
          <t>1905</t>
        </is>
      </c>
      <c r="E152" t="inlineStr">
        <is>
          <t>Salud pública</t>
        </is>
      </c>
      <c r="F152" t="inlineStr">
        <is>
          <t>1905028</t>
        </is>
      </c>
      <c r="G152" t="inlineStr">
        <is>
          <t>Servicio de gestión del riesgo para temas de consumo, aprovechamiento biológico, calidad e inocuidad de los alimentos</t>
        </is>
      </c>
      <c r="H152" t="inlineStr">
        <is>
          <t>190502800</t>
        </is>
      </c>
      <c r="I152" t="inlineStr">
        <is>
          <t>Campañas de gestión del riesgo para temas de consumo, aprovechamiento biológico, calidad e inocuidad de los alimentos implementadas</t>
        </is>
      </c>
      <c r="J152" t="inlineStr">
        <is>
          <t>2024257990028</t>
        </is>
      </c>
      <c r="K152" t="inlineStr">
        <is>
          <t>No</t>
        </is>
      </c>
      <c r="L152" t="inlineStr">
        <is>
          <t>Número</t>
        </is>
      </c>
      <c r="M152">
        <v>1</v>
      </c>
      <c r="N152">
        <v>1</v>
      </c>
      <c r="O152">
        <v>1</v>
      </c>
      <c r="P152">
        <v>1</v>
      </c>
      <c r="Q152">
        <v>1</v>
      </c>
      <c r="R152">
        <v>1</v>
      </c>
      <c r="S152" s="103">
        <v>1</v>
      </c>
      <c r="T152" t="inlineStr">
        <is>
          <t>Se ejecutó el 100% de lo programado en la vigencia</t>
        </is>
      </c>
      <c r="U152">
        <v>0.7</v>
      </c>
      <c r="V152" s="104">
        <v>0.7</v>
      </c>
      <c r="W152" t="inlineStr">
        <is>
          <t>Lo ejecutado está por debajo de lo programado en la vigencia</t>
        </is>
      </c>
    </row>
    <row r="153">
      <c r="A153" t="inlineStr">
        <is>
          <t>IP-202</t>
        </is>
      </c>
      <c r="B153" t="inlineStr">
        <is>
          <t>19</t>
        </is>
      </c>
      <c r="C153" t="inlineStr">
        <is>
          <t>Salud y protección social</t>
        </is>
      </c>
      <c r="D153" t="inlineStr">
        <is>
          <t>1905</t>
        </is>
      </c>
      <c r="E153" t="inlineStr">
        <is>
          <t>Salud pública</t>
        </is>
      </c>
      <c r="F153" t="inlineStr">
        <is>
          <t>1905028</t>
        </is>
      </c>
      <c r="G153" t="inlineStr">
        <is>
          <t>Servicio de gestión del riesgo para temas de consumo, aprovechamiento biológico, calidad e inocuidad de los alimentos</t>
        </is>
      </c>
      <c r="H153" t="inlineStr">
        <is>
          <t>190502800</t>
        </is>
      </c>
      <c r="I153" t="inlineStr">
        <is>
          <t>Campañas de gestión del riesgo para temas de consumo, aprovechamiento biológico, calidad e inocuidad de los alimentos implementadas</t>
        </is>
      </c>
      <c r="J153" t="inlineStr">
        <is>
          <t>2024257990028</t>
        </is>
      </c>
      <c r="K153" t="inlineStr">
        <is>
          <t>Si</t>
        </is>
      </c>
      <c r="L153" t="inlineStr">
        <is>
          <t>Número</t>
        </is>
      </c>
      <c r="M153">
        <v>2</v>
      </c>
      <c r="N153">
        <v>2</v>
      </c>
      <c r="O153">
        <v>2</v>
      </c>
      <c r="P153">
        <v>2</v>
      </c>
      <c r="Q153">
        <v>2</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IP-203, IP-204</t>
        </is>
      </c>
      <c r="B154" t="inlineStr">
        <is>
          <t>19</t>
        </is>
      </c>
      <c r="C154" t="inlineStr">
        <is>
          <t>Salud y protección social</t>
        </is>
      </c>
      <c r="D154" t="inlineStr">
        <is>
          <t>1905</t>
        </is>
      </c>
      <c r="E154" t="inlineStr">
        <is>
          <t>Salud pública</t>
        </is>
      </c>
      <c r="F154" t="inlineStr">
        <is>
          <t>1905022</t>
        </is>
      </c>
      <c r="G154" t="inlineStr">
        <is>
          <t>Servicio de gestión del riesgo en temas de trastornos mentales</t>
        </is>
      </c>
      <c r="H154" t="inlineStr">
        <is>
          <t>190502200</t>
        </is>
      </c>
      <c r="I154" t="inlineStr">
        <is>
          <t>Campañas de gestión del riesgo en temas de trastornos mentales implementadas</t>
        </is>
      </c>
      <c r="J154" t="inlineStr">
        <is>
          <t>2024257990028</t>
        </is>
      </c>
      <c r="K154" t="inlineStr">
        <is>
          <t>No</t>
        </is>
      </c>
      <c r="L154" t="inlineStr">
        <is>
          <t>Número</t>
        </is>
      </c>
      <c r="M154">
        <v>2</v>
      </c>
      <c r="N154">
        <v>2</v>
      </c>
      <c r="O154">
        <v>2</v>
      </c>
      <c r="P154">
        <v>2</v>
      </c>
      <c r="Q154">
        <v>2</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IP-205</t>
        </is>
      </c>
      <c r="B155" t="inlineStr">
        <is>
          <t>19</t>
        </is>
      </c>
      <c r="C155" t="inlineStr">
        <is>
          <t>Salud y protección social</t>
        </is>
      </c>
      <c r="D155" t="inlineStr">
        <is>
          <t>1905</t>
        </is>
      </c>
      <c r="E155" t="inlineStr">
        <is>
          <t>Salud pública</t>
        </is>
      </c>
      <c r="F155" t="inlineStr">
        <is>
          <t>1905021</t>
        </is>
      </c>
      <c r="G155" t="inlineStr">
        <is>
          <t>Servicio de gestión del riesgo en temas de salud sexual y reproductiva</t>
        </is>
      </c>
      <c r="H155" t="inlineStr">
        <is>
          <t>190502100</t>
        </is>
      </c>
      <c r="I155" t="inlineStr">
        <is>
          <t>Campañas de gestión del riesgo en temas de salud sexual y reproductiva implementadas</t>
        </is>
      </c>
      <c r="J155" t="inlineStr">
        <is>
          <t>2024257990028</t>
        </is>
      </c>
      <c r="K155" t="inlineStr">
        <is>
          <t>No</t>
        </is>
      </c>
      <c r="L155" t="inlineStr">
        <is>
          <t>Número</t>
        </is>
      </c>
      <c r="M155">
        <v>1</v>
      </c>
      <c r="N155">
        <v>1</v>
      </c>
      <c r="O155">
        <v>1</v>
      </c>
      <c r="P155">
        <v>1</v>
      </c>
      <c r="Q155">
        <v>1</v>
      </c>
      <c r="R155">
        <v>1</v>
      </c>
      <c r="S155" s="103">
        <v>1</v>
      </c>
      <c r="T155" t="inlineStr">
        <is>
          <t>Se ejecutó el 100% de lo programado en la vigencia</t>
        </is>
      </c>
      <c r="U155">
        <v>0.5</v>
      </c>
      <c r="V155" s="104">
        <v>0.5</v>
      </c>
      <c r="W155" t="inlineStr">
        <is>
          <t>Lo ejecutado está por debajo de lo programado en la vigencia</t>
        </is>
      </c>
    </row>
    <row r="156">
      <c r="A156" t="inlineStr">
        <is>
          <t>IP-206</t>
        </is>
      </c>
      <c r="B156" t="inlineStr">
        <is>
          <t>19</t>
        </is>
      </c>
      <c r="C156" t="inlineStr">
        <is>
          <t>Salud y protección social</t>
        </is>
      </c>
      <c r="D156" t="inlineStr">
        <is>
          <t>1905</t>
        </is>
      </c>
      <c r="E156" t="inlineStr">
        <is>
          <t>Salud pública</t>
        </is>
      </c>
      <c r="F156" t="inlineStr">
        <is>
          <t>1905026</t>
        </is>
      </c>
      <c r="G156" t="inlineStr">
        <is>
          <t>Servicio de gestión del riesgo para enfermedades emergentes, reemergentes y desatendidas</t>
        </is>
      </c>
      <c r="H156" t="inlineStr">
        <is>
          <t>190502600</t>
        </is>
      </c>
      <c r="I156" t="inlineStr">
        <is>
          <t>Campañas de gestión del riesgo para enfermedades emergentes, reemergentes y desatendidas implementadas</t>
        </is>
      </c>
      <c r="J156" t="inlineStr">
        <is>
          <t>2024257990028</t>
        </is>
      </c>
      <c r="K156" t="inlineStr">
        <is>
          <t>No</t>
        </is>
      </c>
      <c r="L156" t="inlineStr">
        <is>
          <t>Número</t>
        </is>
      </c>
      <c r="M156">
        <v>1</v>
      </c>
      <c r="N156">
        <v>1</v>
      </c>
      <c r="O156">
        <v>1</v>
      </c>
      <c r="P156">
        <v>1</v>
      </c>
      <c r="Q156">
        <v>1</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IP-207</t>
        </is>
      </c>
      <c r="B157" t="inlineStr">
        <is>
          <t>19</t>
        </is>
      </c>
      <c r="C157" t="inlineStr">
        <is>
          <t>Salud y protección social</t>
        </is>
      </c>
      <c r="D157" t="inlineStr">
        <is>
          <t>1905</t>
        </is>
      </c>
      <c r="E157" t="inlineStr">
        <is>
          <t>Salud pública</t>
        </is>
      </c>
      <c r="F157" t="inlineStr">
        <is>
          <t>1905007</t>
        </is>
      </c>
      <c r="G157" t="inlineStr">
        <is>
          <t>Centros reguladores de urgencias, emergencias y desastres con reforzamiento estructural</t>
        </is>
      </c>
      <c r="H157" t="inlineStr">
        <is>
          <t>190500700</t>
        </is>
      </c>
      <c r="I157" t="inlineStr">
        <is>
          <t>Centros reguladores de urgencias, emergencias y desastres con reforzamiento estructural</t>
        </is>
      </c>
      <c r="J157" t="inlineStr">
        <is>
          <t>2024257990028</t>
        </is>
      </c>
      <c r="K157" t="inlineStr">
        <is>
          <t>Si</t>
        </is>
      </c>
      <c r="L157" t="inlineStr">
        <is>
          <t>Número</t>
        </is>
      </c>
      <c r="M157">
        <v>1</v>
      </c>
      <c r="N157">
        <v>0</v>
      </c>
      <c r="O157">
        <v>0.7</v>
      </c>
      <c r="P157">
        <v>0.3</v>
      </c>
      <c r="Q157">
        <v>0</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IP-208</t>
        </is>
      </c>
      <c r="B158" t="inlineStr">
        <is>
          <t>19</t>
        </is>
      </c>
      <c r="C158" t="inlineStr">
        <is>
          <t>Salud y protección social</t>
        </is>
      </c>
      <c r="D158" t="inlineStr">
        <is>
          <t>1905</t>
        </is>
      </c>
      <c r="E158" t="inlineStr">
        <is>
          <t>Salud pública</t>
        </is>
      </c>
      <c r="F158" t="inlineStr">
        <is>
          <t>1905027</t>
        </is>
      </c>
      <c r="G158" t="inlineStr">
        <is>
          <t>Servicio de gestión del riesgo para enfermedades inmunoprevenibles</t>
        </is>
      </c>
      <c r="H158" t="inlineStr">
        <is>
          <t>190502700</t>
        </is>
      </c>
      <c r="I158" t="inlineStr">
        <is>
          <t>Campañas de gestión del riesgo para enfermedades inmunoprevenibles  implementadas</t>
        </is>
      </c>
      <c r="J158" t="inlineStr">
        <is>
          <t>2024257990028</t>
        </is>
      </c>
      <c r="K158" t="inlineStr">
        <is>
          <t>No</t>
        </is>
      </c>
      <c r="L158" t="inlineStr">
        <is>
          <t>Número</t>
        </is>
      </c>
      <c r="M158">
        <v>1</v>
      </c>
      <c r="N158">
        <v>1</v>
      </c>
      <c r="O158">
        <v>1</v>
      </c>
      <c r="P158">
        <v>1</v>
      </c>
      <c r="Q158">
        <v>1</v>
      </c>
      <c r="R158" t="inlineStr">
        <is>
          <t xml:space="preserve"> </t>
        </is>
      </c>
      <c r="S158" s="103" t="inlineStr">
        <is>
          <t xml:space="preserve"> </t>
        </is>
      </c>
      <c r="T158" t="inlineStr">
        <is>
          <t>No se encontró ejecución en PIIP</t>
        </is>
      </c>
      <c r="U158" t="inlineStr">
        <is>
          <t xml:space="preserve"> </t>
        </is>
      </c>
      <c r="V158" s="104" t="inlineStr">
        <is>
          <t xml:space="preserve"> </t>
        </is>
      </c>
      <c r="W158" t="inlineStr">
        <is>
          <t>No se encontró ejecución en PIIP</t>
        </is>
      </c>
    </row>
    <row r="159">
      <c r="A159" t="inlineStr">
        <is>
          <t>IP-209</t>
        </is>
      </c>
      <c r="B159" t="inlineStr">
        <is>
          <t>19</t>
        </is>
      </c>
      <c r="C159" t="inlineStr">
        <is>
          <t>Salud y protección social</t>
        </is>
      </c>
      <c r="D159" t="inlineStr">
        <is>
          <t>1905</t>
        </is>
      </c>
      <c r="E159" t="inlineStr">
        <is>
          <t>Salud pública</t>
        </is>
      </c>
      <c r="F159" t="inlineStr">
        <is>
          <t>1905019</t>
        </is>
      </c>
      <c r="G159" t="inlineStr">
        <is>
          <t>Servicio de educación informal en temas de salud pública</t>
        </is>
      </c>
      <c r="H159" t="inlineStr">
        <is>
          <t>190501900</t>
        </is>
      </c>
      <c r="I159" t="inlineStr">
        <is>
          <t>Personas capacitadas</t>
        </is>
      </c>
      <c r="J159" t="inlineStr">
        <is>
          <t>2024257990028</t>
        </is>
      </c>
      <c r="K159" t="inlineStr">
        <is>
          <t>No</t>
        </is>
      </c>
      <c r="L159" t="inlineStr">
        <is>
          <t>Número</t>
        </is>
      </c>
      <c r="M159">
        <v>4500</v>
      </c>
      <c r="N159">
        <v>4500</v>
      </c>
      <c r="O159">
        <v>4500</v>
      </c>
      <c r="P159">
        <v>4500</v>
      </c>
      <c r="Q159">
        <v>4500</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IP-210</t>
        </is>
      </c>
      <c r="B160" t="inlineStr">
        <is>
          <t>19</t>
        </is>
      </c>
      <c r="C160" t="inlineStr">
        <is>
          <t>Salud y protección social</t>
        </is>
      </c>
      <c r="D160" t="inlineStr">
        <is>
          <t>1903</t>
        </is>
      </c>
      <c r="E160" t="inlineStr">
        <is>
          <t>Inspección, vigilancia y control</t>
        </is>
      </c>
      <c r="F160" t="inlineStr">
        <is>
          <t>1903033</t>
        </is>
      </c>
      <c r="G160" t="inlineStr">
        <is>
          <t>Servicio de verificación de técnicas de análisis</t>
        </is>
      </c>
      <c r="H160" t="inlineStr">
        <is>
          <t>190303300</t>
        </is>
      </c>
      <c r="I160" t="inlineStr">
        <is>
          <t>Instituciones bajo control</t>
        </is>
      </c>
      <c r="J160" t="inlineStr">
        <is>
          <t>2024257990029</t>
        </is>
      </c>
      <c r="K160" t="inlineStr">
        <is>
          <t>No</t>
        </is>
      </c>
      <c r="L160" t="inlineStr">
        <is>
          <t>Número</t>
        </is>
      </c>
      <c r="M160">
        <v>2</v>
      </c>
      <c r="N160">
        <v>2</v>
      </c>
      <c r="O160">
        <v>2</v>
      </c>
      <c r="P160">
        <v>2</v>
      </c>
      <c r="Q160">
        <v>2</v>
      </c>
      <c r="R160">
        <v>1</v>
      </c>
      <c r="S160" s="103">
        <v>0.5</v>
      </c>
      <c r="T160" t="inlineStr">
        <is>
          <t>Lo ejecutado está por debajo de lo programado en la vigencia</t>
        </is>
      </c>
      <c r="U160">
        <v>0.6</v>
      </c>
      <c r="V160" s="104">
        <v>0.3</v>
      </c>
      <c r="W160" t="inlineStr">
        <is>
          <t>Lo ejecutado está por debajo de lo programado en la vigencia</t>
        </is>
      </c>
    </row>
    <row r="161">
      <c r="A161" t="inlineStr">
        <is>
          <t>IP-211</t>
        </is>
      </c>
      <c r="B161" t="inlineStr">
        <is>
          <t>19</t>
        </is>
      </c>
      <c r="C161" t="inlineStr">
        <is>
          <t>Salud y protección social</t>
        </is>
      </c>
      <c r="D161" t="inlineStr">
        <is>
          <t>1903</t>
        </is>
      </c>
      <c r="E161" t="inlineStr">
        <is>
          <t>Inspección, vigilancia y control</t>
        </is>
      </c>
      <c r="F161" t="inlineStr">
        <is>
          <t>1903057</t>
        </is>
      </c>
      <c r="G161" t="inlineStr">
        <is>
          <t>Servicio de promoción, prevención, vigilancia y control de vectores y zoonosis</t>
        </is>
      </c>
      <c r="H161" t="inlineStr">
        <is>
          <t>190305700</t>
        </is>
      </c>
      <c r="I161" t="inlineStr">
        <is>
          <t>Municipios con acciones de promoción, prevención, vigilancia  y control de vectores y zoonosis realizadas</t>
        </is>
      </c>
      <c r="J161" t="inlineStr">
        <is>
          <t>2024257990029</t>
        </is>
      </c>
      <c r="K161" t="inlineStr">
        <is>
          <t>Si</t>
        </is>
      </c>
      <c r="L161" t="inlineStr">
        <is>
          <t>Número</t>
        </is>
      </c>
      <c r="M161">
        <v>4</v>
      </c>
      <c r="N161">
        <v>1</v>
      </c>
      <c r="O161">
        <v>1</v>
      </c>
      <c r="P161">
        <v>1</v>
      </c>
      <c r="Q161">
        <v>1</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IP-212, IP-213, IP-214, IP-215, IP-216, IP-218</t>
        </is>
      </c>
      <c r="B162" t="inlineStr">
        <is>
          <t>19</t>
        </is>
      </c>
      <c r="C162" t="inlineStr">
        <is>
          <t>Salud y protección social</t>
        </is>
      </c>
      <c r="D162" t="inlineStr">
        <is>
          <t>1903</t>
        </is>
      </c>
      <c r="E162" t="inlineStr">
        <is>
          <t>Inspección, vigilancia y control</t>
        </is>
      </c>
      <c r="F162" t="inlineStr">
        <is>
          <t>1903023</t>
        </is>
      </c>
      <c r="G162" t="inlineStr">
        <is>
          <t>Servicio de asistencia técnica en inspección, vigilancia y control</t>
        </is>
      </c>
      <c r="H162" t="inlineStr">
        <is>
          <t>190302300</t>
        </is>
      </c>
      <c r="I162" t="inlineStr">
        <is>
          <t>asistencias técnica en Inspección, Vigilancia y Control realizadas</t>
        </is>
      </c>
      <c r="J162" t="inlineStr">
        <is>
          <t>2024257990029</t>
        </is>
      </c>
      <c r="K162" t="inlineStr">
        <is>
          <t>No</t>
        </is>
      </c>
      <c r="L162" t="inlineStr">
        <is>
          <t>Número</t>
        </is>
      </c>
      <c r="M162">
        <v>308</v>
      </c>
      <c r="N162">
        <v>304</v>
      </c>
      <c r="O162">
        <v>305</v>
      </c>
      <c r="P162">
        <v>305</v>
      </c>
      <c r="Q162">
        <v>305</v>
      </c>
      <c r="R162">
        <v>1</v>
      </c>
      <c r="S162" s="103">
        <v>0.00328947368421053</v>
      </c>
      <c r="T162" t="inlineStr">
        <is>
          <t>Lo ejecutado está por debajo de lo programado en la vigencia</t>
        </is>
      </c>
      <c r="U162">
        <v>0.6</v>
      </c>
      <c r="V162" s="104">
        <v>0.0019672131147541</v>
      </c>
      <c r="W162" t="inlineStr">
        <is>
          <t>Lo ejecutado está por debajo de lo programado en la vigencia</t>
        </is>
      </c>
    </row>
    <row r="163">
      <c r="A163" t="inlineStr">
        <is>
          <t>IP-217</t>
        </is>
      </c>
      <c r="B163" t="inlineStr">
        <is>
          <t>19</t>
        </is>
      </c>
      <c r="C163" t="inlineStr">
        <is>
          <t>Salud y protección social</t>
        </is>
      </c>
      <c r="D163" t="inlineStr">
        <is>
          <t>1903</t>
        </is>
      </c>
      <c r="E163" t="inlineStr">
        <is>
          <t>Inspección, vigilancia y control</t>
        </is>
      </c>
      <c r="F163" t="inlineStr">
        <is>
          <t>1903031</t>
        </is>
      </c>
      <c r="G163" t="inlineStr">
        <is>
          <t>Servicio de información de vigilancia epidemiológica</t>
        </is>
      </c>
      <c r="H163" t="inlineStr">
        <is>
          <t>190303100</t>
        </is>
      </c>
      <c r="I163" t="inlineStr">
        <is>
          <t>Informes de evento generados en la vigencia</t>
        </is>
      </c>
      <c r="J163" t="inlineStr">
        <is>
          <t>2024257990029</t>
        </is>
      </c>
      <c r="K163" t="inlineStr">
        <is>
          <t>No</t>
        </is>
      </c>
      <c r="L163" t="inlineStr">
        <is>
          <t>Número</t>
        </is>
      </c>
      <c r="M163">
        <v>100</v>
      </c>
      <c r="N163">
        <v>100</v>
      </c>
      <c r="O163">
        <v>100</v>
      </c>
      <c r="P163">
        <v>100</v>
      </c>
      <c r="Q163">
        <v>100</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IP-219</t>
        </is>
      </c>
      <c r="B164" t="inlineStr">
        <is>
          <t>33</t>
        </is>
      </c>
      <c r="C164" t="inlineStr">
        <is>
          <t>Cultura</t>
        </is>
      </c>
      <c r="D164" t="inlineStr">
        <is>
          <t>3301</t>
        </is>
      </c>
      <c r="E164" t="inlineStr">
        <is>
          <t>Promoción y acceso efectivo a procesos culturales y artísticos</t>
        </is>
      </c>
      <c r="F164" t="inlineStr">
        <is>
          <t>3301071</t>
        </is>
      </c>
      <c r="G164" t="inlineStr">
        <is>
          <t>Documentos normativos</t>
        </is>
      </c>
      <c r="H164" t="inlineStr">
        <is>
          <t>330107100</t>
        </is>
      </c>
      <c r="I164" t="inlineStr">
        <is>
          <t>Documentos normativos realizados</t>
        </is>
      </c>
      <c r="J164" t="inlineStr">
        <is>
          <t>2024257990030</t>
        </is>
      </c>
      <c r="K164" t="inlineStr">
        <is>
          <t>Si</t>
        </is>
      </c>
      <c r="L164" t="inlineStr">
        <is>
          <t>Número</t>
        </is>
      </c>
      <c r="M164">
        <v>1</v>
      </c>
      <c r="N164">
        <v>0</v>
      </c>
      <c r="O164">
        <v>0.3</v>
      </c>
      <c r="P164">
        <v>0.3</v>
      </c>
      <c r="Q164">
        <v>0.4</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IP-220, IP-221</t>
        </is>
      </c>
      <c r="B165" t="inlineStr">
        <is>
          <t>33</t>
        </is>
      </c>
      <c r="C165" t="inlineStr">
        <is>
          <t>Cultura</t>
        </is>
      </c>
      <c r="D165" t="inlineStr">
        <is>
          <t>3301</t>
        </is>
      </c>
      <c r="E165" t="inlineStr">
        <is>
          <t>Promoción y acceso efectivo a procesos culturales y artísticos</t>
        </is>
      </c>
      <c r="F165" t="inlineStr">
        <is>
          <t>3301071</t>
        </is>
      </c>
      <c r="G165" t="inlineStr">
        <is>
          <t>Documentos normativos</t>
        </is>
      </c>
      <c r="H165" t="inlineStr">
        <is>
          <t>330107100</t>
        </is>
      </c>
      <c r="I165" t="inlineStr">
        <is>
          <t>Documentos normativos realizados</t>
        </is>
      </c>
      <c r="J165" t="inlineStr">
        <is>
          <t>2024257990030</t>
        </is>
      </c>
      <c r="K165" t="inlineStr">
        <is>
          <t>No</t>
        </is>
      </c>
      <c r="L165" t="inlineStr">
        <is>
          <t>Número</t>
        </is>
      </c>
      <c r="M165">
        <v>200</v>
      </c>
      <c r="N165">
        <v>200</v>
      </c>
      <c r="O165">
        <v>200</v>
      </c>
      <c r="P165">
        <v>200</v>
      </c>
      <c r="Q165">
        <v>200</v>
      </c>
      <c r="R165">
        <v>0.3</v>
      </c>
      <c r="S165" s="103">
        <v>0.0015</v>
      </c>
      <c r="T165" t="inlineStr">
        <is>
          <t>Lo ejecutado está por debajo de lo programado en la vigencia</t>
        </is>
      </c>
      <c r="U165" t="inlineStr">
        <is>
          <t xml:space="preserve"> </t>
        </is>
      </c>
      <c r="V165" s="104" t="inlineStr">
        <is>
          <t xml:space="preserve"> </t>
        </is>
      </c>
      <c r="W165" t="inlineStr">
        <is>
          <t>No se encontró ejecución en PIIP</t>
        </is>
      </c>
    </row>
    <row r="166">
      <c r="A166" t="inlineStr">
        <is>
          <t>IP-222</t>
        </is>
      </c>
      <c r="B166" t="inlineStr">
        <is>
          <t>33</t>
        </is>
      </c>
      <c r="C166" t="inlineStr">
        <is>
          <t>Cultura</t>
        </is>
      </c>
      <c r="D166" t="inlineStr">
        <is>
          <t>3301</t>
        </is>
      </c>
      <c r="E166" t="inlineStr">
        <is>
          <t>Promoción y acceso efectivo a procesos culturales y artísticos</t>
        </is>
      </c>
      <c r="F166" t="inlineStr">
        <is>
          <t>3301070</t>
        </is>
      </c>
      <c r="G166" t="inlineStr">
        <is>
          <t>Documentos de lineamientos técnicos</t>
        </is>
      </c>
      <c r="H166" t="inlineStr">
        <is>
          <t>330107000</t>
        </is>
      </c>
      <c r="I166" t="inlineStr">
        <is>
          <t>Documentos de lineamientos técnicos realizados</t>
        </is>
      </c>
      <c r="J166" t="inlineStr">
        <is>
          <t>2024257990030</t>
        </is>
      </c>
      <c r="K166" t="inlineStr">
        <is>
          <t>No</t>
        </is>
      </c>
      <c r="L166" t="inlineStr">
        <is>
          <t>Número</t>
        </is>
      </c>
      <c r="M166">
        <v>100</v>
      </c>
      <c r="N166">
        <v>0</v>
      </c>
      <c r="O166">
        <v>100</v>
      </c>
      <c r="P166">
        <v>100</v>
      </c>
      <c r="Q166">
        <v>100</v>
      </c>
      <c r="R166">
        <v>0.3</v>
      </c>
      <c r="S166" s="103" t="inlineStr">
        <is>
          <t xml:space="preserve"> </t>
        </is>
      </c>
      <c r="T166" t="inlineStr">
        <is>
          <t>Se ejecutó un producto no programado en la vigencia</t>
        </is>
      </c>
      <c r="U166" t="inlineStr">
        <is>
          <t xml:space="preserve"> </t>
        </is>
      </c>
      <c r="V166" s="104" t="inlineStr">
        <is>
          <t xml:space="preserve"> </t>
        </is>
      </c>
      <c r="W166" t="inlineStr">
        <is>
          <t>No se encontró ejecución en PIIP</t>
        </is>
      </c>
    </row>
    <row r="167">
      <c r="A167" t="inlineStr">
        <is>
          <t>IP-223</t>
        </is>
      </c>
      <c r="B167" t="inlineStr">
        <is>
          <t>33</t>
        </is>
      </c>
      <c r="C167" t="inlineStr">
        <is>
          <t>Cultura</t>
        </is>
      </c>
      <c r="D167" t="inlineStr">
        <is>
          <t>3301</t>
        </is>
      </c>
      <c r="E167" t="inlineStr">
        <is>
          <t>Promoción y acceso efectivo a procesos culturales y artísticos</t>
        </is>
      </c>
      <c r="F167" t="inlineStr">
        <is>
          <t>3301073</t>
        </is>
      </c>
      <c r="G167" t="inlineStr">
        <is>
          <t>Servicio de circulación artística y cultural</t>
        </is>
      </c>
      <c r="H167" t="inlineStr">
        <is>
          <t>330107300</t>
        </is>
      </c>
      <c r="I167" t="inlineStr">
        <is>
          <t>Contenidos culturales  en circulación</t>
        </is>
      </c>
      <c r="J167" t="inlineStr">
        <is>
          <t>2024257990030</t>
        </is>
      </c>
      <c r="K167" t="inlineStr">
        <is>
          <t>Si</t>
        </is>
      </c>
      <c r="L167" t="inlineStr">
        <is>
          <t>Número</t>
        </is>
      </c>
      <c r="M167">
        <v>80</v>
      </c>
      <c r="N167">
        <v>20</v>
      </c>
      <c r="O167">
        <v>20</v>
      </c>
      <c r="P167">
        <v>20</v>
      </c>
      <c r="Q167">
        <v>20</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IP-224</t>
        </is>
      </c>
      <c r="B168" t="inlineStr">
        <is>
          <t>33</t>
        </is>
      </c>
      <c r="C168" t="inlineStr">
        <is>
          <t>Cultura</t>
        </is>
      </c>
      <c r="D168" t="inlineStr">
        <is>
          <t>3301</t>
        </is>
      </c>
      <c r="E168" t="inlineStr">
        <is>
          <t>Promoción y acceso efectivo a procesos culturales y artísticos</t>
        </is>
      </c>
      <c r="F168" t="inlineStr">
        <is>
          <t>3301126</t>
        </is>
      </c>
      <c r="G168" t="inlineStr">
        <is>
          <t>Servicio de apoyo al proceso de formación artística y cultural</t>
        </is>
      </c>
      <c r="H168" t="inlineStr">
        <is>
          <t>330112600</t>
        </is>
      </c>
      <c r="I168" t="inlineStr">
        <is>
          <t>Procesos de formación atendidos</t>
        </is>
      </c>
      <c r="J168" t="inlineStr">
        <is>
          <t>2024257990030</t>
        </is>
      </c>
      <c r="K168" t="inlineStr">
        <is>
          <t>No</t>
        </is>
      </c>
      <c r="L168" t="inlineStr">
        <is>
          <t>Número</t>
        </is>
      </c>
      <c r="M168">
        <v>108005</v>
      </c>
      <c r="N168">
        <v>2700</v>
      </c>
      <c r="O168">
        <v>2700</v>
      </c>
      <c r="P168">
        <v>2700</v>
      </c>
      <c r="Q168">
        <v>2700</v>
      </c>
      <c r="R168">
        <v>0</v>
      </c>
      <c r="S168" s="103">
        <v>0</v>
      </c>
      <c r="T168" t="inlineStr">
        <is>
          <t>No se ejecutó en la vigencia</t>
        </is>
      </c>
      <c r="U168" t="inlineStr">
        <is>
          <t xml:space="preserve"> </t>
        </is>
      </c>
      <c r="V168" s="104" t="inlineStr">
        <is>
          <t xml:space="preserve"> </t>
        </is>
      </c>
      <c r="W168" t="inlineStr">
        <is>
          <t>No se encontró ejecución en PIIP</t>
        </is>
      </c>
    </row>
    <row r="169">
      <c r="A169" t="inlineStr">
        <is>
          <t>IP-225</t>
        </is>
      </c>
      <c r="B169" t="inlineStr">
        <is>
          <t>33</t>
        </is>
      </c>
      <c r="C169" t="inlineStr">
        <is>
          <t>Cultura</t>
        </is>
      </c>
      <c r="D169" t="inlineStr">
        <is>
          <t>3301</t>
        </is>
      </c>
      <c r="E169" t="inlineStr">
        <is>
          <t>Promoción y acceso efectivo a procesos culturales y artísticos</t>
        </is>
      </c>
      <c r="F169" t="inlineStr">
        <is>
          <t>3301126</t>
        </is>
      </c>
      <c r="G169" t="inlineStr">
        <is>
          <t>Servicio de apoyo al proceso de formación artística y cultural</t>
        </is>
      </c>
      <c r="H169" t="inlineStr">
        <is>
          <t>330112600</t>
        </is>
      </c>
      <c r="I169" t="inlineStr">
        <is>
          <t>Procesos de formación atendidos</t>
        </is>
      </c>
      <c r="J169" t="inlineStr">
        <is>
          <t>2024257990030</t>
        </is>
      </c>
      <c r="K169" t="inlineStr">
        <is>
          <t>Si</t>
        </is>
      </c>
      <c r="L169" t="inlineStr">
        <is>
          <t>Número</t>
        </is>
      </c>
      <c r="M169">
        <v>10000</v>
      </c>
      <c r="N169">
        <v>0</v>
      </c>
      <c r="O169">
        <v>3400</v>
      </c>
      <c r="P169">
        <v>3400</v>
      </c>
      <c r="Q169">
        <v>3200</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IP-226</t>
        </is>
      </c>
      <c r="B170" t="inlineStr">
        <is>
          <t>33</t>
        </is>
      </c>
      <c r="C170" t="inlineStr">
        <is>
          <t>Cultura</t>
        </is>
      </c>
      <c r="D170" t="inlineStr">
        <is>
          <t>3301</t>
        </is>
      </c>
      <c r="E170" t="inlineStr">
        <is>
          <t>Promoción y acceso efectivo a procesos culturales y artísticos</t>
        </is>
      </c>
      <c r="F170" t="inlineStr">
        <is>
          <t>3301054</t>
        </is>
      </c>
      <c r="G170" t="inlineStr">
        <is>
          <t>Servicio de apoyo financiero al sector artístico y cultural</t>
        </is>
      </c>
      <c r="H170" t="inlineStr">
        <is>
          <t>330105400</t>
        </is>
      </c>
      <c r="I170" t="inlineStr">
        <is>
          <t>Estímulos otorgados</t>
        </is>
      </c>
      <c r="J170" t="inlineStr">
        <is>
          <t>2024257990030</t>
        </is>
      </c>
      <c r="K170" t="inlineStr">
        <is>
          <t>No</t>
        </is>
      </c>
      <c r="L170" t="inlineStr">
        <is>
          <t>Número</t>
        </is>
      </c>
      <c r="M170">
        <v>100</v>
      </c>
      <c r="N170">
        <v>100</v>
      </c>
      <c r="O170">
        <v>100</v>
      </c>
      <c r="P170">
        <v>100</v>
      </c>
      <c r="Q170">
        <v>100</v>
      </c>
      <c r="R170">
        <v>0</v>
      </c>
      <c r="S170" s="103">
        <v>0</v>
      </c>
      <c r="T170" t="inlineStr">
        <is>
          <t>No se ejecutó en la vigencia</t>
        </is>
      </c>
      <c r="U170" t="inlineStr">
        <is>
          <t xml:space="preserve"> </t>
        </is>
      </c>
      <c r="V170" s="104" t="inlineStr">
        <is>
          <t xml:space="preserve"> </t>
        </is>
      </c>
      <c r="W170" t="inlineStr">
        <is>
          <t>No se encontró ejecución en PIIP</t>
        </is>
      </c>
    </row>
    <row r="171">
      <c r="A171" t="inlineStr">
        <is>
          <t>IP-227</t>
        </is>
      </c>
      <c r="B171" t="inlineStr">
        <is>
          <t>33</t>
        </is>
      </c>
      <c r="C171" t="inlineStr">
        <is>
          <t>Cultura</t>
        </is>
      </c>
      <c r="D171" t="inlineStr">
        <is>
          <t>3301</t>
        </is>
      </c>
      <c r="E171" t="inlineStr">
        <is>
          <t>Promoción y acceso efectivo a procesos culturales y artísticos</t>
        </is>
      </c>
      <c r="F171" t="inlineStr">
        <is>
          <t>3301054</t>
        </is>
      </c>
      <c r="G171" t="inlineStr">
        <is>
          <t>Servicio de apoyo financiero al sector artístico y cultural</t>
        </is>
      </c>
      <c r="H171" t="inlineStr">
        <is>
          <t>330105400</t>
        </is>
      </c>
      <c r="I171" t="inlineStr">
        <is>
          <t>Estímulos otorgados</t>
        </is>
      </c>
      <c r="J171" t="inlineStr">
        <is>
          <t>2024257990030</t>
        </is>
      </c>
      <c r="K171" t="inlineStr">
        <is>
          <t>Si</t>
        </is>
      </c>
      <c r="L171" t="inlineStr">
        <is>
          <t>Número</t>
        </is>
      </c>
      <c r="M171">
        <v>4</v>
      </c>
      <c r="N171">
        <v>1</v>
      </c>
      <c r="O171">
        <v>1</v>
      </c>
      <c r="P171">
        <v>1</v>
      </c>
      <c r="Q171">
        <v>1</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IP-228, IP-229</t>
        </is>
      </c>
      <c r="B172" t="inlineStr">
        <is>
          <t>33</t>
        </is>
      </c>
      <c r="C172" t="inlineStr">
        <is>
          <t>Cultura</t>
        </is>
      </c>
      <c r="D172" t="inlineStr">
        <is>
          <t>3301</t>
        </is>
      </c>
      <c r="E172" t="inlineStr">
        <is>
          <t>Promoción y acceso efectivo a procesos culturales y artísticos</t>
        </is>
      </c>
      <c r="F172" t="inlineStr">
        <is>
          <t>3301085</t>
        </is>
      </c>
      <c r="G172" t="inlineStr">
        <is>
          <t>Servicios bibliotecarios</t>
        </is>
      </c>
      <c r="H172" t="inlineStr">
        <is>
          <t>330108500</t>
        </is>
      </c>
      <c r="I172" t="inlineStr">
        <is>
          <t>Usuarios atendidos</t>
        </is>
      </c>
      <c r="J172" t="inlineStr">
        <is>
          <t>2024257990031</t>
        </is>
      </c>
      <c r="K172" t="inlineStr">
        <is>
          <t>No</t>
        </is>
      </c>
      <c r="L172" t="inlineStr">
        <is>
          <t>Número</t>
        </is>
      </c>
      <c r="M172">
        <v>54723</v>
      </c>
      <c r="N172">
        <v>54623</v>
      </c>
      <c r="O172">
        <v>54723</v>
      </c>
      <c r="P172">
        <v>54723</v>
      </c>
      <c r="Q172">
        <v>54723</v>
      </c>
      <c r="R172">
        <v>2000</v>
      </c>
      <c r="S172" s="103">
        <v>0.0366146128920052</v>
      </c>
      <c r="T172" t="inlineStr">
        <is>
          <t>Lo ejecutado está por debajo de lo programado en la vigencia</t>
        </is>
      </c>
      <c r="U172" t="inlineStr">
        <is>
          <t xml:space="preserve"> </t>
        </is>
      </c>
      <c r="V172" s="104" t="inlineStr">
        <is>
          <t xml:space="preserve"> </t>
        </is>
      </c>
      <c r="W172" t="inlineStr">
        <is>
          <t>No se encontró ejecución en PIIP</t>
        </is>
      </c>
    </row>
    <row r="173">
      <c r="A173" t="inlineStr">
        <is>
          <t>IP-230</t>
        </is>
      </c>
      <c r="B173" t="inlineStr">
        <is>
          <t>33</t>
        </is>
      </c>
      <c r="C173" t="inlineStr">
        <is>
          <t>Cultura</t>
        </is>
      </c>
      <c r="D173" t="inlineStr">
        <is>
          <t>3301</t>
        </is>
      </c>
      <c r="E173" t="inlineStr">
        <is>
          <t>Promoción y acceso efectivo a procesos culturales y artísticos</t>
        </is>
      </c>
      <c r="F173" t="inlineStr">
        <is>
          <t>3301085</t>
        </is>
      </c>
      <c r="G173" t="inlineStr">
        <is>
          <t>Servicios bibliotecarios</t>
        </is>
      </c>
      <c r="H173" t="inlineStr">
        <is>
          <t>330108500</t>
        </is>
      </c>
      <c r="I173" t="inlineStr">
        <is>
          <t>Usuarios atendidos</t>
        </is>
      </c>
      <c r="J173" t="inlineStr">
        <is>
          <t>2024257990031</t>
        </is>
      </c>
      <c r="K173" t="inlineStr">
        <is>
          <t>Si</t>
        </is>
      </c>
      <c r="L173" t="inlineStr">
        <is>
          <t>Número</t>
        </is>
      </c>
      <c r="M173">
        <v>3</v>
      </c>
      <c r="N173">
        <v>1</v>
      </c>
      <c r="O173">
        <v>2</v>
      </c>
      <c r="P173">
        <v>3</v>
      </c>
      <c r="Q173">
        <v>3</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IP-231</t>
        </is>
      </c>
      <c r="B174" t="inlineStr">
        <is>
          <t>33</t>
        </is>
      </c>
      <c r="C174" t="inlineStr">
        <is>
          <t>Cultura</t>
        </is>
      </c>
      <c r="D174" t="inlineStr">
        <is>
          <t>3301</t>
        </is>
      </c>
      <c r="E174" t="inlineStr">
        <is>
          <t>Promoción y acceso efectivo a procesos culturales y artísticos</t>
        </is>
      </c>
      <c r="F174" t="inlineStr">
        <is>
          <t>3301075</t>
        </is>
      </c>
      <c r="G174" t="inlineStr">
        <is>
          <t>Bibliotecas construidas y dotadas</t>
        </is>
      </c>
      <c r="H174" t="inlineStr">
        <is>
          <t>330107500</t>
        </is>
      </c>
      <c r="I174" t="inlineStr">
        <is>
          <t>Bibliotecas construidas y dotadas</t>
        </is>
      </c>
      <c r="J174" t="inlineStr">
        <is>
          <t>2024257990031</t>
        </is>
      </c>
      <c r="K174" t="inlineStr">
        <is>
          <t>No</t>
        </is>
      </c>
      <c r="L174" t="inlineStr">
        <is>
          <t>Número</t>
        </is>
      </c>
      <c r="M174">
        <v>1</v>
      </c>
      <c r="N174">
        <v>1</v>
      </c>
      <c r="O174">
        <v>1</v>
      </c>
      <c r="P174">
        <v>1</v>
      </c>
      <c r="Q174">
        <v>1</v>
      </c>
      <c r="R174">
        <v>0.5</v>
      </c>
      <c r="S174" s="103">
        <v>0.5</v>
      </c>
      <c r="T174" t="inlineStr">
        <is>
          <t>Lo ejecutado está por debajo de lo programado en la vigencia</t>
        </is>
      </c>
      <c r="U174" t="inlineStr">
        <is>
          <t xml:space="preserve"> </t>
        </is>
      </c>
      <c r="V174" s="104" t="inlineStr">
        <is>
          <t xml:space="preserve"> </t>
        </is>
      </c>
      <c r="W174" t="inlineStr">
        <is>
          <t>No se encontró ejecución en PIIP</t>
        </is>
      </c>
    </row>
    <row r="175">
      <c r="A175" t="inlineStr">
        <is>
          <t>IP-232</t>
        </is>
      </c>
      <c r="B175" t="inlineStr">
        <is>
          <t>33</t>
        </is>
      </c>
      <c r="C175" t="inlineStr">
        <is>
          <t>Cultura</t>
        </is>
      </c>
      <c r="D175" t="inlineStr">
        <is>
          <t>3302</t>
        </is>
      </c>
      <c r="E175" t="inlineStr">
        <is>
          <t>Gestión, protección y salvaguardia del patrimonio cultural colombiano</t>
        </is>
      </c>
      <c r="F175" t="inlineStr">
        <is>
          <t>3302044</t>
        </is>
      </c>
      <c r="G175" t="inlineStr">
        <is>
          <t>Servicio de promoción de actividades culturales.</t>
        </is>
      </c>
      <c r="H175" t="inlineStr">
        <is>
          <t>330204400</t>
        </is>
      </c>
      <c r="I175" t="inlineStr">
        <is>
          <t>Actividades culturales realizadas en Museos del Ministerio de Cultura</t>
        </is>
      </c>
      <c r="J175" t="inlineStr">
        <is>
          <t>2024257990032</t>
        </is>
      </c>
      <c r="K175" t="inlineStr">
        <is>
          <t>No</t>
        </is>
      </c>
      <c r="L175" t="inlineStr">
        <is>
          <t>Número</t>
        </is>
      </c>
      <c r="M175">
        <v>100</v>
      </c>
      <c r="N175">
        <v>100</v>
      </c>
      <c r="O175">
        <v>100</v>
      </c>
      <c r="P175">
        <v>100</v>
      </c>
      <c r="Q175">
        <v>100</v>
      </c>
      <c r="R175">
        <v>8</v>
      </c>
      <c r="S175" s="103">
        <v>0.08</v>
      </c>
      <c r="T175" t="inlineStr">
        <is>
          <t>Lo ejecutado está por debajo de lo programado en la vigencia</t>
        </is>
      </c>
      <c r="U175" t="inlineStr">
        <is>
          <t xml:space="preserve"> </t>
        </is>
      </c>
      <c r="V175" s="104" t="inlineStr">
        <is>
          <t xml:space="preserve"> </t>
        </is>
      </c>
      <c r="W175" t="inlineStr">
        <is>
          <t>No se encontró ejecución en PIIP</t>
        </is>
      </c>
    </row>
    <row r="176">
      <c r="A176" t="inlineStr">
        <is>
          <t>IP-233</t>
        </is>
      </c>
      <c r="B176" t="inlineStr">
        <is>
          <t>33</t>
        </is>
      </c>
      <c r="C176" t="inlineStr">
        <is>
          <t>Cultura</t>
        </is>
      </c>
      <c r="D176" t="inlineStr">
        <is>
          <t>3302</t>
        </is>
      </c>
      <c r="E176" t="inlineStr">
        <is>
          <t>Gestión, protección y salvaguardia del patrimonio cultural colombiano</t>
        </is>
      </c>
      <c r="F176" t="inlineStr">
        <is>
          <t>3302069</t>
        </is>
      </c>
      <c r="G176" t="inlineStr">
        <is>
          <t>Servicio de apoyo financiero al sector museos</t>
        </is>
      </c>
      <c r="H176" t="inlineStr">
        <is>
          <t>330206900</t>
        </is>
      </c>
      <c r="I176" t="inlineStr">
        <is>
          <t>Estímulos otorgados</t>
        </is>
      </c>
      <c r="J176" t="inlineStr">
        <is>
          <t>2024257990032</t>
        </is>
      </c>
      <c r="K176" t="inlineStr">
        <is>
          <t>No</t>
        </is>
      </c>
      <c r="L176" t="inlineStr">
        <is>
          <t>Número</t>
        </is>
      </c>
      <c r="M176">
        <v>1</v>
      </c>
      <c r="N176">
        <v>1</v>
      </c>
      <c r="O176">
        <v>1</v>
      </c>
      <c r="P176">
        <v>1</v>
      </c>
      <c r="Q176">
        <v>1</v>
      </c>
      <c r="R176">
        <v>0.5</v>
      </c>
      <c r="S176" s="103">
        <v>0.5</v>
      </c>
      <c r="T176" t="inlineStr">
        <is>
          <t>Lo ejecutado está por debajo de lo programado en la vigencia</t>
        </is>
      </c>
      <c r="U176" t="inlineStr">
        <is>
          <t xml:space="preserve"> </t>
        </is>
      </c>
      <c r="V176" s="104" t="inlineStr">
        <is>
          <t xml:space="preserve"> </t>
        </is>
      </c>
      <c r="W176" t="inlineStr">
        <is>
          <t>No se encontró ejecución en PIIP</t>
        </is>
      </c>
    </row>
    <row r="177">
      <c r="A177" t="inlineStr">
        <is>
          <t>IP-234</t>
        </is>
      </c>
      <c r="B177" t="inlineStr">
        <is>
          <t>33</t>
        </is>
      </c>
      <c r="C177" t="inlineStr">
        <is>
          <t>Cultura</t>
        </is>
      </c>
      <c r="D177" t="inlineStr">
        <is>
          <t>3302</t>
        </is>
      </c>
      <c r="E177" t="inlineStr">
        <is>
          <t>Gestión, protección y salvaguardia del patrimonio cultural colombiano</t>
        </is>
      </c>
      <c r="F177" t="inlineStr">
        <is>
          <t>3302049</t>
        </is>
      </c>
      <c r="G177" t="inlineStr">
        <is>
          <t>Servicio de salvaguardia al patrimonio inmaterial</t>
        </is>
      </c>
      <c r="H177" t="inlineStr">
        <is>
          <t>330204900</t>
        </is>
      </c>
      <c r="I177" t="inlineStr">
        <is>
          <t>Procesos de salvaguardia efectiva del patrimonio inmaterial realizados</t>
        </is>
      </c>
      <c r="J177" t="inlineStr">
        <is>
          <t>2024257990033</t>
        </is>
      </c>
      <c r="K177" t="inlineStr">
        <is>
          <t>No</t>
        </is>
      </c>
      <c r="L177" t="inlineStr">
        <is>
          <t>Número</t>
        </is>
      </c>
      <c r="M177">
        <v>1</v>
      </c>
      <c r="N177">
        <v>0</v>
      </c>
      <c r="O177">
        <v>40</v>
      </c>
      <c r="P177">
        <v>40</v>
      </c>
      <c r="Q177">
        <v>20</v>
      </c>
      <c r="R177">
        <v>0</v>
      </c>
      <c r="S177" s="103" t="inlineStr">
        <is>
          <t xml:space="preserve"> </t>
        </is>
      </c>
      <c r="T177" t="inlineStr">
        <is>
          <t>No se programó ni ejecutó en la vigencia</t>
        </is>
      </c>
      <c r="U177">
        <v>0.8</v>
      </c>
      <c r="V177" s="104">
        <v>0.02</v>
      </c>
      <c r="W177" t="inlineStr">
        <is>
          <t>Lo ejecutado está por debajo de lo programado en la vigencia</t>
        </is>
      </c>
    </row>
    <row r="178">
      <c r="A178" t="inlineStr">
        <is>
          <t>IP-235</t>
        </is>
      </c>
      <c r="B178" t="inlineStr">
        <is>
          <t>33</t>
        </is>
      </c>
      <c r="C178" t="inlineStr">
        <is>
          <t>Cultura</t>
        </is>
      </c>
      <c r="D178" t="inlineStr">
        <is>
          <t>3302</t>
        </is>
      </c>
      <c r="E178" t="inlineStr">
        <is>
          <t>Gestión, protección y salvaguardia del patrimonio cultural colombiano</t>
        </is>
      </c>
      <c r="F178" t="inlineStr">
        <is>
          <t>3302078</t>
        </is>
      </c>
      <c r="G178" t="inlineStr">
        <is>
          <t>Servicio de educación informal en asuntos patrimoniales</t>
        </is>
      </c>
      <c r="H178" t="inlineStr">
        <is>
          <t>330207800</t>
        </is>
      </c>
      <c r="I178" t="inlineStr">
        <is>
          <t>Capacitaciones realizadas</t>
        </is>
      </c>
      <c r="J178" t="inlineStr">
        <is>
          <t>2024257990033</t>
        </is>
      </c>
      <c r="K178" t="inlineStr">
        <is>
          <t>No</t>
        </is>
      </c>
      <c r="L178" t="inlineStr">
        <is>
          <t>Número</t>
        </is>
      </c>
      <c r="M178">
        <v>1</v>
      </c>
      <c r="N178">
        <v>1</v>
      </c>
      <c r="O178">
        <v>1</v>
      </c>
      <c r="P178">
        <v>1</v>
      </c>
      <c r="Q178">
        <v>1</v>
      </c>
      <c r="R178">
        <v>1</v>
      </c>
      <c r="S178" s="103">
        <v>1</v>
      </c>
      <c r="T178" t="inlineStr">
        <is>
          <t>Se ejecutó el 100% de lo programado en la vigencia</t>
        </is>
      </c>
      <c r="U178">
        <v>0.2</v>
      </c>
      <c r="V178" s="104">
        <v>0.2</v>
      </c>
      <c r="W178" t="inlineStr">
        <is>
          <t>Lo ejecutado está por debajo de lo programado en la vigencia</t>
        </is>
      </c>
    </row>
    <row r="179">
      <c r="A179" t="inlineStr">
        <is>
          <t>IP-236</t>
        </is>
      </c>
      <c r="B179" t="inlineStr">
        <is>
          <t>33</t>
        </is>
      </c>
      <c r="C179" t="inlineStr">
        <is>
          <t>Cultura</t>
        </is>
      </c>
      <c r="D179" t="inlineStr">
        <is>
          <t>3302</t>
        </is>
      </c>
      <c r="E179" t="inlineStr">
        <is>
          <t>Gestión, protección y salvaguardia del patrimonio cultural colombiano</t>
        </is>
      </c>
      <c r="F179" t="inlineStr">
        <is>
          <t>3302073</t>
        </is>
      </c>
      <c r="G179" t="inlineStr">
        <is>
          <t>Servicios de restauración del patrimonio cultural material inmueble</t>
        </is>
      </c>
      <c r="H179" t="inlineStr">
        <is>
          <t>330207300</t>
        </is>
      </c>
      <c r="I179" t="inlineStr">
        <is>
          <t>Restauraciones realizadas</t>
        </is>
      </c>
      <c r="J179" t="inlineStr">
        <is>
          <t>2024257990033</t>
        </is>
      </c>
      <c r="K179" t="inlineStr">
        <is>
          <t>Si</t>
        </is>
      </c>
      <c r="L179" t="inlineStr">
        <is>
          <t>Número</t>
        </is>
      </c>
      <c r="M179">
        <v>1</v>
      </c>
      <c r="N179">
        <v>0</v>
      </c>
      <c r="O179">
        <v>0.4</v>
      </c>
      <c r="P179">
        <v>0.6</v>
      </c>
      <c r="Q179">
        <v>0</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A180" t="inlineStr">
        <is>
          <t>IP-237</t>
        </is>
      </c>
      <c r="B180" t="inlineStr">
        <is>
          <t>33</t>
        </is>
      </c>
      <c r="C180" t="inlineStr">
        <is>
          <t>Cultura</t>
        </is>
      </c>
      <c r="D180" t="inlineStr">
        <is>
          <t>3302</t>
        </is>
      </c>
      <c r="E180" t="inlineStr">
        <is>
          <t>Gestión, protección y salvaguardia del patrimonio cultural colombiano</t>
        </is>
      </c>
      <c r="F180" t="inlineStr">
        <is>
          <t>3302058</t>
        </is>
      </c>
      <c r="G180" t="inlineStr">
        <is>
          <t>Servicio de museología</t>
        </is>
      </c>
      <c r="H180" t="inlineStr">
        <is>
          <t>330205800</t>
        </is>
      </c>
      <c r="I180" t="inlineStr">
        <is>
          <t>Curadurías realizadas</t>
        </is>
      </c>
      <c r="J180" t="inlineStr">
        <is>
          <t>2024257990033</t>
        </is>
      </c>
      <c r="K180" t="inlineStr">
        <is>
          <t>Si</t>
        </is>
      </c>
      <c r="L180" t="inlineStr">
        <is>
          <t>Número</t>
        </is>
      </c>
      <c r="M180">
        <v>1</v>
      </c>
      <c r="N180">
        <v>0</v>
      </c>
      <c r="O180">
        <v>0.3</v>
      </c>
      <c r="P180">
        <v>0.4</v>
      </c>
      <c r="Q180">
        <v>0.3</v>
      </c>
      <c r="R180" t="inlineStr">
        <is>
          <t xml:space="preserve"> </t>
        </is>
      </c>
      <c r="S180" s="103" t="inlineStr">
        <is>
          <t xml:space="preserve"> </t>
        </is>
      </c>
      <c r="T180" t="inlineStr">
        <is>
          <t>No se encontró ejecución en PIIP</t>
        </is>
      </c>
      <c r="U180" t="inlineStr">
        <is>
          <t xml:space="preserve"> </t>
        </is>
      </c>
      <c r="V180" s="104" t="inlineStr">
        <is>
          <t xml:space="preserve"> </t>
        </is>
      </c>
      <c r="W180" t="inlineStr">
        <is>
          <t>No se encontró ejecución en PIIP</t>
        </is>
      </c>
    </row>
    <row r="181">
      <c r="A181" t="inlineStr">
        <is>
          <t>IP-238</t>
        </is>
      </c>
      <c r="B181" t="inlineStr">
        <is>
          <t>33</t>
        </is>
      </c>
      <c r="C181" t="inlineStr">
        <is>
          <t>Cultura</t>
        </is>
      </c>
      <c r="D181" t="inlineStr">
        <is>
          <t>3302</t>
        </is>
      </c>
      <c r="E181" t="inlineStr">
        <is>
          <t>Gestión, protección y salvaguardia del patrimonio cultural colombiano</t>
        </is>
      </c>
      <c r="F181" t="inlineStr">
        <is>
          <t>3302072</t>
        </is>
      </c>
      <c r="G181" t="inlineStr">
        <is>
          <t>Estudios de preinversión elaborados</t>
        </is>
      </c>
      <c r="H181" t="inlineStr">
        <is>
          <t>330207200</t>
        </is>
      </c>
      <c r="I181" t="inlineStr">
        <is>
          <t>Estudios de preinversión elaborados</t>
        </is>
      </c>
      <c r="J181" t="inlineStr">
        <is>
          <t>2024257990033</t>
        </is>
      </c>
      <c r="K181" t="inlineStr">
        <is>
          <t>Si</t>
        </is>
      </c>
      <c r="L181" t="inlineStr">
        <is>
          <t>Número</t>
        </is>
      </c>
      <c r="M181">
        <v>3</v>
      </c>
      <c r="N181">
        <v>0</v>
      </c>
      <c r="O181">
        <v>1</v>
      </c>
      <c r="P181">
        <v>1</v>
      </c>
      <c r="Q181">
        <v>1</v>
      </c>
      <c r="R181" t="inlineStr">
        <is>
          <t xml:space="preserve"> </t>
        </is>
      </c>
      <c r="S181" s="103" t="inlineStr">
        <is>
          <t xml:space="preserve"> </t>
        </is>
      </c>
      <c r="T181" t="inlineStr">
        <is>
          <t>No se encontró ejecución en PIIP</t>
        </is>
      </c>
      <c r="U181" t="inlineStr">
        <is>
          <t xml:space="preserve"> </t>
        </is>
      </c>
      <c r="V181" s="104" t="inlineStr">
        <is>
          <t xml:space="preserve"> </t>
        </is>
      </c>
      <c r="W181" t="inlineStr">
        <is>
          <t>No se encontró ejecución en PIIP</t>
        </is>
      </c>
    </row>
    <row r="182">
      <c r="A182" t="inlineStr">
        <is>
          <t>IP-239</t>
        </is>
      </c>
      <c r="B182" t="inlineStr">
        <is>
          <t>33</t>
        </is>
      </c>
      <c r="C182" t="inlineStr">
        <is>
          <t>Cultura</t>
        </is>
      </c>
      <c r="D182" t="inlineStr">
        <is>
          <t>3302</t>
        </is>
      </c>
      <c r="E182" t="inlineStr">
        <is>
          <t>Gestión, protección y salvaguardia del patrimonio cultural colombiano</t>
        </is>
      </c>
      <c r="F182" t="inlineStr">
        <is>
          <t>3302064</t>
        </is>
      </c>
      <c r="G182" t="inlineStr">
        <is>
          <t>Servicio de información del patrimonio bibliográfico y documental</t>
        </is>
      </c>
      <c r="H182" t="inlineStr">
        <is>
          <t>330206400</t>
        </is>
      </c>
      <c r="I182" t="inlineStr">
        <is>
          <t>Sistemas de información operando</t>
        </is>
      </c>
      <c r="J182" t="inlineStr">
        <is>
          <t>2024257990033</t>
        </is>
      </c>
      <c r="K182" t="inlineStr">
        <is>
          <t>Si</t>
        </is>
      </c>
      <c r="L182" t="inlineStr">
        <is>
          <t>Porcentaje</t>
        </is>
      </c>
      <c r="M182">
        <v>1</v>
      </c>
      <c r="N182">
        <v>1</v>
      </c>
      <c r="O182">
        <v>1</v>
      </c>
      <c r="P182">
        <v>1</v>
      </c>
      <c r="Q182">
        <v>1</v>
      </c>
      <c r="R182" t="inlineStr">
        <is>
          <t xml:space="preserve"> </t>
        </is>
      </c>
      <c r="S182" s="103" t="inlineStr">
        <is>
          <t xml:space="preserve"> </t>
        </is>
      </c>
      <c r="T182" t="inlineStr">
        <is>
          <t>No se encontró ejecución en PIIP</t>
        </is>
      </c>
      <c r="U182" t="inlineStr">
        <is>
          <t xml:space="preserve"> </t>
        </is>
      </c>
      <c r="V182" s="104" t="inlineStr">
        <is>
          <t xml:space="preserve"> </t>
        </is>
      </c>
      <c r="W182" t="inlineStr">
        <is>
          <t>No se encontró ejecución en PIIP</t>
        </is>
      </c>
    </row>
    <row r="183">
      <c r="A183" t="inlineStr">
        <is>
          <t>IP-240</t>
        </is>
      </c>
      <c r="B183" t="inlineStr">
        <is>
          <t>33</t>
        </is>
      </c>
      <c r="C183" t="inlineStr">
        <is>
          <t>Cultura</t>
        </is>
      </c>
      <c r="D183" t="inlineStr">
        <is>
          <t>3302</t>
        </is>
      </c>
      <c r="E183" t="inlineStr">
        <is>
          <t>Gestión, protección y salvaguardia del patrimonio cultural colombiano</t>
        </is>
      </c>
      <c r="F183" t="inlineStr">
        <is>
          <t>3302002</t>
        </is>
      </c>
      <c r="G183" t="inlineStr">
        <is>
          <t>Documentos de lineamientos técnicos</t>
        </is>
      </c>
      <c r="H183" t="inlineStr">
        <is>
          <t>330200200</t>
        </is>
      </c>
      <c r="I183" t="inlineStr">
        <is>
          <t>Documentos de lineamientos técnicos realizados</t>
        </is>
      </c>
      <c r="J183" t="inlineStr">
        <is>
          <t>2024257990033</t>
        </is>
      </c>
      <c r="K183" t="inlineStr">
        <is>
          <t>Si</t>
        </is>
      </c>
      <c r="L183" t="inlineStr">
        <is>
          <t>Número</t>
        </is>
      </c>
      <c r="M183">
        <v>1</v>
      </c>
      <c r="N183">
        <v>0</v>
      </c>
      <c r="O183">
        <v>0.4</v>
      </c>
      <c r="P183">
        <v>0.4</v>
      </c>
      <c r="Q183">
        <v>0.2</v>
      </c>
      <c r="R183" t="inlineStr">
        <is>
          <t xml:space="preserve"> </t>
        </is>
      </c>
      <c r="S183" s="103" t="inlineStr">
        <is>
          <t xml:space="preserve"> </t>
        </is>
      </c>
      <c r="T183" t="inlineStr">
        <is>
          <t>No se encontró ejecución en PIIP</t>
        </is>
      </c>
      <c r="U183" t="inlineStr">
        <is>
          <t xml:space="preserve"> </t>
        </is>
      </c>
      <c r="V183" s="104" t="inlineStr">
        <is>
          <t xml:space="preserve"> </t>
        </is>
      </c>
      <c r="W183" t="inlineStr">
        <is>
          <t>No se encontró ejecución en PIIP</t>
        </is>
      </c>
    </row>
    <row r="184">
      <c r="A184" t="inlineStr">
        <is>
          <t>IP-241, IP-245, IP-247</t>
        </is>
      </c>
      <c r="B184" t="inlineStr">
        <is>
          <t>43</t>
        </is>
      </c>
      <c r="C184" t="inlineStr">
        <is>
          <t>Deporte y Recreación</t>
        </is>
      </c>
      <c r="D184" t="inlineStr">
        <is>
          <t>4301</t>
        </is>
      </c>
      <c r="E184" t="inlineStr">
        <is>
          <t>Fomento a la recreación, la actividad física y el deporte para desarrollar entornos de convivencia y paz</t>
        </is>
      </c>
      <c r="F184" t="inlineStr">
        <is>
          <t>4301004</t>
        </is>
      </c>
      <c r="G184" t="inlineStr">
        <is>
          <t>Servicio de mantenimiento a la infraestructura deportiva</t>
        </is>
      </c>
      <c r="H184" t="inlineStr">
        <is>
          <t>430100400</t>
        </is>
      </c>
      <c r="I184" t="inlineStr">
        <is>
          <t>Infraestructura deportiva mantenida</t>
        </is>
      </c>
      <c r="J184" t="inlineStr">
        <is>
          <t>2024257990034</t>
        </is>
      </c>
      <c r="K184" t="inlineStr">
        <is>
          <t>Si</t>
        </is>
      </c>
      <c r="L184" t="inlineStr">
        <is>
          <t>Número</t>
        </is>
      </c>
      <c r="M184">
        <v>90</v>
      </c>
      <c r="N184">
        <v>54.15</v>
      </c>
      <c r="O184">
        <v>33.85</v>
      </c>
      <c r="P184">
        <v>1</v>
      </c>
      <c r="Q184">
        <v>1</v>
      </c>
      <c r="R184" t="inlineStr">
        <is>
          <t xml:space="preserve"> </t>
        </is>
      </c>
      <c r="S184" s="103" t="inlineStr">
        <is>
          <t xml:space="preserve"> </t>
        </is>
      </c>
      <c r="T184" t="inlineStr">
        <is>
          <t>No se encontró ejecución en PIIP</t>
        </is>
      </c>
      <c r="U184" t="inlineStr">
        <is>
          <t xml:space="preserve"> </t>
        </is>
      </c>
      <c r="V184" s="104" t="inlineStr">
        <is>
          <t xml:space="preserve"> </t>
        </is>
      </c>
      <c r="W184" t="inlineStr">
        <is>
          <t>No se encontró ejecución en PIIP</t>
        </is>
      </c>
    </row>
    <row r="185">
      <c r="A185" t="inlineStr">
        <is>
          <t>IP-242</t>
        </is>
      </c>
      <c r="B185" t="inlineStr">
        <is>
          <t>43</t>
        </is>
      </c>
      <c r="C185" t="inlineStr">
        <is>
          <t>Deporte y Recreación</t>
        </is>
      </c>
      <c r="D185" t="inlineStr">
        <is>
          <t>4301</t>
        </is>
      </c>
      <c r="E185" t="inlineStr">
        <is>
          <t>Fomento a la recreación, la actividad física y el deporte para desarrollar entornos de convivencia y paz</t>
        </is>
      </c>
      <c r="F185" t="inlineStr">
        <is>
          <t>4301031</t>
        </is>
      </c>
      <c r="G185" t="inlineStr">
        <is>
          <t>Estudios y diseños de infraestructura recreo-deportiva</t>
        </is>
      </c>
      <c r="H185" t="inlineStr">
        <is>
          <t>430103100</t>
        </is>
      </c>
      <c r="I185" t="inlineStr">
        <is>
          <t>Estudios y diseños elaborados</t>
        </is>
      </c>
      <c r="J185" t="inlineStr">
        <is>
          <t>2024257990034</t>
        </is>
      </c>
      <c r="K185" t="inlineStr">
        <is>
          <t>Si</t>
        </is>
      </c>
      <c r="L185" t="inlineStr">
        <is>
          <t>Número</t>
        </is>
      </c>
      <c r="M185">
        <v>1</v>
      </c>
      <c r="N185">
        <v>0.3</v>
      </c>
      <c r="O185">
        <v>0</v>
      </c>
      <c r="P185">
        <v>0</v>
      </c>
      <c r="Q185">
        <v>0</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IP-243</t>
        </is>
      </c>
      <c r="B186" t="inlineStr">
        <is>
          <t>43</t>
        </is>
      </c>
      <c r="C186" t="inlineStr">
        <is>
          <t>Deporte y Recreación</t>
        </is>
      </c>
      <c r="D186" t="inlineStr">
        <is>
          <t>4301</t>
        </is>
      </c>
      <c r="E186" t="inlineStr">
        <is>
          <t>Fomento a la recreación, la actividad física y el deporte para desarrollar entornos de convivencia y paz</t>
        </is>
      </c>
      <c r="F186" t="inlineStr">
        <is>
          <t>4301004</t>
        </is>
      </c>
      <c r="G186" t="inlineStr">
        <is>
          <t>Servicio de mantenimiento a la infraestructura deportiva</t>
        </is>
      </c>
      <c r="H186" t="inlineStr">
        <is>
          <t>430100400</t>
        </is>
      </c>
      <c r="I186" t="inlineStr">
        <is>
          <t>Infraestructura deportiva mantenida</t>
        </is>
      </c>
      <c r="J186" t="inlineStr">
        <is>
          <t>2024257990034</t>
        </is>
      </c>
      <c r="K186" t="inlineStr">
        <is>
          <t>No</t>
        </is>
      </c>
      <c r="L186" t="inlineStr">
        <is>
          <t>Número</t>
        </is>
      </c>
      <c r="M186">
        <v>17</v>
      </c>
      <c r="N186">
        <v>17</v>
      </c>
      <c r="O186">
        <v>17</v>
      </c>
      <c r="P186">
        <v>17</v>
      </c>
      <c r="Q186">
        <v>17</v>
      </c>
      <c r="R186">
        <v>0</v>
      </c>
      <c r="S186" s="103">
        <v>0</v>
      </c>
      <c r="T186" t="inlineStr">
        <is>
          <t>No se ejecutó en la vigencia</t>
        </is>
      </c>
      <c r="U186">
        <v>0.5</v>
      </c>
      <c r="V186" s="104">
        <v>0.0294117647058824</v>
      </c>
      <c r="W186" t="inlineStr">
        <is>
          <t>Lo ejecutado está por debajo de lo programado en la vigencia</t>
        </is>
      </c>
    </row>
    <row r="187">
      <c r="A187" t="inlineStr">
        <is>
          <t>IP-244</t>
        </is>
      </c>
      <c r="B187" t="inlineStr">
        <is>
          <t>43</t>
        </is>
      </c>
      <c r="C187" t="inlineStr">
        <is>
          <t>Deporte y Recreación</t>
        </is>
      </c>
      <c r="D187" t="inlineStr">
        <is>
          <t>4301</t>
        </is>
      </c>
      <c r="E187" t="inlineStr">
        <is>
          <t>Fomento a la recreación, la actividad física y el deporte para desarrollar entornos de convivencia y paz</t>
        </is>
      </c>
      <c r="F187" t="inlineStr">
        <is>
          <t>4301024</t>
        </is>
      </c>
      <c r="G187" t="inlineStr">
        <is>
          <t>Gimnasios al aire libre estáticos</t>
        </is>
      </c>
      <c r="H187" t="inlineStr">
        <is>
          <t>430102400</t>
        </is>
      </c>
      <c r="I187" t="inlineStr">
        <is>
          <t>Gimnasios al aire libre construidos</t>
        </is>
      </c>
      <c r="J187" t="inlineStr">
        <is>
          <t>2024257990034</t>
        </is>
      </c>
      <c r="K187" t="inlineStr">
        <is>
          <t>Si</t>
        </is>
      </c>
      <c r="L187" t="inlineStr">
        <is>
          <t>Número</t>
        </is>
      </c>
      <c r="M187">
        <v>14</v>
      </c>
      <c r="N187">
        <v>0</v>
      </c>
      <c r="O187">
        <v>0</v>
      </c>
      <c r="P187">
        <v>9</v>
      </c>
      <c r="Q187">
        <v>5</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IP-246</t>
        </is>
      </c>
      <c r="B188" t="inlineStr">
        <is>
          <t>43</t>
        </is>
      </c>
      <c r="C188" t="inlineStr">
        <is>
          <t>Deporte y Recreación</t>
        </is>
      </c>
      <c r="D188" t="inlineStr">
        <is>
          <t>4301</t>
        </is>
      </c>
      <c r="E188" t="inlineStr">
        <is>
          <t>Fomento a la recreación, la actividad física y el deporte para desarrollar entornos de convivencia y paz</t>
        </is>
      </c>
      <c r="F188" t="inlineStr">
        <is>
          <t>4301025</t>
        </is>
      </c>
      <c r="G188" t="inlineStr">
        <is>
          <t>Cancha construida</t>
        </is>
      </c>
      <c r="H188" t="inlineStr">
        <is>
          <t>430102500</t>
        </is>
      </c>
      <c r="I188" t="inlineStr">
        <is>
          <t>Cancha construida</t>
        </is>
      </c>
      <c r="J188" t="inlineStr">
        <is>
          <t>2024257990034</t>
        </is>
      </c>
      <c r="K188" t="inlineStr">
        <is>
          <t>Si</t>
        </is>
      </c>
      <c r="L188" t="inlineStr">
        <is>
          <t>Número</t>
        </is>
      </c>
      <c r="M188">
        <v>2</v>
      </c>
      <c r="N188">
        <v>0</v>
      </c>
      <c r="O188">
        <v>1</v>
      </c>
      <c r="P188">
        <v>1</v>
      </c>
      <c r="Q188">
        <v>0</v>
      </c>
      <c r="R188" t="inlineStr">
        <is>
          <t xml:space="preserve"> </t>
        </is>
      </c>
      <c r="S188" s="103" t="inlineStr">
        <is>
          <t xml:space="preserve"> </t>
        </is>
      </c>
      <c r="T188" t="inlineStr">
        <is>
          <t>No se encontró ejecución en PIIP</t>
        </is>
      </c>
      <c r="U188" t="inlineStr">
        <is>
          <t xml:space="preserve"> </t>
        </is>
      </c>
      <c r="V188" s="104" t="inlineStr">
        <is>
          <t xml:space="preserve"> </t>
        </is>
      </c>
      <c r="W188" t="inlineStr">
        <is>
          <t>No se encontró ejecución en PIIP</t>
        </is>
      </c>
    </row>
    <row r="189">
      <c r="A189" t="inlineStr">
        <is>
          <t>IP-248</t>
        </is>
      </c>
      <c r="B189" t="inlineStr">
        <is>
          <t>43</t>
        </is>
      </c>
      <c r="C189" t="inlineStr">
        <is>
          <t>Deporte y Recreación</t>
        </is>
      </c>
      <c r="D189" t="inlineStr">
        <is>
          <t>4301</t>
        </is>
      </c>
      <c r="E189" t="inlineStr">
        <is>
          <t>Fomento a la recreación, la actividad física y el deporte para desarrollar entornos de convivencia y paz</t>
        </is>
      </c>
      <c r="F189" t="inlineStr">
        <is>
          <t>4301010</t>
        </is>
      </c>
      <c r="G189" t="inlineStr">
        <is>
          <t>Parques recreativos construidos y dotados</t>
        </is>
      </c>
      <c r="H189" t="inlineStr">
        <is>
          <t>430101000</t>
        </is>
      </c>
      <c r="I189" t="inlineStr">
        <is>
          <t>Parques construidos y dotados</t>
        </is>
      </c>
      <c r="J189" t="inlineStr">
        <is>
          <t>2024257990034</t>
        </is>
      </c>
      <c r="K189" t="inlineStr">
        <is>
          <t>Si</t>
        </is>
      </c>
      <c r="L189" t="inlineStr">
        <is>
          <t>Número</t>
        </is>
      </c>
      <c r="M189">
        <v>1</v>
      </c>
      <c r="N189">
        <v>0</v>
      </c>
      <c r="O189">
        <v>0.4</v>
      </c>
      <c r="P189">
        <v>0.6</v>
      </c>
      <c r="Q189">
        <v>0</v>
      </c>
      <c r="R189" t="inlineStr">
        <is>
          <t xml:space="preserve"> </t>
        </is>
      </c>
      <c r="S189" s="103" t="inlineStr">
        <is>
          <t xml:space="preserve"> </t>
        </is>
      </c>
      <c r="T189" t="inlineStr">
        <is>
          <t>No se encontró ejecución en PIIP</t>
        </is>
      </c>
      <c r="U189" t="inlineStr">
        <is>
          <t xml:space="preserve"> </t>
        </is>
      </c>
      <c r="V189" s="104" t="inlineStr">
        <is>
          <t xml:space="preserve"> </t>
        </is>
      </c>
      <c r="W189" t="inlineStr">
        <is>
          <t>No se encontró ejecución en PIIP</t>
        </is>
      </c>
    </row>
    <row r="190">
      <c r="A190" t="inlineStr">
        <is>
          <t>IP-249, IP-256</t>
        </is>
      </c>
      <c r="B190" t="inlineStr">
        <is>
          <t>43</t>
        </is>
      </c>
      <c r="C190" t="inlineStr">
        <is>
          <t>Deporte y Recreación</t>
        </is>
      </c>
      <c r="D190" t="inlineStr">
        <is>
          <t>4301</t>
        </is>
      </c>
      <c r="E190" t="inlineStr">
        <is>
          <t>Fomento a la recreación, la actividad física y el deporte para desarrollar entornos de convivencia y paz</t>
        </is>
      </c>
      <c r="F190" t="inlineStr">
        <is>
          <t>4301007</t>
        </is>
      </c>
      <c r="G190" t="inlineStr">
        <is>
          <t>Servicio de Escuelas Deportivas</t>
        </is>
      </c>
      <c r="H190" t="inlineStr">
        <is>
          <t>430100700</t>
        </is>
      </c>
      <c r="I190" t="inlineStr">
        <is>
          <t>Niños, niñas, adolescentes y jóvenes inscritos en Escuelas Deportivas</t>
        </is>
      </c>
      <c r="J190" t="inlineStr">
        <is>
          <t>2024257990035</t>
        </is>
      </c>
      <c r="K190" t="inlineStr">
        <is>
          <t>Si</t>
        </is>
      </c>
      <c r="L190" t="inlineStr">
        <is>
          <t>Número</t>
        </is>
      </c>
      <c r="M190">
        <v>45</v>
      </c>
      <c r="N190">
        <v>26</v>
      </c>
      <c r="O190">
        <v>53</v>
      </c>
      <c r="P190">
        <v>54</v>
      </c>
      <c r="Q190">
        <v>55</v>
      </c>
      <c r="R190" t="inlineStr">
        <is>
          <t xml:space="preserve"> </t>
        </is>
      </c>
      <c r="S190" s="103" t="inlineStr">
        <is>
          <t xml:space="preserve"> </t>
        </is>
      </c>
      <c r="T190" t="inlineStr">
        <is>
          <t>No se encontró ejecución en PIIP</t>
        </is>
      </c>
      <c r="U190" t="inlineStr">
        <is>
          <t xml:space="preserve"> </t>
        </is>
      </c>
      <c r="V190" s="104" t="inlineStr">
        <is>
          <t xml:space="preserve"> </t>
        </is>
      </c>
      <c r="W190" t="inlineStr">
        <is>
          <t>No se encontró ejecución en PIIP</t>
        </is>
      </c>
    </row>
    <row r="191">
      <c r="A191" t="inlineStr">
        <is>
          <t>IP-250</t>
        </is>
      </c>
      <c r="B191" t="inlineStr">
        <is>
          <t>43</t>
        </is>
      </c>
      <c r="C191" t="inlineStr">
        <is>
          <t>Deporte y Recreación</t>
        </is>
      </c>
      <c r="D191" t="inlineStr">
        <is>
          <t>4301</t>
        </is>
      </c>
      <c r="E191" t="inlineStr">
        <is>
          <t>Fomento a la recreación, la actividad física y el deporte para desarrollar entornos de convivencia y paz</t>
        </is>
      </c>
      <c r="F191" t="inlineStr">
        <is>
          <t>4301037</t>
        </is>
      </c>
      <c r="G191" t="inlineStr">
        <is>
          <t>Servicio de promoción de la actividad física, la recreación y el deporte</t>
        </is>
      </c>
      <c r="H191" t="inlineStr">
        <is>
          <t>430103700</t>
        </is>
      </c>
      <c r="I191" t="inlineStr">
        <is>
          <t>Personas que acceden a servicios deportivos, recreativos y de actividad física</t>
        </is>
      </c>
      <c r="J191" t="inlineStr">
        <is>
          <t>2024257990035</t>
        </is>
      </c>
      <c r="K191" t="inlineStr">
        <is>
          <t>Si</t>
        </is>
      </c>
      <c r="L191" t="inlineStr">
        <is>
          <t>Número</t>
        </is>
      </c>
      <c r="M191">
        <v>75</v>
      </c>
      <c r="N191">
        <v>0</v>
      </c>
      <c r="O191">
        <v>35</v>
      </c>
      <c r="P191">
        <v>30</v>
      </c>
      <c r="Q191">
        <v>10</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IP-251</t>
        </is>
      </c>
      <c r="B192" t="inlineStr">
        <is>
          <t>43</t>
        </is>
      </c>
      <c r="C192" t="inlineStr">
        <is>
          <t>Deporte y Recreación</t>
        </is>
      </c>
      <c r="D192" t="inlineStr">
        <is>
          <t>4301</t>
        </is>
      </c>
      <c r="E192" t="inlineStr">
        <is>
          <t>Fomento a la recreación, la actividad física y el deporte para desarrollar entornos de convivencia y paz</t>
        </is>
      </c>
      <c r="F192" t="inlineStr">
        <is>
          <t>4301001</t>
        </is>
      </c>
      <c r="G192" t="inlineStr">
        <is>
          <t>Servicio de apoyo a la actividad física, la recreación y el deporte</t>
        </is>
      </c>
      <c r="H192" t="inlineStr">
        <is>
          <t>430100100</t>
        </is>
      </c>
      <c r="I192" t="inlineStr">
        <is>
          <t>Personas beneficiadas</t>
        </is>
      </c>
      <c r="J192" t="inlineStr">
        <is>
          <t>2024257990035</t>
        </is>
      </c>
      <c r="K192" t="inlineStr">
        <is>
          <t>No</t>
        </is>
      </c>
      <c r="L192" t="inlineStr">
        <is>
          <t>Número</t>
        </is>
      </c>
      <c r="M192">
        <v>100</v>
      </c>
      <c r="N192">
        <v>100</v>
      </c>
      <c r="O192">
        <v>100</v>
      </c>
      <c r="P192">
        <v>100</v>
      </c>
      <c r="Q192">
        <v>100</v>
      </c>
      <c r="R192">
        <v>0</v>
      </c>
      <c r="S192" s="103">
        <v>0</v>
      </c>
      <c r="T192" t="inlineStr">
        <is>
          <t>No se ejecutó en la vigencia</t>
        </is>
      </c>
      <c r="U192">
        <v>0.6</v>
      </c>
      <c r="V192" s="104">
        <v>0.006</v>
      </c>
      <c r="W192" t="inlineStr">
        <is>
          <t>Lo ejecutado está por debajo de lo programado en la vigencia</t>
        </is>
      </c>
    </row>
    <row r="193">
      <c r="A193" t="inlineStr">
        <is>
          <t>IP-252, IP-257</t>
        </is>
      </c>
      <c r="B193" t="inlineStr">
        <is>
          <t>43</t>
        </is>
      </c>
      <c r="C193" t="inlineStr">
        <is>
          <t>Deporte y Recreación</t>
        </is>
      </c>
      <c r="D193" t="inlineStr">
        <is>
          <t>4301</t>
        </is>
      </c>
      <c r="E193" t="inlineStr">
        <is>
          <t>Fomento a la recreación, la actividad física y el deporte para desarrollar entornos de convivencia y paz</t>
        </is>
      </c>
      <c r="F193" t="inlineStr">
        <is>
          <t>4301001</t>
        </is>
      </c>
      <c r="G193" t="inlineStr">
        <is>
          <t>Servicio de apoyo a la actividad física, la recreación y el deporte</t>
        </is>
      </c>
      <c r="H193" t="inlineStr">
        <is>
          <t>430100100</t>
        </is>
      </c>
      <c r="I193" t="inlineStr">
        <is>
          <t>Personas beneficiadas</t>
        </is>
      </c>
      <c r="J193" t="inlineStr">
        <is>
          <t>2024257990035</t>
        </is>
      </c>
      <c r="K193" t="inlineStr">
        <is>
          <t>Si</t>
        </is>
      </c>
      <c r="L193" t="inlineStr">
        <is>
          <t>Número</t>
        </is>
      </c>
      <c r="M193">
        <v>5</v>
      </c>
      <c r="N193">
        <v>1</v>
      </c>
      <c r="O193">
        <v>2</v>
      </c>
      <c r="P193">
        <v>2</v>
      </c>
      <c r="Q193">
        <v>3</v>
      </c>
      <c r="R193" t="inlineStr">
        <is>
          <t xml:space="preserve"> </t>
        </is>
      </c>
      <c r="S193" s="103" t="inlineStr">
        <is>
          <t xml:space="preserve"> </t>
        </is>
      </c>
      <c r="T193" t="inlineStr">
        <is>
          <t>No se encontró ejecución en PIIP</t>
        </is>
      </c>
      <c r="U193" t="inlineStr">
        <is>
          <t xml:space="preserve"> </t>
        </is>
      </c>
      <c r="V193" s="104" t="inlineStr">
        <is>
          <t xml:space="preserve"> </t>
        </is>
      </c>
      <c r="W193" t="inlineStr">
        <is>
          <t>No se encontró ejecución en PIIP</t>
        </is>
      </c>
    </row>
    <row r="194">
      <c r="A194" t="inlineStr">
        <is>
          <t>IP-253</t>
        </is>
      </c>
      <c r="B194" t="inlineStr">
        <is>
          <t>43</t>
        </is>
      </c>
      <c r="C194" t="inlineStr">
        <is>
          <t>Deporte y Recreación</t>
        </is>
      </c>
      <c r="D194" t="inlineStr">
        <is>
          <t>4301</t>
        </is>
      </c>
      <c r="E194" t="inlineStr">
        <is>
          <t>Fomento a la recreación, la actividad física y el deporte para desarrollar entornos de convivencia y paz</t>
        </is>
      </c>
      <c r="F194" t="inlineStr">
        <is>
          <t>4301007</t>
        </is>
      </c>
      <c r="G194" t="inlineStr">
        <is>
          <t>Servicio de Escuelas Deportivas</t>
        </is>
      </c>
      <c r="H194" t="inlineStr">
        <is>
          <t>430100700</t>
        </is>
      </c>
      <c r="I194" t="inlineStr">
        <is>
          <t>Niños, niñas, adolescentes y jóvenes inscritos en Escuelas Deportivas</t>
        </is>
      </c>
      <c r="J194" t="inlineStr">
        <is>
          <t>2024257990035</t>
        </is>
      </c>
      <c r="K194" t="inlineStr">
        <is>
          <t>No</t>
        </is>
      </c>
      <c r="L194" t="inlineStr">
        <is>
          <t>Número</t>
        </is>
      </c>
      <c r="M194">
        <v>16</v>
      </c>
      <c r="N194">
        <v>16</v>
      </c>
      <c r="O194">
        <v>16</v>
      </c>
      <c r="P194">
        <v>16</v>
      </c>
      <c r="Q194">
        <v>16</v>
      </c>
      <c r="R194">
        <v>0</v>
      </c>
      <c r="S194" s="103">
        <v>0</v>
      </c>
      <c r="T194" t="inlineStr">
        <is>
          <t>No se ejecutó en la vigencia</t>
        </is>
      </c>
      <c r="U194">
        <v>60300</v>
      </c>
      <c r="V194" s="104">
        <v>3768.75</v>
      </c>
      <c r="W194" t="inlineStr">
        <is>
          <t>Hubo ejecución por encima de lo programado en SisPT</t>
        </is>
      </c>
    </row>
    <row r="195">
      <c r="A195" t="inlineStr">
        <is>
          <t>IP-254, IP-255</t>
        </is>
      </c>
      <c r="B195" t="inlineStr">
        <is>
          <t>43</t>
        </is>
      </c>
      <c r="C195" t="inlineStr">
        <is>
          <t>Deporte y Recreación</t>
        </is>
      </c>
      <c r="D195" t="inlineStr">
        <is>
          <t>4301</t>
        </is>
      </c>
      <c r="E195" t="inlineStr">
        <is>
          <t>Fomento a la recreación, la actividad física y el deporte para desarrollar entornos de convivencia y paz</t>
        </is>
      </c>
      <c r="F195" t="inlineStr">
        <is>
          <t>4301032</t>
        </is>
      </c>
      <c r="G195" t="inlineStr">
        <is>
          <t>Servicio de organización de eventos deportivos comunitarios</t>
        </is>
      </c>
      <c r="H195" t="inlineStr">
        <is>
          <t>430103200</t>
        </is>
      </c>
      <c r="I195" t="inlineStr">
        <is>
          <t>Eventos deportivos comunitarios realizados</t>
        </is>
      </c>
      <c r="J195" t="inlineStr">
        <is>
          <t>2024257990035</t>
        </is>
      </c>
      <c r="K195" t="inlineStr">
        <is>
          <t>Si</t>
        </is>
      </c>
      <c r="L195" t="inlineStr">
        <is>
          <t>Número</t>
        </is>
      </c>
      <c r="M195">
        <v>500</v>
      </c>
      <c r="N195">
        <v>165</v>
      </c>
      <c r="O195">
        <v>160</v>
      </c>
      <c r="P195">
        <v>140</v>
      </c>
      <c r="Q195">
        <v>35</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IP-258</t>
        </is>
      </c>
      <c r="B196" t="inlineStr">
        <is>
          <t>43</t>
        </is>
      </c>
      <c r="C196" t="inlineStr">
        <is>
          <t>Deporte y Recreación</t>
        </is>
      </c>
      <c r="D196" t="inlineStr">
        <is>
          <t>4301</t>
        </is>
      </c>
      <c r="E196" t="inlineStr">
        <is>
          <t>Fomento a la recreación, la actividad física y el deporte para desarrollar entornos de convivencia y paz</t>
        </is>
      </c>
      <c r="F196" t="inlineStr">
        <is>
          <t>4301006</t>
        </is>
      </c>
      <c r="G196" t="inlineStr">
        <is>
          <t>Documentos normativos</t>
        </is>
      </c>
      <c r="H196" t="inlineStr">
        <is>
          <t>430100600</t>
        </is>
      </c>
      <c r="I196" t="inlineStr">
        <is>
          <t>Documentos normativos realizados</t>
        </is>
      </c>
      <c r="J196" t="inlineStr">
        <is>
          <t>2024257990035</t>
        </is>
      </c>
      <c r="K196" t="inlineStr">
        <is>
          <t>Si</t>
        </is>
      </c>
      <c r="L196" t="inlineStr">
        <is>
          <t>Número</t>
        </is>
      </c>
      <c r="M196">
        <v>1</v>
      </c>
      <c r="N196">
        <v>0</v>
      </c>
      <c r="O196">
        <v>0.1</v>
      </c>
      <c r="P196">
        <v>0.3</v>
      </c>
      <c r="Q196">
        <v>0.6</v>
      </c>
      <c r="R196" t="inlineStr">
        <is>
          <t xml:space="preserve"> </t>
        </is>
      </c>
      <c r="S196" s="103" t="inlineStr">
        <is>
          <t xml:space="preserve"> </t>
        </is>
      </c>
      <c r="T196" t="inlineStr">
        <is>
          <t>No se encontró ejecución en PIIP</t>
        </is>
      </c>
      <c r="U196" t="inlineStr">
        <is>
          <t xml:space="preserve"> </t>
        </is>
      </c>
      <c r="V196" s="104" t="inlineStr">
        <is>
          <t xml:space="preserve"> </t>
        </is>
      </c>
      <c r="W196" t="inlineStr">
        <is>
          <t>No se encontró ejecución en PIIP</t>
        </is>
      </c>
    </row>
    <row r="197">
      <c r="A197" t="inlineStr">
        <is>
          <t>IP-259</t>
        </is>
      </c>
      <c r="B197" t="inlineStr">
        <is>
          <t>43</t>
        </is>
      </c>
      <c r="C197" t="inlineStr">
        <is>
          <t>Deporte y Recreación</t>
        </is>
      </c>
      <c r="D197" t="inlineStr">
        <is>
          <t>4301</t>
        </is>
      </c>
      <c r="E197" t="inlineStr">
        <is>
          <t>Fomento a la recreación, la actividad física y el deporte para desarrollar entornos de convivencia y paz</t>
        </is>
      </c>
      <c r="F197" t="inlineStr">
        <is>
          <t>4301035</t>
        </is>
      </c>
      <c r="G197" t="inlineStr">
        <is>
          <t>Servicio de educación informal en recreación</t>
        </is>
      </c>
      <c r="H197" t="inlineStr">
        <is>
          <t>430103500</t>
        </is>
      </c>
      <c r="I197" t="inlineStr">
        <is>
          <t>Personas capacitadas</t>
        </is>
      </c>
      <c r="J197" t="inlineStr">
        <is>
          <t>2024257990035</t>
        </is>
      </c>
      <c r="K197" t="inlineStr">
        <is>
          <t>Si</t>
        </is>
      </c>
      <c r="L197" t="inlineStr">
        <is>
          <t>Número</t>
        </is>
      </c>
      <c r="M197">
        <v>8</v>
      </c>
      <c r="N197">
        <v>0</v>
      </c>
      <c r="O197">
        <v>2</v>
      </c>
      <c r="P197">
        <v>2</v>
      </c>
      <c r="Q197">
        <v>2</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IP-261</t>
        </is>
      </c>
      <c r="B198" t="inlineStr">
        <is>
          <t>41</t>
        </is>
      </c>
      <c r="C198" t="inlineStr">
        <is>
          <t xml:space="preserve">Inclusión social y reconciliación </t>
        </is>
      </c>
      <c r="D198" t="inlineStr">
        <is>
          <t>4102</t>
        </is>
      </c>
      <c r="E198" t="inlineStr">
        <is>
          <t>Desarrollo integral de la primera infancia a la juventud, y fortalecimiento de las capacidades de las familias de niñas, niños y adolescentes</t>
        </is>
      </c>
      <c r="F198" t="inlineStr">
        <is>
          <t>4102051</t>
        </is>
      </c>
      <c r="G198" t="inlineStr">
        <is>
          <t>Documentos de planeación</t>
        </is>
      </c>
      <c r="H198" t="inlineStr">
        <is>
          <t>410205100</t>
        </is>
      </c>
      <c r="I198" t="inlineStr">
        <is>
          <t>Documentos de planeación elaborados</t>
        </is>
      </c>
      <c r="J198" t="inlineStr">
        <is>
          <t>2024257990035</t>
        </is>
      </c>
      <c r="K198" t="inlineStr">
        <is>
          <t>Si</t>
        </is>
      </c>
      <c r="L198" t="inlineStr">
        <is>
          <t>Número</t>
        </is>
      </c>
      <c r="M198">
        <v>1</v>
      </c>
      <c r="N198">
        <v>0</v>
      </c>
      <c r="O198">
        <v>1</v>
      </c>
      <c r="P198">
        <v>0</v>
      </c>
      <c r="Q198">
        <v>0</v>
      </c>
      <c r="R198" t="inlineStr">
        <is>
          <t xml:space="preserve"> </t>
        </is>
      </c>
      <c r="S198" s="103" t="inlineStr">
        <is>
          <t xml:space="preserve"> </t>
        </is>
      </c>
      <c r="T198" t="inlineStr">
        <is>
          <t>No se encontró ejecución en PIIP</t>
        </is>
      </c>
      <c r="U198" t="inlineStr">
        <is>
          <t xml:space="preserve"> </t>
        </is>
      </c>
      <c r="V198" s="104" t="inlineStr">
        <is>
          <t xml:space="preserve"> </t>
        </is>
      </c>
      <c r="W198" t="inlineStr">
        <is>
          <t>No se encontró ejecución en PIIP</t>
        </is>
      </c>
    </row>
    <row r="199">
      <c r="A199" t="inlineStr">
        <is>
          <t>IP-262</t>
        </is>
      </c>
      <c r="B199" t="inlineStr">
        <is>
          <t>41</t>
        </is>
      </c>
      <c r="C199" t="inlineStr">
        <is>
          <t xml:space="preserve">Inclusión social y reconciliación </t>
        </is>
      </c>
      <c r="D199" t="inlineStr">
        <is>
          <t>4102</t>
        </is>
      </c>
      <c r="E199" t="inlineStr">
        <is>
          <t>Desarrollo integral de la primera infancia a la juventud, y fortalecimiento de las capacidades de las familias de niñas, niños y adolescentes</t>
        </is>
      </c>
      <c r="F199" t="inlineStr">
        <is>
          <t>4102001</t>
        </is>
      </c>
      <c r="G199" t="inlineStr">
        <is>
          <t>Servicio de atención integral a la primera infancia</t>
        </is>
      </c>
      <c r="H199" t="inlineStr">
        <is>
          <t>410200100</t>
        </is>
      </c>
      <c r="I199" t="inlineStr">
        <is>
          <t>Niños y niñas atendidos en Servicio integrales</t>
        </is>
      </c>
      <c r="J199" t="inlineStr">
        <is>
          <t>2024257990036</t>
        </is>
      </c>
      <c r="K199" t="inlineStr">
        <is>
          <t>Si</t>
        </is>
      </c>
      <c r="L199" t="inlineStr">
        <is>
          <t>Número</t>
        </is>
      </c>
      <c r="M199">
        <v>45</v>
      </c>
      <c r="N199">
        <v>7</v>
      </c>
      <c r="O199">
        <v>13</v>
      </c>
      <c r="P199">
        <v>13</v>
      </c>
      <c r="Q199">
        <v>12</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IP-263, IP-264</t>
        </is>
      </c>
      <c r="B200" t="inlineStr">
        <is>
          <t>41</t>
        </is>
      </c>
      <c r="C200" t="inlineStr">
        <is>
          <t xml:space="preserve">Inclusión social y reconciliación </t>
        </is>
      </c>
      <c r="D200" t="inlineStr">
        <is>
          <t>4102</t>
        </is>
      </c>
      <c r="E200" t="inlineStr">
        <is>
          <t>Desarrollo integral de la primera infancia a la juventud, y fortalecimiento de las capacidades de las familias de niñas, niños y adolescentes</t>
        </is>
      </c>
      <c r="F200" t="inlineStr">
        <is>
          <t>4102001</t>
        </is>
      </c>
      <c r="G200" t="inlineStr">
        <is>
          <t>Servicio de atención integral a la primera infancia</t>
        </is>
      </c>
      <c r="H200" t="inlineStr">
        <is>
          <t>410200100</t>
        </is>
      </c>
      <c r="I200" t="inlineStr">
        <is>
          <t>Niños y niñas atendidos en Servicio integrales</t>
        </is>
      </c>
      <c r="J200" t="inlineStr">
        <is>
          <t>2024257990036</t>
        </is>
      </c>
      <c r="K200" t="inlineStr">
        <is>
          <t>No</t>
        </is>
      </c>
      <c r="L200" t="inlineStr">
        <is>
          <t>Número</t>
        </is>
      </c>
      <c r="M200">
        <v>200</v>
      </c>
      <c r="N200">
        <v>200</v>
      </c>
      <c r="O200">
        <v>200</v>
      </c>
      <c r="P200">
        <v>200</v>
      </c>
      <c r="Q200">
        <v>200</v>
      </c>
      <c r="R200">
        <v>0</v>
      </c>
      <c r="S200" s="103">
        <v>0</v>
      </c>
      <c r="T200" t="inlineStr">
        <is>
          <t>No se ejecutó en la vigencia</t>
        </is>
      </c>
      <c r="U200" t="inlineStr">
        <is>
          <t xml:space="preserve"> </t>
        </is>
      </c>
      <c r="V200" s="104" t="inlineStr">
        <is>
          <t xml:space="preserve"> </t>
        </is>
      </c>
      <c r="W200" t="inlineStr">
        <is>
          <t>No se encontró ejecución en PIIP</t>
        </is>
      </c>
    </row>
    <row r="201">
      <c r="A201" t="inlineStr">
        <is>
          <t>IP-265, IP-272</t>
        </is>
      </c>
      <c r="B201" t="inlineStr">
        <is>
          <t>41</t>
        </is>
      </c>
      <c r="C201" t="inlineStr">
        <is>
          <t xml:space="preserve">Inclusión social y reconciliación </t>
        </is>
      </c>
      <c r="D201" t="inlineStr">
        <is>
          <t>4102</t>
        </is>
      </c>
      <c r="E201" t="inlineStr">
        <is>
          <t>Desarrollo integral de la primera infancia a la juventud, y fortalecimiento de las capacidades de las familias de niñas, niños y adolescentes</t>
        </is>
      </c>
      <c r="F201" t="inlineStr">
        <is>
          <t>4102038</t>
        </is>
      </c>
      <c r="G201" t="inlineStr">
        <is>
          <t>Servicio dirigidos a la atención de niños, niñas, adolescentes y jóvenes, con enfoque pedagógico y restaurativo encaminados a la inclusión social</t>
        </is>
      </c>
      <c r="H201" t="inlineStr">
        <is>
          <t>410203800</t>
        </is>
      </c>
      <c r="I201" t="inlineStr">
        <is>
          <t>Niños, niñas, adolescentes y jóvenes atendidios en los servicios de restablecimiento en la administración de justicia</t>
        </is>
      </c>
      <c r="J201" t="inlineStr">
        <is>
          <t>2024257990036</t>
        </is>
      </c>
      <c r="K201" t="inlineStr">
        <is>
          <t>No</t>
        </is>
      </c>
      <c r="L201" t="inlineStr">
        <is>
          <t>Número</t>
        </is>
      </c>
      <c r="M201">
        <v>102</v>
      </c>
      <c r="N201">
        <v>102</v>
      </c>
      <c r="O201">
        <v>102</v>
      </c>
      <c r="P201">
        <v>102</v>
      </c>
      <c r="Q201">
        <v>102</v>
      </c>
      <c r="R201">
        <v>0</v>
      </c>
      <c r="S201" s="103">
        <v>0</v>
      </c>
      <c r="T201" t="inlineStr">
        <is>
          <t>No se ejecutó en la vigencia</t>
        </is>
      </c>
      <c r="U201" t="inlineStr">
        <is>
          <t xml:space="preserve"> </t>
        </is>
      </c>
      <c r="V201" s="104" t="inlineStr">
        <is>
          <t xml:space="preserve"> </t>
        </is>
      </c>
      <c r="W201" t="inlineStr">
        <is>
          <t>No se encontró ejecución en PIIP</t>
        </is>
      </c>
    </row>
    <row r="202">
      <c r="A202" t="inlineStr">
        <is>
          <t>IP-266</t>
        </is>
      </c>
      <c r="B202" t="inlineStr">
        <is>
          <t>41</t>
        </is>
      </c>
      <c r="C202" t="inlineStr">
        <is>
          <t xml:space="preserve">Inclusión social y reconciliación </t>
        </is>
      </c>
      <c r="D202" t="inlineStr">
        <is>
          <t>4102</t>
        </is>
      </c>
      <c r="E202" t="inlineStr">
        <is>
          <t>Desarrollo integral de la primera infancia a la juventud, y fortalecimiento de las capacidades de las familias de niñas, niños y adolescentes</t>
        </is>
      </c>
      <c r="F202" t="inlineStr">
        <is>
          <t>4102035</t>
        </is>
      </c>
      <c r="G202" t="inlineStr">
        <is>
          <t>Documentos de lineamientos técnicos</t>
        </is>
      </c>
      <c r="H202" t="inlineStr">
        <is>
          <t>410203500</t>
        </is>
      </c>
      <c r="I202" t="inlineStr">
        <is>
          <t>Documentos de lineamientos técnicos realizados</t>
        </is>
      </c>
      <c r="J202" t="inlineStr">
        <is>
          <t>2024257990036</t>
        </is>
      </c>
      <c r="K202" t="inlineStr">
        <is>
          <t>No</t>
        </is>
      </c>
      <c r="L202" t="inlineStr">
        <is>
          <t>Número</t>
        </is>
      </c>
      <c r="M202">
        <v>2</v>
      </c>
      <c r="N202">
        <v>2</v>
      </c>
      <c r="O202">
        <v>2</v>
      </c>
      <c r="P202">
        <v>2</v>
      </c>
      <c r="Q202">
        <v>2</v>
      </c>
      <c r="R202">
        <v>0</v>
      </c>
      <c r="S202" s="103">
        <v>0</v>
      </c>
      <c r="T202" t="inlineStr">
        <is>
          <t>No se ejecutó en la vigencia</t>
        </is>
      </c>
      <c r="U202" t="inlineStr">
        <is>
          <t xml:space="preserve"> </t>
        </is>
      </c>
      <c r="V202" s="104" t="inlineStr">
        <is>
          <t xml:space="preserve"> </t>
        </is>
      </c>
      <c r="W202" t="inlineStr">
        <is>
          <t>No se encontró ejecución en PIIP</t>
        </is>
      </c>
    </row>
    <row r="203">
      <c r="A203" t="inlineStr">
        <is>
          <t>IP-267, IP-269</t>
        </is>
      </c>
      <c r="B203" t="inlineStr">
        <is>
          <t>41</t>
        </is>
      </c>
      <c r="C203" t="inlineStr">
        <is>
          <t xml:space="preserve">Inclusión social y reconciliación </t>
        </is>
      </c>
      <c r="D203" t="inlineStr">
        <is>
          <t>4102</t>
        </is>
      </c>
      <c r="E203" t="inlineStr">
        <is>
          <t>Desarrollo integral de la primera infancia a la juventud, y fortalecimiento de las capacidades de las familias de niñas, niños y adolescentes</t>
        </is>
      </c>
      <c r="F203" t="inlineStr">
        <is>
          <t>4102043</t>
        </is>
      </c>
      <c r="G203" t="inlineStr">
        <is>
          <t>Servicio de promoción de temas de dinámica relacional y desarrollo autónomo</t>
        </is>
      </c>
      <c r="H203" t="inlineStr">
        <is>
          <t>410204300</t>
        </is>
      </c>
      <c r="I203" t="inlineStr">
        <is>
          <t>Familias atendidas</t>
        </is>
      </c>
      <c r="J203" t="inlineStr">
        <is>
          <t>2024257990036</t>
        </is>
      </c>
      <c r="K203" t="inlineStr">
        <is>
          <t>Si</t>
        </is>
      </c>
      <c r="L203" t="inlineStr">
        <is>
          <t>Número</t>
        </is>
      </c>
      <c r="M203">
        <v>54</v>
      </c>
      <c r="N203">
        <v>0</v>
      </c>
      <c r="O203">
        <v>0</v>
      </c>
      <c r="P203">
        <v>31</v>
      </c>
      <c r="Q203">
        <v>6</v>
      </c>
      <c r="R203" t="inlineStr">
        <is>
          <t xml:space="preserve"> </t>
        </is>
      </c>
      <c r="S203" s="103" t="inlineStr">
        <is>
          <t xml:space="preserve"> </t>
        </is>
      </c>
      <c r="T203" t="inlineStr">
        <is>
          <t>No se encontró ejecución en PIIP</t>
        </is>
      </c>
      <c r="U203" t="inlineStr">
        <is>
          <t xml:space="preserve"> </t>
        </is>
      </c>
      <c r="V203" s="104" t="inlineStr">
        <is>
          <t xml:space="preserve"> </t>
        </is>
      </c>
      <c r="W203" t="inlineStr">
        <is>
          <t>No se encontró ejecución en PIIP</t>
        </is>
      </c>
    </row>
    <row r="204">
      <c r="A204" t="inlineStr">
        <is>
          <t>IP-268</t>
        </is>
      </c>
      <c r="B204" t="inlineStr">
        <is>
          <t>41</t>
        </is>
      </c>
      <c r="C204" t="inlineStr">
        <is>
          <t xml:space="preserve">Inclusión social y reconciliación </t>
        </is>
      </c>
      <c r="D204" t="inlineStr">
        <is>
          <t>4102</t>
        </is>
      </c>
      <c r="E204" t="inlineStr">
        <is>
          <t>Desarrollo integral de la primera infancia a la juventud, y fortalecimiento de las capacidades de las familias de niñas, niños y adolescentes</t>
        </is>
      </c>
      <c r="F204" t="inlineStr">
        <is>
          <t>4102043</t>
        </is>
      </c>
      <c r="G204" t="inlineStr">
        <is>
          <t>Servicio de promoción de temas de dinámica relacional y desarrollo autónomo</t>
        </is>
      </c>
      <c r="H204" t="inlineStr">
        <is>
          <t>410204300</t>
        </is>
      </c>
      <c r="I204" t="inlineStr">
        <is>
          <t>Familias atendidas</t>
        </is>
      </c>
      <c r="J204" t="inlineStr">
        <is>
          <t>2024257990036</t>
        </is>
      </c>
      <c r="K204" t="inlineStr">
        <is>
          <t>No</t>
        </is>
      </c>
      <c r="L204" t="inlineStr">
        <is>
          <t>Número</t>
        </is>
      </c>
      <c r="M204">
        <v>3</v>
      </c>
      <c r="N204">
        <v>3</v>
      </c>
      <c r="O204">
        <v>3</v>
      </c>
      <c r="P204">
        <v>3</v>
      </c>
      <c r="Q204">
        <v>3</v>
      </c>
      <c r="R204">
        <v>0</v>
      </c>
      <c r="S204" s="103">
        <v>0</v>
      </c>
      <c r="T204" t="inlineStr">
        <is>
          <t>No se ejecutó en la vigencia</t>
        </is>
      </c>
      <c r="U204" t="inlineStr">
        <is>
          <t xml:space="preserve"> </t>
        </is>
      </c>
      <c r="V204" s="104" t="inlineStr">
        <is>
          <t xml:space="preserve"> </t>
        </is>
      </c>
      <c r="W204" t="inlineStr">
        <is>
          <t>No se encontró ejecución en PIIP</t>
        </is>
      </c>
    </row>
    <row r="205">
      <c r="A205" t="inlineStr">
        <is>
          <t>IP-270, IP-271</t>
        </is>
      </c>
      <c r="B205" t="inlineStr">
        <is>
          <t>41</t>
        </is>
      </c>
      <c r="C205" t="inlineStr">
        <is>
          <t xml:space="preserve">Inclusión social y reconciliación </t>
        </is>
      </c>
      <c r="D205" t="inlineStr">
        <is>
          <t>4102</t>
        </is>
      </c>
      <c r="E205" t="inlineStr">
        <is>
          <t>Desarrollo integral de la primera infancia a la juventud, y fortalecimiento de las capacidades de las familias de niñas, niños y adolescentes</t>
        </is>
      </c>
      <c r="F205" t="inlineStr">
        <is>
          <t>4102038</t>
        </is>
      </c>
      <c r="G205" t="inlineStr">
        <is>
          <t>Servicio dirigidos a la atención de niños, niñas, adolescentes y jóvenes, con enfoque pedagógico y restaurativo encaminados a la inclusión social</t>
        </is>
      </c>
      <c r="H205" t="inlineStr">
        <is>
          <t>410203800</t>
        </is>
      </c>
      <c r="I205" t="inlineStr">
        <is>
          <t>Niños, niñas, adolescentes y jóvenes atendidios en los servicios de restablecimiento en la administración de justicia</t>
        </is>
      </c>
      <c r="J205" t="inlineStr">
        <is>
          <t>2024257990036</t>
        </is>
      </c>
      <c r="K205" t="inlineStr">
        <is>
          <t>Si</t>
        </is>
      </c>
      <c r="L205" t="inlineStr">
        <is>
          <t>Número</t>
        </is>
      </c>
      <c r="M205">
        <v>6</v>
      </c>
      <c r="N205">
        <v>1</v>
      </c>
      <c r="O205">
        <v>1</v>
      </c>
      <c r="P205">
        <v>2</v>
      </c>
      <c r="Q205">
        <v>2</v>
      </c>
      <c r="R205" t="inlineStr">
        <is>
          <t xml:space="preserve"> </t>
        </is>
      </c>
      <c r="S205" s="103" t="inlineStr">
        <is>
          <t xml:space="preserve"> </t>
        </is>
      </c>
      <c r="T205" t="inlineStr">
        <is>
          <t>No se encontró ejecución en PIIP</t>
        </is>
      </c>
      <c r="U205" t="inlineStr">
        <is>
          <t xml:space="preserve"> </t>
        </is>
      </c>
      <c r="V205" s="104" t="inlineStr">
        <is>
          <t xml:space="preserve"> </t>
        </is>
      </c>
      <c r="W205" t="inlineStr">
        <is>
          <t>No se encontró ejecución en PIIP</t>
        </is>
      </c>
    </row>
    <row r="206">
      <c r="A206" t="inlineStr">
        <is>
          <t>IP-273</t>
        </is>
      </c>
      <c r="B206" t="inlineStr">
        <is>
          <t>41</t>
        </is>
      </c>
      <c r="C206" t="inlineStr">
        <is>
          <t xml:space="preserve">Inclusión social y reconciliación </t>
        </is>
      </c>
      <c r="D206" t="inlineStr">
        <is>
          <t>4102</t>
        </is>
      </c>
      <c r="E206" t="inlineStr">
        <is>
          <t>Desarrollo integral de la primera infancia a la juventud, y fortalecimiento de las capacidades de las familias de niñas, niños y adolescentes</t>
        </is>
      </c>
      <c r="F206" t="inlineStr">
        <is>
          <t>4102052</t>
        </is>
      </c>
      <c r="G206" t="inlineStr">
        <is>
          <t>Servicio de protección integral a niños, niñas, adolescentes y jóvenes</t>
        </is>
      </c>
      <c r="H206" t="inlineStr">
        <is>
          <t>410205200</t>
        </is>
      </c>
      <c r="I206" t="inlineStr">
        <is>
          <t>Niños, niñas, adolescentes y jóvenes beneficiados</t>
        </is>
      </c>
      <c r="J206" t="inlineStr">
        <is>
          <t>2024257990036</t>
        </is>
      </c>
      <c r="K206" t="inlineStr">
        <is>
          <t>No</t>
        </is>
      </c>
      <c r="L206" t="inlineStr">
        <is>
          <t>Número</t>
        </is>
      </c>
      <c r="M206">
        <v>100</v>
      </c>
      <c r="N206">
        <v>10</v>
      </c>
      <c r="O206">
        <v>40</v>
      </c>
      <c r="P206">
        <v>40</v>
      </c>
      <c r="Q206">
        <v>10</v>
      </c>
      <c r="R206">
        <v>0</v>
      </c>
      <c r="S206" s="103">
        <v>0</v>
      </c>
      <c r="T206" t="inlineStr">
        <is>
          <t>No se ejecutó en la vigencia</t>
        </is>
      </c>
      <c r="U206" t="inlineStr">
        <is>
          <t xml:space="preserve"> </t>
        </is>
      </c>
      <c r="V206" s="104" t="inlineStr">
        <is>
          <t xml:space="preserve"> </t>
        </is>
      </c>
      <c r="W206" t="inlineStr">
        <is>
          <t>No se encontró ejecución en PIIP</t>
        </is>
      </c>
    </row>
    <row r="207">
      <c r="A207" t="inlineStr">
        <is>
          <t>IP-278</t>
        </is>
      </c>
      <c r="B207" t="inlineStr">
        <is>
          <t>41</t>
        </is>
      </c>
      <c r="C207" t="inlineStr">
        <is>
          <t xml:space="preserve">Inclusión social y reconciliación </t>
        </is>
      </c>
      <c r="D207" t="inlineStr">
        <is>
          <t>4102</t>
        </is>
      </c>
      <c r="E207" t="inlineStr">
        <is>
          <t>Desarrollo integral de la primera infancia a la juventud, y fortalecimiento de las capacidades de las familias de niñas, niños y adolescentes</t>
        </is>
      </c>
      <c r="F207" t="inlineStr">
        <is>
          <t>4102051</t>
        </is>
      </c>
      <c r="G207" t="inlineStr">
        <is>
          <t>Documentos de planeación</t>
        </is>
      </c>
      <c r="H207" t="inlineStr">
        <is>
          <t>410205100</t>
        </is>
      </c>
      <c r="I207" t="inlineStr">
        <is>
          <t>Documentos de planeación elaborados</t>
        </is>
      </c>
      <c r="J207" t="inlineStr">
        <is>
          <t>2024257990036</t>
        </is>
      </c>
      <c r="K207" t="inlineStr">
        <is>
          <t>No</t>
        </is>
      </c>
      <c r="L207" t="inlineStr">
        <is>
          <t>Número</t>
        </is>
      </c>
      <c r="M207">
        <v>1</v>
      </c>
      <c r="N207">
        <v>0</v>
      </c>
      <c r="O207">
        <v>1</v>
      </c>
      <c r="P207">
        <v>0</v>
      </c>
      <c r="Q207">
        <v>0</v>
      </c>
      <c r="R207">
        <v>0</v>
      </c>
      <c r="S207" s="103" t="inlineStr">
        <is>
          <t xml:space="preserve"> </t>
        </is>
      </c>
      <c r="T207" t="inlineStr">
        <is>
          <t>No se programó ni ejecutó en la vigencia</t>
        </is>
      </c>
      <c r="U207" t="inlineStr">
        <is>
          <t xml:space="preserve"> </t>
        </is>
      </c>
      <c r="V207" s="104" t="inlineStr">
        <is>
          <t xml:space="preserve"> </t>
        </is>
      </c>
      <c r="W207" t="inlineStr">
        <is>
          <t>No se encontró ejecución en PIIP</t>
        </is>
      </c>
    </row>
    <row r="208">
      <c r="A208" t="inlineStr">
        <is>
          <t>IP-279</t>
        </is>
      </c>
      <c r="B208" t="inlineStr">
        <is>
          <t>45</t>
        </is>
      </c>
      <c r="C208" t="inlineStr">
        <is>
          <t>Gobierno Territorial</t>
        </is>
      </c>
      <c r="D208" t="inlineStr">
        <is>
          <t>4502</t>
        </is>
      </c>
      <c r="E208" t="inlineStr">
        <is>
          <t>Fortalecimiento del buen gobierno para el respeto y garantía de los derechos humanos.</t>
        </is>
      </c>
      <c r="F208" t="inlineStr">
        <is>
          <t>4502026</t>
        </is>
      </c>
      <c r="G208" t="inlineStr">
        <is>
          <t>Documentos normativos</t>
        </is>
      </c>
      <c r="H208" t="inlineStr">
        <is>
          <t>450202600</t>
        </is>
      </c>
      <c r="I208" t="inlineStr">
        <is>
          <t>Documentos normativos realizados</t>
        </is>
      </c>
      <c r="J208" t="inlineStr">
        <is>
          <t>2024257990036</t>
        </is>
      </c>
      <c r="K208" t="inlineStr">
        <is>
          <t>No</t>
        </is>
      </c>
      <c r="L208" t="inlineStr">
        <is>
          <t>Número</t>
        </is>
      </c>
      <c r="M208">
        <v>1</v>
      </c>
      <c r="N208">
        <v>0</v>
      </c>
      <c r="O208">
        <v>0</v>
      </c>
      <c r="P208">
        <v>1</v>
      </c>
      <c r="Q208">
        <v>1</v>
      </c>
      <c r="R208" t="inlineStr">
        <is>
          <t xml:space="preserve"> </t>
        </is>
      </c>
      <c r="S208" s="103" t="inlineStr">
        <is>
          <t xml:space="preserve"> </t>
        </is>
      </c>
      <c r="T208" t="inlineStr">
        <is>
          <t>No se encontró ejecución en PIIP</t>
        </is>
      </c>
      <c r="U208" t="inlineStr">
        <is>
          <t xml:space="preserve"> </t>
        </is>
      </c>
      <c r="V208" s="104" t="inlineStr">
        <is>
          <t xml:space="preserve"> </t>
        </is>
      </c>
      <c r="W208" t="inlineStr">
        <is>
          <t>No se encontró ejecución en PIIP</t>
        </is>
      </c>
    </row>
    <row r="209">
      <c r="A209" t="inlineStr">
        <is>
          <t>IP-280, IP-292</t>
        </is>
      </c>
      <c r="B209" t="inlineStr">
        <is>
          <t>45</t>
        </is>
      </c>
      <c r="C209" t="inlineStr">
        <is>
          <t>Gobierno Territorial</t>
        </is>
      </c>
      <c r="D209" t="inlineStr">
        <is>
          <t>4502</t>
        </is>
      </c>
      <c r="E209" t="inlineStr">
        <is>
          <t>Fortalecimiento del buen gobierno para el respeto y garantía de los derechos humanos.</t>
        </is>
      </c>
      <c r="F209" t="inlineStr">
        <is>
          <t>4502039</t>
        </is>
      </c>
      <c r="G209" t="inlineStr">
        <is>
          <t>Servicio de apoyo financiero para empresas y emprendimientos productivos</t>
        </is>
      </c>
      <c r="H209" t="inlineStr">
        <is>
          <t>450203900</t>
        </is>
      </c>
      <c r="I209" t="inlineStr">
        <is>
          <t>Personas y empresas beneficiadas</t>
        </is>
      </c>
      <c r="J209" t="inlineStr">
        <is>
          <t>2024257990037</t>
        </is>
      </c>
      <c r="K209" t="inlineStr">
        <is>
          <t>No</t>
        </is>
      </c>
      <c r="L209" t="inlineStr">
        <is>
          <t>Número</t>
        </is>
      </c>
      <c r="M209">
        <v>2</v>
      </c>
      <c r="N209">
        <v>2</v>
      </c>
      <c r="O209">
        <v>2</v>
      </c>
      <c r="P209">
        <v>2</v>
      </c>
      <c r="Q209">
        <v>2</v>
      </c>
      <c r="R209">
        <v>0</v>
      </c>
      <c r="S209" s="103">
        <v>0</v>
      </c>
      <c r="T209" t="inlineStr">
        <is>
          <t>No se ejecutó en la vigencia</t>
        </is>
      </c>
      <c r="U209" t="inlineStr">
        <is>
          <t xml:space="preserve"> </t>
        </is>
      </c>
      <c r="V209" s="104" t="inlineStr">
        <is>
          <t xml:space="preserve"> </t>
        </is>
      </c>
      <c r="W209" t="inlineStr">
        <is>
          <t>No se encontró ejecución en PIIP</t>
        </is>
      </c>
    </row>
    <row r="210">
      <c r="A210" t="inlineStr">
        <is>
          <t>IP-281, IP-287</t>
        </is>
      </c>
      <c r="B210" t="inlineStr">
        <is>
          <t>45</t>
        </is>
      </c>
      <c r="C210" t="inlineStr">
        <is>
          <t>Gobierno Territorial</t>
        </is>
      </c>
      <c r="D210" t="inlineStr">
        <is>
          <t>4502</t>
        </is>
      </c>
      <c r="E210" t="inlineStr">
        <is>
          <t>Fortalecimiento del buen gobierno para el respeto y garantía de los derechos humanos.</t>
        </is>
      </c>
      <c r="F210" t="inlineStr">
        <is>
          <t>4502026</t>
        </is>
      </c>
      <c r="G210" t="inlineStr">
        <is>
          <t>Documentos normativos</t>
        </is>
      </c>
      <c r="H210" t="inlineStr">
        <is>
          <t>450202600</t>
        </is>
      </c>
      <c r="I210" t="inlineStr">
        <is>
          <t>Documentos normativos realizados</t>
        </is>
      </c>
      <c r="J210" t="inlineStr">
        <is>
          <t>2024257990037</t>
        </is>
      </c>
      <c r="K210" t="inlineStr">
        <is>
          <t>No</t>
        </is>
      </c>
      <c r="L210" t="inlineStr">
        <is>
          <t>Número</t>
        </is>
      </c>
      <c r="M210">
        <v>101</v>
      </c>
      <c r="N210">
        <v>101</v>
      </c>
      <c r="O210">
        <v>101</v>
      </c>
      <c r="P210">
        <v>101</v>
      </c>
      <c r="Q210">
        <v>101</v>
      </c>
      <c r="R210">
        <v>0</v>
      </c>
      <c r="S210" s="103">
        <v>0</v>
      </c>
      <c r="T210" t="inlineStr">
        <is>
          <t>No se ejecutó en la vigencia</t>
        </is>
      </c>
      <c r="U210" t="inlineStr">
        <is>
          <t xml:space="preserve"> </t>
        </is>
      </c>
      <c r="V210" s="104" t="inlineStr">
        <is>
          <t xml:space="preserve"> </t>
        </is>
      </c>
      <c r="W210" t="inlineStr">
        <is>
          <t>No se encontró ejecución en PIIP</t>
        </is>
      </c>
    </row>
    <row r="211">
      <c r="A211" t="inlineStr">
        <is>
          <t>IP-282, IP-289</t>
        </is>
      </c>
      <c r="B211" t="inlineStr">
        <is>
          <t>45</t>
        </is>
      </c>
      <c r="C211" t="inlineStr">
        <is>
          <t>Gobierno Territorial</t>
        </is>
      </c>
      <c r="D211" t="inlineStr">
        <is>
          <t>4502</t>
        </is>
      </c>
      <c r="E211" t="inlineStr">
        <is>
          <t>Fortalecimiento del buen gobierno para el respeto y garantía de los derechos humanos.</t>
        </is>
      </c>
      <c r="F211" t="inlineStr">
        <is>
          <t>4502026</t>
        </is>
      </c>
      <c r="G211" t="inlineStr">
        <is>
          <t>Documentos normativos</t>
        </is>
      </c>
      <c r="H211" t="inlineStr">
        <is>
          <t>450202600</t>
        </is>
      </c>
      <c r="I211" t="inlineStr">
        <is>
          <t>Documentos normativos realizados</t>
        </is>
      </c>
      <c r="J211" t="inlineStr">
        <is>
          <t>2024257990037</t>
        </is>
      </c>
      <c r="K211" t="inlineStr">
        <is>
          <t>Si</t>
        </is>
      </c>
      <c r="L211" t="inlineStr">
        <is>
          <t>Número</t>
        </is>
      </c>
      <c r="M211">
        <v>4007</v>
      </c>
      <c r="N211">
        <v>1007</v>
      </c>
      <c r="O211">
        <v>1007</v>
      </c>
      <c r="P211">
        <v>1007</v>
      </c>
      <c r="Q211">
        <v>1007</v>
      </c>
      <c r="R211" t="inlineStr">
        <is>
          <t xml:space="preserve"> </t>
        </is>
      </c>
      <c r="S211" s="103" t="inlineStr">
        <is>
          <t xml:space="preserve"> </t>
        </is>
      </c>
      <c r="T211" t="inlineStr">
        <is>
          <t>No se encontró ejecución en PIIP</t>
        </is>
      </c>
      <c r="U211" t="inlineStr">
        <is>
          <t xml:space="preserve"> </t>
        </is>
      </c>
      <c r="V211" s="104" t="inlineStr">
        <is>
          <t xml:space="preserve"> </t>
        </is>
      </c>
      <c r="W211" t="inlineStr">
        <is>
          <t>No se encontró ejecución en PIIP</t>
        </is>
      </c>
    </row>
    <row r="212">
      <c r="A212" t="inlineStr">
        <is>
          <t>IP-283, IP-286</t>
        </is>
      </c>
      <c r="B212" t="inlineStr">
        <is>
          <t>45</t>
        </is>
      </c>
      <c r="C212" t="inlineStr">
        <is>
          <t>Gobierno Territorial</t>
        </is>
      </c>
      <c r="D212" t="inlineStr">
        <is>
          <t>4502</t>
        </is>
      </c>
      <c r="E212" t="inlineStr">
        <is>
          <t>Fortalecimiento del buen gobierno para el respeto y garantía de los derechos humanos.</t>
        </is>
      </c>
      <c r="F212" t="inlineStr">
        <is>
          <t>4502001</t>
        </is>
      </c>
      <c r="G212" t="inlineStr">
        <is>
          <t>Servicio de promoción a la participación ciudadana</t>
        </is>
      </c>
      <c r="H212" t="inlineStr">
        <is>
          <t>450200100</t>
        </is>
      </c>
      <c r="I212" t="inlineStr">
        <is>
          <t>Espacios de participación promovidos</t>
        </is>
      </c>
      <c r="J212" t="inlineStr">
        <is>
          <t>2024257990037</t>
        </is>
      </c>
      <c r="K212" t="inlineStr">
        <is>
          <t>Si</t>
        </is>
      </c>
      <c r="L212" t="inlineStr">
        <is>
          <t>Número</t>
        </is>
      </c>
      <c r="M212">
        <v>81</v>
      </c>
      <c r="N212">
        <v>30</v>
      </c>
      <c r="O212">
        <v>21</v>
      </c>
      <c r="P212">
        <v>21</v>
      </c>
      <c r="Q212">
        <v>11</v>
      </c>
      <c r="R212" t="inlineStr">
        <is>
          <t xml:space="preserve"> </t>
        </is>
      </c>
      <c r="S212" s="103" t="inlineStr">
        <is>
          <t xml:space="preserve"> </t>
        </is>
      </c>
      <c r="T212" t="inlineStr">
        <is>
          <t>No se encontró ejecución en PIIP</t>
        </is>
      </c>
      <c r="U212" t="inlineStr">
        <is>
          <t xml:space="preserve"> </t>
        </is>
      </c>
      <c r="V212" s="104" t="inlineStr">
        <is>
          <t xml:space="preserve"> </t>
        </is>
      </c>
      <c r="W212" t="inlineStr">
        <is>
          <t>No se encontró ejecución en PIIP</t>
        </is>
      </c>
    </row>
    <row r="213">
      <c r="A213" t="inlineStr">
        <is>
          <t>IP-284, IP-288</t>
        </is>
      </c>
      <c r="B213" t="inlineStr">
        <is>
          <t>45</t>
        </is>
      </c>
      <c r="C213" t="inlineStr">
        <is>
          <t>Gobierno Territorial</t>
        </is>
      </c>
      <c r="D213" t="inlineStr">
        <is>
          <t>4502</t>
        </is>
      </c>
      <c r="E213" t="inlineStr">
        <is>
          <t>Fortalecimiento del buen gobierno para el respeto y garantía de los derechos humanos.</t>
        </is>
      </c>
      <c r="F213" t="inlineStr">
        <is>
          <t>4502037</t>
        </is>
      </c>
      <c r="G213" t="inlineStr">
        <is>
          <t>Servicio de apoyo para el acceso a programas de educación para el trabajo y el desarrollo humano</t>
        </is>
      </c>
      <c r="H213" t="inlineStr">
        <is>
          <t>450203700</t>
        </is>
      </c>
      <c r="I213" t="inlineStr">
        <is>
          <t>Personas beneficiadas de servicios de educación para el trabajo y el desarrollo humano</t>
        </is>
      </c>
      <c r="J213" t="inlineStr">
        <is>
          <t>2024257990037</t>
        </is>
      </c>
      <c r="K213" t="inlineStr">
        <is>
          <t>Si</t>
        </is>
      </c>
      <c r="L213" t="inlineStr">
        <is>
          <t>Número</t>
        </is>
      </c>
      <c r="M213">
        <v>39</v>
      </c>
      <c r="N213">
        <v>6</v>
      </c>
      <c r="O213">
        <v>16</v>
      </c>
      <c r="P213">
        <v>11</v>
      </c>
      <c r="Q213">
        <v>6</v>
      </c>
      <c r="R213" t="inlineStr">
        <is>
          <t xml:space="preserve"> </t>
        </is>
      </c>
      <c r="S213" s="103" t="inlineStr">
        <is>
          <t xml:space="preserve"> </t>
        </is>
      </c>
      <c r="T213" t="inlineStr">
        <is>
          <t>No se encontró ejecución en PIIP</t>
        </is>
      </c>
      <c r="U213" t="inlineStr">
        <is>
          <t xml:space="preserve"> </t>
        </is>
      </c>
      <c r="V213" s="104" t="inlineStr">
        <is>
          <t xml:space="preserve"> </t>
        </is>
      </c>
      <c r="W213" t="inlineStr">
        <is>
          <t>No se encontró ejecución en PIIP</t>
        </is>
      </c>
    </row>
    <row r="214">
      <c r="A214" t="inlineStr">
        <is>
          <t>IP-285</t>
        </is>
      </c>
      <c r="B214" t="inlineStr">
        <is>
          <t>45</t>
        </is>
      </c>
      <c r="C214" t="inlineStr">
        <is>
          <t>Gobierno Territorial</t>
        </is>
      </c>
      <c r="D214" t="inlineStr">
        <is>
          <t>4502</t>
        </is>
      </c>
      <c r="E214" t="inlineStr">
        <is>
          <t>Fortalecimiento del buen gobierno para el respeto y garantía de los derechos humanos.</t>
        </is>
      </c>
      <c r="F214" t="inlineStr">
        <is>
          <t>4502001</t>
        </is>
      </c>
      <c r="G214" t="inlineStr">
        <is>
          <t>Servicio de promoción a la participación ciudadana</t>
        </is>
      </c>
      <c r="H214" t="inlineStr">
        <is>
          <t>450200100</t>
        </is>
      </c>
      <c r="I214" t="inlineStr">
        <is>
          <t>Espacios de participación promovidos</t>
        </is>
      </c>
      <c r="J214" t="inlineStr">
        <is>
          <t>2024257990037</t>
        </is>
      </c>
      <c r="K214" t="inlineStr">
        <is>
          <t>No</t>
        </is>
      </c>
      <c r="L214" t="inlineStr">
        <is>
          <t>Número</t>
        </is>
      </c>
      <c r="M214">
        <v>1</v>
      </c>
      <c r="N214">
        <v>1</v>
      </c>
      <c r="O214">
        <v>1</v>
      </c>
      <c r="P214">
        <v>1</v>
      </c>
      <c r="Q214">
        <v>1</v>
      </c>
      <c r="R214">
        <v>1</v>
      </c>
      <c r="S214" s="103">
        <v>1</v>
      </c>
      <c r="T214" t="inlineStr">
        <is>
          <t>Se ejecutó el 100% de lo programado en la vigencia</t>
        </is>
      </c>
      <c r="U214" t="inlineStr">
        <is>
          <t xml:space="preserve"> </t>
        </is>
      </c>
      <c r="V214" s="104" t="inlineStr">
        <is>
          <t xml:space="preserve"> </t>
        </is>
      </c>
      <c r="W214" t="inlineStr">
        <is>
          <t>No se encontró ejecución en PIIP</t>
        </is>
      </c>
    </row>
    <row r="215">
      <c r="A215" t="inlineStr">
        <is>
          <t>IP-290, IP-291, IP-293, IP-294</t>
        </is>
      </c>
      <c r="B215" t="inlineStr">
        <is>
          <t>45</t>
        </is>
      </c>
      <c r="C215" t="inlineStr">
        <is>
          <t>Gobierno Territorial</t>
        </is>
      </c>
      <c r="D215" t="inlineStr">
        <is>
          <t>4502</t>
        </is>
      </c>
      <c r="E215" t="inlineStr">
        <is>
          <t>Fortalecimiento del buen gobierno para el respeto y garantía de los derechos humanos.</t>
        </is>
      </c>
      <c r="F215" t="inlineStr">
        <is>
          <t>4502038</t>
        </is>
      </c>
      <c r="G215" t="inlineStr">
        <is>
          <t>Servicio de promoción de la garantía de derechos</t>
        </is>
      </c>
      <c r="H215" t="inlineStr">
        <is>
          <t>450203800</t>
        </is>
      </c>
      <c r="I215" t="inlineStr">
        <is>
          <t>Estrategias de promoción de la garantía de derechos implementadas</t>
        </is>
      </c>
      <c r="J215" t="inlineStr">
        <is>
          <t>2024257990037</t>
        </is>
      </c>
      <c r="K215" t="inlineStr">
        <is>
          <t>Si</t>
        </is>
      </c>
      <c r="L215" t="inlineStr">
        <is>
          <t>Número</t>
        </is>
      </c>
      <c r="M215">
        <v>315</v>
      </c>
      <c r="N215">
        <v>20</v>
      </c>
      <c r="O215">
        <v>121</v>
      </c>
      <c r="P215">
        <v>141</v>
      </c>
      <c r="Q215">
        <v>131</v>
      </c>
      <c r="R215" t="inlineStr">
        <is>
          <t xml:space="preserve"> </t>
        </is>
      </c>
      <c r="S215" s="103" t="inlineStr">
        <is>
          <t xml:space="preserve"> </t>
        </is>
      </c>
      <c r="T215" t="inlineStr">
        <is>
          <t>No se encontró ejecución en PIIP</t>
        </is>
      </c>
      <c r="U215" t="inlineStr">
        <is>
          <t xml:space="preserve"> </t>
        </is>
      </c>
      <c r="V215" s="104" t="inlineStr">
        <is>
          <t xml:space="preserve"> </t>
        </is>
      </c>
      <c r="W215" t="inlineStr">
        <is>
          <t>No se encontró ejecución en PIIP</t>
        </is>
      </c>
    </row>
    <row r="216">
      <c r="A216" t="inlineStr">
        <is>
          <t>IP-295</t>
        </is>
      </c>
      <c r="B216" t="inlineStr">
        <is>
          <t>41</t>
        </is>
      </c>
      <c r="C216" t="inlineStr">
        <is>
          <t xml:space="preserve">Inclusión social y reconciliación </t>
        </is>
      </c>
      <c r="D216" t="inlineStr">
        <is>
          <t>4104</t>
        </is>
      </c>
      <c r="E216" t="inlineStr">
        <is>
          <t>Atención integral de población en situación permanente de desprotección social y/o familiar</t>
        </is>
      </c>
      <c r="F216" t="inlineStr">
        <is>
          <t>4104010</t>
        </is>
      </c>
      <c r="G216" t="inlineStr">
        <is>
          <t>Servicio de educación informal a los cuidadores del adulto mayor</t>
        </is>
      </c>
      <c r="H216" t="inlineStr">
        <is>
          <t>410401000</t>
        </is>
      </c>
      <c r="I216" t="inlineStr">
        <is>
          <t>Cuidadores cualificados</t>
        </is>
      </c>
      <c r="J216" t="inlineStr">
        <is>
          <t>2024257990037</t>
        </is>
      </c>
      <c r="K216" t="inlineStr">
        <is>
          <t>Si</t>
        </is>
      </c>
      <c r="L216" t="inlineStr">
        <is>
          <t>Número</t>
        </is>
      </c>
      <c r="M216">
        <v>100</v>
      </c>
      <c r="N216">
        <v>100</v>
      </c>
      <c r="O216">
        <v>100</v>
      </c>
      <c r="P216">
        <v>100</v>
      </c>
      <c r="Q216">
        <v>100</v>
      </c>
      <c r="R216" t="inlineStr">
        <is>
          <t xml:space="preserve"> </t>
        </is>
      </c>
      <c r="S216" s="103" t="inlineStr">
        <is>
          <t xml:space="preserve"> </t>
        </is>
      </c>
      <c r="T216" t="inlineStr">
        <is>
          <t>No se encontró ejecución en PIIP</t>
        </is>
      </c>
      <c r="U216" t="inlineStr">
        <is>
          <t xml:space="preserve"> </t>
        </is>
      </c>
      <c r="V216" s="104" t="inlineStr">
        <is>
          <t xml:space="preserve"> </t>
        </is>
      </c>
      <c r="W216" t="inlineStr">
        <is>
          <t>No se encontró ejecución en PIIP</t>
        </is>
      </c>
    </row>
    <row r="217">
      <c r="A217" t="inlineStr">
        <is>
          <t>IP-296, IP-298, IP-299, IP-300, IP-301</t>
        </is>
      </c>
      <c r="B217" t="inlineStr">
        <is>
          <t>41</t>
        </is>
      </c>
      <c r="C217" t="inlineStr">
        <is>
          <t xml:space="preserve">Inclusión social y reconciliación </t>
        </is>
      </c>
      <c r="D217" t="inlineStr">
        <is>
          <t>4104</t>
        </is>
      </c>
      <c r="E217" t="inlineStr">
        <is>
          <t>Atención integral de población en situación permanente de desprotección social y/o familiar</t>
        </is>
      </c>
      <c r="F217" t="inlineStr">
        <is>
          <t>4104008</t>
        </is>
      </c>
      <c r="G217" t="inlineStr">
        <is>
          <t>Servicio de atención y protección integral al adulto mayor</t>
        </is>
      </c>
      <c r="H217" t="inlineStr">
        <is>
          <t>410400800</t>
        </is>
      </c>
      <c r="I217" t="inlineStr">
        <is>
          <t>Adultos mayores atendidos con servicios integrales</t>
        </is>
      </c>
      <c r="J217" t="inlineStr">
        <is>
          <t>2024257990038</t>
        </is>
      </c>
      <c r="K217" t="inlineStr">
        <is>
          <t>No</t>
        </is>
      </c>
      <c r="L217" t="inlineStr">
        <is>
          <t>Número</t>
        </is>
      </c>
      <c r="M217">
        <v>1241</v>
      </c>
      <c r="N217">
        <v>810</v>
      </c>
      <c r="O217">
        <v>1211</v>
      </c>
      <c r="P217">
        <v>1211</v>
      </c>
      <c r="Q217">
        <v>1211</v>
      </c>
      <c r="R217">
        <v>0</v>
      </c>
      <c r="S217" s="103">
        <v>0</v>
      </c>
      <c r="T217" t="inlineStr">
        <is>
          <t>No se ejecutó en la vigencia</t>
        </is>
      </c>
      <c r="U217" t="inlineStr">
        <is>
          <t xml:space="preserve"> </t>
        </is>
      </c>
      <c r="V217" s="104" t="inlineStr">
        <is>
          <t xml:space="preserve"> </t>
        </is>
      </c>
      <c r="W217" t="inlineStr">
        <is>
          <t>No se encontró ejecución en PIIP</t>
        </is>
      </c>
    </row>
    <row r="218">
      <c r="A218" t="inlineStr">
        <is>
          <t>IP-297</t>
        </is>
      </c>
      <c r="B218" t="inlineStr">
        <is>
          <t>41</t>
        </is>
      </c>
      <c r="C218" t="inlineStr">
        <is>
          <t xml:space="preserve">Inclusión social y reconciliación </t>
        </is>
      </c>
      <c r="D218" t="inlineStr">
        <is>
          <t>4104</t>
        </is>
      </c>
      <c r="E218" t="inlineStr">
        <is>
          <t>Atención integral de población en situación permanente de desprotección social y/o familiar</t>
        </is>
      </c>
      <c r="F218" t="inlineStr">
        <is>
          <t>4104008</t>
        </is>
      </c>
      <c r="G218" t="inlineStr">
        <is>
          <t>Servicio de atención y protección integral al adulto mayor</t>
        </is>
      </c>
      <c r="H218" t="inlineStr">
        <is>
          <t>410400800</t>
        </is>
      </c>
      <c r="I218" t="inlineStr">
        <is>
          <t>Adultos mayores atendidos con servicios integrales</t>
        </is>
      </c>
      <c r="J218" t="inlineStr">
        <is>
          <t>2024257990038</t>
        </is>
      </c>
      <c r="K218" t="inlineStr">
        <is>
          <t>Si</t>
        </is>
      </c>
      <c r="L218" t="inlineStr">
        <is>
          <t>Número</t>
        </is>
      </c>
      <c r="M218">
        <v>400</v>
      </c>
      <c r="N218">
        <v>0</v>
      </c>
      <c r="O218">
        <v>200</v>
      </c>
      <c r="P218">
        <v>200</v>
      </c>
      <c r="Q218">
        <v>0</v>
      </c>
      <c r="R218" t="inlineStr">
        <is>
          <t xml:space="preserve"> </t>
        </is>
      </c>
      <c r="S218" s="103" t="inlineStr">
        <is>
          <t xml:space="preserve"> </t>
        </is>
      </c>
      <c r="T218" t="inlineStr">
        <is>
          <t>No se encontró ejecución en PIIP</t>
        </is>
      </c>
      <c r="U218" t="inlineStr">
        <is>
          <t xml:space="preserve"> </t>
        </is>
      </c>
      <c r="V218" s="104" t="inlineStr">
        <is>
          <t xml:space="preserve"> </t>
        </is>
      </c>
      <c r="W218" t="inlineStr">
        <is>
          <t>No se encontró ejecución en PIIP</t>
        </is>
      </c>
    </row>
    <row r="219">
      <c r="A219" t="inlineStr">
        <is>
          <t>IP-302</t>
        </is>
      </c>
      <c r="B219" t="inlineStr">
        <is>
          <t>41</t>
        </is>
      </c>
      <c r="C219" t="inlineStr">
        <is>
          <t xml:space="preserve">Inclusión social y reconciliación </t>
        </is>
      </c>
      <c r="D219" t="inlineStr">
        <is>
          <t>4104</t>
        </is>
      </c>
      <c r="E219" t="inlineStr">
        <is>
          <t>Atención integral de población en situación permanente de desprotección social y/o familiar</t>
        </is>
      </c>
      <c r="F219" t="inlineStr">
        <is>
          <t>4104025</t>
        </is>
      </c>
      <c r="G219" t="inlineStr">
        <is>
          <t>Centros de protección social de día para el adulto mayor con reforzamiento estructural</t>
        </is>
      </c>
      <c r="H219" t="inlineStr">
        <is>
          <t>410402500</t>
        </is>
      </c>
      <c r="I219" t="inlineStr">
        <is>
          <t>Centros de día para el adulto mayor con reforzamiento estructural</t>
        </is>
      </c>
      <c r="J219" t="inlineStr">
        <is>
          <t>2024257990038</t>
        </is>
      </c>
      <c r="K219" t="inlineStr">
        <is>
          <t>No</t>
        </is>
      </c>
      <c r="L219" t="inlineStr">
        <is>
          <t>Número</t>
        </is>
      </c>
      <c r="M219">
        <v>2</v>
      </c>
      <c r="N219">
        <v>2</v>
      </c>
      <c r="O219">
        <v>2</v>
      </c>
      <c r="P219">
        <v>2</v>
      </c>
      <c r="Q219">
        <v>2</v>
      </c>
      <c r="R219">
        <v>0</v>
      </c>
      <c r="S219" s="103">
        <v>0</v>
      </c>
      <c r="T219" t="inlineStr">
        <is>
          <t>No se ejecutó en la vigencia</t>
        </is>
      </c>
      <c r="U219" t="inlineStr">
        <is>
          <t xml:space="preserve"> </t>
        </is>
      </c>
      <c r="V219" s="104" t="inlineStr">
        <is>
          <t xml:space="preserve"> </t>
        </is>
      </c>
      <c r="W219" t="inlineStr">
        <is>
          <t>No se encontró ejecución en PIIP</t>
        </is>
      </c>
    </row>
    <row r="220">
      <c r="A220" t="inlineStr">
        <is>
          <t>IP-303</t>
        </is>
      </c>
      <c r="B220" t="inlineStr">
        <is>
          <t>41</t>
        </is>
      </c>
      <c r="C220" t="inlineStr">
        <is>
          <t xml:space="preserve">Inclusión social y reconciliación </t>
        </is>
      </c>
      <c r="D220" t="inlineStr">
        <is>
          <t>4102</t>
        </is>
      </c>
      <c r="E220" t="inlineStr">
        <is>
          <t>Desarrollo integral de la primera infancia a la juventud, y fortalecimiento de las capacidades de las familias de niñas, niños y adolescentes</t>
        </is>
      </c>
      <c r="F220" t="inlineStr">
        <is>
          <t>4102047</t>
        </is>
      </c>
      <c r="G220" t="inlineStr">
        <is>
          <t>Servicios de asistencia técnica en políticas públicas de infancia, adolescencia y juventud</t>
        </is>
      </c>
      <c r="H220" t="inlineStr">
        <is>
          <t>410204700</t>
        </is>
      </c>
      <c r="I220" t="inlineStr">
        <is>
          <t>Agentes de la institucionalidad de infancia, adolescencia y juventud  asistidos técnicamente</t>
        </is>
      </c>
      <c r="J220" t="inlineStr">
        <is>
          <t>2024257990038</t>
        </is>
      </c>
      <c r="K220" t="inlineStr">
        <is>
          <t>Si</t>
        </is>
      </c>
      <c r="L220" t="inlineStr">
        <is>
          <t>Número</t>
        </is>
      </c>
      <c r="M220">
        <v>1</v>
      </c>
      <c r="N220">
        <v>0</v>
      </c>
      <c r="O220">
        <v>0.4</v>
      </c>
      <c r="P220">
        <v>0.6</v>
      </c>
      <c r="Q220">
        <v>0</v>
      </c>
      <c r="R220" t="inlineStr">
        <is>
          <t xml:space="preserve"> </t>
        </is>
      </c>
      <c r="S220" s="103" t="inlineStr">
        <is>
          <t xml:space="preserve"> </t>
        </is>
      </c>
      <c r="T220" t="inlineStr">
        <is>
          <t>No se encontró ejecución en PIIP</t>
        </is>
      </c>
      <c r="U220" t="inlineStr">
        <is>
          <t xml:space="preserve"> </t>
        </is>
      </c>
      <c r="V220" s="104" t="inlineStr">
        <is>
          <t xml:space="preserve"> </t>
        </is>
      </c>
      <c r="W220" t="inlineStr">
        <is>
          <t>No se encontró ejecución en PIIP</t>
        </is>
      </c>
    </row>
    <row r="221">
      <c r="A221" t="inlineStr">
        <is>
          <t>IP-304, IP-308</t>
        </is>
      </c>
      <c r="B221" t="inlineStr">
        <is>
          <t>41</t>
        </is>
      </c>
      <c r="C221" t="inlineStr">
        <is>
          <t xml:space="preserve">Inclusión social y reconciliación </t>
        </is>
      </c>
      <c r="D221" t="inlineStr">
        <is>
          <t>4102</t>
        </is>
      </c>
      <c r="E221" t="inlineStr">
        <is>
          <t>Desarrollo integral de la primera infancia a la juventud, y fortalecimiento de las capacidades de las familias de niñas, niños y adolescentes</t>
        </is>
      </c>
      <c r="F221" t="inlineStr">
        <is>
          <t>4102038</t>
        </is>
      </c>
      <c r="G221" t="inlineStr">
        <is>
          <t>Servicio dirigidos a la atención de niños, niñas, adolescentes y jóvenes, con enfoque pedagógico y restaurativo encaminados a la inclusión social</t>
        </is>
      </c>
      <c r="H221" t="inlineStr">
        <is>
          <t>410203800</t>
        </is>
      </c>
      <c r="I221" t="inlineStr">
        <is>
          <t>Niños, niñas, adolescentes y jóvenes atendidios en los servicios de restablecimiento en la administración de justicia</t>
        </is>
      </c>
      <c r="J221" t="inlineStr">
        <is>
          <t>2024257990039</t>
        </is>
      </c>
      <c r="K221" t="inlineStr">
        <is>
          <t>No</t>
        </is>
      </c>
      <c r="L221" t="inlineStr">
        <is>
          <t>Número</t>
        </is>
      </c>
      <c r="M221">
        <v>2</v>
      </c>
      <c r="N221">
        <v>2</v>
      </c>
      <c r="O221">
        <v>2</v>
      </c>
      <c r="P221">
        <v>2</v>
      </c>
      <c r="Q221">
        <v>2</v>
      </c>
      <c r="R221">
        <v>3500</v>
      </c>
      <c r="S221" s="103">
        <v>1750</v>
      </c>
      <c r="T221" t="inlineStr">
        <is>
          <t>Hubo ejecución por encima de lo programado en SisPT</t>
        </is>
      </c>
      <c r="U221" t="inlineStr">
        <is>
          <t xml:space="preserve"> </t>
        </is>
      </c>
      <c r="V221" s="104" t="inlineStr">
        <is>
          <t xml:space="preserve"> </t>
        </is>
      </c>
      <c r="W221" t="inlineStr">
        <is>
          <t>No se encontró ejecución en PIIP</t>
        </is>
      </c>
    </row>
    <row r="222">
      <c r="A222" t="inlineStr">
        <is>
          <t>IP-305</t>
        </is>
      </c>
      <c r="B222" t="inlineStr">
        <is>
          <t>41</t>
        </is>
      </c>
      <c r="C222" t="inlineStr">
        <is>
          <t xml:space="preserve">Inclusión social y reconciliación </t>
        </is>
      </c>
      <c r="D222" t="inlineStr">
        <is>
          <t>4102</t>
        </is>
      </c>
      <c r="E222" t="inlineStr">
        <is>
          <t>Desarrollo integral de la primera infancia a la juventud, y fortalecimiento de las capacidades de las familias de niñas, niños y adolescentes</t>
        </is>
      </c>
      <c r="F222" t="inlineStr">
        <is>
          <t>4102052</t>
        </is>
      </c>
      <c r="G222" t="inlineStr">
        <is>
          <t>Servicio de protección integral a niños, niñas, adolescentes y jóvenes</t>
        </is>
      </c>
      <c r="H222" t="inlineStr">
        <is>
          <t>410205200</t>
        </is>
      </c>
      <c r="I222" t="inlineStr">
        <is>
          <t>Niños, niñas, adolescentes y jóvenes beneficiados</t>
        </is>
      </c>
      <c r="J222" t="inlineStr">
        <is>
          <t>2024257990039</t>
        </is>
      </c>
      <c r="K222" t="inlineStr">
        <is>
          <t>Si</t>
        </is>
      </c>
      <c r="L222" t="inlineStr">
        <is>
          <t>Número</t>
        </is>
      </c>
      <c r="M222">
        <v>90</v>
      </c>
      <c r="N222">
        <v>90</v>
      </c>
      <c r="O222">
        <v>90</v>
      </c>
      <c r="P222">
        <v>90</v>
      </c>
      <c r="Q222">
        <v>90</v>
      </c>
      <c r="R222" t="inlineStr">
        <is>
          <t xml:space="preserve"> </t>
        </is>
      </c>
      <c r="S222" s="103" t="inlineStr">
        <is>
          <t xml:space="preserve"> </t>
        </is>
      </c>
      <c r="T222" t="inlineStr">
        <is>
          <t>No se encontró ejecución en PIIP</t>
        </is>
      </c>
      <c r="U222" t="inlineStr">
        <is>
          <t xml:space="preserve"> </t>
        </is>
      </c>
      <c r="V222" s="104" t="inlineStr">
        <is>
          <t xml:space="preserve"> </t>
        </is>
      </c>
      <c r="W222" t="inlineStr">
        <is>
          <t>No se encontró ejecución en PIIP</t>
        </is>
      </c>
    </row>
    <row r="223">
      <c r="A223" t="inlineStr">
        <is>
          <t>IP-306</t>
        </is>
      </c>
      <c r="B223" t="inlineStr">
        <is>
          <t>41</t>
        </is>
      </c>
      <c r="C223" t="inlineStr">
        <is>
          <t xml:space="preserve">Inclusión social y reconciliación </t>
        </is>
      </c>
      <c r="D223" t="inlineStr">
        <is>
          <t>4102</t>
        </is>
      </c>
      <c r="E223" t="inlineStr">
        <is>
          <t>Desarrollo integral de la primera infancia a la juventud, y fortalecimiento de las capacidades de las familias de niñas, niños y adolescentes</t>
        </is>
      </c>
      <c r="F223" t="inlineStr">
        <is>
          <t>4102045</t>
        </is>
      </c>
      <c r="G223" t="inlineStr">
        <is>
          <t>Servicios de educación informal a niños, niñas, adolescentes  y jóvenes para el reconocimiento de sus derechos</t>
        </is>
      </c>
      <c r="H223" t="inlineStr">
        <is>
          <t>410204500</t>
        </is>
      </c>
      <c r="I223" t="inlineStr">
        <is>
          <t>Personas capacitadas</t>
        </is>
      </c>
      <c r="J223" t="inlineStr">
        <is>
          <t>2024257990039</t>
        </is>
      </c>
      <c r="K223" t="inlineStr">
        <is>
          <t>Si</t>
        </is>
      </c>
      <c r="L223" t="inlineStr">
        <is>
          <t>Número</t>
        </is>
      </c>
      <c r="M223">
        <v>1</v>
      </c>
      <c r="N223">
        <v>0</v>
      </c>
      <c r="O223">
        <v>0</v>
      </c>
      <c r="P223">
        <v>1</v>
      </c>
      <c r="Q223">
        <v>0</v>
      </c>
      <c r="R223" t="inlineStr">
        <is>
          <t xml:space="preserve"> </t>
        </is>
      </c>
      <c r="S223" s="103" t="inlineStr">
        <is>
          <t xml:space="preserve"> </t>
        </is>
      </c>
      <c r="T223" t="inlineStr">
        <is>
          <t>No se encontró ejecución en PIIP</t>
        </is>
      </c>
      <c r="U223" t="inlineStr">
        <is>
          <t xml:space="preserve"> </t>
        </is>
      </c>
      <c r="V223" s="104" t="inlineStr">
        <is>
          <t xml:space="preserve"> </t>
        </is>
      </c>
      <c r="W223" t="inlineStr">
        <is>
          <t>No se encontró ejecución en PIIP</t>
        </is>
      </c>
    </row>
    <row r="224">
      <c r="A224" t="inlineStr">
        <is>
          <t>IP-307</t>
        </is>
      </c>
      <c r="B224" t="inlineStr">
        <is>
          <t>41</t>
        </is>
      </c>
      <c r="C224" t="inlineStr">
        <is>
          <t xml:space="preserve">Inclusión social y reconciliación </t>
        </is>
      </c>
      <c r="D224" t="inlineStr">
        <is>
          <t>4102</t>
        </is>
      </c>
      <c r="E224" t="inlineStr">
        <is>
          <t>Desarrollo integral de la primera infancia a la juventud, y fortalecimiento de las capacidades de las familias de niñas, niños y adolescentes</t>
        </is>
      </c>
      <c r="F224" t="inlineStr">
        <is>
          <t>4102045</t>
        </is>
      </c>
      <c r="G224" t="inlineStr">
        <is>
          <t>Servicios de educación informal a niños, niñas, adolescentes  y jóvenes para el reconocimiento de sus derechos</t>
        </is>
      </c>
      <c r="H224" t="inlineStr">
        <is>
          <t>410204500</t>
        </is>
      </c>
      <c r="I224" t="inlineStr">
        <is>
          <t>Personas capacitadas</t>
        </is>
      </c>
      <c r="J224" t="inlineStr">
        <is>
          <t>2024257990039</t>
        </is>
      </c>
      <c r="K224" t="inlineStr">
        <is>
          <t>No</t>
        </is>
      </c>
      <c r="L224" t="inlineStr">
        <is>
          <t>Número</t>
        </is>
      </c>
      <c r="M224">
        <v>1</v>
      </c>
      <c r="N224">
        <v>1</v>
      </c>
      <c r="O224">
        <v>1</v>
      </c>
      <c r="P224">
        <v>1</v>
      </c>
      <c r="Q224">
        <v>1</v>
      </c>
      <c r="R224">
        <v>300</v>
      </c>
      <c r="S224" s="103">
        <v>300</v>
      </c>
      <c r="T224" t="inlineStr">
        <is>
          <t>Hubo ejecución por encima de lo programado en SisPT</t>
        </is>
      </c>
      <c r="U224" t="inlineStr">
        <is>
          <t xml:space="preserve"> </t>
        </is>
      </c>
      <c r="V224" s="104" t="inlineStr">
        <is>
          <t xml:space="preserve"> </t>
        </is>
      </c>
      <c r="W224" t="inlineStr">
        <is>
          <t>No se encontró ejecución en PIIP</t>
        </is>
      </c>
    </row>
    <row r="225">
      <c r="A225" t="inlineStr">
        <is>
          <t>IP-309</t>
        </is>
      </c>
      <c r="B225" t="inlineStr">
        <is>
          <t>41</t>
        </is>
      </c>
      <c r="C225" t="inlineStr">
        <is>
          <t xml:space="preserve">Inclusión social y reconciliación </t>
        </is>
      </c>
      <c r="D225" t="inlineStr">
        <is>
          <t>4102</t>
        </is>
      </c>
      <c r="E225" t="inlineStr">
        <is>
          <t>Desarrollo integral de la primera infancia a la juventud, y fortalecimiento de las capacidades de las familias de niñas, niños y adolescentes</t>
        </is>
      </c>
      <c r="F225" t="inlineStr">
        <is>
          <t>4102052</t>
        </is>
      </c>
      <c r="G225" t="inlineStr">
        <is>
          <t>Servicio de protección integral a niños, niñas, adolescentes y jóvenes</t>
        </is>
      </c>
      <c r="H225" t="inlineStr">
        <is>
          <t>410205200</t>
        </is>
      </c>
      <c r="I225" t="inlineStr">
        <is>
          <t>Niños, niñas, adolescentes y jóvenes beneficiados</t>
        </is>
      </c>
      <c r="J225" t="inlineStr">
        <is>
          <t>2024257990039</t>
        </is>
      </c>
      <c r="K225" t="inlineStr">
        <is>
          <t>No</t>
        </is>
      </c>
      <c r="L225" t="inlineStr">
        <is>
          <t>Número</t>
        </is>
      </c>
      <c r="M225">
        <v>1</v>
      </c>
      <c r="N225">
        <v>1</v>
      </c>
      <c r="O225">
        <v>1</v>
      </c>
      <c r="P225">
        <v>1</v>
      </c>
      <c r="Q225">
        <v>1</v>
      </c>
      <c r="R225">
        <v>1000</v>
      </c>
      <c r="S225" s="103">
        <v>1000</v>
      </c>
      <c r="T225" t="inlineStr">
        <is>
          <t>Hubo ejecución por encima de lo programado en SisPT</t>
        </is>
      </c>
      <c r="U225" t="inlineStr">
        <is>
          <t xml:space="preserve"> </t>
        </is>
      </c>
      <c r="V225" s="104" t="inlineStr">
        <is>
          <t xml:space="preserve"> </t>
        </is>
      </c>
      <c r="W225" t="inlineStr">
        <is>
          <t>No se encontró ejecución en PIIP</t>
        </is>
      </c>
    </row>
    <row r="226">
      <c r="A226" t="inlineStr">
        <is>
          <t>IP-310</t>
        </is>
      </c>
      <c r="B226" t="inlineStr">
        <is>
          <t>41</t>
        </is>
      </c>
      <c r="C226" t="inlineStr">
        <is>
          <t xml:space="preserve">Inclusión social y reconciliación </t>
        </is>
      </c>
      <c r="D226" t="inlineStr">
        <is>
          <t>4104</t>
        </is>
      </c>
      <c r="E226" t="inlineStr">
        <is>
          <t>Atención integral de población en situación permanente de desprotección social y/o familiar</t>
        </is>
      </c>
      <c r="F226" t="inlineStr">
        <is>
          <t>4104037</t>
        </is>
      </c>
      <c r="G226" t="inlineStr">
        <is>
          <t>Centros de atención integral para personas con discapacidad adecuados</t>
        </is>
      </c>
      <c r="H226" t="inlineStr">
        <is>
          <t>410403700</t>
        </is>
      </c>
      <c r="I226" t="inlineStr">
        <is>
          <t>Centros de atención integral para personas con discapacidad adecuados</t>
        </is>
      </c>
      <c r="J226" t="inlineStr">
        <is>
          <t>2024257990039</t>
        </is>
      </c>
      <c r="K226" t="inlineStr">
        <is>
          <t>No</t>
        </is>
      </c>
      <c r="L226" t="inlineStr">
        <is>
          <t>Número</t>
        </is>
      </c>
      <c r="M226">
        <v>2</v>
      </c>
      <c r="N226">
        <v>0</v>
      </c>
      <c r="O226">
        <v>2</v>
      </c>
      <c r="P226">
        <v>2</v>
      </c>
      <c r="Q226">
        <v>2</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IP-311, IP-316</t>
        </is>
      </c>
      <c r="B227" t="inlineStr">
        <is>
          <t>41</t>
        </is>
      </c>
      <c r="C227" t="inlineStr">
        <is>
          <t xml:space="preserve">Inclusión social y reconciliación </t>
        </is>
      </c>
      <c r="D227" t="inlineStr">
        <is>
          <t>4104</t>
        </is>
      </c>
      <c r="E227" t="inlineStr">
        <is>
          <t>Atención integral de población en situación permanente de desprotección social y/o familiar</t>
        </is>
      </c>
      <c r="F227" t="inlineStr">
        <is>
          <t>4104020</t>
        </is>
      </c>
      <c r="G227" t="inlineStr">
        <is>
          <t>Servicio de atención integral a población en condición de discapacidad</t>
        </is>
      </c>
      <c r="H227" t="inlineStr">
        <is>
          <t>410402000</t>
        </is>
      </c>
      <c r="I227" t="inlineStr">
        <is>
          <t>Personas con discapacidad atendidas con servicios integrales</t>
        </is>
      </c>
      <c r="J227" t="inlineStr">
        <is>
          <t>2024257990040</t>
        </is>
      </c>
      <c r="K227" t="inlineStr">
        <is>
          <t>Si</t>
        </is>
      </c>
      <c r="L227" t="inlineStr">
        <is>
          <t>Número</t>
        </is>
      </c>
      <c r="M227">
        <v>151</v>
      </c>
      <c r="N227">
        <v>150.1</v>
      </c>
      <c r="O227">
        <v>150.3</v>
      </c>
      <c r="P227">
        <v>150.4</v>
      </c>
      <c r="Q227">
        <v>150.2</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IP-312, IP-313, IP-314, IP-315</t>
        </is>
      </c>
      <c r="B228" t="inlineStr">
        <is>
          <t>41</t>
        </is>
      </c>
      <c r="C228" t="inlineStr">
        <is>
          <t xml:space="preserve">Inclusión social y reconciliación </t>
        </is>
      </c>
      <c r="D228" t="inlineStr">
        <is>
          <t>4104</t>
        </is>
      </c>
      <c r="E228" t="inlineStr">
        <is>
          <t>Atención integral de población en situación permanente de desprotección social y/o familiar</t>
        </is>
      </c>
      <c r="F228" t="inlineStr">
        <is>
          <t>4104020</t>
        </is>
      </c>
      <c r="G228" t="inlineStr">
        <is>
          <t>Servicio de atención integral a población en condición de discapacidad</t>
        </is>
      </c>
      <c r="H228" t="inlineStr">
        <is>
          <t>410402000</t>
        </is>
      </c>
      <c r="I228" t="inlineStr">
        <is>
          <t>Personas con discapacidad atendidas con servicios integrales</t>
        </is>
      </c>
      <c r="J228" t="inlineStr">
        <is>
          <t>2024257990040</t>
        </is>
      </c>
      <c r="K228" t="inlineStr">
        <is>
          <t>No</t>
        </is>
      </c>
      <c r="L228" t="inlineStr">
        <is>
          <t>Número</t>
        </is>
      </c>
      <c r="M228">
        <v>345</v>
      </c>
      <c r="N228">
        <v>207</v>
      </c>
      <c r="O228">
        <v>313</v>
      </c>
      <c r="P228">
        <v>313</v>
      </c>
      <c r="Q228">
        <v>312</v>
      </c>
      <c r="R228">
        <v>0</v>
      </c>
      <c r="S228" s="103">
        <v>0</v>
      </c>
      <c r="T228" t="inlineStr">
        <is>
          <t>No se ejecutó en la vigencia</t>
        </is>
      </c>
      <c r="U228" t="inlineStr">
        <is>
          <t xml:space="preserve"> </t>
        </is>
      </c>
      <c r="V228" s="104" t="inlineStr">
        <is>
          <t xml:space="preserve"> </t>
        </is>
      </c>
      <c r="W228" t="inlineStr">
        <is>
          <t>No se encontró ejecución en PIIP</t>
        </is>
      </c>
    </row>
    <row r="229">
      <c r="A229" t="inlineStr">
        <is>
          <t>IP-317</t>
        </is>
      </c>
      <c r="B229" t="inlineStr">
        <is>
          <t>41</t>
        </is>
      </c>
      <c r="C229" t="inlineStr">
        <is>
          <t xml:space="preserve">Inclusión social y reconciliación </t>
        </is>
      </c>
      <c r="D229" t="inlineStr">
        <is>
          <t>4102</t>
        </is>
      </c>
      <c r="E229" t="inlineStr">
        <is>
          <t>Desarrollo integral de la primera infancia a la juventud, y fortalecimiento de las capacidades de las familias de niñas, niños y adolescentes</t>
        </is>
      </c>
      <c r="F229" t="inlineStr">
        <is>
          <t>4102042</t>
        </is>
      </c>
      <c r="G229" t="inlineStr">
        <is>
          <t>Servicio de asistencia técnica a comunidades en temas de fortalecimiento del tejido social y construcción de escenarios comunitarios protectores de derechos</t>
        </is>
      </c>
      <c r="H229" t="inlineStr">
        <is>
          <t>410204200</t>
        </is>
      </c>
      <c r="I229" t="inlineStr">
        <is>
          <t>Acciones ejecutadas con las comunidades</t>
        </is>
      </c>
      <c r="J229" t="inlineStr">
        <is>
          <t>2024257990040</t>
        </is>
      </c>
      <c r="K229" t="inlineStr">
        <is>
          <t>No</t>
        </is>
      </c>
      <c r="L229" t="inlineStr">
        <is>
          <t>Número</t>
        </is>
      </c>
      <c r="M229">
        <v>4</v>
      </c>
      <c r="N229">
        <v>0</v>
      </c>
      <c r="O229">
        <v>1</v>
      </c>
      <c r="P229">
        <v>1</v>
      </c>
      <c r="Q229">
        <v>1</v>
      </c>
      <c r="R229" t="inlineStr">
        <is>
          <t xml:space="preserve"> </t>
        </is>
      </c>
      <c r="S229" s="103" t="inlineStr">
        <is>
          <t xml:space="preserve"> </t>
        </is>
      </c>
      <c r="T229" t="inlineStr">
        <is>
          <t>No se encontró ejecución en PIIP</t>
        </is>
      </c>
      <c r="U229" t="inlineStr">
        <is>
          <t xml:space="preserve"> </t>
        </is>
      </c>
      <c r="V229" s="104" t="inlineStr">
        <is>
          <t xml:space="preserve"> </t>
        </is>
      </c>
      <c r="W229" t="inlineStr">
        <is>
          <t>No se encontró ejecución en PIIP</t>
        </is>
      </c>
    </row>
    <row r="230">
      <c r="A230" t="inlineStr">
        <is>
          <t>IP-318</t>
        </is>
      </c>
      <c r="B230" t="inlineStr">
        <is>
          <t>41</t>
        </is>
      </c>
      <c r="C230" t="inlineStr">
        <is>
          <t xml:space="preserve">Inclusión social y reconciliación </t>
        </is>
      </c>
      <c r="D230" t="inlineStr">
        <is>
          <t>4102</t>
        </is>
      </c>
      <c r="E230" t="inlineStr">
        <is>
          <t>Desarrollo integral de la primera infancia a la juventud, y fortalecimiento de las capacidades de las familias de niñas, niños y adolescentes</t>
        </is>
      </c>
      <c r="F230" t="inlineStr">
        <is>
          <t>4102041</t>
        </is>
      </c>
      <c r="G230" t="inlineStr">
        <is>
          <t>Servicio de asistencia técnica en el ciclo de políticas públicas de familia y otras relacionadas</t>
        </is>
      </c>
      <c r="H230" t="inlineStr">
        <is>
          <t>410204100</t>
        </is>
      </c>
      <c r="I230" t="inlineStr">
        <is>
          <t>Instituciones y entidades asistidas técnicamente</t>
        </is>
      </c>
      <c r="J230" t="inlineStr">
        <is>
          <t>2024257990041</t>
        </is>
      </c>
      <c r="K230" t="inlineStr">
        <is>
          <t>No</t>
        </is>
      </c>
      <c r="L230" t="inlineStr">
        <is>
          <t>Número</t>
        </is>
      </c>
      <c r="M230">
        <v>100</v>
      </c>
      <c r="N230">
        <v>100</v>
      </c>
      <c r="O230">
        <v>100</v>
      </c>
      <c r="P230">
        <v>100</v>
      </c>
      <c r="Q230">
        <v>100</v>
      </c>
      <c r="R230">
        <v>0</v>
      </c>
      <c r="S230" s="103">
        <v>0</v>
      </c>
      <c r="T230" t="inlineStr">
        <is>
          <t>No se ejecutó en la vigencia</t>
        </is>
      </c>
      <c r="U230" t="inlineStr">
        <is>
          <t xml:space="preserve"> </t>
        </is>
      </c>
      <c r="V230" s="104" t="inlineStr">
        <is>
          <t xml:space="preserve"> </t>
        </is>
      </c>
      <c r="W230" t="inlineStr">
        <is>
          <t>No se encontró ejecución en PIIP</t>
        </is>
      </c>
    </row>
    <row r="231">
      <c r="A231" t="inlineStr">
        <is>
          <t>IP-319</t>
        </is>
      </c>
      <c r="B231" t="inlineStr">
        <is>
          <t>41</t>
        </is>
      </c>
      <c r="C231" t="inlineStr">
        <is>
          <t xml:space="preserve">Inclusión social y reconciliación </t>
        </is>
      </c>
      <c r="D231" t="inlineStr">
        <is>
          <t>4102</t>
        </is>
      </c>
      <c r="E231" t="inlineStr">
        <is>
          <t>Desarrollo integral de la primera infancia a la juventud, y fortalecimiento de las capacidades de las familias de niñas, niños y adolescentes</t>
        </is>
      </c>
      <c r="F231" t="inlineStr">
        <is>
          <t>4102042</t>
        </is>
      </c>
      <c r="G231" t="inlineStr">
        <is>
          <t>Servicio de asistencia técnica a comunidades en temas de fortalecimiento del tejido social y construcción de escenarios comunitarios protectores de derechos</t>
        </is>
      </c>
      <c r="H231" t="inlineStr">
        <is>
          <t>410204200</t>
        </is>
      </c>
      <c r="I231" t="inlineStr">
        <is>
          <t>Acciones ejecutadas con las comunidades</t>
        </is>
      </c>
      <c r="J231" t="inlineStr">
        <is>
          <t>2024257990041</t>
        </is>
      </c>
      <c r="K231" t="inlineStr">
        <is>
          <t>No</t>
        </is>
      </c>
      <c r="L231" t="inlineStr">
        <is>
          <t>Número</t>
        </is>
      </c>
      <c r="M231">
        <v>45</v>
      </c>
      <c r="N231">
        <v>7</v>
      </c>
      <c r="O231">
        <v>13</v>
      </c>
      <c r="P231">
        <v>13</v>
      </c>
      <c r="Q231">
        <v>12</v>
      </c>
      <c r="R231">
        <v>0</v>
      </c>
      <c r="S231" s="103">
        <v>0</v>
      </c>
      <c r="T231" t="inlineStr">
        <is>
          <t>No se ejecutó en la vigencia</t>
        </is>
      </c>
      <c r="U231" t="inlineStr">
        <is>
          <t xml:space="preserve"> </t>
        </is>
      </c>
      <c r="V231" s="104" t="inlineStr">
        <is>
          <t xml:space="preserve"> </t>
        </is>
      </c>
      <c r="W231" t="inlineStr">
        <is>
          <t>No se encontró ejecución en PIIP</t>
        </is>
      </c>
    </row>
    <row r="232">
      <c r="A232" t="inlineStr">
        <is>
          <t>IP-320</t>
        </is>
      </c>
      <c r="B232" t="inlineStr">
        <is>
          <t>45</t>
        </is>
      </c>
      <c r="C232" t="inlineStr">
        <is>
          <t>Gobierno Territorial</t>
        </is>
      </c>
      <c r="D232" t="inlineStr">
        <is>
          <t>4599</t>
        </is>
      </c>
      <c r="E232" t="inlineStr">
        <is>
          <t>Fortalecimiento a la gestión y dirección de la administración pública territorial</t>
        </is>
      </c>
      <c r="F232" t="inlineStr">
        <is>
          <t>4599037</t>
        </is>
      </c>
      <c r="G232" t="inlineStr">
        <is>
          <t>Servicio de actualización del Sistema de Gestión</t>
        </is>
      </c>
      <c r="H232" t="inlineStr">
        <is>
          <t>459903700</t>
        </is>
      </c>
      <c r="I232" t="inlineStr">
        <is>
          <t>Sistema de gestión actualizado</t>
        </is>
      </c>
      <c r="J232" t="inlineStr">
        <is>
          <t>2024257990041</t>
        </is>
      </c>
      <c r="K232" t="inlineStr">
        <is>
          <t>No</t>
        </is>
      </c>
      <c r="L232" t="inlineStr">
        <is>
          <t>Número</t>
        </is>
      </c>
      <c r="M232">
        <v>4</v>
      </c>
      <c r="N232">
        <v>1</v>
      </c>
      <c r="O232">
        <v>1</v>
      </c>
      <c r="P232">
        <v>1</v>
      </c>
      <c r="Q232">
        <v>1</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IP-321</t>
        </is>
      </c>
      <c r="B233" t="inlineStr">
        <is>
          <t>45</t>
        </is>
      </c>
      <c r="C233" t="inlineStr">
        <is>
          <t>Gobierno Territorial</t>
        </is>
      </c>
      <c r="D233" t="inlineStr">
        <is>
          <t>4599</t>
        </is>
      </c>
      <c r="E233" t="inlineStr">
        <is>
          <t>Fortalecimiento a la gestión y dirección de la administración pública territorial</t>
        </is>
      </c>
      <c r="F233" t="inlineStr">
        <is>
          <t>4599002</t>
        </is>
      </c>
      <c r="G233" t="inlineStr">
        <is>
          <t>Servicio de saneamiento fiscal y financiero</t>
        </is>
      </c>
      <c r="H233" t="inlineStr">
        <is>
          <t>459900200</t>
        </is>
      </c>
      <c r="I233" t="inlineStr">
        <is>
          <t>Programa de sanemiento fiscal y financiero ejecutado</t>
        </is>
      </c>
      <c r="J233" t="inlineStr">
        <is>
          <t>2024257990042</t>
        </is>
      </c>
      <c r="K233" t="inlineStr">
        <is>
          <t>No</t>
        </is>
      </c>
      <c r="L233" t="inlineStr">
        <is>
          <t>Porcentaje</t>
        </is>
      </c>
      <c r="M233">
        <v>1</v>
      </c>
      <c r="N233">
        <v>1</v>
      </c>
      <c r="O233">
        <v>1</v>
      </c>
      <c r="P233">
        <v>1</v>
      </c>
      <c r="Q233">
        <v>1</v>
      </c>
      <c r="R233">
        <v>0.1</v>
      </c>
      <c r="S233" s="103">
        <v>0.1</v>
      </c>
      <c r="T233" t="inlineStr">
        <is>
          <t>Lo ejecutado está por debajo de lo programado en la vigencia</t>
        </is>
      </c>
      <c r="U233" t="inlineStr">
        <is>
          <t xml:space="preserve"> </t>
        </is>
      </c>
      <c r="V233" s="104" t="inlineStr">
        <is>
          <t xml:space="preserve"> </t>
        </is>
      </c>
      <c r="W233" t="inlineStr">
        <is>
          <t>No se encontró ejecución en PIIP</t>
        </is>
      </c>
    </row>
    <row r="234">
      <c r="A234" t="inlineStr">
        <is>
          <t>IP-322, IP-331, IP-335</t>
        </is>
      </c>
      <c r="B234" t="inlineStr">
        <is>
          <t>45</t>
        </is>
      </c>
      <c r="C234" t="inlineStr">
        <is>
          <t>Gobierno Territorial</t>
        </is>
      </c>
      <c r="D234" t="inlineStr">
        <is>
          <t>4599</t>
        </is>
      </c>
      <c r="E234" t="inlineStr">
        <is>
          <t>Fortalecimiento a la gestión y dirección de la administración pública territorial</t>
        </is>
      </c>
      <c r="F234" t="inlineStr">
        <is>
          <t>4599023</t>
        </is>
      </c>
      <c r="G234" t="inlineStr">
        <is>
          <t>Servicio de Implementación Sistemas de Gestión</t>
        </is>
      </c>
      <c r="H234" t="inlineStr">
        <is>
          <t>459902300</t>
        </is>
      </c>
      <c r="I234" t="inlineStr">
        <is>
          <t>Sistema de Gestión implementado</t>
        </is>
      </c>
      <c r="J234" t="inlineStr">
        <is>
          <t>2024257990042</t>
        </is>
      </c>
      <c r="K234" t="inlineStr">
        <is>
          <t>Si</t>
        </is>
      </c>
      <c r="L234" t="inlineStr">
        <is>
          <t>Número</t>
        </is>
      </c>
      <c r="M234">
        <v>6</v>
      </c>
      <c r="N234">
        <v>1</v>
      </c>
      <c r="O234">
        <v>2.3</v>
      </c>
      <c r="P234">
        <v>1.7</v>
      </c>
      <c r="Q234">
        <v>1</v>
      </c>
      <c r="R234" t="inlineStr">
        <is>
          <t xml:space="preserve"> </t>
        </is>
      </c>
      <c r="S234" s="103" t="inlineStr">
        <is>
          <t xml:space="preserve"> </t>
        </is>
      </c>
      <c r="T234" t="inlineStr">
        <is>
          <t>No se encontró ejecución en PIIP</t>
        </is>
      </c>
      <c r="U234" t="inlineStr">
        <is>
          <t xml:space="preserve"> </t>
        </is>
      </c>
      <c r="V234" s="104" t="inlineStr">
        <is>
          <t xml:space="preserve"> </t>
        </is>
      </c>
      <c r="W234" t="inlineStr">
        <is>
          <t>No se encontró ejecución en PIIP</t>
        </is>
      </c>
    </row>
    <row r="235">
      <c r="A235" t="inlineStr">
        <is>
          <t>IP-323</t>
        </is>
      </c>
      <c r="B235" t="inlineStr">
        <is>
          <t>45</t>
        </is>
      </c>
      <c r="C235" t="inlineStr">
        <is>
          <t>Gobierno Territorial</t>
        </is>
      </c>
      <c r="D235" t="inlineStr">
        <is>
          <t>4599</t>
        </is>
      </c>
      <c r="E235" t="inlineStr">
        <is>
          <t>Fortalecimiento a la gestión y dirección de la administración pública territorial</t>
        </is>
      </c>
      <c r="F235" t="inlineStr">
        <is>
          <t>4599030</t>
        </is>
      </c>
      <c r="G235" t="inlineStr">
        <is>
          <t xml:space="preserve">Servicio de educación informal </t>
        </is>
      </c>
      <c r="H235" t="inlineStr">
        <is>
          <t>459903000</t>
        </is>
      </c>
      <c r="I235" t="inlineStr">
        <is>
          <t>Personas capacitadas</t>
        </is>
      </c>
      <c r="J235" t="inlineStr">
        <is>
          <t>2024257990042</t>
        </is>
      </c>
      <c r="K235" t="inlineStr">
        <is>
          <t>No</t>
        </is>
      </c>
      <c r="L235" t="inlineStr">
        <is>
          <t>Número</t>
        </is>
      </c>
      <c r="M235">
        <v>2</v>
      </c>
      <c r="N235">
        <v>2</v>
      </c>
      <c r="O235">
        <v>2</v>
      </c>
      <c r="P235">
        <v>2</v>
      </c>
      <c r="Q235">
        <v>2</v>
      </c>
      <c r="R235" t="inlineStr">
        <is>
          <t xml:space="preserve"> </t>
        </is>
      </c>
      <c r="S235" s="103" t="inlineStr">
        <is>
          <t xml:space="preserve"> </t>
        </is>
      </c>
      <c r="T235" t="inlineStr">
        <is>
          <t>No se encontró ejecución en PIIP</t>
        </is>
      </c>
      <c r="U235" t="inlineStr">
        <is>
          <t xml:space="preserve"> </t>
        </is>
      </c>
      <c r="V235" s="104" t="inlineStr">
        <is>
          <t xml:space="preserve"> </t>
        </is>
      </c>
      <c r="W235" t="inlineStr">
        <is>
          <t>No se encontró ejecución en PIIP</t>
        </is>
      </c>
    </row>
    <row r="236">
      <c r="A236" t="inlineStr">
        <is>
          <t>IP-324</t>
        </is>
      </c>
      <c r="B236" t="inlineStr">
        <is>
          <t>45</t>
        </is>
      </c>
      <c r="C236" t="inlineStr">
        <is>
          <t>Gobierno Territorial</t>
        </is>
      </c>
      <c r="D236" t="inlineStr">
        <is>
          <t>4599</t>
        </is>
      </c>
      <c r="E236" t="inlineStr">
        <is>
          <t>Fortalecimiento a la gestión y dirección de la administración pública territorial</t>
        </is>
      </c>
      <c r="F236" t="inlineStr">
        <is>
          <t>4599034</t>
        </is>
      </c>
      <c r="G236" t="inlineStr">
        <is>
          <t>Sedes dotadas</t>
        </is>
      </c>
      <c r="H236" t="inlineStr">
        <is>
          <t>459903400</t>
        </is>
      </c>
      <c r="I236" t="inlineStr">
        <is>
          <t>Sedes dotadas</t>
        </is>
      </c>
      <c r="J236" t="inlineStr">
        <is>
          <t>2024257990042</t>
        </is>
      </c>
      <c r="K236" t="inlineStr">
        <is>
          <t>No</t>
        </is>
      </c>
      <c r="L236" t="inlineStr">
        <is>
          <t>Número</t>
        </is>
      </c>
      <c r="M236">
        <v>4</v>
      </c>
      <c r="N236">
        <v>1</v>
      </c>
      <c r="O236">
        <v>1</v>
      </c>
      <c r="P236">
        <v>1</v>
      </c>
      <c r="Q236">
        <v>1</v>
      </c>
      <c r="R236">
        <v>0.1</v>
      </c>
      <c r="S236" s="103">
        <v>0.1</v>
      </c>
      <c r="T236" t="inlineStr">
        <is>
          <t>Lo ejecutado está por debajo de lo programado en la vigencia</t>
        </is>
      </c>
      <c r="U236" t="inlineStr">
        <is>
          <t xml:space="preserve"> </t>
        </is>
      </c>
      <c r="V236" s="104" t="inlineStr">
        <is>
          <t xml:space="preserve"> </t>
        </is>
      </c>
      <c r="W236" t="inlineStr">
        <is>
          <t>No se encontró ejecución en PIIP</t>
        </is>
      </c>
    </row>
    <row r="237">
      <c r="A237" t="inlineStr">
        <is>
          <t>IP-325</t>
        </is>
      </c>
      <c r="B237" t="inlineStr">
        <is>
          <t>45</t>
        </is>
      </c>
      <c r="C237" t="inlineStr">
        <is>
          <t>Gobierno Territorial</t>
        </is>
      </c>
      <c r="D237" t="inlineStr">
        <is>
          <t>4599</t>
        </is>
      </c>
      <c r="E237" t="inlineStr">
        <is>
          <t>Fortalecimiento a la gestión y dirección de la administración pública territorial</t>
        </is>
      </c>
      <c r="F237" t="inlineStr">
        <is>
          <t>4599003</t>
        </is>
      </c>
      <c r="G237" t="inlineStr">
        <is>
          <t>Servicio de reeestructuracion de pasivos</t>
        </is>
      </c>
      <c r="H237" t="inlineStr">
        <is>
          <t>459900300</t>
        </is>
      </c>
      <c r="I237" t="inlineStr">
        <is>
          <t>Acuerdo de reestructuración de pasivos ejecutado</t>
        </is>
      </c>
      <c r="J237" t="inlineStr">
        <is>
          <t>2024257990042</t>
        </is>
      </c>
      <c r="K237" t="inlineStr">
        <is>
          <t>Si</t>
        </is>
      </c>
      <c r="L237" t="inlineStr">
        <is>
          <t>Porcentaje</t>
        </is>
      </c>
      <c r="M237">
        <v>2</v>
      </c>
      <c r="N237">
        <v>1</v>
      </c>
      <c r="O237">
        <v>0</v>
      </c>
      <c r="P237">
        <v>1</v>
      </c>
      <c r="Q237">
        <v>0</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IP-326</t>
        </is>
      </c>
      <c r="B238" t="inlineStr">
        <is>
          <t>45</t>
        </is>
      </c>
      <c r="C238" t="inlineStr">
        <is>
          <t>Gobierno Territorial</t>
        </is>
      </c>
      <c r="D238" t="inlineStr">
        <is>
          <t>4599</t>
        </is>
      </c>
      <c r="E238" t="inlineStr">
        <is>
          <t>Fortalecimiento a la gestión y dirección de la administración pública territorial</t>
        </is>
      </c>
      <c r="F238" t="inlineStr">
        <is>
          <t>4599026</t>
        </is>
      </c>
      <c r="G238" t="inlineStr">
        <is>
          <t>Documentos de investigación</t>
        </is>
      </c>
      <c r="H238" t="inlineStr">
        <is>
          <t>459902600</t>
        </is>
      </c>
      <c r="I238" t="inlineStr">
        <is>
          <t>Documentos de investigación elaborados</t>
        </is>
      </c>
      <c r="J238" t="inlineStr">
        <is>
          <t>2024257990042</t>
        </is>
      </c>
      <c r="K238" t="inlineStr">
        <is>
          <t>No</t>
        </is>
      </c>
      <c r="L238" t="inlineStr">
        <is>
          <t>Número</t>
        </is>
      </c>
      <c r="M238">
        <v>1</v>
      </c>
      <c r="N238">
        <v>1</v>
      </c>
      <c r="O238">
        <v>1</v>
      </c>
      <c r="P238">
        <v>1</v>
      </c>
      <c r="Q238">
        <v>1</v>
      </c>
      <c r="R238" t="inlineStr">
        <is>
          <t xml:space="preserve"> </t>
        </is>
      </c>
      <c r="S238" s="103" t="inlineStr">
        <is>
          <t xml:space="preserve"> </t>
        </is>
      </c>
      <c r="T238" t="inlineStr">
        <is>
          <t>No se encontró ejecución en PIIP</t>
        </is>
      </c>
      <c r="U238" t="inlineStr">
        <is>
          <t xml:space="preserve"> </t>
        </is>
      </c>
      <c r="V238" s="104" t="inlineStr">
        <is>
          <t xml:space="preserve"> </t>
        </is>
      </c>
      <c r="W238" t="inlineStr">
        <is>
          <t>No se encontró ejecución en PIIP</t>
        </is>
      </c>
    </row>
    <row r="239">
      <c r="A239" t="inlineStr">
        <is>
          <t>IP-327, IP-336</t>
        </is>
      </c>
      <c r="B239" t="inlineStr">
        <is>
          <t>45</t>
        </is>
      </c>
      <c r="C239" t="inlineStr">
        <is>
          <t>Gobierno Territorial</t>
        </is>
      </c>
      <c r="D239" t="inlineStr">
        <is>
          <t>4599</t>
        </is>
      </c>
      <c r="E239" t="inlineStr">
        <is>
          <t>Fortalecimiento a la gestión y dirección de la administración pública territorial</t>
        </is>
      </c>
      <c r="F239" t="inlineStr">
        <is>
          <t>4599031</t>
        </is>
      </c>
      <c r="G239" t="inlineStr">
        <is>
          <t>Servicio de asistencia técnica</t>
        </is>
      </c>
      <c r="H239" t="inlineStr">
        <is>
          <t>459903100</t>
        </is>
      </c>
      <c r="I239" t="inlineStr">
        <is>
          <t>Entidades, organismos y dependencias asistidos técnicamente</t>
        </is>
      </c>
      <c r="J239" t="inlineStr">
        <is>
          <t>2024257990042</t>
        </is>
      </c>
      <c r="K239" t="inlineStr">
        <is>
          <t>No</t>
        </is>
      </c>
      <c r="L239" t="inlineStr">
        <is>
          <t>Número</t>
        </is>
      </c>
      <c r="M239">
        <v>101</v>
      </c>
      <c r="N239">
        <v>101</v>
      </c>
      <c r="O239">
        <v>101</v>
      </c>
      <c r="P239">
        <v>101</v>
      </c>
      <c r="Q239">
        <v>101</v>
      </c>
      <c r="R239">
        <v>0.1</v>
      </c>
      <c r="S239" s="103">
        <v>0.00099009900990099</v>
      </c>
      <c r="T239" t="inlineStr">
        <is>
          <t>Lo ejecutado está por debajo de lo programado en la vigencia</t>
        </is>
      </c>
      <c r="U239" t="inlineStr">
        <is>
          <t xml:space="preserve"> </t>
        </is>
      </c>
      <c r="V239" s="104" t="inlineStr">
        <is>
          <t xml:space="preserve"> </t>
        </is>
      </c>
      <c r="W239" t="inlineStr">
        <is>
          <t>No se encontró ejecución en PIIP</t>
        </is>
      </c>
    </row>
    <row r="240">
      <c r="A240" t="inlineStr">
        <is>
          <t>IP-328</t>
        </is>
      </c>
      <c r="B240" t="inlineStr">
        <is>
          <t>45</t>
        </is>
      </c>
      <c r="C240" t="inlineStr">
        <is>
          <t>Gobierno Territorial</t>
        </is>
      </c>
      <c r="D240" t="inlineStr">
        <is>
          <t>4599</t>
        </is>
      </c>
      <c r="E240" t="inlineStr">
        <is>
          <t>Fortalecimiento a la gestión y dirección de la administración pública territorial</t>
        </is>
      </c>
      <c r="F240" t="inlineStr">
        <is>
          <t>4599007</t>
        </is>
      </c>
      <c r="G240" t="inlineStr">
        <is>
          <t>Servicios tecnológicos</t>
        </is>
      </c>
      <c r="H240" t="inlineStr">
        <is>
          <t>459900700</t>
        </is>
      </c>
      <c r="I240" t="inlineStr">
        <is>
          <t>Índice de capacidad en la prestación de servicios de tecnología</t>
        </is>
      </c>
      <c r="J240" t="inlineStr">
        <is>
          <t>2024257990042</t>
        </is>
      </c>
      <c r="K240" t="inlineStr">
        <is>
          <t>No</t>
        </is>
      </c>
      <c r="L240" t="inlineStr">
        <is>
          <t>Porcentaje</t>
        </is>
      </c>
      <c r="M240">
        <v>100</v>
      </c>
      <c r="N240">
        <v>100</v>
      </c>
      <c r="O240">
        <v>100</v>
      </c>
      <c r="P240">
        <v>100</v>
      </c>
      <c r="Q240">
        <v>100</v>
      </c>
      <c r="R240">
        <v>0.1</v>
      </c>
      <c r="S240" s="103">
        <v>0.001</v>
      </c>
      <c r="T240" t="inlineStr">
        <is>
          <t>Lo ejecutado está por debajo de lo programado en la vigencia</t>
        </is>
      </c>
      <c r="U240" t="inlineStr">
        <is>
          <t xml:space="preserve"> </t>
        </is>
      </c>
      <c r="V240" s="104" t="inlineStr">
        <is>
          <t xml:space="preserve"> </t>
        </is>
      </c>
      <c r="W240" t="inlineStr">
        <is>
          <t>No se encontró ejecución en PIIP</t>
        </is>
      </c>
    </row>
    <row r="241">
      <c r="A241" t="inlineStr">
        <is>
          <t>IP-329</t>
        </is>
      </c>
      <c r="B241" t="inlineStr">
        <is>
          <t>45</t>
        </is>
      </c>
      <c r="C241" t="inlineStr">
        <is>
          <t>Gobierno Territorial</t>
        </is>
      </c>
      <c r="D241" t="inlineStr">
        <is>
          <t>4599</t>
        </is>
      </c>
      <c r="E241" t="inlineStr">
        <is>
          <t>Fortalecimiento a la gestión y dirección de la administración pública territorial</t>
        </is>
      </c>
      <c r="F241" t="inlineStr">
        <is>
          <t>4599037</t>
        </is>
      </c>
      <c r="G241" t="inlineStr">
        <is>
          <t>Servicio de actualización del Sistema de Gestión</t>
        </is>
      </c>
      <c r="H241" t="inlineStr">
        <is>
          <t>459903700</t>
        </is>
      </c>
      <c r="I241" t="inlineStr">
        <is>
          <t>Sistema de gestión actualizado</t>
        </is>
      </c>
      <c r="J241" t="inlineStr">
        <is>
          <t>2024257990042</t>
        </is>
      </c>
      <c r="K241" t="inlineStr">
        <is>
          <t>No</t>
        </is>
      </c>
      <c r="L241" t="inlineStr">
        <is>
          <t>Número</t>
        </is>
      </c>
      <c r="M241">
        <v>4</v>
      </c>
      <c r="N241">
        <v>1</v>
      </c>
      <c r="O241">
        <v>1</v>
      </c>
      <c r="P241">
        <v>1</v>
      </c>
      <c r="Q241">
        <v>1</v>
      </c>
      <c r="R241">
        <v>0.1</v>
      </c>
      <c r="S241" s="103">
        <v>0.1</v>
      </c>
      <c r="T241" t="inlineStr">
        <is>
          <t>Lo ejecutado está por debajo de lo programado en la vigencia</t>
        </is>
      </c>
      <c r="U241" t="inlineStr">
        <is>
          <t xml:space="preserve"> </t>
        </is>
      </c>
      <c r="V241" s="104" t="inlineStr">
        <is>
          <t xml:space="preserve"> </t>
        </is>
      </c>
      <c r="W241" t="inlineStr">
        <is>
          <t>No se encontró ejecución en PIIP</t>
        </is>
      </c>
    </row>
    <row r="242">
      <c r="A242" t="inlineStr">
        <is>
          <t>IP-330</t>
        </is>
      </c>
      <c r="B242" t="inlineStr">
        <is>
          <t>45</t>
        </is>
      </c>
      <c r="C242" t="inlineStr">
        <is>
          <t>Gobierno Territorial</t>
        </is>
      </c>
      <c r="D242" t="inlineStr">
        <is>
          <t>4599</t>
        </is>
      </c>
      <c r="E242" t="inlineStr">
        <is>
          <t>Fortalecimiento a la gestión y dirección de la administración pública territorial</t>
        </is>
      </c>
      <c r="F242" t="inlineStr">
        <is>
          <t>4599007</t>
        </is>
      </c>
      <c r="G242" t="inlineStr">
        <is>
          <t>Servicios tecnológicos</t>
        </is>
      </c>
      <c r="H242" t="inlineStr">
        <is>
          <t>459900700</t>
        </is>
      </c>
      <c r="I242" t="inlineStr">
        <is>
          <t>Índice de capacidad en la prestación de servicios de tecnología</t>
        </is>
      </c>
      <c r="J242" t="inlineStr">
        <is>
          <t>2024257990042</t>
        </is>
      </c>
      <c r="K242" t="inlineStr">
        <is>
          <t>Si</t>
        </is>
      </c>
      <c r="L242" t="inlineStr">
        <is>
          <t>Porcentaje</t>
        </is>
      </c>
      <c r="M242">
        <v>1</v>
      </c>
      <c r="N242">
        <v>0</v>
      </c>
      <c r="O242">
        <v>1</v>
      </c>
      <c r="P242">
        <v>1</v>
      </c>
      <c r="Q242">
        <v>1</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IP-332</t>
        </is>
      </c>
      <c r="B243" t="inlineStr">
        <is>
          <t>45</t>
        </is>
      </c>
      <c r="C243" t="inlineStr">
        <is>
          <t>Gobierno Territorial</t>
        </is>
      </c>
      <c r="D243" t="inlineStr">
        <is>
          <t>4599</t>
        </is>
      </c>
      <c r="E243" t="inlineStr">
        <is>
          <t>Fortalecimiento a la gestión y dirección de la administración pública territorial</t>
        </is>
      </c>
      <c r="F243" t="inlineStr">
        <is>
          <t>4599023</t>
        </is>
      </c>
      <c r="G243" t="inlineStr">
        <is>
          <t>Servicio de Implementación Sistemas de Gestión</t>
        </is>
      </c>
      <c r="H243" t="inlineStr">
        <is>
          <t>459902300</t>
        </is>
      </c>
      <c r="I243" t="inlineStr">
        <is>
          <t>Sistema de Gestión implementado</t>
        </is>
      </c>
      <c r="J243" t="inlineStr">
        <is>
          <t>2024257990042</t>
        </is>
      </c>
      <c r="K243" t="inlineStr">
        <is>
          <t>No</t>
        </is>
      </c>
      <c r="L243" t="inlineStr">
        <is>
          <t>Número</t>
        </is>
      </c>
      <c r="M243">
        <v>1</v>
      </c>
      <c r="N243">
        <v>1</v>
      </c>
      <c r="O243">
        <v>1</v>
      </c>
      <c r="P243">
        <v>1</v>
      </c>
      <c r="Q243">
        <v>1</v>
      </c>
      <c r="R243">
        <v>0.1</v>
      </c>
      <c r="S243" s="103">
        <v>0.1</v>
      </c>
      <c r="T243" t="inlineStr">
        <is>
          <t>Lo ejecutado está por debajo de lo programado en la vigencia</t>
        </is>
      </c>
      <c r="U243" t="inlineStr">
        <is>
          <t xml:space="preserve"> </t>
        </is>
      </c>
      <c r="V243" s="104" t="inlineStr">
        <is>
          <t xml:space="preserve"> </t>
        </is>
      </c>
      <c r="W243" t="inlineStr">
        <is>
          <t>No se encontró ejecución en PIIP</t>
        </is>
      </c>
    </row>
    <row r="244">
      <c r="A244" t="inlineStr">
        <is>
          <t>IP-333, IP-339, IP-340</t>
        </is>
      </c>
      <c r="B244" t="inlineStr">
        <is>
          <t>45</t>
        </is>
      </c>
      <c r="C244" t="inlineStr">
        <is>
          <t>Gobierno Territorial</t>
        </is>
      </c>
      <c r="D244" t="inlineStr">
        <is>
          <t>4599</t>
        </is>
      </c>
      <c r="E244" t="inlineStr">
        <is>
          <t>Fortalecimiento a la gestión y dirección de la administración pública territorial</t>
        </is>
      </c>
      <c r="F244" t="inlineStr">
        <is>
          <t>4599016</t>
        </is>
      </c>
      <c r="G244" t="inlineStr">
        <is>
          <t>Sedes mantenidas</t>
        </is>
      </c>
      <c r="H244" t="inlineStr">
        <is>
          <t>459901600</t>
        </is>
      </c>
      <c r="I244" t="inlineStr">
        <is>
          <t>Sedes mantenidas</t>
        </is>
      </c>
      <c r="J244" t="inlineStr">
        <is>
          <t>2024257990042</t>
        </is>
      </c>
      <c r="K244" t="inlineStr">
        <is>
          <t>Si</t>
        </is>
      </c>
      <c r="L244" t="inlineStr">
        <is>
          <t>Número</t>
        </is>
      </c>
      <c r="M244">
        <v>83.2</v>
      </c>
      <c r="N244">
        <v>74.2</v>
      </c>
      <c r="O244">
        <v>77.1</v>
      </c>
      <c r="P244">
        <v>80.1</v>
      </c>
      <c r="Q244">
        <v>81.5</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IP-334</t>
        </is>
      </c>
      <c r="B245" t="inlineStr">
        <is>
          <t>45</t>
        </is>
      </c>
      <c r="C245" t="inlineStr">
        <is>
          <t>Gobierno Territorial</t>
        </is>
      </c>
      <c r="D245" t="inlineStr">
        <is>
          <t>4599</t>
        </is>
      </c>
      <c r="E245" t="inlineStr">
        <is>
          <t>Fortalecimiento a la gestión y dirección de la administración pública territorial</t>
        </is>
      </c>
      <c r="F245" t="inlineStr">
        <is>
          <t>4599005</t>
        </is>
      </c>
      <c r="G245" t="inlineStr">
        <is>
          <t>Documento para la planeación estratégica en TI</t>
        </is>
      </c>
      <c r="H245" t="inlineStr">
        <is>
          <t>459900500</t>
        </is>
      </c>
      <c r="I245" t="inlineStr">
        <is>
          <t xml:space="preserve">Documentos para la planeación estratégica en TI </t>
        </is>
      </c>
      <c r="J245" t="inlineStr">
        <is>
          <t>2024257990042</t>
        </is>
      </c>
      <c r="K245" t="inlineStr">
        <is>
          <t>Si</t>
        </is>
      </c>
      <c r="L245" t="inlineStr">
        <is>
          <t>Número</t>
        </is>
      </c>
      <c r="M245">
        <v>4</v>
      </c>
      <c r="N245">
        <v>1</v>
      </c>
      <c r="O245">
        <v>1</v>
      </c>
      <c r="P245">
        <v>1</v>
      </c>
      <c r="Q245">
        <v>1</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IP-337</t>
        </is>
      </c>
      <c r="B246" t="inlineStr">
        <is>
          <t>45</t>
        </is>
      </c>
      <c r="C246" t="inlineStr">
        <is>
          <t>Gobierno Territorial</t>
        </is>
      </c>
      <c r="D246" t="inlineStr">
        <is>
          <t>4599</t>
        </is>
      </c>
      <c r="E246" t="inlineStr">
        <is>
          <t>Fortalecimiento a la gestión y dirección de la administración pública territorial</t>
        </is>
      </c>
      <c r="F246" t="inlineStr">
        <is>
          <t>4599005</t>
        </is>
      </c>
      <c r="G246" t="inlineStr">
        <is>
          <t>Documento para la planeación estratégica en TI</t>
        </is>
      </c>
      <c r="H246" t="inlineStr">
        <is>
          <t>459900500</t>
        </is>
      </c>
      <c r="I246" t="inlineStr">
        <is>
          <t xml:space="preserve">Documentos para la planeación estratégica en TI </t>
        </is>
      </c>
      <c r="J246" t="inlineStr">
        <is>
          <t>2024257990042</t>
        </is>
      </c>
      <c r="K246" t="inlineStr">
        <is>
          <t>No</t>
        </is>
      </c>
      <c r="L246" t="inlineStr">
        <is>
          <t>Número</t>
        </is>
      </c>
      <c r="M246">
        <v>100</v>
      </c>
      <c r="N246">
        <v>0</v>
      </c>
      <c r="O246">
        <v>100</v>
      </c>
      <c r="P246">
        <v>100</v>
      </c>
      <c r="Q246">
        <v>100</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IP-338</t>
        </is>
      </c>
      <c r="B247" t="inlineStr">
        <is>
          <t>45</t>
        </is>
      </c>
      <c r="C247" t="inlineStr">
        <is>
          <t>Gobierno Territorial</t>
        </is>
      </c>
      <c r="D247" t="inlineStr">
        <is>
          <t>4599</t>
        </is>
      </c>
      <c r="E247" t="inlineStr">
        <is>
          <t>Fortalecimiento a la gestión y dirección de la administración pública territorial</t>
        </is>
      </c>
      <c r="F247" t="inlineStr">
        <is>
          <t>4599008</t>
        </is>
      </c>
      <c r="G247" t="inlineStr">
        <is>
          <t>Sede construida y dotada</t>
        </is>
      </c>
      <c r="H247" t="inlineStr">
        <is>
          <t>459900800</t>
        </is>
      </c>
      <c r="I247" t="inlineStr">
        <is>
          <t>Sede construida y dotada</t>
        </is>
      </c>
      <c r="J247" t="inlineStr">
        <is>
          <t>2024257990042</t>
        </is>
      </c>
      <c r="K247" t="inlineStr">
        <is>
          <t>No</t>
        </is>
      </c>
      <c r="L247" t="inlineStr">
        <is>
          <t>Número</t>
        </is>
      </c>
      <c r="M247">
        <v>1</v>
      </c>
      <c r="N247">
        <v>0</v>
      </c>
      <c r="O247">
        <v>0.3</v>
      </c>
      <c r="P247">
        <v>0.7</v>
      </c>
      <c r="Q247">
        <v>0</v>
      </c>
      <c r="R247">
        <v>0.1</v>
      </c>
      <c r="S247" s="103" t="inlineStr">
        <is>
          <t xml:space="preserve"> </t>
        </is>
      </c>
      <c r="T247" t="inlineStr">
        <is>
          <t>Se ejecutó un producto no programado en la vigencia</t>
        </is>
      </c>
      <c r="U247" t="inlineStr">
        <is>
          <t xml:space="preserve"> </t>
        </is>
      </c>
      <c r="V247" s="104" t="inlineStr">
        <is>
          <t xml:space="preserve"> </t>
        </is>
      </c>
      <c r="W247" t="inlineStr">
        <is>
          <t>No se encontró ejecución en PIIP</t>
        </is>
      </c>
    </row>
    <row r="248">
      <c r="A248" t="inlineStr">
        <is>
          <t>IP-341</t>
        </is>
      </c>
      <c r="B248" t="inlineStr">
        <is>
          <t>45</t>
        </is>
      </c>
      <c r="C248" t="inlineStr">
        <is>
          <t>Gobierno Territorial</t>
        </is>
      </c>
      <c r="D248" t="inlineStr">
        <is>
          <t>4599</t>
        </is>
      </c>
      <c r="E248" t="inlineStr">
        <is>
          <t>Fortalecimiento a la gestión y dirección de la administración pública territorial</t>
        </is>
      </c>
      <c r="F248" t="inlineStr">
        <is>
          <t>4599016</t>
        </is>
      </c>
      <c r="G248" t="inlineStr">
        <is>
          <t>Sedes mantenidas</t>
        </is>
      </c>
      <c r="H248" t="inlineStr">
        <is>
          <t>459901600</t>
        </is>
      </c>
      <c r="I248" t="inlineStr">
        <is>
          <t>Sedes mantenidas</t>
        </is>
      </c>
      <c r="J248" t="inlineStr">
        <is>
          <t>2024257990042</t>
        </is>
      </c>
      <c r="K248" t="inlineStr">
        <is>
          <t>No</t>
        </is>
      </c>
      <c r="L248" t="inlineStr">
        <is>
          <t>Número</t>
        </is>
      </c>
      <c r="M248">
        <v>31</v>
      </c>
      <c r="N248">
        <v>31</v>
      </c>
      <c r="O248">
        <v>31</v>
      </c>
      <c r="P248">
        <v>31</v>
      </c>
      <c r="Q248">
        <v>31</v>
      </c>
      <c r="R248">
        <v>0.1</v>
      </c>
      <c r="S248" s="103">
        <v>0.0032258064516129</v>
      </c>
      <c r="T248" t="inlineStr">
        <is>
          <t>Lo ejecutado está por debajo de lo programado en la vigencia</t>
        </is>
      </c>
      <c r="U248" t="inlineStr">
        <is>
          <t xml:space="preserve"> </t>
        </is>
      </c>
      <c r="V248" s="104" t="inlineStr">
        <is>
          <t xml:space="preserve"> </t>
        </is>
      </c>
      <c r="W248" t="inlineStr">
        <is>
          <t>No se encontró ejecución en PIIP</t>
        </is>
      </c>
    </row>
    <row r="249">
      <c r="A249" t="inlineStr">
        <is>
          <t>IP-342</t>
        </is>
      </c>
      <c r="B249" t="inlineStr">
        <is>
          <t>45</t>
        </is>
      </c>
      <c r="C249" t="inlineStr">
        <is>
          <t>Gobierno Territorial</t>
        </is>
      </c>
      <c r="D249" t="inlineStr">
        <is>
          <t>4599</t>
        </is>
      </c>
      <c r="E249" t="inlineStr">
        <is>
          <t>Fortalecimiento a la gestión y dirección de la administración pública territorial</t>
        </is>
      </c>
      <c r="F249" t="inlineStr">
        <is>
          <t>4599026</t>
        </is>
      </c>
      <c r="G249" t="inlineStr">
        <is>
          <t>Documentos de investigación</t>
        </is>
      </c>
      <c r="H249" t="inlineStr">
        <is>
          <t>459902600</t>
        </is>
      </c>
      <c r="I249" t="inlineStr">
        <is>
          <t>Documentos de investigación elaborados</t>
        </is>
      </c>
      <c r="J249" t="inlineStr">
        <is>
          <t>2024257990043</t>
        </is>
      </c>
      <c r="K249" t="inlineStr">
        <is>
          <t>No</t>
        </is>
      </c>
      <c r="L249" t="inlineStr">
        <is>
          <t>Número</t>
        </is>
      </c>
      <c r="M249">
        <v>100</v>
      </c>
      <c r="N249">
        <v>20</v>
      </c>
      <c r="O249">
        <v>30</v>
      </c>
      <c r="P249">
        <v>40</v>
      </c>
      <c r="Q249">
        <v>10</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IP-343, IP-348</t>
        </is>
      </c>
      <c r="B250" t="inlineStr">
        <is>
          <t>45</t>
        </is>
      </c>
      <c r="C250" t="inlineStr">
        <is>
          <t>Gobierno Territorial</t>
        </is>
      </c>
      <c r="D250" t="inlineStr">
        <is>
          <t>4599</t>
        </is>
      </c>
      <c r="E250" t="inlineStr">
        <is>
          <t>Fortalecimiento a la gestión y dirección de la administración pública territorial</t>
        </is>
      </c>
      <c r="F250" t="inlineStr">
        <is>
          <t>4599025</t>
        </is>
      </c>
      <c r="G250" t="inlineStr">
        <is>
          <t>Servicios de información implementados</t>
        </is>
      </c>
      <c r="H250" t="inlineStr">
        <is>
          <t>459902500</t>
        </is>
      </c>
      <c r="I250" t="inlineStr">
        <is>
          <t>Sistemas de información implementados</t>
        </is>
      </c>
      <c r="J250" t="inlineStr">
        <is>
          <t>2024257990043</t>
        </is>
      </c>
      <c r="K250" t="inlineStr">
        <is>
          <t>No</t>
        </is>
      </c>
      <c r="L250" t="inlineStr">
        <is>
          <t>Número</t>
        </is>
      </c>
      <c r="M250">
        <v>101</v>
      </c>
      <c r="N250">
        <v>100</v>
      </c>
      <c r="O250">
        <v>100</v>
      </c>
      <c r="P250">
        <v>100</v>
      </c>
      <c r="Q250">
        <v>100</v>
      </c>
      <c r="R250">
        <v>0.1</v>
      </c>
      <c r="S250" s="103">
        <v>0.001</v>
      </c>
      <c r="T250" t="inlineStr">
        <is>
          <t>Lo ejecutado está por debajo de lo programado en la vigencia</t>
        </is>
      </c>
      <c r="U250" t="inlineStr">
        <is>
          <t xml:space="preserve"> </t>
        </is>
      </c>
      <c r="V250" s="104" t="inlineStr">
        <is>
          <t xml:space="preserve"> </t>
        </is>
      </c>
      <c r="W250" t="inlineStr">
        <is>
          <t>No se encontró ejecución en PIIP</t>
        </is>
      </c>
    </row>
    <row r="251">
      <c r="A251" t="inlineStr">
        <is>
          <t>IP-345, IP-346, IP-347</t>
        </is>
      </c>
      <c r="B251" t="inlineStr">
        <is>
          <t>45</t>
        </is>
      </c>
      <c r="C251" t="inlineStr">
        <is>
          <t>Gobierno Territorial</t>
        </is>
      </c>
      <c r="D251" t="inlineStr">
        <is>
          <t>4599</t>
        </is>
      </c>
      <c r="E251" t="inlineStr">
        <is>
          <t>Fortalecimiento a la gestión y dirección de la administración pública territorial</t>
        </is>
      </c>
      <c r="F251" t="inlineStr">
        <is>
          <t>4599025</t>
        </is>
      </c>
      <c r="G251" t="inlineStr">
        <is>
          <t>Servicios de información implementados</t>
        </is>
      </c>
      <c r="H251" t="inlineStr">
        <is>
          <t>459902500</t>
        </is>
      </c>
      <c r="I251" t="inlineStr">
        <is>
          <t>Sistemas de información implementados</t>
        </is>
      </c>
      <c r="J251" t="inlineStr">
        <is>
          <t>2024257990043</t>
        </is>
      </c>
      <c r="K251" t="inlineStr">
        <is>
          <t>Si</t>
        </is>
      </c>
      <c r="L251" t="inlineStr">
        <is>
          <t>Número</t>
        </is>
      </c>
      <c r="M251">
        <v>5</v>
      </c>
      <c r="N251">
        <v>1</v>
      </c>
      <c r="O251">
        <v>0</v>
      </c>
      <c r="P251">
        <v>1.5</v>
      </c>
      <c r="Q251">
        <v>1</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A252" t="inlineStr">
        <is>
          <t>IP-350</t>
        </is>
      </c>
      <c r="B252" t="inlineStr">
        <is>
          <t>43</t>
        </is>
      </c>
      <c r="C252" t="inlineStr">
        <is>
          <t>Deporte y Recreación</t>
        </is>
      </c>
      <c r="D252" t="inlineStr">
        <is>
          <t>4301</t>
        </is>
      </c>
      <c r="E252" t="inlineStr">
        <is>
          <t>Fomento a la recreación, la actividad física y el deporte para desarrollar entornos de convivencia y paz</t>
        </is>
      </c>
      <c r="F252" t="inlineStr">
        <is>
          <t>4301006</t>
        </is>
      </c>
      <c r="G252" t="inlineStr">
        <is>
          <t>Documentos normativos</t>
        </is>
      </c>
      <c r="H252" t="inlineStr">
        <is>
          <t>430100600</t>
        </is>
      </c>
      <c r="I252" t="inlineStr">
        <is>
          <t>Documentos normativos realizados</t>
        </is>
      </c>
      <c r="J252" t="inlineStr">
        <is>
          <t>2024257990043</t>
        </is>
      </c>
      <c r="K252" t="inlineStr">
        <is>
          <t>No</t>
        </is>
      </c>
      <c r="L252" t="inlineStr">
        <is>
          <t>Número</t>
        </is>
      </c>
      <c r="M252">
        <v>1</v>
      </c>
      <c r="N252">
        <v>1</v>
      </c>
      <c r="O252">
        <v>1</v>
      </c>
      <c r="P252">
        <v>1</v>
      </c>
      <c r="Q252">
        <v>1</v>
      </c>
      <c r="R252" t="inlineStr">
        <is>
          <t xml:space="preserve"> </t>
        </is>
      </c>
      <c r="S252" s="103" t="inlineStr">
        <is>
          <t xml:space="preserve"> </t>
        </is>
      </c>
      <c r="T252" t="inlineStr">
        <is>
          <t>No se encontró ejecución en PIIP</t>
        </is>
      </c>
      <c r="U252" t="inlineStr">
        <is>
          <t xml:space="preserve"> </t>
        </is>
      </c>
      <c r="V252" s="104" t="inlineStr">
        <is>
          <t xml:space="preserve"> </t>
        </is>
      </c>
      <c r="W252" t="inlineStr">
        <is>
          <t>No se encontró ejecución en PIIP</t>
        </is>
      </c>
    </row>
    <row r="253">
      <c r="S253" s="103"/>
      <c r="V253"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