
<file path=[Content_Types].xml><?xml version="1.0" encoding="utf-8"?>
<Types xmlns="http://schemas.openxmlformats.org/package/2006/content-types">
  <Default Extension="png" ContentType="image/png"/>
  <Default Extension="svg" ContentType="image/sv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charts/chart2.xml" ContentType="application/vnd.openxmlformats-officedocument.drawingml.chart+xml"/>
  <Override PartName="/xl/charts/colors2.xml" ContentType="application/vnd.ms-office.chartcolorstyle+xml"/>
  <Override PartName="/xl/charts/style2.xml" ContentType="application/vnd.ms-office.chartstyle+xml"/>
  <Override PartName="/xl/charts/chart3.xml" ContentType="application/vnd.openxmlformats-officedocument.drawingml.chart+xml"/>
  <Override PartName="/xl/charts/colors3.xml" ContentType="application/vnd.ms-office.chartcolorstyle+xml"/>
  <Override PartName="/xl/charts/style3.xml" ContentType="application/vnd.ms-office.chartstyle+xml"/>
  <Override PartName="/xl/charts/chart4.xml" ContentType="application/vnd.openxmlformats-officedocument.drawingml.chart+xml"/>
  <Override PartName="/xl/charts/colors4.xml" ContentType="application/vnd.ms-office.chartcolorstyle+xml"/>
  <Override PartName="/xl/charts/style4.xml" ContentType="application/vnd.ms-office.chartstyle+xml"/>
  <Override PartName="/xl/charts/chart5.xml" ContentType="application/vnd.openxmlformats-officedocument.drawingml.chart+xml"/>
  <Override PartName="/xl/charts/colors5.xml" ContentType="application/vnd.ms-office.chartcolorstyle+xml"/>
  <Override PartName="/xl/charts/style5.xml" ContentType="application/vnd.ms-office.chartstyle+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planeacionnacional-my.sharepoint.com/personal/gegallegos_dnp_gov_co/Documents/"/>
    </mc:Choice>
  </mc:AlternateContent>
  <xr:revisionPtr revIDLastSave="2545" documentId="8_{3E500AA4-C9A2-4767-9875-2B272A2641EF}" xr6:coauthVersionLast="47" xr6:coauthVersionMax="47" xr10:uidLastSave="{A7CE8F52-050E-4401-930F-797FAE297FD3}"/>
  <bookViews>
    <workbookView xWindow="-120" yWindow="-120" windowWidth="20730" windowHeight="11040" tabRatio="761" xr2:uid="{1F7B78CE-1503-42E0-8A42-FC800A1FFC3D}"/>
  </bookViews>
  <sheets>
    <sheet name="Resumen" sheetId="1" state="visible" r:id="rId1"/>
    <sheet name="Detalle seguimiento financiero" sheetId="11" state="visible" r:id="rId2"/>
    <sheet name="Detalle seguimiento físico" sheetId="3" state="visible" r:id="rId3"/>
  </sheets>
  <definedNames>
    <definedName name="nombreslineasest">Resumen!$P$7:INDEX(Resumen!$P$7:$P$75,COUNT(Resumen!$P$7:$P$75))</definedName>
    <definedName name="valoreslineasest">Resumen!$V$7:INDEX(Resumen!$V$7:$V$75,COUNT(Resumen!$V$7:$V$75))</definedName>
  </definedNam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<sst xmlns="http://schemas.openxmlformats.org/spreadsheetml/2006/main" count="135" uniqueCount="135">
  <si>
    <t>Recursos propios</t>
  </si>
  <si>
    <t>Otros</t>
  </si>
  <si>
    <t>SGP APSB</t>
  </si>
  <si>
    <t>Crédito</t>
  </si>
  <si>
    <t>En el módulo de Presupuesto Ordinario del SisPT, la entidad territorial presenta la siguiente programación financiera de su Plan Indicativo:</t>
  </si>
  <si>
    <t xml:space="preserve">Seleccione una vigencia: </t>
  </si>
  <si>
    <t>Total Cuatrienio</t>
  </si>
  <si>
    <t>Ambiente y desarrollo sostenible</t>
  </si>
  <si>
    <t>Comercio, industria y turismo</t>
  </si>
  <si>
    <t>Cultura</t>
  </si>
  <si>
    <t>Educación</t>
  </si>
  <si>
    <t xml:space="preserve">Inclusión social y reconciliación </t>
  </si>
  <si>
    <t>Justicia y del derecho</t>
  </si>
  <si>
    <t>Salud y protección social</t>
  </si>
  <si>
    <t>Tecnologías de la información y las comunicaciones</t>
  </si>
  <si>
    <t>Trabajo</t>
  </si>
  <si>
    <t>Transporte</t>
  </si>
  <si>
    <t>Vivienda, ciudad y territorio</t>
  </si>
  <si>
    <t>SGP educación</t>
  </si>
  <si>
    <t>SGP salud</t>
  </si>
  <si>
    <t>SGP deporte</t>
  </si>
  <si>
    <t>SGP cultura</t>
  </si>
  <si>
    <t>SGP libre inversión</t>
  </si>
  <si>
    <t>SGP libre destinación</t>
  </si>
  <si>
    <t>SGP alimentación escolar</t>
  </si>
  <si>
    <t>SGP municipios Rio Magdalena</t>
  </si>
  <si>
    <t>Transf. capital - Cof. departamento</t>
  </si>
  <si>
    <t>Transf. capital - Cof. Nación</t>
  </si>
  <si>
    <t>1. Fin de la pobreza</t>
  </si>
  <si>
    <t>2. Hambre cero</t>
  </si>
  <si>
    <t>3. Salud y bienestar</t>
  </si>
  <si>
    <t>4. Educación de calidad</t>
  </si>
  <si>
    <t>5. Igualdad de género</t>
  </si>
  <si>
    <t>6. Agua limpia y saneamiento</t>
  </si>
  <si>
    <t>7. Energía asequible y no contaminante</t>
  </si>
  <si>
    <t>8. Trabajo decente y crecimiento económico</t>
  </si>
  <si>
    <t>9. Industria, innovación e infraestructura</t>
  </si>
  <si>
    <t>10. Reducción de las desigualdades</t>
  </si>
  <si>
    <t>11. Ciudades y comunidades sostenibles</t>
  </si>
  <si>
    <t>12. Producción y consumo responsables</t>
  </si>
  <si>
    <t>13. Acción por el clima</t>
  </si>
  <si>
    <t>14. Vida submarina</t>
  </si>
  <si>
    <t>15. Vida de ecosistemas terrestres</t>
  </si>
  <si>
    <t>16. Paz, justicia e instituciones sólidas</t>
  </si>
  <si>
    <t>17. Alianzas para lograr los objetivos</t>
  </si>
  <si>
    <t>Sector (MGA)</t>
  </si>
  <si>
    <t>Programa (MGA)</t>
  </si>
  <si>
    <t>Producto (MGA)</t>
  </si>
  <si>
    <t>Acumulativo</t>
  </si>
  <si>
    <t>Informe generado con información de SisPT al:</t>
  </si>
  <si>
    <t>2024</t>
  </si>
  <si>
    <t>2025</t>
  </si>
  <si>
    <t>2026</t>
  </si>
  <si>
    <t>2027</t>
  </si>
  <si>
    <t>Nombre Plan de Desarrollo</t>
  </si>
  <si>
    <t>Consecutivos IP (SisPT)</t>
  </si>
  <si>
    <t>Código Sector (MGA)</t>
  </si>
  <si>
    <t>Código Programa (MGA)</t>
  </si>
  <si>
    <t>Código Producto (MGA)</t>
  </si>
  <si>
    <t>Descripción del Producto (MGA)</t>
  </si>
  <si>
    <t>Códigos BPIN Asociados</t>
  </si>
  <si>
    <t>Programado 2024 (SisPT)</t>
  </si>
  <si>
    <t>Programado 2025 (SisPT)</t>
  </si>
  <si>
    <t>Programado 2026 (SisPT)</t>
  </si>
  <si>
    <t>Programado 2027 (SisPT)</t>
  </si>
  <si>
    <t>Compromisos 2024 (CUIPO)</t>
  </si>
  <si>
    <t>Obligaciones 2024 (CUIPO)</t>
  </si>
  <si>
    <t>Pagos 2024 (CUIPO)</t>
  </si>
  <si>
    <t>Ejecución CUIPO 2024</t>
  </si>
  <si>
    <t>Obligaciones como % de lo programado (2024)</t>
  </si>
  <si>
    <t>Código Indicador Producto (MGA)</t>
  </si>
  <si>
    <t>Indicador Producto (MGA)</t>
  </si>
  <si>
    <t>Unidad de Medida</t>
  </si>
  <si>
    <t>Meta del Cuatrenio (SisPT)</t>
  </si>
  <si>
    <t>Avance físico 2024 (%)</t>
  </si>
  <si>
    <t>Ejecución PIIP 2024</t>
  </si>
  <si>
    <t>No tienen BPIN</t>
  </si>
  <si>
    <t>BPIN no encontrado en PIIP</t>
  </si>
  <si>
    <t>BPIN e IP hallados, pero modo de acumulación no fue encontrado en PIIP</t>
  </si>
  <si>
    <t>onlySisPT</t>
  </si>
  <si>
    <t>merged</t>
  </si>
  <si>
    <t>onlyCUIPO</t>
  </si>
  <si>
    <t>Universo SisPT:</t>
  </si>
  <si>
    <t>Universo CUIPO:</t>
  </si>
  <si>
    <t>NA</t>
  </si>
  <si>
    <t xml:space="preserve">Agricultura y desarrollo rural
</t>
  </si>
  <si>
    <t xml:space="preserve">Ciencia, tecnología e innovación
</t>
  </si>
  <si>
    <t>BPIN encontrado, pero no el indicador de producto (IP)</t>
  </si>
  <si>
    <t>Universo PIIP:</t>
  </si>
  <si>
    <t>onlyPIIP</t>
  </si>
  <si>
    <r>
      <rPr>
        <b/>
        <sz val="10"/>
        <color theme="1" tint="0.34998626667073579"/>
        <rFont val="Verdana Pro"/>
        <family val="2"/>
      </rPr>
      <t>Notas:</t>
    </r>
    <r>
      <rPr>
        <sz val="10"/>
        <color theme="1" tint="0.34998626667073579"/>
        <rFont val="Verdana Pro"/>
        <family val="2"/>
      </rPr>
      <t xml:space="preserve"> Si un rubro en SisPT o en CUIPO no tiene información en el campo de BPIN, </t>
    </r>
    <r>
      <rPr>
        <b/>
        <sz val="10"/>
        <color theme="1" tint="0.34998626667073579"/>
        <rFont val="Verdana Pro"/>
        <family val="2"/>
      </rPr>
      <t>no</t>
    </r>
    <r>
      <rPr>
        <sz val="10"/>
        <color theme="1" tint="0.34998626667073579"/>
        <rFont val="Verdana Pro"/>
        <family val="2"/>
      </rPr>
      <t xml:space="preserve"> se cruza la información entre plataformas. Información de CUIPO con códigos BPIN como "xxxx", "NO APLICA", "N/A" etc., se dejaron tal como aparecen en CUIPO.</t>
    </r>
  </si>
  <si>
    <t>BPIN e IP hallados, pero no tienen modo de acumulación</t>
  </si>
  <si>
    <t>BPIN, IP y modo de acumulación encontrados (hay seguimiento físico)</t>
  </si>
  <si>
    <t>Los anteriores diagramas de Venn pueden unificarse en uno solo si la información de PIIP también se agrega a nivel de producto y no de indicador de producto. Esto implica que los números del diagrama con PIIP cambian ligeramente, pero de todas maneras es útil acceder a esta vista integrada de los tres sistemas y su nivel agregado de coincidencias.</t>
  </si>
  <si>
    <t>Universo de combinaciones BPIN-Producto existentes entre las tres plataformas:</t>
  </si>
  <si>
    <t>Combinaciones BPIN-Producto halladas en la triple intersección:</t>
  </si>
  <si>
    <t>Porcentaje de coincidencia entre las tres plataformas:</t>
  </si>
  <si>
    <t>1iCUIPO</t>
  </si>
  <si>
    <t>2iPIIP</t>
  </si>
  <si>
    <t>3iSISPT</t>
  </si>
  <si>
    <t>4CUIPOPIIP</t>
  </si>
  <si>
    <t>5CUIPOSISPT</t>
  </si>
  <si>
    <t>6PIIPSISPT</t>
  </si>
  <si>
    <t>7TRIPLE</t>
  </si>
  <si>
    <t>.</t>
  </si>
  <si>
    <t>Resumen de la Programación Financiera (Presupuesto Ordinario) en SisPT</t>
  </si>
  <si>
    <t>Avance Físico Ejecutado Acumulado (PIIP)</t>
  </si>
  <si>
    <t>Detalle Seguimiento Financiero Preliminar</t>
  </si>
  <si>
    <r>
      <t xml:space="preserve">Por ejemplo, la columna "Obligaciones como % de lo programado (2024)" se calcula como la razón entre el monto total obligado en 2024 traído de CUIPO, y la programación financiera de 2024 de SisPT. Los valores superiores al 100% se resaltan en </t>
    </r>
    <r>
      <rPr>
        <b/>
        <sz val="11"/>
        <color rgb="FFE399DC"/>
        <rFont val="Verdana"/>
        <family val="2"/>
      </rPr>
      <t>rosado</t>
    </r>
    <r>
      <rPr>
        <sz val="11"/>
        <color theme="1"/>
        <rFont val="Verdana"/>
        <family val="2"/>
      </rPr>
      <t xml:space="preserve"> para facilitar su revisión, validación, y eventual corrección.</t>
    </r>
  </si>
  <si>
    <t>Programación Cuatrienio SisPT</t>
  </si>
  <si>
    <t>Defensa y policía</t>
  </si>
  <si>
    <t>Deporte y recreación</t>
  </si>
  <si>
    <t>Gobierno territorial</t>
  </si>
  <si>
    <t>Información estadística</t>
  </si>
  <si>
    <t>Minas y energía</t>
  </si>
  <si>
    <t>Organismos de control</t>
  </si>
  <si>
    <t>Detalle Seguimiento Físico Preliminar</t>
  </si>
  <si>
    <t>Esta tabla contrasta la información de Plan Indicativo - Presupuesto Ordinario de SisPT con la ejecución reportada en PIIP. El seguimiento físico es condicional a que el BPIN, el código de indicador de producto, y tipo de acumulación, correspondan en ambas plataformas. En caso de tener indicadores de producto y proyectos duplicados con nombre personalizado diferente en SisPT, este seguimiento agrega los montos ya que nos es imposible identificar cada rubro en PIIP. Utilice el consecutivo de SisPT para poder rastrear los rubros en el formato de Plan Indicativo.</t>
  </si>
  <si>
    <t>Esta tabla contrasta la información de Plan Indicativo - Presupuesto Ordinario de SisPT con la ejecución reportada en CUIPO. El seguimiento financiero es condicional a tener código BPIN y código de producto en ambas plataformas. En caso de tener productos y proyectos duplicados con nombre personalizado diferente en SisPT, este seguimiento agrega los montos ya que nos es imposible identificar cada rubro en CUIPO. Utilice el consecutivo de SisPT para poder rastrear los rubros en el formato de Plan Indicativo.</t>
  </si>
  <si>
    <r>
      <t xml:space="preserve">Por ejemplo, la columna "Avance físico 2024 (%)" se calcula como la razón entre la ejecución física acumulada de 2024 traída de PIIP, y la programación física de 2024 de SisPT. Los valores superiores al 100% se resaltan en </t>
    </r>
    <r>
      <rPr>
        <b/>
        <sz val="11"/>
        <color rgb="FFE399DC"/>
        <rFont val="Verdana"/>
        <family val="2"/>
      </rPr>
      <t>rosado</t>
    </r>
    <r>
      <rPr>
        <sz val="11"/>
        <color theme="1"/>
        <rFont val="Verdana"/>
        <family val="2"/>
      </rPr>
      <t xml:space="preserve"> para facilitar su revisión, validación, y eventual corrección.</t>
    </r>
  </si>
  <si>
    <t>Obligaciones como % de lo programado (2025)</t>
  </si>
  <si>
    <t>Compromisos 2025 (CUIPO)</t>
  </si>
  <si>
    <t>Obligaciones 2025 (CUIPO)</t>
  </si>
  <si>
    <t>Pagos 2025 (CUIPO)</t>
  </si>
  <si>
    <t>Programación financiera SisPT</t>
  </si>
  <si>
    <t>Explicación del valor 2024</t>
  </si>
  <si>
    <t>Explicación del valor 2025</t>
  </si>
  <si>
    <t>Nombre Entidad Territorial</t>
  </si>
  <si>
    <t>En esta hoja encontrará un resumen de la información de programación cargada en SisPT, y un resumen del cruce de información con las plataformas PIIP y CUIPO. En la hoja "Seguimiento al Plan" encontrará el cálculo de avance físico del Plan por vigencia. Finalmente, las hojas de Detalle seguimiento financiero y Detalle seguimiento físico contienen valores a nivel de indicador de producto, para poder entender de dónde proviene el total que calculamos cada vigencia.</t>
  </si>
  <si>
    <t>En la hoja "Detalle seguimiento financiero" encontrará la información detallada de las combinaciones que cruzaron con CUIPO, y las combinaciones que no cruzaron aparecerán sin datos de compromisos, obligaciones ni pagos.</t>
  </si>
  <si>
    <t>En la hoja "Detalle seguimiento físico" encontrará la información detallada de las combinaciones que cruzaron con PIIP, y las combinaciones que no cruzaron aparecerán sin datos de ejecución física en la vigencia respectiva.</t>
  </si>
  <si>
    <t>Las columnas "Explicación" buscan dar contexto al cálculo de obligaciones como % de lo programado, para cada vigencia.</t>
  </si>
  <si>
    <t>Las columnas "Explicación" buscan dar contexto al cálculo de avance físico (%) para cada vigencia.</t>
  </si>
  <si>
    <t>Programación física SisPT</t>
  </si>
  <si>
    <t>(Dar clic en Habilitar Edición)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</si>
</sst>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0.000000"/>
    <numFmt numFmtId="165" formatCode="0.0%"/>
    <numFmt numFmtId="166" formatCode="#,##0"/>
    <numFmt numFmtId="167" formatCode="0%"/>
    <numFmt numFmtId="168" formatCode="#,##0"/>
    <numFmt numFmtId="169" formatCode="0%"/>
    <numFmt numFmtId="170" formatCode="0%"/>
    <numFmt numFmtId="171" formatCode="0%"/>
  </numFmts>
  <fonts count="27">
    <font>
      <sz val="11"/>
      <color theme="1"/>
      <name val="Calibri"/>
      <family val="2"/>
      <scheme val="minor"/>
    </font>
    <font>
      <sz val="11"/>
      <color theme="1"/>
      <name val="Calibri"/>
      <family val="2"/>
      <scheme val="minor"/>
    </font>
    <font>
      <sz val="11"/>
      <name val="Calibri"/>
      <family val="2"/>
      <scheme val="minor"/>
    </font>
    <font>
      <b/>
      <sz val="18"/>
      <color rgb="FF3C8C7B"/>
      <name val="Segoe UI"/>
      <family val="2"/>
      <scheme val="major"/>
    </font>
    <font>
      <sz val="11"/>
      <color theme="1"/>
      <name val="Segoe UI"/>
      <family val="2"/>
      <scheme val="major"/>
    </font>
    <font>
      <b/>
      <sz val="16"/>
      <name val="Segoe UI"/>
      <family val="2"/>
      <scheme val="major"/>
    </font>
    <font>
      <sz val="11"/>
      <color theme="8" tint="0.39997558519241921"/>
      <name val="Calibri"/>
      <family val="2"/>
      <scheme val="minor"/>
    </font>
    <font>
      <b/>
      <sz val="11"/>
      <color theme="1"/>
      <name val="Segoe UI"/>
      <family val="2"/>
      <scheme val="major"/>
    </font>
    <font>
      <b/>
      <sz val="11"/>
      <color theme="0"/>
      <name val="Segoe UI"/>
      <family val="2"/>
      <scheme val="major"/>
    </font>
    <font>
      <sz val="11"/>
      <color theme="0"/>
      <name val="Calibri"/>
      <family val="2"/>
      <scheme val="minor"/>
    </font>
    <font>
      <b/>
      <i/>
      <sz val="16"/>
      <color rgb="FF295D52"/>
      <name val="Segoe UI"/>
      <family val="2"/>
      <scheme val="major"/>
    </font>
    <font>
      <b/>
      <sz val="12"/>
      <color rgb="FF3C8C7B"/>
      <name val="Segoe UI"/>
      <family val="2"/>
      <scheme val="major"/>
    </font>
    <font>
      <sz val="11"/>
      <color theme="1"/>
      <name val="Verdana"/>
      <family val="2"/>
    </font>
    <font>
      <sz val="11"/>
      <color theme="1"/>
      <name val="Verdana Pro"/>
      <family val="2"/>
    </font>
    <font>
      <sz val="10"/>
      <color theme="1" tint="0.34998626667073579"/>
      <name val="Verdana Pro"/>
      <family val="2"/>
    </font>
    <font>
      <b/>
      <sz val="11"/>
      <color theme="1"/>
      <name val="Verdana Pro"/>
      <family val="2"/>
    </font>
    <font>
      <b/>
      <sz val="11"/>
      <name val="Verdana Pro"/>
      <family val="2"/>
    </font>
    <font>
      <sz val="10"/>
      <color theme="1"/>
      <name val="Verdana Pro"/>
      <family val="2"/>
    </font>
    <font>
      <b/>
      <sz val="11"/>
      <color rgb="FF3C8C7B"/>
      <name val="Verdana"/>
      <family val="2"/>
    </font>
    <font>
      <b/>
      <sz val="11"/>
      <color rgb="FFAFA927"/>
      <name val="Verdana"/>
      <family val="2"/>
    </font>
    <font>
      <b/>
      <sz val="11"/>
      <color rgb="FF786256"/>
      <name val="Verdana"/>
      <family val="2"/>
    </font>
    <font>
      <b/>
      <sz val="10"/>
      <color theme="1" tint="0.34998626667073579"/>
      <name val="Verdana Pro"/>
      <family val="2"/>
    </font>
    <font>
      <sz val="11"/>
      <name val="Verdana Pro"/>
      <family val="2"/>
    </font>
    <font>
      <sz val="11"/>
      <color rgb="FFFF0000"/>
      <name val="Calibri"/>
      <family val="2"/>
      <scheme val="minor"/>
    </font>
    <font>
      <b/>
      <sz val="11"/>
      <color rgb="FFE399DC"/>
      <name val="Verdana"/>
      <family val="2"/>
    </font>
    <font>
      <sz val="11"/>
      <color rgb="FFE399DC"/>
      <name val="Segoe UI"/>
      <family val="2"/>
      <scheme val="major"/>
    </font>
    <font>
      <sz val="11"/>
      <color rgb="FFFF0000"/>
      <name val="Verdana Pro"/>
      <family val="2"/>
    </font>
  </fonts>
  <fills count="21">
    <fill>
      <patternFill patternType="none"/>
    </fill>
    <fill>
      <patternFill patternType="gray125"/>
    </fill>
    <fill>
      <patternFill patternType="solid">
        <fgColor theme="0"/>
        <bgColor indexed="64"/>
      </patternFill>
    </fill>
    <fill>
      <patternFill patternType="solid">
        <fgColor rgb="FFEBFBF6"/>
        <bgColor indexed="64"/>
      </patternFill>
    </fill>
    <fill>
      <patternFill patternType="solid">
        <fgColor rgb="FFFDF7D7"/>
        <bgColor indexed="64"/>
      </patternFill>
    </fill>
    <fill>
      <patternFill patternType="solid">
        <fgColor rgb="FFE2F2EF"/>
        <bgColor indexed="64"/>
      </patternFill>
    </fill>
    <fill>
      <patternFill patternType="solid">
        <fgColor rgb="FFF2FADA"/>
        <bgColor indexed="64"/>
      </patternFill>
    </fill>
    <fill>
      <patternFill patternType="solid">
        <fgColor theme="3" tint="0.249977111117893"/>
        <bgColor indexed="64"/>
      </patternFill>
    </fill>
    <fill>
      <patternFill patternType="solid">
        <fgColor rgb="FFE68297"/>
        <bgColor indexed="64"/>
      </patternFill>
    </fill>
    <fill>
      <patternFill patternType="solid">
        <fgColor rgb="FFF8A39A"/>
        <bgColor indexed="64"/>
      </patternFill>
    </fill>
    <fill>
      <patternFill patternType="solid">
        <fgColor rgb="FFADEC9E"/>
        <bgColor indexed="64"/>
      </patternFill>
    </fill>
    <fill>
      <patternFill patternType="solid">
        <fgColor rgb="FFA8A831"/>
        <bgColor indexed="64"/>
      </patternFill>
    </fill>
    <fill>
      <patternFill patternType="solid">
        <fgColor rgb="FFA65CC4"/>
        <bgColor indexed="64"/>
      </patternFill>
    </fill>
    <fill>
      <patternFill patternType="solid">
        <fgColor rgb="FFD165AA"/>
        <bgColor indexed="64"/>
      </patternFill>
    </fill>
    <fill>
      <patternFill patternType="solid">
        <fgColor rgb="FFFFBD97"/>
        <bgColor indexed="64"/>
      </patternFill>
    </fill>
    <fill>
      <patternFill patternType="solid">
        <fgColor rgb="FF215C98"/>
        <bgColor indexed="64"/>
      </patternFill>
    </fill>
    <fill>
      <patternFill patternType="solid">
        <fgColor theme="5" tint="0.59999389629810485"/>
        <bgColor indexed="64"/>
      </patternFill>
    </fill>
    <fill>
      <patternFill patternType="solid">
        <fgColor rgb="FFF7F7AF"/>
        <bgColor indexed="64"/>
      </patternFill>
    </fill>
    <fill>
      <patternFill patternType="solid">
        <fgColor rgb="FFDAE9F9"/>
        <bgColor indexed="64"/>
      </patternFill>
    </fill>
    <fill>
      <patternFill patternType="solid">
        <fgColor rgb="FFBAD7F4"/>
        <bgColor indexed="64"/>
      </patternFill>
    </fill>
    <fill>
      <patternFill patternType="solid">
        <fgColor rgb="FF9FC5EB"/>
        <bgColor indexed="64"/>
      </patternFill>
    </fill>
  </fills>
  <borders count="10">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3C8C7B"/>
      </left>
      <right style="thin">
        <color rgb="FF3C8C7B"/>
      </right>
      <top style="thin">
        <color rgb="FF3C8C7B"/>
      </top>
      <bottom style="thin">
        <color rgb="FF3C8C7B"/>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s>
  <cellStyleXfs count="2">
    <xf numFmtId="0" fontId="0" fillId="0" borderId="0"/>
    <xf numFmtId="9" fontId="1" fillId="0" borderId="0" applyFont="0" applyFill="0" applyBorder="0" applyAlignment="0" applyProtection="0"/>
  </cellStyleXfs>
  <cellXfs count="105">
    <xf numFmtId="0" fontId="0" fillId="0" borderId="0" xfId="0"/>
    <xf numFmtId="0" fontId="0" fillId="2" borderId="0" xfId="0" applyFill="1"/>
    <xf numFmtId="0" fontId="0" fillId="2" borderId="0" xfId="0" applyFill="1" applyAlignment="1">
      <alignment horizontal="left"/>
    </xf>
    <xf numFmtId="0" fontId="2" fillId="2" borderId="0" xfId="0" applyFont="1" applyFill="1"/>
    <xf numFmtId="0" fontId="4" fillId="2" borderId="0" xfId="0" applyFont="1" applyFill="1"/>
    <xf numFmtId="164" fontId="0" fillId="2" borderId="0" xfId="0" applyNumberFormat="1" applyFill="1"/>
    <xf numFmtId="0" fontId="6" fillId="2" borderId="0" xfId="0" applyFont="1" applyFill="1"/>
    <xf numFmtId="1" fontId="0" fillId="3" borderId="0" xfId="0" applyNumberFormat="1" applyFill="1"/>
    <xf numFmtId="3" fontId="0" fillId="3" borderId="0" xfId="0" applyNumberFormat="1" applyFill="1"/>
    <xf numFmtId="0" fontId="9" fillId="2" borderId="0" xfId="0" applyFont="1" applyFill="1"/>
    <xf numFmtId="0" fontId="0" fillId="2" borderId="0" xfId="0" applyFill="1" applyAlignment="1">
      <alignment horizontal="left" wrapText="1"/>
    </xf>
    <xf numFmtId="0" fontId="11" fillId="5" borderId="0" xfId="0" applyFont="1" applyFill="1"/>
    <xf numFmtId="0" fontId="0" fillId="5" borderId="0" xfId="0" applyFill="1"/>
    <xf numFmtId="3" fontId="9" fillId="2" borderId="0" xfId="0" applyNumberFormat="1" applyFont="1" applyFill="1"/>
    <xf numFmtId="1" fontId="9" fillId="2" borderId="0" xfId="0" applyNumberFormat="1" applyFont="1" applyFill="1"/>
    <xf numFmtId="0" fontId="0" fillId="2" borderId="0" xfId="0" applyFill="1" applyAlignment="1">
      <alignment horizontal="left" vertical="center" wrapText="1"/>
    </xf>
    <xf numFmtId="0" fontId="7" fillId="6" borderId="0" xfId="0" applyFont="1" applyFill="1" applyAlignment="1">
      <alignment horizontal="center" vertical="center" wrapText="1"/>
    </xf>
    <xf numFmtId="0" fontId="9" fillId="2" borderId="0" xfId="0" applyFont="1" applyFill="1" applyAlignment="1">
      <alignment horizontal="left" vertical="center"/>
    </xf>
    <xf numFmtId="3" fontId="4" fillId="2" borderId="0" xfId="0" applyNumberFormat="1" applyFont="1" applyFill="1"/>
    <xf numFmtId="9" fontId="4" fillId="2" borderId="0" xfId="1" applyFont="1" applyFill="1" applyAlignment="1">
      <alignment horizontal="center" vertical="center"/>
    </xf>
    <xf numFmtId="0" fontId="4" fillId="0" borderId="0" xfId="0" applyFont="1"/>
    <xf numFmtId="0" fontId="13" fillId="12" borderId="0" xfId="0" applyFont="1" applyFill="1" applyAlignment="1">
      <alignment vertical="center"/>
    </xf>
    <xf numFmtId="0" fontId="13" fillId="2" borderId="0" xfId="0" applyFont="1" applyFill="1" applyAlignment="1">
      <alignment horizontal="left" vertical="center"/>
    </xf>
    <xf numFmtId="0" fontId="13" fillId="13" borderId="0" xfId="0" applyFont="1" applyFill="1" applyAlignment="1">
      <alignment vertical="center"/>
    </xf>
    <xf numFmtId="0" fontId="13" fillId="8" borderId="0" xfId="0" applyFont="1" applyFill="1" applyAlignment="1">
      <alignment vertical="center"/>
    </xf>
    <xf numFmtId="0" fontId="13" fillId="9" borderId="0" xfId="0" applyFont="1" applyFill="1" applyAlignment="1">
      <alignment vertical="center"/>
    </xf>
    <xf numFmtId="0" fontId="13" fillId="14" borderId="0" xfId="0" applyFont="1" applyFill="1" applyAlignment="1">
      <alignment vertical="center"/>
    </xf>
    <xf numFmtId="0" fontId="13" fillId="10" borderId="0" xfId="0" applyFont="1" applyFill="1" applyAlignment="1">
      <alignment vertical="center"/>
    </xf>
    <xf numFmtId="0" fontId="13" fillId="2" borderId="0" xfId="0" applyFont="1" applyFill="1"/>
    <xf numFmtId="0" fontId="15" fillId="2" borderId="0" xfId="0" applyFont="1" applyFill="1"/>
    <xf numFmtId="0" fontId="13" fillId="2" borderId="0" xfId="0" applyFont="1" applyFill="1" applyAlignment="1">
      <alignment horizontal="right"/>
    </xf>
    <xf numFmtId="0" fontId="3" fillId="2" borderId="0" xfId="0" applyFont="1" applyFill="1" applyAlignment="1">
      <alignment horizontal="left" vertical="center" indent="2"/>
    </xf>
    <xf numFmtId="0" fontId="12" fillId="2" borderId="0" xfId="0" applyFont="1" applyFill="1"/>
    <xf numFmtId="0" fontId="12" fillId="2" borderId="0" xfId="0" applyFont="1" applyFill="1" applyAlignment="1">
      <alignment horizontal="left" wrapText="1"/>
    </xf>
    <xf numFmtId="0" fontId="12" fillId="2" borderId="0" xfId="0" applyFont="1" applyFill="1" applyAlignment="1">
      <alignment horizontal="left"/>
    </xf>
    <xf numFmtId="0" fontId="22" fillId="2" borderId="0" xfId="0" applyFont="1" applyFill="1"/>
    <xf numFmtId="0" fontId="2" fillId="2" borderId="0" xfId="0" applyFont="1" applyFill="1" applyAlignment="1">
      <alignment vertical="center" wrapText="1"/>
    </xf>
    <xf numFmtId="3" fontId="0" fillId="0" borderId="0" xfId="0" applyNumberFormat="1"/>
    <xf numFmtId="9" fontId="0" fillId="0" borderId="0" xfId="1" applyFont="1" applyAlignment="1">
      <alignment horizontal="center" vertical="center"/>
    </xf>
    <xf numFmtId="0" fontId="18" fillId="2" borderId="0" xfId="0" applyFont="1" applyFill="1" applyAlignment="1">
      <alignment horizontal="center" vertical="center"/>
    </xf>
    <xf numFmtId="0" fontId="19" fillId="2" borderId="0" xfId="0" applyFont="1" applyFill="1" applyAlignment="1">
      <alignment horizontal="center" vertical="center"/>
    </xf>
    <xf numFmtId="0" fontId="20" fillId="2" borderId="0" xfId="0" applyFont="1" applyFill="1" applyAlignment="1">
      <alignment horizontal="center" vertical="center"/>
    </xf>
    <xf numFmtId="0" fontId="0" fillId="4" borderId="0" xfId="0" applyFill="1"/>
    <xf numFmtId="0" fontId="23" fillId="2" borderId="0" xfId="0" applyFont="1" applyFill="1"/>
    <xf numFmtId="0" fontId="18" fillId="2" borderId="0" xfId="0" applyFont="1" applyFill="1" applyAlignment="1">
      <alignment vertical="center"/>
    </xf>
    <xf numFmtId="0" fontId="13" fillId="2" borderId="0" xfId="0" applyFont="1" applyFill="1" applyAlignment="1">
      <alignment horizontal="center"/>
    </xf>
    <xf numFmtId="0" fontId="12" fillId="2" borderId="0" xfId="0" applyFont="1" applyFill="1" applyAlignment="1">
      <alignment vertical="center" wrapText="1"/>
    </xf>
    <xf numFmtId="0" fontId="4" fillId="2" borderId="0" xfId="0" applyFont="1" applyFill="1" applyAlignment="1">
      <alignment horizontal="center" vertical="center"/>
    </xf>
    <xf numFmtId="0" fontId="0" fillId="0" borderId="0" xfId="0" applyAlignment="1">
      <alignment horizontal="center" vertical="center"/>
    </xf>
    <xf numFmtId="0" fontId="7" fillId="2" borderId="0" xfId="0" applyFont="1" applyFill="1"/>
    <xf numFmtId="0" fontId="0" fillId="16" borderId="4" xfId="0" applyFill="1" applyBorder="1"/>
    <xf numFmtId="3" fontId="7" fillId="6" borderId="0" xfId="0" applyNumberFormat="1" applyFont="1" applyFill="1" applyAlignment="1">
      <alignment horizontal="center" vertical="center" wrapText="1"/>
    </xf>
    <xf numFmtId="3" fontId="7" fillId="6" borderId="7" xfId="0" applyNumberFormat="1" applyFont="1" applyFill="1" applyBorder="1" applyAlignment="1">
      <alignment horizontal="center" vertical="center" wrapText="1"/>
    </xf>
    <xf numFmtId="0" fontId="25" fillId="2" borderId="0" xfId="0" applyFont="1" applyFill="1"/>
    <xf numFmtId="0" fontId="7" fillId="6" borderId="7" xfId="0" applyFont="1" applyFill="1" applyBorder="1" applyAlignment="1">
      <alignment horizontal="center" vertical="center" wrapText="1"/>
    </xf>
    <xf numFmtId="0" fontId="0" fillId="17" borderId="0" xfId="0" applyFill="1"/>
    <xf numFmtId="0" fontId="26" fillId="2" borderId="0" xfId="0" applyFont="1" applyFill="1" applyAlignment="1">
      <alignment vertical="center" wrapText="1"/>
    </xf>
    <xf numFmtId="0" fontId="7" fillId="18" borderId="8" xfId="0" applyFont="1" applyFill="1" applyBorder="1" applyAlignment="1">
      <alignment horizontal="center" vertical="center" wrapText="1"/>
    </xf>
    <xf numFmtId="3" fontId="7" fillId="18" borderId="0" xfId="0" applyNumberFormat="1" applyFont="1" applyFill="1" applyAlignment="1">
      <alignment horizontal="center" vertical="center" wrapText="1"/>
    </xf>
    <xf numFmtId="3" fontId="7" fillId="18" borderId="8" xfId="0" applyNumberFormat="1" applyFont="1" applyFill="1" applyBorder="1" applyAlignment="1">
      <alignment horizontal="center" vertical="center" wrapText="1"/>
    </xf>
    <xf numFmtId="3" fontId="7" fillId="6" borderId="9" xfId="0" applyNumberFormat="1" applyFont="1" applyFill="1" applyBorder="1" applyAlignment="1">
      <alignment horizontal="center" vertical="center" wrapText="1"/>
    </xf>
    <xf numFmtId="0" fontId="7" fillId="6" borderId="8" xfId="0" applyFont="1" applyFill="1" applyBorder="1" applyAlignment="1">
      <alignment horizontal="center" vertical="center" wrapText="1"/>
    </xf>
    <xf numFmtId="0" fontId="23" fillId="2" borderId="0" xfId="0" applyFont="1" applyFill="1" applyAlignment="1">
      <alignment horizontal="left" vertical="center"/>
    </xf>
    <xf numFmtId="0" fontId="23" fillId="2" borderId="0" xfId="0" applyFont="1" applyFill="1" applyAlignment="1">
      <alignment horizontal="left" wrapText="1"/>
    </xf>
    <xf numFmtId="9" fontId="7" fillId="19" borderId="0" xfId="1" applyFont="1" applyFill="1" applyBorder="1" applyAlignment="1">
      <alignment horizontal="center" vertical="center" wrapText="1"/>
    </xf>
    <xf numFmtId="0" fontId="7" fillId="19" borderId="0" xfId="0" applyFont="1" applyFill="1" applyAlignment="1">
      <alignment horizontal="center" vertical="center" wrapText="1"/>
    </xf>
    <xf numFmtId="0" fontId="7" fillId="20" borderId="7" xfId="0" applyFont="1" applyFill="1" applyBorder="1" applyAlignment="1">
      <alignment horizontal="center" vertical="center" wrapText="1"/>
    </xf>
    <xf numFmtId="9" fontId="7" fillId="20" borderId="7" xfId="1" applyFont="1" applyFill="1" applyBorder="1" applyAlignment="1">
      <alignment horizontal="center" vertical="center" wrapText="1"/>
    </xf>
    <xf numFmtId="0" fontId="12" fillId="2" borderId="0" xfId="0" applyFont="1" applyFill="1" applyAlignment="1">
      <alignment horizontal="center" vertical="top" wrapText="1"/>
    </xf>
    <xf numFmtId="0" fontId="14" fillId="2" borderId="0" xfId="0" applyFont="1" applyFill="1" applyAlignment="1">
      <alignment horizontal="left" vertical="center" wrapText="1"/>
    </xf>
    <xf numFmtId="0" fontId="13" fillId="2" borderId="0" xfId="0" applyFont="1" applyFill="1" applyAlignment="1">
      <alignment horizontal="left" vertical="center" wrapText="1"/>
    </xf>
    <xf numFmtId="0" fontId="18" fillId="2" borderId="0" xfId="0" applyFont="1" applyFill="1" applyAlignment="1">
      <alignment horizontal="center" vertical="center"/>
    </xf>
    <xf numFmtId="0" fontId="12" fillId="2" borderId="0" xfId="0" applyFont="1" applyFill="1" applyAlignment="1">
      <alignment horizontal="center" vertical="center" wrapText="1"/>
    </xf>
    <xf numFmtId="0" fontId="19" fillId="2" borderId="0" xfId="0" applyFont="1" applyFill="1" applyAlignment="1">
      <alignment horizontal="center" vertical="center"/>
    </xf>
    <xf numFmtId="0" fontId="20" fillId="2" borderId="0" xfId="0" applyFont="1" applyFill="1" applyAlignment="1">
      <alignment horizontal="center" vertical="center"/>
    </xf>
    <xf numFmtId="0" fontId="22" fillId="2" borderId="0" xfId="0" applyFont="1" applyFill="1" applyAlignment="1">
      <alignment horizontal="left" vertical="center" wrapText="1"/>
    </xf>
    <xf numFmtId="0" fontId="16" fillId="2" borderId="0" xfId="0" applyFont="1" applyFill="1" applyAlignment="1">
      <alignment horizontal="left" vertical="center"/>
    </xf>
    <xf numFmtId="0" fontId="17" fillId="2" borderId="0" xfId="0" applyFont="1" applyFill="1" applyAlignment="1">
      <alignment horizontal="left" vertical="center" wrapText="1" indent="1"/>
    </xf>
    <xf numFmtId="0" fontId="10" fillId="2" borderId="0" xfId="0" applyFont="1" applyFill="1" applyAlignment="1">
      <alignment horizontal="center" vertical="center" wrapText="1"/>
    </xf>
    <xf numFmtId="0" fontId="5" fillId="2" borderId="0" xfId="0" applyFont="1" applyFill="1" applyAlignment="1">
      <alignment horizontal="center"/>
    </xf>
    <xf numFmtId="0" fontId="3" fillId="2" borderId="0" xfId="0" applyFont="1" applyFill="1" applyAlignment="1">
      <alignment horizontal="center" vertical="center" wrapText="1"/>
    </xf>
    <xf numFmtId="0" fontId="13" fillId="2" borderId="0" xfId="0" applyFont="1" applyFill="1" applyAlignment="1">
      <alignment horizontal="right"/>
    </xf>
    <xf numFmtId="0" fontId="13" fillId="3" borderId="1" xfId="0" applyFont="1" applyFill="1" applyBorder="1" applyAlignment="1" applyProtection="1">
      <alignment horizontal="left"/>
      <protection locked="0"/>
    </xf>
    <xf numFmtId="0" fontId="13" fillId="3" borderId="2" xfId="0" applyFont="1" applyFill="1" applyBorder="1" applyAlignment="1" applyProtection="1">
      <alignment horizontal="left"/>
      <protection locked="0"/>
    </xf>
    <xf numFmtId="0" fontId="13" fillId="2" borderId="5" xfId="0" applyFont="1" applyFill="1" applyBorder="1" applyAlignment="1">
      <alignment horizontal="center" vertical="center"/>
    </xf>
    <xf numFmtId="0" fontId="13" fillId="2" borderId="6" xfId="0" applyFont="1" applyFill="1" applyBorder="1" applyAlignment="1">
      <alignment horizontal="center" vertical="center"/>
    </xf>
    <xf numFmtId="165" fontId="13" fillId="2" borderId="5" xfId="1" applyNumberFormat="1" applyFont="1" applyFill="1" applyBorder="1" applyAlignment="1">
      <alignment horizontal="center" vertical="center"/>
    </xf>
    <xf numFmtId="165" fontId="13" fillId="2" borderId="6" xfId="1" applyNumberFormat="1" applyFont="1" applyFill="1" applyBorder="1" applyAlignment="1">
      <alignment horizontal="center" vertical="center"/>
    </xf>
    <xf numFmtId="0" fontId="8" fillId="7" borderId="1" xfId="0" applyFont="1" applyFill="1" applyBorder="1" applyAlignment="1">
      <alignment horizontal="center" vertical="center"/>
    </xf>
    <xf numFmtId="0" fontId="8" fillId="7" borderId="3" xfId="0" applyFont="1" applyFill="1" applyBorder="1" applyAlignment="1">
      <alignment horizontal="center" vertical="center"/>
    </xf>
    <xf numFmtId="0" fontId="8" fillId="7" borderId="2" xfId="0" applyFont="1" applyFill="1" applyBorder="1" applyAlignment="1">
      <alignment horizontal="center" vertical="center"/>
    </xf>
    <xf numFmtId="0" fontId="8" fillId="11" borderId="1" xfId="0" applyFont="1" applyFill="1" applyBorder="1" applyAlignment="1">
      <alignment horizontal="center" vertical="center"/>
    </xf>
    <xf numFmtId="0" fontId="8" fillId="11" borderId="3" xfId="0" applyFont="1" applyFill="1" applyBorder="1" applyAlignment="1">
      <alignment horizontal="center" vertical="center"/>
    </xf>
    <xf numFmtId="0" fontId="8" fillId="11" borderId="2" xfId="0" applyFont="1" applyFill="1" applyBorder="1" applyAlignment="1">
      <alignment horizontal="center" vertical="center"/>
    </xf>
    <xf numFmtId="0" fontId="12" fillId="2" borderId="0" xfId="0" applyFont="1" applyFill="1" applyAlignment="1">
      <alignment horizontal="left" vertical="center" wrapText="1" indent="2"/>
    </xf>
    <xf numFmtId="0" fontId="12" fillId="2" borderId="0" xfId="0" applyFont="1" applyFill="1" applyAlignment="1">
      <alignment horizontal="left" vertical="center" indent="2"/>
    </xf>
    <xf numFmtId="0" fontId="8" fillId="15" borderId="1" xfId="0" applyFont="1" applyFill="1" applyBorder="1" applyAlignment="1">
      <alignment horizontal="center" vertical="center"/>
    </xf>
    <xf numFmtId="0" fontId="8" fillId="15" borderId="3" xfId="0" applyFont="1" applyFill="1" applyBorder="1" applyAlignment="1">
      <alignment horizontal="center" vertical="center"/>
    </xf>
    <xf numFmtId="0" fontId="8" fillId="15" borderId="2" xfId="0" applyFont="1" applyFill="1" applyBorder="1" applyAlignment="1">
      <alignment horizontal="center" vertical="center"/>
    </xf>
    <xf applyNumberFormat="1" borderId="0" fillId="0" fontId="0" numFmtId="166" xfId="0"/>
    <xf applyNumberFormat="1" borderId="0" fillId="0" fontId="0" numFmtId="167" xfId="0"/>
    <xf applyNumberFormat="1" borderId="0" fillId="0" fontId="0" numFmtId="168" xfId="0"/>
    <xf applyNumberFormat="1" borderId="0" fillId="0" fontId="0" numFmtId="169" xfId="0"/>
    <xf applyNumberFormat="1" borderId="0" fillId="0" fontId="0" numFmtId="170" xfId="0"/>
    <xf applyNumberFormat="1" borderId="0" fillId="0" fontId="0" numFmtId="171" xfId="0"/>
  </cellXfs>
  <cellStyles count="2">
    <cellStyle name="Normal" xfId="0" builtinId="0"/>
    <cellStyle name="Porcentaje" xfId="1" builtinId="5"/>
  </cellStyles>
  <dxfs count="4">
    <dxf>
      <fill>
        <patternFill>
          <bgColor rgb="FFE399DC"/>
        </patternFill>
      </fill>
    </dxf>
    <dxf>
      <fill>
        <patternFill>
          <bgColor rgb="FFE399DC"/>
        </patternFill>
      </fill>
    </dxf>
    <dxf>
      <fill>
        <patternFill>
          <bgColor rgb="FFE399DC"/>
        </patternFill>
      </fill>
    </dxf>
    <dxf>
      <fill>
        <patternFill>
          <bgColor rgb="FFE399DC"/>
        </patternFill>
      </fill>
    </dxf>
  </dxfs>
  <colors>
    <mruColors>
      <color rgb="FFBAD7F4"/>
      <color rgb="FF9FC5EB"/>
      <color rgb="FFDAE9F9"/>
      <color rgb="FF000000"/>
      <color rgb="FFFEBFBA"/>
      <color rgb="FFFFFA9F"/>
      <color rgb="FF3A3A3A"/>
      <color rgb="FF9BF5C4"/>
      <color rgb="FF00DA63"/>
      <color rgb="FFFFF6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charts/_rels/chart1.xml.rels><?xml version="1.0" encoding="UTF-8" standalone="yes"?><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r>
              <a:rPr lang="en-US" sz="1100" b="1">
                <a:latin typeface="+mj-lt"/>
              </a:rPr>
              <a:t>Monto programado por Sector (en millones de pesos)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0.28285211219379314"/>
          <c:y val="8.7741223811904287E-2"/>
          <c:w val="0.66819877250944681"/>
          <c:h val="0.83957062058195309"/>
        </c:manualLayout>
      </c:layout>
      <c:barChart>
        <c:barDir val="bar"/>
        <c:grouping val="clustered"/>
        <c:varyColors val="0"/>
        <c:ser>
          <c:idx val="0"/>
          <c:order val="0"/>
          <c:spPr>
            <a:solidFill>
              <a:srgbClr val="60B99A"/>
            </a:solidFill>
            <a:ln>
              <a:noFill/>
            </a:ln>
            <a:effectLst/>
          </c:spPr>
          <c:invertIfNegative val="0"/>
          <c:dLbls>
            <c:dLbl>
              <c:idx val="0"/>
              <c:tx>
                <c:rich>
                  <a:bodyPr/>
                  <a:lstStyle/>
                  <a:p>
                    <a:fld id="{86708646-06F0-44BF-B40F-8187AA71B704}"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F2B-459C-AC47-38F1A835D05B}"/>
                </c:ext>
              </c:extLst>
            </c:dLbl>
            <c:dLbl>
              <c:idx val="1"/>
              <c:tx>
                <c:rich>
                  <a:bodyPr/>
                  <a:lstStyle/>
                  <a:p>
                    <a:fld id="{2C7022E3-3026-45EE-BBAA-C14909683298}"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F2B-459C-AC47-38F1A835D05B}"/>
                </c:ext>
              </c:extLst>
            </c:dLbl>
            <c:dLbl>
              <c:idx val="2"/>
              <c:tx>
                <c:rich>
                  <a:bodyPr/>
                  <a:lstStyle/>
                  <a:p>
                    <a:fld id="{78AA829D-06C3-44E9-A13E-C43AE53F1AC2}"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F2B-459C-AC47-38F1A835D05B}"/>
                </c:ext>
              </c:extLst>
            </c:dLbl>
            <c:dLbl>
              <c:idx val="3"/>
              <c:tx>
                <c:rich>
                  <a:bodyPr/>
                  <a:lstStyle/>
                  <a:p>
                    <a:fld id="{D7D10F66-7E09-4EED-955D-B625B5DB5524}"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F2B-459C-AC47-38F1A835D05B}"/>
                </c:ext>
              </c:extLst>
            </c:dLbl>
            <c:dLbl>
              <c:idx val="4"/>
              <c:tx>
                <c:rich>
                  <a:bodyPr/>
                  <a:lstStyle/>
                  <a:p>
                    <a:fld id="{C8A54928-30D5-44DC-BD36-028F3AE9CD14}"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F2B-459C-AC47-38F1A835D05B}"/>
                </c:ext>
              </c:extLst>
            </c:dLbl>
            <c:dLbl>
              <c:idx val="5"/>
              <c:tx>
                <c:rich>
                  <a:bodyPr/>
                  <a:lstStyle/>
                  <a:p>
                    <a:fld id="{97172F8E-1965-4A90-9198-0988BC6E696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F2B-459C-AC47-38F1A835D05B}"/>
                </c:ext>
              </c:extLst>
            </c:dLbl>
            <c:dLbl>
              <c:idx val="6"/>
              <c:tx>
                <c:rich>
                  <a:bodyPr/>
                  <a:lstStyle/>
                  <a:p>
                    <a:fld id="{49611170-3CBD-425A-A8EC-D314CB7C085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F2B-459C-AC47-38F1A835D05B}"/>
                </c:ext>
              </c:extLst>
            </c:dLbl>
            <c:dLbl>
              <c:idx val="7"/>
              <c:tx>
                <c:rich>
                  <a:bodyPr/>
                  <a:lstStyle/>
                  <a:p>
                    <a:fld id="{F109D7FC-81F2-4199-BD85-F88BDFB7278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F2B-459C-AC47-38F1A835D05B}"/>
                </c:ext>
              </c:extLst>
            </c:dLbl>
            <c:dLbl>
              <c:idx val="8"/>
              <c:tx>
                <c:rich>
                  <a:bodyPr/>
                  <a:lstStyle/>
                  <a:p>
                    <a:fld id="{E02D7E04-CD3E-4E75-82C0-2F3E4DFC1470}"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F2B-459C-AC47-38F1A835D05B}"/>
                </c:ext>
              </c:extLst>
            </c:dLbl>
            <c:dLbl>
              <c:idx val="9"/>
              <c:tx>
                <c:rich>
                  <a:bodyPr/>
                  <a:lstStyle/>
                  <a:p>
                    <a:fld id="{AF052F5F-396D-4EEE-999B-B986DD033C2B}"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F2B-459C-AC47-38F1A835D05B}"/>
                </c:ext>
              </c:extLst>
            </c:dLbl>
            <c:dLbl>
              <c:idx val="10"/>
              <c:tx>
                <c:rich>
                  <a:bodyPr/>
                  <a:lstStyle/>
                  <a:p>
                    <a:fld id="{D5E2608F-9C10-499B-B8BA-E305709532B3}"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F2B-459C-AC47-38F1A835D05B}"/>
                </c:ext>
              </c:extLst>
            </c:dLbl>
            <c:dLbl>
              <c:idx val="11"/>
              <c:tx>
                <c:rich>
                  <a:bodyPr/>
                  <a:lstStyle/>
                  <a:p>
                    <a:fld id="{39E62150-EF8F-4D6B-844D-9C62C347D3BD}"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F2B-459C-AC47-38F1A835D05B}"/>
                </c:ext>
              </c:extLst>
            </c:dLbl>
            <c:dLbl>
              <c:idx val="12"/>
              <c:tx>
                <c:rich>
                  <a:bodyPr/>
                  <a:lstStyle/>
                  <a:p>
                    <a:fld id="{264EBC48-1D27-4E15-8F61-8E11FCE406C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F2B-459C-AC47-38F1A835D05B}"/>
                </c:ext>
              </c:extLst>
            </c:dLbl>
            <c:dLbl>
              <c:idx val="13"/>
              <c:tx>
                <c:rich>
                  <a:bodyPr/>
                  <a:lstStyle/>
                  <a:p>
                    <a:fld id="{AD24E199-D8D9-4065-BBCE-418B024AA63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F2B-459C-AC47-38F1A835D05B}"/>
                </c:ext>
              </c:extLst>
            </c:dLbl>
            <c:dLbl>
              <c:idx val="14"/>
              <c:tx>
                <c:rich>
                  <a:bodyPr/>
                  <a:lstStyle/>
                  <a:p>
                    <a:fld id="{02388BC9-250E-4D3A-B0F9-19857A5FF0D2}"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BF2B-459C-AC47-38F1A835D05B}"/>
                </c:ext>
              </c:extLst>
            </c:dLbl>
            <c:dLbl>
              <c:idx val="15"/>
              <c:tx>
                <c:rich>
                  <a:bodyPr/>
                  <a:lstStyle/>
                  <a:p>
                    <a:fld id="{24F79D1B-D92E-41AB-A845-0C3F366CF115}"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BF2B-459C-AC47-38F1A835D05B}"/>
                </c:ext>
              </c:extLst>
            </c:dLbl>
            <c:dLbl>
              <c:idx val="16"/>
              <c:tx>
                <c:rich>
                  <a:bodyPr/>
                  <a:lstStyle/>
                  <a:p>
                    <a:fld id="{C5DCE0FB-86E1-467A-9A09-53027ACFD2A1}"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BF2B-459C-AC47-38F1A835D05B}"/>
                </c:ext>
              </c:extLst>
            </c:dLbl>
            <c:dLbl>
              <c:idx val="17"/>
              <c:tx>
                <c:rich>
                  <a:bodyPr/>
                  <a:lstStyle/>
                  <a:p>
                    <a:fld id="{2B424381-83F0-4D59-BEFC-C48692F2295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E5C1-4C7A-88EA-67AAE2953991}"/>
                </c:ext>
              </c:extLst>
            </c:dLbl>
            <c:dLbl>
              <c:idx val="18"/>
              <c:tx>
                <c:rich>
                  <a:bodyPr/>
                  <a:lstStyle/>
                  <a:p>
                    <a:fld id="{CD61F6A7-3480-4FDE-99C1-7161DF8A22F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5C1-4C7A-88EA-67AAE2953991}"/>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Resumen!$B$24:$B$42</c:f>
              <c:strCache>
                <c:ptCount val="19"/>
                <c:pt idx="0">
                  <c:v>Agricultura y desarrollo rural
</c:v>
                </c:pt>
                <c:pt idx="1">
                  <c:v>Ambiente y desarrollo sostenible</c:v>
                </c:pt>
                <c:pt idx="2">
                  <c:v>Ciencia, tecnología e innovación
</c:v>
                </c:pt>
                <c:pt idx="3">
                  <c:v>Comercio, industria y turismo</c:v>
                </c:pt>
                <c:pt idx="4">
                  <c:v>Cultura</c:v>
                </c:pt>
                <c:pt idx="5">
                  <c:v>Defensa y policía</c:v>
                </c:pt>
                <c:pt idx="6">
                  <c:v>Deporte y recreación</c:v>
                </c:pt>
                <c:pt idx="7">
                  <c:v>Educación</c:v>
                </c:pt>
                <c:pt idx="8">
                  <c:v>Gobierno territorial</c:v>
                </c:pt>
                <c:pt idx="9">
                  <c:v>Inclusión social y reconciliación </c:v>
                </c:pt>
                <c:pt idx="10">
                  <c:v>Información estadística</c:v>
                </c:pt>
                <c:pt idx="11">
                  <c:v>Justicia y del derecho</c:v>
                </c:pt>
                <c:pt idx="12">
                  <c:v>Minas y energía</c:v>
                </c:pt>
                <c:pt idx="13">
                  <c:v>Organismos de control</c:v>
                </c:pt>
                <c:pt idx="14">
                  <c:v>Salud y protección social</c:v>
                </c:pt>
                <c:pt idx="15">
                  <c:v>Tecnologías de la información y las comunicaciones</c:v>
                </c:pt>
                <c:pt idx="16">
                  <c:v>Trabajo</c:v>
                </c:pt>
                <c:pt idx="17">
                  <c:v>Transporte</c:v>
                </c:pt>
                <c:pt idx="18">
                  <c:v>Vivienda, ciudad y territorio</c:v>
                </c:pt>
              </c:strCache>
            </c:strRef>
          </c:cat>
          <c:val>
            <c:numRef>
              <c:f>Resumen!$H$24:$H$42</c:f>
              <c:numCache>
                <c:formatCode>#,##0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val>
          <c:extLst>
            <c:ext xmlns:c15="http://schemas.microsoft.com/office/drawing/2012/chart" uri="{02D57815-91ED-43cb-92C2-25804820EDAC}">
              <c15:datalabelsRange>
                <c15:f>Resumen!$I$24:$I$42</c15:f>
                <c15:dlblRangeCache>
                  <c:ptCount val="19"/>
                  <c:pt idx="0">
                    <c:v>#¡DIV/0!</c:v>
                  </c:pt>
                  <c:pt idx="1">
                    <c:v>#¡DIV/0!</c:v>
                  </c:pt>
                  <c:pt idx="2">
                    <c:v>#¡DIV/0!</c:v>
                  </c:pt>
                  <c:pt idx="3">
                    <c:v>#¡DIV/0!</c:v>
                  </c:pt>
                  <c:pt idx="4">
                    <c:v>#¡DIV/0!</c:v>
                  </c:pt>
                  <c:pt idx="5">
                    <c:v>#¡DIV/0!</c:v>
                  </c:pt>
                  <c:pt idx="6">
                    <c:v>#¡DIV/0!</c:v>
                  </c:pt>
                  <c:pt idx="7">
                    <c:v>#¡DIV/0!</c:v>
                  </c:pt>
                  <c:pt idx="8">
                    <c:v>#¡DIV/0!</c:v>
                  </c:pt>
                  <c:pt idx="9">
                    <c:v>#¡DIV/0!</c:v>
                  </c:pt>
                  <c:pt idx="10">
                    <c:v>#¡DIV/0!</c:v>
                  </c:pt>
                  <c:pt idx="11">
                    <c:v>#¡DIV/0!</c:v>
                  </c:pt>
                  <c:pt idx="12">
                    <c:v>#¡DIV/0!</c:v>
                  </c:pt>
                  <c:pt idx="13">
                    <c:v>#¡DIV/0!</c:v>
                  </c:pt>
                  <c:pt idx="14">
                    <c:v>#¡DIV/0!</c:v>
                  </c:pt>
                  <c:pt idx="15">
                    <c:v>#¡DIV/0!</c:v>
                  </c:pt>
                  <c:pt idx="16">
                    <c:v>#¡DIV/0!</c:v>
                  </c:pt>
                  <c:pt idx="17">
                    <c:v>#¡DIV/0!</c:v>
                  </c:pt>
                  <c:pt idx="18">
                    <c:v>#¡DIV/0!</c:v>
                  </c:pt>
                </c15:dlblRangeCache>
              </c15:datalabelsRange>
            </c:ext>
            <c:ext xmlns:c16="http://schemas.microsoft.com/office/drawing/2014/chart" uri="{C3380CC4-5D6E-409C-BE32-E72D297353CC}">
              <c16:uniqueId val="{00000000-D22C-4ED8-BDA6-0A0B48D78EAC}"/>
            </c:ext>
          </c:extLst>
        </c:ser>
        <c:dLbls>
          <c:dLblPos val="outEnd"/>
          <c:showLegendKey val="0"/>
          <c:showVal val="1"/>
          <c:showCatName val="0"/>
          <c:showSerName val="0"/>
          <c:showPercent val="0"/>
          <c:showBubbleSize val="0"/>
        </c:dLbls>
        <c:gapWidth val="25"/>
        <c:axId val="1629265823"/>
        <c:axId val="1629268703"/>
      </c:barChart>
      <c:catAx>
        <c:axId val="16292658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j-lt"/>
                <a:ea typeface="+mn-ea"/>
                <a:cs typeface="+mn-cs"/>
              </a:defRPr>
            </a:pPr>
            <a:endParaRPr lang="en-US"/>
          </a:p>
        </c:txPr>
        <c:crossAx val="1629268703"/>
        <c:crosses val="autoZero"/>
        <c:auto val="0"/>
        <c:lblAlgn val="ctr"/>
        <c:lblOffset val="100"/>
        <c:noMultiLvlLbl val="0"/>
      </c:catAx>
      <c:valAx>
        <c:axId val="1629268703"/>
        <c:scaling>
          <c:orientation val="minMax"/>
        </c:scaling>
        <c:delete val="0"/>
        <c:axPos val="b"/>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29265823"/>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r>
              <a:rPr lang="en-US" sz="1100" b="1">
                <a:latin typeface="+mj-lt"/>
              </a:rPr>
              <a:t>Monto programado por Fuente (en millones de pesos)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0.2813606656108496"/>
          <c:y val="0.11659932659932661"/>
          <c:w val="0.66195950718624774"/>
          <c:h val="0.81071263819295314"/>
        </c:manualLayout>
      </c:layout>
      <c:barChart>
        <c:barDir val="bar"/>
        <c:grouping val="clustered"/>
        <c:varyColors val="0"/>
        <c:ser>
          <c:idx val="0"/>
          <c:order val="0"/>
          <c:spPr>
            <a:solidFill>
              <a:srgbClr val="60B99A"/>
            </a:solidFill>
            <a:ln>
              <a:noFill/>
            </a:ln>
            <a:effectLst/>
          </c:spPr>
          <c:invertIfNegative val="0"/>
          <c:dLbls>
            <c:dLbl>
              <c:idx val="0"/>
              <c:tx>
                <c:rich>
                  <a:bodyPr/>
                  <a:lstStyle/>
                  <a:p>
                    <a:fld id="{AF31F109-E2A0-474B-B3A5-3A9A5DB496FC}"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9617-4F11-BAC5-7BA1F1DD7D9F}"/>
                </c:ext>
              </c:extLst>
            </c:dLbl>
            <c:dLbl>
              <c:idx val="1"/>
              <c:tx>
                <c:rich>
                  <a:bodyPr/>
                  <a:lstStyle/>
                  <a:p>
                    <a:fld id="{060257C4-140B-42A8-A2D9-38EFBC2E7551}"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9617-4F11-BAC5-7BA1F1DD7D9F}"/>
                </c:ext>
              </c:extLst>
            </c:dLbl>
            <c:dLbl>
              <c:idx val="2"/>
              <c:tx>
                <c:rich>
                  <a:bodyPr/>
                  <a:lstStyle/>
                  <a:p>
                    <a:fld id="{7C94BC16-5003-41C8-B7A4-4542297968E4}"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617-4F11-BAC5-7BA1F1DD7D9F}"/>
                </c:ext>
              </c:extLst>
            </c:dLbl>
            <c:dLbl>
              <c:idx val="3"/>
              <c:tx>
                <c:rich>
                  <a:bodyPr/>
                  <a:lstStyle/>
                  <a:p>
                    <a:fld id="{E6150B31-7895-4C1C-8C69-A84BDDD53006}"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617-4F11-BAC5-7BA1F1DD7D9F}"/>
                </c:ext>
              </c:extLst>
            </c:dLbl>
            <c:dLbl>
              <c:idx val="4"/>
              <c:tx>
                <c:rich>
                  <a:bodyPr/>
                  <a:lstStyle/>
                  <a:p>
                    <a:fld id="{C19A5466-F034-47EE-941A-5F0A3869D00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617-4F11-BAC5-7BA1F1DD7D9F}"/>
                </c:ext>
              </c:extLst>
            </c:dLbl>
            <c:dLbl>
              <c:idx val="5"/>
              <c:tx>
                <c:rich>
                  <a:bodyPr/>
                  <a:lstStyle/>
                  <a:p>
                    <a:fld id="{5947835D-2CD4-4DFF-BC64-45F77FD0F886}"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617-4F11-BAC5-7BA1F1DD7D9F}"/>
                </c:ext>
              </c:extLst>
            </c:dLbl>
            <c:dLbl>
              <c:idx val="6"/>
              <c:tx>
                <c:rich>
                  <a:bodyPr/>
                  <a:lstStyle/>
                  <a:p>
                    <a:fld id="{52049E1F-F3E6-430C-AD4C-7504BB5ABB8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9617-4F11-BAC5-7BA1F1DD7D9F}"/>
                </c:ext>
              </c:extLst>
            </c:dLbl>
            <c:dLbl>
              <c:idx val="7"/>
              <c:tx>
                <c:rich>
                  <a:bodyPr/>
                  <a:lstStyle/>
                  <a:p>
                    <a:fld id="{EFD07103-F02D-40DF-92C7-414533F835F7}"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617-4F11-BAC5-7BA1F1DD7D9F}"/>
                </c:ext>
              </c:extLst>
            </c:dLbl>
            <c:dLbl>
              <c:idx val="8"/>
              <c:tx>
                <c:rich>
                  <a:bodyPr/>
                  <a:lstStyle/>
                  <a:p>
                    <a:fld id="{8D9C4F3B-D655-4FC5-A40C-231B90085D6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9617-4F11-BAC5-7BA1F1DD7D9F}"/>
                </c:ext>
              </c:extLst>
            </c:dLbl>
            <c:dLbl>
              <c:idx val="9"/>
              <c:tx>
                <c:rich>
                  <a:bodyPr/>
                  <a:lstStyle/>
                  <a:p>
                    <a:fld id="{5C0CDC46-A759-4ED3-A91F-E795A25EAC58}"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9617-4F11-BAC5-7BA1F1DD7D9F}"/>
                </c:ext>
              </c:extLst>
            </c:dLbl>
            <c:dLbl>
              <c:idx val="10"/>
              <c:tx>
                <c:rich>
                  <a:bodyPr/>
                  <a:lstStyle/>
                  <a:p>
                    <a:fld id="{1DA2A256-7981-40DD-B0CD-1B491907602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9617-4F11-BAC5-7BA1F1DD7D9F}"/>
                </c:ext>
              </c:extLst>
            </c:dLbl>
            <c:dLbl>
              <c:idx val="11"/>
              <c:tx>
                <c:rich>
                  <a:bodyPr/>
                  <a:lstStyle/>
                  <a:p>
                    <a:fld id="{52AFE0E4-2604-44D2-A878-1E251E0083B7}"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9617-4F11-BAC5-7BA1F1DD7D9F}"/>
                </c:ext>
              </c:extLst>
            </c:dLbl>
            <c:dLbl>
              <c:idx val="12"/>
              <c:tx>
                <c:rich>
                  <a:bodyPr/>
                  <a:lstStyle/>
                  <a:p>
                    <a:fld id="{AEFD0834-552C-445A-84EF-D2E10976A9C7}"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9617-4F11-BAC5-7BA1F1DD7D9F}"/>
                </c:ext>
              </c:extLst>
            </c:dLbl>
            <c:dLbl>
              <c:idx val="13"/>
              <c:tx>
                <c:rich>
                  <a:bodyPr/>
                  <a:lstStyle/>
                  <a:p>
                    <a:fld id="{25901E1D-616C-4851-B06C-C50099DBE46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9617-4F11-BAC5-7BA1F1DD7D9F}"/>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Resumen!$B$43:$B$56</c:f>
              <c:strCache>
                <c:ptCount val="14"/>
                <c:pt idx="0">
                  <c:v>Recursos propios</c:v>
                </c:pt>
                <c:pt idx="1">
                  <c:v>SGP educación</c:v>
                </c:pt>
                <c:pt idx="2">
                  <c:v>SGP salud</c:v>
                </c:pt>
                <c:pt idx="3">
                  <c:v>SGP deporte</c:v>
                </c:pt>
                <c:pt idx="4">
                  <c:v>SGP cultura</c:v>
                </c:pt>
                <c:pt idx="5">
                  <c:v>SGP libre inversión</c:v>
                </c:pt>
                <c:pt idx="6">
                  <c:v>SGP libre destinación</c:v>
                </c:pt>
                <c:pt idx="7">
                  <c:v>SGP alimentación escolar</c:v>
                </c:pt>
                <c:pt idx="8">
                  <c:v>SGP municipios Rio Magdalena</c:v>
                </c:pt>
                <c:pt idx="9">
                  <c:v>SGP APSB</c:v>
                </c:pt>
                <c:pt idx="10">
                  <c:v>Crédito</c:v>
                </c:pt>
                <c:pt idx="11">
                  <c:v>Transf. capital - Cof. departamento</c:v>
                </c:pt>
                <c:pt idx="12">
                  <c:v>Transf. capital - Cof. Nación</c:v>
                </c:pt>
                <c:pt idx="13">
                  <c:v>Otros</c:v>
                </c:pt>
              </c:strCache>
            </c:strRef>
          </c:cat>
          <c:val>
            <c:numRef>
              <c:f>Resumen!$H$43:$H$56</c:f>
              <c:numCache>
                <c:formatCode>#,##0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5="http://schemas.microsoft.com/office/drawing/2012/chart" uri="{02D57815-91ED-43cb-92C2-25804820EDAC}">
              <c15:datalabelsRange>
                <c15:f>Resumen!$I$43:$I$56</c15:f>
                <c15:dlblRangeCache>
                  <c:ptCount val="14"/>
                  <c:pt idx="0">
                    <c:v>#¡DIV/0!</c:v>
                  </c:pt>
                  <c:pt idx="1">
                    <c:v>#¡DIV/0!</c:v>
                  </c:pt>
                  <c:pt idx="2">
                    <c:v>#¡DIV/0!</c:v>
                  </c:pt>
                  <c:pt idx="3">
                    <c:v>#¡DIV/0!</c:v>
                  </c:pt>
                  <c:pt idx="4">
                    <c:v>#¡DIV/0!</c:v>
                  </c:pt>
                  <c:pt idx="5">
                    <c:v>#¡DIV/0!</c:v>
                  </c:pt>
                  <c:pt idx="6">
                    <c:v>#¡DIV/0!</c:v>
                  </c:pt>
                  <c:pt idx="7">
                    <c:v>#¡DIV/0!</c:v>
                  </c:pt>
                  <c:pt idx="8">
                    <c:v>#¡DIV/0!</c:v>
                  </c:pt>
                  <c:pt idx="9">
                    <c:v>#¡DIV/0!</c:v>
                  </c:pt>
                  <c:pt idx="10">
                    <c:v>#¡DIV/0!</c:v>
                  </c:pt>
                  <c:pt idx="11">
                    <c:v>#¡DIV/0!</c:v>
                  </c:pt>
                  <c:pt idx="12">
                    <c:v>#¡DIV/0!</c:v>
                  </c:pt>
                  <c:pt idx="13">
                    <c:v>#¡DIV/0!</c:v>
                  </c:pt>
                </c15:dlblRangeCache>
              </c15:datalabelsRange>
            </c:ext>
            <c:ext xmlns:c16="http://schemas.microsoft.com/office/drawing/2014/chart" uri="{C3380CC4-5D6E-409C-BE32-E72D297353CC}">
              <c16:uniqueId val="{00000000-2975-4577-BF15-5AE863F38509}"/>
            </c:ext>
          </c:extLst>
        </c:ser>
        <c:dLbls>
          <c:dLblPos val="outEnd"/>
          <c:showLegendKey val="0"/>
          <c:showVal val="1"/>
          <c:showCatName val="0"/>
          <c:showSerName val="0"/>
          <c:showPercent val="0"/>
          <c:showBubbleSize val="0"/>
        </c:dLbls>
        <c:gapWidth val="25"/>
        <c:axId val="1629265823"/>
        <c:axId val="1629268703"/>
      </c:barChart>
      <c:catAx>
        <c:axId val="16292658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j-lt"/>
                <a:ea typeface="+mn-ea"/>
                <a:cs typeface="+mn-cs"/>
              </a:defRPr>
            </a:pPr>
            <a:endParaRPr lang="en-US"/>
          </a:p>
        </c:txPr>
        <c:crossAx val="1629268703"/>
        <c:crosses val="autoZero"/>
        <c:auto val="0"/>
        <c:lblAlgn val="ctr"/>
        <c:lblOffset val="100"/>
        <c:noMultiLvlLbl val="0"/>
      </c:catAx>
      <c:valAx>
        <c:axId val="1629268703"/>
        <c:scaling>
          <c:orientation val="minMax"/>
        </c:scaling>
        <c:delete val="0"/>
        <c:axPos val="b"/>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29265823"/>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r>
              <a:rPr lang="en-US" sz="1100" b="1">
                <a:latin typeface="+mj-lt"/>
              </a:rPr>
              <a:t>Monto programado por ODS (en millones de pesos)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0.30024638334349618"/>
          <c:y val="0.11659932659932661"/>
          <c:w val="0.64307378244386126"/>
          <c:h val="0.81071263819295314"/>
        </c:manualLayout>
      </c:layout>
      <c:barChart>
        <c:barDir val="bar"/>
        <c:grouping val="clustered"/>
        <c:varyColors val="0"/>
        <c:ser>
          <c:idx val="0"/>
          <c:order val="0"/>
          <c:spPr>
            <a:solidFill>
              <a:srgbClr val="E5243B"/>
            </a:solidFill>
            <a:ln>
              <a:noFill/>
            </a:ln>
            <a:effectLst/>
          </c:spPr>
          <c:invertIfNegative val="0"/>
          <c:dPt>
            <c:idx val="1"/>
            <c:invertIfNegative val="0"/>
            <c:bubble3D val="0"/>
            <c:spPr>
              <a:solidFill>
                <a:srgbClr val="DDA83A"/>
              </a:solidFill>
              <a:ln>
                <a:noFill/>
              </a:ln>
              <a:effectLst/>
            </c:spPr>
            <c:extLst>
              <c:ext xmlns:c16="http://schemas.microsoft.com/office/drawing/2014/chart" uri="{C3380CC4-5D6E-409C-BE32-E72D297353CC}">
                <c16:uniqueId val="{00000001-53F3-4BB8-BEDE-49888A2550F4}"/>
              </c:ext>
            </c:extLst>
          </c:dPt>
          <c:dPt>
            <c:idx val="2"/>
            <c:invertIfNegative val="0"/>
            <c:bubble3D val="0"/>
            <c:spPr>
              <a:solidFill>
                <a:srgbClr val="4C9F38"/>
              </a:solidFill>
              <a:ln>
                <a:noFill/>
              </a:ln>
              <a:effectLst/>
            </c:spPr>
            <c:extLst>
              <c:ext xmlns:c16="http://schemas.microsoft.com/office/drawing/2014/chart" uri="{C3380CC4-5D6E-409C-BE32-E72D297353CC}">
                <c16:uniqueId val="{00000002-53F3-4BB8-BEDE-49888A2550F4}"/>
              </c:ext>
            </c:extLst>
          </c:dPt>
          <c:dPt>
            <c:idx val="3"/>
            <c:invertIfNegative val="0"/>
            <c:bubble3D val="0"/>
            <c:spPr>
              <a:solidFill>
                <a:srgbClr val="C5192D"/>
              </a:solidFill>
              <a:ln>
                <a:noFill/>
              </a:ln>
              <a:effectLst/>
            </c:spPr>
            <c:extLst>
              <c:ext xmlns:c16="http://schemas.microsoft.com/office/drawing/2014/chart" uri="{C3380CC4-5D6E-409C-BE32-E72D297353CC}">
                <c16:uniqueId val="{00000003-53F3-4BB8-BEDE-49888A2550F4}"/>
              </c:ext>
            </c:extLst>
          </c:dPt>
          <c:dPt>
            <c:idx val="4"/>
            <c:invertIfNegative val="0"/>
            <c:bubble3D val="0"/>
            <c:spPr>
              <a:solidFill>
                <a:srgbClr val="FF3A21"/>
              </a:solidFill>
              <a:ln>
                <a:noFill/>
              </a:ln>
              <a:effectLst/>
            </c:spPr>
            <c:extLst>
              <c:ext xmlns:c16="http://schemas.microsoft.com/office/drawing/2014/chart" uri="{C3380CC4-5D6E-409C-BE32-E72D297353CC}">
                <c16:uniqueId val="{00000004-53F3-4BB8-BEDE-49888A2550F4}"/>
              </c:ext>
            </c:extLst>
          </c:dPt>
          <c:dPt>
            <c:idx val="5"/>
            <c:invertIfNegative val="0"/>
            <c:bubble3D val="0"/>
            <c:spPr>
              <a:solidFill>
                <a:srgbClr val="26BDE2"/>
              </a:solidFill>
              <a:ln>
                <a:noFill/>
              </a:ln>
              <a:effectLst/>
            </c:spPr>
            <c:extLst>
              <c:ext xmlns:c16="http://schemas.microsoft.com/office/drawing/2014/chart" uri="{C3380CC4-5D6E-409C-BE32-E72D297353CC}">
                <c16:uniqueId val="{00000005-53F3-4BB8-BEDE-49888A2550F4}"/>
              </c:ext>
            </c:extLst>
          </c:dPt>
          <c:dPt>
            <c:idx val="6"/>
            <c:invertIfNegative val="0"/>
            <c:bubble3D val="0"/>
            <c:spPr>
              <a:solidFill>
                <a:srgbClr val="FCC30B"/>
              </a:solidFill>
              <a:ln>
                <a:noFill/>
              </a:ln>
              <a:effectLst/>
            </c:spPr>
            <c:extLst>
              <c:ext xmlns:c16="http://schemas.microsoft.com/office/drawing/2014/chart" uri="{C3380CC4-5D6E-409C-BE32-E72D297353CC}">
                <c16:uniqueId val="{00000006-53F3-4BB8-BEDE-49888A2550F4}"/>
              </c:ext>
            </c:extLst>
          </c:dPt>
          <c:dPt>
            <c:idx val="7"/>
            <c:invertIfNegative val="0"/>
            <c:bubble3D val="0"/>
            <c:spPr>
              <a:solidFill>
                <a:srgbClr val="A21942"/>
              </a:solidFill>
              <a:ln>
                <a:noFill/>
              </a:ln>
              <a:effectLst/>
            </c:spPr>
            <c:extLst>
              <c:ext xmlns:c16="http://schemas.microsoft.com/office/drawing/2014/chart" uri="{C3380CC4-5D6E-409C-BE32-E72D297353CC}">
                <c16:uniqueId val="{00000007-53F3-4BB8-BEDE-49888A2550F4}"/>
              </c:ext>
            </c:extLst>
          </c:dPt>
          <c:dPt>
            <c:idx val="8"/>
            <c:invertIfNegative val="0"/>
            <c:bubble3D val="0"/>
            <c:spPr>
              <a:solidFill>
                <a:srgbClr val="FD6925"/>
              </a:solidFill>
              <a:ln>
                <a:noFill/>
              </a:ln>
              <a:effectLst/>
            </c:spPr>
            <c:extLst>
              <c:ext xmlns:c16="http://schemas.microsoft.com/office/drawing/2014/chart" uri="{C3380CC4-5D6E-409C-BE32-E72D297353CC}">
                <c16:uniqueId val="{00000008-53F3-4BB8-BEDE-49888A2550F4}"/>
              </c:ext>
            </c:extLst>
          </c:dPt>
          <c:dPt>
            <c:idx val="9"/>
            <c:invertIfNegative val="0"/>
            <c:bubble3D val="0"/>
            <c:spPr>
              <a:solidFill>
                <a:srgbClr val="DD1367"/>
              </a:solidFill>
              <a:ln>
                <a:noFill/>
              </a:ln>
              <a:effectLst/>
            </c:spPr>
            <c:extLst>
              <c:ext xmlns:c16="http://schemas.microsoft.com/office/drawing/2014/chart" uri="{C3380CC4-5D6E-409C-BE32-E72D297353CC}">
                <c16:uniqueId val="{00000009-53F3-4BB8-BEDE-49888A2550F4}"/>
              </c:ext>
            </c:extLst>
          </c:dPt>
          <c:dPt>
            <c:idx val="10"/>
            <c:invertIfNegative val="0"/>
            <c:bubble3D val="0"/>
            <c:spPr>
              <a:solidFill>
                <a:srgbClr val="FD9D24"/>
              </a:solidFill>
              <a:ln>
                <a:noFill/>
              </a:ln>
              <a:effectLst/>
            </c:spPr>
            <c:extLst>
              <c:ext xmlns:c16="http://schemas.microsoft.com/office/drawing/2014/chart" uri="{C3380CC4-5D6E-409C-BE32-E72D297353CC}">
                <c16:uniqueId val="{0000000A-53F3-4BB8-BEDE-49888A2550F4}"/>
              </c:ext>
            </c:extLst>
          </c:dPt>
          <c:dPt>
            <c:idx val="11"/>
            <c:invertIfNegative val="0"/>
            <c:bubble3D val="0"/>
            <c:spPr>
              <a:solidFill>
                <a:srgbClr val="BF8B2E"/>
              </a:solidFill>
              <a:ln>
                <a:noFill/>
              </a:ln>
              <a:effectLst/>
            </c:spPr>
            <c:extLst>
              <c:ext xmlns:c16="http://schemas.microsoft.com/office/drawing/2014/chart" uri="{C3380CC4-5D6E-409C-BE32-E72D297353CC}">
                <c16:uniqueId val="{0000000B-53F3-4BB8-BEDE-49888A2550F4}"/>
              </c:ext>
            </c:extLst>
          </c:dPt>
          <c:dPt>
            <c:idx val="12"/>
            <c:invertIfNegative val="0"/>
            <c:bubble3D val="0"/>
            <c:spPr>
              <a:solidFill>
                <a:srgbClr val="3F7E44"/>
              </a:solidFill>
              <a:ln>
                <a:noFill/>
              </a:ln>
              <a:effectLst/>
            </c:spPr>
            <c:extLst>
              <c:ext xmlns:c16="http://schemas.microsoft.com/office/drawing/2014/chart" uri="{C3380CC4-5D6E-409C-BE32-E72D297353CC}">
                <c16:uniqueId val="{0000000C-53F3-4BB8-BEDE-49888A2550F4}"/>
              </c:ext>
            </c:extLst>
          </c:dPt>
          <c:dPt>
            <c:idx val="13"/>
            <c:invertIfNegative val="0"/>
            <c:bubble3D val="0"/>
            <c:spPr>
              <a:solidFill>
                <a:srgbClr val="0A97D9"/>
              </a:solidFill>
              <a:ln>
                <a:noFill/>
              </a:ln>
              <a:effectLst/>
            </c:spPr>
            <c:extLst>
              <c:ext xmlns:c16="http://schemas.microsoft.com/office/drawing/2014/chart" uri="{C3380CC4-5D6E-409C-BE32-E72D297353CC}">
                <c16:uniqueId val="{0000000D-53F3-4BB8-BEDE-49888A2550F4}"/>
              </c:ext>
            </c:extLst>
          </c:dPt>
          <c:dPt>
            <c:idx val="14"/>
            <c:invertIfNegative val="0"/>
            <c:bubble3D val="0"/>
            <c:spPr>
              <a:solidFill>
                <a:srgbClr val="56C02B"/>
              </a:solidFill>
              <a:ln>
                <a:noFill/>
              </a:ln>
              <a:effectLst/>
            </c:spPr>
            <c:extLst>
              <c:ext xmlns:c16="http://schemas.microsoft.com/office/drawing/2014/chart" uri="{C3380CC4-5D6E-409C-BE32-E72D297353CC}">
                <c16:uniqueId val="{0000000E-53F3-4BB8-BEDE-49888A2550F4}"/>
              </c:ext>
            </c:extLst>
          </c:dPt>
          <c:dPt>
            <c:idx val="15"/>
            <c:invertIfNegative val="0"/>
            <c:bubble3D val="0"/>
            <c:spPr>
              <a:solidFill>
                <a:srgbClr val="00689D"/>
              </a:solidFill>
              <a:ln>
                <a:noFill/>
              </a:ln>
              <a:effectLst/>
            </c:spPr>
            <c:extLst>
              <c:ext xmlns:c16="http://schemas.microsoft.com/office/drawing/2014/chart" uri="{C3380CC4-5D6E-409C-BE32-E72D297353CC}">
                <c16:uniqueId val="{0000000F-53F3-4BB8-BEDE-49888A2550F4}"/>
              </c:ext>
            </c:extLst>
          </c:dPt>
          <c:dPt>
            <c:idx val="16"/>
            <c:invertIfNegative val="0"/>
            <c:bubble3D val="0"/>
            <c:spPr>
              <a:solidFill>
                <a:srgbClr val="19486A"/>
              </a:solidFill>
              <a:ln>
                <a:noFill/>
              </a:ln>
              <a:effectLst/>
            </c:spPr>
            <c:extLst>
              <c:ext xmlns:c16="http://schemas.microsoft.com/office/drawing/2014/chart" uri="{C3380CC4-5D6E-409C-BE32-E72D297353CC}">
                <c16:uniqueId val="{00000010-53F3-4BB8-BEDE-49888A2550F4}"/>
              </c:ext>
            </c:extLst>
          </c:dPt>
          <c:dLbls>
            <c:dLbl>
              <c:idx val="0"/>
              <c:tx>
                <c:rich>
                  <a:bodyPr/>
                  <a:lstStyle/>
                  <a:p>
                    <a:fld id="{95F31C71-4B0F-44BE-A7A2-79BFF34C7053}"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CBBC-46F3-A28A-52E739701722}"/>
                </c:ext>
              </c:extLst>
            </c:dLbl>
            <c:dLbl>
              <c:idx val="1"/>
              <c:tx>
                <c:rich>
                  <a:bodyPr/>
                  <a:lstStyle/>
                  <a:p>
                    <a:fld id="{4543A26A-DD93-4AE9-B989-8EA46ECEE43E}"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3F3-4BB8-BEDE-49888A2550F4}"/>
                </c:ext>
              </c:extLst>
            </c:dLbl>
            <c:dLbl>
              <c:idx val="2"/>
              <c:tx>
                <c:rich>
                  <a:bodyPr/>
                  <a:lstStyle/>
                  <a:p>
                    <a:fld id="{87A535A8-5761-43E1-B6E0-9EA25E7B8FB1}"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3F3-4BB8-BEDE-49888A2550F4}"/>
                </c:ext>
              </c:extLst>
            </c:dLbl>
            <c:dLbl>
              <c:idx val="3"/>
              <c:tx>
                <c:rich>
                  <a:bodyPr/>
                  <a:lstStyle/>
                  <a:p>
                    <a:fld id="{B9C2BA72-5580-45B0-8CE4-7E2D896CE423}"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3F3-4BB8-BEDE-49888A2550F4}"/>
                </c:ext>
              </c:extLst>
            </c:dLbl>
            <c:dLbl>
              <c:idx val="4"/>
              <c:tx>
                <c:rich>
                  <a:bodyPr/>
                  <a:lstStyle/>
                  <a:p>
                    <a:fld id="{D9951E17-7184-41F5-8859-B856DFC73890}"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3F3-4BB8-BEDE-49888A2550F4}"/>
                </c:ext>
              </c:extLst>
            </c:dLbl>
            <c:dLbl>
              <c:idx val="5"/>
              <c:tx>
                <c:rich>
                  <a:bodyPr/>
                  <a:lstStyle/>
                  <a:p>
                    <a:fld id="{0791B2CB-C2DC-4BCB-9A09-90D145631DB1}"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3F3-4BB8-BEDE-49888A2550F4}"/>
                </c:ext>
              </c:extLst>
            </c:dLbl>
            <c:dLbl>
              <c:idx val="6"/>
              <c:tx>
                <c:rich>
                  <a:bodyPr/>
                  <a:lstStyle/>
                  <a:p>
                    <a:fld id="{7F6CE039-90F7-471C-9102-3B58031251D7}"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3F3-4BB8-BEDE-49888A2550F4}"/>
                </c:ext>
              </c:extLst>
            </c:dLbl>
            <c:dLbl>
              <c:idx val="7"/>
              <c:tx>
                <c:rich>
                  <a:bodyPr/>
                  <a:lstStyle/>
                  <a:p>
                    <a:fld id="{E1E466B3-A6F8-46A9-8271-B2855043A5A5}"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3F3-4BB8-BEDE-49888A2550F4}"/>
                </c:ext>
              </c:extLst>
            </c:dLbl>
            <c:dLbl>
              <c:idx val="8"/>
              <c:tx>
                <c:rich>
                  <a:bodyPr/>
                  <a:lstStyle/>
                  <a:p>
                    <a:fld id="{27836B91-7814-48CE-8062-A6EF713AC21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3F3-4BB8-BEDE-49888A2550F4}"/>
                </c:ext>
              </c:extLst>
            </c:dLbl>
            <c:dLbl>
              <c:idx val="9"/>
              <c:tx>
                <c:rich>
                  <a:bodyPr/>
                  <a:lstStyle/>
                  <a:p>
                    <a:fld id="{2183AA1C-B8ED-4273-BBAC-88BDCAE4EC8E}"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3F3-4BB8-BEDE-49888A2550F4}"/>
                </c:ext>
              </c:extLst>
            </c:dLbl>
            <c:dLbl>
              <c:idx val="10"/>
              <c:tx>
                <c:rich>
                  <a:bodyPr/>
                  <a:lstStyle/>
                  <a:p>
                    <a:fld id="{381D3F61-5D17-48B1-8110-EDB4FC3A8F5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53F3-4BB8-BEDE-49888A2550F4}"/>
                </c:ext>
              </c:extLst>
            </c:dLbl>
            <c:dLbl>
              <c:idx val="11"/>
              <c:tx>
                <c:rich>
                  <a:bodyPr/>
                  <a:lstStyle/>
                  <a:p>
                    <a:fld id="{E2C84284-2FA7-4373-85D0-589B521ADF6D}"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3F3-4BB8-BEDE-49888A2550F4}"/>
                </c:ext>
              </c:extLst>
            </c:dLbl>
            <c:dLbl>
              <c:idx val="12"/>
              <c:tx>
                <c:rich>
                  <a:bodyPr/>
                  <a:lstStyle/>
                  <a:p>
                    <a:fld id="{236AD458-E866-4359-8F6D-A09CD15AD8E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53F3-4BB8-BEDE-49888A2550F4}"/>
                </c:ext>
              </c:extLst>
            </c:dLbl>
            <c:dLbl>
              <c:idx val="13"/>
              <c:tx>
                <c:rich>
                  <a:bodyPr/>
                  <a:lstStyle/>
                  <a:p>
                    <a:fld id="{E89234FE-5B6A-4C7D-B29E-452F182B50B2}"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53F3-4BB8-BEDE-49888A2550F4}"/>
                </c:ext>
              </c:extLst>
            </c:dLbl>
            <c:dLbl>
              <c:idx val="14"/>
              <c:tx>
                <c:rich>
                  <a:bodyPr/>
                  <a:lstStyle/>
                  <a:p>
                    <a:fld id="{64806DC4-E469-4B7B-9803-714270098FA6}"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53F3-4BB8-BEDE-49888A2550F4}"/>
                </c:ext>
              </c:extLst>
            </c:dLbl>
            <c:dLbl>
              <c:idx val="15"/>
              <c:tx>
                <c:rich>
                  <a:bodyPr/>
                  <a:lstStyle/>
                  <a:p>
                    <a:fld id="{621E1A9D-54EA-4323-A6BB-446764CDD87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53F3-4BB8-BEDE-49888A2550F4}"/>
                </c:ext>
              </c:extLst>
            </c:dLbl>
            <c:dLbl>
              <c:idx val="16"/>
              <c:tx>
                <c:rich>
                  <a:bodyPr/>
                  <a:lstStyle/>
                  <a:p>
                    <a:fld id="{B76DF89F-72E3-4BA4-8D08-089348A0218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53F3-4BB8-BEDE-49888A2550F4}"/>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Resumen!$B$57:$B$73</c:f>
              <c:strCache>
                <c:ptCount val="17"/>
                <c:pt idx="0">
                  <c:v>1. Fin de la pobreza</c:v>
                </c:pt>
                <c:pt idx="1">
                  <c:v>2. Hambre cero</c:v>
                </c:pt>
                <c:pt idx="2">
                  <c:v>3. Salud y bienestar</c:v>
                </c:pt>
                <c:pt idx="3">
                  <c:v>4. Educación de calidad</c:v>
                </c:pt>
                <c:pt idx="4">
                  <c:v>5. Igualdad de género</c:v>
                </c:pt>
                <c:pt idx="5">
                  <c:v>6. Agua limpia y saneamiento</c:v>
                </c:pt>
                <c:pt idx="6">
                  <c:v>7. Energía asequible y no contaminante</c:v>
                </c:pt>
                <c:pt idx="7">
                  <c:v>8. Trabajo decente y crecimiento económico</c:v>
                </c:pt>
                <c:pt idx="8">
                  <c:v>9. Industria, innovación e infraestructura</c:v>
                </c:pt>
                <c:pt idx="9">
                  <c:v>10. Reducción de las desigualdades</c:v>
                </c:pt>
                <c:pt idx="10">
                  <c:v>11. Ciudades y comunidades sostenibles</c:v>
                </c:pt>
                <c:pt idx="11">
                  <c:v>12. Producción y consumo responsables</c:v>
                </c:pt>
                <c:pt idx="12">
                  <c:v>13. Acción por el clima</c:v>
                </c:pt>
                <c:pt idx="13">
                  <c:v>14. Vida submarina</c:v>
                </c:pt>
                <c:pt idx="14">
                  <c:v>15. Vida de ecosistemas terrestres</c:v>
                </c:pt>
                <c:pt idx="15">
                  <c:v>16. Paz, justicia e instituciones sólidas</c:v>
                </c:pt>
                <c:pt idx="16">
                  <c:v>17. Alianzas para lograr los objetivos</c:v>
                </c:pt>
              </c:strCache>
            </c:strRef>
          </c:cat>
          <c:val>
            <c:numRef>
              <c:f>Resumen!$H$57:$H$73</c:f>
              <c:numCache>
                <c:formatCode>#,##0</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5="http://schemas.microsoft.com/office/drawing/2012/chart" uri="{02D57815-91ED-43cb-92C2-25804820EDAC}">
              <c15:datalabelsRange>
                <c15:f>Resumen!$I$57:$I$73</c15:f>
                <c15:dlblRangeCache>
                  <c:ptCount val="17"/>
                  <c:pt idx="0">
                    <c:v>#¡DIV/0!</c:v>
                  </c:pt>
                  <c:pt idx="1">
                    <c:v>#¡DIV/0!</c:v>
                  </c:pt>
                  <c:pt idx="2">
                    <c:v>#¡DIV/0!</c:v>
                  </c:pt>
                  <c:pt idx="3">
                    <c:v>#¡DIV/0!</c:v>
                  </c:pt>
                  <c:pt idx="4">
                    <c:v>#¡DIV/0!</c:v>
                  </c:pt>
                  <c:pt idx="5">
                    <c:v>#¡DIV/0!</c:v>
                  </c:pt>
                  <c:pt idx="6">
                    <c:v>#¡DIV/0!</c:v>
                  </c:pt>
                  <c:pt idx="7">
                    <c:v>#¡DIV/0!</c:v>
                  </c:pt>
                  <c:pt idx="8">
                    <c:v>#¡DIV/0!</c:v>
                  </c:pt>
                  <c:pt idx="9">
                    <c:v>#¡DIV/0!</c:v>
                  </c:pt>
                  <c:pt idx="10">
                    <c:v>#¡DIV/0!</c:v>
                  </c:pt>
                  <c:pt idx="11">
                    <c:v>#¡DIV/0!</c:v>
                  </c:pt>
                  <c:pt idx="12">
                    <c:v>#¡DIV/0!</c:v>
                  </c:pt>
                  <c:pt idx="13">
                    <c:v>#¡DIV/0!</c:v>
                  </c:pt>
                  <c:pt idx="14">
                    <c:v>#¡DIV/0!</c:v>
                  </c:pt>
                  <c:pt idx="15">
                    <c:v>#¡DIV/0!</c:v>
                  </c:pt>
                  <c:pt idx="16">
                    <c:v>#¡DIV/0!</c:v>
                  </c:pt>
                </c15:dlblRangeCache>
              </c15:datalabelsRange>
            </c:ext>
            <c:ext xmlns:c16="http://schemas.microsoft.com/office/drawing/2014/chart" uri="{C3380CC4-5D6E-409C-BE32-E72D297353CC}">
              <c16:uniqueId val="{00000000-53F3-4BB8-BEDE-49888A2550F4}"/>
            </c:ext>
          </c:extLst>
        </c:ser>
        <c:dLbls>
          <c:dLblPos val="outEnd"/>
          <c:showLegendKey val="0"/>
          <c:showVal val="1"/>
          <c:showCatName val="0"/>
          <c:showSerName val="0"/>
          <c:showPercent val="0"/>
          <c:showBubbleSize val="0"/>
        </c:dLbls>
        <c:gapWidth val="25"/>
        <c:axId val="1629265823"/>
        <c:axId val="1629268703"/>
      </c:barChart>
      <c:catAx>
        <c:axId val="16292658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j-lt"/>
                <a:ea typeface="+mn-ea"/>
                <a:cs typeface="+mn-cs"/>
              </a:defRPr>
            </a:pPr>
            <a:endParaRPr lang="en-US"/>
          </a:p>
        </c:txPr>
        <c:crossAx val="1629268703"/>
        <c:crosses val="autoZero"/>
        <c:auto val="0"/>
        <c:lblAlgn val="ctr"/>
        <c:lblOffset val="100"/>
        <c:noMultiLvlLbl val="0"/>
      </c:catAx>
      <c:valAx>
        <c:axId val="1629268703"/>
        <c:scaling>
          <c:orientation val="minMax"/>
        </c:scaling>
        <c:delete val="0"/>
        <c:axPos val="b"/>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29265823"/>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r>
              <a:rPr lang="en-US" sz="1100" b="1">
                <a:latin typeface="+mj-lt"/>
              </a:rPr>
              <a:t>Monto programado por línea estratégica* (en millones de pesos)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0.27898671917919748"/>
          <c:y val="0.11659932659932661"/>
          <c:w val="0.66433337949485105"/>
          <c:h val="0.83710667416572926"/>
        </c:manualLayout>
      </c:layout>
      <c:barChart>
        <c:barDir val="bar"/>
        <c:grouping val="clustered"/>
        <c:varyColors val="0"/>
        <c:ser>
          <c:idx val="0"/>
          <c:order val="0"/>
          <c:spPr>
            <a:solidFill>
              <a:srgbClr val="60B99A"/>
            </a:solidFill>
            <a:ln>
              <a:noFill/>
            </a:ln>
            <a:effectLst/>
          </c:spPr>
          <c:invertIfNegative val="0"/>
          <c:dLbls>
            <c:dLbl>
              <c:idx val="0"/>
              <c:tx>
                <c:rich>
                  <a:bodyPr/>
                  <a:lstStyle/>
                  <a:p>
                    <a:fld id="{49A901A0-6390-4DDB-B0B9-E75752929833}" type="CELLRANGE">
                      <a:rPr lang="en-US"/>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E3F4-43EE-A6A9-753ABBA3EEFB}"/>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[0]!nombreslineasest</c:f>
              <c:strCache>
                <c:ptCount val="1"/>
                <c:pt idx="0">
                  <c:v>NA</c:v>
                </c:pt>
              </c:strCache>
            </c:strRef>
          </c:cat>
          <c:val>
            <c:numRef>
              <c:f>[0]!valoreslineasest</c:f>
              <c:numCache>
                <c:formatCode>#,##0</c:formatCode>
                <c:ptCount val="1"/>
                <c:pt idx="0">
                  <c:v>0</c:v>
                </c:pt>
              </c:numCache>
            </c:numRef>
          </c:val>
          <c:extLst>
            <c:ext xmlns:c15="http://schemas.microsoft.com/office/drawing/2012/chart" uri="{02D57815-91ED-43cb-92C2-25804820EDAC}">
              <c15:datalabelsRange>
                <c15:f>Resumen!$W$7:$W$75</c15:f>
                <c15:dlblRangeCache>
                  <c:ptCount val="69"/>
                </c15:dlblRangeCache>
              </c15:datalabelsRange>
            </c:ext>
            <c:ext xmlns:c16="http://schemas.microsoft.com/office/drawing/2014/chart" uri="{C3380CC4-5D6E-409C-BE32-E72D297353CC}">
              <c16:uniqueId val="{00000020-EAAB-468A-8713-3B6913F63213}"/>
            </c:ext>
          </c:extLst>
        </c:ser>
        <c:dLbls>
          <c:dLblPos val="outEnd"/>
          <c:showLegendKey val="0"/>
          <c:showVal val="1"/>
          <c:showCatName val="0"/>
          <c:showSerName val="0"/>
          <c:showPercent val="0"/>
          <c:showBubbleSize val="0"/>
        </c:dLbls>
        <c:gapWidth val="25"/>
        <c:axId val="1629265823"/>
        <c:axId val="1629268703"/>
      </c:barChart>
      <c:catAx>
        <c:axId val="16292658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j-lt"/>
                <a:ea typeface="+mn-ea"/>
                <a:cs typeface="+mn-cs"/>
              </a:defRPr>
            </a:pPr>
            <a:endParaRPr lang="en-US"/>
          </a:p>
        </c:txPr>
        <c:crossAx val="1629268703"/>
        <c:crosses val="autoZero"/>
        <c:auto val="0"/>
        <c:lblAlgn val="ctr"/>
        <c:lblOffset val="100"/>
        <c:noMultiLvlLbl val="0"/>
      </c:catAx>
      <c:valAx>
        <c:axId val="1629268703"/>
        <c:scaling>
          <c:orientation val="minMax"/>
        </c:scaling>
        <c:delete val="0"/>
        <c:axPos val="b"/>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29265823"/>
        <c:crosses val="max"/>
        <c:crossBetween val="between"/>
      </c:valAx>
      <c:spPr>
        <a:noFill/>
        <a:ln>
          <a:noFill/>
        </a:ln>
        <a:effectLst/>
      </c:spPr>
    </c:plotArea>
    <c:plotVisOnly val="0"/>
    <c:dispBlanksAs val="gap"/>
    <c:showDLblsOverMax val="0"/>
    <c:extLst/>
  </c:chart>
  <c:spPr>
    <a:solidFill>
      <a:sysClr val="window" lastClr="FFFFF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400018957477453"/>
          <c:y val="1.4814814814814815E-2"/>
          <c:w val="0.38169262531008191"/>
          <c:h val="0.96296296296296291"/>
        </c:manualLayout>
      </c:layout>
      <c:pieChart>
        <c:varyColors val="1"/>
        <c:ser>
          <c:idx val="0"/>
          <c:order val="0"/>
          <c:spPr>
            <a:solidFill>
              <a:srgbClr val="C373B6"/>
            </a:solidFill>
            <a:ln>
              <a:noFill/>
            </a:ln>
          </c:spPr>
          <c:dPt>
            <c:idx val="0"/>
            <c:bubble3D val="0"/>
            <c:spPr>
              <a:solidFill>
                <a:srgbClr val="A65CC4"/>
              </a:solidFill>
              <a:ln w="19050">
                <a:noFill/>
              </a:ln>
              <a:effectLst/>
            </c:spPr>
            <c:extLst>
              <c:ext xmlns:c16="http://schemas.microsoft.com/office/drawing/2014/chart" uri="{C3380CC4-5D6E-409C-BE32-E72D297353CC}">
                <c16:uniqueId val="{00000001-772A-4EA5-895F-383FD42FDA66}"/>
              </c:ext>
            </c:extLst>
          </c:dPt>
          <c:dPt>
            <c:idx val="1"/>
            <c:bubble3D val="0"/>
            <c:spPr>
              <a:solidFill>
                <a:srgbClr val="D165AA"/>
              </a:solidFill>
              <a:ln w="19050">
                <a:noFill/>
              </a:ln>
              <a:effectLst/>
            </c:spPr>
            <c:extLst>
              <c:ext xmlns:c16="http://schemas.microsoft.com/office/drawing/2014/chart" uri="{C3380CC4-5D6E-409C-BE32-E72D297353CC}">
                <c16:uniqueId val="{00000003-772A-4EA5-895F-383FD42FDA66}"/>
              </c:ext>
            </c:extLst>
          </c:dPt>
          <c:dPt>
            <c:idx val="2"/>
            <c:bubble3D val="0"/>
            <c:spPr>
              <a:solidFill>
                <a:srgbClr val="E68297"/>
              </a:solidFill>
              <a:ln w="19050">
                <a:noFill/>
              </a:ln>
              <a:effectLst/>
            </c:spPr>
            <c:extLst>
              <c:ext xmlns:c16="http://schemas.microsoft.com/office/drawing/2014/chart" uri="{C3380CC4-5D6E-409C-BE32-E72D297353CC}">
                <c16:uniqueId val="{00000005-772A-4EA5-895F-383FD42FDA66}"/>
              </c:ext>
            </c:extLst>
          </c:dPt>
          <c:dPt>
            <c:idx val="3"/>
            <c:bubble3D val="0"/>
            <c:spPr>
              <a:solidFill>
                <a:srgbClr val="F8A39A"/>
              </a:solidFill>
              <a:ln w="19050">
                <a:noFill/>
              </a:ln>
              <a:effectLst/>
            </c:spPr>
            <c:extLst>
              <c:ext xmlns:c16="http://schemas.microsoft.com/office/drawing/2014/chart" uri="{C3380CC4-5D6E-409C-BE32-E72D297353CC}">
                <c16:uniqueId val="{00000007-772A-4EA5-895F-383FD42FDA66}"/>
              </c:ext>
            </c:extLst>
          </c:dPt>
          <c:dPt>
            <c:idx val="4"/>
            <c:bubble3D val="0"/>
            <c:spPr>
              <a:solidFill>
                <a:srgbClr val="FBC997"/>
              </a:solidFill>
              <a:ln w="19050">
                <a:noFill/>
              </a:ln>
              <a:effectLst/>
            </c:spPr>
            <c:extLst>
              <c:ext xmlns:c16="http://schemas.microsoft.com/office/drawing/2014/chart" uri="{C3380CC4-5D6E-409C-BE32-E72D297353CC}">
                <c16:uniqueId val="{00000009-772A-4EA5-895F-383FD42FDA66}"/>
              </c:ext>
            </c:extLst>
          </c:dPt>
          <c:dPt>
            <c:idx val="5"/>
            <c:bubble3D val="0"/>
            <c:spPr>
              <a:solidFill>
                <a:srgbClr val="ADEC9E"/>
              </a:solidFill>
              <a:ln w="19050">
                <a:noFill/>
              </a:ln>
              <a:effectLst/>
            </c:spPr>
            <c:extLst>
              <c:ext xmlns:c16="http://schemas.microsoft.com/office/drawing/2014/chart" uri="{C3380CC4-5D6E-409C-BE32-E72D297353CC}">
                <c16:uniqueId val="{0000000B-9686-43CC-A90F-CD97B669F8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Resumen!$B$95:$B$100</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A-772A-4EA5-895F-383FD42FDA66}"/>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Relationships xmlns="http://schemas.openxmlformats.org/package/2006/relationships"><Relationship Id="rId8" Type="http://schemas.openxmlformats.org/officeDocument/2006/relationships/image" Target="../media/image3.svg"/><Relationship Id="rId3" Type="http://schemas.openxmlformats.org/officeDocument/2006/relationships/chart" Target="../charts/chart2.xml"/><Relationship Id="rId7" Type="http://schemas.openxmlformats.org/officeDocument/2006/relationships/image" Target="../media/image2.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absolute">
    <xdr:from>
      <xdr:col>0</xdr:col>
      <xdr:colOff>249554</xdr:colOff>
      <xdr:row>0</xdr:row>
      <xdr:rowOff>171450</xdr:rowOff>
    </xdr:from>
    <xdr:to>
      <xdr:col>2</xdr:col>
      <xdr:colOff>373379</xdr:colOff>
      <xdr:row>1</xdr:row>
      <xdr:rowOff>22025</xdr:rowOff>
    </xdr:to>
    <xdr:pic>
      <xdr:nvPicPr>
        <xdr:cNvPr id="9" name="Imagen 8">
          <a:extLst>
            <a:ext uri="{FF2B5EF4-FFF2-40B4-BE49-F238E27FC236}">
              <a16:creationId xmlns:a16="http://schemas.microsoft.com/office/drawing/2014/main" id="{429447C4-62D8-7086-51BB-9F33F393A8DD}"/>
            </a:ext>
          </a:extLst>
        </xdr:cNvPr>
        <xdr:cNvPicPr>
          <a:picLocks noChangeAspect="1"/>
        </xdr:cNvPicPr>
      </xdr:nvPicPr>
      <xdr:blipFill>
        <a:blip xmlns:r="http://schemas.openxmlformats.org/officeDocument/2006/relationships" r:embed="rId1"/>
        <a:stretch>
          <a:fillRect/>
        </a:stretch>
      </xdr:blipFill>
      <xdr:spPr>
        <a:xfrm>
          <a:off x="249554" y="171450"/>
          <a:ext cx="1716405" cy="810695"/>
        </a:xfrm>
        <a:prstGeom prst="rect">
          <a:avLst/>
        </a:prstGeom>
      </xdr:spPr>
    </xdr:pic>
    <xdr:clientData/>
  </xdr:twoCellAnchor>
  <xdr:twoCellAnchor editAs="absolute">
    <xdr:from>
      <xdr:col>1</xdr:col>
      <xdr:colOff>0</xdr:colOff>
      <xdr:row>46</xdr:row>
      <xdr:rowOff>0</xdr:rowOff>
    </xdr:from>
    <xdr:to>
      <xdr:col>7</xdr:col>
      <xdr:colOff>0</xdr:colOff>
      <xdr:row>74</xdr:row>
      <xdr:rowOff>0</xdr:rowOff>
    </xdr:to>
    <xdr:graphicFrame macro="">
      <xdr:nvGraphicFramePr>
        <xdr:cNvPr id="10" name="Gráfico 9">
          <a:extLst>
            <a:ext uri="{FF2B5EF4-FFF2-40B4-BE49-F238E27FC236}">
              <a16:creationId xmlns:a16="http://schemas.microsoft.com/office/drawing/2014/main" id="{0E6B3274-7F69-07E7-C2ED-13BBD9E54B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7</xdr:col>
      <xdr:colOff>0</xdr:colOff>
      <xdr:row>46</xdr:row>
      <xdr:rowOff>0</xdr:rowOff>
    </xdr:from>
    <xdr:to>
      <xdr:col>13</xdr:col>
      <xdr:colOff>0</xdr:colOff>
      <xdr:row>74</xdr:row>
      <xdr:rowOff>0</xdr:rowOff>
    </xdr:to>
    <xdr:graphicFrame macro="">
      <xdr:nvGraphicFramePr>
        <xdr:cNvPr id="11" name="Gráfico 10">
          <a:extLst>
            <a:ext uri="{FF2B5EF4-FFF2-40B4-BE49-F238E27FC236}">
              <a16:creationId xmlns:a16="http://schemas.microsoft.com/office/drawing/2014/main" id="{DDD922E9-F3B1-4056-AD1E-D584EDB0B3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7</xdr:col>
      <xdr:colOff>0</xdr:colOff>
      <xdr:row>17</xdr:row>
      <xdr:rowOff>0</xdr:rowOff>
    </xdr:from>
    <xdr:to>
      <xdr:col>13</xdr:col>
      <xdr:colOff>0</xdr:colOff>
      <xdr:row>46</xdr:row>
      <xdr:rowOff>0</xdr:rowOff>
    </xdr:to>
    <xdr:graphicFrame macro="">
      <xdr:nvGraphicFramePr>
        <xdr:cNvPr id="29" name="Gráfico 28">
          <a:extLst>
            <a:ext uri="{FF2B5EF4-FFF2-40B4-BE49-F238E27FC236}">
              <a16:creationId xmlns:a16="http://schemas.microsoft.com/office/drawing/2014/main" id="{F900B710-7DA2-43DD-BF7C-83ADE202FE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xdr:col>
      <xdr:colOff>0</xdr:colOff>
      <xdr:row>18</xdr:row>
      <xdr:rowOff>0</xdr:rowOff>
    </xdr:from>
    <xdr:to>
      <xdr:col>7</xdr:col>
      <xdr:colOff>0</xdr:colOff>
      <xdr:row>43</xdr:row>
      <xdr:rowOff>0</xdr:rowOff>
    </xdr:to>
    <xdr:graphicFrame macro="">
      <xdr:nvGraphicFramePr>
        <xdr:cNvPr id="30" name="Gráfico 29">
          <a:extLst>
            <a:ext uri="{FF2B5EF4-FFF2-40B4-BE49-F238E27FC236}">
              <a16:creationId xmlns:a16="http://schemas.microsoft.com/office/drawing/2014/main" id="{F5C341FE-74B7-4B89-8812-8722A34F10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9</xdr:col>
      <xdr:colOff>0</xdr:colOff>
      <xdr:row>93</xdr:row>
      <xdr:rowOff>0</xdr:rowOff>
    </xdr:from>
    <xdr:to>
      <xdr:col>13</xdr:col>
      <xdr:colOff>0</xdr:colOff>
      <xdr:row>101</xdr:row>
      <xdr:rowOff>0</xdr:rowOff>
    </xdr:to>
    <xdr:graphicFrame macro="">
      <xdr:nvGraphicFramePr>
        <xdr:cNvPr id="3" name="Gráfico 2">
          <a:extLst>
            <a:ext uri="{FF2B5EF4-FFF2-40B4-BE49-F238E27FC236}">
              <a16:creationId xmlns:a16="http://schemas.microsoft.com/office/drawing/2014/main" id="{E951E863-527F-4EC4-B409-F5B0205775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5</xdr:col>
      <xdr:colOff>0</xdr:colOff>
      <xdr:row>112</xdr:row>
      <xdr:rowOff>0</xdr:rowOff>
    </xdr:from>
    <xdr:to>
      <xdr:col>9</xdr:col>
      <xdr:colOff>0</xdr:colOff>
      <xdr:row>120</xdr:row>
      <xdr:rowOff>0</xdr:rowOff>
    </xdr:to>
    <xdr:grpSp>
      <xdr:nvGrpSpPr>
        <xdr:cNvPr id="4" name="Grupo 3">
          <a:extLst>
            <a:ext uri="{FF2B5EF4-FFF2-40B4-BE49-F238E27FC236}">
              <a16:creationId xmlns:a16="http://schemas.microsoft.com/office/drawing/2014/main" id="{80528A17-19CF-4C80-8F40-C3938E99294E}"/>
            </a:ext>
          </a:extLst>
        </xdr:cNvPr>
        <xdr:cNvGrpSpPr>
          <a:grpSpLocks noChangeAspect="1"/>
        </xdr:cNvGrpSpPr>
      </xdr:nvGrpSpPr>
      <xdr:grpSpPr>
        <a:xfrm>
          <a:off x="4650441" y="22860000"/>
          <a:ext cx="4123765" cy="1524000"/>
          <a:chOff x="6902824" y="29619388"/>
          <a:chExt cx="3270325" cy="2006526"/>
        </a:xfrm>
      </xdr:grpSpPr>
      <xdr:sp macro="" textlink="$R$110">
        <xdr:nvSpPr>
          <xdr:cNvPr id="5" name="Forma libre: forma 4">
            <a:extLst>
              <a:ext uri="{FF2B5EF4-FFF2-40B4-BE49-F238E27FC236}">
                <a16:creationId xmlns:a16="http://schemas.microsoft.com/office/drawing/2014/main" id="{E52B1A9E-CA54-4AB7-7433-644E9F541614}"/>
              </a:ext>
            </a:extLst>
          </xdr:cNvPr>
          <xdr:cNvSpPr/>
        </xdr:nvSpPr>
        <xdr:spPr>
          <a:xfrm>
            <a:off x="7931971" y="29731264"/>
            <a:ext cx="1216961" cy="1782776"/>
          </a:xfrm>
          <a:custGeom>
            <a:avLst/>
            <a:gdLst>
              <a:gd name="connsiteX0" fmla="*/ 607812 w 1216961"/>
              <a:gd name="connsiteY0" fmla="*/ 0 h 1782776"/>
              <a:gd name="connsiteX1" fmla="*/ 629221 w 1216961"/>
              <a:gd name="connsiteY1" fmla="*/ 9213 h 1782776"/>
              <a:gd name="connsiteX2" fmla="*/ 1216961 w 1216961"/>
              <a:gd name="connsiteY2" fmla="*/ 891388 h 1782776"/>
              <a:gd name="connsiteX3" fmla="*/ 629221 w 1216961"/>
              <a:gd name="connsiteY3" fmla="*/ 1773563 h 1782776"/>
              <a:gd name="connsiteX4" fmla="*/ 607812 w 1216961"/>
              <a:gd name="connsiteY4" fmla="*/ 1782776 h 1782776"/>
              <a:gd name="connsiteX5" fmla="*/ 586450 w 1216961"/>
              <a:gd name="connsiteY5" fmla="*/ 1773563 h 1782776"/>
              <a:gd name="connsiteX6" fmla="*/ 0 w 1216961"/>
              <a:gd name="connsiteY6" fmla="*/ 891388 h 1782776"/>
              <a:gd name="connsiteX7" fmla="*/ 586450 w 1216961"/>
              <a:gd name="connsiteY7" fmla="*/ 9213 h 1782776"/>
              <a:gd name="connsiteX8" fmla="*/ 607812 w 1216961"/>
              <a:gd name="connsiteY8" fmla="*/ 0 h 17827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216961" h="1782776">
                <a:moveTo>
                  <a:pt x="607812" y="0"/>
                </a:moveTo>
                <a:lnTo>
                  <a:pt x="629221" y="9213"/>
                </a:lnTo>
                <a:cubicBezTo>
                  <a:pt x="979306" y="179105"/>
                  <a:pt x="1216961" y="510453"/>
                  <a:pt x="1216961" y="891388"/>
                </a:cubicBezTo>
                <a:cubicBezTo>
                  <a:pt x="1216961" y="1272323"/>
                  <a:pt x="979306" y="1603671"/>
                  <a:pt x="629221" y="1773563"/>
                </a:cubicBezTo>
                <a:lnTo>
                  <a:pt x="607812" y="1782776"/>
                </a:lnTo>
                <a:lnTo>
                  <a:pt x="586450" y="1773563"/>
                </a:lnTo>
                <a:cubicBezTo>
                  <a:pt x="237134" y="1603671"/>
                  <a:pt x="0" y="1272323"/>
                  <a:pt x="0" y="891388"/>
                </a:cubicBezTo>
                <a:cubicBezTo>
                  <a:pt x="0" y="510453"/>
                  <a:pt x="237134" y="179105"/>
                  <a:pt x="586450" y="9213"/>
                </a:cubicBezTo>
                <a:lnTo>
                  <a:pt x="607812" y="0"/>
                </a:lnTo>
                <a:close/>
              </a:path>
            </a:pathLst>
          </a:custGeom>
          <a:solidFill>
            <a:srgbClr val="CFDCA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2379054B-11B5-42D2-A69C-E3DE5BC30DC8}" type="TxLink">
              <a:rPr lang="en-US" sz="1400" b="0" i="0" u="none" strike="noStrike">
                <a:solidFill>
                  <a:srgbClr val="000000"/>
                </a:solidFill>
                <a:latin typeface="+mn-lt"/>
                <a:ea typeface="Verdana"/>
              </a:rPr>
              <a:pPr algn="ctr"/>
              <a:t>0 coincidencias</a:t>
            </a:fld>
            <a:endParaRPr lang="en-US" sz="1400">
              <a:latin typeface="+mn-lt"/>
            </a:endParaRPr>
          </a:p>
        </xdr:txBody>
      </xdr:sp>
      <xdr:sp macro="" textlink="$Q$109">
        <xdr:nvSpPr>
          <xdr:cNvPr id="6" name="Forma libre: forma 5">
            <a:extLst>
              <a:ext uri="{FF2B5EF4-FFF2-40B4-BE49-F238E27FC236}">
                <a16:creationId xmlns:a16="http://schemas.microsoft.com/office/drawing/2014/main" id="{7B6FDB5E-EF03-F8BE-D836-B39A11E8C503}"/>
              </a:ext>
            </a:extLst>
          </xdr:cNvPr>
          <xdr:cNvSpPr/>
        </xdr:nvSpPr>
        <xdr:spPr>
          <a:xfrm>
            <a:off x="6902824" y="29619388"/>
            <a:ext cx="1636959" cy="2006526"/>
          </a:xfrm>
          <a:custGeom>
            <a:avLst/>
            <a:gdLst>
              <a:gd name="connsiteX0" fmla="*/ 1123054 w 1636959"/>
              <a:gd name="connsiteY0" fmla="*/ 0 h 2006526"/>
              <a:gd name="connsiteX1" fmla="*/ 1560197 w 1636959"/>
              <a:gd name="connsiteY1" fmla="*/ 78841 h 2006526"/>
              <a:gd name="connsiteX2" fmla="*/ 1636959 w 1636959"/>
              <a:gd name="connsiteY2" fmla="*/ 111875 h 2006526"/>
              <a:gd name="connsiteX3" fmla="*/ 1615597 w 1636959"/>
              <a:gd name="connsiteY3" fmla="*/ 121088 h 2006526"/>
              <a:gd name="connsiteX4" fmla="*/ 1029147 w 1636959"/>
              <a:gd name="connsiteY4" fmla="*/ 1003263 h 2006526"/>
              <a:gd name="connsiteX5" fmla="*/ 1615597 w 1636959"/>
              <a:gd name="connsiteY5" fmla="*/ 1885438 h 2006526"/>
              <a:gd name="connsiteX6" fmla="*/ 1636959 w 1636959"/>
              <a:gd name="connsiteY6" fmla="*/ 1894651 h 2006526"/>
              <a:gd name="connsiteX7" fmla="*/ 1560197 w 1636959"/>
              <a:gd name="connsiteY7" fmla="*/ 1927685 h 2006526"/>
              <a:gd name="connsiteX8" fmla="*/ 1123054 w 1636959"/>
              <a:gd name="connsiteY8" fmla="*/ 2006526 h 2006526"/>
              <a:gd name="connsiteX9" fmla="*/ 0 w 1636959"/>
              <a:gd name="connsiteY9" fmla="*/ 1003263 h 2006526"/>
              <a:gd name="connsiteX10" fmla="*/ 1123054 w 1636959"/>
              <a:gd name="connsiteY10" fmla="*/ 0 h 20065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636959" h="2006526">
                <a:moveTo>
                  <a:pt x="1123054" y="0"/>
                </a:moveTo>
                <a:cubicBezTo>
                  <a:pt x="1278116" y="0"/>
                  <a:pt x="1425837" y="28074"/>
                  <a:pt x="1560197" y="78841"/>
                </a:cubicBezTo>
                <a:lnTo>
                  <a:pt x="1636959" y="111875"/>
                </a:lnTo>
                <a:lnTo>
                  <a:pt x="1615597" y="121088"/>
                </a:lnTo>
                <a:cubicBezTo>
                  <a:pt x="1266281" y="290980"/>
                  <a:pt x="1029147" y="622328"/>
                  <a:pt x="1029147" y="1003263"/>
                </a:cubicBezTo>
                <a:cubicBezTo>
                  <a:pt x="1029147" y="1384198"/>
                  <a:pt x="1266281" y="1715546"/>
                  <a:pt x="1615597" y="1885438"/>
                </a:cubicBezTo>
                <a:lnTo>
                  <a:pt x="1636959" y="1894651"/>
                </a:lnTo>
                <a:lnTo>
                  <a:pt x="1560197" y="1927685"/>
                </a:lnTo>
                <a:cubicBezTo>
                  <a:pt x="1425837" y="1978453"/>
                  <a:pt x="1278116" y="2006526"/>
                  <a:pt x="1123054" y="2006526"/>
                </a:cubicBezTo>
                <a:cubicBezTo>
                  <a:pt x="502808" y="2006526"/>
                  <a:pt x="0" y="1557350"/>
                  <a:pt x="0" y="1003263"/>
                </a:cubicBezTo>
                <a:cubicBezTo>
                  <a:pt x="0" y="449176"/>
                  <a:pt x="502808" y="0"/>
                  <a:pt x="1123054" y="0"/>
                </a:cubicBezTo>
                <a:close/>
              </a:path>
            </a:pathLst>
          </a:custGeom>
          <a:solidFill>
            <a:srgbClr val="9CCCB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208795D3-8938-4287-88D2-820E25FB89B4}" type="TxLink">
              <a:rPr lang="en-US" sz="1400" b="0" i="0" u="none" strike="noStrike">
                <a:solidFill>
                  <a:srgbClr val="000000"/>
                </a:solidFill>
                <a:latin typeface="+mn-lt"/>
                <a:ea typeface="Verdana"/>
              </a:rPr>
              <a:pPr algn="ctr"/>
              <a:t>0</a:t>
            </a:fld>
            <a:endParaRPr lang="en-US" sz="1400">
              <a:latin typeface="+mn-lt"/>
            </a:endParaRPr>
          </a:p>
        </xdr:txBody>
      </xdr:sp>
      <xdr:sp macro="" textlink="$Q$111">
        <xdr:nvSpPr>
          <xdr:cNvPr id="8" name="Forma libre: forma 7">
            <a:extLst>
              <a:ext uri="{FF2B5EF4-FFF2-40B4-BE49-F238E27FC236}">
                <a16:creationId xmlns:a16="http://schemas.microsoft.com/office/drawing/2014/main" id="{E5122033-FB52-1742-0D32-AABD621BFC67}"/>
              </a:ext>
            </a:extLst>
          </xdr:cNvPr>
          <xdr:cNvSpPr/>
        </xdr:nvSpPr>
        <xdr:spPr>
          <a:xfrm>
            <a:off x="8539783" y="29619388"/>
            <a:ext cx="1633366" cy="2006526"/>
          </a:xfrm>
          <a:custGeom>
            <a:avLst/>
            <a:gdLst>
              <a:gd name="connsiteX0" fmla="*/ 512777 w 1633366"/>
              <a:gd name="connsiteY0" fmla="*/ 0 h 2006526"/>
              <a:gd name="connsiteX1" fmla="*/ 1633366 w 1633366"/>
              <a:gd name="connsiteY1" fmla="*/ 1003263 h 2006526"/>
              <a:gd name="connsiteX2" fmla="*/ 512777 w 1633366"/>
              <a:gd name="connsiteY2" fmla="*/ 2006526 h 2006526"/>
              <a:gd name="connsiteX3" fmla="*/ 76593 w 1633366"/>
              <a:gd name="connsiteY3" fmla="*/ 1927685 h 2006526"/>
              <a:gd name="connsiteX4" fmla="*/ 0 w 1633366"/>
              <a:gd name="connsiteY4" fmla="*/ 1894651 h 2006526"/>
              <a:gd name="connsiteX5" fmla="*/ 21409 w 1633366"/>
              <a:gd name="connsiteY5" fmla="*/ 1885438 h 2006526"/>
              <a:gd name="connsiteX6" fmla="*/ 609149 w 1633366"/>
              <a:gd name="connsiteY6" fmla="*/ 1003263 h 2006526"/>
              <a:gd name="connsiteX7" fmla="*/ 21409 w 1633366"/>
              <a:gd name="connsiteY7" fmla="*/ 121088 h 2006526"/>
              <a:gd name="connsiteX8" fmla="*/ 0 w 1633366"/>
              <a:gd name="connsiteY8" fmla="*/ 111875 h 2006526"/>
              <a:gd name="connsiteX9" fmla="*/ 76593 w 1633366"/>
              <a:gd name="connsiteY9" fmla="*/ 78841 h 2006526"/>
              <a:gd name="connsiteX10" fmla="*/ 512777 w 1633366"/>
              <a:gd name="connsiteY10" fmla="*/ 0 h 20065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633366" h="2006526">
                <a:moveTo>
                  <a:pt x="512777" y="0"/>
                </a:moveTo>
                <a:cubicBezTo>
                  <a:pt x="1131661" y="0"/>
                  <a:pt x="1633366" y="449176"/>
                  <a:pt x="1633366" y="1003263"/>
                </a:cubicBezTo>
                <a:cubicBezTo>
                  <a:pt x="1633366" y="1557350"/>
                  <a:pt x="1131661" y="2006526"/>
                  <a:pt x="512777" y="2006526"/>
                </a:cubicBezTo>
                <a:cubicBezTo>
                  <a:pt x="358056" y="2006526"/>
                  <a:pt x="210659" y="1978453"/>
                  <a:pt x="76593" y="1927685"/>
                </a:cubicBezTo>
                <a:lnTo>
                  <a:pt x="0" y="1894651"/>
                </a:lnTo>
                <a:lnTo>
                  <a:pt x="21409" y="1885438"/>
                </a:lnTo>
                <a:cubicBezTo>
                  <a:pt x="371494" y="1715546"/>
                  <a:pt x="609149" y="1384198"/>
                  <a:pt x="609149" y="1003263"/>
                </a:cubicBezTo>
                <a:cubicBezTo>
                  <a:pt x="609149" y="622328"/>
                  <a:pt x="371494" y="290980"/>
                  <a:pt x="21409" y="121088"/>
                </a:cubicBezTo>
                <a:lnTo>
                  <a:pt x="0" y="111875"/>
                </a:lnTo>
                <a:lnTo>
                  <a:pt x="76593" y="78841"/>
                </a:lnTo>
                <a:cubicBezTo>
                  <a:pt x="210659" y="28074"/>
                  <a:pt x="358056" y="0"/>
                  <a:pt x="512777" y="0"/>
                </a:cubicBezTo>
                <a:close/>
              </a:path>
            </a:pathLst>
          </a:custGeom>
          <a:solidFill>
            <a:srgbClr val="EAE7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C6624074-2077-4ED6-960C-0C5783F361EB}" type="TxLink">
              <a:rPr lang="en-US" sz="1400" b="0" i="0" u="none" strike="noStrike">
                <a:solidFill>
                  <a:srgbClr val="000000"/>
                </a:solidFill>
                <a:latin typeface="+mn-lt"/>
                <a:ea typeface="Verdana"/>
              </a:rPr>
              <a:pPr algn="ctr"/>
              <a:t>0</a:t>
            </a:fld>
            <a:endParaRPr lang="en-US" sz="1400">
              <a:latin typeface="+mn-lt"/>
            </a:endParaRPr>
          </a:p>
        </xdr:txBody>
      </xdr:sp>
      <xdr:sp macro="" textlink="">
        <xdr:nvSpPr>
          <xdr:cNvPr id="12" name="Elipse 11">
            <a:extLst>
              <a:ext uri="{FF2B5EF4-FFF2-40B4-BE49-F238E27FC236}">
                <a16:creationId xmlns:a16="http://schemas.microsoft.com/office/drawing/2014/main" id="{B394540E-B2D4-8E32-0D03-75E3A50C1C70}"/>
              </a:ext>
            </a:extLst>
          </xdr:cNvPr>
          <xdr:cNvSpPr/>
        </xdr:nvSpPr>
        <xdr:spPr>
          <a:xfrm>
            <a:off x="6902824" y="29619389"/>
            <a:ext cx="2246107" cy="2006525"/>
          </a:xfrm>
          <a:prstGeom prst="ellipse">
            <a:avLst/>
          </a:prstGeom>
          <a:noFill/>
          <a:ln>
            <a:solidFill>
              <a:srgbClr val="4D947B">
                <a:alpha val="50196"/>
              </a:srgb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US" sz="1400">
              <a:latin typeface="+mn-lt"/>
            </a:endParaRPr>
          </a:p>
        </xdr:txBody>
      </xdr:sp>
      <xdr:sp macro="" textlink="">
        <xdr:nvSpPr>
          <xdr:cNvPr id="13" name="Elipse 12">
            <a:extLst>
              <a:ext uri="{FF2B5EF4-FFF2-40B4-BE49-F238E27FC236}">
                <a16:creationId xmlns:a16="http://schemas.microsoft.com/office/drawing/2014/main" id="{ADC1EE1E-0A1F-0360-A947-DA330CCCF791}"/>
              </a:ext>
            </a:extLst>
          </xdr:cNvPr>
          <xdr:cNvSpPr/>
        </xdr:nvSpPr>
        <xdr:spPr>
          <a:xfrm>
            <a:off x="7931971" y="29619389"/>
            <a:ext cx="2241177" cy="2006525"/>
          </a:xfrm>
          <a:prstGeom prst="ellipse">
            <a:avLst/>
          </a:prstGeom>
          <a:noFill/>
          <a:ln>
            <a:solidFill>
              <a:srgbClr val="AFA927">
                <a:alpha val="49804"/>
              </a:srgb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US" sz="1400">
              <a:latin typeface="+mn-lt"/>
            </a:endParaRPr>
          </a:p>
        </xdr:txBody>
      </xdr:sp>
    </xdr:grpSp>
    <xdr:clientData/>
  </xdr:twoCellAnchor>
  <xdr:twoCellAnchor editAs="absolute">
    <xdr:from>
      <xdr:col>5</xdr:col>
      <xdr:colOff>0</xdr:colOff>
      <xdr:row>82</xdr:row>
      <xdr:rowOff>0</xdr:rowOff>
    </xdr:from>
    <xdr:to>
      <xdr:col>9</xdr:col>
      <xdr:colOff>0</xdr:colOff>
      <xdr:row>90</xdr:row>
      <xdr:rowOff>0</xdr:rowOff>
    </xdr:to>
    <xdr:grpSp>
      <xdr:nvGrpSpPr>
        <xdr:cNvPr id="2" name="Grupo 1">
          <a:extLst>
            <a:ext uri="{FF2B5EF4-FFF2-40B4-BE49-F238E27FC236}">
              <a16:creationId xmlns:a16="http://schemas.microsoft.com/office/drawing/2014/main" id="{8F678206-92CC-46F4-A511-C844D62EAFB7}"/>
            </a:ext>
          </a:extLst>
        </xdr:cNvPr>
        <xdr:cNvGrpSpPr>
          <a:grpSpLocks noChangeAspect="1"/>
        </xdr:cNvGrpSpPr>
      </xdr:nvGrpSpPr>
      <xdr:grpSpPr>
        <a:xfrm>
          <a:off x="4650441" y="17111382"/>
          <a:ext cx="4123765" cy="1524000"/>
          <a:chOff x="6902824" y="29619388"/>
          <a:chExt cx="3270325" cy="2006526"/>
        </a:xfrm>
      </xdr:grpSpPr>
      <xdr:sp macro="" textlink="$R$93">
        <xdr:nvSpPr>
          <xdr:cNvPr id="14" name="Forma libre: forma 13">
            <a:extLst>
              <a:ext uri="{FF2B5EF4-FFF2-40B4-BE49-F238E27FC236}">
                <a16:creationId xmlns:a16="http://schemas.microsoft.com/office/drawing/2014/main" id="{6B786AE8-2ACB-26E4-90D6-ABB60D0553F0}"/>
              </a:ext>
            </a:extLst>
          </xdr:cNvPr>
          <xdr:cNvSpPr/>
        </xdr:nvSpPr>
        <xdr:spPr>
          <a:xfrm>
            <a:off x="7931971" y="29731264"/>
            <a:ext cx="1216961" cy="1782776"/>
          </a:xfrm>
          <a:custGeom>
            <a:avLst/>
            <a:gdLst>
              <a:gd name="connsiteX0" fmla="*/ 607812 w 1216961"/>
              <a:gd name="connsiteY0" fmla="*/ 0 h 1782776"/>
              <a:gd name="connsiteX1" fmla="*/ 629221 w 1216961"/>
              <a:gd name="connsiteY1" fmla="*/ 9213 h 1782776"/>
              <a:gd name="connsiteX2" fmla="*/ 1216961 w 1216961"/>
              <a:gd name="connsiteY2" fmla="*/ 891388 h 1782776"/>
              <a:gd name="connsiteX3" fmla="*/ 629221 w 1216961"/>
              <a:gd name="connsiteY3" fmla="*/ 1773563 h 1782776"/>
              <a:gd name="connsiteX4" fmla="*/ 607812 w 1216961"/>
              <a:gd name="connsiteY4" fmla="*/ 1782776 h 1782776"/>
              <a:gd name="connsiteX5" fmla="*/ 586450 w 1216961"/>
              <a:gd name="connsiteY5" fmla="*/ 1773563 h 1782776"/>
              <a:gd name="connsiteX6" fmla="*/ 0 w 1216961"/>
              <a:gd name="connsiteY6" fmla="*/ 891388 h 1782776"/>
              <a:gd name="connsiteX7" fmla="*/ 586450 w 1216961"/>
              <a:gd name="connsiteY7" fmla="*/ 9213 h 1782776"/>
              <a:gd name="connsiteX8" fmla="*/ 607812 w 1216961"/>
              <a:gd name="connsiteY8" fmla="*/ 0 h 17827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216961" h="1782776">
                <a:moveTo>
                  <a:pt x="607812" y="0"/>
                </a:moveTo>
                <a:lnTo>
                  <a:pt x="629221" y="9213"/>
                </a:lnTo>
                <a:cubicBezTo>
                  <a:pt x="979306" y="179105"/>
                  <a:pt x="1216961" y="510453"/>
                  <a:pt x="1216961" y="891388"/>
                </a:cubicBezTo>
                <a:cubicBezTo>
                  <a:pt x="1216961" y="1272323"/>
                  <a:pt x="979306" y="1603671"/>
                  <a:pt x="629221" y="1773563"/>
                </a:cubicBezTo>
                <a:lnTo>
                  <a:pt x="607812" y="1782776"/>
                </a:lnTo>
                <a:lnTo>
                  <a:pt x="586450" y="1773563"/>
                </a:lnTo>
                <a:cubicBezTo>
                  <a:pt x="237134" y="1603671"/>
                  <a:pt x="0" y="1272323"/>
                  <a:pt x="0" y="891388"/>
                </a:cubicBezTo>
                <a:cubicBezTo>
                  <a:pt x="0" y="510453"/>
                  <a:pt x="237134" y="179105"/>
                  <a:pt x="586450" y="9213"/>
                </a:cubicBezTo>
                <a:lnTo>
                  <a:pt x="607812" y="0"/>
                </a:lnTo>
                <a:close/>
              </a:path>
            </a:pathLst>
          </a:custGeom>
          <a:solidFill>
            <a:srgbClr val="9CB3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fld id="{042FA624-CE2C-4285-95D0-E93D82F1F817}" type="TxLink">
              <a:rPr lang="en-US" sz="1400" b="0" i="0" u="none" strike="noStrike">
                <a:solidFill>
                  <a:srgbClr val="000000"/>
                </a:solidFill>
                <a:latin typeface="Calibri"/>
                <a:ea typeface="Calibri"/>
                <a:cs typeface="Calibri"/>
              </a:rPr>
              <a:pPr algn="ctr"/>
              <a:t>0 coincidencias</a:t>
            </a:fld>
            <a:endParaRPr lang="en-US" sz="1400">
              <a:latin typeface="+mn-lt"/>
            </a:endParaRPr>
          </a:p>
        </xdr:txBody>
      </xdr:sp>
      <xdr:sp macro="" textlink="$Q$92">
        <xdr:nvSpPr>
          <xdr:cNvPr id="15" name="Forma libre: forma 14">
            <a:extLst>
              <a:ext uri="{FF2B5EF4-FFF2-40B4-BE49-F238E27FC236}">
                <a16:creationId xmlns:a16="http://schemas.microsoft.com/office/drawing/2014/main" id="{B22F5328-AB0F-050A-2DE1-EB10E804ABC9}"/>
              </a:ext>
            </a:extLst>
          </xdr:cNvPr>
          <xdr:cNvSpPr/>
        </xdr:nvSpPr>
        <xdr:spPr>
          <a:xfrm>
            <a:off x="6902824" y="29619388"/>
            <a:ext cx="1636959" cy="2006526"/>
          </a:xfrm>
          <a:custGeom>
            <a:avLst/>
            <a:gdLst>
              <a:gd name="connsiteX0" fmla="*/ 1123054 w 1636959"/>
              <a:gd name="connsiteY0" fmla="*/ 0 h 2006526"/>
              <a:gd name="connsiteX1" fmla="*/ 1560197 w 1636959"/>
              <a:gd name="connsiteY1" fmla="*/ 78841 h 2006526"/>
              <a:gd name="connsiteX2" fmla="*/ 1636959 w 1636959"/>
              <a:gd name="connsiteY2" fmla="*/ 111875 h 2006526"/>
              <a:gd name="connsiteX3" fmla="*/ 1615597 w 1636959"/>
              <a:gd name="connsiteY3" fmla="*/ 121088 h 2006526"/>
              <a:gd name="connsiteX4" fmla="*/ 1029147 w 1636959"/>
              <a:gd name="connsiteY4" fmla="*/ 1003263 h 2006526"/>
              <a:gd name="connsiteX5" fmla="*/ 1615597 w 1636959"/>
              <a:gd name="connsiteY5" fmla="*/ 1885438 h 2006526"/>
              <a:gd name="connsiteX6" fmla="*/ 1636959 w 1636959"/>
              <a:gd name="connsiteY6" fmla="*/ 1894651 h 2006526"/>
              <a:gd name="connsiteX7" fmla="*/ 1560197 w 1636959"/>
              <a:gd name="connsiteY7" fmla="*/ 1927685 h 2006526"/>
              <a:gd name="connsiteX8" fmla="*/ 1123054 w 1636959"/>
              <a:gd name="connsiteY8" fmla="*/ 2006526 h 2006526"/>
              <a:gd name="connsiteX9" fmla="*/ 0 w 1636959"/>
              <a:gd name="connsiteY9" fmla="*/ 1003263 h 2006526"/>
              <a:gd name="connsiteX10" fmla="*/ 1123054 w 1636959"/>
              <a:gd name="connsiteY10" fmla="*/ 0 h 20065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636959" h="2006526">
                <a:moveTo>
                  <a:pt x="1123054" y="0"/>
                </a:moveTo>
                <a:cubicBezTo>
                  <a:pt x="1278116" y="0"/>
                  <a:pt x="1425837" y="28074"/>
                  <a:pt x="1560197" y="78841"/>
                </a:cubicBezTo>
                <a:lnTo>
                  <a:pt x="1636959" y="111875"/>
                </a:lnTo>
                <a:lnTo>
                  <a:pt x="1615597" y="121088"/>
                </a:lnTo>
                <a:cubicBezTo>
                  <a:pt x="1266281" y="290980"/>
                  <a:pt x="1029147" y="622328"/>
                  <a:pt x="1029147" y="1003263"/>
                </a:cubicBezTo>
                <a:cubicBezTo>
                  <a:pt x="1029147" y="1384198"/>
                  <a:pt x="1266281" y="1715546"/>
                  <a:pt x="1615597" y="1885438"/>
                </a:cubicBezTo>
                <a:lnTo>
                  <a:pt x="1636959" y="1894651"/>
                </a:lnTo>
                <a:lnTo>
                  <a:pt x="1560197" y="1927685"/>
                </a:lnTo>
                <a:cubicBezTo>
                  <a:pt x="1425837" y="1978453"/>
                  <a:pt x="1278116" y="2006526"/>
                  <a:pt x="1123054" y="2006526"/>
                </a:cubicBezTo>
                <a:cubicBezTo>
                  <a:pt x="502808" y="2006526"/>
                  <a:pt x="0" y="1557350"/>
                  <a:pt x="0" y="1003263"/>
                </a:cubicBezTo>
                <a:cubicBezTo>
                  <a:pt x="0" y="449176"/>
                  <a:pt x="502808" y="0"/>
                  <a:pt x="1123054" y="0"/>
                </a:cubicBezTo>
                <a:close/>
              </a:path>
            </a:pathLst>
          </a:custGeom>
          <a:solidFill>
            <a:srgbClr val="9CCCB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EEFE0424-834C-48B2-ABE1-292AEFB58B6E}" type="TxLink">
              <a:rPr lang="en-US" sz="1400" b="0" i="0" u="none" strike="noStrike">
                <a:solidFill>
                  <a:srgbClr val="000000"/>
                </a:solidFill>
                <a:latin typeface="+mn-lt"/>
                <a:ea typeface="Verdana"/>
              </a:rPr>
              <a:pPr algn="ctr"/>
              <a:t>0</a:t>
            </a:fld>
            <a:endParaRPr lang="en-US" sz="1400">
              <a:latin typeface="+mn-lt"/>
            </a:endParaRPr>
          </a:p>
        </xdr:txBody>
      </xdr:sp>
      <xdr:sp macro="" textlink="$Q$94">
        <xdr:nvSpPr>
          <xdr:cNvPr id="16" name="Forma libre: forma 15">
            <a:extLst>
              <a:ext uri="{FF2B5EF4-FFF2-40B4-BE49-F238E27FC236}">
                <a16:creationId xmlns:a16="http://schemas.microsoft.com/office/drawing/2014/main" id="{3695FD02-B6AD-5344-8F70-C380438A91F6}"/>
              </a:ext>
            </a:extLst>
          </xdr:cNvPr>
          <xdr:cNvSpPr/>
        </xdr:nvSpPr>
        <xdr:spPr>
          <a:xfrm>
            <a:off x="8539783" y="29619388"/>
            <a:ext cx="1633366" cy="2006526"/>
          </a:xfrm>
          <a:custGeom>
            <a:avLst/>
            <a:gdLst>
              <a:gd name="connsiteX0" fmla="*/ 512777 w 1633366"/>
              <a:gd name="connsiteY0" fmla="*/ 0 h 2006526"/>
              <a:gd name="connsiteX1" fmla="*/ 1633366 w 1633366"/>
              <a:gd name="connsiteY1" fmla="*/ 1003263 h 2006526"/>
              <a:gd name="connsiteX2" fmla="*/ 512777 w 1633366"/>
              <a:gd name="connsiteY2" fmla="*/ 2006526 h 2006526"/>
              <a:gd name="connsiteX3" fmla="*/ 76593 w 1633366"/>
              <a:gd name="connsiteY3" fmla="*/ 1927685 h 2006526"/>
              <a:gd name="connsiteX4" fmla="*/ 0 w 1633366"/>
              <a:gd name="connsiteY4" fmla="*/ 1894651 h 2006526"/>
              <a:gd name="connsiteX5" fmla="*/ 21409 w 1633366"/>
              <a:gd name="connsiteY5" fmla="*/ 1885438 h 2006526"/>
              <a:gd name="connsiteX6" fmla="*/ 609149 w 1633366"/>
              <a:gd name="connsiteY6" fmla="*/ 1003263 h 2006526"/>
              <a:gd name="connsiteX7" fmla="*/ 21409 w 1633366"/>
              <a:gd name="connsiteY7" fmla="*/ 121088 h 2006526"/>
              <a:gd name="connsiteX8" fmla="*/ 0 w 1633366"/>
              <a:gd name="connsiteY8" fmla="*/ 111875 h 2006526"/>
              <a:gd name="connsiteX9" fmla="*/ 76593 w 1633366"/>
              <a:gd name="connsiteY9" fmla="*/ 78841 h 2006526"/>
              <a:gd name="connsiteX10" fmla="*/ 512777 w 1633366"/>
              <a:gd name="connsiteY10" fmla="*/ 0 h 20065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633366" h="2006526">
                <a:moveTo>
                  <a:pt x="512777" y="0"/>
                </a:moveTo>
                <a:cubicBezTo>
                  <a:pt x="1131661" y="0"/>
                  <a:pt x="1633366" y="449176"/>
                  <a:pt x="1633366" y="1003263"/>
                </a:cubicBezTo>
                <a:cubicBezTo>
                  <a:pt x="1633366" y="1557350"/>
                  <a:pt x="1131661" y="2006526"/>
                  <a:pt x="512777" y="2006526"/>
                </a:cubicBezTo>
                <a:cubicBezTo>
                  <a:pt x="358056" y="2006526"/>
                  <a:pt x="210659" y="1978453"/>
                  <a:pt x="76593" y="1927685"/>
                </a:cubicBezTo>
                <a:lnTo>
                  <a:pt x="0" y="1894651"/>
                </a:lnTo>
                <a:lnTo>
                  <a:pt x="21409" y="1885438"/>
                </a:lnTo>
                <a:cubicBezTo>
                  <a:pt x="371494" y="1715546"/>
                  <a:pt x="609149" y="1384198"/>
                  <a:pt x="609149" y="1003263"/>
                </a:cubicBezTo>
                <a:cubicBezTo>
                  <a:pt x="609149" y="622328"/>
                  <a:pt x="371494" y="290980"/>
                  <a:pt x="21409" y="121088"/>
                </a:cubicBezTo>
                <a:lnTo>
                  <a:pt x="0" y="111875"/>
                </a:lnTo>
                <a:lnTo>
                  <a:pt x="76593" y="78841"/>
                </a:lnTo>
                <a:cubicBezTo>
                  <a:pt x="210659" y="28074"/>
                  <a:pt x="358056" y="0"/>
                  <a:pt x="512777" y="0"/>
                </a:cubicBezTo>
                <a:close/>
              </a:path>
            </a:pathLst>
          </a:custGeom>
          <a:solidFill>
            <a:srgbClr val="B0A29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5D5CE236-CC04-44F4-8E4F-8203FD51087E}" type="TxLink">
              <a:rPr lang="en-US" sz="1400" b="0" i="0" u="none" strike="noStrike">
                <a:solidFill>
                  <a:srgbClr val="000000"/>
                </a:solidFill>
                <a:latin typeface="+mn-lt"/>
                <a:ea typeface="Verdana"/>
              </a:rPr>
              <a:pPr algn="ctr"/>
              <a:t>0</a:t>
            </a:fld>
            <a:endParaRPr lang="en-US" sz="1400">
              <a:latin typeface="+mn-lt"/>
            </a:endParaRPr>
          </a:p>
        </xdr:txBody>
      </xdr:sp>
      <xdr:sp macro="" textlink="">
        <xdr:nvSpPr>
          <xdr:cNvPr id="17" name="Elipse 16">
            <a:extLst>
              <a:ext uri="{FF2B5EF4-FFF2-40B4-BE49-F238E27FC236}">
                <a16:creationId xmlns:a16="http://schemas.microsoft.com/office/drawing/2014/main" id="{E992395C-DA69-DEBA-6374-EAF453941EF4}"/>
              </a:ext>
            </a:extLst>
          </xdr:cNvPr>
          <xdr:cNvSpPr/>
        </xdr:nvSpPr>
        <xdr:spPr>
          <a:xfrm>
            <a:off x="6902824" y="29619389"/>
            <a:ext cx="2246107" cy="2006525"/>
          </a:xfrm>
          <a:prstGeom prst="ellipse">
            <a:avLst/>
          </a:prstGeom>
          <a:noFill/>
          <a:ln>
            <a:solidFill>
              <a:srgbClr val="4D947B">
                <a:alpha val="50196"/>
              </a:srgb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US" sz="1400">
              <a:latin typeface="+mn-lt"/>
            </a:endParaRPr>
          </a:p>
        </xdr:txBody>
      </xdr:sp>
      <xdr:sp macro="" textlink="">
        <xdr:nvSpPr>
          <xdr:cNvPr id="18" name="Elipse 17">
            <a:extLst>
              <a:ext uri="{FF2B5EF4-FFF2-40B4-BE49-F238E27FC236}">
                <a16:creationId xmlns:a16="http://schemas.microsoft.com/office/drawing/2014/main" id="{579E954C-2A7C-837B-ED34-247BE398BD67}"/>
              </a:ext>
            </a:extLst>
          </xdr:cNvPr>
          <xdr:cNvSpPr/>
        </xdr:nvSpPr>
        <xdr:spPr>
          <a:xfrm>
            <a:off x="7931971" y="29619389"/>
            <a:ext cx="2241177" cy="2006525"/>
          </a:xfrm>
          <a:prstGeom prst="ellipse">
            <a:avLst/>
          </a:prstGeom>
          <a:noFill/>
          <a:ln>
            <a:solidFill>
              <a:srgbClr val="786256">
                <a:alpha val="49804"/>
              </a:srgb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US" sz="1400">
              <a:latin typeface="+mn-lt"/>
            </a:endParaRPr>
          </a:p>
        </xdr:txBody>
      </xdr:sp>
    </xdr:grpSp>
    <xdr:clientData/>
  </xdr:twoCellAnchor>
  <xdr:twoCellAnchor editAs="absolute">
    <xdr:from>
      <xdr:col>11</xdr:col>
      <xdr:colOff>152401</xdr:colOff>
      <xdr:row>0</xdr:row>
      <xdr:rowOff>295836</xdr:rowOff>
    </xdr:from>
    <xdr:to>
      <xdr:col>12</xdr:col>
      <xdr:colOff>1184014</xdr:colOff>
      <xdr:row>0</xdr:row>
      <xdr:rowOff>889160</xdr:rowOff>
    </xdr:to>
    <xdr:pic>
      <xdr:nvPicPr>
        <xdr:cNvPr id="19" name="Gráfico 18">
          <a:extLst>
            <a:ext uri="{FF2B5EF4-FFF2-40B4-BE49-F238E27FC236}">
              <a16:creationId xmlns:a16="http://schemas.microsoft.com/office/drawing/2014/main" id="{3747326D-EBAD-46C7-A748-B1D2C284484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1268636" y="295836"/>
          <a:ext cx="2089449" cy="593324"/>
        </a:xfrm>
        <a:prstGeom prst="rect">
          <a:avLst/>
        </a:prstGeom>
      </xdr:spPr>
    </xdr:pic>
    <xdr:clientData/>
  </xdr:twoCellAnchor>
  <xdr:twoCellAnchor editAs="absolute">
    <xdr:from>
      <xdr:col>1</xdr:col>
      <xdr:colOff>818029</xdr:colOff>
      <xdr:row>133</xdr:row>
      <xdr:rowOff>123264</xdr:rowOff>
    </xdr:from>
    <xdr:to>
      <xdr:col>5</xdr:col>
      <xdr:colOff>851647</xdr:colOff>
      <xdr:row>150</xdr:row>
      <xdr:rowOff>123263</xdr:rowOff>
    </xdr:to>
    <xdr:grpSp>
      <xdr:nvGrpSpPr>
        <xdr:cNvPr id="42" name="Grupo 41">
          <a:extLst>
            <a:ext uri="{FF2B5EF4-FFF2-40B4-BE49-F238E27FC236}">
              <a16:creationId xmlns:a16="http://schemas.microsoft.com/office/drawing/2014/main" id="{DC9A9036-9FAA-1CC4-59B2-63A29C5EFD5E}"/>
            </a:ext>
          </a:extLst>
        </xdr:cNvPr>
        <xdr:cNvGrpSpPr/>
      </xdr:nvGrpSpPr>
      <xdr:grpSpPr>
        <a:xfrm>
          <a:off x="1143000" y="27006176"/>
          <a:ext cx="4359088" cy="3238499"/>
          <a:chOff x="1467970" y="26737235"/>
          <a:chExt cx="4235824" cy="3238499"/>
        </a:xfrm>
      </xdr:grpSpPr>
      <xdr:grpSp>
        <xdr:nvGrpSpPr>
          <xdr:cNvPr id="21" name="Grupo 20">
            <a:extLst>
              <a:ext uri="{FF2B5EF4-FFF2-40B4-BE49-F238E27FC236}">
                <a16:creationId xmlns:a16="http://schemas.microsoft.com/office/drawing/2014/main" id="{CA32201B-FF8D-3BE4-78C7-6E6672A40871}"/>
              </a:ext>
            </a:extLst>
          </xdr:cNvPr>
          <xdr:cNvGrpSpPr/>
        </xdr:nvGrpSpPr>
        <xdr:grpSpPr>
          <a:xfrm>
            <a:off x="1467970" y="26737235"/>
            <a:ext cx="4235824" cy="3238499"/>
            <a:chOff x="3575352" y="239547"/>
            <a:chExt cx="5084165" cy="4634459"/>
          </a:xfrm>
        </xdr:grpSpPr>
        <xdr:grpSp>
          <xdr:nvGrpSpPr>
            <xdr:cNvPr id="22" name="Grupo 21">
              <a:extLst>
                <a:ext uri="{FF2B5EF4-FFF2-40B4-BE49-F238E27FC236}">
                  <a16:creationId xmlns:a16="http://schemas.microsoft.com/office/drawing/2014/main" id="{EC8CEA55-0D96-5FA0-5420-F8BEDA7A4B2F}"/>
                </a:ext>
              </a:extLst>
            </xdr:cNvPr>
            <xdr:cNvGrpSpPr/>
          </xdr:nvGrpSpPr>
          <xdr:grpSpPr>
            <a:xfrm>
              <a:off x="3575352" y="239547"/>
              <a:ext cx="5084165" cy="4634459"/>
              <a:chOff x="6627099" y="239547"/>
              <a:chExt cx="5084165" cy="4634459"/>
            </a:xfrm>
          </xdr:grpSpPr>
          <xdr:sp macro="" textlink="">
            <xdr:nvSpPr>
              <xdr:cNvPr id="27" name="Forma libre: forma 26">
                <a:extLst>
                  <a:ext uri="{FF2B5EF4-FFF2-40B4-BE49-F238E27FC236}">
                    <a16:creationId xmlns:a16="http://schemas.microsoft.com/office/drawing/2014/main" id="{81A819C1-C771-06A5-DFFD-8EBB17E79FD5}"/>
                  </a:ext>
                </a:extLst>
              </xdr:cNvPr>
              <xdr:cNvSpPr/>
            </xdr:nvSpPr>
            <xdr:spPr>
              <a:xfrm>
                <a:off x="8159645" y="402360"/>
                <a:ext cx="2019073" cy="1466782"/>
              </a:xfrm>
              <a:custGeom>
                <a:avLst/>
                <a:gdLst>
                  <a:gd name="connsiteX0" fmla="*/ 1009536 w 2019073"/>
                  <a:gd name="connsiteY0" fmla="*/ 0 h 1466782"/>
                  <a:gd name="connsiteX1" fmla="*/ 1090496 w 2019073"/>
                  <a:gd name="connsiteY1" fmla="*/ 36203 h 1466782"/>
                  <a:gd name="connsiteX2" fmla="*/ 2010953 w 2019073"/>
                  <a:gd name="connsiteY2" fmla="*/ 1317513 h 1466782"/>
                  <a:gd name="connsiteX3" fmla="*/ 2019073 w 2019073"/>
                  <a:gd name="connsiteY3" fmla="*/ 1466781 h 1466782"/>
                  <a:gd name="connsiteX4" fmla="*/ 2002703 w 2019073"/>
                  <a:gd name="connsiteY4" fmla="*/ 1455418 h 1466782"/>
                  <a:gd name="connsiteX5" fmla="*/ 1009537 w 2019073"/>
                  <a:gd name="connsiteY5" fmla="*/ 1173809 h 1466782"/>
                  <a:gd name="connsiteX6" fmla="*/ 16371 w 2019073"/>
                  <a:gd name="connsiteY6" fmla="*/ 1455418 h 1466782"/>
                  <a:gd name="connsiteX7" fmla="*/ 0 w 2019073"/>
                  <a:gd name="connsiteY7" fmla="*/ 1466782 h 1466782"/>
                  <a:gd name="connsiteX8" fmla="*/ 8120 w 2019073"/>
                  <a:gd name="connsiteY8" fmla="*/ 1317513 h 1466782"/>
                  <a:gd name="connsiteX9" fmla="*/ 928577 w 2019073"/>
                  <a:gd name="connsiteY9" fmla="*/ 36203 h 1466782"/>
                  <a:gd name="connsiteX10" fmla="*/ 1009536 w 2019073"/>
                  <a:gd name="connsiteY10" fmla="*/ 0 h 14667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2019073" h="1466782">
                    <a:moveTo>
                      <a:pt x="1009536" y="0"/>
                    </a:moveTo>
                    <a:lnTo>
                      <a:pt x="1090496" y="36203"/>
                    </a:lnTo>
                    <a:cubicBezTo>
                      <a:pt x="1593885" y="290045"/>
                      <a:pt x="1950309" y="763195"/>
                      <a:pt x="2010953" y="1317513"/>
                    </a:cubicBezTo>
                    <a:lnTo>
                      <a:pt x="2019073" y="1466781"/>
                    </a:lnTo>
                    <a:lnTo>
                      <a:pt x="2002703" y="1455418"/>
                    </a:lnTo>
                    <a:cubicBezTo>
                      <a:pt x="1719198" y="1277625"/>
                      <a:pt x="1377428" y="1173809"/>
                      <a:pt x="1009537" y="1173809"/>
                    </a:cubicBezTo>
                    <a:cubicBezTo>
                      <a:pt x="641646" y="1173809"/>
                      <a:pt x="299876" y="1277625"/>
                      <a:pt x="16371" y="1455418"/>
                    </a:cubicBezTo>
                    <a:lnTo>
                      <a:pt x="0" y="1466782"/>
                    </a:lnTo>
                    <a:lnTo>
                      <a:pt x="8120" y="1317513"/>
                    </a:lnTo>
                    <a:cubicBezTo>
                      <a:pt x="68764" y="763195"/>
                      <a:pt x="425188" y="290045"/>
                      <a:pt x="928577" y="36203"/>
                    </a:cubicBezTo>
                    <a:lnTo>
                      <a:pt x="1009536" y="0"/>
                    </a:lnTo>
                    <a:close/>
                  </a:path>
                </a:pathLst>
              </a:custGeom>
              <a:solidFill>
                <a:srgbClr val="CFDCA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28" name="Forma libre: forma 27">
                <a:extLst>
                  <a:ext uri="{FF2B5EF4-FFF2-40B4-BE49-F238E27FC236}">
                    <a16:creationId xmlns:a16="http://schemas.microsoft.com/office/drawing/2014/main" id="{675AB424-9C3B-21C5-A1F2-D284DD473788}"/>
                  </a:ext>
                </a:extLst>
              </xdr:cNvPr>
              <xdr:cNvSpPr/>
            </xdr:nvSpPr>
            <xdr:spPr>
              <a:xfrm>
                <a:off x="9169181" y="1869141"/>
                <a:ext cx="1776336" cy="1668242"/>
              </a:xfrm>
              <a:custGeom>
                <a:avLst/>
                <a:gdLst>
                  <a:gd name="connsiteX0" fmla="*/ 1009537 w 1776336"/>
                  <a:gd name="connsiteY0" fmla="*/ 0 h 1668242"/>
                  <a:gd name="connsiteX1" fmla="*/ 1129915 w 1776336"/>
                  <a:gd name="connsiteY1" fmla="*/ 83561 h 1668242"/>
                  <a:gd name="connsiteX2" fmla="*/ 1776336 w 1776336"/>
                  <a:gd name="connsiteY2" fmla="*/ 1355946 h 1668242"/>
                  <a:gd name="connsiteX3" fmla="*/ 1775285 w 1776336"/>
                  <a:gd name="connsiteY3" fmla="*/ 1375269 h 1668242"/>
                  <a:gd name="connsiteX4" fmla="*/ 1758914 w 1776336"/>
                  <a:gd name="connsiteY4" fmla="*/ 1386633 h 1668242"/>
                  <a:gd name="connsiteX5" fmla="*/ 765748 w 1776336"/>
                  <a:gd name="connsiteY5" fmla="*/ 1668242 h 1668242"/>
                  <a:gd name="connsiteX6" fmla="*/ 74318 w 1776336"/>
                  <a:gd name="connsiteY6" fmla="*/ 1538662 h 1668242"/>
                  <a:gd name="connsiteX7" fmla="*/ 0 w 1776336"/>
                  <a:gd name="connsiteY7" fmla="*/ 1505429 h 1668242"/>
                  <a:gd name="connsiteX8" fmla="*/ 80960 w 1776336"/>
                  <a:gd name="connsiteY8" fmla="*/ 1469226 h 1668242"/>
                  <a:gd name="connsiteX9" fmla="*/ 1010588 w 1776336"/>
                  <a:gd name="connsiteY9" fmla="*/ 19324 h 1668242"/>
                  <a:gd name="connsiteX10" fmla="*/ 1009537 w 1776336"/>
                  <a:gd name="connsiteY10" fmla="*/ 0 h 16682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776336" h="1668242">
                    <a:moveTo>
                      <a:pt x="1009537" y="0"/>
                    </a:moveTo>
                    <a:lnTo>
                      <a:pt x="1129915" y="83561"/>
                    </a:lnTo>
                    <a:cubicBezTo>
                      <a:pt x="1524701" y="385997"/>
                      <a:pt x="1776336" y="843693"/>
                      <a:pt x="1776336" y="1355946"/>
                    </a:cubicBezTo>
                    <a:lnTo>
                      <a:pt x="1775285" y="1375269"/>
                    </a:lnTo>
                    <a:lnTo>
                      <a:pt x="1758914" y="1386633"/>
                    </a:lnTo>
                    <a:cubicBezTo>
                      <a:pt x="1475409" y="1564426"/>
                      <a:pt x="1133639" y="1668242"/>
                      <a:pt x="765748" y="1668242"/>
                    </a:cubicBezTo>
                    <a:cubicBezTo>
                      <a:pt x="520487" y="1668242"/>
                      <a:pt x="286836" y="1622102"/>
                      <a:pt x="74318" y="1538662"/>
                    </a:cubicBezTo>
                    <a:lnTo>
                      <a:pt x="0" y="1505429"/>
                    </a:lnTo>
                    <a:lnTo>
                      <a:pt x="80960" y="1469226"/>
                    </a:lnTo>
                    <a:cubicBezTo>
                      <a:pt x="634688" y="1190000"/>
                      <a:pt x="1010588" y="645411"/>
                      <a:pt x="1010588" y="19324"/>
                    </a:cubicBezTo>
                    <a:lnTo>
                      <a:pt x="1009537" y="0"/>
                    </a:lnTo>
                    <a:close/>
                  </a:path>
                </a:pathLst>
              </a:custGeom>
              <a:solidFill>
                <a:srgbClr val="D6CF9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31" name="Forma libre: forma 30">
                <a:extLst>
                  <a:ext uri="{FF2B5EF4-FFF2-40B4-BE49-F238E27FC236}">
                    <a16:creationId xmlns:a16="http://schemas.microsoft.com/office/drawing/2014/main" id="{D33F7ACE-6593-8449-0D8B-106D7FD70C55}"/>
                  </a:ext>
                </a:extLst>
              </xdr:cNvPr>
              <xdr:cNvSpPr/>
            </xdr:nvSpPr>
            <xdr:spPr>
              <a:xfrm>
                <a:off x="7392847" y="1869143"/>
                <a:ext cx="1776334" cy="1668241"/>
              </a:xfrm>
              <a:custGeom>
                <a:avLst/>
                <a:gdLst>
                  <a:gd name="connsiteX0" fmla="*/ 766798 w 1776334"/>
                  <a:gd name="connsiteY0" fmla="*/ 0 h 1668241"/>
                  <a:gd name="connsiteX1" fmla="*/ 765747 w 1776334"/>
                  <a:gd name="connsiteY1" fmla="*/ 19323 h 1668241"/>
                  <a:gd name="connsiteX2" fmla="*/ 1695375 w 1776334"/>
                  <a:gd name="connsiteY2" fmla="*/ 1469225 h 1668241"/>
                  <a:gd name="connsiteX3" fmla="*/ 1776334 w 1776334"/>
                  <a:gd name="connsiteY3" fmla="*/ 1505428 h 1668241"/>
                  <a:gd name="connsiteX4" fmla="*/ 1702017 w 1776334"/>
                  <a:gd name="connsiteY4" fmla="*/ 1538661 h 1668241"/>
                  <a:gd name="connsiteX5" fmla="*/ 1010587 w 1776334"/>
                  <a:gd name="connsiteY5" fmla="*/ 1668241 h 1668241"/>
                  <a:gd name="connsiteX6" fmla="*/ 17421 w 1776334"/>
                  <a:gd name="connsiteY6" fmla="*/ 1386632 h 1668241"/>
                  <a:gd name="connsiteX7" fmla="*/ 1051 w 1776334"/>
                  <a:gd name="connsiteY7" fmla="*/ 1375269 h 1668241"/>
                  <a:gd name="connsiteX8" fmla="*/ 0 w 1776334"/>
                  <a:gd name="connsiteY8" fmla="*/ 1355945 h 1668241"/>
                  <a:gd name="connsiteX9" fmla="*/ 646421 w 1776334"/>
                  <a:gd name="connsiteY9" fmla="*/ 83560 h 1668241"/>
                  <a:gd name="connsiteX10" fmla="*/ 766798 w 1776334"/>
                  <a:gd name="connsiteY10" fmla="*/ 0 h 166824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776334" h="1668241">
                    <a:moveTo>
                      <a:pt x="766798" y="0"/>
                    </a:moveTo>
                    <a:lnTo>
                      <a:pt x="765747" y="19323"/>
                    </a:lnTo>
                    <a:cubicBezTo>
                      <a:pt x="765747" y="645410"/>
                      <a:pt x="1141647" y="1189999"/>
                      <a:pt x="1695375" y="1469225"/>
                    </a:cubicBezTo>
                    <a:lnTo>
                      <a:pt x="1776334" y="1505428"/>
                    </a:lnTo>
                    <a:lnTo>
                      <a:pt x="1702017" y="1538661"/>
                    </a:lnTo>
                    <a:cubicBezTo>
                      <a:pt x="1489499" y="1622101"/>
                      <a:pt x="1255848" y="1668241"/>
                      <a:pt x="1010587" y="1668241"/>
                    </a:cubicBezTo>
                    <a:cubicBezTo>
                      <a:pt x="642696" y="1668241"/>
                      <a:pt x="300926" y="1564425"/>
                      <a:pt x="17421" y="1386632"/>
                    </a:cubicBezTo>
                    <a:lnTo>
                      <a:pt x="1051" y="1375269"/>
                    </a:lnTo>
                    <a:lnTo>
                      <a:pt x="0" y="1355945"/>
                    </a:lnTo>
                    <a:cubicBezTo>
                      <a:pt x="0" y="843692"/>
                      <a:pt x="251636" y="385996"/>
                      <a:pt x="646421" y="83560"/>
                    </a:cubicBezTo>
                    <a:lnTo>
                      <a:pt x="766798" y="0"/>
                    </a:lnTo>
                    <a:close/>
                  </a:path>
                </a:pathLst>
              </a:custGeom>
              <a:solidFill>
                <a:srgbClr val="9CB3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sz="1200"/>
              </a:p>
            </xdr:txBody>
          </xdr:sp>
          <xdr:sp macro="" textlink="">
            <xdr:nvSpPr>
              <xdr:cNvPr id="32" name="Forma libre: forma 31">
                <a:extLst>
                  <a:ext uri="{FF2B5EF4-FFF2-40B4-BE49-F238E27FC236}">
                    <a16:creationId xmlns:a16="http://schemas.microsoft.com/office/drawing/2014/main" id="{D0F2E677-18B6-50F5-EE1F-C9A53F3D4454}"/>
                  </a:ext>
                </a:extLst>
              </xdr:cNvPr>
              <xdr:cNvSpPr/>
            </xdr:nvSpPr>
            <xdr:spPr>
              <a:xfrm>
                <a:off x="6627099" y="239547"/>
                <a:ext cx="2542082" cy="3004864"/>
              </a:xfrm>
              <a:custGeom>
                <a:avLst/>
                <a:gdLst>
                  <a:gd name="connsiteX0" fmla="*/ 1776335 w 2542082"/>
                  <a:gd name="connsiteY0" fmla="*/ 0 h 3004864"/>
                  <a:gd name="connsiteX1" fmla="*/ 2467765 w 2542082"/>
                  <a:gd name="connsiteY1" fmla="*/ 129580 h 3004864"/>
                  <a:gd name="connsiteX2" fmla="*/ 2542082 w 2542082"/>
                  <a:gd name="connsiteY2" fmla="*/ 162813 h 3004864"/>
                  <a:gd name="connsiteX3" fmla="*/ 2461123 w 2542082"/>
                  <a:gd name="connsiteY3" fmla="*/ 199016 h 3004864"/>
                  <a:gd name="connsiteX4" fmla="*/ 1540666 w 2542082"/>
                  <a:gd name="connsiteY4" fmla="*/ 1480326 h 3004864"/>
                  <a:gd name="connsiteX5" fmla="*/ 1532546 w 2542082"/>
                  <a:gd name="connsiteY5" fmla="*/ 1629595 h 3004864"/>
                  <a:gd name="connsiteX6" fmla="*/ 1412169 w 2542082"/>
                  <a:gd name="connsiteY6" fmla="*/ 1713155 h 3004864"/>
                  <a:gd name="connsiteX7" fmla="*/ 765748 w 2542082"/>
                  <a:gd name="connsiteY7" fmla="*/ 2985540 h 3004864"/>
                  <a:gd name="connsiteX8" fmla="*/ 766799 w 2542082"/>
                  <a:gd name="connsiteY8" fmla="*/ 3004864 h 3004864"/>
                  <a:gd name="connsiteX9" fmla="*/ 646421 w 2542082"/>
                  <a:gd name="connsiteY9" fmla="*/ 2921303 h 3004864"/>
                  <a:gd name="connsiteX10" fmla="*/ 0 w 2542082"/>
                  <a:gd name="connsiteY10" fmla="*/ 1648918 h 3004864"/>
                  <a:gd name="connsiteX11" fmla="*/ 1776335 w 2542082"/>
                  <a:gd name="connsiteY11" fmla="*/ 0 h 300486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2542082" h="3004864">
                    <a:moveTo>
                      <a:pt x="1776335" y="0"/>
                    </a:moveTo>
                    <a:cubicBezTo>
                      <a:pt x="2021596" y="0"/>
                      <a:pt x="2255247" y="46140"/>
                      <a:pt x="2467765" y="129580"/>
                    </a:cubicBezTo>
                    <a:lnTo>
                      <a:pt x="2542082" y="162813"/>
                    </a:lnTo>
                    <a:lnTo>
                      <a:pt x="2461123" y="199016"/>
                    </a:lnTo>
                    <a:cubicBezTo>
                      <a:pt x="1957734" y="452858"/>
                      <a:pt x="1601310" y="926008"/>
                      <a:pt x="1540666" y="1480326"/>
                    </a:cubicBezTo>
                    <a:lnTo>
                      <a:pt x="1532546" y="1629595"/>
                    </a:lnTo>
                    <a:lnTo>
                      <a:pt x="1412169" y="1713155"/>
                    </a:lnTo>
                    <a:cubicBezTo>
                      <a:pt x="1017384" y="2015591"/>
                      <a:pt x="765748" y="2473287"/>
                      <a:pt x="765748" y="2985540"/>
                    </a:cubicBezTo>
                    <a:lnTo>
                      <a:pt x="766799" y="3004864"/>
                    </a:lnTo>
                    <a:lnTo>
                      <a:pt x="646421" y="2921303"/>
                    </a:lnTo>
                    <a:cubicBezTo>
                      <a:pt x="251636" y="2618867"/>
                      <a:pt x="0" y="2161171"/>
                      <a:pt x="0" y="1648918"/>
                    </a:cubicBezTo>
                    <a:cubicBezTo>
                      <a:pt x="0" y="738246"/>
                      <a:pt x="795292" y="0"/>
                      <a:pt x="1776335" y="0"/>
                    </a:cubicBezTo>
                    <a:close/>
                  </a:path>
                </a:pathLst>
              </a:custGeom>
              <a:solidFill>
                <a:srgbClr val="9CCCB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33" name="Forma libre: forma 32">
                <a:extLst>
                  <a:ext uri="{FF2B5EF4-FFF2-40B4-BE49-F238E27FC236}">
                    <a16:creationId xmlns:a16="http://schemas.microsoft.com/office/drawing/2014/main" id="{15581FA3-A38C-2C58-3648-4ECC92677BB2}"/>
                  </a:ext>
                </a:extLst>
              </xdr:cNvPr>
              <xdr:cNvSpPr/>
            </xdr:nvSpPr>
            <xdr:spPr>
              <a:xfrm>
                <a:off x="9169181" y="239548"/>
                <a:ext cx="2542083" cy="3004863"/>
              </a:xfrm>
              <a:custGeom>
                <a:avLst/>
                <a:gdLst>
                  <a:gd name="connsiteX0" fmla="*/ 765748 w 2542083"/>
                  <a:gd name="connsiteY0" fmla="*/ 0 h 3004863"/>
                  <a:gd name="connsiteX1" fmla="*/ 2542083 w 2542083"/>
                  <a:gd name="connsiteY1" fmla="*/ 1648918 h 3004863"/>
                  <a:gd name="connsiteX2" fmla="*/ 1895662 w 2542083"/>
                  <a:gd name="connsiteY2" fmla="*/ 2921303 h 3004863"/>
                  <a:gd name="connsiteX3" fmla="*/ 1775285 w 2542083"/>
                  <a:gd name="connsiteY3" fmla="*/ 3004863 h 3004863"/>
                  <a:gd name="connsiteX4" fmla="*/ 1776336 w 2542083"/>
                  <a:gd name="connsiteY4" fmla="*/ 2985540 h 3004863"/>
                  <a:gd name="connsiteX5" fmla="*/ 1129915 w 2542083"/>
                  <a:gd name="connsiteY5" fmla="*/ 1713155 h 3004863"/>
                  <a:gd name="connsiteX6" fmla="*/ 1009537 w 2542083"/>
                  <a:gd name="connsiteY6" fmla="*/ 1629594 h 3004863"/>
                  <a:gd name="connsiteX7" fmla="*/ 1001417 w 2542083"/>
                  <a:gd name="connsiteY7" fmla="*/ 1480326 h 3004863"/>
                  <a:gd name="connsiteX8" fmla="*/ 80960 w 2542083"/>
                  <a:gd name="connsiteY8" fmla="*/ 199016 h 3004863"/>
                  <a:gd name="connsiteX9" fmla="*/ 0 w 2542083"/>
                  <a:gd name="connsiteY9" fmla="*/ 162813 h 3004863"/>
                  <a:gd name="connsiteX10" fmla="*/ 74318 w 2542083"/>
                  <a:gd name="connsiteY10" fmla="*/ 129580 h 3004863"/>
                  <a:gd name="connsiteX11" fmla="*/ 765748 w 2542083"/>
                  <a:gd name="connsiteY11" fmla="*/ 0 h 300486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2542083" h="3004863">
                    <a:moveTo>
                      <a:pt x="765748" y="0"/>
                    </a:moveTo>
                    <a:cubicBezTo>
                      <a:pt x="1746791" y="0"/>
                      <a:pt x="2542083" y="738246"/>
                      <a:pt x="2542083" y="1648918"/>
                    </a:cubicBezTo>
                    <a:cubicBezTo>
                      <a:pt x="2542083" y="2161171"/>
                      <a:pt x="2290448" y="2618867"/>
                      <a:pt x="1895662" y="2921303"/>
                    </a:cubicBezTo>
                    <a:lnTo>
                      <a:pt x="1775285" y="3004863"/>
                    </a:lnTo>
                    <a:lnTo>
                      <a:pt x="1776336" y="2985540"/>
                    </a:lnTo>
                    <a:cubicBezTo>
                      <a:pt x="1776336" y="2473287"/>
                      <a:pt x="1524701" y="2015591"/>
                      <a:pt x="1129915" y="1713155"/>
                    </a:cubicBezTo>
                    <a:lnTo>
                      <a:pt x="1009537" y="1629594"/>
                    </a:lnTo>
                    <a:lnTo>
                      <a:pt x="1001417" y="1480326"/>
                    </a:lnTo>
                    <a:cubicBezTo>
                      <a:pt x="940773" y="926008"/>
                      <a:pt x="584349" y="452858"/>
                      <a:pt x="80960" y="199016"/>
                    </a:cubicBezTo>
                    <a:lnTo>
                      <a:pt x="0" y="162813"/>
                    </a:lnTo>
                    <a:lnTo>
                      <a:pt x="74318" y="129580"/>
                    </a:lnTo>
                    <a:cubicBezTo>
                      <a:pt x="286836" y="46140"/>
                      <a:pt x="520487" y="0"/>
                      <a:pt x="765748" y="0"/>
                    </a:cubicBezTo>
                    <a:close/>
                  </a:path>
                </a:pathLst>
              </a:custGeom>
              <a:solidFill>
                <a:srgbClr val="EAE7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34" name="Forma libre: forma 33">
                <a:extLst>
                  <a:ext uri="{FF2B5EF4-FFF2-40B4-BE49-F238E27FC236}">
                    <a16:creationId xmlns:a16="http://schemas.microsoft.com/office/drawing/2014/main" id="{568F44BD-5506-FAC7-DBE3-BD730422540A}"/>
                  </a:ext>
                </a:extLst>
              </xdr:cNvPr>
              <xdr:cNvSpPr/>
            </xdr:nvSpPr>
            <xdr:spPr>
              <a:xfrm>
                <a:off x="8158594" y="1576170"/>
                <a:ext cx="2021175" cy="1798401"/>
              </a:xfrm>
              <a:custGeom>
                <a:avLst/>
                <a:gdLst>
                  <a:gd name="connsiteX0" fmla="*/ 1010588 w 2021175"/>
                  <a:gd name="connsiteY0" fmla="*/ 0 h 1798401"/>
                  <a:gd name="connsiteX1" fmla="*/ 2003754 w 2021175"/>
                  <a:gd name="connsiteY1" fmla="*/ 281609 h 1798401"/>
                  <a:gd name="connsiteX2" fmla="*/ 2020124 w 2021175"/>
                  <a:gd name="connsiteY2" fmla="*/ 292972 h 1798401"/>
                  <a:gd name="connsiteX3" fmla="*/ 2021175 w 2021175"/>
                  <a:gd name="connsiteY3" fmla="*/ 312296 h 1798401"/>
                  <a:gd name="connsiteX4" fmla="*/ 1091547 w 2021175"/>
                  <a:gd name="connsiteY4" fmla="*/ 1762198 h 1798401"/>
                  <a:gd name="connsiteX5" fmla="*/ 1010587 w 2021175"/>
                  <a:gd name="connsiteY5" fmla="*/ 1798401 h 1798401"/>
                  <a:gd name="connsiteX6" fmla="*/ 929628 w 2021175"/>
                  <a:gd name="connsiteY6" fmla="*/ 1762198 h 1798401"/>
                  <a:gd name="connsiteX7" fmla="*/ 0 w 2021175"/>
                  <a:gd name="connsiteY7" fmla="*/ 312296 h 1798401"/>
                  <a:gd name="connsiteX8" fmla="*/ 1051 w 2021175"/>
                  <a:gd name="connsiteY8" fmla="*/ 292973 h 1798401"/>
                  <a:gd name="connsiteX9" fmla="*/ 17422 w 2021175"/>
                  <a:gd name="connsiteY9" fmla="*/ 281609 h 1798401"/>
                  <a:gd name="connsiteX10" fmla="*/ 1010588 w 2021175"/>
                  <a:gd name="connsiteY10" fmla="*/ 0 h 179840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2021175" h="1798401">
                    <a:moveTo>
                      <a:pt x="1010588" y="0"/>
                    </a:moveTo>
                    <a:cubicBezTo>
                      <a:pt x="1378479" y="0"/>
                      <a:pt x="1720249" y="103816"/>
                      <a:pt x="2003754" y="281609"/>
                    </a:cubicBezTo>
                    <a:lnTo>
                      <a:pt x="2020124" y="292972"/>
                    </a:lnTo>
                    <a:lnTo>
                      <a:pt x="2021175" y="312296"/>
                    </a:lnTo>
                    <a:cubicBezTo>
                      <a:pt x="2021175" y="938383"/>
                      <a:pt x="1645275" y="1482972"/>
                      <a:pt x="1091547" y="1762198"/>
                    </a:cubicBezTo>
                    <a:lnTo>
                      <a:pt x="1010587" y="1798401"/>
                    </a:lnTo>
                    <a:lnTo>
                      <a:pt x="929628" y="1762198"/>
                    </a:lnTo>
                    <a:cubicBezTo>
                      <a:pt x="375900" y="1482972"/>
                      <a:pt x="0" y="938383"/>
                      <a:pt x="0" y="312296"/>
                    </a:cubicBezTo>
                    <a:lnTo>
                      <a:pt x="1051" y="292973"/>
                    </a:lnTo>
                    <a:lnTo>
                      <a:pt x="17422" y="281609"/>
                    </a:lnTo>
                    <a:cubicBezTo>
                      <a:pt x="300927" y="103816"/>
                      <a:pt x="642697" y="0"/>
                      <a:pt x="1010588" y="0"/>
                    </a:cubicBezTo>
                    <a:close/>
                  </a:path>
                </a:pathLst>
              </a:custGeom>
              <a:solidFill>
                <a:srgbClr val="BECA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35" name="Forma libre: forma 34">
                <a:extLst>
                  <a:ext uri="{FF2B5EF4-FFF2-40B4-BE49-F238E27FC236}">
                    <a16:creationId xmlns:a16="http://schemas.microsoft.com/office/drawing/2014/main" id="{BF6EF3CF-08B7-B377-9C5D-FD1128F221A1}"/>
                  </a:ext>
                </a:extLst>
              </xdr:cNvPr>
              <xdr:cNvSpPr/>
            </xdr:nvSpPr>
            <xdr:spPr>
              <a:xfrm>
                <a:off x="7393898" y="3244411"/>
                <a:ext cx="3550568" cy="1629595"/>
              </a:xfrm>
              <a:custGeom>
                <a:avLst/>
                <a:gdLst>
                  <a:gd name="connsiteX0" fmla="*/ 3550568 w 3550568"/>
                  <a:gd name="connsiteY0" fmla="*/ 0 h 1629595"/>
                  <a:gd name="connsiteX1" fmla="*/ 3542448 w 3550568"/>
                  <a:gd name="connsiteY1" fmla="*/ 149269 h 1629595"/>
                  <a:gd name="connsiteX2" fmla="*/ 1775284 w 3550568"/>
                  <a:gd name="connsiteY2" fmla="*/ 1629595 h 1629595"/>
                  <a:gd name="connsiteX3" fmla="*/ 8120 w 3550568"/>
                  <a:gd name="connsiteY3" fmla="*/ 149269 h 1629595"/>
                  <a:gd name="connsiteX4" fmla="*/ 0 w 3550568"/>
                  <a:gd name="connsiteY4" fmla="*/ 1 h 1629595"/>
                  <a:gd name="connsiteX5" fmla="*/ 16370 w 3550568"/>
                  <a:gd name="connsiteY5" fmla="*/ 11364 h 1629595"/>
                  <a:gd name="connsiteX6" fmla="*/ 1009536 w 3550568"/>
                  <a:gd name="connsiteY6" fmla="*/ 292973 h 1629595"/>
                  <a:gd name="connsiteX7" fmla="*/ 1700966 w 3550568"/>
                  <a:gd name="connsiteY7" fmla="*/ 163393 h 1629595"/>
                  <a:gd name="connsiteX8" fmla="*/ 1775283 w 3550568"/>
                  <a:gd name="connsiteY8" fmla="*/ 130160 h 1629595"/>
                  <a:gd name="connsiteX9" fmla="*/ 1849601 w 3550568"/>
                  <a:gd name="connsiteY9" fmla="*/ 163393 h 1629595"/>
                  <a:gd name="connsiteX10" fmla="*/ 2541031 w 3550568"/>
                  <a:gd name="connsiteY10" fmla="*/ 292973 h 1629595"/>
                  <a:gd name="connsiteX11" fmla="*/ 3534197 w 3550568"/>
                  <a:gd name="connsiteY11" fmla="*/ 11364 h 1629595"/>
                  <a:gd name="connsiteX12" fmla="*/ 3550568 w 3550568"/>
                  <a:gd name="connsiteY12" fmla="*/ 0 h 162959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3550568" h="1629595">
                    <a:moveTo>
                      <a:pt x="3550568" y="0"/>
                    </a:moveTo>
                    <a:lnTo>
                      <a:pt x="3542448" y="149269"/>
                    </a:lnTo>
                    <a:cubicBezTo>
                      <a:pt x="3451482" y="980746"/>
                      <a:pt x="2695012" y="1629595"/>
                      <a:pt x="1775284" y="1629595"/>
                    </a:cubicBezTo>
                    <a:cubicBezTo>
                      <a:pt x="855556" y="1629595"/>
                      <a:pt x="99086" y="980746"/>
                      <a:pt x="8120" y="149269"/>
                    </a:cubicBezTo>
                    <a:lnTo>
                      <a:pt x="0" y="1"/>
                    </a:lnTo>
                    <a:lnTo>
                      <a:pt x="16370" y="11364"/>
                    </a:lnTo>
                    <a:cubicBezTo>
                      <a:pt x="299875" y="189157"/>
                      <a:pt x="641645" y="292973"/>
                      <a:pt x="1009536" y="292973"/>
                    </a:cubicBezTo>
                    <a:cubicBezTo>
                      <a:pt x="1254797" y="292973"/>
                      <a:pt x="1488448" y="246833"/>
                      <a:pt x="1700966" y="163393"/>
                    </a:cubicBezTo>
                    <a:lnTo>
                      <a:pt x="1775283" y="130160"/>
                    </a:lnTo>
                    <a:lnTo>
                      <a:pt x="1849601" y="163393"/>
                    </a:lnTo>
                    <a:cubicBezTo>
                      <a:pt x="2062119" y="246833"/>
                      <a:pt x="2295770" y="292973"/>
                      <a:pt x="2541031" y="292973"/>
                    </a:cubicBezTo>
                    <a:cubicBezTo>
                      <a:pt x="2908922" y="292973"/>
                      <a:pt x="3250692" y="189157"/>
                      <a:pt x="3534197" y="11364"/>
                    </a:cubicBezTo>
                    <a:lnTo>
                      <a:pt x="3550568" y="0"/>
                    </a:lnTo>
                    <a:close/>
                  </a:path>
                </a:pathLst>
              </a:custGeom>
              <a:solidFill>
                <a:srgbClr val="B0A29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grpSp>
        <xdr:grpSp>
          <xdr:nvGrpSpPr>
            <xdr:cNvPr id="23" name="Grupo 22">
              <a:extLst>
                <a:ext uri="{FF2B5EF4-FFF2-40B4-BE49-F238E27FC236}">
                  <a16:creationId xmlns:a16="http://schemas.microsoft.com/office/drawing/2014/main" id="{DD4AEF0C-B10C-A8B9-D991-9529A1F6DE6D}"/>
                </a:ext>
              </a:extLst>
            </xdr:cNvPr>
            <xdr:cNvGrpSpPr/>
          </xdr:nvGrpSpPr>
          <xdr:grpSpPr>
            <a:xfrm>
              <a:off x="3575352" y="239547"/>
              <a:ext cx="5084164" cy="4634458"/>
              <a:chOff x="523604" y="239547"/>
              <a:chExt cx="5084164" cy="4634458"/>
            </a:xfrm>
          </xdr:grpSpPr>
          <xdr:sp macro="" textlink="">
            <xdr:nvSpPr>
              <xdr:cNvPr id="24" name="Elipse 23">
                <a:extLst>
                  <a:ext uri="{FF2B5EF4-FFF2-40B4-BE49-F238E27FC236}">
                    <a16:creationId xmlns:a16="http://schemas.microsoft.com/office/drawing/2014/main" id="{4E3DBF42-5E40-C347-B854-BB453442E205}"/>
                  </a:ext>
                </a:extLst>
              </xdr:cNvPr>
              <xdr:cNvSpPr/>
            </xdr:nvSpPr>
            <xdr:spPr>
              <a:xfrm>
                <a:off x="523604" y="239547"/>
                <a:ext cx="3552669" cy="3297836"/>
              </a:xfrm>
              <a:prstGeom prst="ellipse">
                <a:avLst/>
              </a:prstGeom>
              <a:noFill/>
              <a:ln w="19050">
                <a:solidFill>
                  <a:srgbClr val="4D947B">
                    <a:alpha val="50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25" name="Elipse 24">
                <a:extLst>
                  <a:ext uri="{FF2B5EF4-FFF2-40B4-BE49-F238E27FC236}">
                    <a16:creationId xmlns:a16="http://schemas.microsoft.com/office/drawing/2014/main" id="{06DC2029-39D5-DE35-7B99-7F42D9089A99}"/>
                  </a:ext>
                </a:extLst>
              </xdr:cNvPr>
              <xdr:cNvSpPr/>
            </xdr:nvSpPr>
            <xdr:spPr>
              <a:xfrm>
                <a:off x="2055099" y="239547"/>
                <a:ext cx="3552669" cy="3297836"/>
              </a:xfrm>
              <a:prstGeom prst="ellipse">
                <a:avLst/>
              </a:prstGeom>
              <a:noFill/>
              <a:ln>
                <a:solidFill>
                  <a:srgbClr val="AFA927">
                    <a:alpha val="50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26" name="Elipse 25">
                <a:extLst>
                  <a:ext uri="{FF2B5EF4-FFF2-40B4-BE49-F238E27FC236}">
                    <a16:creationId xmlns:a16="http://schemas.microsoft.com/office/drawing/2014/main" id="{F44A9F4F-1E37-30A8-7FDB-DE0B3B675F16}"/>
                  </a:ext>
                </a:extLst>
              </xdr:cNvPr>
              <xdr:cNvSpPr/>
            </xdr:nvSpPr>
            <xdr:spPr>
              <a:xfrm>
                <a:off x="1289352" y="1576169"/>
                <a:ext cx="3552669" cy="3297836"/>
              </a:xfrm>
              <a:prstGeom prst="ellipse">
                <a:avLst/>
              </a:prstGeom>
              <a:noFill/>
              <a:ln>
                <a:solidFill>
                  <a:srgbClr val="786256">
                    <a:alpha val="50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grpSp>
      </xdr:grpSp>
      <xdr:sp macro="" textlink="$Q$137">
        <xdr:nvSpPr>
          <xdr:cNvPr id="20" name="Rectángulo 19">
            <a:extLst>
              <a:ext uri="{FF2B5EF4-FFF2-40B4-BE49-F238E27FC236}">
                <a16:creationId xmlns:a16="http://schemas.microsoft.com/office/drawing/2014/main" id="{CA9E4E4C-FD8F-19A1-79EE-CD7DDFC8E7BB}"/>
              </a:ext>
            </a:extLst>
          </xdr:cNvPr>
          <xdr:cNvSpPr/>
        </xdr:nvSpPr>
        <xdr:spPr>
          <a:xfrm>
            <a:off x="1748117" y="27214605"/>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23AB5FD-64A0-451F-810B-6A268EF63418}"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39">
        <xdr:nvSpPr>
          <xdr:cNvPr id="36" name="Rectángulo 35">
            <a:extLst>
              <a:ext uri="{FF2B5EF4-FFF2-40B4-BE49-F238E27FC236}">
                <a16:creationId xmlns:a16="http://schemas.microsoft.com/office/drawing/2014/main" id="{66BB8732-B4F8-4CFE-BFAF-78E35FFEAC23}"/>
              </a:ext>
            </a:extLst>
          </xdr:cNvPr>
          <xdr:cNvSpPr/>
        </xdr:nvSpPr>
        <xdr:spPr>
          <a:xfrm>
            <a:off x="3036794" y="26968075"/>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EFA99A5-4A81-43B1-A827-47FE10D7AC2A}"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35">
        <xdr:nvSpPr>
          <xdr:cNvPr id="37" name="Rectángulo 36">
            <a:extLst>
              <a:ext uri="{FF2B5EF4-FFF2-40B4-BE49-F238E27FC236}">
                <a16:creationId xmlns:a16="http://schemas.microsoft.com/office/drawing/2014/main" id="{8FF6CEF4-E796-4858-923B-674928982723}"/>
              </a:ext>
            </a:extLst>
          </xdr:cNvPr>
          <xdr:cNvSpPr/>
        </xdr:nvSpPr>
        <xdr:spPr>
          <a:xfrm>
            <a:off x="4428564" y="27214605"/>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B4A8655-7CBE-4D83-9B86-321BEDABEDAE}"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41">
        <xdr:nvSpPr>
          <xdr:cNvPr id="38" name="Rectángulo 37">
            <a:extLst>
              <a:ext uri="{FF2B5EF4-FFF2-40B4-BE49-F238E27FC236}">
                <a16:creationId xmlns:a16="http://schemas.microsoft.com/office/drawing/2014/main" id="{CCE9E713-D289-4FB6-B50C-F828877A3731}"/>
              </a:ext>
            </a:extLst>
          </xdr:cNvPr>
          <xdr:cNvSpPr/>
        </xdr:nvSpPr>
        <xdr:spPr>
          <a:xfrm>
            <a:off x="3036794" y="27866786"/>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0186150-E99F-4EDF-8AF4-A42A480808FB}"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36">
        <xdr:nvSpPr>
          <xdr:cNvPr id="39" name="Rectángulo 38">
            <a:extLst>
              <a:ext uri="{FF2B5EF4-FFF2-40B4-BE49-F238E27FC236}">
                <a16:creationId xmlns:a16="http://schemas.microsoft.com/office/drawing/2014/main" id="{D7022232-7633-470D-AC59-79A9CAAB76C7}"/>
              </a:ext>
            </a:extLst>
          </xdr:cNvPr>
          <xdr:cNvSpPr/>
        </xdr:nvSpPr>
        <xdr:spPr>
          <a:xfrm>
            <a:off x="3036794" y="29128568"/>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804954D-3CC5-4A0F-A86A-F886C203DAB3}"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40">
        <xdr:nvSpPr>
          <xdr:cNvPr id="40" name="Rectángulo 39">
            <a:extLst>
              <a:ext uri="{FF2B5EF4-FFF2-40B4-BE49-F238E27FC236}">
                <a16:creationId xmlns:a16="http://schemas.microsoft.com/office/drawing/2014/main" id="{DE3B68EA-F957-4994-8F5B-A4DD4203C160}"/>
              </a:ext>
            </a:extLst>
          </xdr:cNvPr>
          <xdr:cNvSpPr/>
        </xdr:nvSpPr>
        <xdr:spPr>
          <a:xfrm>
            <a:off x="2073088" y="28287006"/>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694A8EE-E92F-471A-BEAE-4AF2F38805C6}"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38">
        <xdr:nvSpPr>
          <xdr:cNvPr id="41" name="Rectángulo 40">
            <a:extLst>
              <a:ext uri="{FF2B5EF4-FFF2-40B4-BE49-F238E27FC236}">
                <a16:creationId xmlns:a16="http://schemas.microsoft.com/office/drawing/2014/main" id="{73989F5C-EDDA-43C6-AF67-C23AA72543D0}"/>
              </a:ext>
            </a:extLst>
          </xdr:cNvPr>
          <xdr:cNvSpPr/>
        </xdr:nvSpPr>
        <xdr:spPr>
          <a:xfrm>
            <a:off x="3973606" y="28287006"/>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7AD7A93-3181-4FBC-A018-1EE8993B2BA1}"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grpSp>
    <xdr:clientData/>
  </xdr:twoCellAnchor>
  <xdr:twoCellAnchor editAs="absolute">
    <xdr:from>
      <xdr:col>1</xdr:col>
      <xdr:colOff>-1</xdr:colOff>
      <xdr:row>43</xdr:row>
      <xdr:rowOff>0</xdr:rowOff>
    </xdr:from>
    <xdr:to>
      <xdr:col>7</xdr:col>
      <xdr:colOff>-1</xdr:colOff>
      <xdr:row>46</xdr:row>
      <xdr:rowOff>0</xdr:rowOff>
    </xdr:to>
    <xdr:sp macro="" textlink="$X$2">
      <xdr:nvSpPr>
        <xdr:cNvPr id="43" name="Rectángulo 42">
          <a:extLst>
            <a:ext uri="{FF2B5EF4-FFF2-40B4-BE49-F238E27FC236}">
              <a16:creationId xmlns:a16="http://schemas.microsoft.com/office/drawing/2014/main" id="{3C1E4657-30A1-326E-2163-CAB5CD55B74B}"/>
            </a:ext>
          </a:extLst>
        </xdr:cNvPr>
        <xdr:cNvSpPr/>
      </xdr:nvSpPr>
      <xdr:spPr>
        <a:xfrm>
          <a:off x="324970" y="9648265"/>
          <a:ext cx="6387353" cy="5715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B3D56F34-9384-41CE-B1E3-FAE1552480EE}" type="TxLink">
            <a:rPr lang="en-US" sz="1100" b="0" i="0" u="none" strike="noStrike">
              <a:solidFill>
                <a:srgbClr val="FF0000"/>
              </a:solidFill>
              <a:latin typeface="+mj-lt"/>
              <a:ea typeface="Calibri"/>
              <a:cs typeface="Calibri"/>
            </a:rPr>
            <a:pPr algn="l"/>
            <a:t> </a:t>
          </a:fld>
          <a:endParaRPr lang="es-CO" sz="1100">
            <a:solidFill>
              <a:srgbClr val="FF0000"/>
            </a:solidFill>
            <a:latin typeface="+mj-lt"/>
          </a:endParaRPr>
        </a:p>
      </xdr:txBody>
    </xdr:sp>
    <xdr:clientData/>
  </xdr:twoCellAnchor>
</xdr:wsDr>
</file>

<file path=xl/tables/table1.xml><?xml version="1.0" encoding="utf-8"?>
<table xmlns="http://schemas.openxmlformats.org/spreadsheetml/2006/main" xmlns:mc="http://schemas.openxmlformats.org/markup-compatibility/2006" id="1" name="seguim_fciero" displayName="seguim_fciero" ref="A7:X249" totalsRowCount="0" totalsRowShown="0">
  <autoFilter ref="A7:X249"/>
  <tableColumns count="24">
    <tableColumn id="1" name="Consecutivos IP (SisPT)"/>
    <tableColumn id="2" name="Código Sector (MGA)"/>
    <tableColumn id="3" name="Sector (MGA)"/>
    <tableColumn id="4" name="Código Programa (MGA)"/>
    <tableColumn id="5" name="Programa (MGA)"/>
    <tableColumn id="6" name="Código Producto (MGA)"/>
    <tableColumn id="7" name="Producto (MGA)"/>
    <tableColumn id="8" name="Descripción del Producto (MGA)"/>
    <tableColumn id="9" name="Códigos BPIN Asociados"/>
    <tableColumn id="10" name="Programación Cuatrienio SisPT"/>
    <tableColumn id="11" name="Programado 2024 (SisPT)"/>
    <tableColumn id="12" name="Programado 2025 (SisPT)"/>
    <tableColumn id="13" name="Programado 2026 (SisPT)"/>
    <tableColumn id="14" name="Programado 2027 (SisPT)"/>
    <tableColumn id="15" name="Compromisos 2024 (CUIPO)"/>
    <tableColumn id="16" name="Obligaciones 2024 (CUIPO)"/>
    <tableColumn id="17" name="Pagos 2024 (CUIPO)"/>
    <tableColumn id="18" name="Obligaciones como % de lo programado (2024)"/>
    <tableColumn id="19" name="Explicación del valor 2024"/>
    <tableColumn id="20" name="Compromisos 2025 (CUIPO)"/>
    <tableColumn id="21" name="Obligaciones 2025 (CUIPO)"/>
    <tableColumn id="22" name="Pagos 2025 (CUIPO)"/>
    <tableColumn id="23" name="Obligaciones como % de lo programado (2025)"/>
    <tableColumn id="24" name="Explicación del valor 2025"/>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id="2" name="seguim_fisico" displayName="seguim_fisico" ref="A7:W290" totalsRowCount="0" totalsRowShown="0">
  <autoFilter ref="A7:W290"/>
  <tableColumns count="23">
    <tableColumn id="1" name="Consecutivos IP (SisPT)"/>
    <tableColumn id="2" name="Código Sector (MGA)"/>
    <tableColumn id="3" name="Sector (MGA)"/>
    <tableColumn id="4" name="Código Programa (MGA)"/>
    <tableColumn id="5" name="Programa (MGA)"/>
    <tableColumn id="6" name="Código Producto (MGA)"/>
    <tableColumn id="7" name="Producto (MGA)"/>
    <tableColumn id="8" name="Código Indicador Producto (MGA)"/>
    <tableColumn id="9" name="Indicador Producto (MGA)"/>
    <tableColumn id="10" name="Códigos BPIN Asociados"/>
    <tableColumn id="11" name="Acumulativo"/>
    <tableColumn id="12" name="Unidad de Medida"/>
    <tableColumn id="13" name="Meta del Cuatrenio (SisPT)"/>
    <tableColumn id="14" name="Programado 2024 (SisPT)"/>
    <tableColumn id="15" name="Programado 2025 (SisPT)"/>
    <tableColumn id="16" name="Programado 2026 (SisPT)"/>
    <tableColumn id="17" name="Programado 2027 (SisPT)"/>
    <tableColumn id="18" name="Ejecución Física 2024 (PIIP)"/>
    <tableColumn id="19" name="Avance físico 2024 (%)"/>
    <tableColumn id="20" name="Explicación del valor 2024"/>
    <tableColumn id="21" name="Ejecución Física 2025 (PIIP)"/>
    <tableColumn id="22" name="Avance físico 2025 (%)"/>
    <tableColumn id="23" name="Explicación del valor 2025"/>
  </tableColumns>
  <tableStyleInfo name="TableStyleLight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ersonalizado 4">
      <a:majorFont>
        <a:latin typeface="Segoe U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table" Target="../tables/table1.xml"/></Relationships>
</file>

<file path=xl/worksheets/_rels/sheet3.xml.rels><?xml version="1.0" encoding="UTF-8" standalone="yes"?><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2EF"/>
  </sheetPr>
  <dimension ref="A1:AB154"/>
  <sheetViews>
    <sheetView showRowColHeaders="0" tabSelected="1" zoomScale="85" zoomScaleNormal="85" workbookViewId="0">
      <selection activeCell="D16" sqref="D16:E16"/>
    </sheetView>
  </sheetViews>
  <sheetFormatPr baseColWidth="10" defaultColWidth="0" defaultRowHeight="15" zeroHeight="1" x14ac:dyDescent="0.25"/>
  <cols>
    <col min="1" max="1" width="4.85546875" style="1" customWidth="1"/>
    <col min="2" max="2" width="18.42578125" style="1" customWidth="1"/>
    <col min="3" max="12" width="15.42578125" style="1" customWidth="1"/>
    <col min="13" max="13" width="18.42578125" style="1" customWidth="1"/>
    <col min="14" max="14" width="4.85546875" style="1" customWidth="1"/>
    <col min="15" max="15" width="14.28515625" style="1" hidden="1"/>
    <col min="16" max="23" width="11.5703125" style="1" hidden="1"/>
    <col min="24" max="27" width="8" style="1" hidden="1"/>
    <col min="28" max="16384" width="11.5703125" style="1" hidden="1"/>
  </cols>
  <sheetData>
    <row r="1" spans="2:28" ht="75.599999999999994" customHeight="1" x14ac:dyDescent="0.25">
      <c r="D1" s="80" t="str">
        <f>CONCATENATE("Informe de Seguimiento al PDT
Vigencia ",X1)</f>
        <v>Informe de Seguimiento al PDT
Vigencia (Dar clic en Habilitar Edición)</v>
      </c>
      <c r="E1" s="80"/>
      <c r="F1" s="80"/>
      <c r="G1" s="80"/>
      <c r="H1" s="80"/>
      <c r="I1" s="80"/>
      <c r="J1" s="80"/>
      <c r="K1" s="80"/>
      <c r="P1" s="2"/>
      <c r="Q1" s="1" t="s">
        <v>50</v>
      </c>
      <c r="R1" s="1" t="str">
        <f>MID(TEXT(R2,"#.#"),2,1)</f>
        <v>.</v>
      </c>
      <c r="S1" s="1" t="s">
        <v>104</v>
      </c>
      <c r="X1" s="50" t="inlineStr">
        <is>
          <t>2025 - tercer trimestre</t>
        </is>
      </c>
      <c r="Y1" s="1" t="str">
        <f>LEFT(X1,4)</f>
        <v>(Dar</v>
      </c>
      <c r="Z1" s="1" t="str">
        <f>IF(Y1="2025","2024",IF(Y1="2026","2024, 2025","2024, 2025, 2026"))</f>
        <v>2024, 2025, 2026</v>
      </c>
    </row>
    <row r="2" spans="2:28" x14ac:dyDescent="0.25">
      <c r="C2" s="3"/>
      <c r="D2" s="3"/>
      <c r="E2" s="3"/>
      <c r="F2" s="3"/>
      <c r="G2" s="3"/>
      <c r="H2" s="3"/>
      <c r="I2" s="3"/>
      <c r="J2" s="3"/>
      <c r="K2" s="3"/>
      <c r="L2" s="3"/>
      <c r="P2" s="2"/>
      <c r="Q2" s="1" t="s">
        <v>51</v>
      </c>
      <c r="R2" s="1">
        <v>1.1000000000000001</v>
      </c>
      <c r="S2" s="1" t="str">
        <f>IF(S1=R1,".",",")</f>
        <v>.</v>
      </c>
      <c r="U2" s="1" t="str">
        <f>_xlfn.CONCAT("#",$S$3,"##0")</f>
        <v>#,##0</v>
      </c>
      <c r="X2" s="55" t="str">
        <f>IF($X$3=0,"",CONCATENATE("Nota: Hay indicadores asociados a más de una línea estratégica, por lo que la suma de los montos por línea NO equivale al monto total mostrado arriba. La diferencia es de $",TEXT($X$3,$U$2),"."))</f>
      </c>
    </row>
    <row r="3" spans="2:28" ht="18.600000000000001" customHeight="1" x14ac:dyDescent="0.3">
      <c r="B3" s="4"/>
      <c r="C3" s="78" t="inlineStr">
        <is>
          <t>NEMOCÓN MERECE MAS EL CAMINO PARA HACER DE NEMOCÓN UN DESTINO POR VIVIR</t>
        </is>
      </c>
      <c r="D3" s="78"/>
      <c r="E3" s="78"/>
      <c r="F3" s="78"/>
      <c r="G3" s="78"/>
      <c r="H3" s="78"/>
      <c r="I3" s="78"/>
      <c r="J3" s="78"/>
      <c r="K3" s="78"/>
      <c r="L3" s="78"/>
      <c r="M3" s="4"/>
      <c r="Q3" s="1" t="s">
        <v>52</v>
      </c>
      <c r="S3" s="1" t="str">
        <f>IF(S2=".",",",".")</f>
        <v>,</v>
      </c>
      <c r="U3" s="1" t="str">
        <f>_xlfn.CONCAT("#",$S$3,"##0",$S$2,"0")</f>
        <v>#,##0.0</v>
      </c>
      <c r="X3" s="1">
        <f>IFERROR(INDEX(X5:AB5,MATCH($D$16,$C$23:$G$23,0)),0)</f>
        <v>0</v>
      </c>
    </row>
    <row r="4" spans="2:28" ht="18.600000000000001" customHeight="1" x14ac:dyDescent="0.3">
      <c r="B4" s="4"/>
      <c r="C4" s="78"/>
      <c r="D4" s="78"/>
      <c r="E4" s="78"/>
      <c r="F4" s="78"/>
      <c r="G4" s="78"/>
      <c r="H4" s="78"/>
      <c r="I4" s="78"/>
      <c r="J4" s="78"/>
      <c r="K4" s="78"/>
      <c r="L4" s="78"/>
      <c r="M4" s="4"/>
      <c r="Q4" s="1" t="s">
        <v>53</v>
      </c>
      <c r="X4" s="1">
        <v>2024</v>
      </c>
      <c r="Y4" s="1">
        <v>2025</v>
      </c>
      <c r="Z4" s="1">
        <v>2026</v>
      </c>
      <c r="AA4" s="1">
        <v>2027</v>
      </c>
      <c r="AB4" s="1" t="s">
        <v>6</v>
      </c>
    </row>
    <row r="5" spans="2:28" ht="25.5" x14ac:dyDescent="0.5">
      <c r="B5" s="79" t="inlineStr">
        <is>
          <t>Nemocón, Cundinamarca</t>
        </is>
      </c>
      <c r="C5" s="79"/>
      <c r="D5" s="79"/>
      <c r="E5" s="79"/>
      <c r="F5" s="79"/>
      <c r="G5" s="79"/>
      <c r="H5" s="79"/>
      <c r="I5" s="79"/>
      <c r="J5" s="79"/>
      <c r="K5" s="79"/>
      <c r="L5" s="79"/>
      <c r="M5" s="79"/>
      <c r="Q5" s="2" t="s">
        <v>6</v>
      </c>
      <c r="X5" s="1">
        <v>0</v>
      </c>
      <c r="Y5" s="1">
        <v>0</v>
      </c>
      <c r="Z5" s="1">
        <v>0</v>
      </c>
      <c r="AA5" s="1">
        <v>0</v>
      </c>
      <c r="AB5" s="1">
        <f>IFERROR(SUM(X5:AA5),0)</f>
        <v>0</v>
      </c>
    </row>
    <row r="6" spans="2:28" x14ac:dyDescent="0.25">
      <c r="P6" t="inlineStr">
        <is>
          <t>LineaEstrategica</t>
        </is>
      </c>
      <c r="Q6" t="inlineStr">
        <is>
          <t>2024</t>
        </is>
      </c>
      <c r="R6" t="inlineStr">
        <is>
          <t>2025</t>
        </is>
      </c>
      <c r="S6" t="inlineStr">
        <is>
          <t>2026</t>
        </is>
      </c>
      <c r="T6" t="inlineStr">
        <is>
          <t>2027</t>
        </is>
      </c>
    </row>
    <row r="7" spans="2:28" x14ac:dyDescent="0.25">
      <c r="E7" s="28"/>
      <c r="F7" s="28"/>
      <c r="G7" s="28"/>
      <c r="H7" s="30" t="s">
        <v>49</v>
      </c>
      <c r="I7" s="22" t="inlineStr">
        <is>
          <t>31 de diciembre de 2025</t>
        </is>
      </c>
      <c r="J7" s="28"/>
      <c r="O7" s="5"/>
      <c r="P7" s="6" t="inlineStr">
        <is>
          <t>FELICIDAD AMBIENTAL: NEMOCÓN UN DESTINO VERDE POR VIVIR</t>
        </is>
      </c>
      <c r="Q7" s="6">
        <v>574.59176</v>
      </c>
      <c r="R7" s="6">
        <v>545.354078</v>
      </c>
      <c r="S7" s="6">
        <v>633.4874154</v>
      </c>
      <c r="T7" s="6">
        <v>658.826912016</v>
      </c>
      <c r="U7" s="7">
        <f t="shared" ref="U7" si="0">SUM(Q7:T7)</f>
        <v>0</v>
      </c>
      <c r="V7" s="8">
        <f t="shared" ref="V7:V70" si="1">IF(P7="","",INDEX(Q7:U7,MATCH($D$16,$C$23:$G$23,0)))</f>
        <v>0</v>
      </c>
      <c r="W7" s="42" t="str">
        <f>IFERROR(IF(P7="","",CONCATENATE(TEXT(V7,$U$2)," (",TEXT(V7*100/$I$23,$U$3),"%)")),"")</f>
      </c>
    </row>
    <row r="8" spans="2:28" x14ac:dyDescent="0.25">
      <c r="P8" s="6" t="inlineStr">
        <is>
          <t>FELICIDAD ECONÓMICA: NEMOCÓN UN DESTINO TURÍSTICO Y PRODUCTIVO POR VIVIR</t>
        </is>
      </c>
      <c r="Q8" s="6">
        <v>4481.82265254</v>
      </c>
      <c r="R8" s="6">
        <v>3692.80642797</v>
      </c>
      <c r="S8" s="6">
        <v>4941.2094744254</v>
      </c>
      <c r="T8" s="6">
        <v>5138.8578534024</v>
      </c>
      <c r="U8" s="7">
        <f t="shared" ref="U8" si="2">SUM(Q8:T8)</f>
        <v>0</v>
      </c>
      <c r="V8" s="8" t="str">
        <f t="shared" si="1"/>
      </c>
      <c r="W8" s="42" t="str">
        <f t="shared" ref="W8:W71" si="3">IFERROR(IF(P8="","",CONCATENATE(TEXT(V8,$U$2)," (",TEXT(V8*100/$I$23,$U$3),"%)")),"")</f>
      </c>
    </row>
    <row r="9" spans="2:28" ht="30" customHeight="1" x14ac:dyDescent="0.25">
      <c r="B9" s="77" t="s">
        <v>128</v>
      </c>
      <c r="C9" s="77"/>
      <c r="D9" s="77"/>
      <c r="E9" s="77"/>
      <c r="F9" s="77"/>
      <c r="G9" s="77"/>
      <c r="H9" s="77"/>
      <c r="I9" s="77"/>
      <c r="J9" s="77"/>
      <c r="K9" s="77"/>
      <c r="L9" s="77"/>
      <c r="M9" s="77"/>
      <c r="P9" s="6" t="inlineStr">
        <is>
          <t>FELICIDAD INSTITUCIONAL: NEMOCON VIVE UN BUEN GOBIERNO</t>
        </is>
      </c>
      <c r="Q9" s="6">
        <v>892.01568004</v>
      </c>
      <c r="R9" s="6">
        <v>1337.31738</v>
      </c>
      <c r="S9" s="6">
        <v>983.4472872441</v>
      </c>
      <c r="T9" s="6">
        <v>1022.7851787338</v>
      </c>
      <c r="U9" s="7">
        <f t="shared" ref="U9:U40" si="4">SUM(Q9:T9)</f>
        <v>0</v>
      </c>
      <c r="V9" s="8" t="str">
        <f t="shared" si="1"/>
      </c>
      <c r="W9" s="42" t="str">
        <f t="shared" si="3"/>
      </c>
    </row>
    <row r="10" spans="2:28" ht="30" customHeight="1" x14ac:dyDescent="0.25">
      <c r="B10" s="77"/>
      <c r="C10" s="77"/>
      <c r="D10" s="77"/>
      <c r="E10" s="77"/>
      <c r="F10" s="77"/>
      <c r="G10" s="77"/>
      <c r="H10" s="77"/>
      <c r="I10" s="77"/>
      <c r="J10" s="77"/>
      <c r="K10" s="77"/>
      <c r="L10" s="77"/>
      <c r="M10" s="77"/>
      <c r="P10" s="6" t="inlineStr">
        <is>
          <t>FELICIDAD SOCIAL: NEMOCÓN TODOS VIVEN CON DERECHO</t>
        </is>
      </c>
      <c r="Q10" s="6">
        <v>7928.66599021</v>
      </c>
      <c r="R10" s="6">
        <v>13358.942918</v>
      </c>
      <c r="S10" s="6">
        <v>8741.3542542065</v>
      </c>
      <c r="T10" s="6">
        <v>9091.0084243748</v>
      </c>
      <c r="U10" s="7">
        <f t="shared" si="4"/>
        <v>0</v>
      </c>
      <c r="V10" s="8" t="str">
        <f t="shared" si="1"/>
      </c>
      <c r="W10" s="42" t="str">
        <f t="shared" si="3"/>
      </c>
    </row>
    <row r="11" spans="2:28" x14ac:dyDescent="0.25">
      <c r="P11" s="6"/>
      <c r="Q11" s="6"/>
      <c r="R11" s="6"/>
      <c r="S11" s="6"/>
      <c r="T11" s="6"/>
      <c r="U11" s="7">
        <f t="shared" si="4"/>
        <v>0</v>
      </c>
      <c r="V11" s="8" t="str">
        <f t="shared" si="1"/>
      </c>
      <c r="W11" s="42" t="str">
        <f t="shared" si="3"/>
      </c>
    </row>
    <row r="12" spans="2:28" ht="17.25" x14ac:dyDescent="0.3">
      <c r="B12" s="11" t="s">
        <v>105</v>
      </c>
      <c r="C12" s="12"/>
      <c r="D12" s="12"/>
      <c r="E12" s="12"/>
      <c r="F12" s="12"/>
      <c r="G12" s="12"/>
      <c r="H12" s="12"/>
      <c r="I12" s="12"/>
      <c r="J12" s="12"/>
      <c r="K12" s="12"/>
      <c r="L12" s="12"/>
      <c r="M12" s="12"/>
      <c r="P12" s="6"/>
      <c r="Q12" s="6"/>
      <c r="R12" s="6"/>
      <c r="S12" s="6"/>
      <c r="T12" s="6"/>
      <c r="U12" s="7">
        <f t="shared" si="4"/>
        <v>0</v>
      </c>
      <c r="V12" s="8" t="str">
        <f t="shared" si="1"/>
      </c>
      <c r="W12" s="42" t="str">
        <f t="shared" si="3"/>
      </c>
    </row>
    <row r="13" spans="2:28" x14ac:dyDescent="0.25">
      <c r="P13" s="6"/>
      <c r="Q13" s="6"/>
      <c r="R13" s="6"/>
      <c r="S13" s="6"/>
      <c r="T13" s="6"/>
      <c r="U13" s="7">
        <f t="shared" si="4"/>
        <v>0</v>
      </c>
      <c r="V13" s="8" t="str">
        <f t="shared" si="1"/>
      </c>
      <c r="W13" s="42" t="str">
        <f t="shared" si="3"/>
      </c>
    </row>
    <row r="14" spans="2:28" x14ac:dyDescent="0.25">
      <c r="B14" s="28" t="s">
        <v>4</v>
      </c>
      <c r="C14" s="28"/>
      <c r="D14" s="28"/>
      <c r="E14" s="28"/>
      <c r="F14" s="28"/>
      <c r="G14" s="28"/>
      <c r="H14" s="28"/>
      <c r="I14" s="28"/>
      <c r="U14" s="7">
        <f t="shared" si="4"/>
        <v>0</v>
      </c>
      <c r="V14" s="8" t="str">
        <f t="shared" si="1"/>
      </c>
      <c r="W14" s="42" t="str">
        <f t="shared" si="3"/>
      </c>
    </row>
    <row r="15" spans="2:28" x14ac:dyDescent="0.25">
      <c r="B15" s="28"/>
      <c r="C15" s="29"/>
      <c r="D15" s="28"/>
      <c r="E15" s="28"/>
      <c r="F15" s="28"/>
      <c r="G15" s="28"/>
      <c r="H15" s="35"/>
      <c r="I15" s="35"/>
      <c r="J15" s="3"/>
      <c r="U15" s="7">
        <f t="shared" si="4"/>
        <v>0</v>
      </c>
      <c r="V15" s="8" t="str">
        <f t="shared" si="1"/>
      </c>
      <c r="W15" s="42" t="str">
        <f t="shared" si="3"/>
      </c>
    </row>
    <row r="16" spans="2:28" x14ac:dyDescent="0.25">
      <c r="B16" s="81" t="s">
        <v>5</v>
      </c>
      <c r="C16" s="81"/>
      <c r="D16" s="82" t="s">
        <v>6</v>
      </c>
      <c r="E16" s="83"/>
      <c r="F16" s="28"/>
      <c r="G16" s="28"/>
      <c r="H16" s="35"/>
      <c r="I16" s="35"/>
      <c r="J16" s="3"/>
      <c r="U16" s="7">
        <f t="shared" si="4"/>
        <v>0</v>
      </c>
      <c r="V16" s="8" t="str">
        <f t="shared" si="1"/>
      </c>
      <c r="W16" s="42" t="str">
        <f t="shared" si="3"/>
      </c>
    </row>
    <row r="17" spans="1:23" x14ac:dyDescent="0.25">
      <c r="B17" s="28"/>
      <c r="C17" s="28"/>
      <c r="D17" s="28"/>
      <c r="E17" s="28"/>
      <c r="F17" s="28"/>
      <c r="G17" s="28"/>
      <c r="H17" s="35"/>
      <c r="I17" s="35"/>
      <c r="J17" s="3"/>
      <c r="U17" s="7">
        <f t="shared" si="4"/>
        <v>0</v>
      </c>
      <c r="V17" s="8" t="str">
        <f t="shared" si="1"/>
      </c>
      <c r="W17" s="42" t="str">
        <f t="shared" si="3"/>
      </c>
    </row>
    <row r="18" spans="1:23" ht="21" customHeight="1" x14ac:dyDescent="0.25">
      <c r="B18" s="76" t="str">
        <f>CONCATENATE("Monto total programado ",D16," (en millones de pesos): ",TEXT(I23,$U$2))</f>
        <v>Monto total programado Total Cuatrienio (en millones de pesos): 0</v>
      </c>
      <c r="C18" s="76"/>
      <c r="D18" s="76"/>
      <c r="E18" s="76"/>
      <c r="F18" s="76"/>
      <c r="G18" s="76"/>
      <c r="H18" s="35"/>
      <c r="I18" s="35"/>
      <c r="J18" s="3"/>
      <c r="U18" s="7">
        <f t="shared" si="4"/>
        <v>0</v>
      </c>
      <c r="V18" s="8" t="str">
        <f t="shared" si="1"/>
      </c>
      <c r="W18" s="42" t="str">
        <f t="shared" si="3"/>
      </c>
    </row>
    <row r="19" spans="1:23" x14ac:dyDescent="0.25">
      <c r="A19" s="3"/>
      <c r="B19" s="36"/>
      <c r="C19" s="36"/>
      <c r="D19" s="36"/>
      <c r="E19" s="3"/>
      <c r="F19" s="3"/>
      <c r="G19" s="3"/>
      <c r="H19" s="3"/>
      <c r="I19" s="3"/>
      <c r="J19" s="3"/>
      <c r="U19" s="7">
        <f t="shared" si="4"/>
        <v>0</v>
      </c>
      <c r="V19" s="8" t="str">
        <f t="shared" si="1"/>
      </c>
      <c r="W19" s="42" t="str">
        <f t="shared" si="3"/>
      </c>
    </row>
    <row r="20" spans="1:23" x14ac:dyDescent="0.25">
      <c r="A20" s="3"/>
      <c r="B20" s="36"/>
      <c r="C20" s="36"/>
      <c r="D20" s="36"/>
      <c r="E20" s="3"/>
      <c r="F20" s="3"/>
      <c r="G20" s="3"/>
      <c r="H20" s="3"/>
      <c r="I20" s="3"/>
      <c r="J20" s="3"/>
      <c r="U20" s="7">
        <f t="shared" si="4"/>
        <v>0</v>
      </c>
      <c r="V20" s="8" t="str">
        <f t="shared" si="1"/>
      </c>
      <c r="W20" s="42" t="str">
        <f t="shared" si="3"/>
      </c>
    </row>
    <row r="21" spans="1:23" x14ac:dyDescent="0.25">
      <c r="A21" s="3"/>
      <c r="B21" s="3"/>
      <c r="C21" s="3"/>
      <c r="D21" s="3"/>
      <c r="E21" s="3"/>
      <c r="F21" s="3"/>
      <c r="G21" s="3"/>
      <c r="H21" s="3"/>
      <c r="I21" s="3"/>
      <c r="J21" s="3"/>
      <c r="U21" s="7">
        <f t="shared" si="4"/>
        <v>0</v>
      </c>
      <c r="V21" s="8" t="str">
        <f t="shared" si="1"/>
      </c>
      <c r="W21" s="42" t="str">
        <f t="shared" si="3"/>
      </c>
    </row>
    <row r="22" spans="1:23" x14ac:dyDescent="0.25">
      <c r="A22" s="3"/>
      <c r="B22" s="3"/>
      <c r="C22" s="3"/>
      <c r="D22" s="3"/>
      <c r="E22" s="3"/>
      <c r="F22" s="3"/>
      <c r="G22" s="3"/>
      <c r="H22" s="3"/>
      <c r="I22" s="3"/>
      <c r="J22" s="3"/>
      <c r="K22" s="9"/>
      <c r="L22" s="9"/>
      <c r="M22" s="9"/>
      <c r="N22" s="9"/>
      <c r="O22" s="9"/>
      <c r="U22" s="7">
        <f t="shared" si="4"/>
        <v>0</v>
      </c>
      <c r="V22" s="8" t="str">
        <f t="shared" si="1"/>
      </c>
      <c r="W22" s="42" t="str">
        <f t="shared" si="3"/>
      </c>
    </row>
    <row r="23" spans="1:23" x14ac:dyDescent="0.25">
      <c r="A23" s="9"/>
      <c r="B23" s="9" t="inlineStr">
        <is>
          <t>Var</t>
        </is>
      </c>
      <c r="C23" s="9" t="inlineStr">
        <is>
          <t>2024</t>
        </is>
      </c>
      <c r="D23" s="9" t="inlineStr">
        <is>
          <t>2025</t>
        </is>
      </c>
      <c r="E23" s="9" t="inlineStr">
        <is>
          <t>2026</t>
        </is>
      </c>
      <c r="F23" s="9" t="inlineStr">
        <is>
          <t>2027</t>
        </is>
      </c>
      <c r="G23" s="9" t="s">
        <v>6</v>
      </c>
      <c r="H23" s="9" t="str">
        <f t="shared" ref="H23:H54" si="5">INDEX(C23:G23,MATCH($D$16,$C$23:$G$23,0))</f>
        <v>Total Cuatrienio</v>
      </c>
      <c r="I23" s="13">
        <f>SUM(H24:H42)</f>
        <v>0</v>
      </c>
      <c r="J23" s="9"/>
      <c r="K23" s="9"/>
      <c r="L23" s="9"/>
      <c r="M23" s="9"/>
      <c r="N23" s="9"/>
      <c r="O23" s="9"/>
      <c r="U23" s="7">
        <f t="shared" si="4"/>
        <v>0</v>
      </c>
      <c r="V23" s="8" t="str">
        <f t="shared" si="1"/>
      </c>
      <c r="W23" s="42" t="str">
        <f t="shared" si="3"/>
      </c>
    </row>
    <row r="24" spans="1:23" x14ac:dyDescent="0.25">
      <c r="A24" s="9"/>
      <c r="B24" s="9" t="inlineStr">
        <is>
          <t xml:space="preserve">Agricultura y desarrollo rural
</t>
        </is>
      </c>
      <c r="C24" s="9">
        <v>266.009767</v>
      </c>
      <c r="D24" s="14">
        <v>1252.105734</v>
      </c>
      <c r="E24" s="14">
        <v>293.2757681175</v>
      </c>
      <c r="F24" s="14">
        <v>305.0067988422</v>
      </c>
      <c r="G24" s="14">
        <f>SUM(C24:F24)</f>
        <v>0</v>
      </c>
      <c r="H24" s="13">
        <f t="shared" si="5"/>
        <v>0</v>
      </c>
      <c r="I24" s="9" t="e">
        <f>CONCATENATE(TEXT(H24,$U$2)," (",TEXT(H24*100/$I$23,$U$3),"%)")</f>
        <v>#DIV/0!</v>
      </c>
      <c r="J24" s="9"/>
      <c r="K24" s="9"/>
      <c r="L24" s="9"/>
      <c r="M24" s="9"/>
      <c r="N24" s="9"/>
      <c r="O24" s="9"/>
      <c r="U24" s="7">
        <f t="shared" si="4"/>
        <v>0</v>
      </c>
      <c r="V24" s="8" t="str">
        <f t="shared" si="1"/>
      </c>
      <c r="W24" s="42" t="str">
        <f t="shared" si="3"/>
      </c>
    </row>
    <row r="25" spans="1:23" x14ac:dyDescent="0.25">
      <c r="A25" s="9"/>
      <c r="B25" s="9" t="inlineStr">
        <is>
          <t>Ambiente y desarrollo sostenible</t>
        </is>
      </c>
      <c r="C25" s="9">
        <v>574.59176</v>
      </c>
      <c r="D25" s="14">
        <v>545.354078</v>
      </c>
      <c r="E25" s="14">
        <v>633.4874154</v>
      </c>
      <c r="F25" s="14">
        <v>658.826912016</v>
      </c>
      <c r="G25" s="14">
        <f t="shared" ref="G25:G40" si="6">SUM(C25:F25)</f>
        <v>0</v>
      </c>
      <c r="H25" s="13">
        <f t="shared" si="5"/>
        <v>0</v>
      </c>
      <c r="I25" s="9" t="e">
        <f t="shared" ref="I25:I73" si="7">CONCATENATE(TEXT(H25,$U$2)," (",TEXT(H25*100/$I$23,$U$3),"%)")</f>
        <v>#DIV/0!</v>
      </c>
      <c r="J25" s="9"/>
      <c r="K25" s="9"/>
      <c r="L25" s="9"/>
      <c r="M25" s="9"/>
      <c r="N25" s="9"/>
      <c r="O25" s="9"/>
      <c r="U25" s="7">
        <f t="shared" si="4"/>
        <v>0</v>
      </c>
      <c r="V25" s="8" t="str">
        <f t="shared" si="1"/>
      </c>
      <c r="W25" s="42" t="str">
        <f t="shared" si="3"/>
      </c>
    </row>
    <row r="26" spans="1:23" x14ac:dyDescent="0.25">
      <c r="A26" s="9"/>
      <c r="B26" s="9" t="inlineStr">
        <is>
          <t xml:space="preserve">Ciencia, tecnología e innovación
</t>
        </is>
      </c>
      <c r="C26" s="9">
        <v>0</v>
      </c>
      <c r="D26" s="14">
        <v>0</v>
      </c>
      <c r="E26" s="14">
        <v>0</v>
      </c>
      <c r="F26" s="14">
        <v>0</v>
      </c>
      <c r="G26" s="14">
        <f t="shared" si="6"/>
        <v>0</v>
      </c>
      <c r="H26" s="13">
        <f t="shared" si="5"/>
        <v>0</v>
      </c>
      <c r="I26" s="9" t="e">
        <f t="shared" si="7"/>
        <v>#DIV/0!</v>
      </c>
      <c r="J26" s="9"/>
      <c r="K26" s="9"/>
      <c r="L26" s="9"/>
      <c r="M26" s="9"/>
      <c r="N26" s="9"/>
      <c r="O26" s="9"/>
      <c r="U26" s="7">
        <f t="shared" si="4"/>
        <v>0</v>
      </c>
      <c r="V26" s="8" t="str">
        <f t="shared" si="1"/>
      </c>
      <c r="W26" s="42" t="str">
        <f t="shared" si="3"/>
      </c>
    </row>
    <row r="27" spans="1:23" x14ac:dyDescent="0.25">
      <c r="A27" s="9"/>
      <c r="B27" s="9" t="inlineStr">
        <is>
          <t>Comercio, industria y turismo</t>
        </is>
      </c>
      <c r="C27" s="9">
        <v>2937.023999</v>
      </c>
      <c r="D27" s="9">
        <v>203.483333</v>
      </c>
      <c r="E27" s="9">
        <v>3238.0689588975</v>
      </c>
      <c r="F27" s="9">
        <v>3367.5917172534</v>
      </c>
      <c r="G27" s="14">
        <f t="shared" si="6"/>
        <v>0</v>
      </c>
      <c r="H27" s="13">
        <f t="shared" si="5"/>
        <v>0</v>
      </c>
      <c r="I27" s="9" t="e">
        <f t="shared" si="7"/>
        <v>#DIV/0!</v>
      </c>
      <c r="J27" s="9"/>
      <c r="K27" s="9"/>
      <c r="L27" s="9"/>
      <c r="M27" s="9"/>
      <c r="N27" s="9"/>
      <c r="O27" s="9"/>
      <c r="U27" s="7">
        <f t="shared" si="4"/>
        <v>0</v>
      </c>
      <c r="V27" s="8" t="str">
        <f t="shared" si="1"/>
      </c>
      <c r="W27" s="42" t="str">
        <f t="shared" si="3"/>
      </c>
    </row>
    <row r="28" spans="1:23" x14ac:dyDescent="0.25">
      <c r="A28" s="9"/>
      <c r="B28" s="9" t="inlineStr">
        <is>
          <t>Cultura</t>
        </is>
      </c>
      <c r="C28" s="9">
        <v>1052.7920473</v>
      </c>
      <c r="D28" s="9">
        <v>875.737691</v>
      </c>
      <c r="E28" s="9">
        <v>1160.7032321482</v>
      </c>
      <c r="F28" s="9">
        <v>1207.1313614342</v>
      </c>
      <c r="G28" s="14">
        <f t="shared" si="6"/>
        <v>0</v>
      </c>
      <c r="H28" s="13">
        <f t="shared" si="5"/>
        <v>0</v>
      </c>
      <c r="I28" s="9" t="e">
        <f t="shared" si="7"/>
        <v>#DIV/0!</v>
      </c>
      <c r="J28" s="9"/>
      <c r="K28" s="9"/>
      <c r="L28" s="9"/>
      <c r="M28" s="9"/>
      <c r="N28" s="9"/>
      <c r="O28" s="9"/>
      <c r="U28" s="7">
        <f t="shared" si="4"/>
        <v>0</v>
      </c>
      <c r="V28" s="8" t="str">
        <f t="shared" si="1"/>
      </c>
      <c r="W28" s="42" t="str">
        <f t="shared" si="3"/>
      </c>
    </row>
    <row r="29" spans="1:23" x14ac:dyDescent="0.25">
      <c r="A29" s="9"/>
      <c r="B29" s="9" t="inlineStr">
        <is>
          <t>Defensa y Policía</t>
        </is>
      </c>
      <c r="C29" s="9">
        <v>0</v>
      </c>
      <c r="D29" s="9">
        <v>0</v>
      </c>
      <c r="E29" s="9">
        <v>0</v>
      </c>
      <c r="F29" s="9">
        <v>0</v>
      </c>
      <c r="G29" s="14">
        <f t="shared" si="6"/>
        <v>0</v>
      </c>
      <c r="H29" s="13">
        <f t="shared" si="5"/>
        <v>0</v>
      </c>
      <c r="I29" s="9" t="e">
        <f t="shared" si="7"/>
        <v>#DIV/0!</v>
      </c>
      <c r="J29" s="9"/>
      <c r="K29" s="9"/>
      <c r="L29" s="9"/>
      <c r="M29" s="9"/>
      <c r="N29" s="9"/>
      <c r="O29" s="9"/>
      <c r="U29" s="7">
        <f t="shared" si="4"/>
        <v>0</v>
      </c>
      <c r="V29" s="8" t="str">
        <f t="shared" si="1"/>
      </c>
      <c r="W29" s="42" t="str">
        <f t="shared" si="3"/>
      </c>
    </row>
    <row r="30" spans="1:23" x14ac:dyDescent="0.25">
      <c r="A30" s="9"/>
      <c r="B30" s="9" t="inlineStr">
        <is>
          <t>Deporte y Recreación</t>
        </is>
      </c>
      <c r="C30" s="9">
        <v>132.612892</v>
      </c>
      <c r="D30" s="9">
        <v>566.154857</v>
      </c>
      <c r="E30" s="9">
        <v>146.20571343</v>
      </c>
      <c r="F30" s="9">
        <v>152.0539419672</v>
      </c>
      <c r="G30" s="14">
        <f t="shared" si="6"/>
        <v>0</v>
      </c>
      <c r="H30" s="13">
        <f t="shared" si="5"/>
        <v>0</v>
      </c>
      <c r="I30" s="9" t="e">
        <f t="shared" si="7"/>
        <v>#DIV/0!</v>
      </c>
      <c r="J30" s="9"/>
      <c r="K30" s="9"/>
      <c r="L30" s="9"/>
      <c r="M30" s="9"/>
      <c r="N30" s="9"/>
      <c r="O30" s="9"/>
      <c r="U30" s="7">
        <f t="shared" si="4"/>
        <v>0</v>
      </c>
      <c r="V30" s="8" t="str">
        <f t="shared" si="1"/>
      </c>
      <c r="W30" s="42" t="str">
        <f t="shared" si="3"/>
      </c>
    </row>
    <row r="31" spans="1:23" x14ac:dyDescent="0.25">
      <c r="A31" s="9"/>
      <c r="B31" s="9" t="inlineStr">
        <is>
          <t>Educación</t>
        </is>
      </c>
      <c r="C31" s="9">
        <v>514.894985</v>
      </c>
      <c r="D31" s="9">
        <v>1140.553866</v>
      </c>
      <c r="E31" s="9">
        <v>567.6717209625</v>
      </c>
      <c r="F31" s="9">
        <v>590.378589801</v>
      </c>
      <c r="G31" s="14">
        <f t="shared" si="6"/>
        <v>0</v>
      </c>
      <c r="H31" s="13">
        <f t="shared" si="5"/>
        <v>0</v>
      </c>
      <c r="I31" s="9" t="e">
        <f t="shared" si="7"/>
        <v>#DIV/0!</v>
      </c>
      <c r="J31" s="9"/>
      <c r="K31" s="9"/>
      <c r="L31" s="9"/>
      <c r="M31" s="9"/>
      <c r="N31" s="9"/>
      <c r="O31" s="9"/>
      <c r="U31" s="7">
        <f t="shared" si="4"/>
        <v>0</v>
      </c>
      <c r="V31" s="8" t="str">
        <f t="shared" si="1"/>
      </c>
      <c r="W31" s="42" t="str">
        <f t="shared" si="3"/>
      </c>
    </row>
    <row r="32" spans="1:23" x14ac:dyDescent="0.25">
      <c r="A32" s="9"/>
      <c r="B32" s="9" t="inlineStr">
        <is>
          <t>Gobierno Territorial</t>
        </is>
      </c>
      <c r="C32" s="9">
        <v>1102.84068404</v>
      </c>
      <c r="D32" s="9">
        <v>1385.482777</v>
      </c>
      <c r="E32" s="9">
        <v>1215.8818541541</v>
      </c>
      <c r="F32" s="9">
        <v>1264.5171283202</v>
      </c>
      <c r="G32" s="14">
        <f t="shared" si="6"/>
        <v>0</v>
      </c>
      <c r="H32" s="13">
        <f t="shared" si="5"/>
        <v>0</v>
      </c>
      <c r="I32" s="9" t="e">
        <f t="shared" si="7"/>
        <v>#DIV/0!</v>
      </c>
      <c r="J32" s="9"/>
      <c r="K32" s="9"/>
      <c r="L32" s="9"/>
      <c r="M32" s="9"/>
      <c r="N32" s="9"/>
      <c r="O32" s="9"/>
      <c r="U32" s="7">
        <f t="shared" si="4"/>
        <v>0</v>
      </c>
      <c r="V32" s="8" t="str">
        <f t="shared" si="1"/>
      </c>
      <c r="W32" s="42" t="str">
        <f t="shared" si="3"/>
      </c>
    </row>
    <row r="33" spans="1:23" x14ac:dyDescent="0.25">
      <c r="A33" s="9"/>
      <c r="B33" s="9" t="inlineStr">
        <is>
          <t xml:space="preserve">Inclusión social y reconciliación </t>
        </is>
      </c>
      <c r="C33" s="9">
        <v>867.315935</v>
      </c>
      <c r="D33" s="9">
        <v>625.029937</v>
      </c>
      <c r="E33" s="9">
        <v>956.2158183375</v>
      </c>
      <c r="F33" s="9">
        <v>994.464451071</v>
      </c>
      <c r="G33" s="14">
        <f t="shared" si="6"/>
        <v>0</v>
      </c>
      <c r="H33" s="13">
        <f t="shared" si="5"/>
        <v>0</v>
      </c>
      <c r="I33" s="9" t="e">
        <f t="shared" si="7"/>
        <v>#DIV/0!</v>
      </c>
      <c r="J33" s="9"/>
      <c r="K33" s="9"/>
      <c r="L33" s="9"/>
      <c r="M33" s="9"/>
      <c r="N33" s="9"/>
      <c r="O33" s="9"/>
      <c r="U33" s="7">
        <f t="shared" si="4"/>
        <v>0</v>
      </c>
      <c r="V33" s="8" t="str">
        <f t="shared" si="1"/>
      </c>
      <c r="W33" s="42" t="str">
        <f t="shared" si="3"/>
      </c>
    </row>
    <row r="34" spans="1:23" x14ac:dyDescent="0.25">
      <c r="A34" s="9"/>
      <c r="B34" s="9" t="inlineStr">
        <is>
          <t>Información Estadística</t>
        </is>
      </c>
      <c r="C34" s="9">
        <v>0</v>
      </c>
      <c r="D34" s="9">
        <v>3.92</v>
      </c>
      <c r="E34" s="9">
        <v>0</v>
      </c>
      <c r="F34" s="9">
        <v>0</v>
      </c>
      <c r="G34" s="14">
        <f t="shared" si="6"/>
        <v>0</v>
      </c>
      <c r="H34" s="13">
        <f t="shared" si="5"/>
        <v>0</v>
      </c>
      <c r="I34" s="9" t="e">
        <f t="shared" si="7"/>
        <v>#DIV/0!</v>
      </c>
      <c r="J34" s="9"/>
      <c r="K34" s="9"/>
      <c r="L34" s="9"/>
      <c r="M34" s="9"/>
      <c r="N34" s="9"/>
      <c r="O34" s="9"/>
      <c r="U34" s="7">
        <f t="shared" si="4"/>
        <v>0</v>
      </c>
      <c r="V34" s="8" t="str">
        <f t="shared" si="1"/>
      </c>
      <c r="W34" s="42" t="str">
        <f t="shared" si="3"/>
      </c>
    </row>
    <row r="35" spans="1:23" x14ac:dyDescent="0.25">
      <c r="A35" s="9"/>
      <c r="B35" s="9" t="inlineStr">
        <is>
          <t>Justicia y del derecho</t>
        </is>
      </c>
      <c r="C35" s="9">
        <v>38</v>
      </c>
      <c r="D35" s="9">
        <v>91.8524</v>
      </c>
      <c r="E35" s="9">
        <v>41.895</v>
      </c>
      <c r="F35" s="9">
        <v>43.5708</v>
      </c>
      <c r="G35" s="14">
        <f t="shared" si="6"/>
        <v>0</v>
      </c>
      <c r="H35" s="13">
        <f t="shared" si="5"/>
        <v>0</v>
      </c>
      <c r="I35" s="9" t="e">
        <f t="shared" si="7"/>
        <v>#DIV/0!</v>
      </c>
      <c r="J35" s="9"/>
      <c r="K35" s="9"/>
      <c r="L35" s="9"/>
      <c r="M35" s="9"/>
      <c r="N35" s="9"/>
      <c r="O35" s="9"/>
      <c r="U35" s="7">
        <f t="shared" si="4"/>
        <v>0</v>
      </c>
      <c r="V35" s="8" t="str">
        <f t="shared" si="1"/>
      </c>
      <c r="W35" s="42" t="str">
        <f t="shared" si="3"/>
      </c>
    </row>
    <row r="36" spans="1:23" x14ac:dyDescent="0.25">
      <c r="A36" s="9"/>
      <c r="B36" s="9" t="inlineStr">
        <is>
          <t>Minas y Energía</t>
        </is>
      </c>
      <c r="C36" s="9">
        <v>628.717563</v>
      </c>
      <c r="D36" s="9">
        <v>823.299965</v>
      </c>
      <c r="E36" s="9">
        <v>693.1611132075</v>
      </c>
      <c r="F36" s="9">
        <v>720.8875577358</v>
      </c>
      <c r="G36" s="14">
        <f t="shared" si="6"/>
        <v>0</v>
      </c>
      <c r="H36" s="13">
        <f t="shared" si="5"/>
        <v>0</v>
      </c>
      <c r="I36" s="9" t="e">
        <f t="shared" si="7"/>
        <v>#DIV/0!</v>
      </c>
      <c r="J36" s="9"/>
      <c r="K36" s="9"/>
      <c r="L36" s="9"/>
      <c r="M36" s="9"/>
      <c r="N36" s="9"/>
      <c r="O36" s="9"/>
      <c r="U36" s="7">
        <f t="shared" si="4"/>
        <v>0</v>
      </c>
      <c r="V36" s="8" t="str">
        <f t="shared" si="1"/>
      </c>
      <c r="W36" s="42" t="str">
        <f t="shared" si="3"/>
      </c>
    </row>
    <row r="37" spans="1:23" x14ac:dyDescent="0.25">
      <c r="A37" s="9"/>
      <c r="B37" s="9" t="inlineStr">
        <is>
          <t>Organismos de Control</t>
        </is>
      </c>
      <c r="C37" s="9">
        <v>0</v>
      </c>
      <c r="D37" s="9">
        <v>0</v>
      </c>
      <c r="E37" s="9">
        <v>0</v>
      </c>
      <c r="F37" s="9">
        <v>0</v>
      </c>
      <c r="G37" s="14">
        <f t="shared" si="6"/>
        <v>0</v>
      </c>
      <c r="H37" s="13">
        <f t="shared" si="5"/>
        <v>0</v>
      </c>
      <c r="I37" s="9" t="e">
        <f t="shared" si="7"/>
        <v>#DIV/0!</v>
      </c>
      <c r="J37" s="9"/>
      <c r="K37" s="9"/>
      <c r="L37" s="9"/>
      <c r="M37" s="9"/>
      <c r="N37" s="9"/>
      <c r="O37" s="9"/>
      <c r="U37" s="7">
        <f t="shared" si="4"/>
        <v>0</v>
      </c>
      <c r="V37" s="8" t="str">
        <f t="shared" si="1"/>
      </c>
      <c r="W37" s="42" t="str">
        <f t="shared" si="3"/>
      </c>
    </row>
    <row r="38" spans="1:23" x14ac:dyDescent="0.25">
      <c r="A38" s="9"/>
      <c r="B38" s="9" t="inlineStr">
        <is>
          <t>Salud y protección social</t>
        </is>
      </c>
      <c r="C38" s="9">
        <v>3565.88143191</v>
      </c>
      <c r="D38" s="9">
        <v>7111.978638</v>
      </c>
      <c r="E38" s="9">
        <v>3931.3842786808</v>
      </c>
      <c r="F38" s="9">
        <v>4088.639649828</v>
      </c>
      <c r="G38" s="14">
        <f t="shared" si="6"/>
        <v>0</v>
      </c>
      <c r="H38" s="13">
        <f t="shared" si="5"/>
        <v>0</v>
      </c>
      <c r="I38" s="9" t="e">
        <f t="shared" si="7"/>
        <v>#DIV/0!</v>
      </c>
      <c r="J38" s="9"/>
      <c r="K38" s="9"/>
      <c r="L38" s="9"/>
      <c r="M38" s="9"/>
      <c r="N38" s="9"/>
      <c r="O38" s="9"/>
      <c r="U38" s="7">
        <f t="shared" si="4"/>
        <v>0</v>
      </c>
      <c r="V38" s="8" t="str">
        <f t="shared" si="1"/>
      </c>
      <c r="W38" s="42" t="str">
        <f t="shared" si="3"/>
      </c>
    </row>
    <row r="39" spans="1:23" x14ac:dyDescent="0.25">
      <c r="A39" s="9"/>
      <c r="B39" s="9" t="inlineStr">
        <is>
          <t>Tecnologías de la información y las comunicaciones</t>
        </is>
      </c>
      <c r="C39" s="9">
        <v>9.9</v>
      </c>
      <c r="D39" s="9">
        <v>114.730478</v>
      </c>
      <c r="E39" s="9">
        <v>10.91475</v>
      </c>
      <c r="F39" s="9">
        <v>11.35134</v>
      </c>
      <c r="G39" s="14">
        <f t="shared" si="6"/>
        <v>0</v>
      </c>
      <c r="H39" s="13">
        <f t="shared" si="5"/>
        <v>0</v>
      </c>
      <c r="I39" s="9" t="e">
        <f t="shared" si="7"/>
        <v>#DIV/0!</v>
      </c>
      <c r="J39" s="9"/>
      <c r="K39" s="9"/>
      <c r="L39" s="9"/>
      <c r="M39" s="9"/>
      <c r="N39" s="9"/>
      <c r="O39" s="9"/>
      <c r="U39" s="7">
        <f t="shared" si="4"/>
        <v>0</v>
      </c>
      <c r="V39" s="8" t="str">
        <f t="shared" si="1"/>
      </c>
      <c r="W39" s="42" t="str">
        <f t="shared" si="3"/>
      </c>
    </row>
    <row r="40" spans="1:23" x14ac:dyDescent="0.25">
      <c r="A40" s="9"/>
      <c r="B40" s="9" t="inlineStr">
        <is>
          <t>Trabajo</t>
        </is>
      </c>
      <c r="C40" s="9">
        <v>5</v>
      </c>
      <c r="D40" s="9">
        <v>30.483334</v>
      </c>
      <c r="E40" s="9">
        <v>5.5125</v>
      </c>
      <c r="F40" s="9">
        <v>5.733</v>
      </c>
      <c r="G40" s="14">
        <f t="shared" si="6"/>
        <v>0</v>
      </c>
      <c r="H40" s="13">
        <f t="shared" si="5"/>
        <v>0</v>
      </c>
      <c r="I40" s="9" t="e">
        <f t="shared" si="7"/>
        <v>#DIV/0!</v>
      </c>
      <c r="J40" s="9"/>
      <c r="K40" s="9"/>
      <c r="L40" s="9"/>
      <c r="M40" s="9"/>
      <c r="N40" s="9"/>
      <c r="O40" s="9"/>
      <c r="U40" s="7">
        <f t="shared" si="4"/>
        <v>0</v>
      </c>
      <c r="V40" s="8" t="str">
        <f t="shared" si="1"/>
      </c>
      <c r="W40" s="42" t="str">
        <f t="shared" si="3"/>
      </c>
    </row>
    <row r="41" spans="1:23" x14ac:dyDescent="0.25">
      <c r="A41" s="9"/>
      <c r="B41" s="9" t="inlineStr">
        <is>
          <t>Transporte</t>
        </is>
      </c>
      <c r="C41" s="9">
        <v>645.07132354</v>
      </c>
      <c r="D41" s="9">
        <v>1383.43406197</v>
      </c>
      <c r="E41" s="9">
        <v>711.1911342029</v>
      </c>
      <c r="F41" s="9">
        <v>739.638779571</v>
      </c>
      <c r="G41" s="14">
        <f t="shared" ref="G41:G42" si="8">SUM(C41:F41)</f>
        <v>0</v>
      </c>
      <c r="H41" s="13">
        <f t="shared" si="5"/>
        <v>0</v>
      </c>
      <c r="I41" s="9" t="e">
        <f t="shared" si="7"/>
        <v>#DIV/0!</v>
      </c>
      <c r="J41" s="9"/>
      <c r="K41" s="9"/>
      <c r="L41" s="9"/>
      <c r="M41" s="9"/>
      <c r="N41" s="9"/>
      <c r="O41" s="9"/>
      <c r="U41" s="7">
        <f t="shared" ref="U41:U71" si="9">SUM(Q41:T41)</f>
        <v>0</v>
      </c>
      <c r="V41" s="8" t="str">
        <f t="shared" si="1"/>
      </c>
      <c r="W41" s="42" t="str">
        <f t="shared" si="3"/>
      </c>
    </row>
    <row r="42" spans="1:23" x14ac:dyDescent="0.25">
      <c r="A42" s="9"/>
      <c r="B42" s="9" t="inlineStr">
        <is>
          <t>Vivienda, ciudad y territorio</t>
        </is>
      </c>
      <c r="C42" s="9">
        <v>1536.443695</v>
      </c>
      <c r="D42" s="9">
        <v>2780.819654</v>
      </c>
      <c r="E42" s="9">
        <v>1693.9291737375</v>
      </c>
      <c r="F42" s="9">
        <v>1761.686340687</v>
      </c>
      <c r="G42" s="14">
        <f t="shared" si="8"/>
        <v>0</v>
      </c>
      <c r="H42" s="13">
        <f t="shared" si="5"/>
        <v>0</v>
      </c>
      <c r="I42" s="9" t="e">
        <f t="shared" si="7"/>
        <v>#DIV/0!</v>
      </c>
      <c r="J42" s="9"/>
      <c r="K42" s="9"/>
      <c r="L42" s="9"/>
      <c r="M42" s="9"/>
      <c r="N42" s="9"/>
      <c r="O42" s="9"/>
      <c r="U42" s="7">
        <f t="shared" si="9"/>
        <v>0</v>
      </c>
      <c r="V42" s="8" t="str">
        <f t="shared" si="1"/>
      </c>
      <c r="W42" s="42" t="str">
        <f t="shared" si="3"/>
      </c>
    </row>
    <row r="43" spans="1:23" x14ac:dyDescent="0.25">
      <c r="A43" s="9"/>
      <c r="B43" s="9" t="inlineStr">
        <is>
          <t>Recursos Propios</t>
        </is>
      </c>
      <c r="C43" s="9">
        <v>4574.14121888</v>
      </c>
      <c r="D43" s="9">
        <v>7055.901173</v>
      </c>
      <c r="E43" s="9">
        <v>5042.9906938153</v>
      </c>
      <c r="F43" s="9">
        <v>5244.7103215677</v>
      </c>
      <c r="G43" s="14">
        <f t="shared" ref="G43:G56" si="10">SUM(C43:F43)</f>
        <v>0</v>
      </c>
      <c r="H43" s="13">
        <f t="shared" si="5"/>
        <v>0</v>
      </c>
      <c r="I43" s="9" t="e">
        <f t="shared" si="7"/>
        <v>#DIV/0!</v>
      </c>
      <c r="J43" s="9"/>
      <c r="K43" s="9"/>
      <c r="L43" s="9"/>
      <c r="M43" s="9"/>
      <c r="N43" s="9"/>
      <c r="O43" s="9"/>
      <c r="U43" s="7">
        <f t="shared" si="9"/>
        <v>0</v>
      </c>
      <c r="V43" s="8" t="str">
        <f t="shared" si="1"/>
      </c>
      <c r="W43" s="42" t="str">
        <f t="shared" si="3"/>
      </c>
    </row>
    <row r="44" spans="1:23" x14ac:dyDescent="0.25">
      <c r="A44" s="9"/>
      <c r="B44" s="9" t="inlineStr">
        <is>
          <t>SGP Educación</t>
        </is>
      </c>
      <c r="C44" s="9">
        <v>420.370593</v>
      </c>
      <c r="D44" s="9">
        <v>621.993925</v>
      </c>
      <c r="E44" s="9">
        <v>463.4585787825</v>
      </c>
      <c r="F44" s="9">
        <v>481.9969219338</v>
      </c>
      <c r="G44" s="14">
        <f t="shared" si="10"/>
        <v>0</v>
      </c>
      <c r="H44" s="13">
        <f t="shared" si="5"/>
        <v>0</v>
      </c>
      <c r="I44" s="9" t="e">
        <f t="shared" si="7"/>
        <v>#DIV/0!</v>
      </c>
      <c r="J44" s="9"/>
      <c r="K44" s="9"/>
      <c r="L44" s="9"/>
      <c r="M44" s="9"/>
      <c r="N44" s="9"/>
      <c r="O44" s="9"/>
      <c r="U44" s="7">
        <f t="shared" si="9"/>
        <v>0</v>
      </c>
      <c r="V44" s="8" t="str">
        <f t="shared" si="1"/>
      </c>
      <c r="W44" s="42" t="str">
        <f t="shared" si="3"/>
      </c>
    </row>
    <row r="45" spans="1:23" x14ac:dyDescent="0.25">
      <c r="A45" s="9"/>
      <c r="B45" s="9" t="inlineStr">
        <is>
          <t>SGP Salud</t>
        </is>
      </c>
      <c r="C45" s="9">
        <v>1627.070937</v>
      </c>
      <c r="D45" s="9">
        <v>3315.360836</v>
      </c>
      <c r="E45" s="9">
        <v>1793.8457080425</v>
      </c>
      <c r="F45" s="9">
        <v>1865.5995363642</v>
      </c>
      <c r="G45" s="14">
        <f t="shared" si="10"/>
        <v>0</v>
      </c>
      <c r="H45" s="13">
        <f t="shared" si="5"/>
        <v>0</v>
      </c>
      <c r="I45" s="9" t="e">
        <f t="shared" si="7"/>
        <v>#DIV/0!</v>
      </c>
      <c r="J45" s="9"/>
      <c r="K45" s="9"/>
      <c r="L45" s="9"/>
      <c r="M45" s="9"/>
      <c r="N45" s="9"/>
      <c r="O45" s="9"/>
      <c r="U45" s="7">
        <f t="shared" si="9"/>
        <v>0</v>
      </c>
      <c r="V45" s="8" t="str">
        <f t="shared" si="1"/>
      </c>
      <c r="W45" s="42" t="str">
        <f t="shared" si="3"/>
      </c>
    </row>
    <row r="46" spans="1:23" x14ac:dyDescent="0.25">
      <c r="A46" s="9"/>
      <c r="B46" s="9" t="inlineStr">
        <is>
          <t>SGP Deporte</t>
        </is>
      </c>
      <c r="C46" s="9">
        <v>11.699069</v>
      </c>
      <c r="D46" s="9">
        <v>80.431138</v>
      </c>
      <c r="E46" s="9">
        <v>12.8982235725</v>
      </c>
      <c r="F46" s="9">
        <v>13.4141525154</v>
      </c>
      <c r="G46" s="14">
        <f t="shared" si="10"/>
        <v>0</v>
      </c>
      <c r="H46" s="13">
        <f t="shared" si="5"/>
        <v>0</v>
      </c>
      <c r="I46" s="9" t="e">
        <f t="shared" si="7"/>
        <v>#DIV/0!</v>
      </c>
      <c r="J46" s="9"/>
      <c r="K46" s="9"/>
      <c r="L46" s="9"/>
      <c r="M46" s="9"/>
      <c r="N46" s="9"/>
      <c r="O46" s="9"/>
      <c r="U46" s="7">
        <f t="shared" si="9"/>
        <v>0</v>
      </c>
      <c r="V46" s="8" t="str">
        <f t="shared" si="1"/>
      </c>
      <c r="W46" s="42" t="str">
        <f t="shared" si="3"/>
      </c>
    </row>
    <row r="47" spans="1:23" x14ac:dyDescent="0.25">
      <c r="A47" s="9"/>
      <c r="B47" s="9" t="inlineStr">
        <is>
          <t>SGP Cultura</t>
        </is>
      </c>
      <c r="C47" s="9">
        <v>34.1566</v>
      </c>
      <c r="D47" s="9">
        <v>58.269215</v>
      </c>
      <c r="E47" s="9">
        <v>37.6576515</v>
      </c>
      <c r="F47" s="9">
        <v>39.16395756</v>
      </c>
      <c r="G47" s="14">
        <f t="shared" si="10"/>
        <v>0</v>
      </c>
      <c r="H47" s="13">
        <f t="shared" si="5"/>
        <v>0</v>
      </c>
      <c r="I47" s="9" t="e">
        <f t="shared" si="7"/>
        <v>#DIV/0!</v>
      </c>
      <c r="J47" s="9"/>
      <c r="K47" s="9"/>
      <c r="L47" s="9"/>
      <c r="M47" s="9"/>
      <c r="N47" s="9"/>
      <c r="O47" s="9"/>
      <c r="U47" s="7">
        <f t="shared" si="9"/>
        <v>0</v>
      </c>
      <c r="V47" s="8" t="str">
        <f t="shared" si="1"/>
      </c>
      <c r="W47" s="42" t="str">
        <f t="shared" si="3"/>
      </c>
    </row>
    <row r="48" spans="1:23" x14ac:dyDescent="0.25">
      <c r="A48" s="9"/>
      <c r="B48" s="9" t="inlineStr">
        <is>
          <t>SGP Libre Inversión</t>
        </is>
      </c>
      <c r="C48" s="9">
        <v>1280.710716</v>
      </c>
      <c r="D48" s="9">
        <v>2392.98579797</v>
      </c>
      <c r="E48" s="9">
        <v>1411.98356439</v>
      </c>
      <c r="F48" s="9">
        <v>1468.4629069656</v>
      </c>
      <c r="G48" s="14">
        <f t="shared" si="10"/>
        <v>0</v>
      </c>
      <c r="H48" s="13">
        <f t="shared" si="5"/>
        <v>0</v>
      </c>
      <c r="I48" s="9" t="e">
        <f t="shared" si="7"/>
        <v>#DIV/0!</v>
      </c>
      <c r="J48" s="9"/>
      <c r="K48" s="9"/>
      <c r="L48" s="9"/>
      <c r="M48" s="9"/>
      <c r="N48" s="9"/>
      <c r="O48" s="9"/>
      <c r="U48" s="7">
        <f t="shared" si="9"/>
        <v>0</v>
      </c>
      <c r="V48" s="8" t="str">
        <f t="shared" si="1"/>
      </c>
      <c r="W48" s="42" t="str">
        <f t="shared" si="3"/>
      </c>
    </row>
    <row r="49" spans="1:23" x14ac:dyDescent="0.25">
      <c r="A49" s="9"/>
      <c r="B49" s="9" t="inlineStr">
        <is>
          <t>SGP Libre Destinación</t>
        </is>
      </c>
      <c r="C49" s="9">
        <v>27.448004</v>
      </c>
      <c r="D49" s="9">
        <v>1180.847499</v>
      </c>
      <c r="E49" s="9">
        <v>30.26142441</v>
      </c>
      <c r="F49" s="9">
        <v>31.4718813864</v>
      </c>
      <c r="G49" s="14">
        <f t="shared" si="10"/>
        <v>0</v>
      </c>
      <c r="H49" s="13">
        <f t="shared" si="5"/>
        <v>0</v>
      </c>
      <c r="I49" s="9" t="e">
        <f t="shared" si="7"/>
        <v>#DIV/0!</v>
      </c>
      <c r="J49" s="9"/>
      <c r="K49" s="9"/>
      <c r="L49" s="9"/>
      <c r="M49" s="9"/>
      <c r="N49" s="9"/>
      <c r="O49" s="9"/>
      <c r="U49" s="7">
        <f t="shared" si="9"/>
        <v>0</v>
      </c>
      <c r="V49" s="8" t="str">
        <f t="shared" si="1"/>
      </c>
      <c r="W49" s="42" t="str">
        <f t="shared" si="3"/>
      </c>
    </row>
    <row r="50" spans="1:23" x14ac:dyDescent="0.25">
      <c r="A50" s="9"/>
      <c r="B50" s="9" t="inlineStr">
        <is>
          <t>SGP Alimentación Escolar</t>
        </is>
      </c>
      <c r="C50" s="9">
        <v>12.590371</v>
      </c>
      <c r="D50" s="9">
        <v>145.631543</v>
      </c>
      <c r="E50" s="9">
        <v>13.8808840275</v>
      </c>
      <c r="F50" s="9">
        <v>14.4361193886</v>
      </c>
      <c r="G50" s="14">
        <f t="shared" si="10"/>
        <v>0</v>
      </c>
      <c r="H50" s="13">
        <f t="shared" si="5"/>
        <v>0</v>
      </c>
      <c r="I50" s="9" t="e">
        <f t="shared" si="7"/>
        <v>#DIV/0!</v>
      </c>
      <c r="J50" s="9"/>
      <c r="K50" s="9"/>
      <c r="L50" s="9"/>
      <c r="M50" s="9"/>
      <c r="N50" s="9"/>
      <c r="O50" s="9"/>
      <c r="U50" s="7">
        <f t="shared" si="9"/>
        <v>0</v>
      </c>
      <c r="V50" s="8" t="str">
        <f t="shared" si="1"/>
      </c>
      <c r="W50" s="42" t="str">
        <f t="shared" si="3"/>
      </c>
    </row>
    <row r="51" spans="1:23" x14ac:dyDescent="0.25">
      <c r="A51" s="9"/>
      <c r="B51" s="9" t="inlineStr">
        <is>
          <t>SGP municipios Río Magdalena</t>
        </is>
      </c>
      <c r="C51" s="9">
        <v>0</v>
      </c>
      <c r="D51" s="9">
        <v>0</v>
      </c>
      <c r="E51" s="9">
        <v>0</v>
      </c>
      <c r="F51" s="9">
        <v>0</v>
      </c>
      <c r="G51" s="14">
        <f t="shared" si="10"/>
        <v>0</v>
      </c>
      <c r="H51" s="13">
        <f t="shared" si="5"/>
        <v>0</v>
      </c>
      <c r="I51" s="9" t="e">
        <f t="shared" si="7"/>
        <v>#DIV/0!</v>
      </c>
      <c r="J51" s="9"/>
      <c r="K51" s="9"/>
      <c r="L51" s="9"/>
      <c r="M51" s="9"/>
      <c r="N51" s="9"/>
      <c r="O51" s="9"/>
      <c r="U51" s="7">
        <f t="shared" si="9"/>
        <v>0</v>
      </c>
      <c r="V51" s="8" t="str">
        <f t="shared" si="1"/>
      </c>
      <c r="W51" s="42" t="str">
        <f t="shared" si="3"/>
      </c>
    </row>
    <row r="52" spans="1:23" x14ac:dyDescent="0.25">
      <c r="A52" s="9"/>
      <c r="B52" s="9" t="inlineStr">
        <is>
          <t>SGP APSB</t>
        </is>
      </c>
      <c r="C52" s="9">
        <v>741.624444</v>
      </c>
      <c r="D52" s="9">
        <v>1717.463955</v>
      </c>
      <c r="E52" s="9">
        <v>817.6409495099</v>
      </c>
      <c r="F52" s="9">
        <v>850.3465874905</v>
      </c>
      <c r="G52" s="14">
        <f t="shared" si="10"/>
        <v>0</v>
      </c>
      <c r="H52" s="13">
        <f t="shared" si="5"/>
        <v>0</v>
      </c>
      <c r="I52" s="9" t="e">
        <f t="shared" si="7"/>
        <v>#DIV/0!</v>
      </c>
      <c r="J52" s="9"/>
      <c r="K52" s="9"/>
      <c r="L52" s="9"/>
      <c r="M52" s="9"/>
      <c r="N52" s="9"/>
      <c r="O52" s="9"/>
      <c r="U52" s="7">
        <f t="shared" si="9"/>
        <v>0</v>
      </c>
      <c r="V52" s="8" t="str">
        <f t="shared" si="1"/>
      </c>
      <c r="W52" s="42" t="str">
        <f t="shared" si="3"/>
      </c>
    </row>
    <row r="53" spans="1:23" x14ac:dyDescent="0.25">
      <c r="A53" s="9"/>
      <c r="B53" s="9" t="inlineStr">
        <is>
          <t>Crédito</t>
        </is>
      </c>
      <c r="C53" s="9">
        <v>0</v>
      </c>
      <c r="D53" s="9">
        <v>0</v>
      </c>
      <c r="E53" s="9">
        <v>0</v>
      </c>
      <c r="F53" s="9">
        <v>0</v>
      </c>
      <c r="G53" s="14">
        <f t="shared" si="10"/>
        <v>0</v>
      </c>
      <c r="H53" s="13">
        <f t="shared" si="5"/>
        <v>0</v>
      </c>
      <c r="I53" s="9" t="e">
        <f t="shared" si="7"/>
        <v>#DIV/0!</v>
      </c>
      <c r="J53" s="9"/>
      <c r="K53" s="9"/>
      <c r="L53" s="9"/>
      <c r="M53" s="9"/>
      <c r="N53" s="9"/>
      <c r="O53" s="9"/>
      <c r="U53" s="7">
        <f t="shared" si="9"/>
        <v>0</v>
      </c>
      <c r="V53" s="8" t="str">
        <f t="shared" si="1"/>
      </c>
      <c r="W53" s="42" t="str">
        <f t="shared" si="3"/>
      </c>
    </row>
    <row r="54" spans="1:23" x14ac:dyDescent="0.25">
      <c r="A54" s="9"/>
      <c r="B54" s="9" t="inlineStr">
        <is>
          <t>Transf. capital - Cof. Territorial</t>
        </is>
      </c>
      <c r="C54" s="9">
        <v>913.64888182</v>
      </c>
      <c r="D54" s="9">
        <v>2162.149102</v>
      </c>
      <c r="E54" s="9">
        <v>1007.2978922066</v>
      </c>
      <c r="F54" s="9">
        <v>1047.5898078948</v>
      </c>
      <c r="G54" s="14">
        <f t="shared" si="10"/>
        <v>0</v>
      </c>
      <c r="H54" s="13">
        <f t="shared" si="5"/>
        <v>0</v>
      </c>
      <c r="I54" s="9" t="e">
        <f t="shared" si="7"/>
        <v>#DIV/0!</v>
      </c>
      <c r="J54" s="9"/>
      <c r="K54" s="9"/>
      <c r="L54" s="9"/>
      <c r="M54" s="9"/>
      <c r="N54" s="9"/>
      <c r="O54" s="9"/>
      <c r="U54" s="7">
        <f t="shared" si="9"/>
        <v>0</v>
      </c>
      <c r="V54" s="8" t="str">
        <f t="shared" si="1"/>
      </c>
      <c r="W54" s="42" t="str">
        <f t="shared" si="3"/>
      </c>
    </row>
    <row r="55" spans="1:23" x14ac:dyDescent="0.25">
      <c r="A55" s="9"/>
      <c r="B55" s="9" t="inlineStr">
        <is>
          <t>Transf. capital - Cof. Nación</t>
        </is>
      </c>
      <c r="C55" s="9">
        <v>1103.59900361</v>
      </c>
      <c r="D55" s="9">
        <v>191.260904</v>
      </c>
      <c r="E55" s="9">
        <v>1216.71790148</v>
      </c>
      <c r="F55" s="9">
        <v>1265.3866175392</v>
      </c>
      <c r="G55" s="14">
        <f t="shared" si="10"/>
        <v>0</v>
      </c>
      <c r="H55" s="13">
        <f t="shared" ref="H55:H73" si="11">INDEX(C55:G55,MATCH($D$16,$C$23:$G$23,0))</f>
        <v>0</v>
      </c>
      <c r="I55" s="9" t="e">
        <f t="shared" si="7"/>
        <v>#DIV/0!</v>
      </c>
      <c r="J55" s="9"/>
      <c r="K55" s="9"/>
      <c r="L55" s="9"/>
      <c r="M55" s="9"/>
      <c r="N55" s="9"/>
      <c r="O55" s="9"/>
      <c r="U55" s="7">
        <f t="shared" si="9"/>
        <v>0</v>
      </c>
      <c r="V55" s="8" t="str">
        <f t="shared" si="1"/>
      </c>
      <c r="W55" s="42" t="str">
        <f t="shared" si="3"/>
      </c>
    </row>
    <row r="56" spans="1:23" x14ac:dyDescent="0.25">
      <c r="A56" s="9"/>
      <c r="B56" s="9" t="inlineStr">
        <is>
          <t>Otros</t>
        </is>
      </c>
      <c r="C56" s="9">
        <v>3130.03624448</v>
      </c>
      <c r="D56" s="9">
        <v>12.125716</v>
      </c>
      <c r="E56" s="9">
        <v>3450.8649595392</v>
      </c>
      <c r="F56" s="9">
        <v>3588.8995579208</v>
      </c>
      <c r="G56" s="14">
        <f t="shared" si="10"/>
        <v>0</v>
      </c>
      <c r="H56" s="13">
        <f t="shared" si="11"/>
        <v>0</v>
      </c>
      <c r="I56" s="9" t="e">
        <f t="shared" si="7"/>
        <v>#DIV/0!</v>
      </c>
      <c r="J56" s="9"/>
      <c r="K56" s="9"/>
      <c r="L56" s="9"/>
      <c r="M56" s="9"/>
      <c r="N56" s="9"/>
      <c r="O56" s="9"/>
      <c r="U56" s="7">
        <f t="shared" si="9"/>
        <v>0</v>
      </c>
      <c r="V56" s="8" t="str">
        <f t="shared" si="1"/>
      </c>
      <c r="W56" s="42" t="str">
        <f t="shared" si="3"/>
      </c>
    </row>
    <row r="57" spans="1:23" x14ac:dyDescent="0.25">
      <c r="A57" s="9"/>
      <c r="B57" s="9" t="inlineStr">
        <is>
          <t>1. Fin de la pobreza</t>
        </is>
      </c>
      <c r="C57" s="9">
        <v>790.24793</v>
      </c>
      <c r="D57" s="9">
        <v>502.001645</v>
      </c>
      <c r="E57" s="9">
        <v>871.248342825</v>
      </c>
      <c r="F57" s="9">
        <v>906.098276538</v>
      </c>
      <c r="G57" s="14">
        <f t="shared" ref="G57:G73" si="12">SUM(C57:F57)</f>
        <v>0</v>
      </c>
      <c r="H57" s="13">
        <f t="shared" si="11"/>
        <v>0</v>
      </c>
      <c r="I57" s="9" t="e">
        <f t="shared" si="7"/>
        <v>#DIV/0!</v>
      </c>
      <c r="J57" s="9"/>
      <c r="K57" s="9"/>
      <c r="L57" s="9"/>
      <c r="M57" s="9"/>
      <c r="N57" s="9"/>
      <c r="O57" s="9"/>
      <c r="U57" s="7">
        <f t="shared" si="9"/>
        <v>0</v>
      </c>
      <c r="V57" s="8" t="str">
        <f t="shared" si="1"/>
      </c>
      <c r="W57" s="42" t="str">
        <f t="shared" si="3"/>
      </c>
    </row>
    <row r="58" spans="1:23" x14ac:dyDescent="0.25">
      <c r="A58" s="9"/>
      <c r="B58" s="9" t="inlineStr">
        <is>
          <t>2. Hambre cero</t>
        </is>
      </c>
      <c r="C58" s="9">
        <v>265.2931</v>
      </c>
      <c r="D58" s="9">
        <v>1228.716776</v>
      </c>
      <c r="E58" s="9">
        <v>292.48564275</v>
      </c>
      <c r="F58" s="9">
        <v>304.18506846</v>
      </c>
      <c r="G58" s="14">
        <f t="shared" si="12"/>
        <v>0</v>
      </c>
      <c r="H58" s="13">
        <f t="shared" si="11"/>
        <v>0</v>
      </c>
      <c r="I58" s="9" t="e">
        <f t="shared" si="7"/>
        <v>#DIV/0!</v>
      </c>
      <c r="J58" s="9"/>
      <c r="K58" s="9"/>
      <c r="L58" s="9"/>
      <c r="M58" s="9"/>
      <c r="N58" s="9"/>
      <c r="O58" s="9"/>
      <c r="U58" s="7">
        <f t="shared" si="9"/>
        <v>0</v>
      </c>
      <c r="V58" s="8" t="str">
        <f t="shared" si="1"/>
      </c>
      <c r="W58" s="42" t="str">
        <f t="shared" si="3"/>
      </c>
    </row>
    <row r="59" spans="1:23" x14ac:dyDescent="0.25">
      <c r="A59" s="9"/>
      <c r="B59" s="9" t="inlineStr">
        <is>
          <t>3. Salud y bienestar</t>
        </is>
      </c>
      <c r="C59" s="9">
        <v>3069.68719491</v>
      </c>
      <c r="D59" s="9">
        <v>7146.765095</v>
      </c>
      <c r="E59" s="9">
        <v>3384.3301323883</v>
      </c>
      <c r="F59" s="9">
        <v>3519.7033376838</v>
      </c>
      <c r="G59" s="14">
        <f t="shared" si="12"/>
        <v>0</v>
      </c>
      <c r="H59" s="13">
        <f t="shared" si="11"/>
        <v>0</v>
      </c>
      <c r="I59" s="9" t="e">
        <f t="shared" si="7"/>
        <v>#DIV/0!</v>
      </c>
      <c r="J59" s="9"/>
      <c r="K59" s="9"/>
      <c r="L59" s="9"/>
      <c r="M59" s="9"/>
      <c r="N59" s="9"/>
      <c r="O59" s="9"/>
      <c r="U59" s="7">
        <f t="shared" si="9"/>
        <v>0</v>
      </c>
      <c r="V59" s="8" t="str">
        <f t="shared" si="1"/>
      </c>
      <c r="W59" s="42" t="str">
        <f t="shared" si="3"/>
      </c>
    </row>
    <row r="60" spans="1:23" x14ac:dyDescent="0.25">
      <c r="A60" s="9"/>
      <c r="B60" s="9" t="inlineStr">
        <is>
          <t>4. Educación de calidad</t>
        </is>
      </c>
      <c r="C60" s="9">
        <v>859.144735</v>
      </c>
      <c r="D60" s="9">
        <v>1671.822412</v>
      </c>
      <c r="E60" s="9">
        <v>947.2070703375</v>
      </c>
      <c r="F60" s="9">
        <v>985.095353151</v>
      </c>
      <c r="G60" s="14">
        <f t="shared" si="12"/>
        <v>0</v>
      </c>
      <c r="H60" s="13">
        <f t="shared" si="11"/>
        <v>0</v>
      </c>
      <c r="I60" s="9" t="e">
        <f t="shared" si="7"/>
        <v>#DIV/0!</v>
      </c>
      <c r="J60" s="9"/>
      <c r="K60" s="9"/>
      <c r="L60" s="9"/>
      <c r="M60" s="9"/>
      <c r="N60" s="9"/>
      <c r="O60" s="9"/>
      <c r="U60" s="7">
        <f t="shared" si="9"/>
        <v>0</v>
      </c>
      <c r="V60" s="8" t="str">
        <f t="shared" si="1"/>
      </c>
      <c r="W60" s="42" t="str">
        <f t="shared" si="3"/>
      </c>
    </row>
    <row r="61" spans="1:23" x14ac:dyDescent="0.25">
      <c r="A61" s="9"/>
      <c r="B61" s="9" t="inlineStr">
        <is>
          <t>5. Igualdad de género</t>
        </is>
      </c>
      <c r="C61" s="9">
        <v>0</v>
      </c>
      <c r="D61" s="9">
        <v>12.942456</v>
      </c>
      <c r="E61" s="9">
        <v>0</v>
      </c>
      <c r="F61" s="9">
        <v>0</v>
      </c>
      <c r="G61" s="14">
        <f t="shared" si="12"/>
        <v>0</v>
      </c>
      <c r="H61" s="13">
        <f t="shared" si="11"/>
        <v>0</v>
      </c>
      <c r="I61" s="9" t="e">
        <f t="shared" si="7"/>
        <v>#DIV/0!</v>
      </c>
      <c r="J61" s="9"/>
      <c r="K61" s="9"/>
      <c r="L61" s="9"/>
      <c r="M61" s="9"/>
      <c r="N61" s="9"/>
      <c r="O61" s="9"/>
      <c r="U61" s="7">
        <f t="shared" si="9"/>
        <v>0</v>
      </c>
      <c r="V61" s="8" t="str">
        <f t="shared" si="1"/>
      </c>
      <c r="W61" s="42" t="str">
        <f t="shared" si="3"/>
      </c>
    </row>
    <row r="62" spans="1:23" x14ac:dyDescent="0.25">
      <c r="A62" s="9"/>
      <c r="B62" s="9" t="inlineStr">
        <is>
          <t>6. Agua limpia y saneamiento</t>
        </is>
      </c>
      <c r="C62" s="9">
        <v>1278.55993686</v>
      </c>
      <c r="D62" s="9">
        <v>2157.39160005</v>
      </c>
      <c r="E62" s="9">
        <v>1409.6123303881</v>
      </c>
      <c r="F62" s="9">
        <v>1465.9968236037</v>
      </c>
      <c r="G62" s="14">
        <f t="shared" si="12"/>
        <v>0</v>
      </c>
      <c r="H62" s="13">
        <f t="shared" si="11"/>
        <v>0</v>
      </c>
      <c r="I62" s="9" t="e">
        <f t="shared" si="7"/>
        <v>#DIV/0!</v>
      </c>
      <c r="J62" s="9"/>
      <c r="K62" s="9"/>
      <c r="L62" s="9"/>
      <c r="M62" s="9"/>
      <c r="N62" s="9"/>
      <c r="O62" s="9"/>
      <c r="U62" s="7">
        <f t="shared" si="9"/>
        <v>0</v>
      </c>
      <c r="V62" s="8" t="str">
        <f t="shared" si="1"/>
      </c>
      <c r="W62" s="42" t="str">
        <f t="shared" si="3"/>
      </c>
    </row>
    <row r="63" spans="1:23" x14ac:dyDescent="0.25">
      <c r="A63" s="9"/>
      <c r="B63" s="9" t="inlineStr">
        <is>
          <t>7. Energía asequible y no contaminante</t>
        </is>
      </c>
      <c r="C63" s="9">
        <v>629.717563</v>
      </c>
      <c r="D63" s="9">
        <v>813.458798</v>
      </c>
      <c r="E63" s="9">
        <v>694.2636132075</v>
      </c>
      <c r="F63" s="9">
        <v>722.0341577358</v>
      </c>
      <c r="G63" s="14">
        <f t="shared" si="12"/>
        <v>0</v>
      </c>
      <c r="H63" s="13">
        <f t="shared" si="11"/>
        <v>0</v>
      </c>
      <c r="I63" s="9" t="e">
        <f t="shared" si="7"/>
        <v>#DIV/0!</v>
      </c>
      <c r="J63" s="9"/>
      <c r="K63" s="9"/>
      <c r="L63" s="9"/>
      <c r="M63" s="9"/>
      <c r="N63" s="9"/>
      <c r="O63" s="9"/>
      <c r="U63" s="7">
        <f t="shared" si="9"/>
        <v>0</v>
      </c>
      <c r="V63" s="8" t="str">
        <f t="shared" si="1"/>
      </c>
      <c r="W63" s="42" t="str">
        <f t="shared" si="3"/>
      </c>
    </row>
    <row r="64" spans="1:23" x14ac:dyDescent="0.25">
      <c r="A64" s="9"/>
      <c r="B64" s="9" t="inlineStr">
        <is>
          <t>8. Trabajo decente y crecimiento económico</t>
        </is>
      </c>
      <c r="C64" s="9">
        <v>79.777141</v>
      </c>
      <c r="D64" s="9">
        <v>146.868918</v>
      </c>
      <c r="E64" s="9">
        <v>87.9542979525</v>
      </c>
      <c r="F64" s="9">
        <v>91.4724698706</v>
      </c>
      <c r="G64" s="14">
        <f t="shared" si="12"/>
        <v>0</v>
      </c>
      <c r="H64" s="13">
        <f t="shared" si="11"/>
        <v>0</v>
      </c>
      <c r="I64" s="9" t="e">
        <f t="shared" si="7"/>
        <v>#DIV/0!</v>
      </c>
      <c r="J64" s="9"/>
      <c r="K64" s="9"/>
      <c r="L64" s="9"/>
      <c r="M64" s="9"/>
      <c r="N64" s="9"/>
      <c r="O64" s="9"/>
      <c r="U64" s="7">
        <f t="shared" si="9"/>
        <v>0</v>
      </c>
      <c r="V64" s="8" t="str">
        <f t="shared" si="1"/>
      </c>
      <c r="W64" s="42" t="str">
        <f t="shared" si="3"/>
      </c>
    </row>
    <row r="65" spans="1:23" x14ac:dyDescent="0.25">
      <c r="A65" s="9"/>
      <c r="B65" s="9" t="inlineStr">
        <is>
          <t>9. Industria, innovación e infraestructura</t>
        </is>
      </c>
      <c r="C65" s="9">
        <v>3582.09532254</v>
      </c>
      <c r="D65" s="9">
        <v>1558.91739497</v>
      </c>
      <c r="E65" s="9">
        <v>3949.2600931004</v>
      </c>
      <c r="F65" s="9">
        <v>4107.2304968244</v>
      </c>
      <c r="G65" s="14">
        <f t="shared" si="12"/>
        <v>0</v>
      </c>
      <c r="H65" s="13">
        <f t="shared" si="11"/>
        <v>0</v>
      </c>
      <c r="I65" s="9" t="e">
        <f t="shared" si="7"/>
        <v>#DIV/0!</v>
      </c>
      <c r="J65" s="9"/>
      <c r="K65" s="9"/>
      <c r="L65" s="9"/>
      <c r="M65" s="9"/>
      <c r="N65" s="9"/>
      <c r="O65" s="9"/>
      <c r="U65" s="7">
        <f t="shared" si="9"/>
        <v>0</v>
      </c>
      <c r="V65" s="8" t="str">
        <f t="shared" si="1"/>
      </c>
      <c r="W65" s="42" t="str">
        <f t="shared" si="3"/>
      </c>
    </row>
    <row r="66" spans="1:23" x14ac:dyDescent="0.25">
      <c r="A66" s="9"/>
      <c r="B66" s="9" t="inlineStr">
        <is>
          <t>10. Reducción de las desigualdades</t>
        </is>
      </c>
      <c r="C66" s="9">
        <v>0</v>
      </c>
      <c r="D66" s="9">
        <v>36</v>
      </c>
      <c r="E66" s="9">
        <v>0</v>
      </c>
      <c r="F66" s="9">
        <v>0</v>
      </c>
      <c r="G66" s="14">
        <f t="shared" si="12"/>
        <v>0</v>
      </c>
      <c r="H66" s="13">
        <f t="shared" si="11"/>
        <v>0</v>
      </c>
      <c r="I66" s="9" t="e">
        <f t="shared" si="7"/>
        <v>#DIV/0!</v>
      </c>
      <c r="J66" s="9"/>
      <c r="K66" s="9"/>
      <c r="L66" s="9"/>
      <c r="M66" s="9"/>
      <c r="N66" s="9"/>
      <c r="O66" s="9"/>
      <c r="U66" s="7">
        <f t="shared" si="9"/>
        <v>0</v>
      </c>
      <c r="V66" s="8" t="str">
        <f t="shared" si="1"/>
      </c>
      <c r="W66" s="42" t="str">
        <f t="shared" si="3"/>
      </c>
    </row>
    <row r="67" spans="1:23" x14ac:dyDescent="0.25">
      <c r="A67" s="9"/>
      <c r="B67" s="9" t="inlineStr">
        <is>
          <t>11. Ciudades y comunidades sostenibles</t>
        </is>
      </c>
      <c r="C67" s="9">
        <v>751.15311936</v>
      </c>
      <c r="D67" s="9">
        <v>565.59024</v>
      </c>
      <c r="E67" s="9">
        <v>828.1463140944</v>
      </c>
      <c r="F67" s="9">
        <v>861.2721666582</v>
      </c>
      <c r="G67" s="14">
        <f t="shared" si="12"/>
        <v>0</v>
      </c>
      <c r="H67" s="13">
        <f t="shared" si="11"/>
        <v>0</v>
      </c>
      <c r="I67" s="9" t="e">
        <f t="shared" si="7"/>
        <v>#DIV/0!</v>
      </c>
      <c r="J67" s="9"/>
      <c r="K67" s="9"/>
      <c r="L67" s="9"/>
      <c r="M67" s="9"/>
      <c r="N67" s="9"/>
      <c r="O67" s="9"/>
      <c r="U67" s="7">
        <f t="shared" si="9"/>
        <v>0</v>
      </c>
      <c r="V67" s="8" t="str">
        <f t="shared" si="1"/>
      </c>
      <c r="W67" s="42" t="str">
        <f t="shared" si="3"/>
      </c>
    </row>
    <row r="68" spans="1:23" x14ac:dyDescent="0.25">
      <c r="A68" s="9"/>
      <c r="B68" s="9" t="inlineStr">
        <is>
          <t>12. Producción y consumo responsables</t>
        </is>
      </c>
      <c r="C68" s="9">
        <v>0</v>
      </c>
      <c r="D68" s="9">
        <v>0</v>
      </c>
      <c r="E68" s="9">
        <v>0</v>
      </c>
      <c r="F68" s="9">
        <v>0</v>
      </c>
      <c r="G68" s="14">
        <f t="shared" si="12"/>
        <v>0</v>
      </c>
      <c r="H68" s="13">
        <f t="shared" si="11"/>
        <v>0</v>
      </c>
      <c r="I68" s="9" t="e">
        <f t="shared" si="7"/>
        <v>#DIV/0!</v>
      </c>
      <c r="J68" s="9"/>
      <c r="K68" s="9"/>
      <c r="L68" s="9"/>
      <c r="M68" s="9"/>
      <c r="N68" s="9"/>
      <c r="O68" s="9"/>
      <c r="U68" s="7">
        <f t="shared" si="9"/>
        <v>0</v>
      </c>
      <c r="V68" s="8" t="str">
        <f t="shared" si="1"/>
      </c>
      <c r="W68" s="42" t="str">
        <f t="shared" si="3"/>
      </c>
    </row>
    <row r="69" spans="1:23" x14ac:dyDescent="0.25">
      <c r="A69" s="9"/>
      <c r="B69" s="9" t="inlineStr">
        <is>
          <t>13. Acción por el clima</t>
        </is>
      </c>
      <c r="C69" s="9">
        <v>0</v>
      </c>
      <c r="D69" s="9">
        <v>0</v>
      </c>
      <c r="E69" s="9">
        <v>0</v>
      </c>
      <c r="F69" s="9">
        <v>0</v>
      </c>
      <c r="G69" s="14">
        <f t="shared" si="12"/>
        <v>0</v>
      </c>
      <c r="H69" s="13">
        <f t="shared" si="11"/>
        <v>0</v>
      </c>
      <c r="I69" s="9" t="e">
        <f t="shared" si="7"/>
        <v>#DIV/0!</v>
      </c>
      <c r="J69" s="9"/>
      <c r="K69" s="9"/>
      <c r="L69" s="9"/>
      <c r="M69" s="9"/>
      <c r="N69" s="9"/>
      <c r="O69" s="9"/>
      <c r="U69" s="7">
        <f t="shared" si="9"/>
        <v>0</v>
      </c>
      <c r="V69" s="8" t="str">
        <f t="shared" si="1"/>
      </c>
      <c r="W69" s="42" t="str">
        <f t="shared" si="3"/>
      </c>
    </row>
    <row r="70" spans="1:23" x14ac:dyDescent="0.25">
      <c r="A70" s="9"/>
      <c r="B70" s="9" t="inlineStr">
        <is>
          <t>14. Vida submarina</t>
        </is>
      </c>
      <c r="C70" s="9">
        <v>0</v>
      </c>
      <c r="D70" s="9">
        <v>0</v>
      </c>
      <c r="E70" s="9">
        <v>0</v>
      </c>
      <c r="F70" s="9">
        <v>0</v>
      </c>
      <c r="G70" s="14">
        <f t="shared" si="12"/>
        <v>0</v>
      </c>
      <c r="H70" s="13">
        <f t="shared" si="11"/>
        <v>0</v>
      </c>
      <c r="I70" s="9" t="e">
        <f t="shared" si="7"/>
        <v>#DIV/0!</v>
      </c>
      <c r="J70" s="9"/>
      <c r="K70" s="9"/>
      <c r="L70" s="9"/>
      <c r="M70" s="9"/>
      <c r="N70" s="9"/>
      <c r="O70" s="9"/>
      <c r="U70" s="7">
        <f t="shared" si="9"/>
        <v>0</v>
      </c>
      <c r="V70" s="8" t="str">
        <f t="shared" si="1"/>
      </c>
      <c r="W70" s="42" t="str">
        <f t="shared" si="3"/>
      </c>
    </row>
    <row r="71" spans="1:23" x14ac:dyDescent="0.25">
      <c r="A71" s="9"/>
      <c r="B71" s="9" t="inlineStr">
        <is>
          <t>15. Vida de ecosistemas terrestres</t>
        </is>
      </c>
      <c r="C71" s="9">
        <v>538.77576</v>
      </c>
      <c r="D71" s="9">
        <v>564.081912</v>
      </c>
      <c r="E71" s="9">
        <v>594.0002754</v>
      </c>
      <c r="F71" s="9">
        <v>617.760286416</v>
      </c>
      <c r="G71" s="14">
        <f t="shared" si="12"/>
        <v>0</v>
      </c>
      <c r="H71" s="13">
        <f t="shared" si="11"/>
        <v>0</v>
      </c>
      <c r="I71" s="9" t="e">
        <f t="shared" si="7"/>
        <v>#DIV/0!</v>
      </c>
      <c r="J71" s="9"/>
      <c r="K71" s="9"/>
      <c r="L71" s="9"/>
      <c r="M71" s="9"/>
      <c r="N71" s="9"/>
      <c r="O71" s="9"/>
      <c r="U71" s="7">
        <f t="shared" si="9"/>
        <v>0</v>
      </c>
      <c r="V71" s="8" t="str">
        <f t="shared" ref="V71:V75" si="13">IF(P71="","",INDEX(Q71:U71,MATCH($D$16,$C$23:$G$23,0)))</f>
      </c>
      <c r="W71" s="42" t="str">
        <f t="shared" si="3"/>
      </c>
    </row>
    <row r="72" spans="1:23" x14ac:dyDescent="0.25">
      <c r="A72" s="9"/>
      <c r="B72" s="9" t="inlineStr">
        <is>
          <t>16. Paz, justicia e instituciones sólidas</t>
        </is>
      </c>
      <c r="C72" s="9">
        <v>1450.5374001</v>
      </c>
      <c r="D72" s="9">
        <v>2262.12559095</v>
      </c>
      <c r="E72" s="9">
        <v>1599.2174836102</v>
      </c>
      <c r="F72" s="9">
        <v>1663.1861829546</v>
      </c>
      <c r="G72" s="14">
        <f t="shared" si="12"/>
        <v>0</v>
      </c>
      <c r="H72" s="13">
        <f t="shared" si="11"/>
        <v>0</v>
      </c>
      <c r="I72" s="9" t="e">
        <f t="shared" si="7"/>
        <v>#DIV/0!</v>
      </c>
      <c r="J72" s="9"/>
      <c r="K72" s="9"/>
      <c r="L72" s="9"/>
      <c r="M72" s="9"/>
      <c r="N72" s="9"/>
      <c r="O72" s="9"/>
      <c r="U72" s="7">
        <f t="shared" ref="U72:U73" si="14">SUM(Q72:T72)</f>
        <v>0</v>
      </c>
      <c r="V72" s="8" t="str">
        <f t="shared" si="13"/>
      </c>
      <c r="W72" s="42" t="str">
        <f t="shared" ref="W72:W75" si="15">IFERROR(IF(P72="","",CONCATENATE(TEXT(V72,$U$2)," (",TEXT(V72*100/$I$23,$U$3),"%)")),"")</f>
      </c>
    </row>
    <row r="73" spans="1:23" x14ac:dyDescent="0.25">
      <c r="A73" s="9"/>
      <c r="B73" s="9" t="inlineStr">
        <is>
          <t>17. Alianzas para lograr los objetivos</t>
        </is>
      </c>
      <c r="C73" s="9">
        <v>582.10688002</v>
      </c>
      <c r="D73" s="9">
        <v>267.737966</v>
      </c>
      <c r="E73" s="9">
        <v>641.7728352221</v>
      </c>
      <c r="F73" s="9">
        <v>667.4437486309</v>
      </c>
      <c r="G73" s="14">
        <f t="shared" si="12"/>
        <v>0</v>
      </c>
      <c r="H73" s="13">
        <f t="shared" si="11"/>
        <v>0</v>
      </c>
      <c r="I73" s="9" t="e">
        <f t="shared" si="7"/>
        <v>#DIV/0!</v>
      </c>
      <c r="J73" s="9"/>
      <c r="K73" s="9"/>
      <c r="L73" s="9"/>
      <c r="M73" s="9"/>
      <c r="N73" s="9"/>
      <c r="O73" s="9"/>
      <c r="U73" s="7">
        <f t="shared" si="14"/>
        <v>0</v>
      </c>
      <c r="V73" s="8" t="str">
        <f t="shared" si="13"/>
      </c>
      <c r="W73" s="42" t="str">
        <f t="shared" si="15"/>
      </c>
    </row>
    <row r="74" spans="1:23" x14ac:dyDescent="0.25">
      <c r="A74" s="9"/>
      <c r="B74" s="9"/>
      <c r="C74" s="9"/>
      <c r="D74" s="9"/>
      <c r="E74" s="9"/>
      <c r="F74" s="9"/>
      <c r="G74" s="9"/>
      <c r="H74" s="9"/>
      <c r="I74" s="9"/>
      <c r="J74" s="9"/>
      <c r="K74" s="9"/>
      <c r="L74" s="9"/>
      <c r="M74" s="9"/>
      <c r="N74" s="9"/>
      <c r="O74" s="9"/>
      <c r="U74" s="7">
        <f t="shared" ref="U74:U75" si="16">SUM(Q74:T74)</f>
        <v>0</v>
      </c>
      <c r="V74" s="8" t="str">
        <f t="shared" si="13"/>
      </c>
      <c r="W74" s="42" t="str">
        <f t="shared" si="15"/>
      </c>
    </row>
    <row r="75" spans="1:23" x14ac:dyDescent="0.25">
      <c r="K75" s="3"/>
      <c r="U75" s="7">
        <f t="shared" si="16"/>
        <v>0</v>
      </c>
      <c r="V75" s="8" t="str">
        <f t="shared" si="13"/>
      </c>
      <c r="W75" s="42" t="str">
        <f t="shared" si="15"/>
      </c>
    </row>
    <row r="76" spans="1:23" ht="17.25" x14ac:dyDescent="0.3">
      <c r="B76" s="11" t="str">
        <f>CONCATENATE("Seguimiento físico al Plan de Desarrollo - Vigencia ",$X$1)</f>
        <v>Seguimiento físico al Plan de Desarrollo - Vigencia (Dar clic en Habilitar Edición)</v>
      </c>
      <c r="C76" s="12"/>
      <c r="D76" s="12"/>
      <c r="E76" s="12"/>
      <c r="F76" s="12"/>
      <c r="G76" s="12"/>
      <c r="H76" s="12"/>
      <c r="I76" s="12"/>
      <c r="J76" s="12"/>
      <c r="K76" s="12"/>
      <c r="L76" s="12"/>
      <c r="M76" s="12"/>
    </row>
    <row r="77" spans="1:23" x14ac:dyDescent="0.25"/>
    <row r="78" spans="1:23" x14ac:dyDescent="0.25">
      <c r="B78" s="70" t="str">
        <f>CONCATENATE("El seguimiento físico se hace a nivel de código BPIN e indicador de producto, junto con su modo de acumulación respectivo. Esta información, consignada en SisPT, la contrastamos con la ejecución acumulada en PIIP al corte de la vigencia ",$X$1,", de los proyectos cuya entidad ejecutora es la entidad territorial en cuestión.")</f>
        <v>El seguimiento físico se hace a nivel de código BPIN e indicador de producto, junto con su modo de acumulación respectivo. Esta información, consignada en SisPT, la contrastamos con la ejecución acumulada en PIIP al corte de la vigencia (Dar clic en Habilitar Edición), de los proyectos cuya entidad ejecutora es la entidad territorial en cuestión.</v>
      </c>
      <c r="C78" s="70"/>
      <c r="D78" s="70"/>
      <c r="E78" s="70"/>
      <c r="F78" s="70"/>
      <c r="G78" s="70"/>
      <c r="H78" s="70"/>
      <c r="I78" s="70"/>
      <c r="J78" s="70"/>
      <c r="K78" s="70"/>
      <c r="L78" s="70"/>
      <c r="M78" s="70"/>
    </row>
    <row r="79" spans="1:23" ht="15.6" customHeight="1" x14ac:dyDescent="0.25">
      <c r="B79" s="70"/>
      <c r="C79" s="70"/>
      <c r="D79" s="70"/>
      <c r="E79" s="70"/>
      <c r="F79" s="70"/>
      <c r="G79" s="70"/>
      <c r="H79" s="70"/>
      <c r="I79" s="70"/>
      <c r="J79" s="70"/>
      <c r="K79" s="70"/>
      <c r="L79" s="70"/>
      <c r="M79" s="70"/>
    </row>
    <row r="80" spans="1:23" ht="15.6" customHeight="1" x14ac:dyDescent="0.25">
      <c r="B80" s="70" t="str">
        <f>CONCATENATE("En el Plan Indicativo del Presupuesto Ordinario de SisPT, la entidad cuenta con ",SUM(B95:B100)," combinaciones únicas de BPIN, indicador de producto, y modo de acumulación. El siguiente diagrama de Venn ilustra, en el lenguaje de teoría de conjuntos, el nivel de coincidencia en la información entre SisPT y PIIP:")</f>
        <v>En el Plan Indicativo del Presupuesto Ordinario de SisPT, la entidad cuenta con 0 combinaciones únicas de BPIN, indicador de producto, y modo de acumulación. El siguiente diagrama de Venn ilustra, en el lenguaje de teoría de conjuntos, el nivel de coincidencia en la información entre SisPT y PIIP:</v>
      </c>
      <c r="C80" s="70"/>
      <c r="D80" s="70"/>
      <c r="E80" s="70"/>
      <c r="F80" s="70"/>
      <c r="G80" s="70"/>
      <c r="H80" s="70"/>
      <c r="I80" s="70"/>
      <c r="J80" s="70"/>
      <c r="K80" s="70"/>
      <c r="L80" s="70"/>
      <c r="M80" s="70"/>
    </row>
    <row r="81" spans="2:20" ht="15.6" customHeight="1" x14ac:dyDescent="0.25">
      <c r="B81" s="70"/>
      <c r="C81" s="70"/>
      <c r="D81" s="70"/>
      <c r="E81" s="70"/>
      <c r="F81" s="70"/>
      <c r="G81" s="70"/>
      <c r="H81" s="70"/>
      <c r="I81" s="70"/>
      <c r="J81" s="70"/>
      <c r="K81" s="70"/>
      <c r="L81" s="70"/>
      <c r="M81" s="70"/>
    </row>
    <row r="82" spans="2:20" ht="15.6" customHeight="1" x14ac:dyDescent="0.25">
      <c r="F82" s="10"/>
      <c r="G82" s="10"/>
      <c r="H82" s="10"/>
      <c r="I82" s="10"/>
      <c r="J82" s="10"/>
      <c r="K82" s="10"/>
      <c r="L82" s="10"/>
      <c r="M82" s="10"/>
    </row>
    <row r="83" spans="2:20" ht="15.6" customHeight="1" x14ac:dyDescent="0.25">
      <c r="F83" s="10"/>
      <c r="G83" s="10"/>
      <c r="H83" s="10"/>
      <c r="I83" s="10"/>
      <c r="J83" s="10"/>
      <c r="K83" s="10"/>
      <c r="L83" s="10"/>
      <c r="M83" s="10"/>
    </row>
    <row r="84" spans="2:20" ht="15.6" customHeight="1" x14ac:dyDescent="0.25">
      <c r="D84" s="71" t="s">
        <v>82</v>
      </c>
      <c r="E84" s="71"/>
      <c r="F84" s="33"/>
      <c r="G84" s="33"/>
      <c r="H84" s="33"/>
      <c r="I84" s="34"/>
      <c r="J84" s="74" t="s">
        <v>88</v>
      </c>
      <c r="K84" s="74"/>
      <c r="L84" s="10"/>
      <c r="M84" s="10"/>
    </row>
    <row r="85" spans="2:20" ht="15.6" customHeight="1" x14ac:dyDescent="0.25">
      <c r="D85" s="68" t="str">
        <f>CONCATENATE(SUM(Q92:Q93)," combinaciones BPIN-Ind. Producto-Tipo Acumulación")</f>
        <v>0 combinaciones BPIN-Ind. Producto-Tipo Acumulación</v>
      </c>
      <c r="E85" s="68"/>
      <c r="F85" s="33"/>
      <c r="G85" s="33"/>
      <c r="H85" s="33"/>
      <c r="I85" s="34"/>
      <c r="J85" s="68" t="str">
        <f>CONCATENATE(SUM(Q93:Q94)," combinaciones BPIN-Ind. Producto-Tipo Acumulación")</f>
        <v>0 combinaciones BPIN-Ind. Producto-Tipo Acumulación</v>
      </c>
      <c r="K85" s="68"/>
      <c r="L85" s="10"/>
      <c r="M85" s="10"/>
    </row>
    <row r="86" spans="2:20" ht="15.6" customHeight="1" x14ac:dyDescent="0.25">
      <c r="D86" s="68"/>
      <c r="E86" s="68"/>
      <c r="F86" s="33"/>
      <c r="G86" s="33"/>
      <c r="H86" s="33"/>
      <c r="I86" s="34"/>
      <c r="J86" s="68"/>
      <c r="K86" s="68"/>
      <c r="L86" s="10"/>
      <c r="M86" s="10"/>
    </row>
    <row r="87" spans="2:20" ht="15.6" customHeight="1" x14ac:dyDescent="0.3">
      <c r="D87" s="68"/>
      <c r="E87" s="68"/>
      <c r="F87" s="33"/>
      <c r="G87" s="33"/>
      <c r="H87" s="33"/>
      <c r="I87" s="34"/>
      <c r="J87" s="68"/>
      <c r="K87" s="68"/>
      <c r="L87" s="10"/>
      <c r="M87" s="10"/>
      <c r="T87" s="49"/>
    </row>
    <row r="88" spans="2:20" ht="15.6" customHeight="1" x14ac:dyDescent="0.25">
      <c r="D88" s="15"/>
      <c r="E88" s="10"/>
      <c r="F88" s="10"/>
      <c r="G88" s="10"/>
      <c r="H88" s="10"/>
      <c r="J88" s="10"/>
      <c r="K88" s="10"/>
      <c r="L88" s="10"/>
      <c r="M88" s="10"/>
    </row>
    <row r="89" spans="2:20" ht="15.6" customHeight="1" x14ac:dyDescent="0.25">
      <c r="D89" s="15"/>
      <c r="E89" s="10"/>
      <c r="F89" s="10"/>
      <c r="G89" s="10"/>
      <c r="H89" s="10"/>
      <c r="J89" s="10"/>
      <c r="K89" s="10"/>
      <c r="L89" s="10"/>
      <c r="M89" s="10"/>
    </row>
    <row r="90" spans="2:20" ht="15.6" customHeight="1" x14ac:dyDescent="0.25">
      <c r="D90" s="10"/>
      <c r="E90" s="10"/>
      <c r="F90" s="10"/>
      <c r="G90" s="10"/>
      <c r="H90" s="10"/>
      <c r="I90" s="2"/>
      <c r="J90" s="10"/>
      <c r="K90" s="10"/>
      <c r="L90" s="10"/>
      <c r="M90" s="10"/>
    </row>
    <row r="91" spans="2:20" ht="15.6" customHeight="1" x14ac:dyDescent="0.25">
      <c r="B91" s="62"/>
      <c r="C91" s="63"/>
      <c r="F91" s="10"/>
      <c r="G91" s="10"/>
      <c r="H91" s="10"/>
      <c r="I91" s="2"/>
      <c r="J91" s="10"/>
      <c r="K91" s="10"/>
      <c r="L91" s="10"/>
      <c r="M91" s="10"/>
    </row>
    <row r="92" spans="2:20" ht="15.6" customHeight="1" x14ac:dyDescent="0.25">
      <c r="B92" s="75" t="str">
        <f>CONCATENATE("El diagrama de Venn muestra que hay ",SUM(B95:B99)," combinaciones en el Plan Indicativo de SisPT que no tienen seguimiento físico en PIIP. Las siguientes tabla y gráfica muestran las distintas razones por las que esas combinaciones no pudieron rastrearse en PIIP, junto con las ",R93,".")</f>
        <v>El diagrama de Venn muestra que hay 0 combinaciones en el Plan Indicativo de SisPT que no tienen seguimiento físico en PIIP. Las siguientes tabla y gráfica muestran las distintas razones por las que esas combinaciones no pudieron rastrearse en PIIP, junto con las 0 coincidencias.</v>
      </c>
      <c r="C92" s="75"/>
      <c r="D92" s="75"/>
      <c r="E92" s="75"/>
      <c r="F92" s="75"/>
      <c r="G92" s="75"/>
      <c r="H92" s="75"/>
      <c r="I92" s="75"/>
      <c r="J92" s="75"/>
      <c r="K92" s="75"/>
      <c r="L92" s="75"/>
      <c r="M92" s="75"/>
      <c r="P92" s="1" t="s">
        <v>79</v>
      </c>
      <c r="Q92" s="1">
        <f>SUM(B95:B99)</f>
        <v>0</v>
      </c>
    </row>
    <row r="93" spans="2:20" ht="15.6" customHeight="1" x14ac:dyDescent="0.25">
      <c r="B93" s="75"/>
      <c r="C93" s="75"/>
      <c r="D93" s="75"/>
      <c r="E93" s="75"/>
      <c r="F93" s="75"/>
      <c r="G93" s="75"/>
      <c r="H93" s="75"/>
      <c r="I93" s="75"/>
      <c r="J93" s="75"/>
      <c r="K93" s="75"/>
      <c r="L93" s="75"/>
      <c r="M93" s="75"/>
      <c r="P93" s="1" t="s">
        <v>80</v>
      </c>
      <c r="Q93" s="1">
        <f>B100</f>
        <v>0</v>
      </c>
      <c r="R93" s="1" t="str">
        <f>IF(Q93=1,CONCATENATE(Q93," coincidencia"),CONCATENATE(Q93," coincidencias"))</f>
        <v>0 coincidencias</v>
      </c>
    </row>
    <row r="94" spans="2:20" ht="15.6" customHeight="1" x14ac:dyDescent="0.25">
      <c r="B94" s="17"/>
      <c r="C94" s="10"/>
      <c r="L94" s="10"/>
      <c r="M94" s="10"/>
      <c r="P94" s="1" t="s">
        <v>89</v>
      </c>
      <c r="Q94" s="1">
        <f>B101</f>
        <v>0</v>
      </c>
    </row>
    <row r="95" spans="2:20" ht="15.6" customHeight="1" x14ac:dyDescent="0.25">
      <c r="B95" s="21">
        <v>0</v>
      </c>
      <c r="C95" s="22" t="s">
        <v>76</v>
      </c>
      <c r="L95" s="10"/>
      <c r="M95" s="10"/>
    </row>
    <row r="96" spans="2:20" ht="15.6" customHeight="1" x14ac:dyDescent="0.25">
      <c r="B96" s="23">
        <v>243</v>
      </c>
      <c r="C96" s="22" t="s">
        <v>77</v>
      </c>
    </row>
    <row r="97" spans="2:18" ht="15.6" customHeight="1" x14ac:dyDescent="0.25">
      <c r="B97" s="24">
        <v>28</v>
      </c>
      <c r="C97" s="22" t="s">
        <v>87</v>
      </c>
    </row>
    <row r="98" spans="2:18" ht="15.6" customHeight="1" x14ac:dyDescent="0.25">
      <c r="B98" s="25">
        <v>0</v>
      </c>
      <c r="C98" s="22" t="s">
        <v>91</v>
      </c>
      <c r="D98" s="10"/>
      <c r="E98" s="10"/>
      <c r="F98" s="10"/>
      <c r="G98" s="10"/>
      <c r="H98" s="10"/>
      <c r="I98" s="2"/>
      <c r="J98" s="10"/>
      <c r="K98" s="10"/>
      <c r="L98" s="10"/>
      <c r="M98" s="10"/>
    </row>
    <row r="99" spans="2:18" ht="15.6" customHeight="1" x14ac:dyDescent="0.25">
      <c r="B99" s="26">
        <v>5</v>
      </c>
      <c r="C99" s="22" t="s">
        <v>78</v>
      </c>
      <c r="D99" s="10"/>
      <c r="E99" s="10"/>
      <c r="F99" s="10"/>
      <c r="G99" s="10"/>
      <c r="H99" s="10"/>
      <c r="I99" s="2"/>
      <c r="J99" s="10"/>
      <c r="K99" s="10"/>
      <c r="L99" s="10"/>
      <c r="M99" s="10"/>
    </row>
    <row r="100" spans="2:18" ht="15.6" customHeight="1" x14ac:dyDescent="0.25">
      <c r="B100" s="27">
        <v>7</v>
      </c>
      <c r="C100" s="22" t="s">
        <v>92</v>
      </c>
      <c r="D100" s="56"/>
      <c r="E100" s="56"/>
      <c r="F100" s="56"/>
      <c r="G100" s="56"/>
      <c r="H100" s="56"/>
      <c r="I100" s="56"/>
      <c r="J100" s="56"/>
      <c r="K100" s="56"/>
      <c r="L100" s="56"/>
      <c r="M100" s="56"/>
    </row>
    <row r="101" spans="2:18" ht="15.6" customHeight="1" x14ac:dyDescent="0.25">
      <c r="B101" s="17">
        <v>9</v>
      </c>
      <c r="C101" s="63"/>
    </row>
    <row r="102" spans="2:18" ht="15.6" customHeight="1" x14ac:dyDescent="0.25">
      <c r="B102" s="75" t="s">
        <v>130</v>
      </c>
      <c r="C102" s="75"/>
      <c r="D102" s="75"/>
      <c r="E102" s="75"/>
      <c r="F102" s="75"/>
      <c r="G102" s="75"/>
      <c r="H102" s="75"/>
      <c r="I102" s="75"/>
      <c r="J102" s="75"/>
      <c r="K102" s="75"/>
      <c r="L102" s="75"/>
      <c r="M102" s="75"/>
    </row>
    <row r="103" spans="2:18" ht="15.6" customHeight="1" x14ac:dyDescent="0.25">
      <c r="B103" s="75"/>
      <c r="C103" s="75"/>
      <c r="D103" s="75"/>
      <c r="E103" s="75"/>
      <c r="F103" s="75"/>
      <c r="G103" s="75"/>
      <c r="H103" s="75"/>
      <c r="I103" s="75"/>
      <c r="J103" s="75"/>
      <c r="K103" s="75"/>
      <c r="L103" s="75"/>
      <c r="M103" s="75"/>
    </row>
    <row r="104" spans="2:18" ht="15.6" customHeight="1" x14ac:dyDescent="0.25">
      <c r="B104" s="10"/>
      <c r="C104" s="10"/>
      <c r="D104" s="10"/>
      <c r="E104" s="10"/>
      <c r="F104" s="10"/>
      <c r="G104" s="10"/>
      <c r="H104" s="10"/>
      <c r="I104" s="10"/>
      <c r="J104" s="10"/>
      <c r="K104" s="10"/>
      <c r="L104" s="10"/>
      <c r="M104" s="10"/>
    </row>
    <row r="105" spans="2:18" x14ac:dyDescent="0.25"/>
    <row r="106" spans="2:18" ht="17.25" x14ac:dyDescent="0.3">
      <c r="B106" s="11" t="str">
        <f>CONCATENATE("Seguimiento financiero al Plan de Desarrollo - Vigencia ",$X$1)</f>
        <v>Seguimiento financiero al Plan de Desarrollo - Vigencia (Dar clic en Habilitar Edición)</v>
      </c>
      <c r="C106" s="12"/>
      <c r="D106" s="12"/>
      <c r="E106" s="12"/>
      <c r="F106" s="12"/>
      <c r="G106" s="12"/>
      <c r="H106" s="12"/>
      <c r="I106" s="12"/>
      <c r="J106" s="12"/>
      <c r="K106" s="12"/>
      <c r="L106" s="12"/>
      <c r="M106" s="12"/>
    </row>
    <row r="107" spans="2:18" x14ac:dyDescent="0.25"/>
    <row r="108" spans="2:18" x14ac:dyDescent="0.25">
      <c r="B108" s="70" t="str">
        <f>CONCATENATE(_xlfn._LONGTEXT("El seguimiento financiero se hace a nivel de código BPIN y producto. Note que el seguimiento financiero no se hace a nivel de indicador de producto. Esta información, consignada en SisPT, la contrastamos con los reportes de ejecución en CUIPO hasta el cie","rre de la vigencia "),$X$1,".")</f>
        <v>El seguimiento financiero se hace a nivel de código BPIN y producto. Note que el seguimiento financiero no se hace a nivel de indicador de producto. Esta información, consignada en SisPT, la contrastamos con los reportes de ejecución en CUIPO hasta el cierre de la vigencia (Dar clic en Habilitar Edición).</v>
      </c>
      <c r="C108" s="70"/>
      <c r="D108" s="70"/>
      <c r="E108" s="70"/>
      <c r="F108" s="70"/>
      <c r="G108" s="70"/>
      <c r="H108" s="70"/>
      <c r="I108" s="70"/>
      <c r="J108" s="70"/>
      <c r="K108" s="70"/>
      <c r="L108" s="70"/>
      <c r="M108" s="70"/>
    </row>
    <row r="109" spans="2:18" x14ac:dyDescent="0.25">
      <c r="B109" s="70"/>
      <c r="C109" s="70"/>
      <c r="D109" s="70"/>
      <c r="E109" s="70"/>
      <c r="F109" s="70"/>
      <c r="G109" s="70"/>
      <c r="H109" s="70"/>
      <c r="I109" s="70"/>
      <c r="J109" s="70"/>
      <c r="K109" s="70"/>
      <c r="L109" s="70"/>
      <c r="M109" s="70"/>
      <c r="P109" s="1" t="s">
        <v>79</v>
      </c>
      <c r="Q109" s="1">
        <v>135</v>
      </c>
    </row>
    <row r="110" spans="2:18" x14ac:dyDescent="0.25">
      <c r="B110" s="70" t="str">
        <f>CONCATENATE("En el Plan Indicativo del Presupuesto Ordinario de SisPT, la entidad cuenta con ",R110," combinaciones únicas de BPIN y producto. El siguiente diagrama de Venn ilustra, en el lenguaje de teoría de conjuntos, el nivel de coincidencia en la información entre SisPT y CUIPO:")</f>
        <v>En el Plan Indicativo del Presupuesto Ordinario de SisPT, la entidad cuenta con 0 coincidencias combinaciones únicas de BPIN y producto. El siguiente diagrama de Venn ilustra, en el lenguaje de teoría de conjuntos, el nivel de coincidencia en la información entre SisPT y CUIPO:</v>
      </c>
      <c r="C110" s="70"/>
      <c r="D110" s="70"/>
      <c r="E110" s="70"/>
      <c r="F110" s="70"/>
      <c r="G110" s="70"/>
      <c r="H110" s="70"/>
      <c r="I110" s="70"/>
      <c r="J110" s="70"/>
      <c r="K110" s="70"/>
      <c r="L110" s="70"/>
      <c r="M110" s="70"/>
      <c r="P110" s="1" t="s">
        <v>80</v>
      </c>
      <c r="Q110" s="1">
        <v>107</v>
      </c>
      <c r="R110" s="1" t="str">
        <f>IF(Q110=1,CONCATENATE(Q110," coincidencia"),CONCATENATE(Q110," coincidencias"))</f>
        <v>0 coincidencias</v>
      </c>
    </row>
    <row r="111" spans="2:18" x14ac:dyDescent="0.25">
      <c r="B111" s="70"/>
      <c r="C111" s="70"/>
      <c r="D111" s="70"/>
      <c r="E111" s="70"/>
      <c r="F111" s="70"/>
      <c r="G111" s="70"/>
      <c r="H111" s="70"/>
      <c r="I111" s="70"/>
      <c r="J111" s="70"/>
      <c r="K111" s="70"/>
      <c r="L111" s="70"/>
      <c r="M111" s="70"/>
      <c r="P111" s="1" t="s">
        <v>81</v>
      </c>
      <c r="Q111" s="1">
        <v>110</v>
      </c>
    </row>
    <row r="112" spans="2:18" x14ac:dyDescent="0.25"/>
    <row r="113" spans="2:13" x14ac:dyDescent="0.25"/>
    <row r="114" spans="2:13" x14ac:dyDescent="0.25">
      <c r="D114" s="71" t="s">
        <v>82</v>
      </c>
      <c r="E114" s="71"/>
      <c r="F114" s="32"/>
      <c r="G114" s="32"/>
      <c r="H114" s="32"/>
      <c r="I114" s="32"/>
      <c r="J114" s="73" t="s">
        <v>83</v>
      </c>
      <c r="K114" s="73"/>
    </row>
    <row r="115" spans="2:13" x14ac:dyDescent="0.25">
      <c r="D115" s="72" t="str">
        <f>CONCATENATE(SUM(Q109:Q110)," combinaciones BPIN-Producto")</f>
        <v>0 combinaciones BPIN-Producto</v>
      </c>
      <c r="E115" s="72"/>
      <c r="F115" s="32"/>
      <c r="G115" s="32"/>
      <c r="H115" s="32"/>
      <c r="I115" s="32"/>
      <c r="J115" s="72" t="str">
        <f>CONCATENATE(SUM(Q110:Q111)," combinaciones BPIN-Producto")</f>
        <v>0 combinaciones BPIN-Producto</v>
      </c>
      <c r="K115" s="72"/>
    </row>
    <row r="116" spans="2:13" x14ac:dyDescent="0.25">
      <c r="D116" s="72"/>
      <c r="E116" s="72"/>
      <c r="F116" s="32"/>
      <c r="G116" s="32"/>
      <c r="H116" s="32"/>
      <c r="I116" s="32"/>
      <c r="J116" s="72"/>
      <c r="K116" s="72"/>
    </row>
    <row r="117" spans="2:13" x14ac:dyDescent="0.25"/>
    <row r="118" spans="2:13" x14ac:dyDescent="0.25"/>
    <row r="119" spans="2:13" x14ac:dyDescent="0.25"/>
    <row r="120" spans="2:13" x14ac:dyDescent="0.25"/>
    <row r="121" spans="2:13" x14ac:dyDescent="0.25"/>
    <row r="122" spans="2:13" x14ac:dyDescent="0.25"/>
    <row r="123" spans="2:13" x14ac:dyDescent="0.25">
      <c r="B123" s="69" t="s">
        <v>90</v>
      </c>
      <c r="C123" s="69"/>
      <c r="D123" s="69"/>
      <c r="E123" s="69"/>
      <c r="F123" s="69"/>
      <c r="G123" s="69"/>
      <c r="H123" s="69"/>
      <c r="I123" s="69"/>
      <c r="J123" s="69"/>
      <c r="K123" s="69"/>
      <c r="L123" s="69"/>
      <c r="M123" s="69"/>
    </row>
    <row r="124" spans="2:13" x14ac:dyDescent="0.25">
      <c r="B124" s="69"/>
      <c r="C124" s="69"/>
      <c r="D124" s="69"/>
      <c r="E124" s="69"/>
      <c r="F124" s="69"/>
      <c r="G124" s="69"/>
      <c r="H124" s="69"/>
      <c r="I124" s="69"/>
      <c r="J124" s="69"/>
      <c r="K124" s="69"/>
      <c r="L124" s="69"/>
      <c r="M124" s="69"/>
    </row>
    <row r="125" spans="2:13" ht="14.45" customHeight="1" x14ac:dyDescent="0.25">
      <c r="B125" s="56"/>
      <c r="C125" s="56"/>
      <c r="D125" s="56"/>
      <c r="E125" s="56"/>
      <c r="F125" s="56"/>
      <c r="G125" s="56"/>
      <c r="H125" s="56"/>
      <c r="I125" s="56"/>
      <c r="J125" s="56"/>
      <c r="K125" s="56"/>
      <c r="L125" s="56"/>
      <c r="M125" s="56"/>
    </row>
    <row r="126" spans="2:13" x14ac:dyDescent="0.25">
      <c r="B126" s="75" t="s">
        <v>129</v>
      </c>
      <c r="C126" s="75"/>
      <c r="D126" s="75"/>
      <c r="E126" s="75"/>
      <c r="F126" s="75"/>
      <c r="G126" s="75"/>
      <c r="H126" s="75"/>
      <c r="I126" s="75"/>
      <c r="J126" s="75"/>
      <c r="K126" s="75"/>
      <c r="L126" s="75"/>
      <c r="M126" s="75"/>
    </row>
    <row r="127" spans="2:13" x14ac:dyDescent="0.25">
      <c r="B127" s="75"/>
      <c r="C127" s="75"/>
      <c r="D127" s="75"/>
      <c r="E127" s="75"/>
      <c r="F127" s="75"/>
      <c r="G127" s="75"/>
      <c r="H127" s="75"/>
      <c r="I127" s="75"/>
      <c r="J127" s="75"/>
      <c r="K127" s="75"/>
      <c r="L127" s="75"/>
      <c r="M127" s="75"/>
    </row>
    <row r="128" spans="2:13" x14ac:dyDescent="0.25"/>
    <row r="129" spans="1:17" x14ac:dyDescent="0.25"/>
    <row r="130" spans="1:17" ht="17.25" x14ac:dyDescent="0.3">
      <c r="B130" s="11" t="str">
        <f>CONCATENATE("Intersección entre plataformas - Vigencia ",$X$1)</f>
        <v>Intersección entre plataformas - Vigencia (Dar clic en Habilitar Edición)</v>
      </c>
      <c r="C130" s="12"/>
      <c r="D130" s="12"/>
      <c r="E130" s="12"/>
      <c r="F130" s="12"/>
      <c r="G130" s="12"/>
      <c r="H130" s="12"/>
      <c r="I130" s="12"/>
      <c r="J130" s="12"/>
      <c r="K130" s="12"/>
      <c r="L130" s="12"/>
      <c r="M130" s="12"/>
    </row>
    <row r="131" spans="1:17" x14ac:dyDescent="0.25"/>
    <row r="132" spans="1:17" x14ac:dyDescent="0.25">
      <c r="B132" s="70" t="s">
        <v>93</v>
      </c>
      <c r="C132" s="70"/>
      <c r="D132" s="70"/>
      <c r="E132" s="70"/>
      <c r="F132" s="70"/>
      <c r="G132" s="70"/>
      <c r="H132" s="70"/>
      <c r="I132" s="70"/>
      <c r="J132" s="70"/>
      <c r="K132" s="70"/>
      <c r="L132" s="70"/>
      <c r="M132" s="70"/>
    </row>
    <row r="133" spans="1:17" x14ac:dyDescent="0.25">
      <c r="B133" s="70"/>
      <c r="C133" s="70"/>
      <c r="D133" s="70"/>
      <c r="E133" s="70"/>
      <c r="F133" s="70"/>
      <c r="G133" s="70"/>
      <c r="H133" s="70"/>
      <c r="I133" s="70"/>
      <c r="J133" s="70"/>
      <c r="K133" s="70"/>
      <c r="L133" s="70"/>
      <c r="M133" s="70"/>
    </row>
    <row r="134" spans="1:17" x14ac:dyDescent="0.25"/>
    <row r="135" spans="1:17" x14ac:dyDescent="0.25">
      <c r="B135" s="39" t="s">
        <v>82</v>
      </c>
      <c r="C135" s="44"/>
      <c r="G135" s="40" t="s">
        <v>83</v>
      </c>
      <c r="I135" s="70" t="s">
        <v>94</v>
      </c>
      <c r="J135" s="70"/>
      <c r="K135" s="70"/>
      <c r="L135" s="70"/>
      <c r="M135" s="84">
        <f>SUM(Q135:Q141)</f>
        <v>0</v>
      </c>
      <c r="P135" s="1" t="s">
        <v>97</v>
      </c>
      <c r="Q135">
        <v>110</v>
      </c>
    </row>
    <row r="136" spans="1:17" x14ac:dyDescent="0.25">
      <c r="B136" s="45">
        <f>Q137+Q139+Q140+Q141</f>
        <v>0</v>
      </c>
      <c r="G136" s="45">
        <f>Q135+Q138+Q139+Q141</f>
        <v>0</v>
      </c>
      <c r="I136" s="70"/>
      <c r="J136" s="70"/>
      <c r="K136" s="70"/>
      <c r="L136" s="70"/>
      <c r="M136" s="85"/>
      <c r="P136" s="1" t="s">
        <v>98</v>
      </c>
      <c r="Q136">
        <v>2</v>
      </c>
    </row>
    <row r="137" spans="1:17" x14ac:dyDescent="0.25">
      <c r="I137" s="28"/>
      <c r="J137" s="28"/>
      <c r="K137" s="28"/>
      <c r="L137" s="28"/>
      <c r="M137" s="28"/>
      <c r="P137" s="1" t="s">
        <v>99</v>
      </c>
      <c r="Q137">
        <v>131</v>
      </c>
    </row>
    <row r="138" spans="1:17" x14ac:dyDescent="0.25">
      <c r="I138" s="70" t="s">
        <v>95</v>
      </c>
      <c r="J138" s="70"/>
      <c r="K138" s="70"/>
      <c r="L138" s="70"/>
      <c r="M138" s="84">
        <f>Q141</f>
        <v>0</v>
      </c>
      <c r="P138" s="1" t="s">
        <v>100</v>
      </c>
      <c r="Q138">
        <v>0</v>
      </c>
    </row>
    <row r="139" spans="1:17" x14ac:dyDescent="0.25">
      <c r="I139" s="70"/>
      <c r="J139" s="70"/>
      <c r="K139" s="70"/>
      <c r="L139" s="70"/>
      <c r="M139" s="85"/>
      <c r="P139" s="1" t="s">
        <v>101</v>
      </c>
      <c r="Q139">
        <v>97</v>
      </c>
    </row>
    <row r="140" spans="1:17" x14ac:dyDescent="0.25">
      <c r="I140" s="28"/>
      <c r="J140" s="28"/>
      <c r="K140" s="28"/>
      <c r="L140" s="28"/>
      <c r="M140" s="28"/>
      <c r="P140" s="1" t="s">
        <v>102</v>
      </c>
      <c r="Q140">
        <v>4</v>
      </c>
    </row>
    <row r="141" spans="1:17" x14ac:dyDescent="0.25">
      <c r="I141" s="70" t="s">
        <v>96</v>
      </c>
      <c r="J141" s="70"/>
      <c r="K141" s="70"/>
      <c r="L141" s="70"/>
      <c r="M141" s="86" t="str">
        <f>IFERROR(M138/M135,"-")</f>
        <v>-</v>
      </c>
      <c r="P141" s="1" t="s">
        <v>103</v>
      </c>
      <c r="Q141">
        <v>10</v>
      </c>
    </row>
    <row r="142" spans="1:17" x14ac:dyDescent="0.25">
      <c r="I142" s="70"/>
      <c r="J142" s="70"/>
      <c r="K142" s="70"/>
      <c r="L142" s="70"/>
      <c r="M142" s="87"/>
    </row>
    <row r="143" spans="1:17" x14ac:dyDescent="0.25"/>
    <row r="144" spans="1:17" x14ac:dyDescent="0.25">
      <c r="A144" s="43"/>
      <c r="H144" s="69" t="str">
        <f>CONCATENATE(_xlfn._LONGTEXT("Notas: Si algún producto no tiene código BPIN en SisPT o en CUIPO, la información no se cruza. Si en cualquiera de las tres plataformas hay información de identificación duplicada (esto es, mismo código de producto y mismo código BPIN), la información se ","agrega y se considera como una sola combinación. La información presentada en este diagrama corresponde únicamente a CUIPO y PIIP, vigencias "),$Z$1," y ",$X$1,".")</f>
        <v>Notas: Si algún producto no tiene código BPIN en SisPT o en CUIPO, la información no se cruza. Si en cualquiera de las tres plataformas hay información de identificación duplicada (esto es, mismo código de producto y mismo código BPIN), la información se agrega y se considera como una sola combinación. La información presentada en este diagrama corresponde únicamente a CUIPO y PIIP, vigencias 2024, 2025, 2026 y (Dar clic en Habilitar Edición).</v>
      </c>
      <c r="I144" s="69"/>
      <c r="J144" s="69"/>
      <c r="K144" s="69"/>
      <c r="L144" s="69"/>
      <c r="M144" s="69"/>
    </row>
    <row r="145" spans="1:13" x14ac:dyDescent="0.25">
      <c r="H145" s="69"/>
      <c r="I145" s="69"/>
      <c r="J145" s="69"/>
      <c r="K145" s="69"/>
      <c r="L145" s="69"/>
      <c r="M145" s="69"/>
    </row>
    <row r="146" spans="1:13" x14ac:dyDescent="0.25">
      <c r="H146" s="69"/>
      <c r="I146" s="69"/>
      <c r="J146" s="69"/>
      <c r="K146" s="69"/>
      <c r="L146" s="69"/>
      <c r="M146" s="69"/>
    </row>
    <row r="147" spans="1:13" x14ac:dyDescent="0.25">
      <c r="H147" s="69"/>
      <c r="I147" s="69"/>
      <c r="J147" s="69"/>
      <c r="K147" s="69"/>
      <c r="L147" s="69"/>
      <c r="M147" s="69"/>
    </row>
    <row r="148" spans="1:13" x14ac:dyDescent="0.25">
      <c r="H148" s="69"/>
      <c r="I148" s="69"/>
      <c r="J148" s="69"/>
      <c r="K148" s="69"/>
      <c r="L148" s="69"/>
      <c r="M148" s="69"/>
    </row>
    <row r="149" spans="1:13" x14ac:dyDescent="0.25">
      <c r="B149" s="41" t="s">
        <v>88</v>
      </c>
    </row>
    <row r="150" spans="1:13" x14ac:dyDescent="0.25">
      <c r="B150" s="45">
        <f>Q136+Q138+Q140+Q141</f>
        <v>0</v>
      </c>
    </row>
    <row r="151" spans="1:13" x14ac:dyDescent="0.25"/>
    <row r="152" spans="1:13" x14ac:dyDescent="0.25"/>
    <row r="153" spans="1:13" x14ac:dyDescent="0.25"/>
    <row r="154" spans="1:13" x14ac:dyDescent="0.25">
      <c r="A154" s="9" t="s">
        <v>104</v>
      </c>
    </row>
  </sheetData>
  <sheetProtection sheet="1" objects="1" scenarios="1" selectLockedCells="1"/>
  <mergeCells count="31">
    <mergeCell ref="B126:M127"/>
    <mergeCell ref="H144:M148"/>
    <mergeCell ref="B132:M133"/>
    <mergeCell ref="I135:L136"/>
    <mergeCell ref="I138:L139"/>
    <mergeCell ref="I141:L142"/>
    <mergeCell ref="M135:M136"/>
    <mergeCell ref="M138:M139"/>
    <mergeCell ref="M141:M142"/>
    <mergeCell ref="B18:G18"/>
    <mergeCell ref="B9:M10"/>
    <mergeCell ref="C3:L4"/>
    <mergeCell ref="B5:M5"/>
    <mergeCell ref="D1:K1"/>
    <mergeCell ref="B16:C16"/>
    <mergeCell ref="D16:E16"/>
    <mergeCell ref="J85:K87"/>
    <mergeCell ref="B123:M124"/>
    <mergeCell ref="B78:M79"/>
    <mergeCell ref="B80:M81"/>
    <mergeCell ref="B108:M109"/>
    <mergeCell ref="B110:M111"/>
    <mergeCell ref="D114:E114"/>
    <mergeCell ref="D115:E116"/>
    <mergeCell ref="J114:K114"/>
    <mergeCell ref="J115:K116"/>
    <mergeCell ref="J84:K84"/>
    <mergeCell ref="D84:E84"/>
    <mergeCell ref="D85:E87"/>
    <mergeCell ref="B102:M103"/>
    <mergeCell ref="B92:M93"/>
  </mergeCells>
  <dataValidations count="1">
    <dataValidation type="list" allowBlank="1" showInputMessage="1" showErrorMessage="1" sqref="D16:E16" xr:uid="{BBAEDDF8-4856-4087-9493-2C8D4B7CE128}">
      <formula1>$Q$1:$Q$5</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2EF"/>
  </sheetPr>
  <dimension ref="A1:X250"/>
  <sheetViews>
    <sheetView showGridLines="0" zoomScale="85" zoomScaleNormal="85" workbookViewId="0">
      <selection activeCell="A7" sqref="A7"/>
    </sheetView>
  </sheetViews>
  <sheetFormatPr baseColWidth="10" defaultColWidth="11.42578125" defaultRowHeight="15" x14ac:dyDescent="0.25"/>
  <cols>
    <col min="1" max="1" width="13.42578125" customWidth="1"/>
    <col min="2" max="2" width="9" customWidth="1"/>
    <col min="3" max="3" width="19.28515625" customWidth="1"/>
    <col min="4" max="4" width="10.7109375" customWidth="1"/>
    <col min="5" max="5" width="19.28515625" customWidth="1"/>
    <col min="6" max="6" width="10.42578125" customWidth="1"/>
    <col min="7" max="7" width="19.28515625" customWidth="1"/>
    <col min="8" max="8" width="23.140625" customWidth="1"/>
    <col min="9" max="9" width="17.7109375" customWidth="1"/>
    <col min="10" max="10" width="13.7109375" customWidth="1"/>
    <col min="11" max="14" width="16" style="37" customWidth="1"/>
    <col min="15" max="17" width="14.5703125" style="37" customWidth="1"/>
    <col min="18" max="18" width="16" style="38" customWidth="1"/>
    <col min="19" max="19" width="27.5703125" customWidth="1"/>
    <col min="20" max="22" width="14.5703125" customWidth="1"/>
    <col min="23" max="23" width="16" customWidth="1"/>
    <col min="24" max="24" width="27.5703125" customWidth="1"/>
  </cols>
  <sheetData>
    <row r="1" spans="1:24" s="20" ht="26.25" customFormat="1" x14ac:dyDescent="0.3">
      <c r="A1" s="31" t="s">
        <v>107</v>
      </c>
      <c r="B1" s="4"/>
      <c r="C1" s="4"/>
      <c r="D1" s="4"/>
      <c r="E1" s="4"/>
      <c r="F1" s="4"/>
      <c r="G1" s="4"/>
      <c r="H1" s="4"/>
      <c r="I1" s="4"/>
      <c r="J1" s="4"/>
      <c r="K1" s="18"/>
      <c r="L1" s="18"/>
      <c r="M1" s="18"/>
      <c r="N1" s="18"/>
      <c r="O1" s="18"/>
      <c r="P1" s="18"/>
      <c r="Q1" s="18"/>
      <c r="R1" s="19"/>
      <c r="S1" s="4"/>
      <c r="T1" s="53"/>
      <c r="U1" s="4"/>
      <c r="V1" s="4"/>
      <c r="W1" s="4"/>
      <c r="X1" s="4"/>
    </row>
    <row r="2" spans="1:24" s="20" ht="65.25" customFormat="1" customHeight="1" x14ac:dyDescent="0.3">
      <c r="A2" s="94" t="s">
        <v>118</v>
      </c>
      <c r="B2" s="94"/>
      <c r="C2" s="94"/>
      <c r="D2" s="94"/>
      <c r="E2" s="94"/>
      <c r="F2" s="94"/>
      <c r="G2" s="94"/>
      <c r="H2" s="94"/>
      <c r="I2" s="94"/>
      <c r="J2" s="94"/>
      <c r="K2" s="94"/>
      <c r="L2" s="94"/>
      <c r="M2" s="46"/>
      <c r="N2" s="46"/>
      <c r="O2" s="18"/>
      <c r="P2" s="18"/>
      <c r="Q2" s="18"/>
      <c r="R2" s="19"/>
      <c r="S2" s="4"/>
      <c r="T2" s="4"/>
      <c r="U2" s="4"/>
      <c r="V2" s="4"/>
      <c r="W2" s="4"/>
      <c r="X2" s="4"/>
    </row>
    <row r="3" spans="1:24" s="20" ht="35.25" customFormat="1" customHeight="1" x14ac:dyDescent="0.3">
      <c r="A3" s="94" t="s">
        <v>108</v>
      </c>
      <c r="B3" s="94"/>
      <c r="C3" s="94"/>
      <c r="D3" s="94"/>
      <c r="E3" s="94"/>
      <c r="F3" s="94"/>
      <c r="G3" s="94"/>
      <c r="H3" s="94"/>
      <c r="I3" s="94"/>
      <c r="J3" s="94"/>
      <c r="K3" s="94"/>
      <c r="L3" s="94"/>
      <c r="M3" s="46"/>
      <c r="N3" s="46"/>
      <c r="O3" s="18"/>
      <c r="P3" s="18"/>
      <c r="Q3" s="18"/>
      <c r="R3" s="19"/>
      <c r="S3" s="4"/>
      <c r="T3" s="4"/>
      <c r="U3" s="4"/>
      <c r="V3" s="4"/>
      <c r="W3" s="4"/>
      <c r="X3" s="4"/>
    </row>
    <row r="4" spans="1:24" s="20" ht="16.5" customFormat="1" x14ac:dyDescent="0.3">
      <c r="A4" s="95" t="s">
        <v>131</v>
      </c>
      <c r="B4" s="95"/>
      <c r="C4" s="95"/>
      <c r="D4" s="95"/>
      <c r="E4" s="95"/>
      <c r="F4" s="95"/>
      <c r="G4" s="95"/>
      <c r="H4" s="95"/>
      <c r="I4" s="95"/>
      <c r="J4" s="95"/>
      <c r="K4" s="95"/>
      <c r="L4" s="95"/>
      <c r="M4" s="46"/>
      <c r="N4" s="46"/>
      <c r="O4" s="18"/>
      <c r="P4" s="18"/>
      <c r="Q4" s="18"/>
      <c r="R4" s="19"/>
      <c r="S4" s="4"/>
      <c r="T4" s="4"/>
      <c r="U4" s="4"/>
      <c r="V4" s="4"/>
      <c r="W4" s="4"/>
      <c r="X4" s="4"/>
    </row>
    <row r="5" spans="1:24" s="20" ht="9.75" customFormat="1" customHeight="1" x14ac:dyDescent="0.3">
      <c r="A5" s="46"/>
      <c r="B5" s="46"/>
      <c r="C5" s="46"/>
      <c r="D5" s="46"/>
      <c r="E5" s="46"/>
      <c r="F5" s="46"/>
      <c r="G5" s="46"/>
      <c r="H5" s="46"/>
      <c r="I5" s="46"/>
      <c r="J5" s="46"/>
      <c r="K5" s="46"/>
      <c r="L5" s="46"/>
      <c r="M5" s="46"/>
      <c r="N5" s="46"/>
      <c r="O5" s="18"/>
      <c r="P5" s="18"/>
      <c r="Q5" s="18"/>
      <c r="R5" s="19"/>
      <c r="S5" s="4"/>
      <c r="T5" s="4"/>
      <c r="U5" s="4"/>
      <c r="V5" s="4"/>
      <c r="W5" s="4"/>
      <c r="X5" s="4"/>
    </row>
    <row r="6" spans="1:24" s="20" ht="20.45" customFormat="1" customHeight="1" x14ac:dyDescent="0.3">
      <c r="A6" s="4"/>
      <c r="B6" s="4"/>
      <c r="C6" s="4"/>
      <c r="D6" s="4"/>
      <c r="E6" s="4"/>
      <c r="F6" s="4"/>
      <c r="G6" s="4"/>
      <c r="H6" s="4"/>
      <c r="I6" s="4"/>
      <c r="J6" s="4"/>
      <c r="K6" s="91" t="s">
        <v>124</v>
      </c>
      <c r="L6" s="92"/>
      <c r="M6" s="92"/>
      <c r="N6" s="93"/>
      <c r="O6" s="89" t="s">
        <v>68</v>
      </c>
      <c r="P6" s="89"/>
      <c r="Q6" s="89"/>
      <c r="R6" s="89"/>
      <c r="S6" s="90"/>
      <c r="T6" s="88" t="str">
        <f>CONCATENATE("Ejecución CUIPO ",Resumen!$X$1)</f>
        <v>Ejecución CUIPO (Dar clic en Habilitar Edición)</v>
      </c>
      <c r="U6" s="89"/>
      <c r="V6" s="89"/>
      <c r="W6" s="89"/>
      <c r="X6" s="90"/>
    </row>
    <row r="7" spans="1:24" s="20" ht="66" customFormat="1" x14ac:dyDescent="0.3">
      <c r="A7" s="16" t="inlineStr">
        <is>
          <t>Consecutivos IP (SisPT)</t>
        </is>
      </c>
      <c r="B7" s="16" t="inlineStr">
        <is>
          <t>Código Sector (MGA)</t>
        </is>
      </c>
      <c r="C7" s="16" t="inlineStr">
        <is>
          <t>Sector (MGA)</t>
        </is>
      </c>
      <c r="D7" s="16" t="inlineStr">
        <is>
          <t>Código Programa (MGA)</t>
        </is>
      </c>
      <c r="E7" s="16" t="inlineStr">
        <is>
          <t>Programa (MGA)</t>
        </is>
      </c>
      <c r="F7" s="16" t="inlineStr">
        <is>
          <t>Código Producto (MGA)</t>
        </is>
      </c>
      <c r="G7" s="16" t="inlineStr">
        <is>
          <t>Producto (MGA)</t>
        </is>
      </c>
      <c r="H7" s="16" t="inlineStr">
        <is>
          <t>Descripción del Producto (MGA)</t>
        </is>
      </c>
      <c r="I7" s="16" t="inlineStr">
        <is>
          <t>Códigos BPIN Asociados</t>
        </is>
      </c>
      <c r="J7" s="16" t="inlineStr">
        <is>
          <t>Programación Cuatrienio SisPT</t>
        </is>
      </c>
      <c r="K7" s="60" t="inlineStr">
        <is>
          <t>Programado 2024 (SisPT)</t>
        </is>
      </c>
      <c r="L7" s="51" t="inlineStr">
        <is>
          <t>Programado 2025 (SisPT)</t>
        </is>
      </c>
      <c r="M7" s="51" t="inlineStr">
        <is>
          <t>Programado 2026 (SisPT)</t>
        </is>
      </c>
      <c r="N7" s="52" t="inlineStr">
        <is>
          <t>Programado 2027 (SisPT)</t>
        </is>
      </c>
      <c r="O7" s="58" t="inlineStr">
        <is>
          <t>Compromisos 2024 (CUIPO)</t>
        </is>
      </c>
      <c r="P7" s="58" t="inlineStr">
        <is>
          <t>Obligaciones 2024 (CUIPO)</t>
        </is>
      </c>
      <c r="Q7" s="58" t="inlineStr">
        <is>
          <t>Pagos 2024 (CUIPO)</t>
        </is>
      </c>
      <c r="R7" s="64" t="inlineStr">
        <is>
          <t>Obligaciones como % de lo programado (2024)</t>
        </is>
      </c>
      <c r="S7" s="67" t="inlineStr">
        <is>
          <t>Explicación del valor 2024</t>
        </is>
      </c>
      <c r="T7" s="59" t="inlineStr">
        <is>
          <t>Compromisos 2025 (CUIPO)</t>
        </is>
      </c>
      <c r="U7" s="58" t="inlineStr">
        <is>
          <t>Obligaciones 2025 (CUIPO)</t>
        </is>
      </c>
      <c r="V7" s="58" t="inlineStr">
        <is>
          <t>Pagos 2025 (CUIPO)</t>
        </is>
      </c>
      <c r="W7" s="64" t="inlineStr">
        <is>
          <t>Obligaciones como % de lo programado (2025)</t>
        </is>
      </c>
      <c r="X7" s="67" t="inlineStr">
        <is>
          <t>Explicación del valor 2025</t>
        </is>
      </c>
    </row>
    <row r="8">
      <c r="A8" t="inlineStr">
        <is>
          <t>IP-1</t>
        </is>
      </c>
      <c r="B8" t="inlineStr">
        <is>
          <t>32</t>
        </is>
      </c>
      <c r="C8" t="inlineStr">
        <is>
          <t>Ambiente y desarrollo sostenible</t>
        </is>
      </c>
      <c r="D8" t="inlineStr">
        <is>
          <t>3203</t>
        </is>
      </c>
      <c r="E8" t="inlineStr">
        <is>
          <t>Gestión integral del recurso hídrico</t>
        </is>
      </c>
      <c r="F8" t="inlineStr">
        <is>
          <t>3203048</t>
        </is>
      </c>
      <c r="G8" t="inlineStr">
        <is>
          <t>Servicio de almacenamiento de agua</t>
        </is>
      </c>
      <c r="H8" t="inlineStr">
        <is>
          <t>Contempla elementos estructurales para el almacenamiento de agua de escorrentía; orientado a mantener la oferta del recurso hídrico, la sostenibilidad del recurso hídrico y la conservación de los ecosistemas que regulan la oferta hídrica en el país, considerando el agua como factor de desarrollo económico y de bienestar social.
Acción incluida dentro de la Implementación del Plan de Ordenación y Manejo de Cuencas, Plan de Ordenamiento del Recurso Hídrico, Plan de Desarrollo Departamental PDD y Plan de Acción Institucional - PAI.</t>
        </is>
      </c>
      <c r="I8" t="inlineStr">
        <is>
          <t>2024254860002</t>
        </is>
      </c>
      <c r="J8" s="99">
        <v>0</v>
      </c>
      <c r="K8" s="99">
        <v>0</v>
      </c>
      <c r="L8" s="99">
        <v>0</v>
      </c>
      <c r="M8" s="99">
        <v>0</v>
      </c>
      <c r="N8" s="99">
        <v>0</v>
      </c>
      <c r="O8" s="99" t="inlineStr">
        <is>
          <t xml:space="preserve"> </t>
        </is>
      </c>
      <c r="P8" s="99" t="inlineStr">
        <is>
          <t xml:space="preserve"> </t>
        </is>
      </c>
      <c r="Q8" s="99" t="inlineStr">
        <is>
          <t xml:space="preserve"> </t>
        </is>
      </c>
      <c r="R8" s="100" t="inlineStr">
        <is>
          <t xml:space="preserve"> </t>
        </is>
      </c>
      <c r="S8" t="inlineStr">
        <is>
          <t>No se encontró ejecución en CUIPO</t>
        </is>
      </c>
      <c r="T8" s="101" t="inlineStr">
        <is>
          <t xml:space="preserve"> </t>
        </is>
      </c>
      <c r="U8" s="101" t="inlineStr">
        <is>
          <t xml:space="preserve"> </t>
        </is>
      </c>
      <c r="V8" s="101" t="inlineStr">
        <is>
          <t xml:space="preserve"> </t>
        </is>
      </c>
      <c r="W8" s="102" t="inlineStr">
        <is>
          <t xml:space="preserve"> </t>
        </is>
      </c>
      <c r="X8" t="inlineStr">
        <is>
          <t>No se encontró ejecución en CUIPO</t>
        </is>
      </c>
    </row>
    <row r="9">
      <c r="A9" t="inlineStr">
        <is>
          <t>IP-2</t>
        </is>
      </c>
      <c r="B9" t="inlineStr">
        <is>
          <t>32</t>
        </is>
      </c>
      <c r="C9" t="inlineStr">
        <is>
          <t>Ambiente y desarrollo sostenible</t>
        </is>
      </c>
      <c r="D9" t="inlineStr">
        <is>
          <t>3202</t>
        </is>
      </c>
      <c r="E9" t="inlineStr">
        <is>
          <t>Conservación de la biodiversidad y sus servicios ecosistémicos</t>
        </is>
      </c>
      <c r="F9" t="inlineStr">
        <is>
          <t>3202044</t>
        </is>
      </c>
      <c r="G9" t="inlineStr">
        <is>
          <t>Estudios de preinversión</t>
        </is>
      </c>
      <c r="H9" t="inlineStr">
        <is>
          <t>Incluye la realización de los estudios requeridos en las fases de pre factibilidad, factibilidad o definitivos.</t>
        </is>
      </c>
      <c r="I9" t="inlineStr">
        <is>
          <t>2024254860003</t>
        </is>
      </c>
      <c r="J9" s="99">
        <v>0</v>
      </c>
      <c r="K9" s="99">
        <v>0</v>
      </c>
      <c r="L9" s="99">
        <v>0</v>
      </c>
      <c r="M9" s="99">
        <v>0</v>
      </c>
      <c r="N9" s="99">
        <v>0</v>
      </c>
      <c r="O9" s="99" t="inlineStr">
        <is>
          <t xml:space="preserve"> </t>
        </is>
      </c>
      <c r="P9" s="99" t="inlineStr">
        <is>
          <t xml:space="preserve"> </t>
        </is>
      </c>
      <c r="Q9" s="99" t="inlineStr">
        <is>
          <t xml:space="preserve"> </t>
        </is>
      </c>
      <c r="R9" s="100" t="inlineStr">
        <is>
          <t xml:space="preserve"> </t>
        </is>
      </c>
      <c r="S9" t="inlineStr">
        <is>
          <t>No se encontró ejecución en CUIPO</t>
        </is>
      </c>
      <c r="T9" s="101" t="inlineStr">
        <is>
          <t xml:space="preserve"> </t>
        </is>
      </c>
      <c r="U9" s="101" t="inlineStr">
        <is>
          <t xml:space="preserve"> </t>
        </is>
      </c>
      <c r="V9" s="101" t="inlineStr">
        <is>
          <t xml:space="preserve"> </t>
        </is>
      </c>
      <c r="W9" s="102" t="inlineStr">
        <is>
          <t xml:space="preserve"> </t>
        </is>
      </c>
      <c r="X9" t="inlineStr">
        <is>
          <t>No se encontró ejecución en CUIPO</t>
        </is>
      </c>
    </row>
    <row r="10">
      <c r="A10" t="inlineStr">
        <is>
          <t>IP-4, IP-6</t>
        </is>
      </c>
      <c r="B10" t="inlineStr">
        <is>
          <t>32</t>
        </is>
      </c>
      <c r="C10" t="inlineStr">
        <is>
          <t>Ambiente y desarrollo sostenible</t>
        </is>
      </c>
      <c r="D10" t="inlineStr">
        <is>
          <t>3206</t>
        </is>
      </c>
      <c r="E10" t="inlineStr">
        <is>
          <t>Gestión del cambio climático para un desarrollo bajo en carbono y resiliente al clima</t>
        </is>
      </c>
      <c r="F10" t="inlineStr">
        <is>
          <t>3206003</t>
        </is>
      </c>
      <c r="G10" t="inlineStr">
        <is>
          <t>Servicio de apoyo técnico para la implementación de acciones de mitigación y adaptación al cambio climático</t>
        </is>
      </c>
      <c r="H10" t="inlineStr">
        <is>
          <t>Incluye la formulación e implementación de intervenciones locales orientadas a reducir las emisiones de gases efecto invernadero, aumento de sumideros de carbono, reducción de la vulnerabilidad, y aumento de la resiliencia a la variabilidad y al cambio climático. </t>
        </is>
      </c>
      <c r="I10" t="inlineStr">
        <is>
          <t>2024254860004</t>
        </is>
      </c>
      <c r="J10" s="99">
        <v>0</v>
      </c>
      <c r="K10" s="99">
        <v>0</v>
      </c>
      <c r="L10" s="99">
        <v>0</v>
      </c>
      <c r="M10" s="99">
        <v>0</v>
      </c>
      <c r="N10" s="99">
        <v>0</v>
      </c>
      <c r="O10" s="99" t="inlineStr">
        <is>
          <t xml:space="preserve"> </t>
        </is>
      </c>
      <c r="P10" s="99" t="inlineStr">
        <is>
          <t xml:space="preserve"> </t>
        </is>
      </c>
      <c r="Q10" s="99" t="inlineStr">
        <is>
          <t xml:space="preserve"> </t>
        </is>
      </c>
      <c r="R10" s="100" t="inlineStr">
        <is>
          <t xml:space="preserve"> </t>
        </is>
      </c>
      <c r="S10" t="inlineStr">
        <is>
          <t>No se encontró ejecución en CUIPO</t>
        </is>
      </c>
      <c r="T10" s="101" t="inlineStr">
        <is>
          <t xml:space="preserve"> </t>
        </is>
      </c>
      <c r="U10" s="101" t="inlineStr">
        <is>
          <t xml:space="preserve"> </t>
        </is>
      </c>
      <c r="V10" s="101" t="inlineStr">
        <is>
          <t xml:space="preserve"> </t>
        </is>
      </c>
      <c r="W10" s="102" t="inlineStr">
        <is>
          <t xml:space="preserve"> </t>
        </is>
      </c>
      <c r="X10" t="inlineStr">
        <is>
          <t>No se encontró ejecución en CUIPO</t>
        </is>
      </c>
    </row>
    <row r="11">
      <c r="A11" t="inlineStr">
        <is>
          <t>IP-5</t>
        </is>
      </c>
      <c r="B11" t="inlineStr">
        <is>
          <t>32</t>
        </is>
      </c>
      <c r="C11" t="inlineStr">
        <is>
          <t>Ambiente y desarrollo sostenible</t>
        </is>
      </c>
      <c r="D11" t="inlineStr">
        <is>
          <t>3202</t>
        </is>
      </c>
      <c r="E11" t="inlineStr">
        <is>
          <t>Conservación de la biodiversidad y sus servicios ecosistémicos</t>
        </is>
      </c>
      <c r="F11" t="inlineStr">
        <is>
          <t>3202033</t>
        </is>
      </c>
      <c r="G11" t="inlineStr">
        <is>
          <t>Infraestructura ecoturística construida</t>
        </is>
      </c>
      <c r="H11" t="inlineStr">
        <is>
          <t>Incluye el diseño y construcción de la infraestructura para el ecoturismo</t>
        </is>
      </c>
      <c r="I11" t="inlineStr">
        <is>
          <t>2024254860003</t>
        </is>
      </c>
      <c r="J11" s="99">
        <v>0</v>
      </c>
      <c r="K11" s="99">
        <v>0</v>
      </c>
      <c r="L11" s="99">
        <v>0</v>
      </c>
      <c r="M11" s="99">
        <v>0</v>
      </c>
      <c r="N11" s="99">
        <v>0</v>
      </c>
      <c r="O11" s="99" t="inlineStr">
        <is>
          <t xml:space="preserve"> </t>
        </is>
      </c>
      <c r="P11" s="99" t="inlineStr">
        <is>
          <t xml:space="preserve"> </t>
        </is>
      </c>
      <c r="Q11" s="99" t="inlineStr">
        <is>
          <t xml:space="preserve"> </t>
        </is>
      </c>
      <c r="R11" s="100" t="inlineStr">
        <is>
          <t xml:space="preserve"> </t>
        </is>
      </c>
      <c r="S11" t="inlineStr">
        <is>
          <t>No se encontró ejecución en CUIPO</t>
        </is>
      </c>
      <c r="T11" s="101" t="inlineStr">
        <is>
          <t xml:space="preserve"> </t>
        </is>
      </c>
      <c r="U11" s="101" t="inlineStr">
        <is>
          <t xml:space="preserve"> </t>
        </is>
      </c>
      <c r="V11" s="101" t="inlineStr">
        <is>
          <t xml:space="preserve"> </t>
        </is>
      </c>
      <c r="W11" s="102" t="inlineStr">
        <is>
          <t xml:space="preserve"> </t>
        </is>
      </c>
      <c r="X11" t="inlineStr">
        <is>
          <t>No se encontró ejecución en CUIPO</t>
        </is>
      </c>
    </row>
    <row r="12">
      <c r="A12" t="inlineStr">
        <is>
          <t>IP-7</t>
        </is>
      </c>
      <c r="B12" t="inlineStr">
        <is>
          <t>32</t>
        </is>
      </c>
      <c r="C12" t="inlineStr">
        <is>
          <t>Ambiente y desarrollo sostenible</t>
        </is>
      </c>
      <c r="D12" t="inlineStr">
        <is>
          <t>3206</t>
        </is>
      </c>
      <c r="E12" t="inlineStr">
        <is>
          <t>Gestión del cambio climático para un desarrollo bajo en carbono y resiliente al clima</t>
        </is>
      </c>
      <c r="F12" t="inlineStr">
        <is>
          <t>3206011</t>
        </is>
      </c>
      <c r="G12" t="inlineStr">
        <is>
          <t>Servicios de información para el seguimiento a los compromisos en cambio climático de Colombia</t>
        </is>
      </c>
      <c r="H12" t="inlineStr">
        <is>
          <t xml:space="preserve">Incluye el monitoreo de los indicadores y variables climáticas, gases efecto invernadero, y vulnerabilidad, ex ante y . </t>
        </is>
      </c>
      <c r="I12" t="inlineStr">
        <is>
          <t>2024254860004</t>
        </is>
      </c>
      <c r="J12" s="99">
        <v>7200005.6</v>
      </c>
      <c r="K12" s="99">
        <v>2216000</v>
      </c>
      <c r="L12" s="99">
        <v>0</v>
      </c>
      <c r="M12" s="99">
        <v>2443140</v>
      </c>
      <c r="N12" s="99">
        <v>2540865.6</v>
      </c>
      <c r="O12" s="99">
        <v>1216000</v>
      </c>
      <c r="P12" s="99">
        <v>1216000</v>
      </c>
      <c r="Q12" s="99">
        <v>1216000</v>
      </c>
      <c r="R12" s="100">
        <v>0.548736462093863</v>
      </c>
      <c r="S12" t="inlineStr">
        <is>
          <t>Lo obligado está por debajo de lo programado en la vigencia</t>
        </is>
      </c>
      <c r="T12" s="101" t="inlineStr">
        <is>
          <t xml:space="preserve"> </t>
        </is>
      </c>
      <c r="U12" s="101" t="inlineStr">
        <is>
          <t xml:space="preserve"> </t>
        </is>
      </c>
      <c r="V12" s="101" t="inlineStr">
        <is>
          <t xml:space="preserve"> </t>
        </is>
      </c>
      <c r="W12" s="102" t="inlineStr">
        <is>
          <t xml:space="preserve"> </t>
        </is>
      </c>
      <c r="X12" t="inlineStr">
        <is>
          <t>No se encontró ejecución en CUIPO</t>
        </is>
      </c>
    </row>
    <row r="13">
      <c r="A13" t="inlineStr">
        <is>
          <t>IP-8</t>
        </is>
      </c>
      <c r="B13" t="inlineStr">
        <is>
          <t>32</t>
        </is>
      </c>
      <c r="C13" t="inlineStr">
        <is>
          <t>Ambiente y desarrollo sostenible</t>
        </is>
      </c>
      <c r="D13" t="inlineStr">
        <is>
          <t>3202</t>
        </is>
      </c>
      <c r="E13" t="inlineStr">
        <is>
          <t>Conservación de la biodiversidad y sus servicios ecosistémicos</t>
        </is>
      </c>
      <c r="F13" t="inlineStr">
        <is>
          <t>3202003</t>
        </is>
      </c>
      <c r="G13" t="inlineStr">
        <is>
          <t>Documentos de política para la conservación de la biodiversidad y sus servicio eco sistémicos</t>
        </is>
      </c>
      <c r="H13" t="inlineStr">
        <is>
          <t>Incluye la realización de los documentos de política orientados a  conservación de la biodiversidad y sus Servicio eco sistémicos</t>
        </is>
      </c>
      <c r="I13" t="inlineStr">
        <is>
          <t>2024254860003</t>
        </is>
      </c>
      <c r="J13" s="99">
        <v>17262733</v>
      </c>
      <c r="K13" s="99">
        <v>4000000</v>
      </c>
      <c r="L13" s="99">
        <v>4266333</v>
      </c>
      <c r="M13" s="99">
        <v>4410000</v>
      </c>
      <c r="N13" s="99">
        <v>4586400</v>
      </c>
      <c r="O13" s="99">
        <v>1000000</v>
      </c>
      <c r="P13" s="99">
        <v>1000000</v>
      </c>
      <c r="Q13" s="99">
        <v>1000000</v>
      </c>
      <c r="R13" s="100">
        <v>0.25</v>
      </c>
      <c r="S13" t="inlineStr">
        <is>
          <t>Lo obligado está por debajo de lo programado en la vigencia</t>
        </is>
      </c>
      <c r="T13" s="101">
        <v>5511625</v>
      </c>
      <c r="U13" s="101">
        <v>5093083</v>
      </c>
      <c r="V13" s="101">
        <v>5093083</v>
      </c>
      <c r="W13" s="102">
        <v>1.19378468581801</v>
      </c>
      <c r="X13" t="inlineStr">
        <is>
          <t>Hubo ejecución por encima de lo programado en SisPT</t>
        </is>
      </c>
    </row>
    <row r="14">
      <c r="A14" t="inlineStr">
        <is>
          <t>IP-9</t>
        </is>
      </c>
      <c r="B14" t="inlineStr">
        <is>
          <t>32</t>
        </is>
      </c>
      <c r="C14" t="inlineStr">
        <is>
          <t>Ambiente y desarrollo sostenible</t>
        </is>
      </c>
      <c r="D14" t="inlineStr">
        <is>
          <t>3202</t>
        </is>
      </c>
      <c r="E14" t="inlineStr">
        <is>
          <t>Conservación de la biodiversidad y sus servicios ecosistémicos</t>
        </is>
      </c>
      <c r="F14" t="inlineStr">
        <is>
          <t>3202049</t>
        </is>
      </c>
      <c r="G14" t="inlineStr">
        <is>
          <t>Servicio de recuperación de ecosistemas</t>
        </is>
      </c>
      <c r="H14" t="inlineStr">
        <is>
          <t>Incluye al recuperación de áreas disturbadas en ecosistemas boscosos y no boscosos a través del análisis de tensionantes en el territorio, el análisis de suelos para conocer su estado, la plantación de árboles y arbustos de especies nativas relacionadas con el ecosistema de referencia, el aislamiento de áreas más afectadas por el tensionante identificado, la suscripción de acuerdo voluntarios con la comunidad para el mantenimiento de las acciones implementadas y el seguimiento y monitoreo a las intervenciones adelantadas.</t>
        </is>
      </c>
      <c r="I14" t="inlineStr">
        <is>
          <t>2024254860003</t>
        </is>
      </c>
      <c r="J14" s="99">
        <v>6266333</v>
      </c>
      <c r="K14" s="99">
        <v>0</v>
      </c>
      <c r="L14" s="99">
        <v>6266333</v>
      </c>
      <c r="M14" s="99">
        <v>0</v>
      </c>
      <c r="N14" s="99">
        <v>0</v>
      </c>
      <c r="O14" s="99">
        <v>2000000</v>
      </c>
      <c r="P14" s="99">
        <v>2000000</v>
      </c>
      <c r="Q14" s="99">
        <v>2000000</v>
      </c>
      <c r="R14" s="100" t="inlineStr">
        <is>
          <t xml:space="preserve"> </t>
        </is>
      </c>
      <c r="S14" t="inlineStr">
        <is>
          <t>Se ejecutó un producto no programado en la vigencia</t>
        </is>
      </c>
      <c r="T14" s="101" t="inlineStr">
        <is>
          <t xml:space="preserve"> </t>
        </is>
      </c>
      <c r="U14" s="101" t="inlineStr">
        <is>
          <t xml:space="preserve"> </t>
        </is>
      </c>
      <c r="V14" s="101" t="inlineStr">
        <is>
          <t xml:space="preserve"> </t>
        </is>
      </c>
      <c r="W14" s="102" t="inlineStr">
        <is>
          <t xml:space="preserve"> </t>
        </is>
      </c>
      <c r="X14" t="inlineStr">
        <is>
          <t>No se encontró ejecución en CUIPO</t>
        </is>
      </c>
    </row>
    <row r="15">
      <c r="A15" t="inlineStr">
        <is>
          <t>IP-10</t>
        </is>
      </c>
      <c r="B15" t="inlineStr">
        <is>
          <t>32</t>
        </is>
      </c>
      <c r="C15" t="inlineStr">
        <is>
          <t>Ambiente y desarrollo sostenible</t>
        </is>
      </c>
      <c r="D15" t="inlineStr">
        <is>
          <t>3204</t>
        </is>
      </c>
      <c r="E15" t="inlineStr">
        <is>
          <t>Gestión de la información y el conocimiento ambiental</t>
        </is>
      </c>
      <c r="F15" t="inlineStr">
        <is>
          <t>3204034</t>
        </is>
      </c>
      <c r="G15" t="inlineStr">
        <is>
          <t>Estaciones de investigación mejoradas y dotadas</t>
        </is>
      </c>
      <c r="H15" t="inlineStr">
        <is>
          <t xml:space="preserve">Pendiente </t>
        </is>
      </c>
      <c r="I15" t="inlineStr">
        <is>
          <t>2024254860005</t>
        </is>
      </c>
      <c r="J15" s="99">
        <v>8839100</v>
      </c>
      <c r="K15" s="99">
        <v>1000000</v>
      </c>
      <c r="L15" s="99">
        <v>5590000</v>
      </c>
      <c r="M15" s="99">
        <v>1102500</v>
      </c>
      <c r="N15" s="99">
        <v>1146600</v>
      </c>
      <c r="O15" s="99">
        <v>1000000</v>
      </c>
      <c r="P15" s="99">
        <v>1000000</v>
      </c>
      <c r="Q15" s="99">
        <v>1000000</v>
      </c>
      <c r="R15" s="100">
        <v>1</v>
      </c>
      <c r="S15" t="inlineStr">
        <is>
          <t>Se ejecutó el 100% de lo programado en la vigencia</t>
        </is>
      </c>
      <c r="T15" s="101">
        <v>2860000</v>
      </c>
      <c r="U15" s="101">
        <v>2860000</v>
      </c>
      <c r="V15" s="101">
        <v>2860000</v>
      </c>
      <c r="W15" s="102">
        <v>0.511627906976744</v>
      </c>
      <c r="X15" t="inlineStr">
        <is>
          <t>Lo obligado está por debajo de lo programado en la vigencia</t>
        </is>
      </c>
    </row>
    <row r="16">
      <c r="A16" t="inlineStr">
        <is>
          <t>IP-11, IP-14</t>
        </is>
      </c>
      <c r="B16" t="inlineStr">
        <is>
          <t>32</t>
        </is>
      </c>
      <c r="C16" t="inlineStr">
        <is>
          <t>Ambiente y desarrollo sostenible</t>
        </is>
      </c>
      <c r="D16" t="inlineStr">
        <is>
          <t>3202</t>
        </is>
      </c>
      <c r="E16" t="inlineStr">
        <is>
          <t>Conservación de la biodiversidad y sus servicios ecosistémicos</t>
        </is>
      </c>
      <c r="F16" t="inlineStr">
        <is>
          <t>3202006</t>
        </is>
      </c>
      <c r="G16" t="inlineStr">
        <is>
          <t>Servicio de reforestación de ecosistemas</t>
        </is>
      </c>
      <c r="H16" t="inlineStr">
        <is>
          <t>Acciones orientadas a la siembra, mantenimiento y monitoreo de especies vegetales que cumplen una función especifica en el área, sin buscar el restablecimiento del ecosistema inicial. </t>
        </is>
      </c>
      <c r="I16" t="inlineStr">
        <is>
          <t>2024254860003</t>
        </is>
      </c>
      <c r="J16" s="99">
        <v>29336893.9367</v>
      </c>
      <c r="K16" s="99">
        <v>9029237</v>
      </c>
      <c r="L16" s="99">
        <v>0</v>
      </c>
      <c r="M16" s="99">
        <v>9954733.7925</v>
      </c>
      <c r="N16" s="99">
        <v>10352923.1442</v>
      </c>
      <c r="O16" s="99" t="inlineStr">
        <is>
          <t xml:space="preserve"> </t>
        </is>
      </c>
      <c r="P16" s="99" t="inlineStr">
        <is>
          <t xml:space="preserve"> </t>
        </is>
      </c>
      <c r="Q16" s="99" t="inlineStr">
        <is>
          <t xml:space="preserve"> </t>
        </is>
      </c>
      <c r="R16" s="100" t="inlineStr">
        <is>
          <t xml:space="preserve"> </t>
        </is>
      </c>
      <c r="S16" t="inlineStr">
        <is>
          <t>No se encontró ejecución en CUIPO</t>
        </is>
      </c>
      <c r="T16" s="101" t="inlineStr">
        <is>
          <t xml:space="preserve"> </t>
        </is>
      </c>
      <c r="U16" s="101" t="inlineStr">
        <is>
          <t xml:space="preserve"> </t>
        </is>
      </c>
      <c r="V16" s="101" t="inlineStr">
        <is>
          <t xml:space="preserve"> </t>
        </is>
      </c>
      <c r="W16" s="102" t="inlineStr">
        <is>
          <t xml:space="preserve"> </t>
        </is>
      </c>
      <c r="X16" t="inlineStr">
        <is>
          <t>No se encontró ejecución en CUIPO</t>
        </is>
      </c>
    </row>
    <row r="17">
      <c r="A17" t="inlineStr">
        <is>
          <t>IP-12</t>
        </is>
      </c>
      <c r="B17" t="inlineStr">
        <is>
          <t>32</t>
        </is>
      </c>
      <c r="C17" t="inlineStr">
        <is>
          <t>Ambiente y desarrollo sostenible</t>
        </is>
      </c>
      <c r="D17" t="inlineStr">
        <is>
          <t>3202</t>
        </is>
      </c>
      <c r="E17" t="inlineStr">
        <is>
          <t>Conservación de la biodiversidad y sus servicios ecosistémicos</t>
        </is>
      </c>
      <c r="F17" t="inlineStr">
        <is>
          <t>3202043</t>
        </is>
      </c>
      <c r="G17" t="inlineStr">
        <is>
          <t>Servicio apoyo financiero para la implementación de esquemas de pago por Servicio ambientales</t>
        </is>
      </c>
      <c r="H17" t="inlineStr">
        <is>
          <t>Incluye el diseño y entrega de instrumentos económicos para dar incentivos a los usuarios del suelo, de manera que continúen ofreciendo un servicio ambiental (ecológico) que beneficia a la sociedad como un todo.</t>
        </is>
      </c>
      <c r="I17" t="inlineStr">
        <is>
          <t>2024254860003</t>
        </is>
      </c>
      <c r="J17" s="99">
        <v>7515433</v>
      </c>
      <c r="K17" s="99">
        <v>1000000</v>
      </c>
      <c r="L17" s="99">
        <v>4266333</v>
      </c>
      <c r="M17" s="99">
        <v>1102500</v>
      </c>
      <c r="N17" s="99">
        <v>1146600</v>
      </c>
      <c r="O17" s="99">
        <v>1000000</v>
      </c>
      <c r="P17" s="99">
        <v>1000000</v>
      </c>
      <c r="Q17" s="99">
        <v>1000000</v>
      </c>
      <c r="R17" s="100">
        <v>1</v>
      </c>
      <c r="S17" t="inlineStr">
        <is>
          <t>Se ejecutó el 100% de lo programado en la vigencia</t>
        </is>
      </c>
      <c r="T17" s="101">
        <v>5511625</v>
      </c>
      <c r="U17" s="101">
        <v>4462917</v>
      </c>
      <c r="V17" s="101">
        <v>4462917</v>
      </c>
      <c r="W17" s="102">
        <v>1.04607797844191</v>
      </c>
      <c r="X17" t="inlineStr">
        <is>
          <t>Hubo ejecución por encima de lo programado en SisPT</t>
        </is>
      </c>
    </row>
    <row r="18">
      <c r="A18" t="inlineStr">
        <is>
          <t>IP-13</t>
        </is>
      </c>
      <c r="B18" t="inlineStr">
        <is>
          <t>32</t>
        </is>
      </c>
      <c r="C18" t="inlineStr">
        <is>
          <t>Ambiente y desarrollo sostenible</t>
        </is>
      </c>
      <c r="D18" t="inlineStr">
        <is>
          <t>3202</t>
        </is>
      </c>
      <c r="E18" t="inlineStr">
        <is>
          <t>Conservación de la biodiversidad y sus servicios ecosistémicos</t>
        </is>
      </c>
      <c r="F18" t="inlineStr">
        <is>
          <t>3202038</t>
        </is>
      </c>
      <c r="G18" t="inlineStr">
        <is>
          <t>Servicio de producción de plántulas en viveros</t>
        </is>
      </c>
      <c r="H18" t="inlineStr">
        <is>
          <t>Acciones orientadas a producir plántulas en viveros que serán utilizadas en la recuperación de ecosistemas degradados</t>
        </is>
      </c>
      <c r="I18" t="inlineStr">
        <is>
          <t>2024254860003</t>
        </is>
      </c>
      <c r="J18" s="99">
        <v>129964000</v>
      </c>
      <c r="K18" s="99">
        <v>40000000</v>
      </c>
      <c r="L18" s="99">
        <v>0</v>
      </c>
      <c r="M18" s="99">
        <v>44100000</v>
      </c>
      <c r="N18" s="99">
        <v>45864000</v>
      </c>
      <c r="O18" s="99" t="inlineStr">
        <is>
          <t xml:space="preserve"> </t>
        </is>
      </c>
      <c r="P18" s="99" t="inlineStr">
        <is>
          <t xml:space="preserve"> </t>
        </is>
      </c>
      <c r="Q18" s="99" t="inlineStr">
        <is>
          <t xml:space="preserve"> </t>
        </is>
      </c>
      <c r="R18" s="100" t="inlineStr">
        <is>
          <t xml:space="preserve"> </t>
        </is>
      </c>
      <c r="S18" t="inlineStr">
        <is>
          <t>No se encontró ejecución en CUIPO</t>
        </is>
      </c>
      <c r="T18" s="101" t="inlineStr">
        <is>
          <t xml:space="preserve"> </t>
        </is>
      </c>
      <c r="U18" s="101" t="inlineStr">
        <is>
          <t xml:space="preserve"> </t>
        </is>
      </c>
      <c r="V18" s="101" t="inlineStr">
        <is>
          <t xml:space="preserve"> </t>
        </is>
      </c>
      <c r="W18" s="102" t="inlineStr">
        <is>
          <t xml:space="preserve"> </t>
        </is>
      </c>
      <c r="X18" t="inlineStr">
        <is>
          <t>No se encontró ejecución en CUIPO</t>
        </is>
      </c>
    </row>
    <row r="19">
      <c r="A19" t="inlineStr">
        <is>
          <t>IP-15</t>
        </is>
      </c>
      <c r="B19" t="inlineStr">
        <is>
          <t>32</t>
        </is>
      </c>
      <c r="C19" t="inlineStr">
        <is>
          <t>Ambiente y desarrollo sostenible</t>
        </is>
      </c>
      <c r="D19" t="inlineStr">
        <is>
          <t>3203</t>
        </is>
      </c>
      <c r="E19" t="inlineStr">
        <is>
          <t>Gestión integral del recurso hídrico</t>
        </is>
      </c>
      <c r="F19" t="inlineStr">
        <is>
          <t>3203050</t>
        </is>
      </c>
      <c r="G19" t="inlineStr">
        <is>
          <t>Servicio de protección del recurso hídrico</t>
        </is>
      </c>
      <c r="H19" t="inlineStr">
        <is>
          <t>Incluye acciones orientadas a la administración y manejo de áreas de reserva hídrica o zonas de reserva natural para la protección de las fuentes hídricas.</t>
        </is>
      </c>
      <c r="I19" t="inlineStr">
        <is>
          <t>2024254860002</t>
        </is>
      </c>
      <c r="J19" s="99">
        <v>0</v>
      </c>
      <c r="K19" s="99">
        <v>0</v>
      </c>
      <c r="L19" s="99">
        <v>0</v>
      </c>
      <c r="M19" s="99">
        <v>0</v>
      </c>
      <c r="N19" s="99">
        <v>0</v>
      </c>
      <c r="O19" s="99" t="inlineStr">
        <is>
          <t xml:space="preserve"> </t>
        </is>
      </c>
      <c r="P19" s="99" t="inlineStr">
        <is>
          <t xml:space="preserve"> </t>
        </is>
      </c>
      <c r="Q19" s="99" t="inlineStr">
        <is>
          <t xml:space="preserve"> </t>
        </is>
      </c>
      <c r="R19" s="100" t="inlineStr">
        <is>
          <t xml:space="preserve"> </t>
        </is>
      </c>
      <c r="S19" t="inlineStr">
        <is>
          <t>No se encontró ejecución en CUIPO</t>
        </is>
      </c>
      <c r="T19" s="101">
        <v>20130000</v>
      </c>
      <c r="U19" s="101">
        <v>11770000</v>
      </c>
      <c r="V19" s="101">
        <v>11770000</v>
      </c>
      <c r="W19" s="102" t="inlineStr">
        <is>
          <t xml:space="preserve"> </t>
        </is>
      </c>
      <c r="X19" t="inlineStr">
        <is>
          <t>Se ejecutó un producto no programado en la vigencia</t>
        </is>
      </c>
    </row>
    <row r="20">
      <c r="A20" t="inlineStr">
        <is>
          <t>IP-16, IP-17</t>
        </is>
      </c>
      <c r="B20" t="inlineStr">
        <is>
          <t>32</t>
        </is>
      </c>
      <c r="C20" t="inlineStr">
        <is>
          <t>Ambiente y desarrollo sostenible</t>
        </is>
      </c>
      <c r="D20" t="inlineStr">
        <is>
          <t>3208</t>
        </is>
      </c>
      <c r="E20" t="inlineStr">
        <is>
          <t xml:space="preserve">Educación Ambiental </t>
        </is>
      </c>
      <c r="F20" t="inlineStr">
        <is>
          <t>3208006</t>
        </is>
      </c>
      <c r="G20" t="inlineStr">
        <is>
          <t>Servicio de asistencia técnica para la implementación de lasestrategias educativo ambientales y de participación</t>
        </is>
      </c>
      <c r="H20" t="inlineStr">
        <is>
          <t>Acciones encaminadas a implementar estrategias educativo ambientales y de participación en las entidades territoriales, por medio de los proyectos ambientales implementados </t>
        </is>
      </c>
      <c r="I20" t="inlineStr">
        <is>
          <t>2024254860006</t>
        </is>
      </c>
      <c r="J20" s="99">
        <v>21661333</v>
      </c>
      <c r="K20" s="99">
        <v>5000000</v>
      </c>
      <c r="L20" s="99">
        <v>5415833</v>
      </c>
      <c r="M20" s="99">
        <v>5512500</v>
      </c>
      <c r="N20" s="99">
        <v>5733000</v>
      </c>
      <c r="O20" s="99">
        <v>2000000</v>
      </c>
      <c r="P20" s="99">
        <v>2000000</v>
      </c>
      <c r="Q20" s="99">
        <v>2000000</v>
      </c>
      <c r="R20" s="100">
        <v>0.4</v>
      </c>
      <c r="S20" t="inlineStr">
        <is>
          <t>Lo obligado está por debajo de lo programado en la vigencia</t>
        </is>
      </c>
      <c r="T20" s="101">
        <v>1000000</v>
      </c>
      <c r="U20" s="101">
        <v>1000000</v>
      </c>
      <c r="V20" s="101">
        <v>1000000</v>
      </c>
      <c r="W20" s="102">
        <v>0.18464380271696</v>
      </c>
      <c r="X20" t="inlineStr">
        <is>
          <t>Lo obligado está por debajo de lo programado en la vigencia</t>
        </is>
      </c>
    </row>
    <row r="21">
      <c r="A21" t="inlineStr">
        <is>
          <t>IP-18</t>
        </is>
      </c>
      <c r="B21" t="inlineStr">
        <is>
          <t>32</t>
        </is>
      </c>
      <c r="C21" t="inlineStr">
        <is>
          <t>Ambiente y desarrollo sostenible</t>
        </is>
      </c>
      <c r="D21" t="inlineStr">
        <is>
          <t>3208</t>
        </is>
      </c>
      <c r="E21" t="inlineStr">
        <is>
          <t xml:space="preserve">Educación Ambiental </t>
        </is>
      </c>
      <c r="F21" t="inlineStr">
        <is>
          <t>3208010</t>
        </is>
      </c>
      <c r="G21" t="inlineStr">
        <is>
          <t>Servicio de educación informal ambiental</t>
        </is>
      </c>
      <c r="H21" t="inlineStr">
        <is>
          <t>Acciones orientadas hacia el conocimiento de la biodiversidad y los ecosistemas para sensibilizar a la población despertar la conciencia ambiental.</t>
        </is>
      </c>
      <c r="I21" t="inlineStr">
        <is>
          <t>2024254860006</t>
        </is>
      </c>
      <c r="J21" s="99">
        <v>0</v>
      </c>
      <c r="K21" s="99">
        <v>0</v>
      </c>
      <c r="L21" s="99">
        <v>0</v>
      </c>
      <c r="M21" s="99">
        <v>0</v>
      </c>
      <c r="N21" s="99">
        <v>0</v>
      </c>
      <c r="O21" s="99" t="inlineStr">
        <is>
          <t xml:space="preserve"> </t>
        </is>
      </c>
      <c r="P21" s="99" t="inlineStr">
        <is>
          <t xml:space="preserve"> </t>
        </is>
      </c>
      <c r="Q21" s="99" t="inlineStr">
        <is>
          <t xml:space="preserve"> </t>
        </is>
      </c>
      <c r="R21" s="100" t="inlineStr">
        <is>
          <t xml:space="preserve"> </t>
        </is>
      </c>
      <c r="S21" t="inlineStr">
        <is>
          <t>No se encontró ejecución en CUIPO</t>
        </is>
      </c>
      <c r="T21" s="101" t="inlineStr">
        <is>
          <t xml:space="preserve"> </t>
        </is>
      </c>
      <c r="U21" s="101" t="inlineStr">
        <is>
          <t xml:space="preserve"> </t>
        </is>
      </c>
      <c r="V21" s="101" t="inlineStr">
        <is>
          <t xml:space="preserve"> </t>
        </is>
      </c>
      <c r="W21" s="102" t="inlineStr">
        <is>
          <t xml:space="preserve"> </t>
        </is>
      </c>
      <c r="X21" t="inlineStr">
        <is>
          <t>No se encontró ejecución en CUIPO</t>
        </is>
      </c>
    </row>
    <row r="22">
      <c r="A22" t="inlineStr">
        <is>
          <t>IP-19</t>
        </is>
      </c>
      <c r="B22" t="inlineStr">
        <is>
          <t>32</t>
        </is>
      </c>
      <c r="C22" t="inlineStr">
        <is>
          <t>Ambiente y desarrollo sostenible</t>
        </is>
      </c>
      <c r="D22" t="inlineStr">
        <is>
          <t>3208</t>
        </is>
      </c>
      <c r="E22" t="inlineStr">
        <is>
          <t xml:space="preserve">Educación Ambiental </t>
        </is>
      </c>
      <c r="F22" t="inlineStr">
        <is>
          <t>3208008</t>
        </is>
      </c>
      <c r="G22" t="inlineStr">
        <is>
          <t>Servicio de divulgación de la información de la política nacional de educación ambiental y participación</t>
        </is>
      </c>
      <c r="H22" t="inlineStr">
        <is>
          <t xml:space="preserve">Acciones orientadas a difundir la información ambiental en el marco de la educación ambiental </t>
        </is>
      </c>
      <c r="I22" t="inlineStr">
        <is>
          <t>2024254860006</t>
        </is>
      </c>
      <c r="J22" s="99">
        <v>0</v>
      </c>
      <c r="K22" s="99">
        <v>0</v>
      </c>
      <c r="L22" s="99">
        <v>0</v>
      </c>
      <c r="M22" s="99">
        <v>0</v>
      </c>
      <c r="N22" s="99">
        <v>0</v>
      </c>
      <c r="O22" s="99" t="inlineStr">
        <is>
          <t xml:space="preserve"> </t>
        </is>
      </c>
      <c r="P22" s="99" t="inlineStr">
        <is>
          <t xml:space="preserve"> </t>
        </is>
      </c>
      <c r="Q22" s="99" t="inlineStr">
        <is>
          <t xml:space="preserve"> </t>
        </is>
      </c>
      <c r="R22" s="100" t="inlineStr">
        <is>
          <t xml:space="preserve"> </t>
        </is>
      </c>
      <c r="S22" t="inlineStr">
        <is>
          <t>No se encontró ejecución en CUIPO</t>
        </is>
      </c>
      <c r="T22" s="101" t="inlineStr">
        <is>
          <t xml:space="preserve"> </t>
        </is>
      </c>
      <c r="U22" s="101" t="inlineStr">
        <is>
          <t xml:space="preserve"> </t>
        </is>
      </c>
      <c r="V22" s="101" t="inlineStr">
        <is>
          <t xml:space="preserve"> </t>
        </is>
      </c>
      <c r="W22" s="102" t="inlineStr">
        <is>
          <t xml:space="preserve"> </t>
        </is>
      </c>
      <c r="X22" t="inlineStr">
        <is>
          <t>No se encontró ejecución en CUIPO</t>
        </is>
      </c>
    </row>
    <row r="23">
      <c r="A23" t="inlineStr">
        <is>
          <t>IP-20</t>
        </is>
      </c>
      <c r="B23" t="inlineStr">
        <is>
          <t>32</t>
        </is>
      </c>
      <c r="C23" t="inlineStr">
        <is>
          <t>Ambiente y desarrollo sostenible</t>
        </is>
      </c>
      <c r="D23" t="inlineStr">
        <is>
          <t>3202</t>
        </is>
      </c>
      <c r="E23" t="inlineStr">
        <is>
          <t>Conservación de la biodiversidad y sus servicios ecosistémicos</t>
        </is>
      </c>
      <c r="F23" t="inlineStr">
        <is>
          <t>3202005</t>
        </is>
      </c>
      <c r="G23" t="inlineStr">
        <is>
          <t>Servicio de restauración de ecosistemas</t>
        </is>
      </c>
      <c r="H23" t="inlineStr">
        <is>
          <t>Incluye el restablecimiento del ecosistema degradado a una condición similar al ecosistema pre disturbio respecto a su composición, estructura, y funcionamiento. </t>
        </is>
      </c>
      <c r="I23" t="inlineStr">
        <is>
          <t>2024254860002</t>
        </is>
      </c>
      <c r="J23" s="99">
        <v>2090272840.8793</v>
      </c>
      <c r="K23" s="99">
        <v>484746523</v>
      </c>
      <c r="L23" s="99">
        <v>515282913</v>
      </c>
      <c r="M23" s="99">
        <v>534433041.6075</v>
      </c>
      <c r="N23" s="99">
        <v>555810363.2718</v>
      </c>
      <c r="O23" s="99" t="inlineStr">
        <is>
          <t xml:space="preserve"> </t>
        </is>
      </c>
      <c r="P23" s="99" t="inlineStr">
        <is>
          <t xml:space="preserve"> </t>
        </is>
      </c>
      <c r="Q23" s="99" t="inlineStr">
        <is>
          <t xml:space="preserve"> </t>
        </is>
      </c>
      <c r="R23" s="100" t="inlineStr">
        <is>
          <t xml:space="preserve"> </t>
        </is>
      </c>
      <c r="S23" t="inlineStr">
        <is>
          <t>No se encontró ejecución en CUIPO</t>
        </is>
      </c>
      <c r="T23" s="101" t="inlineStr">
        <is>
          <t xml:space="preserve"> </t>
        </is>
      </c>
      <c r="U23" s="101" t="inlineStr">
        <is>
          <t xml:space="preserve"> </t>
        </is>
      </c>
      <c r="V23" s="101" t="inlineStr">
        <is>
          <t xml:space="preserve"> </t>
        </is>
      </c>
      <c r="W23" s="102" t="inlineStr">
        <is>
          <t xml:space="preserve"> </t>
        </is>
      </c>
      <c r="X23" t="inlineStr">
        <is>
          <t>No se encontró ejecución en CUIPO</t>
        </is>
      </c>
    </row>
    <row r="24">
      <c r="A24" t="inlineStr">
        <is>
          <t>IP-21</t>
        </is>
      </c>
      <c r="B24" t="inlineStr">
        <is>
          <t>32</t>
        </is>
      </c>
      <c r="C24" t="inlineStr">
        <is>
          <t>Ambiente y desarrollo sostenible</t>
        </is>
      </c>
      <c r="D24" t="inlineStr">
        <is>
          <t>3203</t>
        </is>
      </c>
      <c r="E24" t="inlineStr">
        <is>
          <t>Gestión integral del recurso hídrico</t>
        </is>
      </c>
      <c r="F24" t="inlineStr">
        <is>
          <t>3203002</t>
        </is>
      </c>
      <c r="G24" t="inlineStr">
        <is>
          <t>Documentos de planeación para la gestión integral del recurso hídrico</t>
        </is>
      </c>
      <c r="H24" t="inlineStr">
        <is>
          <t>Documentos cuyo objetivo es plasmar una visión de futuro a nivel país, entidad territorial, comunidad, sector, región, entidad o cualquier nivel de desagregación que se requiera. Incluye objetivos, estrategias, metas e indicadores</t>
        </is>
      </c>
      <c r="I24" t="inlineStr">
        <is>
          <t>2024254860002</t>
        </is>
      </c>
      <c r="J24" s="99">
        <v>48736500</v>
      </c>
      <c r="K24" s="99">
        <v>15000000</v>
      </c>
      <c r="L24" s="99">
        <v>0</v>
      </c>
      <c r="M24" s="99">
        <v>16537500</v>
      </c>
      <c r="N24" s="99">
        <v>17199000</v>
      </c>
      <c r="O24" s="99">
        <v>12600000</v>
      </c>
      <c r="P24" s="99">
        <v>12600000</v>
      </c>
      <c r="Q24" s="99">
        <v>12600000</v>
      </c>
      <c r="R24" s="100">
        <v>0.84</v>
      </c>
      <c r="S24" t="inlineStr">
        <is>
          <t>Lo obligado está por debajo de lo programado en la vigencia</t>
        </is>
      </c>
      <c r="T24" s="101" t="inlineStr">
        <is>
          <t xml:space="preserve"> </t>
        </is>
      </c>
      <c r="U24" s="101" t="inlineStr">
        <is>
          <t xml:space="preserve"> </t>
        </is>
      </c>
      <c r="V24" s="101" t="inlineStr">
        <is>
          <t xml:space="preserve"> </t>
        </is>
      </c>
      <c r="W24" s="102" t="inlineStr">
        <is>
          <t xml:space="preserve"> </t>
        </is>
      </c>
      <c r="X24" t="inlineStr">
        <is>
          <t>No se encontró ejecución en CUIPO</t>
        </is>
      </c>
    </row>
    <row r="25">
      <c r="A25" t="inlineStr">
        <is>
          <t>IP-22</t>
        </is>
      </c>
      <c r="B25" t="inlineStr">
        <is>
          <t>32</t>
        </is>
      </c>
      <c r="C25" t="inlineStr">
        <is>
          <t>Ambiente y desarrollo sostenible</t>
        </is>
      </c>
      <c r="D25" t="inlineStr">
        <is>
          <t>3201</t>
        </is>
      </c>
      <c r="E25" t="inlineStr">
        <is>
          <t>Fortalecimiento del desempeño ambiental de los sectores productivos</t>
        </is>
      </c>
      <c r="F25" t="inlineStr">
        <is>
          <t>3201003</t>
        </is>
      </c>
      <c r="G25" t="inlineStr">
        <is>
          <t>Servicio de asistencia técnica para la consolidación de negocios verdes</t>
        </is>
      </c>
      <c r="H25" t="inlineStr">
        <is>
          <t>Incluye la verificación y asesoría técnica en la consolidación de negocios verdes </t>
        </is>
      </c>
      <c r="I25" t="inlineStr">
        <is>
          <t>2024254860007</t>
        </is>
      </c>
      <c r="J25" s="99">
        <v>37689560</v>
      </c>
      <c r="K25" s="99">
        <v>11600000</v>
      </c>
      <c r="L25" s="99">
        <v>0</v>
      </c>
      <c r="M25" s="99">
        <v>12789000</v>
      </c>
      <c r="N25" s="99">
        <v>13300560</v>
      </c>
      <c r="O25" s="99" t="inlineStr">
        <is>
          <t xml:space="preserve"> </t>
        </is>
      </c>
      <c r="P25" s="99" t="inlineStr">
        <is>
          <t xml:space="preserve"> </t>
        </is>
      </c>
      <c r="Q25" s="99" t="inlineStr">
        <is>
          <t xml:space="preserve"> </t>
        </is>
      </c>
      <c r="R25" s="100" t="inlineStr">
        <is>
          <t xml:space="preserve"> </t>
        </is>
      </c>
      <c r="S25" t="inlineStr">
        <is>
          <t>No se encontró ejecución en CUIPO</t>
        </is>
      </c>
      <c r="T25" s="101" t="inlineStr">
        <is>
          <t xml:space="preserve"> </t>
        </is>
      </c>
      <c r="U25" s="101" t="inlineStr">
        <is>
          <t xml:space="preserve"> </t>
        </is>
      </c>
      <c r="V25" s="101" t="inlineStr">
        <is>
          <t xml:space="preserve"> </t>
        </is>
      </c>
      <c r="W25" s="102" t="inlineStr">
        <is>
          <t xml:space="preserve"> </t>
        </is>
      </c>
      <c r="X25" t="inlineStr">
        <is>
          <t>No se encontró ejecución en CUIPO</t>
        </is>
      </c>
    </row>
    <row r="26">
      <c r="A26" t="inlineStr">
        <is>
          <t>IP-23, IP-3</t>
        </is>
      </c>
      <c r="B26" t="inlineStr">
        <is>
          <t>32</t>
        </is>
      </c>
      <c r="C26" t="inlineStr">
        <is>
          <t>Ambiente y desarrollo sostenible</t>
        </is>
      </c>
      <c r="D26" t="inlineStr">
        <is>
          <t>3202</t>
        </is>
      </c>
      <c r="E26" t="inlineStr">
        <is>
          <t>Conservación de la biodiversidad y sus servicios ecosistémicos</t>
        </is>
      </c>
      <c r="F26" t="inlineStr">
        <is>
          <t>3202070</t>
        </is>
      </c>
      <c r="G26" t="inlineStr">
        <is>
          <t>Sistemas alternativos de gestión de la biomasa instalado</t>
        </is>
      </c>
      <c r="H26" t="inlineStr">
        <is>
          <t>Corresponde al acople e instalación en sitio de los componentes de los sistemas alternativos no convencionales de bajo impacto que imitan un proceso biológico natural, utilizando biomasa y aprovechando la capacidad metabólica de algunos organismos para reducir o neutralizar las sustancias peligrosas que contiene, recuperar materias o sustancias valorizables, facilitar el uso como fuente de energía o enmiendas orgánicas como una solución familiar</t>
        </is>
      </c>
      <c r="I26" t="inlineStr">
        <is>
          <t>2024254860003</t>
        </is>
      </c>
      <c r="J26" s="99">
        <v>7515433</v>
      </c>
      <c r="K26" s="99">
        <v>1000000</v>
      </c>
      <c r="L26" s="99">
        <v>4266333</v>
      </c>
      <c r="M26" s="99">
        <v>1102500</v>
      </c>
      <c r="N26" s="99">
        <v>1146600</v>
      </c>
      <c r="O26" s="99">
        <v>1000000</v>
      </c>
      <c r="P26" s="99">
        <v>1000000</v>
      </c>
      <c r="Q26" s="99">
        <v>1000000</v>
      </c>
      <c r="R26" s="100">
        <v>1</v>
      </c>
      <c r="S26" t="inlineStr">
        <is>
          <t>Se ejecutó el 100% de lo programado en la vigencia</t>
        </is>
      </c>
      <c r="T26" s="101">
        <v>1380000</v>
      </c>
      <c r="U26" s="101">
        <v>1380000</v>
      </c>
      <c r="V26" s="101">
        <v>1380000</v>
      </c>
      <c r="W26" s="102">
        <v>0.323462795801453</v>
      </c>
      <c r="X26" t="inlineStr">
        <is>
          <t>Lo obligado está por debajo de lo programado en la vigencia</t>
        </is>
      </c>
    </row>
    <row r="27">
      <c r="A27" t="inlineStr">
        <is>
          <t>IP-24</t>
        </is>
      </c>
      <c r="B27" t="inlineStr">
        <is>
          <t>32</t>
        </is>
      </c>
      <c r="C27" t="inlineStr">
        <is>
          <t>Ambiente y desarrollo sostenible</t>
        </is>
      </c>
      <c r="D27" t="inlineStr">
        <is>
          <t>3203</t>
        </is>
      </c>
      <c r="E27" t="inlineStr">
        <is>
          <t>Gestión integral del recurso hídrico</t>
        </is>
      </c>
      <c r="F27" t="inlineStr">
        <is>
          <t>3203050</t>
        </is>
      </c>
      <c r="G27" t="inlineStr">
        <is>
          <t>Servicio de protección del recurso hídrico</t>
        </is>
      </c>
      <c r="H27" t="inlineStr">
        <is>
          <t>Incluye acciones orientadas a la administración y manejo de áreas de reserva hídrica o zonas de reserva natural para la protección de las fuentes hídricas.</t>
        </is>
      </c>
      <c r="I27" t="inlineStr">
        <is>
          <t>2024254860008</t>
        </is>
      </c>
      <c r="J27" s="99">
        <v>0</v>
      </c>
      <c r="K27" s="99">
        <v>0</v>
      </c>
      <c r="L27" s="99">
        <v>0</v>
      </c>
      <c r="M27" s="99">
        <v>0</v>
      </c>
      <c r="N27" s="99">
        <v>0</v>
      </c>
      <c r="O27" s="99" t="inlineStr">
        <is>
          <t xml:space="preserve"> </t>
        </is>
      </c>
      <c r="P27" s="99" t="inlineStr">
        <is>
          <t xml:space="preserve"> </t>
        </is>
      </c>
      <c r="Q27" s="99" t="inlineStr">
        <is>
          <t xml:space="preserve"> </t>
        </is>
      </c>
      <c r="R27" s="100" t="inlineStr">
        <is>
          <t xml:space="preserve"> </t>
        </is>
      </c>
      <c r="S27" t="inlineStr">
        <is>
          <t>No se encontró ejecución en CUIPO</t>
        </is>
      </c>
      <c r="T27" s="101" t="inlineStr">
        <is>
          <t xml:space="preserve"> </t>
        </is>
      </c>
      <c r="U27" s="101" t="inlineStr">
        <is>
          <t xml:space="preserve"> </t>
        </is>
      </c>
      <c r="V27" s="101" t="inlineStr">
        <is>
          <t xml:space="preserve"> </t>
        </is>
      </c>
      <c r="W27" s="102" t="inlineStr">
        <is>
          <t xml:space="preserve"> </t>
        </is>
      </c>
      <c r="X27" t="inlineStr">
        <is>
          <t>No se encontró ejecución en CUIPO</t>
        </is>
      </c>
    </row>
    <row r="28">
      <c r="A28" t="inlineStr">
        <is>
          <t>IP-25</t>
        </is>
      </c>
      <c r="B28" t="inlineStr">
        <is>
          <t>45</t>
        </is>
      </c>
      <c r="C28" t="inlineStr">
        <is>
          <t>Gobierno Territorial</t>
        </is>
      </c>
      <c r="D28" t="inlineStr">
        <is>
          <t>4501</t>
        </is>
      </c>
      <c r="E28" t="inlineStr">
        <is>
          <t>Fortalecimiento de la convivencia y la seguridad ciudadana</t>
        </is>
      </c>
      <c r="F28" t="inlineStr">
        <is>
          <t>4501082</t>
        </is>
      </c>
      <c r="G28" t="inlineStr">
        <is>
          <t>Servicio de apoyo para la atención especializada e interdisciplinaria en las comisarias de familia</t>
        </is>
      </c>
      <c r="H28" t="inlineStr">
        <is>
          <t>Recursos para garantizar la atención de las comisarías de familia a aquellas personas que han sido victimas de violencia en el contexto familiar según lo establecido en la normatividad vigente.</t>
        </is>
      </c>
      <c r="I28" t="inlineStr">
        <is>
          <t>2024254860009</t>
        </is>
      </c>
      <c r="J28" s="99">
        <v>1083198685.4964</v>
      </c>
      <c r="K28" s="99">
        <v>258725004</v>
      </c>
      <c r="L28" s="99">
        <v>242575275</v>
      </c>
      <c r="M28" s="99">
        <v>285244316.91</v>
      </c>
      <c r="N28" s="99">
        <v>296654089.5864</v>
      </c>
      <c r="O28" s="99" t="inlineStr">
        <is>
          <t xml:space="preserve"> </t>
        </is>
      </c>
      <c r="P28" s="99" t="inlineStr">
        <is>
          <t xml:space="preserve"> </t>
        </is>
      </c>
      <c r="Q28" s="99" t="inlineStr">
        <is>
          <t xml:space="preserve"> </t>
        </is>
      </c>
      <c r="R28" s="100" t="inlineStr">
        <is>
          <t xml:space="preserve"> </t>
        </is>
      </c>
      <c r="S28" t="inlineStr">
        <is>
          <t>No se encontró ejecución en CUIPO</t>
        </is>
      </c>
      <c r="T28" s="101" t="inlineStr">
        <is>
          <t xml:space="preserve"> </t>
        </is>
      </c>
      <c r="U28" s="101" t="inlineStr">
        <is>
          <t xml:space="preserve"> </t>
        </is>
      </c>
      <c r="V28" s="101" t="inlineStr">
        <is>
          <t xml:space="preserve"> </t>
        </is>
      </c>
      <c r="W28" s="102" t="inlineStr">
        <is>
          <t xml:space="preserve"> </t>
        </is>
      </c>
      <c r="X28" t="inlineStr">
        <is>
          <t>No se encontró ejecución en CUIPO</t>
        </is>
      </c>
    </row>
    <row r="29">
      <c r="A29" t="inlineStr">
        <is>
          <t>IP-26</t>
        </is>
      </c>
      <c r="B29" t="inlineStr">
        <is>
          <t>41</t>
        </is>
      </c>
      <c r="C29" t="inlineStr">
        <is>
          <t xml:space="preserve">Inclusión social y reconciliación </t>
        </is>
      </c>
      <c r="D29" t="inlineStr">
        <is>
          <t>4103</t>
        </is>
      </c>
      <c r="E29" t="inlineStr">
        <is>
          <t>Inclusión social y productiva para la población en situación de vulnerabilidad</t>
        </is>
      </c>
      <c r="F29" t="inlineStr">
        <is>
          <t>4103050</t>
        </is>
      </c>
      <c r="G29" t="inlineStr">
        <is>
          <t>Servicio de acompañamiento familiar y comunitario para la superación de la pobreza</t>
        </is>
      </c>
      <c r="H29" t="inlineStr">
        <is>
          <t>Incluye el desarrollo de acciones mediante las cuales se busca fortalecer la capacidad de autogestión y el tejido social en los hogares que se encuentran en situación de pobreza y en las comunidades focalizadas, para mejorar sus condiciones de vida. Tiene componentes de acompañamiento familiar y comunitario y de gestión de oferta institucional.</t>
        </is>
      </c>
      <c r="I29" t="inlineStr">
        <is>
          <t>2024254860009</t>
        </is>
      </c>
      <c r="J29" s="99">
        <v>3252342.6018</v>
      </c>
      <c r="K29" s="99">
        <v>1000998</v>
      </c>
      <c r="L29" s="99">
        <v>0</v>
      </c>
      <c r="M29" s="99">
        <v>1103600.295</v>
      </c>
      <c r="N29" s="99">
        <v>1147744.3068</v>
      </c>
      <c r="O29" s="99">
        <v>108817109</v>
      </c>
      <c r="P29" s="99">
        <v>108817109</v>
      </c>
      <c r="Q29" s="99">
        <v>108817109</v>
      </c>
      <c r="R29" s="100">
        <v>108.708617799436</v>
      </c>
      <c r="S29" t="inlineStr">
        <is>
          <t>Hubo ejecución por encima de lo programado en SisPT</t>
        </is>
      </c>
      <c r="T29" s="101">
        <v>85792467</v>
      </c>
      <c r="U29" s="101">
        <v>47688853</v>
      </c>
      <c r="V29" s="101">
        <v>47688853</v>
      </c>
      <c r="W29" s="102" t="inlineStr">
        <is>
          <t xml:space="preserve"> </t>
        </is>
      </c>
      <c r="X29" t="inlineStr">
        <is>
          <t>Se ejecutó un producto no programado en la vigencia</t>
        </is>
      </c>
    </row>
    <row r="30">
      <c r="A30" t="inlineStr">
        <is>
          <t>IP-27</t>
        </is>
      </c>
      <c r="B30" t="inlineStr">
        <is>
          <t>41</t>
        </is>
      </c>
      <c r="C30" t="inlineStr">
        <is>
          <t xml:space="preserve">Inclusión social y reconciliación </t>
        </is>
      </c>
      <c r="D30" t="inlineStr">
        <is>
          <t>4103</t>
        </is>
      </c>
      <c r="E30" t="inlineStr">
        <is>
          <t>Inclusión social y productiva para la población en situación de vulnerabilidad</t>
        </is>
      </c>
      <c r="F30" t="inlineStr">
        <is>
          <t>4103017</t>
        </is>
      </c>
      <c r="G30" t="inlineStr">
        <is>
          <t>Servicio de entrega de raciones de alimentos</t>
        </is>
      </c>
      <c r="H30" t="inlineStr">
        <is>
          <t>En el marco de seguridad alimentaria se suministran raciones de alimentos para comunidades vulnerables.</t>
        </is>
      </c>
      <c r="I30" t="inlineStr">
        <is>
          <t>2024254860009</t>
        </is>
      </c>
      <c r="J30" s="99">
        <v>34159327.2503</v>
      </c>
      <c r="K30" s="99">
        <v>6533333</v>
      </c>
      <c r="L30" s="99">
        <v>12931875</v>
      </c>
      <c r="M30" s="99">
        <v>7202999.6325</v>
      </c>
      <c r="N30" s="99">
        <v>7491119.6178</v>
      </c>
      <c r="O30" s="99">
        <v>6517500</v>
      </c>
      <c r="P30" s="99">
        <v>6517500</v>
      </c>
      <c r="Q30" s="99">
        <v>6517500</v>
      </c>
      <c r="R30" s="100">
        <v>0.997576581509009</v>
      </c>
      <c r="S30" t="inlineStr">
        <is>
          <t>Lo obligado está por debajo de lo programado en la vigencia</t>
        </is>
      </c>
      <c r="T30" s="101">
        <v>0</v>
      </c>
      <c r="U30" s="101">
        <v>0</v>
      </c>
      <c r="V30" s="101">
        <v>0</v>
      </c>
      <c r="W30" s="102">
        <v>0</v>
      </c>
      <c r="X30" t="inlineStr">
        <is>
          <t>No se ejecutó en la vigencia</t>
        </is>
      </c>
    </row>
    <row r="31">
      <c r="A31" t="inlineStr">
        <is>
          <t>IP-28</t>
        </is>
      </c>
      <c r="B31" t="inlineStr">
        <is>
          <t>41</t>
        </is>
      </c>
      <c r="C31" t="inlineStr">
        <is>
          <t xml:space="preserve">Inclusión social y reconciliación </t>
        </is>
      </c>
      <c r="D31" t="inlineStr">
        <is>
          <t>4103</t>
        </is>
      </c>
      <c r="E31" t="inlineStr">
        <is>
          <t>Inclusión social y productiva para la población en situación de vulnerabilidad</t>
        </is>
      </c>
      <c r="F31" t="inlineStr">
        <is>
          <t>4103061</t>
        </is>
      </c>
      <c r="G31" t="inlineStr">
        <is>
          <t>Servicio de apoyo financiero para la entrega de transferencias monetarias no condicionadas</t>
        </is>
      </c>
      <c r="H31" t="inlineStr">
        <is>
          <t>Corresponde al apoyo financiero otorgado a la población en situación de vulnerabilidad o pobreza, con el fin de ser un complemento a los ingresos de dicha población.</t>
        </is>
      </c>
      <c r="I31" t="inlineStr">
        <is>
          <t>2024254860009</t>
        </is>
      </c>
      <c r="J31" s="99">
        <v>38640132.2503</v>
      </c>
      <c r="K31" s="99">
        <v>6333333</v>
      </c>
      <c r="L31" s="99">
        <v>18062500</v>
      </c>
      <c r="M31" s="99">
        <v>6982499.6325</v>
      </c>
      <c r="N31" s="99">
        <v>7261799.6178</v>
      </c>
      <c r="O31" s="99">
        <v>5850000</v>
      </c>
      <c r="P31" s="99">
        <v>5850000</v>
      </c>
      <c r="Q31" s="99">
        <v>5850000</v>
      </c>
      <c r="R31" s="100">
        <v>0.923684259141277</v>
      </c>
      <c r="S31" t="inlineStr">
        <is>
          <t>Lo obligado está por debajo de lo programado en la vigencia</t>
        </is>
      </c>
      <c r="T31" s="101">
        <v>28916667</v>
      </c>
      <c r="U31" s="101">
        <v>18916666</v>
      </c>
      <c r="V31" s="101">
        <v>18916666</v>
      </c>
      <c r="W31" s="102">
        <v>1.04728946712803</v>
      </c>
      <c r="X31" t="inlineStr">
        <is>
          <t>Hubo ejecución por encima de lo programado en SisPT</t>
        </is>
      </c>
    </row>
    <row r="32">
      <c r="A32" t="inlineStr">
        <is>
          <t>IP-29</t>
        </is>
      </c>
      <c r="B32" t="inlineStr">
        <is>
          <t>41</t>
        </is>
      </c>
      <c r="C32" t="inlineStr">
        <is>
          <t xml:space="preserve">Inclusión social y reconciliación </t>
        </is>
      </c>
      <c r="D32" t="inlineStr">
        <is>
          <t>4103</t>
        </is>
      </c>
      <c r="E32" t="inlineStr">
        <is>
          <t>Inclusión social y productiva para la población en situación de vulnerabilidad</t>
        </is>
      </c>
      <c r="F32" t="inlineStr">
        <is>
          <t>4103071</t>
        </is>
      </c>
      <c r="G32" t="inlineStr">
        <is>
          <t>Estudios de preinversión</t>
        </is>
      </c>
      <c r="H32" t="inlineStr">
        <is>
          <t>Incluye la realización de los estudios requeridos en las fases de pre factibilidad, factibilidad o definitivos.</t>
        </is>
      </c>
      <c r="I32" t="inlineStr">
        <is>
          <t>2024254860009</t>
        </is>
      </c>
      <c r="J32" s="99">
        <v>0</v>
      </c>
      <c r="K32" s="99">
        <v>0</v>
      </c>
      <c r="L32" s="99">
        <v>0</v>
      </c>
      <c r="M32" s="99">
        <v>0</v>
      </c>
      <c r="N32" s="99">
        <v>0</v>
      </c>
      <c r="O32" s="99" t="inlineStr">
        <is>
          <t xml:space="preserve"> </t>
        </is>
      </c>
      <c r="P32" s="99" t="inlineStr">
        <is>
          <t xml:space="preserve"> </t>
        </is>
      </c>
      <c r="Q32" s="99" t="inlineStr">
        <is>
          <t xml:space="preserve"> </t>
        </is>
      </c>
      <c r="R32" s="100" t="inlineStr">
        <is>
          <t xml:space="preserve"> </t>
        </is>
      </c>
      <c r="S32" t="inlineStr">
        <is>
          <t>No se encontró ejecución en CUIPO</t>
        </is>
      </c>
      <c r="T32" s="101" t="inlineStr">
        <is>
          <t xml:space="preserve"> </t>
        </is>
      </c>
      <c r="U32" s="101" t="inlineStr">
        <is>
          <t xml:space="preserve"> </t>
        </is>
      </c>
      <c r="V32" s="101" t="inlineStr">
        <is>
          <t xml:space="preserve"> </t>
        </is>
      </c>
      <c r="W32" s="102" t="inlineStr">
        <is>
          <t xml:space="preserve"> </t>
        </is>
      </c>
      <c r="X32" t="inlineStr">
        <is>
          <t>No se encontró ejecución en CUIPO</t>
        </is>
      </c>
    </row>
    <row r="33">
      <c r="A33" t="inlineStr">
        <is>
          <t>IP-30</t>
        </is>
      </c>
      <c r="B33" t="inlineStr">
        <is>
          <t>41</t>
        </is>
      </c>
      <c r="C33" t="inlineStr">
        <is>
          <t xml:space="preserve">Inclusión social y reconciliación </t>
        </is>
      </c>
      <c r="D33" t="inlineStr">
        <is>
          <t>4102</t>
        </is>
      </c>
      <c r="E33" t="inlineStr">
        <is>
          <t>Desarrollo integral de la primera infancia a la juventud, y fortalecimiento de las capacidades de las familias de niñas, niños y adolescentes</t>
        </is>
      </c>
      <c r="F33" t="inlineStr">
        <is>
          <t>4102042</t>
        </is>
      </c>
      <c r="G33" t="inlineStr">
        <is>
          <t>Servicio de asistencia técnica a comunidades en temas de fortalecimiento del tejido social y construcción de escenarios comunitarios protectores de derechos</t>
        </is>
      </c>
      <c r="H33" t="inlineStr">
        <is>
          <t>Incluye el desarrollo de acciones de intervención comunitaria,  transmisión de saberes intergeneracionales y acciones de formación comunitaria con enfoque diferencial, que favorezcan la activación de redes sociales e institucionales de protección de derechos de los integrantes de las familias.</t>
        </is>
      </c>
      <c r="I33" t="inlineStr">
        <is>
          <t>2024254860010</t>
        </is>
      </c>
      <c r="J33" s="99">
        <v>0</v>
      </c>
      <c r="K33" s="99">
        <v>0</v>
      </c>
      <c r="L33" s="99">
        <v>0</v>
      </c>
      <c r="M33" s="99">
        <v>0</v>
      </c>
      <c r="N33" s="99">
        <v>0</v>
      </c>
      <c r="O33" s="99" t="inlineStr">
        <is>
          <t xml:space="preserve"> </t>
        </is>
      </c>
      <c r="P33" s="99" t="inlineStr">
        <is>
          <t xml:space="preserve"> </t>
        </is>
      </c>
      <c r="Q33" s="99" t="inlineStr">
        <is>
          <t xml:space="preserve"> </t>
        </is>
      </c>
      <c r="R33" s="100" t="inlineStr">
        <is>
          <t xml:space="preserve"> </t>
        </is>
      </c>
      <c r="S33" t="inlineStr">
        <is>
          <t>No se encontró ejecución en CUIPO</t>
        </is>
      </c>
      <c r="T33" s="101" t="inlineStr">
        <is>
          <t xml:space="preserve"> </t>
        </is>
      </c>
      <c r="U33" s="101" t="inlineStr">
        <is>
          <t xml:space="preserve"> </t>
        </is>
      </c>
      <c r="V33" s="101" t="inlineStr">
        <is>
          <t xml:space="preserve"> </t>
        </is>
      </c>
      <c r="W33" s="102" t="inlineStr">
        <is>
          <t xml:space="preserve"> </t>
        </is>
      </c>
      <c r="X33" t="inlineStr">
        <is>
          <t>No se encontró ejecución en CUIPO</t>
        </is>
      </c>
    </row>
    <row r="34">
      <c r="A34" t="inlineStr">
        <is>
          <t>IP-31</t>
        </is>
      </c>
      <c r="B34" t="inlineStr">
        <is>
          <t>41</t>
        </is>
      </c>
      <c r="C34" t="inlineStr">
        <is>
          <t xml:space="preserve">Inclusión social y reconciliación </t>
        </is>
      </c>
      <c r="D34" t="inlineStr">
        <is>
          <t>4102</t>
        </is>
      </c>
      <c r="E34" t="inlineStr">
        <is>
          <t>Desarrollo integral de la primera infancia a la juventud, y fortalecimiento de las capacidades de las familias de niñas, niños y adolescentes</t>
        </is>
      </c>
      <c r="F34" t="inlineStr">
        <is>
          <t>4102001</t>
        </is>
      </c>
      <c r="G34" t="inlineStr">
        <is>
          <t>Servicio de atención integral a la primera infancia</t>
        </is>
      </c>
      <c r="H34" t="inlineStr">
        <is>
          <t xml:space="preserve">
Servicio dispuestos para atender a los niños y niñas en primera infancia, con el fin de promover su desarrollo integral a través de la atención en educación inicial, cuidado calificado, salud, nutrición, protección y acompañamiento familiar.
</t>
        </is>
      </c>
      <c r="I34" t="inlineStr">
        <is>
          <t>2024254860010</t>
        </is>
      </c>
      <c r="J34" s="99">
        <v>90944175</v>
      </c>
      <c r="K34" s="99">
        <v>11750000</v>
      </c>
      <c r="L34" s="99">
        <v>52767250</v>
      </c>
      <c r="M34" s="99">
        <v>12954375</v>
      </c>
      <c r="N34" s="99">
        <v>13472550</v>
      </c>
      <c r="O34" s="99">
        <v>8000000</v>
      </c>
      <c r="P34" s="99">
        <v>8000000</v>
      </c>
      <c r="Q34" s="99">
        <v>8000000</v>
      </c>
      <c r="R34" s="100">
        <v>0.680851063829787</v>
      </c>
      <c r="S34" t="inlineStr">
        <is>
          <t>Lo obligado está por debajo de lo programado en la vigencia</t>
        </is>
      </c>
      <c r="T34" s="101">
        <v>78625333</v>
      </c>
      <c r="U34" s="101">
        <v>55951666</v>
      </c>
      <c r="V34" s="101">
        <v>55951666</v>
      </c>
      <c r="W34" s="102">
        <v>1.06034834106382</v>
      </c>
      <c r="X34" t="inlineStr">
        <is>
          <t>Hubo ejecución por encima de lo programado en SisPT</t>
        </is>
      </c>
    </row>
    <row r="35">
      <c r="A35" t="inlineStr">
        <is>
          <t>IP-33, IP-43</t>
        </is>
      </c>
      <c r="B35" t="inlineStr">
        <is>
          <t>41</t>
        </is>
      </c>
      <c r="C35" t="inlineStr">
        <is>
          <t xml:space="preserve">Inclusión social y reconciliación </t>
        </is>
      </c>
      <c r="D35" t="inlineStr">
        <is>
          <t>4103</t>
        </is>
      </c>
      <c r="E35" t="inlineStr">
        <is>
          <t>Inclusión social y productiva para la población en situación de vulnerabilidad</t>
        </is>
      </c>
      <c r="F35" t="inlineStr">
        <is>
          <t>4103067</t>
        </is>
      </c>
      <c r="G35" t="inlineStr">
        <is>
          <t>Documentos de planeación</t>
        </is>
      </c>
      <c r="H35" t="inlineStr">
        <is>
          <t>Consiste en la formulación de documentos cuyo objetivo es plasmar una visión de futuro a nivel país, entidad territorial, comunidad, sector, región, entidad o cualquier nivel de desagregación que se requiera, plasmando elementos como objetivos, estrategias, metas e indicadores.</t>
        </is>
      </c>
      <c r="I35" t="inlineStr">
        <is>
          <t>2024254860009</t>
        </is>
      </c>
      <c r="J35" s="99">
        <v>37906167.7497</v>
      </c>
      <c r="K35" s="99">
        <v>11666667</v>
      </c>
      <c r="L35" s="99">
        <v>0</v>
      </c>
      <c r="M35" s="99">
        <v>12862500.3675</v>
      </c>
      <c r="N35" s="99">
        <v>13377000.3822</v>
      </c>
      <c r="O35" s="99" t="inlineStr">
        <is>
          <t xml:space="preserve"> </t>
        </is>
      </c>
      <c r="P35" s="99" t="inlineStr">
        <is>
          <t xml:space="preserve"> </t>
        </is>
      </c>
      <c r="Q35" s="99" t="inlineStr">
        <is>
          <t xml:space="preserve"> </t>
        </is>
      </c>
      <c r="R35" s="100" t="inlineStr">
        <is>
          <t xml:space="preserve"> </t>
        </is>
      </c>
      <c r="S35" t="inlineStr">
        <is>
          <t>No se encontró ejecución en CUIPO</t>
        </is>
      </c>
      <c r="T35" s="101" t="inlineStr">
        <is>
          <t xml:space="preserve"> </t>
        </is>
      </c>
      <c r="U35" s="101" t="inlineStr">
        <is>
          <t xml:space="preserve"> </t>
        </is>
      </c>
      <c r="V35" s="101" t="inlineStr">
        <is>
          <t xml:space="preserve"> </t>
        </is>
      </c>
      <c r="W35" s="102" t="inlineStr">
        <is>
          <t xml:space="preserve"> </t>
        </is>
      </c>
      <c r="X35" t="inlineStr">
        <is>
          <t>No se encontró ejecución en CUIPO</t>
        </is>
      </c>
    </row>
    <row r="36">
      <c r="A36" t="inlineStr">
        <is>
          <t>IP-34</t>
        </is>
      </c>
      <c r="B36" t="inlineStr">
        <is>
          <t>41</t>
        </is>
      </c>
      <c r="C36" t="inlineStr">
        <is>
          <t xml:space="preserve">Inclusión social y reconciliación </t>
        </is>
      </c>
      <c r="D36" t="inlineStr">
        <is>
          <t>4102</t>
        </is>
      </c>
      <c r="E36" t="inlineStr">
        <is>
          <t>Desarrollo integral de la primera infancia a la juventud, y fortalecimiento de las capacidades de las familias de niñas, niños y adolescentes</t>
        </is>
      </c>
      <c r="F36" t="inlineStr">
        <is>
          <t>4102005</t>
        </is>
      </c>
      <c r="G36" t="inlineStr">
        <is>
          <t>Edificaciones de atención a la primera infancia adecuadas</t>
        </is>
      </c>
      <c r="H36" t="inlineStr">
        <is>
          <t xml:space="preserve">Adecuación de infraestructuras dirigidas  específicamente  a prestar Servicio de atención integral a la primera infancia.  </t>
        </is>
      </c>
      <c r="I36" t="inlineStr">
        <is>
          <t>2024254860010</t>
        </is>
      </c>
      <c r="J36" s="99">
        <v>0</v>
      </c>
      <c r="K36" s="99">
        <v>0</v>
      </c>
      <c r="L36" s="99">
        <v>0</v>
      </c>
      <c r="M36" s="99">
        <v>0</v>
      </c>
      <c r="N36" s="99">
        <v>0</v>
      </c>
      <c r="O36" s="99" t="inlineStr">
        <is>
          <t xml:space="preserve"> </t>
        </is>
      </c>
      <c r="P36" s="99" t="inlineStr">
        <is>
          <t xml:space="preserve"> </t>
        </is>
      </c>
      <c r="Q36" s="99" t="inlineStr">
        <is>
          <t xml:space="preserve"> </t>
        </is>
      </c>
      <c r="R36" s="100" t="inlineStr">
        <is>
          <t xml:space="preserve"> </t>
        </is>
      </c>
      <c r="S36" t="inlineStr">
        <is>
          <t>No se encontró ejecución en CUIPO</t>
        </is>
      </c>
      <c r="T36" s="101" t="inlineStr">
        <is>
          <t xml:space="preserve"> </t>
        </is>
      </c>
      <c r="U36" s="101" t="inlineStr">
        <is>
          <t xml:space="preserve"> </t>
        </is>
      </c>
      <c r="V36" s="101" t="inlineStr">
        <is>
          <t xml:space="preserve"> </t>
        </is>
      </c>
      <c r="W36" s="102" t="inlineStr">
        <is>
          <t xml:space="preserve"> </t>
        </is>
      </c>
      <c r="X36" t="inlineStr">
        <is>
          <t>No se encontró ejecución en CUIPO</t>
        </is>
      </c>
    </row>
    <row r="37">
      <c r="A37" t="inlineStr">
        <is>
          <t>IP-35, IP-37</t>
        </is>
      </c>
      <c r="B37" t="inlineStr">
        <is>
          <t>41</t>
        </is>
      </c>
      <c r="C37" t="inlineStr">
        <is>
          <t xml:space="preserve">Inclusión social y reconciliación </t>
        </is>
      </c>
      <c r="D37" t="inlineStr">
        <is>
          <t>4102</t>
        </is>
      </c>
      <c r="E37" t="inlineStr">
        <is>
          <t>Desarrollo integral de la primera infancia a la juventud, y fortalecimiento de las capacidades de las familias de niñas, niños y adolescentes</t>
        </is>
      </c>
      <c r="F37" t="inlineStr">
        <is>
          <t>4102046</t>
        </is>
      </c>
      <c r="G37" t="inlineStr">
        <is>
          <t>Servicios de promoción de los derechos de los niños, niñas, adolescentes y jóvenes</t>
        </is>
      </c>
      <c r="H37" t="inlineStr">
        <is>
          <t>Estrategias mediante las cuales se difunde, motiva y sensibiliza a la sociedad en general acerca de la información de promoción y prevención de los derechos de los niños, niñas, adolescentes y jóvenes y se dan a conocer los mecanismos para su restablecimiento.  Incluye las acciones que se realizan para el intercambio de experiencias, con los agentes del Sistema Nacional de Bienestar Familiar.</t>
        </is>
      </c>
      <c r="I37" t="inlineStr">
        <is>
          <t>2024254860010</t>
        </is>
      </c>
      <c r="J37" s="99">
        <v>42758156</v>
      </c>
      <c r="K37" s="99">
        <v>13160000</v>
      </c>
      <c r="L37" s="99">
        <v>0</v>
      </c>
      <c r="M37" s="99">
        <v>14508900</v>
      </c>
      <c r="N37" s="99">
        <v>15089256</v>
      </c>
      <c r="O37" s="99">
        <v>7096665</v>
      </c>
      <c r="P37" s="99">
        <v>7096665</v>
      </c>
      <c r="Q37" s="99">
        <v>7096665</v>
      </c>
      <c r="R37" s="100">
        <v>0.539260258358663</v>
      </c>
      <c r="S37" t="inlineStr">
        <is>
          <t>Lo obligado está por debajo de lo programado en la vigencia</t>
        </is>
      </c>
      <c r="T37" s="101" t="inlineStr">
        <is>
          <t xml:space="preserve"> </t>
        </is>
      </c>
      <c r="U37" s="101" t="inlineStr">
        <is>
          <t xml:space="preserve"> </t>
        </is>
      </c>
      <c r="V37" s="101" t="inlineStr">
        <is>
          <t xml:space="preserve"> </t>
        </is>
      </c>
      <c r="W37" s="102" t="inlineStr">
        <is>
          <t xml:space="preserve"> </t>
        </is>
      </c>
      <c r="X37" t="inlineStr">
        <is>
          <t>No se encontró ejecución en CUIPO</t>
        </is>
      </c>
    </row>
    <row r="38">
      <c r="A38" t="inlineStr">
        <is>
          <t>IP-36</t>
        </is>
      </c>
      <c r="B38" t="inlineStr">
        <is>
          <t>41</t>
        </is>
      </c>
      <c r="C38" t="inlineStr">
        <is>
          <t xml:space="preserve">Inclusión social y reconciliación </t>
        </is>
      </c>
      <c r="D38" t="inlineStr">
        <is>
          <t>4102</t>
        </is>
      </c>
      <c r="E38" t="inlineStr">
        <is>
          <t>Desarrollo integral de la primera infancia a la juventud, y fortalecimiento de las capacidades de las familias de niñas, niños y adolescentes</t>
        </is>
      </c>
      <c r="F38" t="inlineStr">
        <is>
          <t>4102052</t>
        </is>
      </c>
      <c r="G38" t="inlineStr">
        <is>
          <t>Servicio de protección integral a niños, niñas, adolescentes y jóvenes</t>
        </is>
      </c>
      <c r="H38" t="inlineStr">
        <is>
          <t>Servicios enfocados a garantizar los derechos fundamentales , la prevención de amenazas o vulneración y restablecimiento de derechos.</t>
        </is>
      </c>
      <c r="I38" t="inlineStr">
        <is>
          <t>2024254860010</t>
        </is>
      </c>
      <c r="J38" s="99">
        <v>58736500</v>
      </c>
      <c r="K38" s="99">
        <v>15000000</v>
      </c>
      <c r="L38" s="99">
        <v>10000000</v>
      </c>
      <c r="M38" s="99">
        <v>16537500</v>
      </c>
      <c r="N38" s="99">
        <v>17199000</v>
      </c>
      <c r="O38" s="99">
        <v>7500000</v>
      </c>
      <c r="P38" s="99">
        <v>7500000</v>
      </c>
      <c r="Q38" s="99">
        <v>7500000</v>
      </c>
      <c r="R38" s="100">
        <v>0.5</v>
      </c>
      <c r="S38" t="inlineStr">
        <is>
          <t>Lo obligado está por debajo de lo programado en la vigencia</t>
        </is>
      </c>
      <c r="T38" s="101">
        <v>10000000</v>
      </c>
      <c r="U38" s="101">
        <v>8109600</v>
      </c>
      <c r="V38" s="101">
        <v>8109600</v>
      </c>
      <c r="W38" s="102">
        <v>0.81096</v>
      </c>
      <c r="X38" t="inlineStr">
        <is>
          <t>Lo obligado está por debajo de lo programado en la vigencia</t>
        </is>
      </c>
    </row>
    <row r="39">
      <c r="A39" t="inlineStr">
        <is>
          <t>IP-38</t>
        </is>
      </c>
      <c r="B39" t="inlineStr">
        <is>
          <t>41</t>
        </is>
      </c>
      <c r="C39" t="inlineStr">
        <is>
          <t xml:space="preserve">Inclusión social y reconciliación </t>
        </is>
      </c>
      <c r="D39" t="inlineStr">
        <is>
          <t>4103</t>
        </is>
      </c>
      <c r="E39" t="inlineStr">
        <is>
          <t>Inclusión social y productiva para la población en situación de vulnerabilidad</t>
        </is>
      </c>
      <c r="F39" t="inlineStr">
        <is>
          <t>4103005</t>
        </is>
      </c>
      <c r="G39" t="inlineStr">
        <is>
          <t>Servicio de asistencia técnica para el emprendimiento</t>
        </is>
      </c>
      <c r="H39" t="inlineStr">
        <is>
          <t>Orientada a generar oportunidades y desarrollar capacidades para la creación y/o desarrollo de proyectos productivos, que se conviertan en un medio para la generación de ingresos.</t>
        </is>
      </c>
      <c r="I39" t="inlineStr">
        <is>
          <t>2024254860010</t>
        </is>
      </c>
      <c r="J39" s="99">
        <v>12000000</v>
      </c>
      <c r="K39" s="99">
        <v>0</v>
      </c>
      <c r="L39" s="99">
        <v>12000000</v>
      </c>
      <c r="M39" s="99">
        <v>0</v>
      </c>
      <c r="N39" s="99">
        <v>0</v>
      </c>
      <c r="O39" s="99" t="inlineStr">
        <is>
          <t xml:space="preserve"> </t>
        </is>
      </c>
      <c r="P39" s="99" t="inlineStr">
        <is>
          <t xml:space="preserve"> </t>
        </is>
      </c>
      <c r="Q39" s="99" t="inlineStr">
        <is>
          <t xml:space="preserve"> </t>
        </is>
      </c>
      <c r="R39" s="100" t="inlineStr">
        <is>
          <t xml:space="preserve"> </t>
        </is>
      </c>
      <c r="S39" t="inlineStr">
        <is>
          <t>No se encontró ejecución en CUIPO</t>
        </is>
      </c>
      <c r="T39" s="101" t="inlineStr">
        <is>
          <t xml:space="preserve"> </t>
        </is>
      </c>
      <c r="U39" s="101" t="inlineStr">
        <is>
          <t xml:space="preserve"> </t>
        </is>
      </c>
      <c r="V39" s="101" t="inlineStr">
        <is>
          <t xml:space="preserve"> </t>
        </is>
      </c>
      <c r="W39" s="102" t="inlineStr">
        <is>
          <t xml:space="preserve"> </t>
        </is>
      </c>
      <c r="X39" t="inlineStr">
        <is>
          <t>No se encontró ejecución en CUIPO</t>
        </is>
      </c>
    </row>
    <row r="40">
      <c r="A40" t="inlineStr">
        <is>
          <t>IP-39</t>
        </is>
      </c>
      <c r="B40" t="inlineStr">
        <is>
          <t>41</t>
        </is>
      </c>
      <c r="C40" t="inlineStr">
        <is>
          <t xml:space="preserve">Inclusión social y reconciliación </t>
        </is>
      </c>
      <c r="D40" t="inlineStr">
        <is>
          <t>4102</t>
        </is>
      </c>
      <c r="E40" t="inlineStr">
        <is>
          <t>Desarrollo integral de la primera infancia a la juventud, y fortalecimiento de las capacidades de las familias de niñas, niños y adolescentes</t>
        </is>
      </c>
      <c r="F40" t="inlineStr">
        <is>
          <t>4102047</t>
        </is>
      </c>
      <c r="G40" t="inlineStr">
        <is>
          <t>Servicios de asistencia técnica en políticas públicas de infancia, adolescencia y juventud</t>
        </is>
      </c>
      <c r="H40" t="inlineStr">
        <is>
          <t>Servicios orientados a fortalecer técnicamente a los agentes de la institucionalidad de infancia, adolescencia y juventud  en la formulación e implementación de sus propuestas de política pública, estrategias, planes y proyectos dirigidas a garantizar la protección integral de los niños, niñas, adolescentes y jóvenes.</t>
        </is>
      </c>
      <c r="I40" t="inlineStr">
        <is>
          <t>2024254860010</t>
        </is>
      </c>
      <c r="J40" s="99">
        <v>0</v>
      </c>
      <c r="K40" s="99">
        <v>0</v>
      </c>
      <c r="L40" s="99">
        <v>0</v>
      </c>
      <c r="M40" s="99">
        <v>0</v>
      </c>
      <c r="N40" s="99">
        <v>0</v>
      </c>
      <c r="O40" s="99" t="inlineStr">
        <is>
          <t xml:space="preserve"> </t>
        </is>
      </c>
      <c r="P40" s="99" t="inlineStr">
        <is>
          <t xml:space="preserve"> </t>
        </is>
      </c>
      <c r="Q40" s="99" t="inlineStr">
        <is>
          <t xml:space="preserve"> </t>
        </is>
      </c>
      <c r="R40" s="100" t="inlineStr">
        <is>
          <t xml:space="preserve"> </t>
        </is>
      </c>
      <c r="S40" t="inlineStr">
        <is>
          <t>No se encontró ejecución en CUIPO</t>
        </is>
      </c>
      <c r="T40" s="101">
        <v>34633833</v>
      </c>
      <c r="U40" s="101">
        <v>15250033</v>
      </c>
      <c r="V40" s="101">
        <v>15250033</v>
      </c>
      <c r="W40" s="102" t="inlineStr">
        <is>
          <t xml:space="preserve"> </t>
        </is>
      </c>
      <c r="X40" t="inlineStr">
        <is>
          <t>Se ejecutó un producto no programado en la vigencia</t>
        </is>
      </c>
    </row>
    <row r="41">
      <c r="A41" t="inlineStr">
        <is>
          <t>IP-40</t>
        </is>
      </c>
      <c r="B41" t="inlineStr">
        <is>
          <t>22</t>
        </is>
      </c>
      <c r="C41" t="inlineStr">
        <is>
          <t>Educación</t>
        </is>
      </c>
      <c r="D41" t="inlineStr">
        <is>
          <t>2201</t>
        </is>
      </c>
      <c r="E41" t="inlineStr">
        <is>
          <t>Calidad, cobertura y fortalecimiento de la educación inicial, prescolar, básica y media</t>
        </is>
      </c>
      <c r="F41" t="inlineStr">
        <is>
          <t>2201085</t>
        </is>
      </c>
      <c r="G41" t="inlineStr">
        <is>
          <t>Servicio de orientación socio ocupacional</t>
        </is>
      </c>
      <c r="H41" t="inlineStr">
        <is>
          <t>Incluye el apoyo de orientación socio ocupacional brindado a los jóvenes para que a partir del conocimiento de sus intereses, aptitudes y habilidades, y de la identificación de los recursos y oportunidades del entorno,  para que estén mejor preparados para la toma de decisiones sobre su educación y formación postmedia  para la vida laboral.</t>
        </is>
      </c>
      <c r="I41" t="inlineStr">
        <is>
          <t>2024254860018</t>
        </is>
      </c>
      <c r="J41" s="99">
        <v>35400000</v>
      </c>
      <c r="K41" s="99">
        <v>0</v>
      </c>
      <c r="L41" s="99">
        <v>35400000</v>
      </c>
      <c r="M41" s="99">
        <v>0</v>
      </c>
      <c r="N41" s="99">
        <v>0</v>
      </c>
      <c r="O41" s="99" t="inlineStr">
        <is>
          <t xml:space="preserve"> </t>
        </is>
      </c>
      <c r="P41" s="99" t="inlineStr">
        <is>
          <t xml:space="preserve"> </t>
        </is>
      </c>
      <c r="Q41" s="99" t="inlineStr">
        <is>
          <t xml:space="preserve"> </t>
        </is>
      </c>
      <c r="R41" s="100" t="inlineStr">
        <is>
          <t xml:space="preserve"> </t>
        </is>
      </c>
      <c r="S41" t="inlineStr">
        <is>
          <t>No se encontró ejecución en CUIPO</t>
        </is>
      </c>
      <c r="T41" s="101" t="inlineStr">
        <is>
          <t xml:space="preserve"> </t>
        </is>
      </c>
      <c r="U41" s="101" t="inlineStr">
        <is>
          <t xml:space="preserve"> </t>
        </is>
      </c>
      <c r="V41" s="101" t="inlineStr">
        <is>
          <t xml:space="preserve"> </t>
        </is>
      </c>
      <c r="W41" s="102" t="inlineStr">
        <is>
          <t xml:space="preserve"> </t>
        </is>
      </c>
      <c r="X41" t="inlineStr">
        <is>
          <t>No se encontró ejecución en CUIPO</t>
        </is>
      </c>
    </row>
    <row r="42">
      <c r="A42" t="inlineStr">
        <is>
          <t>IP-42</t>
        </is>
      </c>
      <c r="B42" t="inlineStr">
        <is>
          <t>41</t>
        </is>
      </c>
      <c r="C42" t="inlineStr">
        <is>
          <t xml:space="preserve">Inclusión social y reconciliación </t>
        </is>
      </c>
      <c r="D42" t="inlineStr">
        <is>
          <t>4104</t>
        </is>
      </c>
      <c r="E42" t="inlineStr">
        <is>
          <t>Atención integral de población en situación permanente de desprotección social y/o familiar</t>
        </is>
      </c>
      <c r="F42" t="inlineStr">
        <is>
          <t>4104009</t>
        </is>
      </c>
      <c r="G42" t="inlineStr">
        <is>
          <t>Centros de protección social de día para el adulto mayor adecuados</t>
        </is>
      </c>
      <c r="H42" t="inlineStr">
        <is>
          <t>Corresponde a la adecuación de infraestructura destinada a brindar servicios diurnos para el cuidado, bienestar integral y asistencia social de los adultos mayores en condicionesde descuido, abandono o víctimas de violencia intrafamiliar.</t>
        </is>
      </c>
      <c r="I42" t="inlineStr">
        <is>
          <t>2024254860011</t>
        </is>
      </c>
      <c r="J42" s="99">
        <v>2562108392.8663</v>
      </c>
      <c r="K42" s="99">
        <v>723718537.4</v>
      </c>
      <c r="L42" s="99">
        <v>210674493</v>
      </c>
      <c r="M42" s="99">
        <v>797899687.4835</v>
      </c>
      <c r="N42" s="99">
        <v>829815674.9828</v>
      </c>
      <c r="O42" s="99">
        <v>435514812</v>
      </c>
      <c r="P42" s="99">
        <v>72028108</v>
      </c>
      <c r="Q42" s="99">
        <v>7284433</v>
      </c>
      <c r="R42" s="100">
        <v>0.0995250284161092</v>
      </c>
      <c r="S42" t="inlineStr">
        <is>
          <t>Lo obligado está por debajo de lo programado en la vigencia</t>
        </is>
      </c>
      <c r="T42" s="101">
        <v>218071375</v>
      </c>
      <c r="U42" s="101">
        <v>130611040</v>
      </c>
      <c r="V42" s="101">
        <v>494097744</v>
      </c>
      <c r="W42" s="102">
        <v>0.619966081987913</v>
      </c>
      <c r="X42" t="inlineStr">
        <is>
          <t>Lo obligado está por debajo de lo programado en la vigencia</t>
        </is>
      </c>
    </row>
    <row r="43">
      <c r="A43" t="inlineStr">
        <is>
          <t>IP-44, IP-45</t>
        </is>
      </c>
      <c r="B43" t="inlineStr">
        <is>
          <t>41</t>
        </is>
      </c>
      <c r="C43" t="inlineStr">
        <is>
          <t xml:space="preserve">Inclusión social y reconciliación </t>
        </is>
      </c>
      <c r="D43" t="inlineStr">
        <is>
          <t>4104</t>
        </is>
      </c>
      <c r="E43" t="inlineStr">
        <is>
          <t>Atención integral de población en situación permanente de desprotección social y/o familiar</t>
        </is>
      </c>
      <c r="F43" t="inlineStr">
        <is>
          <t>4104008</t>
        </is>
      </c>
      <c r="G43" t="inlineStr">
        <is>
          <t>Servicio de atención y protección integral al adulto mayor</t>
        </is>
      </c>
      <c r="H43" t="inlineStr">
        <is>
          <t>Servicios integrales que incluyen aspectos relacionados con protección a la salud y bienestar social, educación, cultura, recreación, entorno físico y social favorable, productividad para los adultos mayores.</t>
        </is>
      </c>
      <c r="I43" t="inlineStr">
        <is>
          <t>2024254860011</t>
        </is>
      </c>
      <c r="J43" s="99">
        <v>378960473.6446</v>
      </c>
      <c r="K43" s="99">
        <v>46995061.6</v>
      </c>
      <c r="L43" s="99">
        <v>226268819</v>
      </c>
      <c r="M43" s="99">
        <v>51812055.414</v>
      </c>
      <c r="N43" s="99">
        <v>53884537.6306</v>
      </c>
      <c r="O43" s="99">
        <v>34443947</v>
      </c>
      <c r="P43" s="99">
        <v>34443947</v>
      </c>
      <c r="Q43" s="99">
        <v>34443947</v>
      </c>
      <c r="R43" s="100">
        <v>0.732926946519844</v>
      </c>
      <c r="S43" t="inlineStr">
        <is>
          <t>Lo obligado está por debajo de lo programado en la vigencia</t>
        </is>
      </c>
      <c r="T43" s="101">
        <v>81287082</v>
      </c>
      <c r="U43" s="101">
        <v>54860033</v>
      </c>
      <c r="V43" s="101">
        <v>54860033</v>
      </c>
      <c r="W43" s="102">
        <v>0.242455117070284</v>
      </c>
      <c r="X43" t="inlineStr">
        <is>
          <t>Lo obligado está por debajo de lo programado en la vigencia</t>
        </is>
      </c>
    </row>
    <row r="44">
      <c r="A44" t="inlineStr">
        <is>
          <t>IP-46</t>
        </is>
      </c>
      <c r="B44" t="inlineStr">
        <is>
          <t>41</t>
        </is>
      </c>
      <c r="C44" t="inlineStr">
        <is>
          <t xml:space="preserve">Inclusión social y reconciliación </t>
        </is>
      </c>
      <c r="D44" t="inlineStr">
        <is>
          <t>4102</t>
        </is>
      </c>
      <c r="E44" t="inlineStr">
        <is>
          <t>Desarrollo integral de la primera infancia a la juventud, y fortalecimiento de las capacidades de las familias de niñas, niños y adolescentes</t>
        </is>
      </c>
      <c r="F44" t="inlineStr">
        <is>
          <t>4102041</t>
        </is>
      </c>
      <c r="G44" t="inlineStr">
        <is>
          <t>Servicio de asistencia técnica en el ciclo de políticas públicas de familia y otras relacionadas</t>
        </is>
      </c>
      <c r="H44" t="inlineStr">
        <is>
          <t>Comprende la capacitación, asesoría y acompañamiento en el diseño e implementación de programas dirigidos a las familias y a la garantía de sus derechos y los de sus integrantes .</t>
        </is>
      </c>
      <c r="I44" t="inlineStr">
        <is>
          <t>2024254860010</t>
        </is>
      </c>
      <c r="J44" s="99">
        <v>0</v>
      </c>
      <c r="K44" s="99">
        <v>0</v>
      </c>
      <c r="L44" s="99">
        <v>0</v>
      </c>
      <c r="M44" s="99">
        <v>0</v>
      </c>
      <c r="N44" s="99">
        <v>0</v>
      </c>
      <c r="O44" s="99" t="inlineStr">
        <is>
          <t xml:space="preserve"> </t>
        </is>
      </c>
      <c r="P44" s="99" t="inlineStr">
        <is>
          <t xml:space="preserve"> </t>
        </is>
      </c>
      <c r="Q44" s="99" t="inlineStr">
        <is>
          <t xml:space="preserve"> </t>
        </is>
      </c>
      <c r="R44" s="100" t="inlineStr">
        <is>
          <t xml:space="preserve"> </t>
        </is>
      </c>
      <c r="S44" t="inlineStr">
        <is>
          <t>No se encontró ejecución en CUIPO</t>
        </is>
      </c>
      <c r="T44" s="101" t="inlineStr">
        <is>
          <t xml:space="preserve"> </t>
        </is>
      </c>
      <c r="U44" s="101" t="inlineStr">
        <is>
          <t xml:space="preserve"> </t>
        </is>
      </c>
      <c r="V44" s="101" t="inlineStr">
        <is>
          <t xml:space="preserve"> </t>
        </is>
      </c>
      <c r="W44" s="102" t="inlineStr">
        <is>
          <t xml:space="preserve"> </t>
        </is>
      </c>
      <c r="X44" t="inlineStr">
        <is>
          <t>No se encontró ejecución en CUIPO</t>
        </is>
      </c>
    </row>
    <row r="45">
      <c r="A45" t="inlineStr">
        <is>
          <t>IP-47</t>
        </is>
      </c>
      <c r="B45" t="inlineStr">
        <is>
          <t>41</t>
        </is>
      </c>
      <c r="C45" t="inlineStr">
        <is>
          <t xml:space="preserve">Inclusión social y reconciliación </t>
        </is>
      </c>
      <c r="D45" t="inlineStr">
        <is>
          <t>4104</t>
        </is>
      </c>
      <c r="E45" t="inlineStr">
        <is>
          <t>Atención integral de población en situación permanente de desprotección social y/o familiar</t>
        </is>
      </c>
      <c r="F45" t="inlineStr">
        <is>
          <t>4104020</t>
        </is>
      </c>
      <c r="G45" t="inlineStr">
        <is>
          <t>Servicio de atención integral a población en condición de discapacidad</t>
        </is>
      </c>
      <c r="H45" t="inlineStr">
        <is>
          <t>Servicios integrales que incluyen aspectos relacionados con atención en salud, cuidado, alimentación, hospedaje, formación para el trabajo, inclusión productiva, recreación, entre otros, para población en condición de discapacidad.</t>
        </is>
      </c>
      <c r="I45" t="inlineStr">
        <is>
          <t>2024254860011</t>
        </is>
      </c>
      <c r="J45" s="99">
        <v>46758045</v>
      </c>
      <c r="K45" s="99">
        <v>4950000</v>
      </c>
      <c r="L45" s="99">
        <v>30675000</v>
      </c>
      <c r="M45" s="99">
        <v>5457375</v>
      </c>
      <c r="N45" s="99">
        <v>5675670</v>
      </c>
      <c r="O45" s="99">
        <v>4950000</v>
      </c>
      <c r="P45" s="99">
        <v>4950000</v>
      </c>
      <c r="Q45" s="99">
        <v>4950000</v>
      </c>
      <c r="R45" s="100">
        <v>1</v>
      </c>
      <c r="S45" t="inlineStr">
        <is>
          <t>Se ejecutó el 100% de lo programado en la vigencia</t>
        </is>
      </c>
      <c r="T45" s="101">
        <v>30450000</v>
      </c>
      <c r="U45" s="101">
        <v>14423685</v>
      </c>
      <c r="V45" s="101">
        <v>14423685</v>
      </c>
      <c r="W45" s="102">
        <v>0.4702097799511</v>
      </c>
      <c r="X45" t="inlineStr">
        <is>
          <t>Lo obligado está por debajo de lo programado en la vigencia</t>
        </is>
      </c>
    </row>
    <row r="46">
      <c r="A46" t="inlineStr">
        <is>
          <t>IP-48</t>
        </is>
      </c>
      <c r="B46" t="inlineStr">
        <is>
          <t>41</t>
        </is>
      </c>
      <c r="C46" t="inlineStr">
        <is>
          <t xml:space="preserve">Inclusión social y reconciliación </t>
        </is>
      </c>
      <c r="D46" t="inlineStr">
        <is>
          <t>4104</t>
        </is>
      </c>
      <c r="E46" t="inlineStr">
        <is>
          <t>Atención integral de población en situación permanente de desprotección social y/o familiar</t>
        </is>
      </c>
      <c r="F46" t="inlineStr">
        <is>
          <t>4104037</t>
        </is>
      </c>
      <c r="G46" t="inlineStr">
        <is>
          <t>Centros de atención integral para personas con discapacidad adecuados</t>
        </is>
      </c>
      <c r="H46" t="inlineStr">
        <is>
          <t>Corresponde a la adecuación de infraestructura destinada al ofrecimiento de servicios de atención integral para población en condición de discapacidad.</t>
        </is>
      </c>
      <c r="I46" t="inlineStr">
        <is>
          <t>2024254860011</t>
        </is>
      </c>
      <c r="J46" s="99">
        <v>0</v>
      </c>
      <c r="K46" s="99">
        <v>0</v>
      </c>
      <c r="L46" s="99">
        <v>0</v>
      </c>
      <c r="M46" s="99">
        <v>0</v>
      </c>
      <c r="N46" s="99">
        <v>0</v>
      </c>
      <c r="O46" s="99" t="inlineStr">
        <is>
          <t xml:space="preserve"> </t>
        </is>
      </c>
      <c r="P46" s="99" t="inlineStr">
        <is>
          <t xml:space="preserve"> </t>
        </is>
      </c>
      <c r="Q46" s="99" t="inlineStr">
        <is>
          <t xml:space="preserve"> </t>
        </is>
      </c>
      <c r="R46" s="100" t="inlineStr">
        <is>
          <t xml:space="preserve"> </t>
        </is>
      </c>
      <c r="S46" t="inlineStr">
        <is>
          <t>No se encontró ejecución en CUIPO</t>
        </is>
      </c>
      <c r="T46" s="101" t="inlineStr">
        <is>
          <t xml:space="preserve"> </t>
        </is>
      </c>
      <c r="U46" s="101" t="inlineStr">
        <is>
          <t xml:space="preserve"> </t>
        </is>
      </c>
      <c r="V46" s="101" t="inlineStr">
        <is>
          <t xml:space="preserve"> </t>
        </is>
      </c>
      <c r="W46" s="102" t="inlineStr">
        <is>
          <t xml:space="preserve"> </t>
        </is>
      </c>
      <c r="X46" t="inlineStr">
        <is>
          <t>No se encontró ejecución en CUIPO</t>
        </is>
      </c>
    </row>
    <row r="47">
      <c r="A47" t="inlineStr">
        <is>
          <t>IP-49</t>
        </is>
      </c>
      <c r="B47" t="inlineStr">
        <is>
          <t>41</t>
        </is>
      </c>
      <c r="C47" t="inlineStr">
        <is>
          <t xml:space="preserve">Inclusión social y reconciliación </t>
        </is>
      </c>
      <c r="D47" t="inlineStr">
        <is>
          <t>4101</t>
        </is>
      </c>
      <c r="E47" t="inlineStr">
        <is>
          <t>Atención, asistencia y reparación integral a las víctimas</t>
        </is>
      </c>
      <c r="F47" t="inlineStr">
        <is>
          <t>4101063</t>
        </is>
      </c>
      <c r="G47" t="inlineStr">
        <is>
          <t>Servicios de asistencia técnica para la articulación interinstitucional en la implementación de la polìtica pública para las víctimas</t>
        </is>
      </c>
      <c r="H47" t="inlineStr">
        <is>
          <t>Corresponde a los planes de acción de los subcomités y plan marco de implementación de los acuerdos que respondan al cumplimiento de la ley de víctimas</t>
        </is>
      </c>
      <c r="I47" t="inlineStr">
        <is>
          <t>2024254860012</t>
        </is>
      </c>
      <c r="J47" s="99">
        <v>64047344.1703</v>
      </c>
      <c r="K47" s="99">
        <v>13764533</v>
      </c>
      <c r="L47" s="99">
        <v>19325000</v>
      </c>
      <c r="M47" s="99">
        <v>15175397.6325</v>
      </c>
      <c r="N47" s="99">
        <v>15782413.5378</v>
      </c>
      <c r="O47" s="99" t="inlineStr">
        <is>
          <t xml:space="preserve"> </t>
        </is>
      </c>
      <c r="P47" s="99" t="inlineStr">
        <is>
          <t xml:space="preserve"> </t>
        </is>
      </c>
      <c r="Q47" s="99" t="inlineStr">
        <is>
          <t xml:space="preserve"> </t>
        </is>
      </c>
      <c r="R47" s="100" t="inlineStr">
        <is>
          <t xml:space="preserve"> </t>
        </is>
      </c>
      <c r="S47" t="inlineStr">
        <is>
          <t>No se encontró ejecución en CUIPO</t>
        </is>
      </c>
      <c r="T47" s="101" t="inlineStr">
        <is>
          <t xml:space="preserve"> </t>
        </is>
      </c>
      <c r="U47" s="101" t="inlineStr">
        <is>
          <t xml:space="preserve"> </t>
        </is>
      </c>
      <c r="V47" s="101" t="inlineStr">
        <is>
          <t xml:space="preserve"> </t>
        </is>
      </c>
      <c r="W47" s="102" t="inlineStr">
        <is>
          <t xml:space="preserve"> </t>
        </is>
      </c>
      <c r="X47" t="inlineStr">
        <is>
          <t>No se encontró ejecución en CUIPO</t>
        </is>
      </c>
    </row>
    <row r="48">
      <c r="A48" t="inlineStr">
        <is>
          <t>IP-50</t>
        </is>
      </c>
      <c r="B48" t="inlineStr">
        <is>
          <t>41</t>
        </is>
      </c>
      <c r="C48" t="inlineStr">
        <is>
          <t xml:space="preserve">Inclusión social y reconciliación </t>
        </is>
      </c>
      <c r="D48" t="inlineStr">
        <is>
          <t>4101</t>
        </is>
      </c>
      <c r="E48" t="inlineStr">
        <is>
          <t>Atención, asistencia y reparación integral a las víctimas</t>
        </is>
      </c>
      <c r="F48" t="inlineStr">
        <is>
          <t>4101014</t>
        </is>
      </c>
      <c r="G48" t="inlineStr">
        <is>
          <t>Servicio de caracterización de la población víctima para su posterior atención, asistencia y reparación integral</t>
        </is>
      </c>
      <c r="H48" t="inlineStr">
        <is>
          <t xml:space="preserve">Mediante los cuales se caracteriza y se hace levantamiento de información individual de cada víctima y su hogar para la Asistencia Atención y Reparación Integral  </t>
        </is>
      </c>
      <c r="I48" t="inlineStr">
        <is>
          <t>2024254860012</t>
        </is>
      </c>
      <c r="J48" s="99">
        <v>0</v>
      </c>
      <c r="K48" s="99">
        <v>0</v>
      </c>
      <c r="L48" s="99">
        <v>0</v>
      </c>
      <c r="M48" s="99">
        <v>0</v>
      </c>
      <c r="N48" s="99">
        <v>0</v>
      </c>
      <c r="O48" s="99">
        <v>13764533</v>
      </c>
      <c r="P48" s="99">
        <v>13764533</v>
      </c>
      <c r="Q48" s="99">
        <v>13764533</v>
      </c>
      <c r="R48" s="100" t="inlineStr">
        <is>
          <t xml:space="preserve"> </t>
        </is>
      </c>
      <c r="S48" t="inlineStr">
        <is>
          <t>Se ejecutó un producto no programado en la vigencia</t>
        </is>
      </c>
      <c r="T48" s="101">
        <v>19325000</v>
      </c>
      <c r="U48" s="101">
        <v>7325000</v>
      </c>
      <c r="V48" s="101">
        <v>7325000</v>
      </c>
      <c r="W48" s="102" t="inlineStr">
        <is>
          <t xml:space="preserve"> </t>
        </is>
      </c>
      <c r="X48" t="inlineStr">
        <is>
          <t>Se ejecutó un producto no programado en la vigencia</t>
        </is>
      </c>
    </row>
    <row r="49">
      <c r="A49" t="inlineStr">
        <is>
          <t>IP-51</t>
        </is>
      </c>
      <c r="B49" t="inlineStr">
        <is>
          <t>41</t>
        </is>
      </c>
      <c r="C49" t="inlineStr">
        <is>
          <t xml:space="preserve">Inclusión social y reconciliación </t>
        </is>
      </c>
      <c r="D49" t="inlineStr">
        <is>
          <t>4101</t>
        </is>
      </c>
      <c r="E49" t="inlineStr">
        <is>
          <t>Atención, asistencia y reparación integral a las víctimas</t>
        </is>
      </c>
      <c r="F49" t="inlineStr">
        <is>
          <t>4101031</t>
        </is>
      </c>
      <c r="G49" t="inlineStr">
        <is>
          <t>Servicios de implementaciónde medidas de satisfacción y acompañamiento a las víctimas del conflicto armado</t>
        </is>
      </c>
      <c r="H49" t="inlineStr">
        <is>
          <t>Acciones concertadas de dignificación, reconocimiento y conmemoración a víctimas del conflicto armado. Incluye reconocimiento de víctima ante la comunidad y el ofensor; reconocimiento de responsabilidad de los hechos y solicitudes de perdón; homenajes y actos conmemorativos; monumentos; apoyo a reconstrucción del movimiento y tejido social; difusión del relato de víctimas;  apoyo psicosocial en entrega de restos a familiares de víctimas de desaparición forzada</t>
        </is>
      </c>
      <c r="I49" t="inlineStr">
        <is>
          <t>2024254860012</t>
        </is>
      </c>
      <c r="J49" s="99">
        <v>17325000</v>
      </c>
      <c r="K49" s="99">
        <v>0</v>
      </c>
      <c r="L49" s="99">
        <v>17325000</v>
      </c>
      <c r="M49" s="99">
        <v>0</v>
      </c>
      <c r="N49" s="99">
        <v>0</v>
      </c>
      <c r="O49" s="99" t="inlineStr">
        <is>
          <t xml:space="preserve"> </t>
        </is>
      </c>
      <c r="P49" s="99" t="inlineStr">
        <is>
          <t xml:space="preserve"> </t>
        </is>
      </c>
      <c r="Q49" s="99" t="inlineStr">
        <is>
          <t xml:space="preserve"> </t>
        </is>
      </c>
      <c r="R49" s="100" t="inlineStr">
        <is>
          <t xml:space="preserve"> </t>
        </is>
      </c>
      <c r="S49" t="inlineStr">
        <is>
          <t>No se encontró ejecución en CUIPO</t>
        </is>
      </c>
      <c r="T49" s="101">
        <v>15952310</v>
      </c>
      <c r="U49" s="101">
        <v>5275000</v>
      </c>
      <c r="V49" s="101">
        <v>5275000</v>
      </c>
      <c r="W49" s="102">
        <v>0.304473304473304</v>
      </c>
      <c r="X49" t="inlineStr">
        <is>
          <t>Lo obligado está por debajo de lo programado en la vigencia</t>
        </is>
      </c>
    </row>
    <row r="50">
      <c r="A50" t="inlineStr">
        <is>
          <t>IP-52</t>
        </is>
      </c>
      <c r="B50" t="inlineStr">
        <is>
          <t>41</t>
        </is>
      </c>
      <c r="C50" t="inlineStr">
        <is>
          <t xml:space="preserve">Inclusión social y reconciliación </t>
        </is>
      </c>
      <c r="D50" t="inlineStr">
        <is>
          <t>4101</t>
        </is>
      </c>
      <c r="E50" t="inlineStr">
        <is>
          <t>Atención, asistencia y reparación integral a las víctimas</t>
        </is>
      </c>
      <c r="F50" t="inlineStr">
        <is>
          <t>4101025</t>
        </is>
      </c>
      <c r="G50" t="inlineStr">
        <is>
          <t>Servicio de ayuda y atención humanitaria</t>
        </is>
      </c>
      <c r="H50" t="inlineStr">
        <is>
          <t>Mediante los cuales se entrega ayuda y atención humanitaria a las víctimas del conflicto armado. La ayuda humanitaria se entrega a las víctimas de otros hechos diferentes al desplazamiento forzado y la atención humanitaria a víctimas de desplazamiento forzado.</t>
        </is>
      </c>
      <c r="I50" t="inlineStr">
        <is>
          <t>2024254860012</t>
        </is>
      </c>
      <c r="J50" s="99">
        <v>55430084.8752</v>
      </c>
      <c r="K50" s="99">
        <v>12443472</v>
      </c>
      <c r="L50" s="99">
        <v>15000000</v>
      </c>
      <c r="M50" s="99">
        <v>13718927.88</v>
      </c>
      <c r="N50" s="99">
        <v>14267684.9952</v>
      </c>
      <c r="O50" s="99">
        <v>9760000</v>
      </c>
      <c r="P50" s="99">
        <v>9760000</v>
      </c>
      <c r="Q50" s="99">
        <v>9760000</v>
      </c>
      <c r="R50" s="100">
        <v>0.784347005401708</v>
      </c>
      <c r="S50" t="inlineStr">
        <is>
          <t>Lo obligado está por debajo de lo programado en la vigencia</t>
        </is>
      </c>
      <c r="T50" s="101">
        <v>2798286</v>
      </c>
      <c r="U50" s="101">
        <v>2798286</v>
      </c>
      <c r="V50" s="101">
        <v>2798286</v>
      </c>
      <c r="W50" s="102">
        <v>0.1865524</v>
      </c>
      <c r="X50" t="inlineStr">
        <is>
          <t>Lo obligado está por debajo de lo programado en la vigencia</t>
        </is>
      </c>
    </row>
    <row r="51">
      <c r="A51" t="inlineStr">
        <is>
          <t>IP-53</t>
        </is>
      </c>
      <c r="B51" t="inlineStr">
        <is>
          <t>41</t>
        </is>
      </c>
      <c r="C51" t="inlineStr">
        <is>
          <t xml:space="preserve">Inclusión social y reconciliación </t>
        </is>
      </c>
      <c r="D51" t="inlineStr">
        <is>
          <t>4103</t>
        </is>
      </c>
      <c r="E51" t="inlineStr">
        <is>
          <t>Inclusión social y productiva para la población en situación de vulnerabilidad</t>
        </is>
      </c>
      <c r="F51" t="inlineStr">
        <is>
          <t>4103009</t>
        </is>
      </c>
      <c r="G51" t="inlineStr">
        <is>
          <t>Servicio de asistencia en temas de desarrollo de habilidades no cognitivas para la inclusión productiva</t>
        </is>
      </c>
      <c r="H51" t="inlineStr">
        <is>
          <t>Consiste en acompañamiento a las personas vulnerables para desarrollar habilidades que les permitan desempeñarse en su entorno social.</t>
        </is>
      </c>
      <c r="I51" t="inlineStr">
        <is>
          <t>2024254860009</t>
        </is>
      </c>
      <c r="J51" s="99">
        <v>0</v>
      </c>
      <c r="K51" s="99">
        <v>0</v>
      </c>
      <c r="L51" s="99">
        <v>0</v>
      </c>
      <c r="M51" s="99">
        <v>0</v>
      </c>
      <c r="N51" s="99">
        <v>0</v>
      </c>
      <c r="O51" s="99" t="inlineStr">
        <is>
          <t xml:space="preserve"> </t>
        </is>
      </c>
      <c r="P51" s="99" t="inlineStr">
        <is>
          <t xml:space="preserve"> </t>
        </is>
      </c>
      <c r="Q51" s="99" t="inlineStr">
        <is>
          <t xml:space="preserve"> </t>
        </is>
      </c>
      <c r="R51" s="100" t="inlineStr">
        <is>
          <t xml:space="preserve"> </t>
        </is>
      </c>
      <c r="S51" t="inlineStr">
        <is>
          <t>No se encontró ejecución en CUIPO</t>
        </is>
      </c>
      <c r="T51" s="101" t="inlineStr">
        <is>
          <t xml:space="preserve"> </t>
        </is>
      </c>
      <c r="U51" s="101" t="inlineStr">
        <is>
          <t xml:space="preserve"> </t>
        </is>
      </c>
      <c r="V51" s="101" t="inlineStr">
        <is>
          <t xml:space="preserve"> </t>
        </is>
      </c>
      <c r="W51" s="102" t="inlineStr">
        <is>
          <t xml:space="preserve"> </t>
        </is>
      </c>
      <c r="X51" t="inlineStr">
        <is>
          <t>No se encontró ejecución en CUIPO</t>
        </is>
      </c>
    </row>
    <row r="52">
      <c r="A52" t="inlineStr">
        <is>
          <t>IP-54</t>
        </is>
      </c>
      <c r="B52" t="inlineStr">
        <is>
          <t>41</t>
        </is>
      </c>
      <c r="C52" t="inlineStr">
        <is>
          <t xml:space="preserve">Inclusión social y reconciliación </t>
        </is>
      </c>
      <c r="D52" t="inlineStr">
        <is>
          <t>4101</t>
        </is>
      </c>
      <c r="E52" t="inlineStr">
        <is>
          <t>Atención, asistencia y reparación integral a las víctimas</t>
        </is>
      </c>
      <c r="F52" t="inlineStr">
        <is>
          <t>4101079</t>
        </is>
      </c>
      <c r="G52" t="inlineStr">
        <is>
          <t>Servicio de asistencia técnica a comunidades en temas de fortalecimiento del tejido social y construcción de escenarios comunitarios protectores de derechos</t>
        </is>
      </c>
      <c r="H52" t="inlineStr">
        <is>
          <t>Incluye el desarrollo de acciones de intervención comunitaria,  transmisión de saberes intergeneracionales y acciones de formación comunitaria con enfoque diferencial, que fortalezcan la activación de la reconstrucción del tejido social y la participación ciudadana.</t>
        </is>
      </c>
      <c r="I52" t="inlineStr">
        <is>
          <t>2024254860012</t>
        </is>
      </c>
      <c r="J52" s="99">
        <v>0</v>
      </c>
      <c r="K52" s="99">
        <v>0</v>
      </c>
      <c r="L52" s="99">
        <v>0</v>
      </c>
      <c r="M52" s="99">
        <v>0</v>
      </c>
      <c r="N52" s="99">
        <v>0</v>
      </c>
      <c r="O52" s="99" t="inlineStr">
        <is>
          <t xml:space="preserve"> </t>
        </is>
      </c>
      <c r="P52" s="99" t="inlineStr">
        <is>
          <t xml:space="preserve"> </t>
        </is>
      </c>
      <c r="Q52" s="99" t="inlineStr">
        <is>
          <t xml:space="preserve"> </t>
        </is>
      </c>
      <c r="R52" s="100" t="inlineStr">
        <is>
          <t xml:space="preserve"> </t>
        </is>
      </c>
      <c r="S52" t="inlineStr">
        <is>
          <t>No se encontró ejecución en CUIPO</t>
        </is>
      </c>
      <c r="T52" s="101" t="inlineStr">
        <is>
          <t xml:space="preserve"> </t>
        </is>
      </c>
      <c r="U52" s="101" t="inlineStr">
        <is>
          <t xml:space="preserve"> </t>
        </is>
      </c>
      <c r="V52" s="101" t="inlineStr">
        <is>
          <t xml:space="preserve"> </t>
        </is>
      </c>
      <c r="W52" s="102" t="inlineStr">
        <is>
          <t xml:space="preserve"> </t>
        </is>
      </c>
      <c r="X52" t="inlineStr">
        <is>
          <t>No se encontró ejecución en CUIPO</t>
        </is>
      </c>
    </row>
    <row r="53">
      <c r="A53" t="inlineStr">
        <is>
          <t>IP-55</t>
        </is>
      </c>
      <c r="B53" t="inlineStr">
        <is>
          <t>41</t>
        </is>
      </c>
      <c r="C53" t="inlineStr">
        <is>
          <t xml:space="preserve">Inclusión social y reconciliación </t>
        </is>
      </c>
      <c r="D53" t="inlineStr">
        <is>
          <t>4103</t>
        </is>
      </c>
      <c r="E53" t="inlineStr">
        <is>
          <t>Inclusión social y productiva para la población en situación de vulnerabilidad</t>
        </is>
      </c>
      <c r="F53" t="inlineStr">
        <is>
          <t>4103054</t>
        </is>
      </c>
      <c r="G53" t="inlineStr">
        <is>
          <t>Servicio de monitoreo y seguimiento a las intervenciones implementadas para la inclusión social y productiva de la población en situación de vulnerabilidad</t>
        </is>
      </c>
      <c r="H53" t="inlineStr">
        <is>
          <t>Corresponde a las actividades de monitoreo y seguimiento realizados en la implementación de las intervenciones para la inclusión social y productiva de la población en situación de vulnerabilidad, así como las actividades de control social realizadas por los hogares beneficiarios.</t>
        </is>
      </c>
      <c r="I53" t="inlineStr">
        <is>
          <t>2024254860009</t>
        </is>
      </c>
      <c r="J53" s="99">
        <v>0</v>
      </c>
      <c r="K53" s="99">
        <v>0</v>
      </c>
      <c r="L53" s="99">
        <v>0</v>
      </c>
      <c r="M53" s="99">
        <v>0</v>
      </c>
      <c r="N53" s="99">
        <v>0</v>
      </c>
      <c r="O53" s="99" t="inlineStr">
        <is>
          <t xml:space="preserve"> </t>
        </is>
      </c>
      <c r="P53" s="99" t="inlineStr">
        <is>
          <t xml:space="preserve"> </t>
        </is>
      </c>
      <c r="Q53" s="99" t="inlineStr">
        <is>
          <t xml:space="preserve"> </t>
        </is>
      </c>
      <c r="R53" s="100" t="inlineStr">
        <is>
          <t xml:space="preserve"> </t>
        </is>
      </c>
      <c r="S53" t="inlineStr">
        <is>
          <t>No se encontró ejecución en CUIPO</t>
        </is>
      </c>
      <c r="T53" s="101" t="inlineStr">
        <is>
          <t xml:space="preserve"> </t>
        </is>
      </c>
      <c r="U53" s="101" t="inlineStr">
        <is>
          <t xml:space="preserve"> </t>
        </is>
      </c>
      <c r="V53" s="101" t="inlineStr">
        <is>
          <t xml:space="preserve"> </t>
        </is>
      </c>
      <c r="W53" s="102" t="inlineStr">
        <is>
          <t xml:space="preserve"> </t>
        </is>
      </c>
      <c r="X53" t="inlineStr">
        <is>
          <t>No se encontró ejecución en CUIPO</t>
        </is>
      </c>
    </row>
    <row r="54">
      <c r="A54" t="inlineStr">
        <is>
          <t>IP-56</t>
        </is>
      </c>
      <c r="B54" t="inlineStr">
        <is>
          <t>41</t>
        </is>
      </c>
      <c r="C54" t="inlineStr">
        <is>
          <t xml:space="preserve">Inclusión social y reconciliación </t>
        </is>
      </c>
      <c r="D54" t="inlineStr">
        <is>
          <t>4101</t>
        </is>
      </c>
      <c r="E54" t="inlineStr">
        <is>
          <t>Atención, asistencia y reparación integral a las víctimas</t>
        </is>
      </c>
      <c r="F54" t="inlineStr">
        <is>
          <t>4101094</t>
        </is>
      </c>
      <c r="G54" t="inlineStr">
        <is>
          <t>Servicio de reparación simbólica</t>
        </is>
      </c>
      <c r="H54" t="inlineStr">
        <is>
          <t>Acciones mediante las cuales se implementa la reparación simbólica colectiva para grupos, comunidades y organizaciones sociales, sindicales y políticas. Entre las medidas a implementar se encuentran: satisfacción y garantías de no repetición en el componente simbólico.</t>
        </is>
      </c>
      <c r="I54" t="inlineStr">
        <is>
          <t>2024254860012</t>
        </is>
      </c>
      <c r="J54" s="99">
        <v>0</v>
      </c>
      <c r="K54" s="99">
        <v>0</v>
      </c>
      <c r="L54" s="99">
        <v>0</v>
      </c>
      <c r="M54" s="99">
        <v>0</v>
      </c>
      <c r="N54" s="99">
        <v>0</v>
      </c>
      <c r="O54" s="99" t="inlineStr">
        <is>
          <t xml:space="preserve"> </t>
        </is>
      </c>
      <c r="P54" s="99" t="inlineStr">
        <is>
          <t xml:space="preserve"> </t>
        </is>
      </c>
      <c r="Q54" s="99" t="inlineStr">
        <is>
          <t xml:space="preserve"> </t>
        </is>
      </c>
      <c r="R54" s="100" t="inlineStr">
        <is>
          <t xml:space="preserve"> </t>
        </is>
      </c>
      <c r="S54" t="inlineStr">
        <is>
          <t>No se encontró ejecución en CUIPO</t>
        </is>
      </c>
      <c r="T54" s="101" t="inlineStr">
        <is>
          <t xml:space="preserve"> </t>
        </is>
      </c>
      <c r="U54" s="101" t="inlineStr">
        <is>
          <t xml:space="preserve"> </t>
        </is>
      </c>
      <c r="V54" s="101" t="inlineStr">
        <is>
          <t xml:space="preserve"> </t>
        </is>
      </c>
      <c r="W54" s="102" t="inlineStr">
        <is>
          <t xml:space="preserve"> </t>
        </is>
      </c>
      <c r="X54" t="inlineStr">
        <is>
          <t>No se encontró ejecución en CUIPO</t>
        </is>
      </c>
    </row>
    <row r="55">
      <c r="A55" t="inlineStr">
        <is>
          <t>IP-57</t>
        </is>
      </c>
      <c r="B55" t="inlineStr">
        <is>
          <t>19</t>
        </is>
      </c>
      <c r="C55" t="inlineStr">
        <is>
          <t>Salud y protección social</t>
        </is>
      </c>
      <c r="D55" t="inlineStr">
        <is>
          <t>1905</t>
        </is>
      </c>
      <c r="E55" t="inlineStr">
        <is>
          <t>Salud pública</t>
        </is>
      </c>
      <c r="F55" t="inlineStr">
        <is>
          <t>1905041</t>
        </is>
      </c>
      <c r="G55" t="inlineStr">
        <is>
          <t>Servicio de atención psicosocial a víctimas del conflicto armado</t>
        </is>
      </c>
      <c r="H55" t="inlineStr">
        <is>
          <t xml:space="preserve">Acciones, procedimientos e intervenciones para la atención de los impactos psicosociales de las víctimas en los ámbitos individual, familiar y comunitario, como consecuencia de las graves violaciones a los Derechos Humanos y las infracciones al Derecho Internacional Humanitario.  </t>
        </is>
      </c>
      <c r="I55" t="inlineStr">
        <is>
          <t>2024254860014</t>
        </is>
      </c>
      <c r="J55" s="99">
        <v>3749100</v>
      </c>
      <c r="K55" s="99">
        <v>1000000</v>
      </c>
      <c r="L55" s="99">
        <v>500000</v>
      </c>
      <c r="M55" s="99">
        <v>1102500</v>
      </c>
      <c r="N55" s="99">
        <v>1146600</v>
      </c>
      <c r="O55" s="99">
        <v>1000000</v>
      </c>
      <c r="P55" s="99">
        <v>1000000</v>
      </c>
      <c r="Q55" s="99">
        <v>1000000</v>
      </c>
      <c r="R55" s="100">
        <v>1</v>
      </c>
      <c r="S55" t="inlineStr">
        <is>
          <t>Se ejecutó el 100% de lo programado en la vigencia</t>
        </is>
      </c>
      <c r="T55" s="101">
        <v>500000</v>
      </c>
      <c r="U55" s="101">
        <v>300000</v>
      </c>
      <c r="V55" s="101">
        <v>300000</v>
      </c>
      <c r="W55" s="102">
        <v>0.6</v>
      </c>
      <c r="X55" t="inlineStr">
        <is>
          <t>Lo obligado está por debajo de lo programado en la vigencia</t>
        </is>
      </c>
    </row>
    <row r="56">
      <c r="A56" t="inlineStr">
        <is>
          <t>IP-58</t>
        </is>
      </c>
      <c r="B56" t="inlineStr">
        <is>
          <t>19</t>
        </is>
      </c>
      <c r="C56" t="inlineStr">
        <is>
          <t>Salud y protección social</t>
        </is>
      </c>
      <c r="D56" t="inlineStr">
        <is>
          <t>1903</t>
        </is>
      </c>
      <c r="E56" t="inlineStr">
        <is>
          <t>Inspección, vigilancia y control</t>
        </is>
      </c>
      <c r="F56" t="inlineStr">
        <is>
          <t>1903016</t>
        </is>
      </c>
      <c r="G56" t="inlineStr">
        <is>
          <t>Servicio de auditoría y visitas inspectivas</t>
        </is>
      </c>
      <c r="H56" t="inlineStr">
        <is>
          <t>el servicio de auditoría y visitas inspectivas realizada para verificar el cumplimiento de los estándares y normatividad vigente.</t>
        </is>
      </c>
      <c r="I56" t="inlineStr">
        <is>
          <t>2024254860013</t>
        </is>
      </c>
      <c r="J56" s="99">
        <v>370305455.5703</v>
      </c>
      <c r="K56" s="99">
        <v>75028533</v>
      </c>
      <c r="L56" s="99">
        <v>126530249</v>
      </c>
      <c r="M56" s="99">
        <v>82718957.6325</v>
      </c>
      <c r="N56" s="99">
        <v>86027715.9378</v>
      </c>
      <c r="O56" s="99">
        <v>45469666</v>
      </c>
      <c r="P56" s="99">
        <v>45469666</v>
      </c>
      <c r="Q56" s="99">
        <v>45469666</v>
      </c>
      <c r="R56" s="100">
        <v>0.606031654650638</v>
      </c>
      <c r="S56" t="inlineStr">
        <is>
          <t>Lo obligado está por debajo de lo programado en la vigencia</t>
        </is>
      </c>
      <c r="T56" s="101">
        <v>104611452</v>
      </c>
      <c r="U56" s="101">
        <v>73588400</v>
      </c>
      <c r="V56" s="101">
        <v>73588400</v>
      </c>
      <c r="W56" s="102">
        <v>0.581587411560377</v>
      </c>
      <c r="X56" t="inlineStr">
        <is>
          <t>Lo obligado está por debajo de lo programado en la vigencia</t>
        </is>
      </c>
    </row>
    <row r="57">
      <c r="A57" t="inlineStr">
        <is>
          <t>IP-59</t>
        </is>
      </c>
      <c r="B57" t="inlineStr">
        <is>
          <t>19</t>
        </is>
      </c>
      <c r="C57" t="inlineStr">
        <is>
          <t>Salud y protección social</t>
        </is>
      </c>
      <c r="D57" t="inlineStr">
        <is>
          <t>1903</t>
        </is>
      </c>
      <c r="E57" t="inlineStr">
        <is>
          <t>Inspección, vigilancia y control</t>
        </is>
      </c>
      <c r="F57" t="inlineStr">
        <is>
          <t>1903031</t>
        </is>
      </c>
      <c r="G57" t="inlineStr">
        <is>
          <t>Servicio de información de vigilancia epidemiológica</t>
        </is>
      </c>
      <c r="H57" t="inlineStr">
        <is>
          <t>Informes de evento generados en la vigencia</t>
        </is>
      </c>
      <c r="I57" t="inlineStr">
        <is>
          <t>2024254860013</t>
        </is>
      </c>
      <c r="J57" s="99">
        <v>229400250</v>
      </c>
      <c r="K57" s="99">
        <v>27500000</v>
      </c>
      <c r="L57" s="99">
        <v>140050000</v>
      </c>
      <c r="M57" s="99">
        <v>30318750</v>
      </c>
      <c r="N57" s="99">
        <v>31531500</v>
      </c>
      <c r="O57" s="99">
        <v>22433333</v>
      </c>
      <c r="P57" s="99">
        <v>22433333</v>
      </c>
      <c r="Q57" s="99">
        <v>22433333</v>
      </c>
      <c r="R57" s="100">
        <v>0.815757563636364</v>
      </c>
      <c r="S57" t="inlineStr">
        <is>
          <t>Lo obligado está por debajo de lo programado en la vigencia</t>
        </is>
      </c>
      <c r="T57" s="101">
        <v>93080948</v>
      </c>
      <c r="U57" s="101">
        <v>45606500</v>
      </c>
      <c r="V57" s="101">
        <v>45606500</v>
      </c>
      <c r="W57" s="102">
        <v>0.325644412709747</v>
      </c>
      <c r="X57" t="inlineStr">
        <is>
          <t>Lo obligado está por debajo de lo programado en la vigencia</t>
        </is>
      </c>
    </row>
    <row r="58">
      <c r="A58" t="inlineStr">
        <is>
          <t>IP-60</t>
        </is>
      </c>
      <c r="B58" t="inlineStr">
        <is>
          <t>19</t>
        </is>
      </c>
      <c r="C58" t="inlineStr">
        <is>
          <t>Salud y protección social</t>
        </is>
      </c>
      <c r="D58" t="inlineStr">
        <is>
          <t>1903</t>
        </is>
      </c>
      <c r="E58" t="inlineStr">
        <is>
          <t>Inspección, vigilancia y control</t>
        </is>
      </c>
      <c r="F58" t="inlineStr">
        <is>
          <t>1903051</t>
        </is>
      </c>
      <c r="G58" t="inlineStr">
        <is>
          <t>Documentos de planeación</t>
        </is>
      </c>
      <c r="H58" t="inlineStr">
        <is>
          <t>Consiste en la formulación de documentos cuyo objetivo es plasmar una visión de futuro a nivel país, entidad territorial, comunidad, sector, región, entidad o cualquier nivel de desagregación que se requiera, plasmando elementos como objetivos, estrategias, metas e indicadores.</t>
        </is>
      </c>
      <c r="I58" t="inlineStr">
        <is>
          <t>2024254860013</t>
        </is>
      </c>
      <c r="J58" s="99">
        <v>1591808148.7636</v>
      </c>
      <c r="K58" s="99">
        <v>476153596</v>
      </c>
      <c r="L58" s="99">
        <v>44737500</v>
      </c>
      <c r="M58" s="99">
        <v>524959339.59</v>
      </c>
      <c r="N58" s="99">
        <v>545957713.1736</v>
      </c>
      <c r="O58" s="99">
        <v>16308333</v>
      </c>
      <c r="P58" s="99">
        <v>16308333</v>
      </c>
      <c r="Q58" s="99">
        <v>16308333</v>
      </c>
      <c r="R58" s="100">
        <v>0.0342501519194659</v>
      </c>
      <c r="S58" t="inlineStr">
        <is>
          <t>Lo obligado está por debajo de lo programado en la vigencia</t>
        </is>
      </c>
      <c r="T58" s="101">
        <v>44673750</v>
      </c>
      <c r="U58" s="101">
        <v>39710000</v>
      </c>
      <c r="V58" s="101">
        <v>39710000</v>
      </c>
      <c r="W58" s="102">
        <v>0.887622240849399</v>
      </c>
      <c r="X58" t="inlineStr">
        <is>
          <t>Lo obligado está por debajo de lo programado en la vigencia</t>
        </is>
      </c>
    </row>
    <row r="59">
      <c r="A59" t="inlineStr">
        <is>
          <t>IP-61</t>
        </is>
      </c>
      <c r="B59" t="inlineStr">
        <is>
          <t>19</t>
        </is>
      </c>
      <c r="C59" t="inlineStr">
        <is>
          <t>Salud y protección social</t>
        </is>
      </c>
      <c r="D59" t="inlineStr">
        <is>
          <t>1903</t>
        </is>
      </c>
      <c r="E59" t="inlineStr">
        <is>
          <t>Inspección, vigilancia y control</t>
        </is>
      </c>
      <c r="F59" t="inlineStr">
        <is>
          <t>1903052</t>
        </is>
      </c>
      <c r="G59" t="inlineStr">
        <is>
          <t>Documentos de evaluación</t>
        </is>
      </c>
      <c r="H59" t="inlineStr">
        <is>
          <t>Documentos técnicos en donde se realiza el seguimiento y el análisis de resultados e impactos de una política pública a través de indicadores,  índices y tasas y otras herramientas técnicas para la toma de decisiones.</t>
        </is>
      </c>
      <c r="I59" t="inlineStr">
        <is>
          <t>2024254860013</t>
        </is>
      </c>
      <c r="J59" s="99">
        <v>112502016</v>
      </c>
      <c r="K59" s="99">
        <v>20500000</v>
      </c>
      <c r="L59" s="99">
        <v>45895466</v>
      </c>
      <c r="M59" s="99">
        <v>22601250</v>
      </c>
      <c r="N59" s="99">
        <v>23505300</v>
      </c>
      <c r="O59" s="99">
        <v>16308333</v>
      </c>
      <c r="P59" s="99">
        <v>16308333</v>
      </c>
      <c r="Q59" s="99">
        <v>16308333</v>
      </c>
      <c r="R59" s="100">
        <v>0.79552843902439</v>
      </c>
      <c r="S59" t="inlineStr">
        <is>
          <t>Lo obligado está por debajo de lo programado en la vigencia</t>
        </is>
      </c>
      <c r="T59" s="101">
        <v>44673750</v>
      </c>
      <c r="U59" s="101">
        <v>29782500</v>
      </c>
      <c r="V59" s="101">
        <v>29782500</v>
      </c>
      <c r="W59" s="102">
        <v>0.648920309470221</v>
      </c>
      <c r="X59" t="inlineStr">
        <is>
          <t>Lo obligado está por debajo de lo programado en la vigencia</t>
        </is>
      </c>
    </row>
    <row r="60">
      <c r="A60" t="inlineStr">
        <is>
          <t>IP-62</t>
        </is>
      </c>
      <c r="B60" t="inlineStr">
        <is>
          <t>19</t>
        </is>
      </c>
      <c r="C60" t="inlineStr">
        <is>
          <t>Salud y protección social</t>
        </is>
      </c>
      <c r="D60" t="inlineStr">
        <is>
          <t>1903</t>
        </is>
      </c>
      <c r="E60" t="inlineStr">
        <is>
          <t>Inspección, vigilancia y control</t>
        </is>
      </c>
      <c r="F60" t="inlineStr">
        <is>
          <t>1903028</t>
        </is>
      </c>
      <c r="G60" t="inlineStr">
        <is>
          <t>Servicio de gestión de peticiones, quejas, reclamos y denuncias</t>
        </is>
      </c>
      <c r="H60" t="inlineStr">
        <is>
          <t>Este servicio permite gestionar todas las Preguntas Quejas Reclamos y Denuncias Gestionadas</t>
        </is>
      </c>
      <c r="I60" t="inlineStr">
        <is>
          <t>2024254860013</t>
        </is>
      </c>
      <c r="J60" s="99">
        <v>68103910</v>
      </c>
      <c r="K60" s="99">
        <v>13000000</v>
      </c>
      <c r="L60" s="99">
        <v>25865610</v>
      </c>
      <c r="M60" s="99">
        <v>14332500</v>
      </c>
      <c r="N60" s="99">
        <v>14905800</v>
      </c>
      <c r="O60" s="99">
        <v>9441666</v>
      </c>
      <c r="P60" s="99">
        <v>9441666</v>
      </c>
      <c r="Q60" s="99">
        <v>9441666</v>
      </c>
      <c r="R60" s="100">
        <v>0.726282</v>
      </c>
      <c r="S60" t="inlineStr">
        <is>
          <t>Lo obligado está por debajo de lo programado en la vigencia</t>
        </is>
      </c>
      <c r="T60" s="101">
        <v>24000000</v>
      </c>
      <c r="U60" s="101">
        <v>24000000</v>
      </c>
      <c r="V60" s="101">
        <v>24000000</v>
      </c>
      <c r="W60" s="102">
        <v>0.927872955634914</v>
      </c>
      <c r="X60" t="inlineStr">
        <is>
          <t>Lo obligado está por debajo de lo programado en la vigencia</t>
        </is>
      </c>
    </row>
    <row r="61">
      <c r="A61" t="inlineStr">
        <is>
          <t>IP-63</t>
        </is>
      </c>
      <c r="B61" t="inlineStr">
        <is>
          <t>19</t>
        </is>
      </c>
      <c r="C61" t="inlineStr">
        <is>
          <t>Salud y protección social</t>
        </is>
      </c>
      <c r="D61" t="inlineStr">
        <is>
          <t>1905</t>
        </is>
      </c>
      <c r="E61" t="inlineStr">
        <is>
          <t>Salud pública</t>
        </is>
      </c>
      <c r="F61" t="inlineStr">
        <is>
          <t>1905020</t>
        </is>
      </c>
      <c r="G61" t="inlineStr">
        <is>
          <t>Servicio de gestión del riesgo en temas de consumo de sustancias psicoactivas</t>
        </is>
      </c>
      <c r="H61" t="inlineStr">
        <is>
          <t xml:space="preserve">Acciones mediante las cuales se previene el consumo de sustancias psicoactivas en la población. </t>
        </is>
      </c>
      <c r="I61" t="inlineStr">
        <is>
          <t>2024254860014</t>
        </is>
      </c>
      <c r="J61" s="99">
        <v>51061660.2183</v>
      </c>
      <c r="K61" s="99">
        <v>10257813</v>
      </c>
      <c r="L61" s="99">
        <v>17733000</v>
      </c>
      <c r="M61" s="99">
        <v>11309238.8325</v>
      </c>
      <c r="N61" s="99">
        <v>11761608.3858</v>
      </c>
      <c r="O61" s="99">
        <v>9379172</v>
      </c>
      <c r="P61" s="99">
        <v>9379172</v>
      </c>
      <c r="Q61" s="99">
        <v>9379172</v>
      </c>
      <c r="R61" s="100">
        <v>0.914344217427243</v>
      </c>
      <c r="S61" t="inlineStr">
        <is>
          <t>Lo obligado está por debajo de lo programado en la vigencia</t>
        </is>
      </c>
      <c r="T61" s="101">
        <v>17733000</v>
      </c>
      <c r="U61" s="101">
        <v>10639800</v>
      </c>
      <c r="V61" s="101">
        <v>10639800</v>
      </c>
      <c r="W61" s="102">
        <v>0.6</v>
      </c>
      <c r="X61" t="inlineStr">
        <is>
          <t>Lo obligado está por debajo de lo programado en la vigencia</t>
        </is>
      </c>
    </row>
    <row r="62">
      <c r="A62" t="inlineStr">
        <is>
          <t>IP-64</t>
        </is>
      </c>
      <c r="B62" t="inlineStr">
        <is>
          <t>19</t>
        </is>
      </c>
      <c r="C62" t="inlineStr">
        <is>
          <t>Salud y protección social</t>
        </is>
      </c>
      <c r="D62" t="inlineStr">
        <is>
          <t>1905</t>
        </is>
      </c>
      <c r="E62" t="inlineStr">
        <is>
          <t>Salud pública</t>
        </is>
      </c>
      <c r="F62" t="inlineStr">
        <is>
          <t>1905021</t>
        </is>
      </c>
      <c r="G62" t="inlineStr">
        <is>
          <t>Servicio de gestión del riesgo en temas de salud sexual y reproductiva</t>
        </is>
      </c>
      <c r="H62" t="inlineStr">
        <is>
          <t>Corresponde a las acciones relacionadas con la prevención y mitigación de riesgos que afectan la salud sexual y reproductiva de las personas en el curso de su vida desde un enfoque de derechos.</t>
        </is>
      </c>
      <c r="I62" t="inlineStr">
        <is>
          <t>2024254860014</t>
        </is>
      </c>
      <c r="J62" s="99">
        <v>56412234.7901</v>
      </c>
      <c r="K62" s="99">
        <v>10195511</v>
      </c>
      <c r="L62" s="99">
        <v>23286000</v>
      </c>
      <c r="M62" s="99">
        <v>11240550.8775</v>
      </c>
      <c r="N62" s="99">
        <v>11690172.9126</v>
      </c>
      <c r="O62" s="99">
        <v>10195511</v>
      </c>
      <c r="P62" s="99">
        <v>10195511</v>
      </c>
      <c r="Q62" s="99">
        <v>10195511</v>
      </c>
      <c r="R62" s="100">
        <v>1</v>
      </c>
      <c r="S62" t="inlineStr">
        <is>
          <t>Se ejecutó el 100% de lo programado en la vigencia</t>
        </is>
      </c>
      <c r="T62" s="101">
        <v>23286000</v>
      </c>
      <c r="U62" s="101">
        <v>13971600</v>
      </c>
      <c r="V62" s="101">
        <v>13971600</v>
      </c>
      <c r="W62" s="102">
        <v>0.6</v>
      </c>
      <c r="X62" t="inlineStr">
        <is>
          <t>Lo obligado está por debajo de lo programado en la vigencia</t>
        </is>
      </c>
    </row>
    <row r="63">
      <c r="A63" t="inlineStr">
        <is>
          <t>IP-65</t>
        </is>
      </c>
      <c r="B63" t="inlineStr">
        <is>
          <t>19</t>
        </is>
      </c>
      <c r="C63" t="inlineStr">
        <is>
          <t>Salud y protección social</t>
        </is>
      </c>
      <c r="D63" t="inlineStr">
        <is>
          <t>1905</t>
        </is>
      </c>
      <c r="E63" t="inlineStr">
        <is>
          <t>Salud pública</t>
        </is>
      </c>
      <c r="F63" t="inlineStr">
        <is>
          <t>1905022</t>
        </is>
      </c>
      <c r="G63" t="inlineStr">
        <is>
          <t>Servicio de gestión del riesgo en temas de trastornos mentales</t>
        </is>
      </c>
      <c r="H63" t="inlineStr">
        <is>
          <t>Incluye acciones de prevención de los trastornos mentales asociados a factores sociales, psicológicos y biológicos, en los diferentes entornos en los que se desarrollan los individuos.</t>
        </is>
      </c>
      <c r="I63" t="inlineStr">
        <is>
          <t>2024254860014</t>
        </is>
      </c>
      <c r="J63" s="99">
        <v>30363187.5</v>
      </c>
      <c r="K63" s="99">
        <v>5625000</v>
      </c>
      <c r="L63" s="99">
        <v>12087000</v>
      </c>
      <c r="M63" s="99">
        <v>6201562.5</v>
      </c>
      <c r="N63" s="99">
        <v>6449625</v>
      </c>
      <c r="O63" s="99">
        <v>5625000</v>
      </c>
      <c r="P63" s="99">
        <v>5625000</v>
      </c>
      <c r="Q63" s="99">
        <v>5625000</v>
      </c>
      <c r="R63" s="100">
        <v>1</v>
      </c>
      <c r="S63" t="inlineStr">
        <is>
          <t>Se ejecutó el 100% de lo programado en la vigencia</t>
        </is>
      </c>
      <c r="T63" s="101">
        <v>12087000</v>
      </c>
      <c r="U63" s="101">
        <v>7252200</v>
      </c>
      <c r="V63" s="101">
        <v>7252200</v>
      </c>
      <c r="W63" s="102">
        <v>0.6</v>
      </c>
      <c r="X63" t="inlineStr">
        <is>
          <t>Lo obligado está por debajo de lo programado en la vigencia</t>
        </is>
      </c>
    </row>
    <row r="64">
      <c r="A64" t="inlineStr">
        <is>
          <t>IP-66</t>
        </is>
      </c>
      <c r="B64" t="inlineStr">
        <is>
          <t>19</t>
        </is>
      </c>
      <c r="C64" t="inlineStr">
        <is>
          <t>Salud y protección social</t>
        </is>
      </c>
      <c r="D64" t="inlineStr">
        <is>
          <t>1905</t>
        </is>
      </c>
      <c r="E64" t="inlineStr">
        <is>
          <t>Salud pública</t>
        </is>
      </c>
      <c r="F64" t="inlineStr">
        <is>
          <t>1905023</t>
        </is>
      </c>
      <c r="G64" t="inlineStr">
        <is>
          <t>Servicio de gestión del riesgo para abordar condiciones crónicas prevalentes</t>
        </is>
      </c>
      <c r="H64" t="inlineStr">
        <is>
          <t>Acciones para garantizar la prevención y el abordaje de enfermedades no transmisibles y de alteraciones de la salud bucal, visual y auditiva, gestión del riesgo disminución de la enfermedad y la discapacidad evitable.</t>
        </is>
      </c>
      <c r="I64" t="inlineStr">
        <is>
          <t>2024254860014</t>
        </is>
      </c>
      <c r="J64" s="99">
        <v>25673587.5</v>
      </c>
      <c r="K64" s="99">
        <v>4625000</v>
      </c>
      <c r="L64" s="99">
        <v>10646500</v>
      </c>
      <c r="M64" s="99">
        <v>5099062.5</v>
      </c>
      <c r="N64" s="99">
        <v>5303025</v>
      </c>
      <c r="O64" s="99">
        <v>4625000</v>
      </c>
      <c r="P64" s="99">
        <v>4625000</v>
      </c>
      <c r="Q64" s="99">
        <v>4625000</v>
      </c>
      <c r="R64" s="100">
        <v>1</v>
      </c>
      <c r="S64" t="inlineStr">
        <is>
          <t>Se ejecutó el 100% de lo programado en la vigencia</t>
        </is>
      </c>
      <c r="T64" s="101">
        <v>10646500</v>
      </c>
      <c r="U64" s="101">
        <v>6387900</v>
      </c>
      <c r="V64" s="101">
        <v>6387900</v>
      </c>
      <c r="W64" s="102">
        <v>0.6</v>
      </c>
      <c r="X64" t="inlineStr">
        <is>
          <t>Lo obligado está por debajo de lo programado en la vigencia</t>
        </is>
      </c>
    </row>
    <row r="65">
      <c r="A65" t="inlineStr">
        <is>
          <t>IP-67</t>
        </is>
      </c>
      <c r="B65" t="inlineStr">
        <is>
          <t>19</t>
        </is>
      </c>
      <c r="C65" t="inlineStr">
        <is>
          <t>Salud y protección social</t>
        </is>
      </c>
      <c r="D65" t="inlineStr">
        <is>
          <t>1905</t>
        </is>
      </c>
      <c r="E65" t="inlineStr">
        <is>
          <t>Salud pública</t>
        </is>
      </c>
      <c r="F65" t="inlineStr">
        <is>
          <t>1905024</t>
        </is>
      </c>
      <c r="G65" t="inlineStr">
        <is>
          <t>Servicio de gestión del riesgo para abordar situaciones de salud relacionadas con condiciones ambientales</t>
        </is>
      </c>
      <c r="H65" t="inlineStr">
        <is>
          <t>Incluye la gestión integral relacionada con la prevención de enfermedades generadas por sustancias químicas, por animales (zoonosis), vectores de contaminación en el aire y el agua, entre otros factores.</t>
        </is>
      </c>
      <c r="I65" t="inlineStr">
        <is>
          <t>2024254860014</t>
        </is>
      </c>
      <c r="J65" s="99">
        <v>54019672.5</v>
      </c>
      <c r="K65" s="99">
        <v>8975000</v>
      </c>
      <c r="L65" s="99">
        <v>24859000</v>
      </c>
      <c r="M65" s="99">
        <v>9894937.5</v>
      </c>
      <c r="N65" s="99">
        <v>10290735</v>
      </c>
      <c r="O65" s="99">
        <v>8975000</v>
      </c>
      <c r="P65" s="99">
        <v>8975000</v>
      </c>
      <c r="Q65" s="99">
        <v>8975000</v>
      </c>
      <c r="R65" s="100">
        <v>1</v>
      </c>
      <c r="S65" t="inlineStr">
        <is>
          <t>Se ejecutó el 100% de lo programado en la vigencia</t>
        </is>
      </c>
      <c r="T65" s="101">
        <v>24859000</v>
      </c>
      <c r="U65" s="101">
        <v>14915400</v>
      </c>
      <c r="V65" s="101">
        <v>14915400</v>
      </c>
      <c r="W65" s="102">
        <v>0.6</v>
      </c>
      <c r="X65" t="inlineStr">
        <is>
          <t>Lo obligado está por debajo de lo programado en la vigencia</t>
        </is>
      </c>
    </row>
    <row r="66">
      <c r="A66" t="inlineStr">
        <is>
          <t>IP-68</t>
        </is>
      </c>
      <c r="B66" t="inlineStr">
        <is>
          <t>19</t>
        </is>
      </c>
      <c r="C66" t="inlineStr">
        <is>
          <t>Salud y protección social</t>
        </is>
      </c>
      <c r="D66" t="inlineStr">
        <is>
          <t>1905</t>
        </is>
      </c>
      <c r="E66" t="inlineStr">
        <is>
          <t>Salud pública</t>
        </is>
      </c>
      <c r="F66" t="inlineStr">
        <is>
          <t>1905025</t>
        </is>
      </c>
      <c r="G66" t="inlineStr">
        <is>
          <t>Servicio de gestión del riesgo para abordar situaciones prevalentes de origen laboral</t>
        </is>
      </c>
      <c r="H66" t="inlineStr">
        <is>
          <t>Corresponde a las acciones que previenen la carga de la enfermedad relacionada con la salud y bienestar de todos los trabajadores derivados de la ocupación. Permite anticipar, conocer, evaluar y controlar los riesgos que pueden afectar la seguridad y salud en el trabajo.</t>
        </is>
      </c>
      <c r="I66" t="inlineStr">
        <is>
          <t>2024254860014</t>
        </is>
      </c>
      <c r="J66" s="99">
        <v>25516087.5</v>
      </c>
      <c r="K66" s="99">
        <v>4625000</v>
      </c>
      <c r="L66" s="99">
        <v>10489000</v>
      </c>
      <c r="M66" s="99">
        <v>5099062.5</v>
      </c>
      <c r="N66" s="99">
        <v>5303025</v>
      </c>
      <c r="O66" s="99">
        <v>4625000</v>
      </c>
      <c r="P66" s="99">
        <v>4625000</v>
      </c>
      <c r="Q66" s="99">
        <v>4625000</v>
      </c>
      <c r="R66" s="100">
        <v>1</v>
      </c>
      <c r="S66" t="inlineStr">
        <is>
          <t>Se ejecutó el 100% de lo programado en la vigencia</t>
        </is>
      </c>
      <c r="T66" s="101">
        <v>10489000</v>
      </c>
      <c r="U66" s="101">
        <v>3146700</v>
      </c>
      <c r="V66" s="101">
        <v>3146700</v>
      </c>
      <c r="W66" s="102">
        <v>0.3</v>
      </c>
      <c r="X66" t="inlineStr">
        <is>
          <t>Lo obligado está por debajo de lo programado en la vigencia</t>
        </is>
      </c>
    </row>
    <row r="67">
      <c r="A67" t="inlineStr">
        <is>
          <t>IP-69</t>
        </is>
      </c>
      <c r="B67" t="inlineStr">
        <is>
          <t>19</t>
        </is>
      </c>
      <c r="C67" t="inlineStr">
        <is>
          <t>Salud y protección social</t>
        </is>
      </c>
      <c r="D67" t="inlineStr">
        <is>
          <t>1905</t>
        </is>
      </c>
      <c r="E67" t="inlineStr">
        <is>
          <t>Salud pública</t>
        </is>
      </c>
      <c r="F67" t="inlineStr">
        <is>
          <t>1905035</t>
        </is>
      </c>
      <c r="G67" t="inlineStr">
        <is>
          <t>Servicio de gestión territorial para atención en salud -pandemias- a población afectada por emergencias o desastres</t>
        </is>
      </c>
      <c r="H67" t="inlineStr">
        <is>
          <t>Corresponde a la estrategia de respuesta en materia de salud para la población afectada ante declaratoria de situaciones de emergencias o desastres. Incluye acciones de salud pública, como medidas sanitarias y la implementación de los planes de preparación y respuesta ante este riesgo . Incluyen por ejemplo, según la competencia de la Entidad territorial,  apoyo a la vigilancia,  control y seguimiento epidemiológico. Lo anterior en articulación con las demás entidades competentes del Sistema General de Seguridad Social en salud, en especial EPS e IPS.</t>
        </is>
      </c>
      <c r="I67" t="inlineStr">
        <is>
          <t>2024254860014</t>
        </is>
      </c>
      <c r="J67" s="99">
        <v>20168987.5</v>
      </c>
      <c r="K67" s="99">
        <v>3625000</v>
      </c>
      <c r="L67" s="99">
        <v>8391000</v>
      </c>
      <c r="M67" s="99">
        <v>3996562.5</v>
      </c>
      <c r="N67" s="99">
        <v>4156425</v>
      </c>
      <c r="O67" s="99">
        <v>3625000</v>
      </c>
      <c r="P67" s="99">
        <v>3625000</v>
      </c>
      <c r="Q67" s="99">
        <v>3625000</v>
      </c>
      <c r="R67" s="100">
        <v>1</v>
      </c>
      <c r="S67" t="inlineStr">
        <is>
          <t>Se ejecutó el 100% de lo programado en la vigencia</t>
        </is>
      </c>
      <c r="T67" s="101">
        <v>8391000</v>
      </c>
      <c r="U67" s="101">
        <v>5034600</v>
      </c>
      <c r="V67" s="101">
        <v>5034600</v>
      </c>
      <c r="W67" s="102">
        <v>0.6</v>
      </c>
      <c r="X67" t="inlineStr">
        <is>
          <t>Lo obligado está por debajo de lo programado en la vigencia</t>
        </is>
      </c>
    </row>
    <row r="68">
      <c r="A68" t="inlineStr">
        <is>
          <t>IP-70</t>
        </is>
      </c>
      <c r="B68" t="inlineStr">
        <is>
          <t>19</t>
        </is>
      </c>
      <c r="C68" t="inlineStr">
        <is>
          <t>Salud y protección social</t>
        </is>
      </c>
      <c r="D68" t="inlineStr">
        <is>
          <t>1905</t>
        </is>
      </c>
      <c r="E68" t="inlineStr">
        <is>
          <t>Salud pública</t>
        </is>
      </c>
      <c r="F68" t="inlineStr">
        <is>
          <t>1905054</t>
        </is>
      </c>
      <c r="G68" t="inlineStr">
        <is>
          <t>Servicio de promoción de la salud</t>
        </is>
      </c>
      <c r="H68" t="inlineStr">
        <is>
          <t>Corresponde a las estrategias, acciones, procedimientos e intervenciones integrales que permite a las personas incrementar el control sobre su salud. El servicio de promoción en salud pública incluye la formulación de política pública, creación de ambientes favorables a la salud, fortalecimiento de la acción y participación comunitaria, generación de entornos saludables, generación de capacidades sociales e individuales, educación en salud, desarrollo de actitudes personales saludables, reorientación de los servicios de salud para la transformación de las condiciones de salud, entre otros.</t>
        </is>
      </c>
      <c r="I68" t="inlineStr">
        <is>
          <t>2024254860014</t>
        </is>
      </c>
      <c r="J68" s="99">
        <v>586910</v>
      </c>
      <c r="K68" s="99">
        <v>100000</v>
      </c>
      <c r="L68" s="99">
        <v>262000</v>
      </c>
      <c r="M68" s="99">
        <v>110250</v>
      </c>
      <c r="N68" s="99">
        <v>114660</v>
      </c>
      <c r="O68" s="99">
        <v>100000</v>
      </c>
      <c r="P68" s="99">
        <v>100000</v>
      </c>
      <c r="Q68" s="99">
        <v>100000</v>
      </c>
      <c r="R68" s="100">
        <v>1</v>
      </c>
      <c r="S68" t="inlineStr">
        <is>
          <t>Se ejecutó el 100% de lo programado en la vigencia</t>
        </is>
      </c>
      <c r="T68" s="101">
        <v>262000</v>
      </c>
      <c r="U68" s="101">
        <v>157200</v>
      </c>
      <c r="V68" s="101">
        <v>157200</v>
      </c>
      <c r="W68" s="102">
        <v>0.6</v>
      </c>
      <c r="X68" t="inlineStr">
        <is>
          <t>Lo obligado está por debajo de lo programado en la vigencia</t>
        </is>
      </c>
    </row>
    <row r="69">
      <c r="A69" t="inlineStr">
        <is>
          <t>IP-71</t>
        </is>
      </c>
      <c r="B69" t="inlineStr">
        <is>
          <t>19</t>
        </is>
      </c>
      <c r="C69" t="inlineStr">
        <is>
          <t>Salud y protección social</t>
        </is>
      </c>
      <c r="D69" t="inlineStr">
        <is>
          <t>1905</t>
        </is>
      </c>
      <c r="E69" t="inlineStr">
        <is>
          <t>Salud pública</t>
        </is>
      </c>
      <c r="F69" t="inlineStr">
        <is>
          <t>1905026</t>
        </is>
      </c>
      <c r="G69" t="inlineStr">
        <is>
          <t>Servicio de gestión del riesgo para enfermedades emergentes, reemergentes y desatendidas</t>
        </is>
      </c>
      <c r="H69" t="inlineStr">
        <is>
          <t xml:space="preserve">Corresponde a las acciones relacionadas con la prevención, control y eliminación de las enfermedades infecciosas emergentes, re-emergentes (enfermedades transmitidas por alimentos, infecciones asociadas a la atención de la salud, resistencia a los antimicrobianos, tuberculosis, lepra o enfermedad de Hansen, infección respiratoria aguda, enfermedad diarreica aguda) y desatendidas (tracoma, geohelmintiasis, oncocercosis, pian, complejo cisticercosis / teniasis y enfermedades parasitarias de la piel). </t>
        </is>
      </c>
      <c r="I69" t="inlineStr">
        <is>
          <t>2024254860014</t>
        </is>
      </c>
      <c r="J69" s="99">
        <v>25516087.5</v>
      </c>
      <c r="K69" s="99">
        <v>4625000</v>
      </c>
      <c r="L69" s="99">
        <v>10489000</v>
      </c>
      <c r="M69" s="99">
        <v>5099062.5</v>
      </c>
      <c r="N69" s="99">
        <v>5303025</v>
      </c>
      <c r="O69" s="99">
        <v>4625000</v>
      </c>
      <c r="P69" s="99">
        <v>4625000</v>
      </c>
      <c r="Q69" s="99">
        <v>4625000</v>
      </c>
      <c r="R69" s="100">
        <v>1</v>
      </c>
      <c r="S69" t="inlineStr">
        <is>
          <t>Se ejecutó el 100% de lo programado en la vigencia</t>
        </is>
      </c>
      <c r="T69" s="101">
        <v>10489000</v>
      </c>
      <c r="U69" s="101">
        <v>9440100</v>
      </c>
      <c r="V69" s="101">
        <v>9440100</v>
      </c>
      <c r="W69" s="102">
        <v>0.9</v>
      </c>
      <c r="X69" t="inlineStr">
        <is>
          <t>Lo obligado está por debajo de lo programado en la vigencia</t>
        </is>
      </c>
    </row>
    <row r="70">
      <c r="A70" t="inlineStr">
        <is>
          <t>IP-72</t>
        </is>
      </c>
      <c r="B70" t="inlineStr">
        <is>
          <t>19</t>
        </is>
      </c>
      <c r="C70" t="inlineStr">
        <is>
          <t>Salud y protección social</t>
        </is>
      </c>
      <c r="D70" t="inlineStr">
        <is>
          <t>1905</t>
        </is>
      </c>
      <c r="E70" t="inlineStr">
        <is>
          <t>Salud pública</t>
        </is>
      </c>
      <c r="F70" t="inlineStr">
        <is>
          <t>1905027</t>
        </is>
      </c>
      <c r="G70" t="inlineStr">
        <is>
          <t>Servicio de gestión del riesgo para enfermedades inmunoprevenibles</t>
        </is>
      </c>
      <c r="H70" t="inlineStr">
        <is>
          <t>Corresponde a las acciones relacionadas con intervenciones sectoriales y comunitarias para la prevención, control, mitigación y minimización de los riesgos que propician la aparición de las enfermedades prevenibles por vacunas y sus consecuentes efectos negativos en la población. Incluye el plan ampliado de inmunizaciones.</t>
        </is>
      </c>
      <c r="I70" t="inlineStr">
        <is>
          <t>2024254860014</t>
        </is>
      </c>
      <c r="J70" s="99">
        <v>74358600.5</v>
      </c>
      <c r="K70" s="99">
        <v>8775000</v>
      </c>
      <c r="L70" s="99">
        <v>45847748</v>
      </c>
      <c r="M70" s="99">
        <v>9674437.5</v>
      </c>
      <c r="N70" s="99">
        <v>10061415</v>
      </c>
      <c r="O70" s="99">
        <v>8625000</v>
      </c>
      <c r="P70" s="99">
        <v>8625000</v>
      </c>
      <c r="Q70" s="99">
        <v>8625000</v>
      </c>
      <c r="R70" s="100">
        <v>0.982905982905983</v>
      </c>
      <c r="S70" t="inlineStr">
        <is>
          <t>Lo obligado está por debajo de lo programado en la vigencia</t>
        </is>
      </c>
      <c r="T70" s="101">
        <v>19118340</v>
      </c>
      <c r="U70" s="101">
        <v>11376477</v>
      </c>
      <c r="V70" s="101">
        <v>11376477</v>
      </c>
      <c r="W70" s="102">
        <v>0.24813600441182</v>
      </c>
      <c r="X70" t="inlineStr">
        <is>
          <t>Lo obligado está por debajo de lo programado en la vigencia</t>
        </is>
      </c>
    </row>
    <row r="71">
      <c r="A71" t="inlineStr">
        <is>
          <t>IP-73</t>
        </is>
      </c>
      <c r="B71" t="inlineStr">
        <is>
          <t>19</t>
        </is>
      </c>
      <c r="C71" t="inlineStr">
        <is>
          <t>Salud y protección social</t>
        </is>
      </c>
      <c r="D71" t="inlineStr">
        <is>
          <t>1905</t>
        </is>
      </c>
      <c r="E71" t="inlineStr">
        <is>
          <t>Salud pública</t>
        </is>
      </c>
      <c r="F71" t="inlineStr">
        <is>
          <t>1905028</t>
        </is>
      </c>
      <c r="G71" t="inlineStr">
        <is>
          <t>Servicio de gestión del riesgo para temas de consumo, aprovechamiento biológico, calidad e inocuidad de los alimentos</t>
        </is>
      </c>
      <c r="H71" t="inlineStr">
        <is>
          <t>Comprende acciones para disminuir la probabilidad de ocurrencia de eventos no deseados, evitables y negativos para la salud del individuo relacionado con la alimentación, como la obesidad, la desnutrición, la intoxicación, entre otros.</t>
        </is>
      </c>
      <c r="I71" t="inlineStr">
        <is>
          <t>2024254860014</t>
        </is>
      </c>
      <c r="J71" s="99">
        <v>53680450</v>
      </c>
      <c r="K71" s="99">
        <v>9500000</v>
      </c>
      <c r="L71" s="99">
        <v>22814000</v>
      </c>
      <c r="M71" s="99">
        <v>10473750</v>
      </c>
      <c r="N71" s="99">
        <v>10892700</v>
      </c>
      <c r="O71" s="99">
        <v>9500000</v>
      </c>
      <c r="P71" s="99">
        <v>9500000</v>
      </c>
      <c r="Q71" s="99">
        <v>9500000</v>
      </c>
      <c r="R71" s="100">
        <v>1</v>
      </c>
      <c r="S71" t="inlineStr">
        <is>
          <t>Se ejecutó el 100% de lo programado en la vigencia</t>
        </is>
      </c>
      <c r="T71" s="101">
        <v>22814000</v>
      </c>
      <c r="U71" s="101">
        <v>13782927</v>
      </c>
      <c r="V71" s="101">
        <v>13782927</v>
      </c>
      <c r="W71" s="102">
        <v>0.604143376873849</v>
      </c>
      <c r="X71" t="inlineStr">
        <is>
          <t>Lo obligado está por debajo de lo programado en la vigencia</t>
        </is>
      </c>
    </row>
    <row r="72">
      <c r="A72" t="inlineStr">
        <is>
          <t>IP-74</t>
        </is>
      </c>
      <c r="B72" t="inlineStr">
        <is>
          <t>19</t>
        </is>
      </c>
      <c r="C72" t="inlineStr">
        <is>
          <t>Salud y protección social</t>
        </is>
      </c>
      <c r="D72" t="inlineStr">
        <is>
          <t>1905</t>
        </is>
      </c>
      <c r="E72" t="inlineStr">
        <is>
          <t>Salud pública</t>
        </is>
      </c>
      <c r="F72" t="inlineStr">
        <is>
          <t>1905031</t>
        </is>
      </c>
      <c r="G72" t="inlineStr">
        <is>
          <t>Servicio de promoción de la salud y prevención de riesgos asociados a condiciones no transmisibles</t>
        </is>
      </c>
      <c r="H72" t="inlineStr">
        <is>
          <t xml:space="preserve">Es el conjunto de acciones, procedimientos e intervenciones integrales, mediante los cuales se orienta a la población acerca de hábitos saludables que mejoran su condición de salud a través de la creación o adopción de modos, condiciones o estilos de vida saludables en los entornos cotidianos. </t>
        </is>
      </c>
      <c r="I72" t="inlineStr">
        <is>
          <t>2024254860014</t>
        </is>
      </c>
      <c r="J72" s="99">
        <v>56867349.5</v>
      </c>
      <c r="K72" s="99">
        <v>9875000</v>
      </c>
      <c r="L72" s="99">
        <v>24782487</v>
      </c>
      <c r="M72" s="99">
        <v>10887187.5</v>
      </c>
      <c r="N72" s="99">
        <v>11322675</v>
      </c>
      <c r="O72" s="99">
        <v>9875000</v>
      </c>
      <c r="P72" s="99">
        <v>9875000</v>
      </c>
      <c r="Q72" s="99">
        <v>9875000</v>
      </c>
      <c r="R72" s="100">
        <v>1</v>
      </c>
      <c r="S72" t="inlineStr">
        <is>
          <t>Se ejecutó el 100% de lo programado en la vigencia</t>
        </is>
      </c>
      <c r="T72" s="101">
        <v>21502000</v>
      </c>
      <c r="U72" s="101">
        <v>12901200</v>
      </c>
      <c r="V72" s="101">
        <v>12901200</v>
      </c>
      <c r="W72" s="102">
        <v>0.520577293150603</v>
      </c>
      <c r="X72" t="inlineStr">
        <is>
          <t>Lo obligado está por debajo de lo programado en la vigencia</t>
        </is>
      </c>
    </row>
    <row r="73">
      <c r="A73" t="inlineStr">
        <is>
          <t>IP-75</t>
        </is>
      </c>
      <c r="B73" t="inlineStr">
        <is>
          <t>19</t>
        </is>
      </c>
      <c r="C73" t="inlineStr">
        <is>
          <t>Salud y protección social</t>
        </is>
      </c>
      <c r="D73" t="inlineStr">
        <is>
          <t>1906</t>
        </is>
      </c>
      <c r="E73" t="inlineStr">
        <is>
          <t>Aseguramiento y prestación integral de servicios de salud</t>
        </is>
      </c>
      <c r="F73" t="inlineStr">
        <is>
          <t>1906044</t>
        </is>
      </c>
      <c r="G73" t="inlineStr">
        <is>
          <t>Servicio de afiliaciones al régimen subsidiado del Sistema General de Seguridad Social</t>
        </is>
      </c>
      <c r="H73" t="inlineStr">
        <is>
          <t xml:space="preserve">Este servicio permite a las entidades territoriales realizar la afiliación de la población al régimen subsidiado conforme a las condiciones del Sistema General de Seguridad Social; incluye el registro, reporte, sistematización y seguimiento de afiliados en los sistemas de información correspondientes. </t>
        </is>
      </c>
      <c r="I73" t="inlineStr">
        <is>
          <t>2024254860015</t>
        </is>
      </c>
      <c r="J73" s="99">
        <v>15388311728.0765</v>
      </c>
      <c r="K73" s="99">
        <v>2871895978.91</v>
      </c>
      <c r="L73" s="99">
        <v>6057234503</v>
      </c>
      <c r="M73" s="99">
        <v>3166265316.7483</v>
      </c>
      <c r="N73" s="99">
        <v>3292915929.4182</v>
      </c>
      <c r="O73" s="99">
        <v>2877765495</v>
      </c>
      <c r="P73" s="99">
        <v>2877765495</v>
      </c>
      <c r="Q73" s="99">
        <v>2877765495</v>
      </c>
      <c r="R73" s="100">
        <v>1.00204377739762</v>
      </c>
      <c r="S73" t="inlineStr">
        <is>
          <t>Hubo ejecución por encima de lo programado en SisPT</t>
        </is>
      </c>
      <c r="T73" s="101">
        <v>4565517076</v>
      </c>
      <c r="U73" s="101">
        <v>4565517076</v>
      </c>
      <c r="V73" s="101">
        <v>4565517076</v>
      </c>
      <c r="W73" s="102">
        <v>0.753729622608933</v>
      </c>
      <c r="X73" t="inlineStr">
        <is>
          <t>Lo obligado está por debajo de lo programado en la vigencia</t>
        </is>
      </c>
    </row>
    <row r="74">
      <c r="A74" t="inlineStr">
        <is>
          <t>IP-76</t>
        </is>
      </c>
      <c r="B74" t="inlineStr">
        <is>
          <t>19</t>
        </is>
      </c>
      <c r="C74" t="inlineStr">
        <is>
          <t>Salud y protección social</t>
        </is>
      </c>
      <c r="D74" t="inlineStr">
        <is>
          <t>1906</t>
        </is>
      </c>
      <c r="E74" t="inlineStr">
        <is>
          <t>Aseguramiento y prestación integral de servicios de salud</t>
        </is>
      </c>
      <c r="F74" t="inlineStr">
        <is>
          <t>1906047</t>
        </is>
      </c>
      <c r="G74" t="inlineStr">
        <is>
          <t>Hospitales de primer nivel de atención construidos</t>
        </is>
      </c>
      <c r="H74" t="inlineStr">
        <is>
          <t>Corresponde a un inmueble resultado de obras de edificación en terrenos no construidos o cuya área esté libre por autorización de demolición total para la prestación de servicios de salud a la población. No incluye la dotación del inmueble. Incluye centros de salud, puestos de salud e infraestructura local de prestación de servicios.</t>
        </is>
      </c>
      <c r="I74" t="inlineStr">
        <is>
          <t>2024254860015</t>
        </is>
      </c>
      <c r="J74" s="99">
        <v>459478575</v>
      </c>
      <c r="K74" s="99">
        <v>0</v>
      </c>
      <c r="L74" s="99">
        <v>459478575</v>
      </c>
      <c r="M74" s="99">
        <v>0</v>
      </c>
      <c r="N74" s="99">
        <v>0</v>
      </c>
      <c r="O74" s="99" t="inlineStr">
        <is>
          <t xml:space="preserve"> </t>
        </is>
      </c>
      <c r="P74" s="99" t="inlineStr">
        <is>
          <t xml:space="preserve"> </t>
        </is>
      </c>
      <c r="Q74" s="99" t="inlineStr">
        <is>
          <t xml:space="preserve"> </t>
        </is>
      </c>
      <c r="R74" s="100" t="inlineStr">
        <is>
          <t xml:space="preserve"> </t>
        </is>
      </c>
      <c r="S74" t="inlineStr">
        <is>
          <t>No se encontró ejecución en CUIPO</t>
        </is>
      </c>
      <c r="T74" s="101" t="inlineStr">
        <is>
          <t xml:space="preserve"> </t>
        </is>
      </c>
      <c r="U74" s="101" t="inlineStr">
        <is>
          <t xml:space="preserve"> </t>
        </is>
      </c>
      <c r="V74" s="101" t="inlineStr">
        <is>
          <t xml:space="preserve"> </t>
        </is>
      </c>
      <c r="W74" s="102" t="inlineStr">
        <is>
          <t xml:space="preserve"> </t>
        </is>
      </c>
      <c r="X74" t="inlineStr">
        <is>
          <t>No se encontró ejecución en CUIPO</t>
        </is>
      </c>
    </row>
    <row r="75">
      <c r="A75" t="inlineStr">
        <is>
          <t>IP-77, IP-78, IP-79</t>
        </is>
      </c>
      <c r="B75" t="inlineStr">
        <is>
          <t>22</t>
        </is>
      </c>
      <c r="C75" t="inlineStr">
        <is>
          <t>Educación</t>
        </is>
      </c>
      <c r="D75" t="inlineStr">
        <is>
          <t>2201</t>
        </is>
      </c>
      <c r="E75" t="inlineStr">
        <is>
          <t>Calidad, cobertura y fortalecimiento de la educación inicial, prescolar, básica y media</t>
        </is>
      </c>
      <c r="F75" t="inlineStr">
        <is>
          <t>2201034</t>
        </is>
      </c>
      <c r="G75" t="inlineStr">
        <is>
          <t>Servicio educativos de promoción del bilingüismo</t>
        </is>
      </c>
      <c r="H75" t="inlineStr">
        <is>
          <t xml:space="preserve">Procesos de formación para el desarrollo de competencias en un segundo idioma </t>
        </is>
      </c>
      <c r="I75" t="inlineStr">
        <is>
          <t>2024254860016</t>
        </is>
      </c>
      <c r="J75" s="99">
        <v>7837500</v>
      </c>
      <c r="K75" s="99">
        <v>0</v>
      </c>
      <c r="L75" s="99">
        <v>7837500</v>
      </c>
      <c r="M75" s="99">
        <v>0</v>
      </c>
      <c r="N75" s="99">
        <v>0</v>
      </c>
      <c r="O75" s="99" t="inlineStr">
        <is>
          <t xml:space="preserve"> </t>
        </is>
      </c>
      <c r="P75" s="99" t="inlineStr">
        <is>
          <t xml:space="preserve"> </t>
        </is>
      </c>
      <c r="Q75" s="99" t="inlineStr">
        <is>
          <t xml:space="preserve"> </t>
        </is>
      </c>
      <c r="R75" s="100" t="inlineStr">
        <is>
          <t xml:space="preserve"> </t>
        </is>
      </c>
      <c r="S75" t="inlineStr">
        <is>
          <t>No se encontró ejecución en CUIPO</t>
        </is>
      </c>
      <c r="T75" s="101">
        <v>0</v>
      </c>
      <c r="U75" s="101">
        <v>0</v>
      </c>
      <c r="V75" s="101">
        <v>0</v>
      </c>
      <c r="W75" s="102">
        <v>0</v>
      </c>
      <c r="X75" t="inlineStr">
        <is>
          <t>No se ejecutó en la vigencia</t>
        </is>
      </c>
    </row>
    <row r="76">
      <c r="A76" t="inlineStr">
        <is>
          <t>IP-80</t>
        </is>
      </c>
      <c r="B76" t="inlineStr">
        <is>
          <t>22</t>
        </is>
      </c>
      <c r="C76" t="inlineStr">
        <is>
          <t>Educación</t>
        </is>
      </c>
      <c r="D76" t="inlineStr">
        <is>
          <t>2201</t>
        </is>
      </c>
      <c r="E76" t="inlineStr">
        <is>
          <t>Calidad, cobertura y fortalecimiento de la educación inicial, prescolar, básica y media</t>
        </is>
      </c>
      <c r="F76" t="inlineStr">
        <is>
          <t>2201032</t>
        </is>
      </c>
      <c r="G76" t="inlineStr">
        <is>
          <t>Servicio de alfabetización</t>
        </is>
      </c>
      <c r="H76" t="inlineStr">
        <is>
          <t>Procesos de formación encaminados a la enseñanza de la lectura y la escritura a población joven y adulta iletrada</t>
        </is>
      </c>
      <c r="I76" t="inlineStr">
        <is>
          <t>2024254860016</t>
        </is>
      </c>
      <c r="J76" s="99">
        <v>0</v>
      </c>
      <c r="K76" s="99">
        <v>0</v>
      </c>
      <c r="L76" s="99">
        <v>0</v>
      </c>
      <c r="M76" s="99">
        <v>0</v>
      </c>
      <c r="N76" s="99">
        <v>0</v>
      </c>
      <c r="O76" s="99" t="inlineStr">
        <is>
          <t xml:space="preserve"> </t>
        </is>
      </c>
      <c r="P76" s="99" t="inlineStr">
        <is>
          <t xml:space="preserve"> </t>
        </is>
      </c>
      <c r="Q76" s="99" t="inlineStr">
        <is>
          <t xml:space="preserve"> </t>
        </is>
      </c>
      <c r="R76" s="100" t="inlineStr">
        <is>
          <t xml:space="preserve"> </t>
        </is>
      </c>
      <c r="S76" t="inlineStr">
        <is>
          <t>No se encontró ejecución en CUIPO</t>
        </is>
      </c>
      <c r="T76" s="101" t="inlineStr">
        <is>
          <t xml:space="preserve"> </t>
        </is>
      </c>
      <c r="U76" s="101" t="inlineStr">
        <is>
          <t xml:space="preserve"> </t>
        </is>
      </c>
      <c r="V76" s="101" t="inlineStr">
        <is>
          <t xml:space="preserve"> </t>
        </is>
      </c>
      <c r="W76" s="102" t="inlineStr">
        <is>
          <t xml:space="preserve"> </t>
        </is>
      </c>
      <c r="X76" t="inlineStr">
        <is>
          <t>No se encontró ejecución en CUIPO</t>
        </is>
      </c>
    </row>
    <row r="77">
      <c r="A77" t="inlineStr">
        <is>
          <t>IP-81</t>
        </is>
      </c>
      <c r="B77" t="inlineStr">
        <is>
          <t>22</t>
        </is>
      </c>
      <c r="C77" t="inlineStr">
        <is>
          <t>Educación</t>
        </is>
      </c>
      <c r="D77" t="inlineStr">
        <is>
          <t>2201</t>
        </is>
      </c>
      <c r="E77" t="inlineStr">
        <is>
          <t>Calidad, cobertura y fortalecimiento de la educación inicial, prescolar, básica y media</t>
        </is>
      </c>
      <c r="F77" t="inlineStr">
        <is>
          <t>2201039</t>
        </is>
      </c>
      <c r="G77" t="inlineStr">
        <is>
          <t>Estudios y diseños de infraestructura educativa</t>
        </is>
      </c>
      <c r="H77" t="inlineStr">
        <is>
          <t>Corresponde a todos los productos relacionados a la etapa de preinversión en infraestructura, como son estudios de factibilidad, diseños arquitectónicos, planos, estudio de suelos y otros estudios y/o instrumentos similares.</t>
        </is>
      </c>
      <c r="I77" t="inlineStr">
        <is>
          <t>2024254860016</t>
        </is>
      </c>
      <c r="J77" s="99">
        <v>0</v>
      </c>
      <c r="K77" s="99">
        <v>0</v>
      </c>
      <c r="L77" s="99">
        <v>0</v>
      </c>
      <c r="M77" s="99">
        <v>0</v>
      </c>
      <c r="N77" s="99">
        <v>0</v>
      </c>
      <c r="O77" s="99" t="inlineStr">
        <is>
          <t xml:space="preserve"> </t>
        </is>
      </c>
      <c r="P77" s="99" t="inlineStr">
        <is>
          <t xml:space="preserve"> </t>
        </is>
      </c>
      <c r="Q77" s="99" t="inlineStr">
        <is>
          <t xml:space="preserve"> </t>
        </is>
      </c>
      <c r="R77" s="100" t="inlineStr">
        <is>
          <t xml:space="preserve"> </t>
        </is>
      </c>
      <c r="S77" t="inlineStr">
        <is>
          <t>No se encontró ejecución en CUIPO</t>
        </is>
      </c>
      <c r="T77" s="101" t="inlineStr">
        <is>
          <t xml:space="preserve"> </t>
        </is>
      </c>
      <c r="U77" s="101" t="inlineStr">
        <is>
          <t xml:space="preserve"> </t>
        </is>
      </c>
      <c r="V77" s="101" t="inlineStr">
        <is>
          <t xml:space="preserve"> </t>
        </is>
      </c>
      <c r="W77" s="102" t="inlineStr">
        <is>
          <t xml:space="preserve"> </t>
        </is>
      </c>
      <c r="X77" t="inlineStr">
        <is>
          <t>No se encontró ejecución en CUIPO</t>
        </is>
      </c>
    </row>
    <row r="78">
      <c r="A78" t="inlineStr">
        <is>
          <t>IP-82</t>
        </is>
      </c>
      <c r="B78" t="inlineStr">
        <is>
          <t>22</t>
        </is>
      </c>
      <c r="C78" t="inlineStr">
        <is>
          <t>Educación</t>
        </is>
      </c>
      <c r="D78" t="inlineStr">
        <is>
          <t>2201</t>
        </is>
      </c>
      <c r="E78" t="inlineStr">
        <is>
          <t>Calidad, cobertura y fortalecimiento de la educación inicial, prescolar, básica y media</t>
        </is>
      </c>
      <c r="F78" t="inlineStr">
        <is>
          <t>2201073</t>
        </is>
      </c>
      <c r="G78" t="inlineStr">
        <is>
          <t>Servicio de evaluación de la calidad de la educación inicial, preescolar, básica y media</t>
        </is>
      </c>
      <c r="H78" t="inlineStr">
        <is>
          <t>Incluye el diseño, desarrollo, sistematización, análisis, proyección de resultados y demás procesos que permitan la aplicación y análisis de las pruebas de medición de la calidad educativa. Así mismo, Incluye el diseño, aplicación, procesamiento y calificación de resultados de un examen de práctica o simulacro de evaluación de la educación en territorio, estas acciones no son financiables con recursos provenientes del Sistema General de Participaciones.</t>
        </is>
      </c>
      <c r="I78" t="inlineStr">
        <is>
          <t>2024254860016</t>
        </is>
      </c>
      <c r="J78" s="99">
        <v>0</v>
      </c>
      <c r="K78" s="99">
        <v>0</v>
      </c>
      <c r="L78" s="99">
        <v>0</v>
      </c>
      <c r="M78" s="99">
        <v>0</v>
      </c>
      <c r="N78" s="99">
        <v>0</v>
      </c>
      <c r="O78" s="99" t="inlineStr">
        <is>
          <t xml:space="preserve"> </t>
        </is>
      </c>
      <c r="P78" s="99" t="inlineStr">
        <is>
          <t xml:space="preserve"> </t>
        </is>
      </c>
      <c r="Q78" s="99" t="inlineStr">
        <is>
          <t xml:space="preserve"> </t>
        </is>
      </c>
      <c r="R78" s="100" t="inlineStr">
        <is>
          <t xml:space="preserve"> </t>
        </is>
      </c>
      <c r="S78" t="inlineStr">
        <is>
          <t>No se encontró ejecución en CUIPO</t>
        </is>
      </c>
      <c r="T78" s="101" t="inlineStr">
        <is>
          <t xml:space="preserve"> </t>
        </is>
      </c>
      <c r="U78" s="101" t="inlineStr">
        <is>
          <t xml:space="preserve"> </t>
        </is>
      </c>
      <c r="V78" s="101" t="inlineStr">
        <is>
          <t xml:space="preserve"> </t>
        </is>
      </c>
      <c r="W78" s="102" t="inlineStr">
        <is>
          <t xml:space="preserve"> </t>
        </is>
      </c>
      <c r="X78" t="inlineStr">
        <is>
          <t>No se encontró ejecución en CUIPO</t>
        </is>
      </c>
    </row>
    <row r="79">
      <c r="A79" t="inlineStr">
        <is>
          <t>IP-84</t>
        </is>
      </c>
      <c r="B79" t="inlineStr">
        <is>
          <t>22</t>
        </is>
      </c>
      <c r="C79" t="inlineStr">
        <is>
          <t>Educación</t>
        </is>
      </c>
      <c r="D79" t="inlineStr">
        <is>
          <t>2201</t>
        </is>
      </c>
      <c r="E79" t="inlineStr">
        <is>
          <t>Calidad, cobertura y fortalecimiento de la educación inicial, prescolar, básica y media</t>
        </is>
      </c>
      <c r="F79" t="inlineStr">
        <is>
          <t>2201026</t>
        </is>
      </c>
      <c r="G79" t="inlineStr">
        <is>
          <t>Servicio de acondicionamiento de ambientes de aprendizaje</t>
        </is>
      </c>
      <c r="H79" t="inlineStr">
        <is>
          <t>Incluye la disposición de material didáctico, pedagógico, tecnológico o de mobiliario en espacios estructurados para el aprendizaje significativo.</t>
        </is>
      </c>
      <c r="I79" t="inlineStr">
        <is>
          <t>2024254860016</t>
        </is>
      </c>
      <c r="J79" s="99">
        <v>165897718.6771</v>
      </c>
      <c r="K79" s="99">
        <v>35655081</v>
      </c>
      <c r="L79" s="99">
        <v>50050795</v>
      </c>
      <c r="M79" s="99">
        <v>39309726.8025</v>
      </c>
      <c r="N79" s="99">
        <v>40882115.8746</v>
      </c>
      <c r="O79" s="99">
        <v>14430100</v>
      </c>
      <c r="P79" s="99">
        <v>14430100</v>
      </c>
      <c r="Q79" s="99">
        <v>14430100</v>
      </c>
      <c r="R79" s="100">
        <v>0.404713706862705</v>
      </c>
      <c r="S79" t="inlineStr">
        <is>
          <t>Lo obligado está por debajo de lo programado en la vigencia</t>
        </is>
      </c>
      <c r="T79" s="101">
        <v>39485740</v>
      </c>
      <c r="U79" s="101">
        <v>29338260</v>
      </c>
      <c r="V79" s="101">
        <v>29338260</v>
      </c>
      <c r="W79" s="102">
        <v>0.586169710191417</v>
      </c>
      <c r="X79" t="inlineStr">
        <is>
          <t>Lo obligado está por debajo de lo programado en la vigencia</t>
        </is>
      </c>
    </row>
    <row r="80">
      <c r="A80" t="inlineStr">
        <is>
          <t>IP-85</t>
        </is>
      </c>
      <c r="B80" t="inlineStr">
        <is>
          <t>22</t>
        </is>
      </c>
      <c r="C80" t="inlineStr">
        <is>
          <t>Educación</t>
        </is>
      </c>
      <c r="D80" t="inlineStr">
        <is>
          <t>2201</t>
        </is>
      </c>
      <c r="E80" t="inlineStr">
        <is>
          <t>Calidad, cobertura y fortalecimiento de la educación inicial, prescolar, básica y media</t>
        </is>
      </c>
      <c r="F80" t="inlineStr">
        <is>
          <t>2201029</t>
        </is>
      </c>
      <c r="G80" t="inlineStr">
        <is>
          <t>Servicio de apoyo a la permanencia con transporte escolar</t>
        </is>
      </c>
      <c r="H80" t="inlineStr">
        <is>
          <t>Incluye la implementación de estrategias de transporte escolar para fortalecer las acciones de retención estudiantil</t>
        </is>
      </c>
      <c r="I80" t="inlineStr">
        <is>
          <t>2024254860016</t>
        </is>
      </c>
      <c r="J80" s="99">
        <v>909548193.2239</v>
      </c>
      <c r="K80" s="99">
        <v>229890029</v>
      </c>
      <c r="L80" s="99">
        <v>162612500</v>
      </c>
      <c r="M80" s="99">
        <v>253453756.9725</v>
      </c>
      <c r="N80" s="99">
        <v>263591907.2514</v>
      </c>
      <c r="O80" s="99">
        <v>205409272</v>
      </c>
      <c r="P80" s="99">
        <v>205409272</v>
      </c>
      <c r="Q80" s="99">
        <v>180459765</v>
      </c>
      <c r="R80" s="100">
        <v>0.893511009996871</v>
      </c>
      <c r="S80" t="inlineStr">
        <is>
          <t>Lo obligado está por debajo de lo programado en la vigencia</t>
        </is>
      </c>
      <c r="T80" s="101">
        <v>135533120</v>
      </c>
      <c r="U80" s="101">
        <v>135533120</v>
      </c>
      <c r="V80" s="101">
        <v>135533120</v>
      </c>
      <c r="W80" s="102">
        <v>0.833472949496502</v>
      </c>
      <c r="X80" t="inlineStr">
        <is>
          <t>Lo obligado está por debajo de lo programado en la vigencia</t>
        </is>
      </c>
    </row>
    <row r="81">
      <c r="A81" t="inlineStr">
        <is>
          <t>IP-86, IP-89, IP-90</t>
        </is>
      </c>
      <c r="B81" t="inlineStr">
        <is>
          <t>22</t>
        </is>
      </c>
      <c r="C81" t="inlineStr">
        <is>
          <t>Educación</t>
        </is>
      </c>
      <c r="D81" t="inlineStr">
        <is>
          <t>2201</t>
        </is>
      </c>
      <c r="E81" t="inlineStr">
        <is>
          <t>Calidad, cobertura y fortalecimiento de la educación inicial, prescolar, básica y media</t>
        </is>
      </c>
      <c r="F81" t="inlineStr">
        <is>
          <t>2201052</t>
        </is>
      </c>
      <c r="G81" t="inlineStr">
        <is>
          <t>Infraestructura educativa mejorada</t>
        </is>
      </c>
      <c r="H81" t="inlineStr">
        <is>
          <t>Contempla los diferentes tipos de intervención por mejoramiento de la infraestructura escolar y de residencias escolares existente en las categorías de:1. Mejoramiento: Corresponden a intervenciones de obras menores o de mejoramiento de elementos constructivos, para el mejoramiento de las condiciones de uso y operación de la infraestructura frente a condiciones de riesgo o mantenimiento.2.Reforzamiento: Corresponde a las obras de rehabilitación de sistemas portantes, estructurales y demás elementos constructivos según la NSR 10. 3. Restauración: Hace referencia a la rehabilitación de elementos de carácter patrimonial, cultural o de conservación arquitectónica. 4. Ampliación o nuevas etapas: Corresponde a la ejecución de obras nuevas de ampliación o de nuevas etapas dentro de sedes existentes para complementar y MEJORAR las condiciones de operatividad de la infraestructura existente. Aquí se podrían llegar a generar nuevos cupos.5 Restitución o reubicación parcial en la sede existente: Se refiere a las obras de restitución de ambientes existentes que ya no son aptos o seguros para su uso, dentro de una institución educativa existente. 6. Obras de Emergencia: Corresponde a las obras de  mejoramientos derivadas de situaciones de emergencia o riesgo en la institución educativa.Con éstas intervenciones de mejoramiento de los ambientes pedagógicos básicos y complementarios definidos en la NTC 4595,  cuyo objetivo sea el de mejorar las condiciones de prestación del servicio educativo de la población matriculada.</t>
        </is>
      </c>
      <c r="I81" t="inlineStr">
        <is>
          <t>2024254860016</t>
        </is>
      </c>
      <c r="J81" s="99">
        <v>201908204</v>
      </c>
      <c r="K81" s="99">
        <v>1950000</v>
      </c>
      <c r="L81" s="99">
        <v>195572459</v>
      </c>
      <c r="M81" s="99">
        <v>2149875</v>
      </c>
      <c r="N81" s="99">
        <v>2235870</v>
      </c>
      <c r="O81" s="99" t="inlineStr">
        <is>
          <t xml:space="preserve"> </t>
        </is>
      </c>
      <c r="P81" s="99" t="inlineStr">
        <is>
          <t xml:space="preserve"> </t>
        </is>
      </c>
      <c r="Q81" s="99" t="inlineStr">
        <is>
          <t xml:space="preserve"> </t>
        </is>
      </c>
      <c r="R81" s="100" t="inlineStr">
        <is>
          <t xml:space="preserve"> </t>
        </is>
      </c>
      <c r="S81" t="inlineStr">
        <is>
          <t>No se encontró ejecución en CUIPO</t>
        </is>
      </c>
      <c r="T81" s="101">
        <v>0</v>
      </c>
      <c r="U81" s="101">
        <v>0</v>
      </c>
      <c r="V81" s="101">
        <v>0</v>
      </c>
      <c r="W81" s="102">
        <v>0</v>
      </c>
      <c r="X81" t="inlineStr">
        <is>
          <t>No se ejecutó en la vigencia</t>
        </is>
      </c>
    </row>
    <row r="82">
      <c r="A82" t="inlineStr">
        <is>
          <t>IP-87</t>
        </is>
      </c>
      <c r="B82" t="inlineStr">
        <is>
          <t>22</t>
        </is>
      </c>
      <c r="C82" t="inlineStr">
        <is>
          <t>Educación</t>
        </is>
      </c>
      <c r="D82" t="inlineStr">
        <is>
          <t>2201</t>
        </is>
      </c>
      <c r="E82" t="inlineStr">
        <is>
          <t>Calidad, cobertura y fortalecimiento de la educación inicial, prescolar, básica y media</t>
        </is>
      </c>
      <c r="F82" t="inlineStr">
        <is>
          <t>2201074</t>
        </is>
      </c>
      <c r="G82" t="inlineStr">
        <is>
          <t>Servicio de fortalecimiento a las capacidades de los docentes de educación Inicial, preescolar, básica y media</t>
        </is>
      </c>
      <c r="H82" t="inlineStr">
        <is>
          <t>Incluye el apoyo prestado a docentes, directivos docentes y agentes educativos para la realización de estudios en los diferentes niveles educativos con el fin de que estos fortalezcan sus capacidades.</t>
        </is>
      </c>
      <c r="I82" t="inlineStr">
        <is>
          <t>2024254860016</t>
        </is>
      </c>
      <c r="J82" s="99">
        <v>48915200.5</v>
      </c>
      <c r="K82" s="99">
        <v>15055000</v>
      </c>
      <c r="L82" s="99">
        <v>0</v>
      </c>
      <c r="M82" s="99">
        <v>16598137.5</v>
      </c>
      <c r="N82" s="99">
        <v>17262063</v>
      </c>
      <c r="O82" s="99" t="inlineStr">
        <is>
          <t xml:space="preserve"> </t>
        </is>
      </c>
      <c r="P82" s="99" t="inlineStr">
        <is>
          <t xml:space="preserve"> </t>
        </is>
      </c>
      <c r="Q82" s="99" t="inlineStr">
        <is>
          <t xml:space="preserve"> </t>
        </is>
      </c>
      <c r="R82" s="100" t="inlineStr">
        <is>
          <t xml:space="preserve"> </t>
        </is>
      </c>
      <c r="S82" t="inlineStr">
        <is>
          <t>No se encontró ejecución en CUIPO</t>
        </is>
      </c>
      <c r="T82" s="101" t="inlineStr">
        <is>
          <t xml:space="preserve"> </t>
        </is>
      </c>
      <c r="U82" s="101" t="inlineStr">
        <is>
          <t xml:space="preserve"> </t>
        </is>
      </c>
      <c r="V82" s="101" t="inlineStr">
        <is>
          <t xml:space="preserve"> </t>
        </is>
      </c>
      <c r="W82" s="102" t="inlineStr">
        <is>
          <t xml:space="preserve"> </t>
        </is>
      </c>
      <c r="X82" t="inlineStr">
        <is>
          <t>No se encontró ejecución en CUIPO</t>
        </is>
      </c>
    </row>
    <row r="83">
      <c r="A83" t="inlineStr">
        <is>
          <t>IP-88</t>
        </is>
      </c>
      <c r="B83" t="inlineStr">
        <is>
          <t>22</t>
        </is>
      </c>
      <c r="C83" t="inlineStr">
        <is>
          <t>Educación</t>
        </is>
      </c>
      <c r="D83" t="inlineStr">
        <is>
          <t>2201</t>
        </is>
      </c>
      <c r="E83" t="inlineStr">
        <is>
          <t>Calidad, cobertura y fortalecimiento de la educación inicial, prescolar, básica y media</t>
        </is>
      </c>
      <c r="F83" t="inlineStr">
        <is>
          <t>2201086</t>
        </is>
      </c>
      <c r="G83" t="inlineStr">
        <is>
          <t>Servicio de atención psicosocial a estudiantes</t>
        </is>
      </c>
      <c r="H83" t="inlineStr">
        <is>
          <t>Incluye aquellos servicios que se presten  a alumnos en educación  preescolar, básica o media para mitigar, superar o prevenir daños e impactos psicológicos o emocionales.</t>
        </is>
      </c>
      <c r="I83" t="inlineStr">
        <is>
          <t>2024254860016</t>
        </is>
      </c>
      <c r="J83" s="99">
        <v>0</v>
      </c>
      <c r="K83" s="99">
        <v>0</v>
      </c>
      <c r="L83" s="99">
        <v>0</v>
      </c>
      <c r="M83" s="99">
        <v>0</v>
      </c>
      <c r="N83" s="99">
        <v>0</v>
      </c>
      <c r="O83" s="99" t="inlineStr">
        <is>
          <t xml:space="preserve"> </t>
        </is>
      </c>
      <c r="P83" s="99" t="inlineStr">
        <is>
          <t xml:space="preserve"> </t>
        </is>
      </c>
      <c r="Q83" s="99" t="inlineStr">
        <is>
          <t xml:space="preserve"> </t>
        </is>
      </c>
      <c r="R83" s="100" t="inlineStr">
        <is>
          <t xml:space="preserve"> </t>
        </is>
      </c>
      <c r="S83" t="inlineStr">
        <is>
          <t>No se encontró ejecución en CUIPO</t>
        </is>
      </c>
      <c r="T83" s="101" t="inlineStr">
        <is>
          <t xml:space="preserve"> </t>
        </is>
      </c>
      <c r="U83" s="101" t="inlineStr">
        <is>
          <t xml:space="preserve"> </t>
        </is>
      </c>
      <c r="V83" s="101" t="inlineStr">
        <is>
          <t xml:space="preserve"> </t>
        </is>
      </c>
      <c r="W83" s="102" t="inlineStr">
        <is>
          <t xml:space="preserve"> </t>
        </is>
      </c>
      <c r="X83" t="inlineStr">
        <is>
          <t>No se encontró ejecución en CUIPO</t>
        </is>
      </c>
    </row>
    <row r="84">
      <c r="A84" t="inlineStr">
        <is>
          <t>IP-91</t>
        </is>
      </c>
      <c r="B84" t="inlineStr">
        <is>
          <t>22</t>
        </is>
      </c>
      <c r="C84" t="inlineStr">
        <is>
          <t>Educación</t>
        </is>
      </c>
      <c r="D84" t="inlineStr">
        <is>
          <t>2201</t>
        </is>
      </c>
      <c r="E84" t="inlineStr">
        <is>
          <t>Calidad, cobertura y fortalecimiento de la educación inicial, prescolar, básica y media</t>
        </is>
      </c>
      <c r="F84" t="inlineStr">
        <is>
          <t>2201084</t>
        </is>
      </c>
      <c r="G84" t="inlineStr">
        <is>
          <t>Servicio de apoyo pedagógico para  la oferta de educación inclusiva para preescolar, básica y media</t>
        </is>
      </c>
      <c r="H84" t="inlineStr">
        <is>
          <t>Corresponde a la aplicación de recursos adicionales asignados a las entidades territoriales certificadas para fortalecer la atención de alumnos que requieran procesos  de atención especial relacionadas con limitaciones /capacidades o talentos excepcionales conforme al Decreto 1075/2015.</t>
        </is>
      </c>
      <c r="I84" t="inlineStr">
        <is>
          <t>2024254860017</t>
        </is>
      </c>
      <c r="J84" s="99">
        <v>0</v>
      </c>
      <c r="K84" s="99">
        <v>0</v>
      </c>
      <c r="L84" s="99">
        <v>0</v>
      </c>
      <c r="M84" s="99">
        <v>0</v>
      </c>
      <c r="N84" s="99">
        <v>0</v>
      </c>
      <c r="O84" s="99" t="inlineStr">
        <is>
          <t xml:space="preserve"> </t>
        </is>
      </c>
      <c r="P84" s="99" t="inlineStr">
        <is>
          <t xml:space="preserve"> </t>
        </is>
      </c>
      <c r="Q84" s="99" t="inlineStr">
        <is>
          <t xml:space="preserve"> </t>
        </is>
      </c>
      <c r="R84" s="100" t="inlineStr">
        <is>
          <t xml:space="preserve"> </t>
        </is>
      </c>
      <c r="S84" t="inlineStr">
        <is>
          <t>No se encontró ejecución en CUIPO</t>
        </is>
      </c>
      <c r="T84" s="101" t="inlineStr">
        <is>
          <t xml:space="preserve"> </t>
        </is>
      </c>
      <c r="U84" s="101" t="inlineStr">
        <is>
          <t xml:space="preserve"> </t>
        </is>
      </c>
      <c r="V84" s="101" t="inlineStr">
        <is>
          <t xml:space="preserve"> </t>
        </is>
      </c>
      <c r="W84" s="102" t="inlineStr">
        <is>
          <t xml:space="preserve"> </t>
        </is>
      </c>
      <c r="X84" t="inlineStr">
        <is>
          <t>No se encontró ejecución en CUIPO</t>
        </is>
      </c>
    </row>
    <row r="85">
      <c r="A85" t="inlineStr">
        <is>
          <t>IP-92</t>
        </is>
      </c>
      <c r="B85" t="inlineStr">
        <is>
          <t>22</t>
        </is>
      </c>
      <c r="C85" t="inlineStr">
        <is>
          <t>Educación</t>
        </is>
      </c>
      <c r="D85" t="inlineStr">
        <is>
          <t>2202</t>
        </is>
      </c>
      <c r="E85" t="inlineStr">
        <is>
          <t>Calidad y fomento de la educación superior</t>
        </is>
      </c>
      <c r="F85" t="inlineStr">
        <is>
          <t>2202062</t>
        </is>
      </c>
      <c r="G85" t="inlineStr">
        <is>
          <t xml:space="preserve">Servicio de fomento para el acceso a la educación superior </t>
        </is>
      </c>
      <c r="H85" t="inlineStr">
        <is>
          <t xml:space="preserve">Incluye el desarrollo de estrategias diferentes a las de apoyo financiero para el acceso a educación superior
</t>
        </is>
      </c>
      <c r="I85" t="inlineStr">
        <is>
          <t>2024254860018</t>
        </is>
      </c>
      <c r="J85" s="99">
        <v>2612500</v>
      </c>
      <c r="K85" s="99">
        <v>0</v>
      </c>
      <c r="L85" s="99">
        <v>2612500</v>
      </c>
      <c r="M85" s="99">
        <v>0</v>
      </c>
      <c r="N85" s="99">
        <v>0</v>
      </c>
      <c r="O85" s="99" t="inlineStr">
        <is>
          <t xml:space="preserve"> </t>
        </is>
      </c>
      <c r="P85" s="99" t="inlineStr">
        <is>
          <t xml:space="preserve"> </t>
        </is>
      </c>
      <c r="Q85" s="99" t="inlineStr">
        <is>
          <t xml:space="preserve"> </t>
        </is>
      </c>
      <c r="R85" s="100" t="inlineStr">
        <is>
          <t xml:space="preserve"> </t>
        </is>
      </c>
      <c r="S85" t="inlineStr">
        <is>
          <t>No se encontró ejecución en CUIPO</t>
        </is>
      </c>
      <c r="T85" s="101">
        <v>0</v>
      </c>
      <c r="U85" s="101">
        <v>0</v>
      </c>
      <c r="V85" s="101">
        <v>0</v>
      </c>
      <c r="W85" s="102">
        <v>0</v>
      </c>
      <c r="X85" t="inlineStr">
        <is>
          <t>No se ejecutó en la vigencia</t>
        </is>
      </c>
    </row>
    <row r="86">
      <c r="A86" t="inlineStr">
        <is>
          <t>IP-93</t>
        </is>
      </c>
      <c r="B86" t="inlineStr">
        <is>
          <t>22</t>
        </is>
      </c>
      <c r="C86" t="inlineStr">
        <is>
          <t>Educación</t>
        </is>
      </c>
      <c r="D86" t="inlineStr">
        <is>
          <t>2202</t>
        </is>
      </c>
      <c r="E86" t="inlineStr">
        <is>
          <t>Calidad y fomento de la educación superior</t>
        </is>
      </c>
      <c r="F86" t="inlineStr">
        <is>
          <t>2202063</t>
        </is>
      </c>
      <c r="G86" t="inlineStr">
        <is>
          <t>Servicio de apoyo financiero para el acceso a la educación superior</t>
        </is>
      </c>
      <c r="H86" t="inlineStr">
        <is>
          <t>Incluye becas y créditos en todas sus modalidades</t>
        </is>
      </c>
      <c r="I86" t="inlineStr">
        <is>
          <t>2024254860018</t>
        </is>
      </c>
      <c r="J86" s="99">
        <v>246348803.7535</v>
      </c>
      <c r="K86" s="99">
        <v>3885</v>
      </c>
      <c r="L86" s="99">
        <v>246336181</v>
      </c>
      <c r="M86" s="99">
        <v>4283.2125</v>
      </c>
      <c r="N86" s="99">
        <v>4454.541</v>
      </c>
      <c r="O86" s="99" t="inlineStr">
        <is>
          <t xml:space="preserve"> </t>
        </is>
      </c>
      <c r="P86" s="99" t="inlineStr">
        <is>
          <t xml:space="preserve"> </t>
        </is>
      </c>
      <c r="Q86" s="99" t="inlineStr">
        <is>
          <t xml:space="preserve"> </t>
        </is>
      </c>
      <c r="R86" s="100" t="inlineStr">
        <is>
          <t xml:space="preserve"> </t>
        </is>
      </c>
      <c r="S86" t="inlineStr">
        <is>
          <t>No se encontró ejecución en CUIPO</t>
        </is>
      </c>
      <c r="T86" s="101">
        <v>0</v>
      </c>
      <c r="U86" s="101">
        <v>0</v>
      </c>
      <c r="V86" s="101">
        <v>0</v>
      </c>
      <c r="W86" s="102">
        <v>0</v>
      </c>
      <c r="X86" t="inlineStr">
        <is>
          <t>No se ejecutó en la vigencia</t>
        </is>
      </c>
    </row>
    <row r="87">
      <c r="A87" t="inlineStr">
        <is>
          <t>IP-94</t>
        </is>
      </c>
      <c r="B87" t="inlineStr">
        <is>
          <t>22</t>
        </is>
      </c>
      <c r="C87" t="inlineStr">
        <is>
          <t>Educación</t>
        </is>
      </c>
      <c r="D87" t="inlineStr">
        <is>
          <t>2201</t>
        </is>
      </c>
      <c r="E87" t="inlineStr">
        <is>
          <t>Calidad, cobertura y fortalecimiento de la educación inicial, prescolar, básica y media</t>
        </is>
      </c>
      <c r="F87" t="inlineStr">
        <is>
          <t>2201071</t>
        </is>
      </c>
      <c r="G87" t="inlineStr">
        <is>
          <t>Servicio educativo</t>
        </is>
      </c>
      <c r="H87" t="inlineStr">
        <is>
          <t>Contempla las actividades asociadas al pago de nómina del personal administrativo de los establecimientos educativos, incluidos los gastos inherentes a la nómina como los aportes patronales, parafiscales y pago de  prestaciones sociales del Magisterio (CPSM) conforme a las leyes 43 DE 1975, 91 DE 1989 Y 715 DE 2001. Así mismo, incluye la  prestación del servicio educativo a través de la contratación con privados y los servicios administrativos de apoyo a la prestación del servicio educativo tales como arrendamiento de bienes inmuebles, servicios de aseo y vigilancia, impresiones y publicaciones, primas por seguros para amparar personas y bienes de los establecimientos educativos, el desarrollo de las acciones requeridas para la adecuada disposición de los bienes y la mitigación del deterioro y el pago de servicios públicos domiciliarios y telefonía móvil e internet.</t>
        </is>
      </c>
      <c r="I87" t="inlineStr">
        <is>
          <t>2024254860016</t>
        </is>
      </c>
      <c r="J87" s="99">
        <v>1195031041.609</v>
      </c>
      <c r="K87" s="99">
        <v>232340990</v>
      </c>
      <c r="L87" s="99">
        <v>440131931</v>
      </c>
      <c r="M87" s="99">
        <v>256155941.475</v>
      </c>
      <c r="N87" s="99">
        <v>266402179.134</v>
      </c>
      <c r="O87" s="99">
        <v>232340990</v>
      </c>
      <c r="P87" s="99">
        <v>232340990</v>
      </c>
      <c r="Q87" s="99">
        <v>232340990</v>
      </c>
      <c r="R87" s="100">
        <v>1</v>
      </c>
      <c r="S87" t="inlineStr">
        <is>
          <t>Se ejecutó el 100% de lo programado en la vigencia</t>
        </is>
      </c>
      <c r="T87" s="101">
        <v>244655062</v>
      </c>
      <c r="U87" s="101">
        <v>0</v>
      </c>
      <c r="V87" s="101">
        <v>0</v>
      </c>
      <c r="W87" s="102">
        <v>0</v>
      </c>
      <c r="X87" t="inlineStr">
        <is>
          <t>No se ejecutó en la vigencia</t>
        </is>
      </c>
    </row>
    <row r="88">
      <c r="A88" t="inlineStr">
        <is>
          <t>IP-95, IP-97, IP-98, IP-99</t>
        </is>
      </c>
      <c r="B88" t="inlineStr">
        <is>
          <t>33</t>
        </is>
      </c>
      <c r="C88" t="inlineStr">
        <is>
          <t>Cultura</t>
        </is>
      </c>
      <c r="D88" t="inlineStr">
        <is>
          <t>3301</t>
        </is>
      </c>
      <c r="E88" t="inlineStr">
        <is>
          <t>Promoción y acceso efectivo a procesos culturales y artísticos</t>
        </is>
      </c>
      <c r="F88" t="inlineStr">
        <is>
          <t>3301126</t>
        </is>
      </c>
      <c r="G88" t="inlineStr">
        <is>
          <t>Servicio de apoyo al proceso de formación artística y cultural</t>
        </is>
      </c>
      <c r="H88" t="inlineStr">
        <is>
          <t xml:space="preserve">Este servicio está orientado apoyar el proceso de formación artística y cultural a través del equipamiento de instrumentos y elementos propios de cada área (música, teatro, danzas y/o artes plásticas y visuales). </t>
        </is>
      </c>
      <c r="I88" t="inlineStr">
        <is>
          <t>2024254860019</t>
        </is>
      </c>
      <c r="J88" s="99">
        <v>1346738433.725</v>
      </c>
      <c r="K88" s="99">
        <v>306499750</v>
      </c>
      <c r="L88" s="99">
        <v>350890096</v>
      </c>
      <c r="M88" s="99">
        <v>337915974.375</v>
      </c>
      <c r="N88" s="99">
        <v>351432613.35</v>
      </c>
      <c r="O88" s="99">
        <v>102100000</v>
      </c>
      <c r="P88" s="99">
        <v>102100000</v>
      </c>
      <c r="Q88" s="99">
        <v>102100000</v>
      </c>
      <c r="R88" s="100">
        <v>0.333116095526995</v>
      </c>
      <c r="S88" t="inlineStr">
        <is>
          <t>Lo obligado está por debajo de lo programado en la vigencia</t>
        </is>
      </c>
      <c r="T88" s="101">
        <v>305800000</v>
      </c>
      <c r="U88" s="101">
        <v>237450000</v>
      </c>
      <c r="V88" s="101">
        <v>237450000</v>
      </c>
      <c r="W88" s="102">
        <v>0.676707615024848</v>
      </c>
      <c r="X88" t="inlineStr">
        <is>
          <t>Lo obligado está por debajo de lo programado en la vigencia</t>
        </is>
      </c>
    </row>
    <row r="89">
      <c r="A89" t="inlineStr">
        <is>
          <t>IP-100</t>
        </is>
      </c>
      <c r="B89" t="inlineStr">
        <is>
          <t>33</t>
        </is>
      </c>
      <c r="C89" t="inlineStr">
        <is>
          <t>Cultura</t>
        </is>
      </c>
      <c r="D89" t="inlineStr">
        <is>
          <t>3301</t>
        </is>
      </c>
      <c r="E89" t="inlineStr">
        <is>
          <t>Promoción y acceso efectivo a procesos culturales y artísticos</t>
        </is>
      </c>
      <c r="F89" t="inlineStr">
        <is>
          <t>3301094</t>
        </is>
      </c>
      <c r="G89" t="inlineStr">
        <is>
          <t>Estudios y diseños de infraestructura cultural</t>
        </is>
      </c>
      <c r="H89" t="inlineStr">
        <is>
          <t>Corresponde a todos los productos relacionados a la etapa de preinversión en infraestructura cultural, como son estudios de factibilidad, diseños arquitectónicos, planos, estudio de suelos y otros estudios y/o instrumentos similares.</t>
        </is>
      </c>
      <c r="I89" t="inlineStr">
        <is>
          <t>2024254860019</t>
        </is>
      </c>
      <c r="J89" s="99">
        <v>0</v>
      </c>
      <c r="K89" s="99">
        <v>0</v>
      </c>
      <c r="L89" s="99">
        <v>0</v>
      </c>
      <c r="M89" s="99">
        <v>0</v>
      </c>
      <c r="N89" s="99">
        <v>0</v>
      </c>
      <c r="O89" s="99" t="inlineStr">
        <is>
          <t xml:space="preserve"> </t>
        </is>
      </c>
      <c r="P89" s="99" t="inlineStr">
        <is>
          <t xml:space="preserve"> </t>
        </is>
      </c>
      <c r="Q89" s="99" t="inlineStr">
        <is>
          <t xml:space="preserve"> </t>
        </is>
      </c>
      <c r="R89" s="100" t="inlineStr">
        <is>
          <t xml:space="preserve"> </t>
        </is>
      </c>
      <c r="S89" t="inlineStr">
        <is>
          <t>No se encontró ejecución en CUIPO</t>
        </is>
      </c>
      <c r="T89" s="101" t="inlineStr">
        <is>
          <t xml:space="preserve"> </t>
        </is>
      </c>
      <c r="U89" s="101" t="inlineStr">
        <is>
          <t xml:space="preserve"> </t>
        </is>
      </c>
      <c r="V89" s="101" t="inlineStr">
        <is>
          <t xml:space="preserve"> </t>
        </is>
      </c>
      <c r="W89" s="102" t="inlineStr">
        <is>
          <t xml:space="preserve"> </t>
        </is>
      </c>
      <c r="X89" t="inlineStr">
        <is>
          <t>No se encontró ejecución en CUIPO</t>
        </is>
      </c>
    </row>
    <row r="90">
      <c r="A90" t="inlineStr">
        <is>
          <t>IP-101</t>
        </is>
      </c>
      <c r="B90" t="inlineStr">
        <is>
          <t>33</t>
        </is>
      </c>
      <c r="C90" t="inlineStr">
        <is>
          <t>Cultura</t>
        </is>
      </c>
      <c r="D90" t="inlineStr">
        <is>
          <t>3301</t>
        </is>
      </c>
      <c r="E90" t="inlineStr">
        <is>
          <t>Promoción y acceso efectivo a procesos culturales y artísticos</t>
        </is>
      </c>
      <c r="F90" t="inlineStr">
        <is>
          <t>3301093</t>
        </is>
      </c>
      <c r="G90" t="inlineStr">
        <is>
          <t>Centros culturales construidos y dotados</t>
        </is>
      </c>
      <c r="H90" t="inlineStr">
        <is>
          <t xml:space="preserve">Son todas aquellas infraestructuras culturales que se construyan en un predio o terreno donde no existen elementos o construcciones previstas. </t>
        </is>
      </c>
      <c r="I90" t="inlineStr">
        <is>
          <t>2024254860019</t>
        </is>
      </c>
      <c r="J90" s="99">
        <v>0</v>
      </c>
      <c r="K90" s="99">
        <v>0</v>
      </c>
      <c r="L90" s="99">
        <v>0</v>
      </c>
      <c r="M90" s="99">
        <v>0</v>
      </c>
      <c r="N90" s="99">
        <v>0</v>
      </c>
      <c r="O90" s="99" t="inlineStr">
        <is>
          <t xml:space="preserve"> </t>
        </is>
      </c>
      <c r="P90" s="99" t="inlineStr">
        <is>
          <t xml:space="preserve"> </t>
        </is>
      </c>
      <c r="Q90" s="99" t="inlineStr">
        <is>
          <t xml:space="preserve"> </t>
        </is>
      </c>
      <c r="R90" s="100" t="inlineStr">
        <is>
          <t xml:space="preserve"> </t>
        </is>
      </c>
      <c r="S90" t="inlineStr">
        <is>
          <t>No se encontró ejecución en CUIPO</t>
        </is>
      </c>
      <c r="T90" s="101" t="inlineStr">
        <is>
          <t xml:space="preserve"> </t>
        </is>
      </c>
      <c r="U90" s="101" t="inlineStr">
        <is>
          <t xml:space="preserve"> </t>
        </is>
      </c>
      <c r="V90" s="101" t="inlineStr">
        <is>
          <t xml:space="preserve"> </t>
        </is>
      </c>
      <c r="W90" s="102" t="inlineStr">
        <is>
          <t xml:space="preserve"> </t>
        </is>
      </c>
      <c r="X90" t="inlineStr">
        <is>
          <t>No se encontró ejecución en CUIPO</t>
        </is>
      </c>
    </row>
    <row r="91">
      <c r="A91" t="inlineStr">
        <is>
          <t>IP-102</t>
        </is>
      </c>
      <c r="B91" t="inlineStr">
        <is>
          <t>33</t>
        </is>
      </c>
      <c r="C91" t="inlineStr">
        <is>
          <t>Cultura</t>
        </is>
      </c>
      <c r="D91" t="inlineStr">
        <is>
          <t>3302</t>
        </is>
      </c>
      <c r="E91" t="inlineStr">
        <is>
          <t>Gestión, protección y salvaguardia del patrimonio cultural colombiano</t>
        </is>
      </c>
      <c r="F91" t="inlineStr">
        <is>
          <t>3302049</t>
        </is>
      </c>
      <c r="G91" t="inlineStr">
        <is>
          <t>Servicio de salvaguardia al patrimonio inmaterial</t>
        </is>
      </c>
      <c r="H91" t="inlineStr">
        <is>
          <t>Hace referencia a las estrategias orientadas a promover medidas efectivas para garantizar la viabilidad del patrimonio cultural inmaterial, comprendidas la identificación, documentación, investigación, recuperación, preservación, protección, promoción, valoración, transmisión y revitalización integral del mismo</t>
        </is>
      </c>
      <c r="I91" t="inlineStr">
        <is>
          <t>2024254860020</t>
        </is>
      </c>
      <c r="J91" s="99">
        <v>106805110</v>
      </c>
      <c r="K91" s="99">
        <v>22100000</v>
      </c>
      <c r="L91" s="99">
        <v>35000000</v>
      </c>
      <c r="M91" s="99">
        <v>24365250</v>
      </c>
      <c r="N91" s="99">
        <v>25339860</v>
      </c>
      <c r="O91" s="99">
        <v>22100000</v>
      </c>
      <c r="P91" s="99">
        <v>22100000</v>
      </c>
      <c r="Q91" s="99">
        <v>22100000</v>
      </c>
      <c r="R91" s="100">
        <v>1</v>
      </c>
      <c r="S91" t="inlineStr">
        <is>
          <t>Se ejecutó el 100% de lo programado en la vigencia</t>
        </is>
      </c>
      <c r="T91" s="101">
        <v>30500000</v>
      </c>
      <c r="U91" s="101">
        <v>0</v>
      </c>
      <c r="V91" s="101">
        <v>0</v>
      </c>
      <c r="W91" s="102">
        <v>0</v>
      </c>
      <c r="X91" t="inlineStr">
        <is>
          <t>No se ejecutó en la vigencia</t>
        </is>
      </c>
    </row>
    <row r="92">
      <c r="A92" t="inlineStr">
        <is>
          <t>IP-103</t>
        </is>
      </c>
      <c r="B92" t="inlineStr">
        <is>
          <t>33</t>
        </is>
      </c>
      <c r="C92" t="inlineStr">
        <is>
          <t>Cultura</t>
        </is>
      </c>
      <c r="D92" t="inlineStr">
        <is>
          <t>3301</t>
        </is>
      </c>
      <c r="E92" t="inlineStr">
        <is>
          <t>Promoción y acceso efectivo a procesos culturales y artísticos</t>
        </is>
      </c>
      <c r="F92" t="inlineStr">
        <is>
          <t>3301054</t>
        </is>
      </c>
      <c r="G92" t="inlineStr">
        <is>
          <t>Servicio de apoyo financiero al sector artístico y cultural</t>
        </is>
      </c>
      <c r="H92" t="inlineStr">
        <is>
          <t>Corresponde a los estímulos económicos entregados a los actores del sector artístico y cultural, entre ellos el sector del teatro, del cine, de las artes, de la literatura y el libro, de la música y al programa de salas concertadas con el fin de dar un impulso a la práctica y circulación del trabajo del sector cultural, permitiendo fortalecer el desarrollo y acceso a la cultura al público en general.</t>
        </is>
      </c>
      <c r="I92" t="inlineStr">
        <is>
          <t>2024254860019</t>
        </is>
      </c>
      <c r="J92" s="99">
        <v>280867179.3231</v>
      </c>
      <c r="K92" s="99">
        <v>63552141</v>
      </c>
      <c r="L92" s="99">
        <v>74379918</v>
      </c>
      <c r="M92" s="99">
        <v>70066235.4525</v>
      </c>
      <c r="N92" s="99">
        <v>72868884.8706</v>
      </c>
      <c r="O92" s="99" t="inlineStr">
        <is>
          <t xml:space="preserve"> </t>
        </is>
      </c>
      <c r="P92" s="99" t="inlineStr">
        <is>
          <t xml:space="preserve"> </t>
        </is>
      </c>
      <c r="Q92" s="99" t="inlineStr">
        <is>
          <t xml:space="preserve"> </t>
        </is>
      </c>
      <c r="R92" s="100" t="inlineStr">
        <is>
          <t xml:space="preserve"> </t>
        </is>
      </c>
      <c r="S92" t="inlineStr">
        <is>
          <t>No se encontró ejecución en CUIPO</t>
        </is>
      </c>
      <c r="T92" s="101">
        <v>57206779</v>
      </c>
      <c r="U92" s="101">
        <v>0</v>
      </c>
      <c r="V92" s="101">
        <v>0</v>
      </c>
      <c r="W92" s="102">
        <v>0</v>
      </c>
      <c r="X92" t="inlineStr">
        <is>
          <t>No se ejecutó en la vigencia</t>
        </is>
      </c>
    </row>
    <row r="93">
      <c r="A93" t="inlineStr">
        <is>
          <t>IP-104</t>
        </is>
      </c>
      <c r="B93" t="inlineStr">
        <is>
          <t>33</t>
        </is>
      </c>
      <c r="C93" t="inlineStr">
        <is>
          <t>Cultura</t>
        </is>
      </c>
      <c r="D93" t="inlineStr">
        <is>
          <t>3302</t>
        </is>
      </c>
      <c r="E93" t="inlineStr">
        <is>
          <t>Gestión, protección y salvaguardia del patrimonio cultural colombiano</t>
        </is>
      </c>
      <c r="F93" t="inlineStr">
        <is>
          <t>3302078</t>
        </is>
      </c>
      <c r="G93" t="inlineStr">
        <is>
          <t>Servicio de educación informal en asuntos patrimoniales</t>
        </is>
      </c>
      <c r="H93" t="inlineStr">
        <is>
          <t>Hace referencia a las actividades que se llevan a cabo fuera del ámbito escolar, que buscan desarrollar competencias y facultades de los individuos en temas de salvaguardia, protección, recuperación, conservación, sostenimiento y divulgación del Patrimonio Cultural de la Nación.</t>
        </is>
      </c>
      <c r="I93" t="inlineStr">
        <is>
          <t>2024254860020</t>
        </is>
      </c>
      <c r="J93" s="99">
        <v>86967758</v>
      </c>
      <c r="K93" s="99">
        <v>19000000</v>
      </c>
      <c r="L93" s="99">
        <v>25234858</v>
      </c>
      <c r="M93" s="99">
        <v>20947500</v>
      </c>
      <c r="N93" s="99">
        <v>21785400</v>
      </c>
      <c r="O93" s="99" t="inlineStr">
        <is>
          <t xml:space="preserve"> </t>
        </is>
      </c>
      <c r="P93" s="99" t="inlineStr">
        <is>
          <t xml:space="preserve"> </t>
        </is>
      </c>
      <c r="Q93" s="99" t="inlineStr">
        <is>
          <t xml:space="preserve"> </t>
        </is>
      </c>
      <c r="R93" s="100" t="inlineStr">
        <is>
          <t xml:space="preserve"> </t>
        </is>
      </c>
      <c r="S93" t="inlineStr">
        <is>
          <t>No se encontró ejecución en CUIPO</t>
        </is>
      </c>
      <c r="T93" s="101" t="inlineStr">
        <is>
          <t xml:space="preserve"> </t>
        </is>
      </c>
      <c r="U93" s="101" t="inlineStr">
        <is>
          <t xml:space="preserve"> </t>
        </is>
      </c>
      <c r="V93" s="101" t="inlineStr">
        <is>
          <t xml:space="preserve"> </t>
        </is>
      </c>
      <c r="W93" s="102" t="inlineStr">
        <is>
          <t xml:space="preserve"> </t>
        </is>
      </c>
      <c r="X93" t="inlineStr">
        <is>
          <t>No se encontró ejecución en CUIPO</t>
        </is>
      </c>
    </row>
    <row r="94">
      <c r="A94" t="inlineStr">
        <is>
          <t>IP-105</t>
        </is>
      </c>
      <c r="B94" t="inlineStr">
        <is>
          <t>33</t>
        </is>
      </c>
      <c r="C94" t="inlineStr">
        <is>
          <t>Cultura</t>
        </is>
      </c>
      <c r="D94" t="inlineStr">
        <is>
          <t>3301</t>
        </is>
      </c>
      <c r="E94" t="inlineStr">
        <is>
          <t>Promoción y acceso efectivo a procesos culturales y artísticos</t>
        </is>
      </c>
      <c r="F94" t="inlineStr">
        <is>
          <t>3301128</t>
        </is>
      </c>
      <c r="G94" t="inlineStr">
        <is>
          <t>Servicio de apoyo financiero para creadores y gestores culturales</t>
        </is>
      </c>
      <c r="H94" t="inlineStr">
        <is>
          <t>Corresponde al beneficio económico periódico entregado a los creadores y gestores culturales, para garantizar una renta vitalicia a estos agentes.</t>
        </is>
      </c>
      <c r="I94" t="inlineStr">
        <is>
          <t>2024254860019</t>
        </is>
      </c>
      <c r="J94" s="99">
        <v>96041664</v>
      </c>
      <c r="K94" s="99">
        <v>25000000</v>
      </c>
      <c r="L94" s="99">
        <v>14814164</v>
      </c>
      <c r="M94" s="99">
        <v>27562500</v>
      </c>
      <c r="N94" s="99">
        <v>28665000</v>
      </c>
      <c r="O94" s="99" t="inlineStr">
        <is>
          <t xml:space="preserve"> </t>
        </is>
      </c>
      <c r="P94" s="99" t="inlineStr">
        <is>
          <t xml:space="preserve"> </t>
        </is>
      </c>
      <c r="Q94" s="99" t="inlineStr">
        <is>
          <t xml:space="preserve"> </t>
        </is>
      </c>
      <c r="R94" s="100" t="inlineStr">
        <is>
          <t xml:space="preserve"> </t>
        </is>
      </c>
      <c r="S94" t="inlineStr">
        <is>
          <t>No se encontró ejecución en CUIPO</t>
        </is>
      </c>
      <c r="T94" s="101">
        <v>0</v>
      </c>
      <c r="U94" s="101">
        <v>0</v>
      </c>
      <c r="V94" s="101">
        <v>0</v>
      </c>
      <c r="W94" s="102">
        <v>0</v>
      </c>
      <c r="X94" t="inlineStr">
        <is>
          <t>No se ejecutó en la vigencia</t>
        </is>
      </c>
    </row>
    <row r="95">
      <c r="A95" t="inlineStr">
        <is>
          <t>IP-106</t>
        </is>
      </c>
      <c r="B95" t="inlineStr">
        <is>
          <t>33</t>
        </is>
      </c>
      <c r="C95" t="inlineStr">
        <is>
          <t>Cultura</t>
        </is>
      </c>
      <c r="D95" t="inlineStr">
        <is>
          <t>3301</t>
        </is>
      </c>
      <c r="E95" t="inlineStr">
        <is>
          <t>Promoción y acceso efectivo a procesos culturales y artísticos</t>
        </is>
      </c>
      <c r="F95" t="inlineStr">
        <is>
          <t>3301053</t>
        </is>
      </c>
      <c r="G95" t="inlineStr">
        <is>
          <t>Servicio de promoción de actividades culturales</t>
        </is>
      </c>
      <c r="H95" t="inlineStr">
        <is>
          <t>Corresponde a la organización y desarrollo de  actividades culturales de carácter patrimonial, literario, artístico, musical, entre otros. También la realización de eventos y actividades con libreros y organizaciones responsables de ferias. Así como actividades culturales para el goce de los ciudadanos.</t>
        </is>
      </c>
      <c r="I95" t="inlineStr">
        <is>
          <t>2024254860019</t>
        </is>
      </c>
      <c r="J95" s="99">
        <v>2140751746.8343</v>
      </c>
      <c r="K95" s="99">
        <v>608240156.3</v>
      </c>
      <c r="L95" s="99">
        <v>164518655</v>
      </c>
      <c r="M95" s="99">
        <v>670584772.3207</v>
      </c>
      <c r="N95" s="99">
        <v>697408163.2136</v>
      </c>
      <c r="O95" s="99">
        <v>335794525</v>
      </c>
      <c r="P95" s="99">
        <v>335794525</v>
      </c>
      <c r="Q95" s="99">
        <v>237685275</v>
      </c>
      <c r="R95" s="100">
        <v>0.552075560158145</v>
      </c>
      <c r="S95" t="inlineStr">
        <is>
          <t>Lo obligado está por debajo de lo programado en la vigencia</t>
        </is>
      </c>
      <c r="T95" s="101">
        <v>284330310</v>
      </c>
      <c r="U95" s="101">
        <v>284254264</v>
      </c>
      <c r="V95" s="101">
        <v>284254264</v>
      </c>
      <c r="W95" s="102">
        <v>1.72779350767243</v>
      </c>
      <c r="X95" t="inlineStr">
        <is>
          <t>Hubo ejecución por encima de lo programado en SisPT</t>
        </is>
      </c>
    </row>
    <row r="96">
      <c r="A96" t="inlineStr">
        <is>
          <t>IP-107</t>
        </is>
      </c>
      <c r="B96" t="inlineStr">
        <is>
          <t>33</t>
        </is>
      </c>
      <c r="C96" t="inlineStr">
        <is>
          <t>Cultura</t>
        </is>
      </c>
      <c r="D96" t="inlineStr">
        <is>
          <t>3301</t>
        </is>
      </c>
      <c r="E96" t="inlineStr">
        <is>
          <t>Promoción y acceso efectivo a procesos culturales y artísticos</t>
        </is>
      </c>
      <c r="F96" t="inlineStr">
        <is>
          <t>3301074</t>
        </is>
      </c>
      <c r="G96" t="inlineStr">
        <is>
          <t>Servicio de apoyo para la organización y la participación del sector artístico, cultural y la ciudadanía</t>
        </is>
      </c>
      <c r="H96" t="inlineStr">
        <is>
          <t>Generar los mecanismos para la participación de los agentes culturales, artísticos y la ciudadanía en las instancias de participación en cultura (Encuentros Sectoriales, Consejos de Áreas Artísticas y Consejos Nacionales de Cultura) para que hagan parte de los procesos de orientación, construcción y evaluación de políticas y organización sectorial.</t>
        </is>
      </c>
      <c r="I96" t="inlineStr">
        <is>
          <t>2024254860019</t>
        </is>
      </c>
      <c r="J96" s="99">
        <v>9772570</v>
      </c>
      <c r="K96" s="99">
        <v>2700000</v>
      </c>
      <c r="L96" s="99">
        <v>1000000</v>
      </c>
      <c r="M96" s="99">
        <v>2976750</v>
      </c>
      <c r="N96" s="99">
        <v>3095820</v>
      </c>
      <c r="O96" s="99" t="inlineStr">
        <is>
          <t xml:space="preserve"> </t>
        </is>
      </c>
      <c r="P96" s="99" t="inlineStr">
        <is>
          <t xml:space="preserve"> </t>
        </is>
      </c>
      <c r="Q96" s="99" t="inlineStr">
        <is>
          <t xml:space="preserve"> </t>
        </is>
      </c>
      <c r="R96" s="100" t="inlineStr">
        <is>
          <t xml:space="preserve"> </t>
        </is>
      </c>
      <c r="S96" t="inlineStr">
        <is>
          <t>No se encontró ejecución en CUIPO</t>
        </is>
      </c>
      <c r="T96" s="101" t="inlineStr">
        <is>
          <t xml:space="preserve"> </t>
        </is>
      </c>
      <c r="U96" s="101" t="inlineStr">
        <is>
          <t xml:space="preserve"> </t>
        </is>
      </c>
      <c r="V96" s="101" t="inlineStr">
        <is>
          <t xml:space="preserve"> </t>
        </is>
      </c>
      <c r="W96" s="102" t="inlineStr">
        <is>
          <t xml:space="preserve"> </t>
        </is>
      </c>
      <c r="X96" t="inlineStr">
        <is>
          <t>No se encontró ejecución en CUIPO</t>
        </is>
      </c>
    </row>
    <row r="97">
      <c r="A97" t="inlineStr">
        <is>
          <t>IP-108</t>
        </is>
      </c>
      <c r="B97" t="inlineStr">
        <is>
          <t>33</t>
        </is>
      </c>
      <c r="C97" t="inlineStr">
        <is>
          <t>Cultura</t>
        </is>
      </c>
      <c r="D97" t="inlineStr">
        <is>
          <t>3302</t>
        </is>
      </c>
      <c r="E97" t="inlineStr">
        <is>
          <t>Gestión, protección y salvaguardia del patrimonio cultural colombiano</t>
        </is>
      </c>
      <c r="F97" t="inlineStr">
        <is>
          <t>3302070</t>
        </is>
      </c>
      <c r="G97" t="inlineStr">
        <is>
          <t>Serviciode divulgación y publicación del Patrimonio cultural</t>
        </is>
      </c>
      <c r="H97" t="inlineStr">
        <is>
          <t xml:space="preserve">Hace referencia a las actividades de divulgación a través de la página web de los museos, boletines informativos, redes sociales, etc. de los principales eventos académicos y culturales, exposiciones y programas. También referencia a las cartillas, libros, producción audiovisual, entre otras publicaciones elaboradas en temas de salvaguardia, protección, recuperación, conservación, sostenimiento y divulgación del Patrimonio Cultural de la Nación. Así como eventos como conferencias, conmemoraciones, conversatorios, encuentros, simposios etc. de carácter académico que permiten el fortalecimiento de la gestión universitaria y la consolidación de la comunidad docente e investigativa del Instituto. </t>
        </is>
      </c>
      <c r="I97" t="inlineStr">
        <is>
          <t>2024254860020</t>
        </is>
      </c>
      <c r="J97" s="99">
        <v>30419870</v>
      </c>
      <c r="K97" s="99">
        <v>5700000</v>
      </c>
      <c r="L97" s="99">
        <v>11900000</v>
      </c>
      <c r="M97" s="99">
        <v>6284250</v>
      </c>
      <c r="N97" s="99">
        <v>6535620</v>
      </c>
      <c r="O97" s="99">
        <v>5700000</v>
      </c>
      <c r="P97" s="99">
        <v>5700000</v>
      </c>
      <c r="Q97" s="99">
        <v>5700000</v>
      </c>
      <c r="R97" s="100">
        <v>1</v>
      </c>
      <c r="S97" t="inlineStr">
        <is>
          <t>Se ejecutó el 100% de lo programado en la vigencia</t>
        </is>
      </c>
      <c r="T97" s="101">
        <v>11900000</v>
      </c>
      <c r="U97" s="101">
        <v>7140000</v>
      </c>
      <c r="V97" s="101">
        <v>7140000</v>
      </c>
      <c r="W97" s="102">
        <v>0.6</v>
      </c>
      <c r="X97" t="inlineStr">
        <is>
          <t>Lo obligado está por debajo de lo programado en la vigencia</t>
        </is>
      </c>
    </row>
    <row r="98">
      <c r="A98" t="inlineStr">
        <is>
          <t>IP-109, IP-179</t>
        </is>
      </c>
      <c r="B98" t="inlineStr">
        <is>
          <t>33</t>
        </is>
      </c>
      <c r="C98" t="inlineStr">
        <is>
          <t>Cultura</t>
        </is>
      </c>
      <c r="D98" t="inlineStr">
        <is>
          <t>3302</t>
        </is>
      </c>
      <c r="E98" t="inlineStr">
        <is>
          <t>Gestión, protección y salvaguardia del patrimonio cultural colombiano</t>
        </is>
      </c>
      <c r="F98" t="inlineStr">
        <is>
          <t>3302003</t>
        </is>
      </c>
      <c r="G98" t="inlineStr">
        <is>
          <t>Documentos normativos</t>
        </is>
      </c>
      <c r="H98" t="inlineStr">
        <is>
          <t>Hace referencia a actos administrativos, declaratorias y solicitudes a cargo del Ministerio de Cultura en materia de patrimonio material e inmaterial.</t>
        </is>
      </c>
      <c r="I98" t="inlineStr">
        <is>
          <t>2024254860020</t>
        </is>
      </c>
      <c r="J98" s="99">
        <v>66000000</v>
      </c>
      <c r="K98" s="99">
        <v>0</v>
      </c>
      <c r="L98" s="99">
        <v>66000000</v>
      </c>
      <c r="M98" s="99">
        <v>0</v>
      </c>
      <c r="N98" s="99">
        <v>0</v>
      </c>
      <c r="O98" s="99" t="inlineStr">
        <is>
          <t xml:space="preserve"> </t>
        </is>
      </c>
      <c r="P98" s="99" t="inlineStr">
        <is>
          <t xml:space="preserve"> </t>
        </is>
      </c>
      <c r="Q98" s="99" t="inlineStr">
        <is>
          <t xml:space="preserve"> </t>
        </is>
      </c>
      <c r="R98" s="100" t="inlineStr">
        <is>
          <t xml:space="preserve"> </t>
        </is>
      </c>
      <c r="S98" t="inlineStr">
        <is>
          <t>No se encontró ejecución en CUIPO</t>
        </is>
      </c>
      <c r="T98" s="101" t="inlineStr">
        <is>
          <t xml:space="preserve"> </t>
        </is>
      </c>
      <c r="U98" s="101" t="inlineStr">
        <is>
          <t xml:space="preserve"> </t>
        </is>
      </c>
      <c r="V98" s="101" t="inlineStr">
        <is>
          <t xml:space="preserve"> </t>
        </is>
      </c>
      <c r="W98" s="102" t="inlineStr">
        <is>
          <t xml:space="preserve"> </t>
        </is>
      </c>
      <c r="X98" t="inlineStr">
        <is>
          <t>No se encontró ejecución en CUIPO</t>
        </is>
      </c>
    </row>
    <row r="99">
      <c r="A99" t="inlineStr">
        <is>
          <t>IP-110</t>
        </is>
      </c>
      <c r="B99" t="inlineStr">
        <is>
          <t>33</t>
        </is>
      </c>
      <c r="C99" t="inlineStr">
        <is>
          <t>Cultura</t>
        </is>
      </c>
      <c r="D99" t="inlineStr">
        <is>
          <t>3301</t>
        </is>
      </c>
      <c r="E99" t="inlineStr">
        <is>
          <t>Promoción y acceso efectivo a procesos culturales y artísticos</t>
        </is>
      </c>
      <c r="F99" t="inlineStr">
        <is>
          <t>3301068</t>
        </is>
      </c>
      <c r="G99" t="inlineStr">
        <is>
          <t>Servicio de mantenimiento de infraestructura cultural</t>
        </is>
      </c>
      <c r="H99" t="inlineStr">
        <is>
          <t>Ajuste o adaptación de una Infraestructura Cultural en la cual ya se estén desarrollando prácticas culturales, se busca garantizar la permanencia del inmueble original con las especificaciones requeridas. Este proceso puede o no tener reforzamiento estructural.</t>
        </is>
      </c>
      <c r="I99" t="inlineStr">
        <is>
          <t>2024254860019</t>
        </is>
      </c>
      <c r="J99" s="99">
        <v>66000000</v>
      </c>
      <c r="K99" s="99">
        <v>0</v>
      </c>
      <c r="L99" s="99">
        <v>66000000</v>
      </c>
      <c r="M99" s="99">
        <v>0</v>
      </c>
      <c r="N99" s="99">
        <v>0</v>
      </c>
      <c r="O99" s="99" t="inlineStr">
        <is>
          <t xml:space="preserve"> </t>
        </is>
      </c>
      <c r="P99" s="99" t="inlineStr">
        <is>
          <t xml:space="preserve"> </t>
        </is>
      </c>
      <c r="Q99" s="99" t="inlineStr">
        <is>
          <t xml:space="preserve"> </t>
        </is>
      </c>
      <c r="R99" s="100" t="inlineStr">
        <is>
          <t xml:space="preserve"> </t>
        </is>
      </c>
      <c r="S99" t="inlineStr">
        <is>
          <t>No se encontró ejecución en CUIPO</t>
        </is>
      </c>
      <c r="T99" s="101" t="inlineStr">
        <is>
          <t xml:space="preserve"> </t>
        </is>
      </c>
      <c r="U99" s="101" t="inlineStr">
        <is>
          <t xml:space="preserve"> </t>
        </is>
      </c>
      <c r="V99" s="101" t="inlineStr">
        <is>
          <t xml:space="preserve"> </t>
        </is>
      </c>
      <c r="W99" s="102" t="inlineStr">
        <is>
          <t xml:space="preserve"> </t>
        </is>
      </c>
      <c r="X99" t="inlineStr">
        <is>
          <t>No se encontró ejecución en CUIPO</t>
        </is>
      </c>
    </row>
    <row r="100">
      <c r="A100" t="inlineStr">
        <is>
          <t>IP-111</t>
        </is>
      </c>
      <c r="B100" t="inlineStr">
        <is>
          <t>33</t>
        </is>
      </c>
      <c r="C100" t="inlineStr">
        <is>
          <t>Cultura</t>
        </is>
      </c>
      <c r="D100" t="inlineStr">
        <is>
          <t>3301</t>
        </is>
      </c>
      <c r="E100" t="inlineStr">
        <is>
          <t>Promoción y acceso efectivo a procesos culturales y artísticos</t>
        </is>
      </c>
      <c r="F100" t="inlineStr">
        <is>
          <t>3301038</t>
        </is>
      </c>
      <c r="G100" t="inlineStr">
        <is>
          <t>Teatros adecuados</t>
        </is>
      </c>
      <c r="H100" t="inlineStr">
        <is>
          <t>Cambio del uso de la infraestructura cultural o parte de ella, garantizando la permanencia del inmueble original.</t>
        </is>
      </c>
      <c r="I100" t="inlineStr">
        <is>
          <t>2024254860019</t>
        </is>
      </c>
      <c r="J100" s="99">
        <v>66000000</v>
      </c>
      <c r="K100" s="99">
        <v>0</v>
      </c>
      <c r="L100" s="99">
        <v>66000000</v>
      </c>
      <c r="M100" s="99">
        <v>0</v>
      </c>
      <c r="N100" s="99">
        <v>0</v>
      </c>
      <c r="O100" s="99" t="inlineStr">
        <is>
          <t xml:space="preserve"> </t>
        </is>
      </c>
      <c r="P100" s="99" t="inlineStr">
        <is>
          <t xml:space="preserve"> </t>
        </is>
      </c>
      <c r="Q100" s="99" t="inlineStr">
        <is>
          <t xml:space="preserve"> </t>
        </is>
      </c>
      <c r="R100" s="100" t="inlineStr">
        <is>
          <t xml:space="preserve"> </t>
        </is>
      </c>
      <c r="S100" t="inlineStr">
        <is>
          <t>No se encontró ejecución en CUIPO</t>
        </is>
      </c>
      <c r="T100" s="101" t="inlineStr">
        <is>
          <t xml:space="preserve"> </t>
        </is>
      </c>
      <c r="U100" s="101" t="inlineStr">
        <is>
          <t xml:space="preserve"> </t>
        </is>
      </c>
      <c r="V100" s="101" t="inlineStr">
        <is>
          <t xml:space="preserve"> </t>
        </is>
      </c>
      <c r="W100" s="102" t="inlineStr">
        <is>
          <t xml:space="preserve"> </t>
        </is>
      </c>
      <c r="X100" t="inlineStr">
        <is>
          <t>No se encontró ejecución en CUIPO</t>
        </is>
      </c>
    </row>
    <row r="101">
      <c r="A101" t="inlineStr">
        <is>
          <t>IP-112</t>
        </is>
      </c>
      <c r="B101" t="inlineStr">
        <is>
          <t>40</t>
        </is>
      </c>
      <c r="C101" t="inlineStr">
        <is>
          <t>Vivienda, ciudad y territorio</t>
        </is>
      </c>
      <c r="D101" t="inlineStr">
        <is>
          <t>4001</t>
        </is>
      </c>
      <c r="E101" t="inlineStr">
        <is>
          <t>Acceso a soluciones de vivienda</t>
        </is>
      </c>
      <c r="F101" t="inlineStr">
        <is>
          <t>4001032</t>
        </is>
      </c>
      <c r="G101" t="inlineStr">
        <is>
          <t>Servicio de apoyo financiero para mejoramiento de vivienda</t>
        </is>
      </c>
      <c r="H101" t="inlineStr">
        <is>
          <t>Corresponde al apoyo financiero a través de la asignación de un subsidio familiar de vivienda de interés social para mejoramiento, reparación y/o reconstrucción.</t>
        </is>
      </c>
      <c r="I101" t="inlineStr">
        <is>
          <t>2024254860021</t>
        </is>
      </c>
      <c r="J101" s="99">
        <v>40553868</v>
      </c>
      <c r="K101" s="99">
        <v>10000000</v>
      </c>
      <c r="L101" s="99">
        <v>8062868</v>
      </c>
      <c r="M101" s="99">
        <v>11025000</v>
      </c>
      <c r="N101" s="99">
        <v>11466000</v>
      </c>
      <c r="O101" s="99">
        <v>5000000</v>
      </c>
      <c r="P101" s="99">
        <v>5000000</v>
      </c>
      <c r="Q101" s="99">
        <v>5000000</v>
      </c>
      <c r="R101" s="100">
        <v>0.5</v>
      </c>
      <c r="S101" t="inlineStr">
        <is>
          <t>Lo obligado está por debajo de lo programado en la vigencia</t>
        </is>
      </c>
      <c r="T101" s="101" t="inlineStr">
        <is>
          <t xml:space="preserve"> </t>
        </is>
      </c>
      <c r="U101" s="101" t="inlineStr">
        <is>
          <t xml:space="preserve"> </t>
        </is>
      </c>
      <c r="V101" s="101" t="inlineStr">
        <is>
          <t xml:space="preserve"> </t>
        </is>
      </c>
      <c r="W101" s="102" t="inlineStr">
        <is>
          <t xml:space="preserve"> </t>
        </is>
      </c>
      <c r="X101" t="inlineStr">
        <is>
          <t>No se encontró ejecución en CUIPO</t>
        </is>
      </c>
    </row>
    <row r="102">
      <c r="A102" t="inlineStr">
        <is>
          <t>IP-113</t>
        </is>
      </c>
      <c r="B102" t="inlineStr">
        <is>
          <t>40</t>
        </is>
      </c>
      <c r="C102" t="inlineStr">
        <is>
          <t>Vivienda, ciudad y territorio</t>
        </is>
      </c>
      <c r="D102" t="inlineStr">
        <is>
          <t>4001</t>
        </is>
      </c>
      <c r="E102" t="inlineStr">
        <is>
          <t>Acceso a soluciones de vivienda</t>
        </is>
      </c>
      <c r="F102" t="inlineStr">
        <is>
          <t>4001001</t>
        </is>
      </c>
      <c r="G102" t="inlineStr">
        <is>
          <t>Servicio de asistencia técnica y jurídica en saneamiento y titulación de predios</t>
        </is>
      </c>
      <c r="H102" t="inlineStr">
        <is>
          <t>Corresponde al conjunto de acciones de acompañamiento, asesoría, apoyo técnico y jurídico que se deben adelantar para la procesos de saneamiento, titulación  y legalización urbanística de cuerdo establecido en la normativa vigente</t>
        </is>
      </c>
      <c r="I102" t="inlineStr">
        <is>
          <t>2024254860021</t>
        </is>
      </c>
      <c r="J102" s="99">
        <v>69813868</v>
      </c>
      <c r="K102" s="99">
        <v>10000000</v>
      </c>
      <c r="L102" s="99">
        <v>37322868</v>
      </c>
      <c r="M102" s="99">
        <v>11025000</v>
      </c>
      <c r="N102" s="99">
        <v>11466000</v>
      </c>
      <c r="O102" s="99">
        <v>4227942</v>
      </c>
      <c r="P102" s="99">
        <v>4227942</v>
      </c>
      <c r="Q102" s="99">
        <v>4227942</v>
      </c>
      <c r="R102" s="100">
        <v>0.4227942</v>
      </c>
      <c r="S102" t="inlineStr">
        <is>
          <t>Lo obligado está por debajo de lo programado en la vigencia</t>
        </is>
      </c>
      <c r="T102" s="101">
        <v>37322868</v>
      </c>
      <c r="U102" s="101">
        <v>37322868</v>
      </c>
      <c r="V102" s="101">
        <v>37322868</v>
      </c>
      <c r="W102" s="102">
        <v>1</v>
      </c>
      <c r="X102" t="inlineStr">
        <is>
          <t>Se ejecutó el 100% de lo programado en la vigencia</t>
        </is>
      </c>
    </row>
    <row r="103">
      <c r="A103" t="inlineStr">
        <is>
          <t>IP-114</t>
        </is>
      </c>
      <c r="B103" t="inlineStr">
        <is>
          <t>40</t>
        </is>
      </c>
      <c r="C103" t="inlineStr">
        <is>
          <t>Vivienda, ciudad y territorio</t>
        </is>
      </c>
      <c r="D103" t="inlineStr">
        <is>
          <t>4003</t>
        </is>
      </c>
      <c r="E103" t="inlineStr">
        <is>
          <t>Acceso de la población a los servicios de agua potable y saneamiento básico</t>
        </is>
      </c>
      <c r="F103" t="inlineStr">
        <is>
          <t>4003042</t>
        </is>
      </c>
      <c r="G103" t="inlineStr">
        <is>
          <t>Estudios de pre inversión e inversión</t>
        </is>
      </c>
      <c r="H103" t="inlineStr">
        <is>
          <t>Incluye la realización de estudios de pre factibilidad, factibilidad o definitivos para la ejecución de proyectos</t>
        </is>
      </c>
      <c r="I103" t="inlineStr">
        <is>
          <t>2024254860022</t>
        </is>
      </c>
      <c r="J103" s="99">
        <v>277441582.7479</v>
      </c>
      <c r="K103" s="99">
        <v>34637180.08</v>
      </c>
      <c r="L103" s="99">
        <v>164901920.95</v>
      </c>
      <c r="M103" s="99">
        <v>38187491.0382</v>
      </c>
      <c r="N103" s="99">
        <v>39714990.6797</v>
      </c>
      <c r="O103" s="99" t="inlineStr">
        <is>
          <t xml:space="preserve"> </t>
        </is>
      </c>
      <c r="P103" s="99" t="inlineStr">
        <is>
          <t xml:space="preserve"> </t>
        </is>
      </c>
      <c r="Q103" s="99" t="inlineStr">
        <is>
          <t xml:space="preserve"> </t>
        </is>
      </c>
      <c r="R103" s="100" t="inlineStr">
        <is>
          <t xml:space="preserve"> </t>
        </is>
      </c>
      <c r="S103" t="inlineStr">
        <is>
          <t>No se encontró ejecución en CUIPO</t>
        </is>
      </c>
      <c r="T103" s="101">
        <v>0</v>
      </c>
      <c r="U103" s="101">
        <v>0</v>
      </c>
      <c r="V103" s="101">
        <v>0</v>
      </c>
      <c r="W103" s="102">
        <v>0</v>
      </c>
      <c r="X103" t="inlineStr">
        <is>
          <t>No se ejecutó en la vigencia</t>
        </is>
      </c>
    </row>
    <row r="104">
      <c r="A104" t="inlineStr">
        <is>
          <t>IP-115</t>
        </is>
      </c>
      <c r="B104" t="inlineStr">
        <is>
          <t>40</t>
        </is>
      </c>
      <c r="C104" t="inlineStr">
        <is>
          <t>Vivienda, ciudad y territorio</t>
        </is>
      </c>
      <c r="D104" t="inlineStr">
        <is>
          <t>4003</t>
        </is>
      </c>
      <c r="E104" t="inlineStr">
        <is>
          <t>Acceso de la población a los servicios de agua potable y saneamiento básico</t>
        </is>
      </c>
      <c r="F104" t="inlineStr">
        <is>
          <t>4003015</t>
        </is>
      </c>
      <c r="G104" t="inlineStr">
        <is>
          <t>Acueductos construidos</t>
        </is>
      </c>
      <c r="H104" t="inlineStr">
        <is>
          <t>Conjunto de acciones y obras para la implementación de sistemas de acueducto nuevos.</t>
        </is>
      </c>
      <c r="I104" t="inlineStr">
        <is>
          <t>2024254860022</t>
        </is>
      </c>
      <c r="J104" s="99">
        <v>1541616060.2302</v>
      </c>
      <c r="K104" s="99">
        <v>317326827.5</v>
      </c>
      <c r="L104" s="99">
        <v>510589465</v>
      </c>
      <c r="M104" s="99">
        <v>349852827.3187</v>
      </c>
      <c r="N104" s="99">
        <v>363846940.4115</v>
      </c>
      <c r="O104" s="99">
        <v>301409718</v>
      </c>
      <c r="P104" s="99">
        <v>233409548</v>
      </c>
      <c r="Q104" s="99">
        <v>233409548</v>
      </c>
      <c r="R104" s="100">
        <v>0.735549369837002</v>
      </c>
      <c r="S104" t="inlineStr">
        <is>
          <t>Lo obligado está por debajo de lo programado en la vigencia</t>
        </is>
      </c>
      <c r="T104" s="101">
        <v>484528694</v>
      </c>
      <c r="U104" s="101">
        <v>245891899</v>
      </c>
      <c r="V104" s="101">
        <v>245891899</v>
      </c>
      <c r="W104" s="102">
        <v>0.481584356622007</v>
      </c>
      <c r="X104" t="inlineStr">
        <is>
          <t>Lo obligado está por debajo de lo programado en la vigencia</t>
        </is>
      </c>
    </row>
    <row r="105">
      <c r="A105" t="inlineStr">
        <is>
          <t>IP-116, IP-124</t>
        </is>
      </c>
      <c r="B105" t="inlineStr">
        <is>
          <t>40</t>
        </is>
      </c>
      <c r="C105" t="inlineStr">
        <is>
          <t>Vivienda, ciudad y territorio</t>
        </is>
      </c>
      <c r="D105" t="inlineStr">
        <is>
          <t>4003</t>
        </is>
      </c>
      <c r="E105" t="inlineStr">
        <is>
          <t>Acceso de la población a los servicios de agua potable y saneamiento básico</t>
        </is>
      </c>
      <c r="F105" t="inlineStr">
        <is>
          <t>4003008</t>
        </is>
      </c>
      <c r="G105" t="inlineStr">
        <is>
          <t>Servicio de apoyo financiero a los planes, programas y proyectos de Agua Potable y Saneamiento Básico</t>
        </is>
      </c>
      <c r="H105" t="inlineStr">
        <is>
          <t>Financiación o Cofinanciación a planes, programas y proyectos relacionados con Agua Potable y Saneamiento Básico</t>
        </is>
      </c>
      <c r="I105" t="inlineStr">
        <is>
          <t>2024254860022</t>
        </is>
      </c>
      <c r="J105" s="99">
        <v>0</v>
      </c>
      <c r="K105" s="99">
        <v>0</v>
      </c>
      <c r="L105" s="99">
        <v>0</v>
      </c>
      <c r="M105" s="99">
        <v>0</v>
      </c>
      <c r="N105" s="99">
        <v>0</v>
      </c>
      <c r="O105" s="99" t="inlineStr">
        <is>
          <t xml:space="preserve"> </t>
        </is>
      </c>
      <c r="P105" s="99" t="inlineStr">
        <is>
          <t xml:space="preserve"> </t>
        </is>
      </c>
      <c r="Q105" s="99" t="inlineStr">
        <is>
          <t xml:space="preserve"> </t>
        </is>
      </c>
      <c r="R105" s="100" t="inlineStr">
        <is>
          <t xml:space="preserve"> </t>
        </is>
      </c>
      <c r="S105" t="inlineStr">
        <is>
          <t>No se encontró ejecución en CUIPO</t>
        </is>
      </c>
      <c r="T105" s="101" t="inlineStr">
        <is>
          <t xml:space="preserve"> </t>
        </is>
      </c>
      <c r="U105" s="101" t="inlineStr">
        <is>
          <t xml:space="preserve"> </t>
        </is>
      </c>
      <c r="V105" s="101" t="inlineStr">
        <is>
          <t xml:space="preserve"> </t>
        </is>
      </c>
      <c r="W105" s="102" t="inlineStr">
        <is>
          <t xml:space="preserve"> </t>
        </is>
      </c>
      <c r="X105" t="inlineStr">
        <is>
          <t>No se encontró ejecución en CUIPO</t>
        </is>
      </c>
    </row>
    <row r="106">
      <c r="A106" t="inlineStr">
        <is>
          <t>IP-117</t>
        </is>
      </c>
      <c r="B106" t="inlineStr">
        <is>
          <t>40</t>
        </is>
      </c>
      <c r="C106" t="inlineStr">
        <is>
          <t>Vivienda, ciudad y territorio</t>
        </is>
      </c>
      <c r="D106" t="inlineStr">
        <is>
          <t>4003</t>
        </is>
      </c>
      <c r="E106" t="inlineStr">
        <is>
          <t>Acceso de la población a los servicios de agua potable y saneamiento básico</t>
        </is>
      </c>
      <c r="F106" t="inlineStr">
        <is>
          <t>4003016</t>
        </is>
      </c>
      <c r="G106" t="inlineStr">
        <is>
          <t>Acueductos ampliados</t>
        </is>
      </c>
      <c r="H106" t="inlineStr">
        <is>
          <t>Conjunto de acciones y obras requeridas para aumentar la capacidad del acueducto en una misma área de cobertura.</t>
        </is>
      </c>
      <c r="I106" t="inlineStr">
        <is>
          <t>2024254860022</t>
        </is>
      </c>
      <c r="J106" s="99">
        <v>1097491534.7589</v>
      </c>
      <c r="K106" s="99">
        <v>223421729.02</v>
      </c>
      <c r="L106" s="99">
        <v>371571995</v>
      </c>
      <c r="M106" s="99">
        <v>246322456.2446</v>
      </c>
      <c r="N106" s="99">
        <v>256175354.4943</v>
      </c>
      <c r="O106" s="99">
        <v>179006220</v>
      </c>
      <c r="P106" s="99">
        <v>171006220</v>
      </c>
      <c r="Q106" s="99">
        <v>171006220</v>
      </c>
      <c r="R106" s="100">
        <v>0.765396547372937</v>
      </c>
      <c r="S106" t="inlineStr">
        <is>
          <t>Lo obligado está por debajo de lo programado en la vigencia</t>
        </is>
      </c>
      <c r="T106" s="101">
        <v>227684531</v>
      </c>
      <c r="U106" s="101">
        <v>225972523</v>
      </c>
      <c r="V106" s="101">
        <v>233840657</v>
      </c>
      <c r="W106" s="102">
        <v>0.608152729594167</v>
      </c>
      <c r="X106" t="inlineStr">
        <is>
          <t>Lo obligado está por debajo de lo programado en la vigencia</t>
        </is>
      </c>
    </row>
    <row r="107">
      <c r="A107" t="inlineStr">
        <is>
          <t>IP-118</t>
        </is>
      </c>
      <c r="B107" t="inlineStr">
        <is>
          <t>40</t>
        </is>
      </c>
      <c r="C107" t="inlineStr">
        <is>
          <t>Vivienda, ciudad y territorio</t>
        </is>
      </c>
      <c r="D107" t="inlineStr">
        <is>
          <t>4003</t>
        </is>
      </c>
      <c r="E107" t="inlineStr">
        <is>
          <t>Acceso de la población a los servicios de agua potable y saneamiento básico</t>
        </is>
      </c>
      <c r="F107" t="inlineStr">
        <is>
          <t>4003006</t>
        </is>
      </c>
      <c r="G107" t="inlineStr">
        <is>
          <t>Documentos de planeación</t>
        </is>
      </c>
      <c r="H107" t="inlineStr">
        <is>
          <t>Documentos cuyo objetivo es plasmar una visión de futuro a nivel país, entidad territorial, comunidad, sector, región, entidad o cualquier nivel de desagregación que se requiera. Incluye objetivos, estrategias, metas e indicadores</t>
        </is>
      </c>
      <c r="I107" t="inlineStr">
        <is>
          <t>2024254860022</t>
        </is>
      </c>
      <c r="J107" s="99">
        <v>48736500</v>
      </c>
      <c r="K107" s="99">
        <v>15000000</v>
      </c>
      <c r="L107" s="99">
        <v>0</v>
      </c>
      <c r="M107" s="99">
        <v>16537500</v>
      </c>
      <c r="N107" s="99">
        <v>17199000</v>
      </c>
      <c r="O107" s="99" t="inlineStr">
        <is>
          <t xml:space="preserve"> </t>
        </is>
      </c>
      <c r="P107" s="99" t="inlineStr">
        <is>
          <t xml:space="preserve"> </t>
        </is>
      </c>
      <c r="Q107" s="99" t="inlineStr">
        <is>
          <t xml:space="preserve"> </t>
        </is>
      </c>
      <c r="R107" s="100" t="inlineStr">
        <is>
          <t xml:space="preserve"> </t>
        </is>
      </c>
      <c r="S107" t="inlineStr">
        <is>
          <t>No se encontró ejecución en CUIPO</t>
        </is>
      </c>
      <c r="T107" s="101" t="inlineStr">
        <is>
          <t xml:space="preserve"> </t>
        </is>
      </c>
      <c r="U107" s="101" t="inlineStr">
        <is>
          <t xml:space="preserve"> </t>
        </is>
      </c>
      <c r="V107" s="101" t="inlineStr">
        <is>
          <t xml:space="preserve"> </t>
        </is>
      </c>
      <c r="W107" s="102" t="inlineStr">
        <is>
          <t xml:space="preserve"> </t>
        </is>
      </c>
      <c r="X107" t="inlineStr">
        <is>
          <t>No se encontró ejecución en CUIPO</t>
        </is>
      </c>
    </row>
    <row r="108">
      <c r="A108" t="inlineStr">
        <is>
          <t>IP-119, IP-123, IP-132</t>
        </is>
      </c>
      <c r="B108" t="inlineStr">
        <is>
          <t>40</t>
        </is>
      </c>
      <c r="C108" t="inlineStr">
        <is>
          <t>Vivienda, ciudad y territorio</t>
        </is>
      </c>
      <c r="D108" t="inlineStr">
        <is>
          <t>4003</t>
        </is>
      </c>
      <c r="E108" t="inlineStr">
        <is>
          <t>Acceso de la población a los servicios de agua potable y saneamiento básico</t>
        </is>
      </c>
      <c r="F108" t="inlineStr">
        <is>
          <t>4003047</t>
        </is>
      </c>
      <c r="G108" t="inlineStr">
        <is>
          <t>Servicio de apoyo financiero para subsidios al consumo en los servicios públicos domiciliarios</t>
        </is>
      </c>
      <c r="H108" t="inlineStr">
        <is>
          <t>Los subsidios al consumo están destinados a satisfacer necesidades básicas de los usuarios de los estratos 1, 2 y 3 en el servicio público domiciliario de acueducto, alcantarillado y aseo.</t>
        </is>
      </c>
      <c r="I108" t="inlineStr">
        <is>
          <t>2024254860022</t>
        </is>
      </c>
      <c r="J108" s="99">
        <v>1567022670.1693</v>
      </c>
      <c r="K108" s="99">
        <v>337157917.5</v>
      </c>
      <c r="L108" s="99">
        <v>471562880.42</v>
      </c>
      <c r="M108" s="99">
        <v>371716604.0437</v>
      </c>
      <c r="N108" s="99">
        <v>386585268.2056</v>
      </c>
      <c r="O108" s="99">
        <v>237622090</v>
      </c>
      <c r="P108" s="99">
        <v>237622090</v>
      </c>
      <c r="Q108" s="99">
        <v>237622090</v>
      </c>
      <c r="R108" s="100">
        <v>0.704779800996368</v>
      </c>
      <c r="S108" t="inlineStr">
        <is>
          <t>Lo obligado está por debajo de lo programado en la vigencia</t>
        </is>
      </c>
      <c r="T108" s="101">
        <v>624381322</v>
      </c>
      <c r="U108" s="101">
        <v>624381322</v>
      </c>
      <c r="V108" s="101">
        <v>624381322</v>
      </c>
      <c r="W108" s="102">
        <v>1.32406800434311</v>
      </c>
      <c r="X108" t="inlineStr">
        <is>
          <t>Hubo ejecución por encima de lo programado en SisPT</t>
        </is>
      </c>
    </row>
    <row r="109">
      <c r="A109" t="inlineStr">
        <is>
          <t>IP-120</t>
        </is>
      </c>
      <c r="B109" t="inlineStr">
        <is>
          <t>40</t>
        </is>
      </c>
      <c r="C109" t="inlineStr">
        <is>
          <t>Vivienda, ciudad y territorio</t>
        </is>
      </c>
      <c r="D109" t="inlineStr">
        <is>
          <t>4003</t>
        </is>
      </c>
      <c r="E109" t="inlineStr">
        <is>
          <t>Acceso de la población a los servicios de agua potable y saneamiento básico</t>
        </is>
      </c>
      <c r="F109" t="inlineStr">
        <is>
          <t>4003018</t>
        </is>
      </c>
      <c r="G109" t="inlineStr">
        <is>
          <t>Alcantarillados construidos</t>
        </is>
      </c>
      <c r="H109" t="inlineStr">
        <is>
          <t>Conjunto de acciones y obras para la implementación de sistemas de alcantarillado nuevos.</t>
        </is>
      </c>
      <c r="I109" t="inlineStr">
        <is>
          <t>2024254860022</t>
        </is>
      </c>
      <c r="J109" s="99">
        <v>995465047.5215</v>
      </c>
      <c r="K109" s="99">
        <v>155686365</v>
      </c>
      <c r="L109" s="99">
        <v>489624479</v>
      </c>
      <c r="M109" s="99">
        <v>171644217.4125</v>
      </c>
      <c r="N109" s="99">
        <v>178509986.109</v>
      </c>
      <c r="O109" s="99">
        <v>155686364</v>
      </c>
      <c r="P109" s="99">
        <v>155686364</v>
      </c>
      <c r="Q109" s="99">
        <v>155686364</v>
      </c>
      <c r="R109" s="100">
        <v>0.99999999357683</v>
      </c>
      <c r="S109" t="inlineStr">
        <is>
          <t>Lo obligado está por debajo de lo programado en la vigencia</t>
        </is>
      </c>
      <c r="T109" s="101">
        <v>269935938</v>
      </c>
      <c r="U109" s="101">
        <v>177649031</v>
      </c>
      <c r="V109" s="101">
        <v>177649031</v>
      </c>
      <c r="W109" s="102">
        <v>0.362827102441502</v>
      </c>
      <c r="X109" t="inlineStr">
        <is>
          <t>Lo obligado está por debajo de lo programado en la vigencia</t>
        </is>
      </c>
    </row>
    <row r="110">
      <c r="A110" t="inlineStr">
        <is>
          <t>IP-121, IP-122</t>
        </is>
      </c>
      <c r="B110" t="inlineStr">
        <is>
          <t>40</t>
        </is>
      </c>
      <c r="C110" t="inlineStr">
        <is>
          <t>Vivienda, ciudad y territorio</t>
        </is>
      </c>
      <c r="D110" t="inlineStr">
        <is>
          <t>4003</t>
        </is>
      </c>
      <c r="E110" t="inlineStr">
        <is>
          <t>Acceso de la población a los servicios de agua potable y saneamiento básico</t>
        </is>
      </c>
      <c r="F110" t="inlineStr">
        <is>
          <t>4003020</t>
        </is>
      </c>
      <c r="G110" t="inlineStr">
        <is>
          <t>Alcantarillados optimizados</t>
        </is>
      </c>
      <c r="H110" t="inlineStr">
        <is>
          <t>Conjunto de acciones encaminadas a mejorar la capacidad, eficiencia y eficacia de la infraestructura componente del sistema de alcantarillado mediante su intervención parcial o total.</t>
        </is>
      </c>
      <c r="I110" t="inlineStr">
        <is>
          <t>2024254860022</t>
        </is>
      </c>
      <c r="J110" s="99">
        <v>839915881.0085</v>
      </c>
      <c r="K110" s="99">
        <v>167641223.84</v>
      </c>
      <c r="L110" s="99">
        <v>295232780.63</v>
      </c>
      <c r="M110" s="99">
        <v>184824449.2836</v>
      </c>
      <c r="N110" s="99">
        <v>192217427.2549</v>
      </c>
      <c r="O110" s="99">
        <v>132672789</v>
      </c>
      <c r="P110" s="99">
        <v>132672789</v>
      </c>
      <c r="Q110" s="99">
        <v>121958148</v>
      </c>
      <c r="R110" s="100">
        <v>0.791409093545066</v>
      </c>
      <c r="S110" t="inlineStr">
        <is>
          <t>Lo obligado está por debajo de lo programado en la vigencia</t>
        </is>
      </c>
      <c r="T110" s="101">
        <v>186008592</v>
      </c>
      <c r="U110" s="101">
        <v>176499092</v>
      </c>
      <c r="V110" s="101">
        <v>176499092</v>
      </c>
      <c r="W110" s="102">
        <v>0.597830266758884</v>
      </c>
      <c r="X110" t="inlineStr">
        <is>
          <t>Lo obligado está por debajo de lo programado en la vigencia</t>
        </is>
      </c>
    </row>
    <row r="111">
      <c r="A111" t="inlineStr">
        <is>
          <t>IP-125</t>
        </is>
      </c>
      <c r="B111" t="inlineStr">
        <is>
          <t>40</t>
        </is>
      </c>
      <c r="C111" t="inlineStr">
        <is>
          <t>Vivienda, ciudad y territorio</t>
        </is>
      </c>
      <c r="D111" t="inlineStr">
        <is>
          <t>4003</t>
        </is>
      </c>
      <c r="E111" t="inlineStr">
        <is>
          <t>Acceso de la población a los servicios de agua potable y saneamiento básico</t>
        </is>
      </c>
      <c r="F111" t="inlineStr">
        <is>
          <t>4003025</t>
        </is>
      </c>
      <c r="G111" t="inlineStr">
        <is>
          <t>Servicios de apoyo financiero para la ejecución de proyectos de acueductos y alcantarillado</t>
        </is>
      </c>
      <c r="H111" t="inlineStr">
        <is>
          <t/>
        </is>
      </c>
      <c r="I111" t="inlineStr">
        <is>
          <t>2024254860022</t>
        </is>
      </c>
      <c r="J111" s="99">
        <v>0</v>
      </c>
      <c r="K111" s="99">
        <v>0</v>
      </c>
      <c r="L111" s="99">
        <v>0</v>
      </c>
      <c r="M111" s="99">
        <v>0</v>
      </c>
      <c r="N111" s="99">
        <v>0</v>
      </c>
      <c r="O111" s="99" t="inlineStr">
        <is>
          <t xml:space="preserve"> </t>
        </is>
      </c>
      <c r="P111" s="99" t="inlineStr">
        <is>
          <t xml:space="preserve"> </t>
        </is>
      </c>
      <c r="Q111" s="99" t="inlineStr">
        <is>
          <t xml:space="preserve"> </t>
        </is>
      </c>
      <c r="R111" s="100" t="inlineStr">
        <is>
          <t xml:space="preserve"> </t>
        </is>
      </c>
      <c r="S111" t="inlineStr">
        <is>
          <t>No se encontró ejecución en CUIPO</t>
        </is>
      </c>
      <c r="T111" s="101" t="inlineStr">
        <is>
          <t xml:space="preserve"> </t>
        </is>
      </c>
      <c r="U111" s="101" t="inlineStr">
        <is>
          <t xml:space="preserve"> </t>
        </is>
      </c>
      <c r="V111" s="101" t="inlineStr">
        <is>
          <t xml:space="preserve"> </t>
        </is>
      </c>
      <c r="W111" s="102" t="inlineStr">
        <is>
          <t xml:space="preserve"> </t>
        </is>
      </c>
      <c r="X111" t="inlineStr">
        <is>
          <t>No se encontró ejecución en CUIPO</t>
        </is>
      </c>
    </row>
    <row r="112">
      <c r="A112" t="inlineStr">
        <is>
          <t>IP-126</t>
        </is>
      </c>
      <c r="B112" t="inlineStr">
        <is>
          <t>40</t>
        </is>
      </c>
      <c r="C112" t="inlineStr">
        <is>
          <t>Vivienda, ciudad y territorio</t>
        </is>
      </c>
      <c r="D112" t="inlineStr">
        <is>
          <t>4003</t>
        </is>
      </c>
      <c r="E112" t="inlineStr">
        <is>
          <t>Acceso de la población a los servicios de agua potable y saneamiento básico</t>
        </is>
      </c>
      <c r="F112" t="inlineStr">
        <is>
          <t>4003026</t>
        </is>
      </c>
      <c r="G112" t="inlineStr">
        <is>
          <t>Servicios de apoyo financiero para la ejecución de proyectos de acueductos y de manejo de aguas residuales</t>
        </is>
      </c>
      <c r="H112" t="inlineStr">
        <is>
          <t/>
        </is>
      </c>
      <c r="I112" t="inlineStr">
        <is>
          <t>2024254860022</t>
        </is>
      </c>
      <c r="J112" s="99">
        <v>0</v>
      </c>
      <c r="K112" s="99">
        <v>0</v>
      </c>
      <c r="L112" s="99">
        <v>0</v>
      </c>
      <c r="M112" s="99">
        <v>0</v>
      </c>
      <c r="N112" s="99">
        <v>0</v>
      </c>
      <c r="O112" s="99" t="inlineStr">
        <is>
          <t xml:space="preserve"> </t>
        </is>
      </c>
      <c r="P112" s="99" t="inlineStr">
        <is>
          <t xml:space="preserve"> </t>
        </is>
      </c>
      <c r="Q112" s="99" t="inlineStr">
        <is>
          <t xml:space="preserve"> </t>
        </is>
      </c>
      <c r="R112" s="100" t="inlineStr">
        <is>
          <t xml:space="preserve"> </t>
        </is>
      </c>
      <c r="S112" t="inlineStr">
        <is>
          <t>No se encontró ejecución en CUIPO</t>
        </is>
      </c>
      <c r="T112" s="101" t="inlineStr">
        <is>
          <t xml:space="preserve"> </t>
        </is>
      </c>
      <c r="U112" s="101" t="inlineStr">
        <is>
          <t xml:space="preserve"> </t>
        </is>
      </c>
      <c r="V112" s="101" t="inlineStr">
        <is>
          <t xml:space="preserve"> </t>
        </is>
      </c>
      <c r="W112" s="102" t="inlineStr">
        <is>
          <t xml:space="preserve"> </t>
        </is>
      </c>
      <c r="X112" t="inlineStr">
        <is>
          <t>No se encontró ejecución en CUIPO</t>
        </is>
      </c>
    </row>
    <row r="113">
      <c r="A113" t="inlineStr">
        <is>
          <t>IP-127</t>
        </is>
      </c>
      <c r="B113" t="inlineStr">
        <is>
          <t>40</t>
        </is>
      </c>
      <c r="C113" t="inlineStr">
        <is>
          <t>Vivienda, ciudad y territorio</t>
        </is>
      </c>
      <c r="D113" t="inlineStr">
        <is>
          <t>4003</t>
        </is>
      </c>
      <c r="E113" t="inlineStr">
        <is>
          <t>Acceso de la población a los servicios de agua potable y saneamiento básico</t>
        </is>
      </c>
      <c r="F113" t="inlineStr">
        <is>
          <t>4003044</t>
        </is>
      </c>
      <c r="G113" t="inlineStr">
        <is>
          <t>Unidades sanitarias con saneamiento básico construidas</t>
        </is>
      </c>
      <c r="H113" t="inlineStr">
        <is>
          <t/>
        </is>
      </c>
      <c r="I113" t="inlineStr">
        <is>
          <t>2024254860022</t>
        </is>
      </c>
      <c r="J113" s="99">
        <v>0</v>
      </c>
      <c r="K113" s="99">
        <v>0</v>
      </c>
      <c r="L113" s="99">
        <v>0</v>
      </c>
      <c r="M113" s="99">
        <v>0</v>
      </c>
      <c r="N113" s="99">
        <v>0</v>
      </c>
      <c r="O113" s="99" t="inlineStr">
        <is>
          <t xml:space="preserve"> </t>
        </is>
      </c>
      <c r="P113" s="99" t="inlineStr">
        <is>
          <t xml:space="preserve"> </t>
        </is>
      </c>
      <c r="Q113" s="99" t="inlineStr">
        <is>
          <t xml:space="preserve"> </t>
        </is>
      </c>
      <c r="R113" s="100" t="inlineStr">
        <is>
          <t xml:space="preserve"> </t>
        </is>
      </c>
      <c r="S113" t="inlineStr">
        <is>
          <t>No se encontró ejecución en CUIPO</t>
        </is>
      </c>
      <c r="T113" s="101" t="inlineStr">
        <is>
          <t xml:space="preserve"> </t>
        </is>
      </c>
      <c r="U113" s="101" t="inlineStr">
        <is>
          <t xml:space="preserve"> </t>
        </is>
      </c>
      <c r="V113" s="101" t="inlineStr">
        <is>
          <t xml:space="preserve"> </t>
        </is>
      </c>
      <c r="W113" s="102" t="inlineStr">
        <is>
          <t xml:space="preserve"> </t>
        </is>
      </c>
      <c r="X113" t="inlineStr">
        <is>
          <t>No se encontró ejecución en CUIPO</t>
        </is>
      </c>
    </row>
    <row r="114">
      <c r="A114" t="inlineStr">
        <is>
          <t>IP-128</t>
        </is>
      </c>
      <c r="B114" t="inlineStr">
        <is>
          <t>40</t>
        </is>
      </c>
      <c r="C114" t="inlineStr">
        <is>
          <t>Vivienda, ciudad y territorio</t>
        </is>
      </c>
      <c r="D114" t="inlineStr">
        <is>
          <t>4003</t>
        </is>
      </c>
      <c r="E114" t="inlineStr">
        <is>
          <t>Acceso de la población a los servicios de agua potable y saneamiento básico</t>
        </is>
      </c>
      <c r="F114" t="inlineStr">
        <is>
          <t>4003023</t>
        </is>
      </c>
      <c r="G114" t="inlineStr">
        <is>
          <t>Servicios de seguimiento al Plan de Gestión Integral de Residuos Solidos PGIRS</t>
        </is>
      </c>
      <c r="H114" t="inlineStr">
        <is>
          <t/>
        </is>
      </c>
      <c r="I114" t="inlineStr">
        <is>
          <t>2024254860022</t>
        </is>
      </c>
      <c r="J114" s="99">
        <v>902035638.5798</v>
      </c>
      <c r="K114" s="99">
        <v>171046578</v>
      </c>
      <c r="L114" s="99">
        <v>346288202</v>
      </c>
      <c r="M114" s="99">
        <v>188578852.245</v>
      </c>
      <c r="N114" s="99">
        <v>196122006.3348</v>
      </c>
      <c r="O114" s="99">
        <v>146625586</v>
      </c>
      <c r="P114" s="99">
        <v>146625586</v>
      </c>
      <c r="Q114" s="99">
        <v>146625586</v>
      </c>
      <c r="R114" s="100">
        <v>0.857226070900992</v>
      </c>
      <c r="S114" t="inlineStr">
        <is>
          <t>Lo obligado está por debajo de lo programado en la vigencia</t>
        </is>
      </c>
      <c r="T114" s="101">
        <v>404448811</v>
      </c>
      <c r="U114" s="101">
        <v>367204480</v>
      </c>
      <c r="V114" s="101">
        <v>367204480</v>
      </c>
      <c r="W114" s="102">
        <v>1.06040135898133</v>
      </c>
      <c r="X114" t="inlineStr">
        <is>
          <t>Hubo ejecución por encima de lo programado en SisPT</t>
        </is>
      </c>
    </row>
    <row r="115">
      <c r="A115" t="inlineStr">
        <is>
          <t>IP-129</t>
        </is>
      </c>
      <c r="B115" t="inlineStr">
        <is>
          <t>40</t>
        </is>
      </c>
      <c r="C115" t="inlineStr">
        <is>
          <t>Vivienda, ciudad y territorio</t>
        </is>
      </c>
      <c r="D115" t="inlineStr">
        <is>
          <t>4003</t>
        </is>
      </c>
      <c r="E115" t="inlineStr">
        <is>
          <t>Acceso de la población a los servicios de agua potable y saneamiento básico</t>
        </is>
      </c>
      <c r="F115" t="inlineStr">
        <is>
          <t>4003022</t>
        </is>
      </c>
      <c r="G115" t="inlineStr">
        <is>
          <t>Servicios de implementación del Plan de Gestión Integral de Residuos Solidos PGIRS</t>
        </is>
      </c>
      <c r="H115" t="inlineStr">
        <is>
          <t>Contempla acciones realizadas para implementar el Plan de Gestión Integral de Residuos Solidos </t>
        </is>
      </c>
      <c r="I115" t="inlineStr">
        <is>
          <t>2024254860022</t>
        </is>
      </c>
      <c r="J115" s="99">
        <v>25372727</v>
      </c>
      <c r="K115" s="99">
        <v>0</v>
      </c>
      <c r="L115" s="99">
        <v>25372727</v>
      </c>
      <c r="M115" s="99">
        <v>0</v>
      </c>
      <c r="N115" s="99">
        <v>0</v>
      </c>
      <c r="O115" s="99" t="inlineStr">
        <is>
          <t xml:space="preserve"> </t>
        </is>
      </c>
      <c r="P115" s="99" t="inlineStr">
        <is>
          <t xml:space="preserve"> </t>
        </is>
      </c>
      <c r="Q115" s="99" t="inlineStr">
        <is>
          <t xml:space="preserve"> </t>
        </is>
      </c>
      <c r="R115" s="100" t="inlineStr">
        <is>
          <t xml:space="preserve"> </t>
        </is>
      </c>
      <c r="S115" t="inlineStr">
        <is>
          <t>No se encontró ejecución en CUIPO</t>
        </is>
      </c>
      <c r="T115" s="101" t="inlineStr">
        <is>
          <t xml:space="preserve"> </t>
        </is>
      </c>
      <c r="U115" s="101" t="inlineStr">
        <is>
          <t xml:space="preserve"> </t>
        </is>
      </c>
      <c r="V115" s="101" t="inlineStr">
        <is>
          <t xml:space="preserve"> </t>
        </is>
      </c>
      <c r="W115" s="102" t="inlineStr">
        <is>
          <t xml:space="preserve"> </t>
        </is>
      </c>
      <c r="X115" t="inlineStr">
        <is>
          <t>No se encontró ejecución en CUIPO</t>
        </is>
      </c>
    </row>
    <row r="116">
      <c r="A116" t="inlineStr">
        <is>
          <t>IP-130, IP-131</t>
        </is>
      </c>
      <c r="B116" t="inlineStr">
        <is>
          <t>40</t>
        </is>
      </c>
      <c r="C116" t="inlineStr">
        <is>
          <t>Vivienda, ciudad y territorio</t>
        </is>
      </c>
      <c r="D116" t="inlineStr">
        <is>
          <t>4003</t>
        </is>
      </c>
      <c r="E116" t="inlineStr">
        <is>
          <t>Acceso de la población a los servicios de agua potable y saneamiento básico</t>
        </is>
      </c>
      <c r="F116" t="inlineStr">
        <is>
          <t>4003010</t>
        </is>
      </c>
      <c r="G116" t="inlineStr">
        <is>
          <t>Servicio de Aseo</t>
        </is>
      </c>
      <c r="H116" t="inlineStr">
        <is>
          <t>Es el servicio de recolección municipal de residuos, principalmente sólidos. También se aplicará este servicio a las actividades complementarias de transporte, tratamiento, aprovechamiento y disposición final de tales residuos.</t>
        </is>
      </c>
      <c r="I116" t="inlineStr">
        <is>
          <t>2024254860022</t>
        </is>
      </c>
      <c r="J116" s="99">
        <v>172576497.2134</v>
      </c>
      <c r="K116" s="99">
        <v>47325874</v>
      </c>
      <c r="L116" s="99">
        <v>18810000</v>
      </c>
      <c r="M116" s="99">
        <v>52176776.085</v>
      </c>
      <c r="N116" s="99">
        <v>54263847.1284</v>
      </c>
      <c r="O116" s="99">
        <v>30055398</v>
      </c>
      <c r="P116" s="99">
        <v>22065653</v>
      </c>
      <c r="Q116" s="99">
        <v>22065653</v>
      </c>
      <c r="R116" s="100">
        <v>0.46624924454644</v>
      </c>
      <c r="S116" t="inlineStr">
        <is>
          <t>Lo obligado está por debajo de lo programado en la vigencia</t>
        </is>
      </c>
      <c r="T116" s="101">
        <v>29600834</v>
      </c>
      <c r="U116" s="101">
        <v>15884000</v>
      </c>
      <c r="V116" s="101">
        <v>23873735</v>
      </c>
      <c r="W116" s="102">
        <v>0.844444444444444</v>
      </c>
      <c r="X116" t="inlineStr">
        <is>
          <t>Lo obligado está por debajo de lo programado en la vigencia</t>
        </is>
      </c>
    </row>
    <row r="117">
      <c r="A117" t="inlineStr">
        <is>
          <t>IP-133, IP-138</t>
        </is>
      </c>
      <c r="B117" t="inlineStr">
        <is>
          <t>40</t>
        </is>
      </c>
      <c r="C117" t="inlineStr">
        <is>
          <t>Vivienda, ciudad y territorio</t>
        </is>
      </c>
      <c r="D117" t="inlineStr">
        <is>
          <t>4002</t>
        </is>
      </c>
      <c r="E117" t="inlineStr">
        <is>
          <t>Ordenamiento territorial y desarrollo urbano</t>
        </is>
      </c>
      <c r="F117" t="inlineStr">
        <is>
          <t>4002016</t>
        </is>
      </c>
      <c r="G117" t="inlineStr">
        <is>
          <t>Documentos de planeación</t>
        </is>
      </c>
      <c r="H117" t="inlineStr">
        <is>
          <t>Documentos cuyo objetivo es plasmar una visión de futuro a nivel país, entidad territorial, comunidad, sector, región, entidad o cualquier nivel de desagregación que se requiera. Incluye objetivos, estrategias, metas e indicadores</t>
        </is>
      </c>
      <c r="I117" t="inlineStr">
        <is>
          <t>2024254860023</t>
        </is>
      </c>
      <c r="J117" s="99">
        <v>0</v>
      </c>
      <c r="K117" s="99">
        <v>0</v>
      </c>
      <c r="L117" s="99">
        <v>0</v>
      </c>
      <c r="M117" s="99">
        <v>0</v>
      </c>
      <c r="N117" s="99">
        <v>0</v>
      </c>
      <c r="O117" s="99" t="inlineStr">
        <is>
          <t xml:space="preserve"> </t>
        </is>
      </c>
      <c r="P117" s="99" t="inlineStr">
        <is>
          <t xml:space="preserve"> </t>
        </is>
      </c>
      <c r="Q117" s="99" t="inlineStr">
        <is>
          <t xml:space="preserve"> </t>
        </is>
      </c>
      <c r="R117" s="100" t="inlineStr">
        <is>
          <t xml:space="preserve"> </t>
        </is>
      </c>
      <c r="S117" t="inlineStr">
        <is>
          <t>No se encontró ejecución en CUIPO</t>
        </is>
      </c>
      <c r="T117" s="101" t="inlineStr">
        <is>
          <t xml:space="preserve"> </t>
        </is>
      </c>
      <c r="U117" s="101" t="inlineStr">
        <is>
          <t xml:space="preserve"> </t>
        </is>
      </c>
      <c r="V117" s="101" t="inlineStr">
        <is>
          <t xml:space="preserve"> </t>
        </is>
      </c>
      <c r="W117" s="102" t="inlineStr">
        <is>
          <t xml:space="preserve"> </t>
        </is>
      </c>
      <c r="X117" t="inlineStr">
        <is>
          <t>No se encontró ejecución en CUIPO</t>
        </is>
      </c>
    </row>
    <row r="118">
      <c r="A118" t="inlineStr">
        <is>
          <t>IP-134</t>
        </is>
      </c>
      <c r="B118" t="inlineStr">
        <is>
          <t>40</t>
        </is>
      </c>
      <c r="C118" t="inlineStr">
        <is>
          <t>Vivienda, ciudad y territorio</t>
        </is>
      </c>
      <c r="D118" t="inlineStr">
        <is>
          <t>4002</t>
        </is>
      </c>
      <c r="E118" t="inlineStr">
        <is>
          <t>Ordenamiento territorial y desarrollo urbano</t>
        </is>
      </c>
      <c r="F118" t="inlineStr">
        <is>
          <t>4002020</t>
        </is>
      </c>
      <c r="G118" t="inlineStr">
        <is>
          <t>Espacio publico adecuado</t>
        </is>
      </c>
      <c r="H118" t="inlineStr">
        <is>
          <t>Mejoramiento, ampliación y/o mantenimiento de los elementos constitutivos y complementarios del espacio público contenidos en el Decreto 1504 de 1998</t>
        </is>
      </c>
      <c r="I118" t="inlineStr">
        <is>
          <t>2024254860023</t>
        </is>
      </c>
      <c r="J118" s="99">
        <v>136613128</v>
      </c>
      <c r="K118" s="99">
        <v>38600000</v>
      </c>
      <c r="L118" s="99">
        <v>11197868</v>
      </c>
      <c r="M118" s="99">
        <v>42556500</v>
      </c>
      <c r="N118" s="99">
        <v>44258760</v>
      </c>
      <c r="O118" s="99">
        <v>27900000</v>
      </c>
      <c r="P118" s="99">
        <v>27900000</v>
      </c>
      <c r="Q118" s="99">
        <v>27900000</v>
      </c>
      <c r="R118" s="100">
        <v>0.72279792746114</v>
      </c>
      <c r="S118" t="inlineStr">
        <is>
          <t>Lo obligado está por debajo de lo programado en la vigencia</t>
        </is>
      </c>
      <c r="T118" s="101">
        <v>10863868</v>
      </c>
      <c r="U118" s="101">
        <v>10863868</v>
      </c>
      <c r="V118" s="101">
        <v>10863868</v>
      </c>
      <c r="W118" s="102">
        <v>0.970172893625822</v>
      </c>
      <c r="X118" t="inlineStr">
        <is>
          <t>Lo obligado está por debajo de lo programado en la vigencia</t>
        </is>
      </c>
    </row>
    <row r="119">
      <c r="A119" t="inlineStr">
        <is>
          <t>IP-135</t>
        </is>
      </c>
      <c r="B119" t="inlineStr">
        <is>
          <t>40</t>
        </is>
      </c>
      <c r="C119" t="inlineStr">
        <is>
          <t>Vivienda, ciudad y territorio</t>
        </is>
      </c>
      <c r="D119" t="inlineStr">
        <is>
          <t>4002</t>
        </is>
      </c>
      <c r="E119" t="inlineStr">
        <is>
          <t>Ordenamiento territorial y desarrollo urbano</t>
        </is>
      </c>
      <c r="F119" t="inlineStr">
        <is>
          <t>4002013</t>
        </is>
      </c>
      <c r="G119" t="inlineStr">
        <is>
          <t>Servicio de apoyo financiero para el Mejoramiento integral de barrios</t>
        </is>
      </c>
      <c r="H119" t="inlineStr">
        <is>
          <t>Financiación o cofinanciación para el mejoramiento integral de barrios</t>
        </is>
      </c>
      <c r="I119" t="inlineStr">
        <is>
          <t>2024254860023</t>
        </is>
      </c>
      <c r="J119" s="99">
        <v>11471600</v>
      </c>
      <c r="K119" s="99">
        <v>0</v>
      </c>
      <c r="L119" s="99">
        <v>11471600</v>
      </c>
      <c r="M119" s="99">
        <v>0</v>
      </c>
      <c r="N119" s="99">
        <v>0</v>
      </c>
      <c r="O119" s="99" t="inlineStr">
        <is>
          <t xml:space="preserve"> </t>
        </is>
      </c>
      <c r="P119" s="99" t="inlineStr">
        <is>
          <t xml:space="preserve"> </t>
        </is>
      </c>
      <c r="Q119" s="99" t="inlineStr">
        <is>
          <t xml:space="preserve"> </t>
        </is>
      </c>
      <c r="R119" s="100" t="inlineStr">
        <is>
          <t xml:space="preserve"> </t>
        </is>
      </c>
      <c r="S119" t="inlineStr">
        <is>
          <t>No se encontró ejecución en CUIPO</t>
        </is>
      </c>
      <c r="T119" s="101">
        <v>7333872</v>
      </c>
      <c r="U119" s="101">
        <v>0</v>
      </c>
      <c r="V119" s="101">
        <v>0</v>
      </c>
      <c r="W119" s="102">
        <v>0</v>
      </c>
      <c r="X119" t="inlineStr">
        <is>
          <t>No se ejecutó en la vigencia</t>
        </is>
      </c>
    </row>
    <row r="120">
      <c r="A120" t="inlineStr">
        <is>
          <t>IP-136</t>
        </is>
      </c>
      <c r="B120" t="inlineStr">
        <is>
          <t>40</t>
        </is>
      </c>
      <c r="C120" t="inlineStr">
        <is>
          <t>Vivienda, ciudad y territorio</t>
        </is>
      </c>
      <c r="D120" t="inlineStr">
        <is>
          <t>4002</t>
        </is>
      </c>
      <c r="E120" t="inlineStr">
        <is>
          <t>Ordenamiento territorial y desarrollo urbano</t>
        </is>
      </c>
      <c r="F120" t="inlineStr">
        <is>
          <t>4002025</t>
        </is>
      </c>
      <c r="G120" t="inlineStr">
        <is>
          <t>Zonas verdes adecuadas</t>
        </is>
      </c>
      <c r="H120" t="inlineStr">
        <is>
          <t/>
        </is>
      </c>
      <c r="I120" t="inlineStr">
        <is>
          <t>2024254860023</t>
        </is>
      </c>
      <c r="J120" s="99">
        <v>46752260</v>
      </c>
      <c r="K120" s="99">
        <v>8600000</v>
      </c>
      <c r="L120" s="99">
        <v>18810000</v>
      </c>
      <c r="M120" s="99">
        <v>9481500</v>
      </c>
      <c r="N120" s="99">
        <v>9860760</v>
      </c>
      <c r="O120" s="99" t="inlineStr">
        <is>
          <t xml:space="preserve"> </t>
        </is>
      </c>
      <c r="P120" s="99" t="inlineStr">
        <is>
          <t xml:space="preserve"> </t>
        </is>
      </c>
      <c r="Q120" s="99" t="inlineStr">
        <is>
          <t xml:space="preserve"> </t>
        </is>
      </c>
      <c r="R120" s="100" t="inlineStr">
        <is>
          <t xml:space="preserve"> </t>
        </is>
      </c>
      <c r="S120" t="inlineStr">
        <is>
          <t>No se encontró ejecución en CUIPO</t>
        </is>
      </c>
      <c r="T120" s="101">
        <v>13094698</v>
      </c>
      <c r="U120" s="101">
        <v>13094698</v>
      </c>
      <c r="V120" s="101">
        <v>13094698</v>
      </c>
      <c r="W120" s="102">
        <v>0.696156193514088</v>
      </c>
      <c r="X120" t="inlineStr">
        <is>
          <t>Lo obligado está por debajo de lo programado en la vigencia</t>
        </is>
      </c>
    </row>
    <row r="121">
      <c r="A121" t="inlineStr">
        <is>
          <t>IP-137</t>
        </is>
      </c>
      <c r="B121" t="inlineStr">
        <is>
          <t>40</t>
        </is>
      </c>
      <c r="C121" t="inlineStr">
        <is>
          <t>Vivienda, ciudad y territorio</t>
        </is>
      </c>
      <c r="D121" t="inlineStr">
        <is>
          <t>4002</t>
        </is>
      </c>
      <c r="E121" t="inlineStr">
        <is>
          <t>Ordenamiento territorial y desarrollo urbano</t>
        </is>
      </c>
      <c r="F121" t="inlineStr">
        <is>
          <t>4002026</t>
        </is>
      </c>
      <c r="G121" t="inlineStr">
        <is>
          <t>Zonas verdes mantenidas</t>
        </is>
      </c>
      <c r="H121" t="inlineStr">
        <is>
          <t/>
        </is>
      </c>
      <c r="I121" t="inlineStr">
        <is>
          <t>2024254860023</t>
        </is>
      </c>
      <c r="J121" s="99">
        <v>0.195</v>
      </c>
      <c r="K121" s="99">
        <v>0.06</v>
      </c>
      <c r="L121" s="99">
        <v>0</v>
      </c>
      <c r="M121" s="99">
        <v>0.0662</v>
      </c>
      <c r="N121" s="99">
        <v>0.0688</v>
      </c>
      <c r="O121" s="99" t="inlineStr">
        <is>
          <t xml:space="preserve"> </t>
        </is>
      </c>
      <c r="P121" s="99" t="inlineStr">
        <is>
          <t xml:space="preserve"> </t>
        </is>
      </c>
      <c r="Q121" s="99" t="inlineStr">
        <is>
          <t xml:space="preserve"> </t>
        </is>
      </c>
      <c r="R121" s="100" t="inlineStr">
        <is>
          <t xml:space="preserve"> </t>
        </is>
      </c>
      <c r="S121" t="inlineStr">
        <is>
          <t>No se encontró ejecución en CUIPO</t>
        </is>
      </c>
      <c r="T121" s="101" t="inlineStr">
        <is>
          <t xml:space="preserve"> </t>
        </is>
      </c>
      <c r="U121" s="101" t="inlineStr">
        <is>
          <t xml:space="preserve"> </t>
        </is>
      </c>
      <c r="V121" s="101" t="inlineStr">
        <is>
          <t xml:space="preserve"> </t>
        </is>
      </c>
      <c r="W121" s="102" t="inlineStr">
        <is>
          <t xml:space="preserve"> </t>
        </is>
      </c>
      <c r="X121" t="inlineStr">
        <is>
          <t>No se encontró ejecución en CUIPO</t>
        </is>
      </c>
    </row>
    <row r="122">
      <c r="A122" t="inlineStr">
        <is>
          <t>IP-139, IP-140, IP-141, IP-146, IP-147</t>
        </is>
      </c>
      <c r="B122" t="inlineStr">
        <is>
          <t>43</t>
        </is>
      </c>
      <c r="C122" t="inlineStr">
        <is>
          <t>Deporte y Recreación</t>
        </is>
      </c>
      <c r="D122" t="inlineStr">
        <is>
          <t>4301</t>
        </is>
      </c>
      <c r="E122" t="inlineStr">
        <is>
          <t>Fomento a la recreación, la actividad física y el deporte para desarrollar entornos de convivencia y paz</t>
        </is>
      </c>
      <c r="F122" t="inlineStr">
        <is>
          <t>4301037</t>
        </is>
      </c>
      <c r="G122" t="inlineStr">
        <is>
          <t>Servicio de promoción de la actividad física, la recreación y el deporte</t>
        </is>
      </c>
      <c r="H122" t="inlineStr">
        <is>
          <t>Aprovechamiento del deporte, la recreación y la actividad física con fines de esparcimiento y desarrollo físico procurando la integración el descanso mediante la realización de actividades deportivas y la promoción de espacios con  la participación comunitaria. Incluye el programa Supérate con la promoción del deporte en niños adolescentes y jóvenes de  los 7 a los 28 años en el territorio nacional a través de competencias deportivas.</t>
        </is>
      </c>
      <c r="I122" t="inlineStr">
        <is>
          <t>2024254860024</t>
        </is>
      </c>
      <c r="J122" s="99">
        <v>515510551.3972</v>
      </c>
      <c r="K122" s="99">
        <v>77612892</v>
      </c>
      <c r="L122" s="99">
        <v>263338504</v>
      </c>
      <c r="M122" s="99">
        <v>85568213.43</v>
      </c>
      <c r="N122" s="99">
        <v>88990941.9672</v>
      </c>
      <c r="O122" s="99">
        <v>74874042</v>
      </c>
      <c r="P122" s="99">
        <v>74874042</v>
      </c>
      <c r="Q122" s="99">
        <v>74874042</v>
      </c>
      <c r="R122" s="100">
        <v>0.96471140387347</v>
      </c>
      <c r="S122" t="inlineStr">
        <is>
          <t>Lo obligado está por debajo de lo programado en la vigencia</t>
        </is>
      </c>
      <c r="T122" s="101">
        <v>182156303</v>
      </c>
      <c r="U122" s="101">
        <v>147688178</v>
      </c>
      <c r="V122" s="101">
        <v>147688178</v>
      </c>
      <c r="W122" s="102">
        <v>0.560830170129621</v>
      </c>
      <c r="X122" t="inlineStr">
        <is>
          <t>Lo obligado está por debajo de lo programado en la vigencia</t>
        </is>
      </c>
    </row>
    <row r="123">
      <c r="A123" t="inlineStr">
        <is>
          <t>IP-142</t>
        </is>
      </c>
      <c r="B123" t="inlineStr">
        <is>
          <t>43</t>
        </is>
      </c>
      <c r="C123" t="inlineStr">
        <is>
          <t>Deporte y Recreación</t>
        </is>
      </c>
      <c r="D123" t="inlineStr">
        <is>
          <t>4301</t>
        </is>
      </c>
      <c r="E123" t="inlineStr">
        <is>
          <t>Fomento a la recreación, la actividad física y el deporte para desarrollar entornos de convivencia y paz</t>
        </is>
      </c>
      <c r="F123" t="inlineStr">
        <is>
          <t>4301007</t>
        </is>
      </c>
      <c r="G123" t="inlineStr">
        <is>
          <t>Servicio de Escuelas Deportivas</t>
        </is>
      </c>
      <c r="H123" t="inlineStr">
        <is>
          <t>Corresponde a los procesos de iniciación, fundamentación y perfeccionamiento deportivos a partir de  las clases donde se practica la actividad física, la recreación y/o el deporte.</t>
        </is>
      </c>
      <c r="I123" t="inlineStr">
        <is>
          <t>2024254860024</t>
        </is>
      </c>
      <c r="J123" s="99">
        <v>185429053</v>
      </c>
      <c r="K123" s="99">
        <v>29000000</v>
      </c>
      <c r="L123" s="99">
        <v>91205153</v>
      </c>
      <c r="M123" s="99">
        <v>31972500</v>
      </c>
      <c r="N123" s="99">
        <v>33251400</v>
      </c>
      <c r="O123" s="99">
        <v>29000000</v>
      </c>
      <c r="P123" s="99">
        <v>29000000</v>
      </c>
      <c r="Q123" s="99">
        <v>29000000</v>
      </c>
      <c r="R123" s="100">
        <v>1</v>
      </c>
      <c r="S123" t="inlineStr">
        <is>
          <t>Se ejecutó el 100% de lo programado en la vigencia</t>
        </is>
      </c>
      <c r="T123" s="101">
        <v>87230820</v>
      </c>
      <c r="U123" s="101">
        <v>78991960</v>
      </c>
      <c r="V123" s="101">
        <v>78991960</v>
      </c>
      <c r="W123" s="102">
        <v>0.866090976241222</v>
      </c>
      <c r="X123" t="inlineStr">
        <is>
          <t>Lo obligado está por debajo de lo programado en la vigencia</t>
        </is>
      </c>
    </row>
    <row r="124">
      <c r="A124" t="inlineStr">
        <is>
          <t>IP-143</t>
        </is>
      </c>
      <c r="B124" t="inlineStr">
        <is>
          <t>43</t>
        </is>
      </c>
      <c r="C124" t="inlineStr">
        <is>
          <t>Deporte y Recreación</t>
        </is>
      </c>
      <c r="D124" t="inlineStr">
        <is>
          <t>4301</t>
        </is>
      </c>
      <c r="E124" t="inlineStr">
        <is>
          <t>Fomento a la recreación, la actividad física y el deporte para desarrollar entornos de convivencia y paz</t>
        </is>
      </c>
      <c r="F124" t="inlineStr">
        <is>
          <t>4301010</t>
        </is>
      </c>
      <c r="G124" t="inlineStr">
        <is>
          <t>Parques recreativos construidos y dotados</t>
        </is>
      </c>
      <c r="H124" t="inlineStr">
        <is>
          <t>Construcción y dotación de infraestructura parques recreativos para garantizar  la práctica de la actividad física, la recreación y el deporte.</t>
        </is>
      </c>
      <c r="I124" t="inlineStr">
        <is>
          <t>2024254860024</t>
        </is>
      </c>
      <c r="J124" s="99">
        <v>0</v>
      </c>
      <c r="K124" s="99">
        <v>0</v>
      </c>
      <c r="L124" s="99">
        <v>0</v>
      </c>
      <c r="M124" s="99">
        <v>0</v>
      </c>
      <c r="N124" s="99">
        <v>0</v>
      </c>
      <c r="O124" s="99" t="inlineStr">
        <is>
          <t xml:space="preserve"> </t>
        </is>
      </c>
      <c r="P124" s="99" t="inlineStr">
        <is>
          <t xml:space="preserve"> </t>
        </is>
      </c>
      <c r="Q124" s="99" t="inlineStr">
        <is>
          <t xml:space="preserve"> </t>
        </is>
      </c>
      <c r="R124" s="100" t="inlineStr">
        <is>
          <t xml:space="preserve"> </t>
        </is>
      </c>
      <c r="S124" t="inlineStr">
        <is>
          <t>No se encontró ejecución en CUIPO</t>
        </is>
      </c>
      <c r="T124" s="101" t="inlineStr">
        <is>
          <t xml:space="preserve"> </t>
        </is>
      </c>
      <c r="U124" s="101" t="inlineStr">
        <is>
          <t xml:space="preserve"> </t>
        </is>
      </c>
      <c r="V124" s="101" t="inlineStr">
        <is>
          <t xml:space="preserve"> </t>
        </is>
      </c>
      <c r="W124" s="102" t="inlineStr">
        <is>
          <t xml:space="preserve"> </t>
        </is>
      </c>
      <c r="X124" t="inlineStr">
        <is>
          <t>No se encontró ejecución en CUIPO</t>
        </is>
      </c>
    </row>
    <row r="125">
      <c r="A125" t="inlineStr">
        <is>
          <t>IP-144, IP-149, IP-156</t>
        </is>
      </c>
      <c r="B125" t="inlineStr">
        <is>
          <t>43</t>
        </is>
      </c>
      <c r="C125" t="inlineStr">
        <is>
          <t>Deporte y Recreación</t>
        </is>
      </c>
      <c r="D125" t="inlineStr">
        <is>
          <t>4301</t>
        </is>
      </c>
      <c r="E125" t="inlineStr">
        <is>
          <t>Fomento a la recreación, la actividad física y el deporte para desarrollar entornos de convivencia y paz</t>
        </is>
      </c>
      <c r="F125" t="inlineStr">
        <is>
          <t>4301001</t>
        </is>
      </c>
      <c r="G125" t="inlineStr">
        <is>
          <t>Servicio de apoyo a la actividad física, la recreación y el deporte</t>
        </is>
      </c>
      <c r="H125" t="inlineStr">
        <is>
          <t>Dentro del marco de los planes, programas y proyectos de la entidad se entregan diferentes incentivos a los integrantes del sistema nacional deportes y a los participantes o deportistas éstos pueden ser artículos deportivos, artículos tecnológicos, ademas de apoyar financieramente la realización e implementación de los mismos.</t>
        </is>
      </c>
      <c r="I125" t="inlineStr">
        <is>
          <t>2024254860024</t>
        </is>
      </c>
      <c r="J125" s="99">
        <v>161227500</v>
      </c>
      <c r="K125" s="99">
        <v>25000000</v>
      </c>
      <c r="L125" s="99">
        <v>80000000</v>
      </c>
      <c r="M125" s="99">
        <v>27562500</v>
      </c>
      <c r="N125" s="99">
        <v>28665000</v>
      </c>
      <c r="O125" s="99">
        <v>25000000</v>
      </c>
      <c r="P125" s="99">
        <v>25000000</v>
      </c>
      <c r="Q125" s="99">
        <v>25000000</v>
      </c>
      <c r="R125" s="100">
        <v>1</v>
      </c>
      <c r="S125" t="inlineStr">
        <is>
          <t>Se ejecutó el 100% de lo programado en la vigencia</t>
        </is>
      </c>
      <c r="T125" s="101">
        <v>55000000</v>
      </c>
      <c r="U125" s="101">
        <v>55000000</v>
      </c>
      <c r="V125" s="101">
        <v>55000000</v>
      </c>
      <c r="W125" s="102">
        <v>0.6875</v>
      </c>
      <c r="X125" t="inlineStr">
        <is>
          <t>Lo obligado está por debajo de lo programado en la vigencia</t>
        </is>
      </c>
    </row>
    <row r="126">
      <c r="A126" t="inlineStr">
        <is>
          <t>IP-145</t>
        </is>
      </c>
      <c r="B126" t="inlineStr">
        <is>
          <t>43</t>
        </is>
      </c>
      <c r="C126" t="inlineStr">
        <is>
          <t>Deporte y Recreación</t>
        </is>
      </c>
      <c r="D126" t="inlineStr">
        <is>
          <t>4301</t>
        </is>
      </c>
      <c r="E126" t="inlineStr">
        <is>
          <t>Fomento a la recreación, la actividad física y el deporte para desarrollar entornos de convivencia y paz</t>
        </is>
      </c>
      <c r="F126" t="inlineStr">
        <is>
          <t>4301006</t>
        </is>
      </c>
      <c r="G126" t="inlineStr">
        <is>
          <t>Documentos normativos</t>
        </is>
      </c>
      <c r="H126" t="inlineStr">
        <is>
          <t>Corresponde a la formulación o reformulación de políticas públicas o normatividad concerniente a la práctica de la actividad física, de la recreación y el deporte.</t>
        </is>
      </c>
      <c r="I126" t="inlineStr">
        <is>
          <t>2024254860024</t>
        </is>
      </c>
      <c r="J126" s="99">
        <v>15000000</v>
      </c>
      <c r="K126" s="99">
        <v>0</v>
      </c>
      <c r="L126" s="99">
        <v>15000000</v>
      </c>
      <c r="M126" s="99">
        <v>0</v>
      </c>
      <c r="N126" s="99">
        <v>0</v>
      </c>
      <c r="O126" s="99" t="inlineStr">
        <is>
          <t xml:space="preserve"> </t>
        </is>
      </c>
      <c r="P126" s="99" t="inlineStr">
        <is>
          <t xml:space="preserve"> </t>
        </is>
      </c>
      <c r="Q126" s="99" t="inlineStr">
        <is>
          <t xml:space="preserve"> </t>
        </is>
      </c>
      <c r="R126" s="100" t="inlineStr">
        <is>
          <t xml:space="preserve"> </t>
        </is>
      </c>
      <c r="S126" t="inlineStr">
        <is>
          <t>No se encontró ejecución en CUIPO</t>
        </is>
      </c>
      <c r="T126" s="101">
        <v>15000000</v>
      </c>
      <c r="U126" s="101">
        <v>15000000</v>
      </c>
      <c r="V126" s="101">
        <v>15000000</v>
      </c>
      <c r="W126" s="102">
        <v>1</v>
      </c>
      <c r="X126" t="inlineStr">
        <is>
          <t>Se ejecutó el 100% de lo programado en la vigencia</t>
        </is>
      </c>
    </row>
    <row r="127">
      <c r="A127" t="inlineStr">
        <is>
          <t>IP-148</t>
        </is>
      </c>
      <c r="B127" t="inlineStr">
        <is>
          <t>43</t>
        </is>
      </c>
      <c r="C127" t="inlineStr">
        <is>
          <t>Deporte y Recreación</t>
        </is>
      </c>
      <c r="D127" t="inlineStr">
        <is>
          <t>4301</t>
        </is>
      </c>
      <c r="E127" t="inlineStr">
        <is>
          <t>Fomento a la recreación, la actividad física y el deporte para desarrollar entornos de convivencia y paz</t>
        </is>
      </c>
      <c r="F127" t="inlineStr">
        <is>
          <t>4301032</t>
        </is>
      </c>
      <c r="G127" t="inlineStr">
        <is>
          <t>Servicio de organización de eventos deportivos comunitarios</t>
        </is>
      </c>
      <c r="H127" t="inlineStr">
        <is>
          <t>Corresponde a la planeación, organización y realización de eventos deportivos en las diferentes disciplinas con la comunidad.</t>
        </is>
      </c>
      <c r="I127" t="inlineStr">
        <is>
          <t>2024254860024</t>
        </is>
      </c>
      <c r="J127" s="99">
        <v>30000000</v>
      </c>
      <c r="K127" s="99">
        <v>0</v>
      </c>
      <c r="L127" s="99">
        <v>30000000</v>
      </c>
      <c r="M127" s="99">
        <v>0</v>
      </c>
      <c r="N127" s="99">
        <v>0</v>
      </c>
      <c r="O127" s="99" t="inlineStr">
        <is>
          <t xml:space="preserve"> </t>
        </is>
      </c>
      <c r="P127" s="99" t="inlineStr">
        <is>
          <t xml:space="preserve"> </t>
        </is>
      </c>
      <c r="Q127" s="99" t="inlineStr">
        <is>
          <t xml:space="preserve"> </t>
        </is>
      </c>
      <c r="R127" s="100" t="inlineStr">
        <is>
          <t xml:space="preserve"> </t>
        </is>
      </c>
      <c r="S127" t="inlineStr">
        <is>
          <t>No se encontró ejecución en CUIPO</t>
        </is>
      </c>
      <c r="T127" s="101" t="inlineStr">
        <is>
          <t xml:space="preserve"> </t>
        </is>
      </c>
      <c r="U127" s="101" t="inlineStr">
        <is>
          <t xml:space="preserve"> </t>
        </is>
      </c>
      <c r="V127" s="101" t="inlineStr">
        <is>
          <t xml:space="preserve"> </t>
        </is>
      </c>
      <c r="W127" s="102" t="inlineStr">
        <is>
          <t xml:space="preserve"> </t>
        </is>
      </c>
      <c r="X127" t="inlineStr">
        <is>
          <t>No se encontró ejecución en CUIPO</t>
        </is>
      </c>
    </row>
    <row r="128">
      <c r="A128" t="inlineStr">
        <is>
          <t>IP-150</t>
        </is>
      </c>
      <c r="B128" t="inlineStr">
        <is>
          <t>43</t>
        </is>
      </c>
      <c r="C128" t="inlineStr">
        <is>
          <t>Deporte y Recreación</t>
        </is>
      </c>
      <c r="D128" t="inlineStr">
        <is>
          <t>4301</t>
        </is>
      </c>
      <c r="E128" t="inlineStr">
        <is>
          <t>Fomento a la recreación, la actividad física y el deporte para desarrollar entornos de convivencia y paz</t>
        </is>
      </c>
      <c r="F128" t="inlineStr">
        <is>
          <t>4301031</t>
        </is>
      </c>
      <c r="G128" t="inlineStr">
        <is>
          <t>Estudios y diseños de infraestructura recreo-deportiva</t>
        </is>
      </c>
      <c r="H128" t="inlineStr">
        <is>
          <t>Corresponde a todos los productos relacionados a la etapa de preinversión en infraestructura recreo-deportiva, como son estudios de factibilidad, diseños arquitectónicos, planos, estudio de suelos y otros estudios y/o instrumentos similares.</t>
        </is>
      </c>
      <c r="I128" t="inlineStr">
        <is>
          <t>2024254860024</t>
        </is>
      </c>
      <c r="J128" s="99">
        <v>0</v>
      </c>
      <c r="K128" s="99">
        <v>0</v>
      </c>
      <c r="L128" s="99">
        <v>0</v>
      </c>
      <c r="M128" s="99">
        <v>0</v>
      </c>
      <c r="N128" s="99">
        <v>0</v>
      </c>
      <c r="O128" s="99" t="inlineStr">
        <is>
          <t xml:space="preserve"> </t>
        </is>
      </c>
      <c r="P128" s="99" t="inlineStr">
        <is>
          <t xml:space="preserve"> </t>
        </is>
      </c>
      <c r="Q128" s="99" t="inlineStr">
        <is>
          <t xml:space="preserve"> </t>
        </is>
      </c>
      <c r="R128" s="100" t="inlineStr">
        <is>
          <t xml:space="preserve"> </t>
        </is>
      </c>
      <c r="S128" t="inlineStr">
        <is>
          <t>No se encontró ejecución en CUIPO</t>
        </is>
      </c>
      <c r="T128" s="101" t="inlineStr">
        <is>
          <t xml:space="preserve"> </t>
        </is>
      </c>
      <c r="U128" s="101" t="inlineStr">
        <is>
          <t xml:space="preserve"> </t>
        </is>
      </c>
      <c r="V128" s="101" t="inlineStr">
        <is>
          <t xml:space="preserve"> </t>
        </is>
      </c>
      <c r="W128" s="102" t="inlineStr">
        <is>
          <t xml:space="preserve"> </t>
        </is>
      </c>
      <c r="X128" t="inlineStr">
        <is>
          <t>No se encontró ejecución en CUIPO</t>
        </is>
      </c>
    </row>
    <row r="129">
      <c r="A129" t="inlineStr">
        <is>
          <t>IP-151</t>
        </is>
      </c>
      <c r="B129" t="inlineStr">
        <is>
          <t>43</t>
        </is>
      </c>
      <c r="C129" t="inlineStr">
        <is>
          <t>Deporte y Recreación</t>
        </is>
      </c>
      <c r="D129" t="inlineStr">
        <is>
          <t>4302</t>
        </is>
      </c>
      <c r="E129" t="inlineStr">
        <is>
          <t>Formación y preparación de deportistas</t>
        </is>
      </c>
      <c r="F129" t="inlineStr">
        <is>
          <t>4302083</t>
        </is>
      </c>
      <c r="G129" t="inlineStr">
        <is>
          <t>Complejo deportivo de alto rendimiento construido y dotado</t>
        </is>
      </c>
      <c r="H129" t="inlineStr">
        <is>
          <t>Infraestructura construida y dotada con los instrumentos necesarios para la óptima realización del deporte.</t>
        </is>
      </c>
      <c r="I129" t="inlineStr">
        <is>
          <t>2024254860025</t>
        </is>
      </c>
      <c r="J129" s="99">
        <v>0</v>
      </c>
      <c r="K129" s="99">
        <v>0</v>
      </c>
      <c r="L129" s="99">
        <v>0</v>
      </c>
      <c r="M129" s="99">
        <v>0</v>
      </c>
      <c r="N129" s="99">
        <v>0</v>
      </c>
      <c r="O129" s="99" t="inlineStr">
        <is>
          <t xml:space="preserve"> </t>
        </is>
      </c>
      <c r="P129" s="99" t="inlineStr">
        <is>
          <t xml:space="preserve"> </t>
        </is>
      </c>
      <c r="Q129" s="99" t="inlineStr">
        <is>
          <t xml:space="preserve"> </t>
        </is>
      </c>
      <c r="R129" s="100" t="inlineStr">
        <is>
          <t xml:space="preserve"> </t>
        </is>
      </c>
      <c r="S129" t="inlineStr">
        <is>
          <t>No se encontró ejecución en CUIPO</t>
        </is>
      </c>
      <c r="T129" s="101" t="inlineStr">
        <is>
          <t xml:space="preserve"> </t>
        </is>
      </c>
      <c r="U129" s="101" t="inlineStr">
        <is>
          <t xml:space="preserve"> </t>
        </is>
      </c>
      <c r="V129" s="101" t="inlineStr">
        <is>
          <t xml:space="preserve"> </t>
        </is>
      </c>
      <c r="W129" s="102" t="inlineStr">
        <is>
          <t xml:space="preserve"> </t>
        </is>
      </c>
      <c r="X129" t="inlineStr">
        <is>
          <t>No se encontró ejecución en CUIPO</t>
        </is>
      </c>
    </row>
    <row r="130">
      <c r="A130" t="inlineStr">
        <is>
          <t>IP-152</t>
        </is>
      </c>
      <c r="B130" t="inlineStr">
        <is>
          <t>43</t>
        </is>
      </c>
      <c r="C130" t="inlineStr">
        <is>
          <t>Deporte y Recreación</t>
        </is>
      </c>
      <c r="D130" t="inlineStr">
        <is>
          <t>4302</t>
        </is>
      </c>
      <c r="E130" t="inlineStr">
        <is>
          <t>Formación y preparación de deportistas</t>
        </is>
      </c>
      <c r="F130" t="inlineStr">
        <is>
          <t>4302066</t>
        </is>
      </c>
      <c r="G130" t="inlineStr">
        <is>
          <t>Polideportivos construidos y dotados</t>
        </is>
      </c>
      <c r="H130" t="inlineStr">
        <is>
          <t>Infraestructura construida y dotada con los instrumentos necesarios para la óptima realización del deporte.</t>
        </is>
      </c>
      <c r="I130" t="inlineStr">
        <is>
          <t>2024254860025</t>
        </is>
      </c>
      <c r="J130" s="99">
        <v>0</v>
      </c>
      <c r="K130" s="99">
        <v>0</v>
      </c>
      <c r="L130" s="99">
        <v>0</v>
      </c>
      <c r="M130" s="99">
        <v>0</v>
      </c>
      <c r="N130" s="99">
        <v>0</v>
      </c>
      <c r="O130" s="99" t="inlineStr">
        <is>
          <t xml:space="preserve"> </t>
        </is>
      </c>
      <c r="P130" s="99" t="inlineStr">
        <is>
          <t xml:space="preserve"> </t>
        </is>
      </c>
      <c r="Q130" s="99" t="inlineStr">
        <is>
          <t xml:space="preserve"> </t>
        </is>
      </c>
      <c r="R130" s="100" t="inlineStr">
        <is>
          <t xml:space="preserve"> </t>
        </is>
      </c>
      <c r="S130" t="inlineStr">
        <is>
          <t>No se encontró ejecución en CUIPO</t>
        </is>
      </c>
      <c r="T130" s="101" t="inlineStr">
        <is>
          <t xml:space="preserve"> </t>
        </is>
      </c>
      <c r="U130" s="101" t="inlineStr">
        <is>
          <t xml:space="preserve"> </t>
        </is>
      </c>
      <c r="V130" s="101" t="inlineStr">
        <is>
          <t xml:space="preserve"> </t>
        </is>
      </c>
      <c r="W130" s="102" t="inlineStr">
        <is>
          <t xml:space="preserve"> </t>
        </is>
      </c>
      <c r="X130" t="inlineStr">
        <is>
          <t>No se encontró ejecución en CUIPO</t>
        </is>
      </c>
    </row>
    <row r="131">
      <c r="A131" t="inlineStr">
        <is>
          <t>IP-153</t>
        </is>
      </c>
      <c r="B131" t="inlineStr">
        <is>
          <t>43</t>
        </is>
      </c>
      <c r="C131" t="inlineStr">
        <is>
          <t>Deporte y Recreación</t>
        </is>
      </c>
      <c r="D131" t="inlineStr">
        <is>
          <t>4302</t>
        </is>
      </c>
      <c r="E131" t="inlineStr">
        <is>
          <t>Formación y preparación de deportistas</t>
        </is>
      </c>
      <c r="F131" t="inlineStr">
        <is>
          <t>4302026</t>
        </is>
      </c>
      <c r="G131" t="inlineStr">
        <is>
          <t>Coliseos cubiertos adecuados</t>
        </is>
      </c>
      <c r="H131" t="inlineStr">
        <is>
          <t>Obras necesarias para adaptar un inmueble o sus espacios o instalaciones a un nuevo uso, garantizando la preservación de sus características. Permiten modernizar las instalaciones, y optimizar y mejorar el uso de los espacios. Enfocadas principalmente en lo correspondiente.</t>
        </is>
      </c>
      <c r="I131" t="inlineStr">
        <is>
          <t>2024254860025</t>
        </is>
      </c>
      <c r="J131" s="99">
        <v>0</v>
      </c>
      <c r="K131" s="99">
        <v>0</v>
      </c>
      <c r="L131" s="99">
        <v>0</v>
      </c>
      <c r="M131" s="99">
        <v>0</v>
      </c>
      <c r="N131" s="99">
        <v>0</v>
      </c>
      <c r="O131" s="99" t="inlineStr">
        <is>
          <t xml:space="preserve"> </t>
        </is>
      </c>
      <c r="P131" s="99" t="inlineStr">
        <is>
          <t xml:space="preserve"> </t>
        </is>
      </c>
      <c r="Q131" s="99" t="inlineStr">
        <is>
          <t xml:space="preserve"> </t>
        </is>
      </c>
      <c r="R131" s="100" t="inlineStr">
        <is>
          <t xml:space="preserve"> </t>
        </is>
      </c>
      <c r="S131" t="inlineStr">
        <is>
          <t>No se encontró ejecución en CUIPO</t>
        </is>
      </c>
      <c r="T131" s="101" t="inlineStr">
        <is>
          <t xml:space="preserve"> </t>
        </is>
      </c>
      <c r="U131" s="101" t="inlineStr">
        <is>
          <t xml:space="preserve"> </t>
        </is>
      </c>
      <c r="V131" s="101" t="inlineStr">
        <is>
          <t xml:space="preserve"> </t>
        </is>
      </c>
      <c r="W131" s="102" t="inlineStr">
        <is>
          <t xml:space="preserve"> </t>
        </is>
      </c>
      <c r="X131" t="inlineStr">
        <is>
          <t>No se encontró ejecución en CUIPO</t>
        </is>
      </c>
    </row>
    <row r="132">
      <c r="A132" t="inlineStr">
        <is>
          <t>IP-154</t>
        </is>
      </c>
      <c r="B132" t="inlineStr">
        <is>
          <t>43</t>
        </is>
      </c>
      <c r="C132" t="inlineStr">
        <is>
          <t>Deporte y Recreación</t>
        </is>
      </c>
      <c r="D132" t="inlineStr">
        <is>
          <t>4302</t>
        </is>
      </c>
      <c r="E132" t="inlineStr">
        <is>
          <t>Formación y preparación de deportistas</t>
        </is>
      </c>
      <c r="F132" t="inlineStr">
        <is>
          <t>4302069</t>
        </is>
      </c>
      <c r="G132" t="inlineStr">
        <is>
          <t>Polideportivos mejorados</t>
        </is>
      </c>
      <c r="H132" t="inlineStr">
        <is>
          <t>Obras que están destinadas a corregir las instalaciones existentes, a fin de garantizar mejores condiciones en la habitabilidad del espacio y la mejora consecuente en la prestación del servicio. Aumento de la cantidad de baterías sanitarias, la implementación de espacios de servicios que antes no se tenían.</t>
        </is>
      </c>
      <c r="I132" t="inlineStr">
        <is>
          <t>2024254860025</t>
        </is>
      </c>
      <c r="J132" s="99">
        <v>39000000</v>
      </c>
      <c r="K132" s="99">
        <v>0</v>
      </c>
      <c r="L132" s="99">
        <v>39000000</v>
      </c>
      <c r="M132" s="99">
        <v>0</v>
      </c>
      <c r="N132" s="99">
        <v>0</v>
      </c>
      <c r="O132" s="99" t="inlineStr">
        <is>
          <t xml:space="preserve"> </t>
        </is>
      </c>
      <c r="P132" s="99" t="inlineStr">
        <is>
          <t xml:space="preserve"> </t>
        </is>
      </c>
      <c r="Q132" s="99" t="inlineStr">
        <is>
          <t xml:space="preserve"> </t>
        </is>
      </c>
      <c r="R132" s="100" t="inlineStr">
        <is>
          <t xml:space="preserve"> </t>
        </is>
      </c>
      <c r="S132" t="inlineStr">
        <is>
          <t>No se encontró ejecución en CUIPO</t>
        </is>
      </c>
      <c r="T132" s="101" t="inlineStr">
        <is>
          <t xml:space="preserve"> </t>
        </is>
      </c>
      <c r="U132" s="101" t="inlineStr">
        <is>
          <t xml:space="preserve"> </t>
        </is>
      </c>
      <c r="V132" s="101" t="inlineStr">
        <is>
          <t xml:space="preserve"> </t>
        </is>
      </c>
      <c r="W132" s="102" t="inlineStr">
        <is>
          <t xml:space="preserve"> </t>
        </is>
      </c>
      <c r="X132" t="inlineStr">
        <is>
          <t>No se encontró ejecución en CUIPO</t>
        </is>
      </c>
    </row>
    <row r="133">
      <c r="A133" t="inlineStr">
        <is>
          <t>IP-155</t>
        </is>
      </c>
      <c r="B133" t="inlineStr">
        <is>
          <t>43</t>
        </is>
      </c>
      <c r="C133" t="inlineStr">
        <is>
          <t>Deporte y Recreación</t>
        </is>
      </c>
      <c r="D133" t="inlineStr">
        <is>
          <t>4302</t>
        </is>
      </c>
      <c r="E133" t="inlineStr">
        <is>
          <t>Formación y preparación de deportistas</t>
        </is>
      </c>
      <c r="F133" t="inlineStr">
        <is>
          <t>4302001</t>
        </is>
      </c>
      <c r="G133" t="inlineStr">
        <is>
          <t>Servicio de preparación deportiva</t>
        </is>
      </c>
      <c r="H133" t="inlineStr">
        <is>
          <t>Corresponde a la preparación para las competencias de alto rendimiento deportivas que debe garantizarle al deportista un entrenador, una concentración deportiva para su entrenamiento y hospedaje</t>
        </is>
      </c>
      <c r="I133" t="inlineStr">
        <is>
          <t>2024254860025</t>
        </is>
      </c>
      <c r="J133" s="99">
        <v>50860300</v>
      </c>
      <c r="K133" s="99">
        <v>1000000</v>
      </c>
      <c r="L133" s="99">
        <v>47611200</v>
      </c>
      <c r="M133" s="99">
        <v>1102500</v>
      </c>
      <c r="N133" s="99">
        <v>1146600</v>
      </c>
      <c r="O133" s="99">
        <v>999730</v>
      </c>
      <c r="P133" s="99">
        <v>999730</v>
      </c>
      <c r="Q133" s="99">
        <v>999730</v>
      </c>
      <c r="R133" s="100">
        <v>0.99973</v>
      </c>
      <c r="S133" t="inlineStr">
        <is>
          <t>Lo obligado está por debajo de lo programado en la vigencia</t>
        </is>
      </c>
      <c r="T133" s="101">
        <v>23805600</v>
      </c>
      <c r="U133" s="101">
        <v>23805600</v>
      </c>
      <c r="V133" s="101">
        <v>23805600</v>
      </c>
      <c r="W133" s="102">
        <v>0.5</v>
      </c>
      <c r="X133" t="inlineStr">
        <is>
          <t>Lo obligado está por debajo de lo programado en la vigencia</t>
        </is>
      </c>
    </row>
    <row r="134">
      <c r="A134" t="inlineStr">
        <is>
          <t>IP-157</t>
        </is>
      </c>
      <c r="B134" t="inlineStr">
        <is>
          <t>17</t>
        </is>
      </c>
      <c r="C134" t="inlineStr">
        <is>
          <t xml:space="preserve">Agricultura y desarrollo rural
</t>
        </is>
      </c>
      <c r="D134" t="inlineStr">
        <is>
          <t>1702</t>
        </is>
      </c>
      <c r="E134" t="inlineStr">
        <is>
          <t>Inclusión productiva de pequeños productores rurales</t>
        </is>
      </c>
      <c r="F134" t="inlineStr">
        <is>
          <t>1702024</t>
        </is>
      </c>
      <c r="G134" t="inlineStr">
        <is>
          <t>Servicios de acompañamiento en la implementaciónde Planes de desarrollo agropecuario y rural</t>
        </is>
      </c>
      <c r="H134" t="inlineStr">
        <is>
          <t>Acciones orientadas a acompañar a los territorios en la articulación y gestión del Plan de Desarrollo Agropecuario y Rural</t>
        </is>
      </c>
      <c r="I134" t="inlineStr">
        <is>
          <t>2024254860026</t>
        </is>
      </c>
      <c r="J134" s="99">
        <v>0</v>
      </c>
      <c r="K134" s="99">
        <v>0</v>
      </c>
      <c r="L134" s="99">
        <v>0</v>
      </c>
      <c r="M134" s="99">
        <v>0</v>
      </c>
      <c r="N134" s="99">
        <v>0</v>
      </c>
      <c r="O134" s="99" t="inlineStr">
        <is>
          <t xml:space="preserve"> </t>
        </is>
      </c>
      <c r="P134" s="99" t="inlineStr">
        <is>
          <t xml:space="preserve"> </t>
        </is>
      </c>
      <c r="Q134" s="99" t="inlineStr">
        <is>
          <t xml:space="preserve"> </t>
        </is>
      </c>
      <c r="R134" s="100" t="inlineStr">
        <is>
          <t xml:space="preserve"> </t>
        </is>
      </c>
      <c r="S134" t="inlineStr">
        <is>
          <t>No se encontró ejecución en CUIPO</t>
        </is>
      </c>
      <c r="T134" s="101" t="inlineStr">
        <is>
          <t xml:space="preserve"> </t>
        </is>
      </c>
      <c r="U134" s="101" t="inlineStr">
        <is>
          <t xml:space="preserve"> </t>
        </is>
      </c>
      <c r="V134" s="101" t="inlineStr">
        <is>
          <t xml:space="preserve"> </t>
        </is>
      </c>
      <c r="W134" s="102" t="inlineStr">
        <is>
          <t xml:space="preserve"> </t>
        </is>
      </c>
      <c r="X134" t="inlineStr">
        <is>
          <t>No se encontró ejecución en CUIPO</t>
        </is>
      </c>
    </row>
    <row r="135">
      <c r="A135" t="inlineStr">
        <is>
          <t>IP-158, IP-159</t>
        </is>
      </c>
      <c r="B135" t="inlineStr">
        <is>
          <t>17</t>
        </is>
      </c>
      <c r="C135" t="inlineStr">
        <is>
          <t xml:space="preserve">Agricultura y desarrollo rural
</t>
        </is>
      </c>
      <c r="D135" t="inlineStr">
        <is>
          <t>1704</t>
        </is>
      </c>
      <c r="E135" t="inlineStr">
        <is>
          <t>Ordenamiento social y uso productivo del territorio rural</t>
        </is>
      </c>
      <c r="F135" t="inlineStr">
        <is>
          <t>1704003</t>
        </is>
      </c>
      <c r="G135" t="inlineStr">
        <is>
          <t>Documentos de planeación</t>
        </is>
      </c>
      <c r="H135" t="inlineStr">
        <is>
          <t>Documentos cuyo objetivo es plasmar una visión de futuro a nivel país, entidad territorial, comunidad, sector, región, entidad o cualquier nivel de desagregación que se requiera. Incluye objetivos, estrategias, metas e indicadores</t>
        </is>
      </c>
      <c r="I135" t="inlineStr">
        <is>
          <t>2024254860028</t>
        </is>
      </c>
      <c r="J135" s="99">
        <v>20000000</v>
      </c>
      <c r="K135" s="99">
        <v>0</v>
      </c>
      <c r="L135" s="99">
        <v>20000000</v>
      </c>
      <c r="M135" s="99">
        <v>0</v>
      </c>
      <c r="N135" s="99">
        <v>0</v>
      </c>
      <c r="O135" s="99" t="inlineStr">
        <is>
          <t xml:space="preserve"> </t>
        </is>
      </c>
      <c r="P135" s="99" t="inlineStr">
        <is>
          <t xml:space="preserve"> </t>
        </is>
      </c>
      <c r="Q135" s="99" t="inlineStr">
        <is>
          <t xml:space="preserve"> </t>
        </is>
      </c>
      <c r="R135" s="100" t="inlineStr">
        <is>
          <t xml:space="preserve"> </t>
        </is>
      </c>
      <c r="S135" t="inlineStr">
        <is>
          <t>No se encontró ejecución en CUIPO</t>
        </is>
      </c>
      <c r="T135" s="101" t="inlineStr">
        <is>
          <t xml:space="preserve"> </t>
        </is>
      </c>
      <c r="U135" s="101" t="inlineStr">
        <is>
          <t xml:space="preserve"> </t>
        </is>
      </c>
      <c r="V135" s="101" t="inlineStr">
        <is>
          <t xml:space="preserve"> </t>
        </is>
      </c>
      <c r="W135" s="102" t="inlineStr">
        <is>
          <t xml:space="preserve"> </t>
        </is>
      </c>
      <c r="X135" t="inlineStr">
        <is>
          <t>No se encontró ejecución en CUIPO</t>
        </is>
      </c>
    </row>
    <row r="136">
      <c r="A136" t="inlineStr">
        <is>
          <t>IP-160</t>
        </is>
      </c>
      <c r="B136" t="inlineStr">
        <is>
          <t>17</t>
        </is>
      </c>
      <c r="C136" t="inlineStr">
        <is>
          <t xml:space="preserve">Agricultura y desarrollo rural
</t>
        </is>
      </c>
      <c r="D136" t="inlineStr">
        <is>
          <t>1702</t>
        </is>
      </c>
      <c r="E136" t="inlineStr">
        <is>
          <t>Inclusión productiva de pequeños productores rurales</t>
        </is>
      </c>
      <c r="F136" t="inlineStr">
        <is>
          <t>1702011</t>
        </is>
      </c>
      <c r="G136" t="inlineStr">
        <is>
          <t>Servicio de asesoría para el fortalecimiento de la asociatividad</t>
        </is>
      </c>
      <c r="H136" t="inlineStr">
        <is>
          <t>Acompañamiento a asociaciones de productores ya conformadas o en proceso de conformación en temas administrativos y de organización.</t>
        </is>
      </c>
      <c r="I136" t="inlineStr">
        <is>
          <t>2024254860026</t>
        </is>
      </c>
      <c r="J136" s="99">
        <v>10000000</v>
      </c>
      <c r="K136" s="99">
        <v>0</v>
      </c>
      <c r="L136" s="99">
        <v>10000000</v>
      </c>
      <c r="M136" s="99">
        <v>0</v>
      </c>
      <c r="N136" s="99">
        <v>0</v>
      </c>
      <c r="O136" s="99" t="inlineStr">
        <is>
          <t xml:space="preserve"> </t>
        </is>
      </c>
      <c r="P136" s="99" t="inlineStr">
        <is>
          <t xml:space="preserve"> </t>
        </is>
      </c>
      <c r="Q136" s="99" t="inlineStr">
        <is>
          <t xml:space="preserve"> </t>
        </is>
      </c>
      <c r="R136" s="100" t="inlineStr">
        <is>
          <t xml:space="preserve"> </t>
        </is>
      </c>
      <c r="S136" t="inlineStr">
        <is>
          <t>No se encontró ejecución en CUIPO</t>
        </is>
      </c>
      <c r="T136" s="101" t="inlineStr">
        <is>
          <t xml:space="preserve"> </t>
        </is>
      </c>
      <c r="U136" s="101" t="inlineStr">
        <is>
          <t xml:space="preserve"> </t>
        </is>
      </c>
      <c r="V136" s="101" t="inlineStr">
        <is>
          <t xml:space="preserve"> </t>
        </is>
      </c>
      <c r="W136" s="102" t="inlineStr">
        <is>
          <t xml:space="preserve"> </t>
        </is>
      </c>
      <c r="X136" t="inlineStr">
        <is>
          <t>No se encontró ejecución en CUIPO</t>
        </is>
      </c>
    </row>
    <row r="137">
      <c r="A137" t="inlineStr">
        <is>
          <t>IP-161</t>
        </is>
      </c>
      <c r="B137" t="inlineStr">
        <is>
          <t>17</t>
        </is>
      </c>
      <c r="C137" t="inlineStr">
        <is>
          <t xml:space="preserve">Agricultura y desarrollo rural
</t>
        </is>
      </c>
      <c r="D137" t="inlineStr">
        <is>
          <t>1708</t>
        </is>
      </c>
      <c r="E137" t="inlineStr">
        <is>
          <t>Ciencia, tecnología e innovación agropecuaria</t>
        </is>
      </c>
      <c r="F137" t="inlineStr">
        <is>
          <t>1708041</t>
        </is>
      </c>
      <c r="G137" t="inlineStr">
        <is>
          <t>Servicio de extensión agropecuaria</t>
        </is>
      </c>
      <c r="H137" t="inlineStr">
        <is>
          <t>Comprende acciones de acompañamiento integral orientadas a diagnosticar, recomendar, actualizar, formar, transferir, asistir, empoderar y generar capacidad en los productores agropecuarios para que estos incorporen en su actividad productiva prácticas, productos tecnológicos, tecnologías, conocimientos y comportamientos que beneficien su desempeño y mejoren su competitividad y sostenibilidad.</t>
        </is>
      </c>
      <c r="I137" t="inlineStr">
        <is>
          <t>2024254860029</t>
        </is>
      </c>
      <c r="J137" s="99">
        <v>676052119.3072</v>
      </c>
      <c r="K137" s="99">
        <v>134172992</v>
      </c>
      <c r="L137" s="99">
        <v>240110651</v>
      </c>
      <c r="M137" s="99">
        <v>147925723.68</v>
      </c>
      <c r="N137" s="99">
        <v>153842752.6272</v>
      </c>
      <c r="O137" s="99">
        <v>109581486</v>
      </c>
      <c r="P137" s="99">
        <v>109581486</v>
      </c>
      <c r="Q137" s="99">
        <v>109581486</v>
      </c>
      <c r="R137" s="100">
        <v>0.816717912946295</v>
      </c>
      <c r="S137" t="inlineStr">
        <is>
          <t>Lo obligado está por debajo de lo programado en la vigencia</t>
        </is>
      </c>
      <c r="T137" s="101">
        <v>207802883</v>
      </c>
      <c r="U137" s="101">
        <v>179903801</v>
      </c>
      <c r="V137" s="101">
        <v>177243297</v>
      </c>
      <c r="W137" s="102">
        <v>0.749253730522766</v>
      </c>
      <c r="X137" t="inlineStr">
        <is>
          <t>Lo obligado está por debajo de lo programado en la vigencia</t>
        </is>
      </c>
    </row>
    <row r="138">
      <c r="A138" t="inlineStr">
        <is>
          <t>IP-162, IP-166</t>
        </is>
      </c>
      <c r="B138" t="inlineStr">
        <is>
          <t>17</t>
        </is>
      </c>
      <c r="C138" t="inlineStr">
        <is>
          <t xml:space="preserve">Agricultura y desarrollo rural
</t>
        </is>
      </c>
      <c r="D138" t="inlineStr">
        <is>
          <t>1709</t>
        </is>
      </c>
      <c r="E138" t="inlineStr">
        <is>
          <t>Infraestructura productiva y comercialización</t>
        </is>
      </c>
      <c r="F138" t="inlineStr">
        <is>
          <t>1709106</t>
        </is>
      </c>
      <c r="G138" t="inlineStr">
        <is>
          <t>Servicio de apoyo a la comercialización de las cadenas agrícolas, forestales, pecuarias, pesqueras y acuícolas</t>
        </is>
      </c>
      <c r="H138" t="inlineStr">
        <is>
          <t>En beneficio del mejoramiento del ingreso al productor, el servicio de apoyo a la comercialización de las cadenas agrícolas, forestales, pecuarias, pesqueras y acuícolas, promueve estrategias para: i.Afrontar las variaciones atípicas en la demanda, oferta y en el precio de los productos, ii. la generación de valor agregado y iii. Permite el acceso de productos a canales de comercialización formales con estándares de calidad; mediante el fortalecimiento en los procesos de poscosecha, de transformación y en el acompañamiento técnico para la apertura a nuevos mercados.</t>
        </is>
      </c>
      <c r="I138" t="inlineStr">
        <is>
          <t>2024254860030</t>
        </is>
      </c>
      <c r="J138" s="99">
        <v>126579847.2957</v>
      </c>
      <c r="K138" s="99">
        <v>31822727</v>
      </c>
      <c r="L138" s="99">
        <v>23184625</v>
      </c>
      <c r="M138" s="99">
        <v>35084556.5175</v>
      </c>
      <c r="N138" s="99">
        <v>36487938.7782</v>
      </c>
      <c r="O138" s="99">
        <v>30351360</v>
      </c>
      <c r="P138" s="99">
        <v>30351360</v>
      </c>
      <c r="Q138" s="99">
        <v>30351360</v>
      </c>
      <c r="R138" s="100">
        <v>0.953763641940554</v>
      </c>
      <c r="S138" t="inlineStr">
        <is>
          <t>Lo obligado está por debajo de lo programado en la vigencia</t>
        </is>
      </c>
      <c r="T138" s="101">
        <v>6242500</v>
      </c>
      <c r="U138" s="101">
        <v>4797000</v>
      </c>
      <c r="V138" s="101">
        <v>4797000</v>
      </c>
      <c r="W138" s="102">
        <v>0.20690436010934</v>
      </c>
      <c r="X138" t="inlineStr">
        <is>
          <t>Lo obligado está por debajo de lo programado en la vigencia</t>
        </is>
      </c>
    </row>
    <row r="139">
      <c r="A139" t="inlineStr">
        <is>
          <t>IP-163, IP-167, IP-173</t>
        </is>
      </c>
      <c r="B139" t="inlineStr">
        <is>
          <t>17</t>
        </is>
      </c>
      <c r="C139" t="inlineStr">
        <is>
          <t xml:space="preserve">Agricultura y desarrollo rural
</t>
        </is>
      </c>
      <c r="D139" t="inlineStr">
        <is>
          <t>1702</t>
        </is>
      </c>
      <c r="E139" t="inlineStr">
        <is>
          <t>Inclusión productiva de pequeños productores rurales</t>
        </is>
      </c>
      <c r="F139" t="inlineStr">
        <is>
          <t>1702007</t>
        </is>
      </c>
      <c r="G139" t="inlineStr">
        <is>
          <t>Servicio de apoyo financiero para proyectos productivos</t>
        </is>
      </c>
      <c r="H139" t="inlineStr">
        <is>
          <t>Subsidio o cofinanciación para el establecimiento o fortalecimiento de proyectos productivos agropecuarios.</t>
        </is>
      </c>
      <c r="I139" t="inlineStr">
        <is>
          <t>2024254860026</t>
        </is>
      </c>
      <c r="J139" s="99">
        <v>24083000</v>
      </c>
      <c r="K139" s="99">
        <v>5000000</v>
      </c>
      <c r="L139" s="99">
        <v>7837500</v>
      </c>
      <c r="M139" s="99">
        <v>5512500</v>
      </c>
      <c r="N139" s="99">
        <v>5733000</v>
      </c>
      <c r="O139" s="99">
        <v>4200000</v>
      </c>
      <c r="P139" s="99">
        <v>4200000</v>
      </c>
      <c r="Q139" s="99">
        <v>4200000</v>
      </c>
      <c r="R139" s="100">
        <v>0.84</v>
      </c>
      <c r="S139" t="inlineStr">
        <is>
          <t>Lo obligado está por debajo de lo programado en la vigencia</t>
        </is>
      </c>
      <c r="T139" s="101">
        <v>0</v>
      </c>
      <c r="U139" s="101">
        <v>0</v>
      </c>
      <c r="V139" s="101">
        <v>0</v>
      </c>
      <c r="W139" s="102">
        <v>0</v>
      </c>
      <c r="X139" t="inlineStr">
        <is>
          <t>No se ejecutó en la vigencia</t>
        </is>
      </c>
    </row>
    <row r="140">
      <c r="A140" t="inlineStr">
        <is>
          <t>IP-164</t>
        </is>
      </c>
      <c r="B140" t="inlineStr">
        <is>
          <t>17</t>
        </is>
      </c>
      <c r="C140" t="inlineStr">
        <is>
          <t xml:space="preserve">Agricultura y desarrollo rural
</t>
        </is>
      </c>
      <c r="D140" t="inlineStr">
        <is>
          <t>1709</t>
        </is>
      </c>
      <c r="E140" t="inlineStr">
        <is>
          <t>Infraestructura productiva y comercialización</t>
        </is>
      </c>
      <c r="F140" t="inlineStr">
        <is>
          <t>1709114</t>
        </is>
      </c>
      <c r="G140" t="inlineStr">
        <is>
          <t>Bancos de maquinaria y equipos para la producción agropecuaria dotado</t>
        </is>
      </c>
      <c r="H140" t="inlineStr">
        <is>
          <t>Contempla la conformación y/o dotación de bancos de maquinaria y equipos por medio de adquisiciones para el acceso de los productores agropecuarios.</t>
        </is>
      </c>
      <c r="I140" t="inlineStr">
        <is>
          <t>2024254860030</t>
        </is>
      </c>
      <c r="J140" s="99">
        <v>302923168.3568</v>
      </c>
      <c r="K140" s="99">
        <v>77764048</v>
      </c>
      <c r="L140" s="99">
        <v>50260000</v>
      </c>
      <c r="M140" s="99">
        <v>85734862.92</v>
      </c>
      <c r="N140" s="99">
        <v>89164257.4368</v>
      </c>
      <c r="O140" s="99">
        <v>73764048</v>
      </c>
      <c r="P140" s="99">
        <v>59764048</v>
      </c>
      <c r="Q140" s="99">
        <v>10000000</v>
      </c>
      <c r="R140" s="100">
        <v>0.768530568264656</v>
      </c>
      <c r="S140" t="inlineStr">
        <is>
          <t>Lo obligado está por debajo de lo programado en la vigencia</t>
        </is>
      </c>
      <c r="T140" s="101">
        <v>0</v>
      </c>
      <c r="U140" s="101">
        <v>0</v>
      </c>
      <c r="V140" s="101">
        <v>14000000</v>
      </c>
      <c r="W140" s="102">
        <v>0</v>
      </c>
      <c r="X140" t="inlineStr">
        <is>
          <t>No se ejecutó en la vigencia</t>
        </is>
      </c>
    </row>
    <row r="141">
      <c r="A141" t="inlineStr">
        <is>
          <t>IP-165</t>
        </is>
      </c>
      <c r="B141" t="inlineStr">
        <is>
          <t>17</t>
        </is>
      </c>
      <c r="C141" t="inlineStr">
        <is>
          <t xml:space="preserve">Agricultura y desarrollo rural
</t>
        </is>
      </c>
      <c r="D141" t="inlineStr">
        <is>
          <t>1708</t>
        </is>
      </c>
      <c r="E141" t="inlineStr">
        <is>
          <t>Ciencia, tecnología e innovación agropecuaria</t>
        </is>
      </c>
      <c r="F141" t="inlineStr">
        <is>
          <t>1708018</t>
        </is>
      </c>
      <c r="G141" t="inlineStr">
        <is>
          <t>Especies animales y vegetales mejoradas</t>
        </is>
      </c>
      <c r="H141" t="inlineStr">
        <is>
          <t>Corrresponde al desarrollo de trabajo genético sobre animales y/o especies  para un mejor rendimiento productivo</t>
        </is>
      </c>
      <c r="I141" t="inlineStr">
        <is>
          <t>2024254860029</t>
        </is>
      </c>
      <c r="J141" s="99">
        <v>70681125</v>
      </c>
      <c r="K141" s="99">
        <v>15000000</v>
      </c>
      <c r="L141" s="99">
        <v>21944625</v>
      </c>
      <c r="M141" s="99">
        <v>16537500</v>
      </c>
      <c r="N141" s="99">
        <v>17199000</v>
      </c>
      <c r="O141" s="99">
        <v>7889451</v>
      </c>
      <c r="P141" s="99">
        <v>7889451</v>
      </c>
      <c r="Q141" s="99">
        <v>7889451</v>
      </c>
      <c r="R141" s="100">
        <v>0.5259634</v>
      </c>
      <c r="S141" t="inlineStr">
        <is>
          <t>Lo obligado está por debajo de lo programado en la vigencia</t>
        </is>
      </c>
      <c r="T141" s="101">
        <v>6948500</v>
      </c>
      <c r="U141" s="101">
        <v>2948500</v>
      </c>
      <c r="V141" s="101">
        <v>2948500</v>
      </c>
      <c r="W141" s="102">
        <v>0.134360919815217</v>
      </c>
      <c r="X141" t="inlineStr">
        <is>
          <t>Lo obligado está por debajo de lo programado en la vigencia</t>
        </is>
      </c>
    </row>
    <row r="142">
      <c r="A142" t="inlineStr">
        <is>
          <t>IP-168</t>
        </is>
      </c>
      <c r="B142" t="inlineStr">
        <is>
          <t>17</t>
        </is>
      </c>
      <c r="C142" t="inlineStr">
        <is>
          <t xml:space="preserve">Agricultura y desarrollo rural
</t>
        </is>
      </c>
      <c r="D142" t="inlineStr">
        <is>
          <t>1702</t>
        </is>
      </c>
      <c r="E142" t="inlineStr">
        <is>
          <t>Inclusión productiva de pequeños productores rurales</t>
        </is>
      </c>
      <c r="F142" t="inlineStr">
        <is>
          <t>1702009</t>
        </is>
      </c>
      <c r="G142" t="inlineStr">
        <is>
          <t>Servicio de apoyo financiero para el acceso a activos productivos y de comercialización</t>
        </is>
      </c>
      <c r="H142" t="inlineStr">
        <is>
          <t>Cofinanciación para la adquisición de activos productivos que se pueden clasificar en capital humano, la tierra y los bienes de capital productivo (Infraestructura, maquinaria y equipos, insumos y material vegetal, especies zootécnicas y acuícolas). Comercialización comprende actividades relacionadas con el proceso que va desde el acopio de los productos agropecuarios, distribución y consumo.</t>
        </is>
      </c>
      <c r="I142" t="inlineStr">
        <is>
          <t>2024254860026</t>
        </is>
      </c>
      <c r="J142" s="99">
        <v>15793808</v>
      </c>
      <c r="K142" s="99">
        <v>2250000</v>
      </c>
      <c r="L142" s="99">
        <v>8483333</v>
      </c>
      <c r="M142" s="99">
        <v>2480625</v>
      </c>
      <c r="N142" s="99">
        <v>2579850</v>
      </c>
      <c r="O142" s="99" t="inlineStr">
        <is>
          <t xml:space="preserve"> </t>
        </is>
      </c>
      <c r="P142" s="99" t="inlineStr">
        <is>
          <t xml:space="preserve"> </t>
        </is>
      </c>
      <c r="Q142" s="99" t="inlineStr">
        <is>
          <t xml:space="preserve"> </t>
        </is>
      </c>
      <c r="R142" s="100" t="inlineStr">
        <is>
          <t xml:space="preserve"> </t>
        </is>
      </c>
      <c r="S142" t="inlineStr">
        <is>
          <t>No se encontró ejecución en CUIPO</t>
        </is>
      </c>
      <c r="T142" s="101">
        <v>6736666</v>
      </c>
      <c r="U142" s="101">
        <v>4646666</v>
      </c>
      <c r="V142" s="101">
        <v>4646666</v>
      </c>
      <c r="W142" s="102">
        <v>0.547740610913187</v>
      </c>
      <c r="X142" t="inlineStr">
        <is>
          <t>Lo obligado está por debajo de lo programado en la vigencia</t>
        </is>
      </c>
    </row>
    <row r="143">
      <c r="A143" t="inlineStr">
        <is>
          <t>IP-169</t>
        </is>
      </c>
      <c r="B143" t="inlineStr">
        <is>
          <t>17</t>
        </is>
      </c>
      <c r="C143" t="inlineStr">
        <is>
          <t xml:space="preserve">Agricultura y desarrollo rural
</t>
        </is>
      </c>
      <c r="D143" t="inlineStr">
        <is>
          <t>1703</t>
        </is>
      </c>
      <c r="E143" t="inlineStr">
        <is>
          <t>Servicios financieros y gestión del riesgo para las actividades agropecuarias y rurales</t>
        </is>
      </c>
      <c r="F143" t="inlineStr">
        <is>
          <t>1703010</t>
        </is>
      </c>
      <c r="G143" t="inlineStr">
        <is>
          <t>Servicio de divulgación</t>
        </is>
      </c>
      <c r="H143" t="inlineStr">
        <is>
          <t>Servicios de divulgación y socializaicón de actividades y oferta institucional del sector en materia de financiamiento y riesgos agropecuarios que promuevan la inclusión financiera de la población rural.</t>
        </is>
      </c>
      <c r="I143" t="inlineStr">
        <is>
          <t>2024254860027</t>
        </is>
      </c>
      <c r="J143" s="99">
        <v>0</v>
      </c>
      <c r="K143" s="99">
        <v>0</v>
      </c>
      <c r="L143" s="99">
        <v>0</v>
      </c>
      <c r="M143" s="99">
        <v>0</v>
      </c>
      <c r="N143" s="99">
        <v>0</v>
      </c>
      <c r="O143" s="99" t="inlineStr">
        <is>
          <t xml:space="preserve"> </t>
        </is>
      </c>
      <c r="P143" s="99" t="inlineStr">
        <is>
          <t xml:space="preserve"> </t>
        </is>
      </c>
      <c r="Q143" s="99" t="inlineStr">
        <is>
          <t xml:space="preserve"> </t>
        </is>
      </c>
      <c r="R143" s="100" t="inlineStr">
        <is>
          <t xml:space="preserve"> </t>
        </is>
      </c>
      <c r="S143" t="inlineStr">
        <is>
          <t>No se encontró ejecución en CUIPO</t>
        </is>
      </c>
      <c r="T143" s="101" t="inlineStr">
        <is>
          <t xml:space="preserve"> </t>
        </is>
      </c>
      <c r="U143" s="101" t="inlineStr">
        <is>
          <t xml:space="preserve"> </t>
        </is>
      </c>
      <c r="V143" s="101" t="inlineStr">
        <is>
          <t xml:space="preserve"> </t>
        </is>
      </c>
      <c r="W143" s="102" t="inlineStr">
        <is>
          <t xml:space="preserve"> </t>
        </is>
      </c>
      <c r="X143" t="inlineStr">
        <is>
          <t>No se encontró ejecución en CUIPO</t>
        </is>
      </c>
    </row>
    <row r="144">
      <c r="A144" t="inlineStr">
        <is>
          <t>IP-170</t>
        </is>
      </c>
      <c r="B144" t="inlineStr">
        <is>
          <t>17</t>
        </is>
      </c>
      <c r="C144" t="inlineStr">
        <is>
          <t xml:space="preserve">Agricultura y desarrollo rural
</t>
        </is>
      </c>
      <c r="D144" t="inlineStr">
        <is>
          <t>1708</t>
        </is>
      </c>
      <c r="E144" t="inlineStr">
        <is>
          <t>Ciencia, tecnología e innovación agropecuaria</t>
        </is>
      </c>
      <c r="F144" t="inlineStr">
        <is>
          <t>1708056</t>
        </is>
      </c>
      <c r="G144" t="inlineStr">
        <is>
          <t>Servicio de implementación de rutas agroecológicas</t>
        </is>
      </c>
      <c r="H144" t="inlineStr">
        <is>
          <t>Contempla la implementación de estrategias para la articulación, promoción y ejecución de rutas agroecológicas, las cuales incluyen huertas que desarrollan procesos de agricultura urbana.</t>
        </is>
      </c>
      <c r="I144" t="inlineStr">
        <is>
          <t>2024254860028</t>
        </is>
      </c>
      <c r="J144" s="99">
        <v>0</v>
      </c>
      <c r="K144" s="99">
        <v>0</v>
      </c>
      <c r="L144" s="99">
        <v>0</v>
      </c>
      <c r="M144" s="99">
        <v>0</v>
      </c>
      <c r="N144" s="99">
        <v>0</v>
      </c>
      <c r="O144" s="99" t="inlineStr">
        <is>
          <t xml:space="preserve"> </t>
        </is>
      </c>
      <c r="P144" s="99" t="inlineStr">
        <is>
          <t xml:space="preserve"> </t>
        </is>
      </c>
      <c r="Q144" s="99" t="inlineStr">
        <is>
          <t xml:space="preserve"> </t>
        </is>
      </c>
      <c r="R144" s="100" t="inlineStr">
        <is>
          <t xml:space="preserve"> </t>
        </is>
      </c>
      <c r="S144" t="inlineStr">
        <is>
          <t>No se encontró ejecución en CUIPO</t>
        </is>
      </c>
      <c r="T144" s="101" t="inlineStr">
        <is>
          <t xml:space="preserve"> </t>
        </is>
      </c>
      <c r="U144" s="101" t="inlineStr">
        <is>
          <t xml:space="preserve"> </t>
        </is>
      </c>
      <c r="V144" s="101" t="inlineStr">
        <is>
          <t xml:space="preserve"> </t>
        </is>
      </c>
      <c r="W144" s="102" t="inlineStr">
        <is>
          <t xml:space="preserve"> </t>
        </is>
      </c>
      <c r="X144" t="inlineStr">
        <is>
          <t>No se encontró ejecución en CUIPO</t>
        </is>
      </c>
    </row>
    <row r="145">
      <c r="A145" t="inlineStr">
        <is>
          <t>IP-171</t>
        </is>
      </c>
      <c r="B145" t="inlineStr">
        <is>
          <t>17</t>
        </is>
      </c>
      <c r="C145" t="inlineStr">
        <is>
          <t xml:space="preserve">Agricultura y desarrollo rural
</t>
        </is>
      </c>
      <c r="D145" t="inlineStr">
        <is>
          <t>1709</t>
        </is>
      </c>
      <c r="E145" t="inlineStr">
        <is>
          <t>Infraestructura productiva y comercialización</t>
        </is>
      </c>
      <c r="F145" t="inlineStr">
        <is>
          <t>1709072</t>
        </is>
      </c>
      <c r="G145" t="inlineStr">
        <is>
          <t>Plaza de Ferias adecuada</t>
        </is>
      </c>
      <c r="H145" t="inlineStr">
        <is>
          <t>Infraestructura para la realización de eventos agropecuarios tales como subastas ganaderas, el deporte de la vaquería, exposiciones equinas, ferias ganaderas, entre otras.</t>
        </is>
      </c>
      <c r="I145" t="inlineStr">
        <is>
          <t>2024254860030</t>
        </is>
      </c>
      <c r="J145" s="99">
        <v>0</v>
      </c>
      <c r="K145" s="99">
        <v>0</v>
      </c>
      <c r="L145" s="99">
        <v>0</v>
      </c>
      <c r="M145" s="99">
        <v>0</v>
      </c>
      <c r="N145" s="99">
        <v>0</v>
      </c>
      <c r="O145" s="99" t="inlineStr">
        <is>
          <t xml:space="preserve"> </t>
        </is>
      </c>
      <c r="P145" s="99" t="inlineStr">
        <is>
          <t xml:space="preserve"> </t>
        </is>
      </c>
      <c r="Q145" s="99" t="inlineStr">
        <is>
          <t xml:space="preserve"> </t>
        </is>
      </c>
      <c r="R145" s="100" t="inlineStr">
        <is>
          <t xml:space="preserve"> </t>
        </is>
      </c>
      <c r="S145" t="inlineStr">
        <is>
          <t>No se encontró ejecución en CUIPO</t>
        </is>
      </c>
      <c r="T145" s="101" t="inlineStr">
        <is>
          <t xml:space="preserve"> </t>
        </is>
      </c>
      <c r="U145" s="101" t="inlineStr">
        <is>
          <t xml:space="preserve"> </t>
        </is>
      </c>
      <c r="V145" s="101" t="inlineStr">
        <is>
          <t xml:space="preserve"> </t>
        </is>
      </c>
      <c r="W145" s="102" t="inlineStr">
        <is>
          <t xml:space="preserve"> </t>
        </is>
      </c>
      <c r="X145" t="inlineStr">
        <is>
          <t>No se encontró ejecución en CUIPO</t>
        </is>
      </c>
    </row>
    <row r="146">
      <c r="A146" t="inlineStr">
        <is>
          <t>IP-172</t>
        </is>
      </c>
      <c r="B146" t="inlineStr">
        <is>
          <t>17</t>
        </is>
      </c>
      <c r="C146" t="inlineStr">
        <is>
          <t xml:space="preserve">Agricultura y desarrollo rural
</t>
        </is>
      </c>
      <c r="D146" t="inlineStr">
        <is>
          <t>1709</t>
        </is>
      </c>
      <c r="E146" t="inlineStr">
        <is>
          <t>Infraestructura productiva y comercialización</t>
        </is>
      </c>
      <c r="F146" t="inlineStr">
        <is>
          <t>1709081</t>
        </is>
      </c>
      <c r="G146" t="inlineStr">
        <is>
          <t>Plaza de mercado construidas</t>
        </is>
      </c>
      <c r="H146" t="inlineStr">
        <is>
          <t>Lugar con infraestructura  que acopia productores y comercializadores minoristas a  lo cuales el cliente final y/o consumidor  podrá tener acceso a los productos que se ofrecen.</t>
        </is>
      </c>
      <c r="I146" t="inlineStr">
        <is>
          <t>2024254860030</t>
        </is>
      </c>
      <c r="J146" s="99">
        <v>870285000</v>
      </c>
      <c r="K146" s="99">
        <v>0</v>
      </c>
      <c r="L146" s="99">
        <v>870285000</v>
      </c>
      <c r="M146" s="99">
        <v>0</v>
      </c>
      <c r="N146" s="99">
        <v>0</v>
      </c>
      <c r="O146" s="99" t="inlineStr">
        <is>
          <t xml:space="preserve"> </t>
        </is>
      </c>
      <c r="P146" s="99" t="inlineStr">
        <is>
          <t xml:space="preserve"> </t>
        </is>
      </c>
      <c r="Q146" s="99" t="inlineStr">
        <is>
          <t xml:space="preserve"> </t>
        </is>
      </c>
      <c r="R146" s="100" t="inlineStr">
        <is>
          <t xml:space="preserve"> </t>
        </is>
      </c>
      <c r="S146" t="inlineStr">
        <is>
          <t>No se encontró ejecución en CUIPO</t>
        </is>
      </c>
      <c r="T146" s="101">
        <v>869503505</v>
      </c>
      <c r="U146" s="101">
        <v>0</v>
      </c>
      <c r="V146" s="101">
        <v>0</v>
      </c>
      <c r="W146" s="102">
        <v>0</v>
      </c>
      <c r="X146" t="inlineStr">
        <is>
          <t>No se ejecutó en la vigencia</t>
        </is>
      </c>
    </row>
    <row r="147">
      <c r="A147" t="inlineStr">
        <is>
          <t>IP-174</t>
        </is>
      </c>
      <c r="B147" t="inlineStr">
        <is>
          <t>35</t>
        </is>
      </c>
      <c r="C147" t="inlineStr">
        <is>
          <t>Comercio, industria y turismo</t>
        </is>
      </c>
      <c r="D147" t="inlineStr">
        <is>
          <t>3502</t>
        </is>
      </c>
      <c r="E147" t="inlineStr">
        <is>
          <t>Productividad y competitividad de las empresas colombianas</t>
        </is>
      </c>
      <c r="F147" t="inlineStr">
        <is>
          <t>3502116</t>
        </is>
      </c>
      <c r="G147" t="inlineStr">
        <is>
          <t>Servicio de asistencia técnica</t>
        </is>
      </c>
      <c r="H147" t="inlineStr">
        <is>
          <t>Corresponde al acompañamiento, asesoría y seguimiento técnico para la transferencia de herramientas de gestión y conocimiento a entidades nacionales y territoriales, o a grupos de valor, en procedimientos y trámites institucionales de competencia de la entidad.</t>
        </is>
      </c>
      <c r="I147" t="inlineStr">
        <is>
          <t>2024254860031</t>
        </is>
      </c>
      <c r="J147" s="99">
        <v>13483333</v>
      </c>
      <c r="K147" s="99">
        <v>0</v>
      </c>
      <c r="L147" s="99">
        <v>13483333</v>
      </c>
      <c r="M147" s="99">
        <v>0</v>
      </c>
      <c r="N147" s="99">
        <v>0</v>
      </c>
      <c r="O147" s="99" t="inlineStr">
        <is>
          <t xml:space="preserve"> </t>
        </is>
      </c>
      <c r="P147" s="99" t="inlineStr">
        <is>
          <t xml:space="preserve"> </t>
        </is>
      </c>
      <c r="Q147" s="99" t="inlineStr">
        <is>
          <t xml:space="preserve"> </t>
        </is>
      </c>
      <c r="R147" s="100" t="inlineStr">
        <is>
          <t xml:space="preserve"> </t>
        </is>
      </c>
      <c r="S147" t="inlineStr">
        <is>
          <t>No se encontró ejecución en CUIPO</t>
        </is>
      </c>
      <c r="T147" s="101" t="inlineStr">
        <is>
          <t xml:space="preserve"> </t>
        </is>
      </c>
      <c r="U147" s="101" t="inlineStr">
        <is>
          <t xml:space="preserve"> </t>
        </is>
      </c>
      <c r="V147" s="101" t="inlineStr">
        <is>
          <t xml:space="preserve"> </t>
        </is>
      </c>
      <c r="W147" s="102" t="inlineStr">
        <is>
          <t xml:space="preserve"> </t>
        </is>
      </c>
      <c r="X147" t="inlineStr">
        <is>
          <t>No se encontró ejecución en CUIPO</t>
        </is>
      </c>
    </row>
    <row r="148">
      <c r="A148" t="inlineStr">
        <is>
          <t>IP-175</t>
        </is>
      </c>
      <c r="B148" t="inlineStr">
        <is>
          <t>35</t>
        </is>
      </c>
      <c r="C148" t="inlineStr">
        <is>
          <t>Comercio, industria y turismo</t>
        </is>
      </c>
      <c r="D148" t="inlineStr">
        <is>
          <t>3502</t>
        </is>
      </c>
      <c r="E148" t="inlineStr">
        <is>
          <t>Productividad y competitividad de las empresas colombianas</t>
        </is>
      </c>
      <c r="F148" t="inlineStr">
        <is>
          <t>3502048</t>
        </is>
      </c>
      <c r="G148" t="inlineStr">
        <is>
          <t>Documentos normativos</t>
        </is>
      </c>
      <c r="H148" t="inlineStr">
        <is>
          <t>Corresponde a documentos que contengan decretos, acuerdos, resoluciones, entre otros sobre los asuntos del sector.</t>
        </is>
      </c>
      <c r="I148" t="inlineStr">
        <is>
          <t>2024254860031</t>
        </is>
      </c>
      <c r="J148" s="99">
        <v>10000000</v>
      </c>
      <c r="K148" s="99">
        <v>0</v>
      </c>
      <c r="L148" s="99">
        <v>10000000</v>
      </c>
      <c r="M148" s="99">
        <v>0</v>
      </c>
      <c r="N148" s="99">
        <v>0</v>
      </c>
      <c r="O148" s="99" t="inlineStr">
        <is>
          <t xml:space="preserve"> </t>
        </is>
      </c>
      <c r="P148" s="99" t="inlineStr">
        <is>
          <t xml:space="preserve"> </t>
        </is>
      </c>
      <c r="Q148" s="99" t="inlineStr">
        <is>
          <t xml:space="preserve"> </t>
        </is>
      </c>
      <c r="R148" s="100" t="inlineStr">
        <is>
          <t xml:space="preserve"> </t>
        </is>
      </c>
      <c r="S148" t="inlineStr">
        <is>
          <t>No se encontró ejecución en CUIPO</t>
        </is>
      </c>
      <c r="T148" s="101" t="inlineStr">
        <is>
          <t xml:space="preserve"> </t>
        </is>
      </c>
      <c r="U148" s="101" t="inlineStr">
        <is>
          <t xml:space="preserve"> </t>
        </is>
      </c>
      <c r="V148" s="101" t="inlineStr">
        <is>
          <t xml:space="preserve"> </t>
        </is>
      </c>
      <c r="W148" s="102" t="inlineStr">
        <is>
          <t xml:space="preserve"> </t>
        </is>
      </c>
      <c r="X148" t="inlineStr">
        <is>
          <t>No se encontró ejecución en CUIPO</t>
        </is>
      </c>
    </row>
    <row r="149">
      <c r="A149" t="inlineStr">
        <is>
          <t>IP-176, IP-186</t>
        </is>
      </c>
      <c r="B149" t="inlineStr">
        <is>
          <t>35</t>
        </is>
      </c>
      <c r="C149" t="inlineStr">
        <is>
          <t>Comercio, industria y turismo</t>
        </is>
      </c>
      <c r="D149" t="inlineStr">
        <is>
          <t>3502</t>
        </is>
      </c>
      <c r="E149" t="inlineStr">
        <is>
          <t>Productividad y competitividad de las empresas colombianas</t>
        </is>
      </c>
      <c r="F149" t="inlineStr">
        <is>
          <t>3502002</t>
        </is>
      </c>
      <c r="G149" t="inlineStr">
        <is>
          <t>Documentos de lineamientos técnicos</t>
        </is>
      </c>
      <c r="H149" t="inlineStr">
        <is>
          <t>Documentos cuyo objetivo es describir y explicar instrumentos, estándares, requisitos y condiciones necesarias para llevar a cabo un proceso o actividad</t>
        </is>
      </c>
      <c r="I149" t="inlineStr">
        <is>
          <t>2024254860031</t>
        </is>
      </c>
      <c r="J149" s="99">
        <v>0</v>
      </c>
      <c r="K149" s="99">
        <v>0</v>
      </c>
      <c r="L149" s="99">
        <v>0</v>
      </c>
      <c r="M149" s="99">
        <v>0</v>
      </c>
      <c r="N149" s="99">
        <v>0</v>
      </c>
      <c r="O149" s="99" t="inlineStr">
        <is>
          <t xml:space="preserve"> </t>
        </is>
      </c>
      <c r="P149" s="99" t="inlineStr">
        <is>
          <t xml:space="preserve"> </t>
        </is>
      </c>
      <c r="Q149" s="99" t="inlineStr">
        <is>
          <t xml:space="preserve"> </t>
        </is>
      </c>
      <c r="R149" s="100" t="inlineStr">
        <is>
          <t xml:space="preserve"> </t>
        </is>
      </c>
      <c r="S149" t="inlineStr">
        <is>
          <t>No se encontró ejecución en CUIPO</t>
        </is>
      </c>
      <c r="T149" s="101" t="inlineStr">
        <is>
          <t xml:space="preserve"> </t>
        </is>
      </c>
      <c r="U149" s="101" t="inlineStr">
        <is>
          <t xml:space="preserve"> </t>
        </is>
      </c>
      <c r="V149" s="101" t="inlineStr">
        <is>
          <t xml:space="preserve"> </t>
        </is>
      </c>
      <c r="W149" s="102" t="inlineStr">
        <is>
          <t xml:space="preserve"> </t>
        </is>
      </c>
      <c r="X149" t="inlineStr">
        <is>
          <t>No se encontró ejecución en CUIPO</t>
        </is>
      </c>
    </row>
    <row r="150">
      <c r="A150" t="inlineStr">
        <is>
          <t>IP-177</t>
        </is>
      </c>
      <c r="B150" t="inlineStr">
        <is>
          <t>35</t>
        </is>
      </c>
      <c r="C150" t="inlineStr">
        <is>
          <t>Comercio, industria y turismo</t>
        </is>
      </c>
      <c r="D150" t="inlineStr">
        <is>
          <t>3502</t>
        </is>
      </c>
      <c r="E150" t="inlineStr">
        <is>
          <t>Productividad y competitividad de las empresas colombianas</t>
        </is>
      </c>
      <c r="F150" t="inlineStr">
        <is>
          <t>3502007</t>
        </is>
      </c>
      <c r="G150" t="inlineStr">
        <is>
          <t>Servicio de asistencia técnica para el desarrollo de iniciativas clústeres</t>
        </is>
      </c>
      <c r="H150" t="inlineStr">
        <is>
          <t>Asesorías dirigidas al desarrollo de los planes de acción establecidos por las iniciativas clúster para profundizar o abrir nuevos mercados</t>
        </is>
      </c>
      <c r="I150" t="inlineStr">
        <is>
          <t>2024254860031</t>
        </is>
      </c>
      <c r="J150" s="99">
        <v>10000000</v>
      </c>
      <c r="K150" s="99">
        <v>0</v>
      </c>
      <c r="L150" s="99">
        <v>10000000</v>
      </c>
      <c r="M150" s="99">
        <v>0</v>
      </c>
      <c r="N150" s="99">
        <v>0</v>
      </c>
      <c r="O150" s="99" t="inlineStr">
        <is>
          <t xml:space="preserve"> </t>
        </is>
      </c>
      <c r="P150" s="99" t="inlineStr">
        <is>
          <t xml:space="preserve"> </t>
        </is>
      </c>
      <c r="Q150" s="99" t="inlineStr">
        <is>
          <t xml:space="preserve"> </t>
        </is>
      </c>
      <c r="R150" s="100" t="inlineStr">
        <is>
          <t xml:space="preserve"> </t>
        </is>
      </c>
      <c r="S150" t="inlineStr">
        <is>
          <t>No se encontró ejecución en CUIPO</t>
        </is>
      </c>
      <c r="T150" s="101" t="inlineStr">
        <is>
          <t xml:space="preserve"> </t>
        </is>
      </c>
      <c r="U150" s="101" t="inlineStr">
        <is>
          <t xml:space="preserve"> </t>
        </is>
      </c>
      <c r="V150" s="101" t="inlineStr">
        <is>
          <t xml:space="preserve"> </t>
        </is>
      </c>
      <c r="W150" s="102" t="inlineStr">
        <is>
          <t xml:space="preserve"> </t>
        </is>
      </c>
      <c r="X150" t="inlineStr">
        <is>
          <t>No se encontró ejecución en CUIPO</t>
        </is>
      </c>
    </row>
    <row r="151">
      <c r="A151" t="inlineStr">
        <is>
          <t>IP-178</t>
        </is>
      </c>
      <c r="B151" t="inlineStr">
        <is>
          <t>35</t>
        </is>
      </c>
      <c r="C151" t="inlineStr">
        <is>
          <t>Comercio, industria y turismo</t>
        </is>
      </c>
      <c r="D151" t="inlineStr">
        <is>
          <t>3502</t>
        </is>
      </c>
      <c r="E151" t="inlineStr">
        <is>
          <t>Productividad y competitividad de las empresas colombianas</t>
        </is>
      </c>
      <c r="F151" t="inlineStr">
        <is>
          <t>3502047</t>
        </is>
      </c>
      <c r="G151" t="inlineStr">
        <is>
          <t>Documentos de planeación</t>
        </is>
      </c>
      <c r="H151" t="inlineStr">
        <is>
          <t>Consiste en la formulación de documentos cuyo objetivo es plasmar una visión de futuro a nivel país, entidad territorial, comunidad, sector, región, entidad o cualquier nivel de desagregación que se requiera, plasmando elementos como políticas públicas, planes objetivos, estrategias, metas e indicadores</t>
        </is>
      </c>
      <c r="I151" t="inlineStr">
        <is>
          <t>2024254860031</t>
        </is>
      </c>
      <c r="J151" s="99">
        <v>30000000</v>
      </c>
      <c r="K151" s="99">
        <v>0</v>
      </c>
      <c r="L151" s="99">
        <v>30000000</v>
      </c>
      <c r="M151" s="99">
        <v>0</v>
      </c>
      <c r="N151" s="99">
        <v>0</v>
      </c>
      <c r="O151" s="99" t="inlineStr">
        <is>
          <t xml:space="preserve"> </t>
        </is>
      </c>
      <c r="P151" s="99" t="inlineStr">
        <is>
          <t xml:space="preserve"> </t>
        </is>
      </c>
      <c r="Q151" s="99" t="inlineStr">
        <is>
          <t xml:space="preserve"> </t>
        </is>
      </c>
      <c r="R151" s="100" t="inlineStr">
        <is>
          <t xml:space="preserve"> </t>
        </is>
      </c>
      <c r="S151" t="inlineStr">
        <is>
          <t>No se encontró ejecución en CUIPO</t>
        </is>
      </c>
      <c r="T151" s="101">
        <v>22200000</v>
      </c>
      <c r="U151" s="101">
        <v>8400000</v>
      </c>
      <c r="V151" s="101">
        <v>8400000</v>
      </c>
      <c r="W151" s="102">
        <v>0.28</v>
      </c>
      <c r="X151" t="inlineStr">
        <is>
          <t>Lo obligado está por debajo de lo programado en la vigencia</t>
        </is>
      </c>
    </row>
    <row r="152">
      <c r="A152" t="inlineStr">
        <is>
          <t>IP-180, IP-182, IP-188</t>
        </is>
      </c>
      <c r="B152" t="inlineStr">
        <is>
          <t>35</t>
        </is>
      </c>
      <c r="C152" t="inlineStr">
        <is>
          <t>Comercio, industria y turismo</t>
        </is>
      </c>
      <c r="D152" t="inlineStr">
        <is>
          <t>3502</t>
        </is>
      </c>
      <c r="E152" t="inlineStr">
        <is>
          <t>Productividad y competitividad de las empresas colombianas</t>
        </is>
      </c>
      <c r="F152" t="inlineStr">
        <is>
          <t>3502010</t>
        </is>
      </c>
      <c r="G152" t="inlineStr">
        <is>
          <t>Servicio de apoyo financiero para agregar valor a los productos y mejorar los canales de comercialización</t>
        </is>
      </c>
      <c r="H152" t="inlineStr">
        <is>
          <t xml:space="preserve">Con este servicio se entregan recursos a las unidades productivas para adecuar el entorno de manera que puedan agregar valor a sus productos y desarrollar canales para comercializarlos  </t>
        </is>
      </c>
      <c r="I152" t="inlineStr">
        <is>
          <t>2024254860031</t>
        </is>
      </c>
      <c r="J152" s="99">
        <v>9682684675.1509</v>
      </c>
      <c r="K152" s="99">
        <v>2937023999</v>
      </c>
      <c r="L152" s="99">
        <v>140000000</v>
      </c>
      <c r="M152" s="99">
        <v>3238068958.8975</v>
      </c>
      <c r="N152" s="99">
        <v>3367591717.2534</v>
      </c>
      <c r="O152" s="99" t="inlineStr">
        <is>
          <t xml:space="preserve"> </t>
        </is>
      </c>
      <c r="P152" s="99" t="inlineStr">
        <is>
          <t xml:space="preserve"> </t>
        </is>
      </c>
      <c r="Q152" s="99" t="inlineStr">
        <is>
          <t xml:space="preserve"> </t>
        </is>
      </c>
      <c r="R152" s="100" t="inlineStr">
        <is>
          <t xml:space="preserve"> </t>
        </is>
      </c>
      <c r="S152" t="inlineStr">
        <is>
          <t>No se encontró ejecución en CUIPO</t>
        </is>
      </c>
      <c r="T152" s="101" t="inlineStr">
        <is>
          <t xml:space="preserve"> </t>
        </is>
      </c>
      <c r="U152" s="101" t="inlineStr">
        <is>
          <t xml:space="preserve"> </t>
        </is>
      </c>
      <c r="V152" s="101" t="inlineStr">
        <is>
          <t xml:space="preserve"> </t>
        </is>
      </c>
      <c r="W152" s="102" t="inlineStr">
        <is>
          <t xml:space="preserve"> </t>
        </is>
      </c>
      <c r="X152" t="inlineStr">
        <is>
          <t>No se encontró ejecución en CUIPO</t>
        </is>
      </c>
    </row>
    <row r="153">
      <c r="A153" t="inlineStr">
        <is>
          <t>IP-181</t>
        </is>
      </c>
      <c r="B153" t="inlineStr">
        <is>
          <t>35</t>
        </is>
      </c>
      <c r="C153" t="inlineStr">
        <is>
          <t>Comercio, industria y turismo</t>
        </is>
      </c>
      <c r="D153" t="inlineStr">
        <is>
          <t>3502</t>
        </is>
      </c>
      <c r="E153" t="inlineStr">
        <is>
          <t>Productividad y competitividad de las empresas colombianas</t>
        </is>
      </c>
      <c r="F153" t="inlineStr">
        <is>
          <t>3502008</t>
        </is>
      </c>
      <c r="G153" t="inlineStr">
        <is>
          <t>Servicio de asistencia técnica para mejorar la competitividad de los sectores productivos</t>
        </is>
      </c>
      <c r="H153" t="inlineStr">
        <is>
          <t>Con este servicio se busca remover cuellos de botella que afecten la competitividad de los sectores productivo de interés para las regiones, específicamente sectores que no están organizados en iniciativas clúster</t>
        </is>
      </c>
      <c r="I153" t="inlineStr">
        <is>
          <t>2024254860031</t>
        </is>
      </c>
      <c r="J153" s="99">
        <v>0</v>
      </c>
      <c r="K153" s="99">
        <v>0</v>
      </c>
      <c r="L153" s="99">
        <v>0</v>
      </c>
      <c r="M153" s="99">
        <v>0</v>
      </c>
      <c r="N153" s="99">
        <v>0</v>
      </c>
      <c r="O153" s="99" t="inlineStr">
        <is>
          <t xml:space="preserve"> </t>
        </is>
      </c>
      <c r="P153" s="99" t="inlineStr">
        <is>
          <t xml:space="preserve"> </t>
        </is>
      </c>
      <c r="Q153" s="99" t="inlineStr">
        <is>
          <t xml:space="preserve"> </t>
        </is>
      </c>
      <c r="R153" s="100" t="inlineStr">
        <is>
          <t xml:space="preserve"> </t>
        </is>
      </c>
      <c r="S153" t="inlineStr">
        <is>
          <t>No se encontró ejecución en CUIPO</t>
        </is>
      </c>
      <c r="T153" s="101" t="inlineStr">
        <is>
          <t xml:space="preserve"> </t>
        </is>
      </c>
      <c r="U153" s="101" t="inlineStr">
        <is>
          <t xml:space="preserve"> </t>
        </is>
      </c>
      <c r="V153" s="101" t="inlineStr">
        <is>
          <t xml:space="preserve"> </t>
        </is>
      </c>
      <c r="W153" s="102" t="inlineStr">
        <is>
          <t xml:space="preserve"> </t>
        </is>
      </c>
      <c r="X153" t="inlineStr">
        <is>
          <t>No se encontró ejecución en CUIPO</t>
        </is>
      </c>
    </row>
    <row r="154">
      <c r="A154" t="inlineStr">
        <is>
          <t>IP-183, IP-184, IP-187</t>
        </is>
      </c>
      <c r="B154" t="inlineStr">
        <is>
          <t>35</t>
        </is>
      </c>
      <c r="C154" t="inlineStr">
        <is>
          <t>Comercio, industria y turismo</t>
        </is>
      </c>
      <c r="D154" t="inlineStr">
        <is>
          <t>3502</t>
        </is>
      </c>
      <c r="E154" t="inlineStr">
        <is>
          <t>Productividad y competitividad de las empresas colombianas</t>
        </is>
      </c>
      <c r="F154" t="inlineStr">
        <is>
          <t>3502036</t>
        </is>
      </c>
      <c r="G154" t="inlineStr">
        <is>
          <t>Servicio de apoyo financiero para la competitividad turística</t>
        </is>
      </c>
      <c r="H154" t="inlineStr">
        <is>
          <t>Con este servicio se busca financiar a través de FONTUR proyectos que se orienten a mejorar la calidad de los recursos turísticos y los factores que los diferencian y los hacen deseables para los turistas. De igual forma mejorar la capacidad de los empresarios del sector de generar rentabilidad y de mantener el negocio en el tiempo.</t>
        </is>
      </c>
      <c r="I154" t="inlineStr">
        <is>
          <t>2024254860031</t>
        </is>
      </c>
      <c r="J154" s="99">
        <v>0</v>
      </c>
      <c r="K154" s="99">
        <v>0</v>
      </c>
      <c r="L154" s="99">
        <v>0</v>
      </c>
      <c r="M154" s="99">
        <v>0</v>
      </c>
      <c r="N154" s="99">
        <v>0</v>
      </c>
      <c r="O154" s="99" t="inlineStr">
        <is>
          <t xml:space="preserve"> </t>
        </is>
      </c>
      <c r="P154" s="99" t="inlineStr">
        <is>
          <t xml:space="preserve"> </t>
        </is>
      </c>
      <c r="Q154" s="99" t="inlineStr">
        <is>
          <t xml:space="preserve"> </t>
        </is>
      </c>
      <c r="R154" s="100" t="inlineStr">
        <is>
          <t xml:space="preserve"> </t>
        </is>
      </c>
      <c r="S154" t="inlineStr">
        <is>
          <t>No se encontró ejecución en CUIPO</t>
        </is>
      </c>
      <c r="T154" s="101" t="inlineStr">
        <is>
          <t xml:space="preserve"> </t>
        </is>
      </c>
      <c r="U154" s="101" t="inlineStr">
        <is>
          <t xml:space="preserve"> </t>
        </is>
      </c>
      <c r="V154" s="101" t="inlineStr">
        <is>
          <t xml:space="preserve"> </t>
        </is>
      </c>
      <c r="W154" s="102" t="inlineStr">
        <is>
          <t xml:space="preserve"> </t>
        </is>
      </c>
      <c r="X154" t="inlineStr">
        <is>
          <t>No se encontró ejecución en CUIPO</t>
        </is>
      </c>
    </row>
    <row r="155">
      <c r="A155" t="inlineStr">
        <is>
          <t>IP-185</t>
        </is>
      </c>
      <c r="B155" t="inlineStr">
        <is>
          <t>35</t>
        </is>
      </c>
      <c r="C155" t="inlineStr">
        <is>
          <t>Comercio, industria y turismo</t>
        </is>
      </c>
      <c r="D155" t="inlineStr">
        <is>
          <t>3502</t>
        </is>
      </c>
      <c r="E155" t="inlineStr">
        <is>
          <t>Productividad y competitividad de las empresas colombianas</t>
        </is>
      </c>
      <c r="F155" t="inlineStr">
        <is>
          <t>3502037</t>
        </is>
      </c>
      <c r="G155" t="inlineStr">
        <is>
          <t>Servicio de apoyo financiero para la promoción turística nacional e internacional</t>
        </is>
      </c>
      <c r="H155" t="inlineStr">
        <is>
          <t>Con este servicio se busca financiar a través de FONTUR proyectos para promover productos  turísticos de crecimiento y alto valor, así como  destinos turísticos a nivel nacional e internacional.</t>
        </is>
      </c>
      <c r="I155" t="inlineStr">
        <is>
          <t>2024254860031</t>
        </is>
      </c>
      <c r="J155" s="99">
        <v>0</v>
      </c>
      <c r="K155" s="99">
        <v>0</v>
      </c>
      <c r="L155" s="99">
        <v>0</v>
      </c>
      <c r="M155" s="99">
        <v>0</v>
      </c>
      <c r="N155" s="99">
        <v>0</v>
      </c>
      <c r="O155" s="99" t="inlineStr">
        <is>
          <t xml:space="preserve"> </t>
        </is>
      </c>
      <c r="P155" s="99" t="inlineStr">
        <is>
          <t xml:space="preserve"> </t>
        </is>
      </c>
      <c r="Q155" s="99" t="inlineStr">
        <is>
          <t xml:space="preserve"> </t>
        </is>
      </c>
      <c r="R155" s="100" t="inlineStr">
        <is>
          <t xml:space="preserve"> </t>
        </is>
      </c>
      <c r="S155" t="inlineStr">
        <is>
          <t>No se encontró ejecución en CUIPO</t>
        </is>
      </c>
      <c r="T155" s="101" t="inlineStr">
        <is>
          <t xml:space="preserve"> </t>
        </is>
      </c>
      <c r="U155" s="101" t="inlineStr">
        <is>
          <t xml:space="preserve"> </t>
        </is>
      </c>
      <c r="V155" s="101" t="inlineStr">
        <is>
          <t xml:space="preserve"> </t>
        </is>
      </c>
      <c r="W155" s="102" t="inlineStr">
        <is>
          <t xml:space="preserve"> </t>
        </is>
      </c>
      <c r="X155" t="inlineStr">
        <is>
          <t>No se encontró ejecución en CUIPO</t>
        </is>
      </c>
    </row>
    <row r="156">
      <c r="A156" t="inlineStr">
        <is>
          <t>IP-189</t>
        </is>
      </c>
      <c r="B156" t="inlineStr">
        <is>
          <t>35</t>
        </is>
      </c>
      <c r="C156" t="inlineStr">
        <is>
          <t>Comercio, industria y turismo</t>
        </is>
      </c>
      <c r="D156" t="inlineStr">
        <is>
          <t>3502</t>
        </is>
      </c>
      <c r="E156" t="inlineStr">
        <is>
          <t>Productividad y competitividad de las empresas colombianas</t>
        </is>
      </c>
      <c r="F156" t="inlineStr">
        <is>
          <t>3502012</t>
        </is>
      </c>
      <c r="G156" t="inlineStr">
        <is>
          <t>Servicio de apoyo para la modernización y fomento de la innovación empresarial</t>
        </is>
      </c>
      <c r="H156" t="inlineStr">
        <is>
          <t>Comprende instrumentos financieros y no financieros, de programas, proyectos y actividades para la innovación, el fomento y promoción empresarial. Los no financieros incluyen formación de capacidades, de transferencia de tecnología, de mentalidad y cultura, de profundización de redes y generación de información para el ecosistema de innovación y emprendimiento en Colombia.</t>
        </is>
      </c>
      <c r="I156" t="inlineStr">
        <is>
          <t>2024254860031</t>
        </is>
      </c>
      <c r="J156" s="99">
        <v>0</v>
      </c>
      <c r="K156" s="99">
        <v>0</v>
      </c>
      <c r="L156" s="99">
        <v>0</v>
      </c>
      <c r="M156" s="99">
        <v>0</v>
      </c>
      <c r="N156" s="99">
        <v>0</v>
      </c>
      <c r="O156" s="99" t="inlineStr">
        <is>
          <t xml:space="preserve"> </t>
        </is>
      </c>
      <c r="P156" s="99" t="inlineStr">
        <is>
          <t xml:space="preserve"> </t>
        </is>
      </c>
      <c r="Q156" s="99" t="inlineStr">
        <is>
          <t xml:space="preserve"> </t>
        </is>
      </c>
      <c r="R156" s="100" t="inlineStr">
        <is>
          <t xml:space="preserve"> </t>
        </is>
      </c>
      <c r="S156" t="inlineStr">
        <is>
          <t>No se encontró ejecución en CUIPO</t>
        </is>
      </c>
      <c r="T156" s="101" t="inlineStr">
        <is>
          <t xml:space="preserve"> </t>
        </is>
      </c>
      <c r="U156" s="101" t="inlineStr">
        <is>
          <t xml:space="preserve"> </t>
        </is>
      </c>
      <c r="V156" s="101" t="inlineStr">
        <is>
          <t xml:space="preserve"> </t>
        </is>
      </c>
      <c r="W156" s="102" t="inlineStr">
        <is>
          <t xml:space="preserve"> </t>
        </is>
      </c>
      <c r="X156" t="inlineStr">
        <is>
          <t>No se encontró ejecución en CUIPO</t>
        </is>
      </c>
    </row>
    <row r="157">
      <c r="A157" t="inlineStr">
        <is>
          <t>IP-190</t>
        </is>
      </c>
      <c r="B157" t="inlineStr">
        <is>
          <t>39</t>
        </is>
      </c>
      <c r="C157" t="inlineStr">
        <is>
          <t xml:space="preserve">Ciencia, tecnología e innovación
</t>
        </is>
      </c>
      <c r="D157" t="inlineStr">
        <is>
          <t>3905</t>
        </is>
      </c>
      <c r="E157" t="inlineStr">
        <is>
          <t>Fortalecimiento de la gobernanza e institucionalidad multinivel del sector de CTeI</t>
        </is>
      </c>
      <c r="F157" t="inlineStr">
        <is>
          <t>3905002</t>
        </is>
      </c>
      <c r="G157" t="inlineStr">
        <is>
          <t>Documentos de política</t>
        </is>
      </c>
      <c r="H157" t="inlineStr">
        <is>
          <t xml:space="preserve">Documentos cuyo objetivo es dar una orientación frente a las acciones que el Estado debe realizar en el marco de un tema específico con el fin de suplir necesidades de interés público, materializables en los diferentes instrumentos de planeación y presupuestación                 </t>
        </is>
      </c>
      <c r="I157" t="inlineStr">
        <is>
          <t>2024254860032</t>
        </is>
      </c>
      <c r="J157" s="99">
        <v>0</v>
      </c>
      <c r="K157" s="99">
        <v>0</v>
      </c>
      <c r="L157" s="99">
        <v>0</v>
      </c>
      <c r="M157" s="99">
        <v>0</v>
      </c>
      <c r="N157" s="99">
        <v>0</v>
      </c>
      <c r="O157" s="99" t="inlineStr">
        <is>
          <t xml:space="preserve"> </t>
        </is>
      </c>
      <c r="P157" s="99" t="inlineStr">
        <is>
          <t xml:space="preserve"> </t>
        </is>
      </c>
      <c r="Q157" s="99" t="inlineStr">
        <is>
          <t xml:space="preserve"> </t>
        </is>
      </c>
      <c r="R157" s="100" t="inlineStr">
        <is>
          <t xml:space="preserve"> </t>
        </is>
      </c>
      <c r="S157" t="inlineStr">
        <is>
          <t>No se encontró ejecución en CUIPO</t>
        </is>
      </c>
      <c r="T157" s="101" t="inlineStr">
        <is>
          <t xml:space="preserve"> </t>
        </is>
      </c>
      <c r="U157" s="101" t="inlineStr">
        <is>
          <t xml:space="preserve"> </t>
        </is>
      </c>
      <c r="V157" s="101" t="inlineStr">
        <is>
          <t xml:space="preserve"> </t>
        </is>
      </c>
      <c r="W157" s="102" t="inlineStr">
        <is>
          <t xml:space="preserve"> </t>
        </is>
      </c>
      <c r="X157" t="inlineStr">
        <is>
          <t>No se encontró ejecución en CUIPO</t>
        </is>
      </c>
    </row>
    <row r="158">
      <c r="A158" t="inlineStr">
        <is>
          <t>IP-191</t>
        </is>
      </c>
      <c r="B158" t="inlineStr">
        <is>
          <t>39</t>
        </is>
      </c>
      <c r="C158" t="inlineStr">
        <is>
          <t xml:space="preserve">Ciencia, tecnología e innovación
</t>
        </is>
      </c>
      <c r="D158" t="inlineStr">
        <is>
          <t>3906</t>
        </is>
      </c>
      <c r="E158" t="inlineStr">
        <is>
          <t>Fomento a vocaciones y formación, generación, uso y apropiación social del conocimiento de la ciencia, tecnología e innovación</t>
        </is>
      </c>
      <c r="F158" t="inlineStr">
        <is>
          <t>3906001</t>
        </is>
      </c>
      <c r="G158" t="inlineStr">
        <is>
          <t>Servicio de apoyo financiero para el fortalecimiento de las vocaciones científicas en CTI</t>
        </is>
      </c>
      <c r="H158" t="inlineStr">
        <is>
          <t>Servicio mediante el cual se otorga apoyo financiero para incentivar las vocaciones científicas en niños, niñas y adolescentes mediante las cuales se promueve el desarrollo de actitudes y habilidades de investigación en CTI</t>
        </is>
      </c>
      <c r="I158" t="inlineStr">
        <is>
          <t>2024254860033</t>
        </is>
      </c>
      <c r="J158" s="99">
        <v>0</v>
      </c>
      <c r="K158" s="99">
        <v>0</v>
      </c>
      <c r="L158" s="99">
        <v>0</v>
      </c>
      <c r="M158" s="99">
        <v>0</v>
      </c>
      <c r="N158" s="99">
        <v>0</v>
      </c>
      <c r="O158" s="99" t="inlineStr">
        <is>
          <t xml:space="preserve"> </t>
        </is>
      </c>
      <c r="P158" s="99" t="inlineStr">
        <is>
          <t xml:space="preserve"> </t>
        </is>
      </c>
      <c r="Q158" s="99" t="inlineStr">
        <is>
          <t xml:space="preserve"> </t>
        </is>
      </c>
      <c r="R158" s="100" t="inlineStr">
        <is>
          <t xml:space="preserve"> </t>
        </is>
      </c>
      <c r="S158" t="inlineStr">
        <is>
          <t>No se encontró ejecución en CUIPO</t>
        </is>
      </c>
      <c r="T158" s="101" t="inlineStr">
        <is>
          <t xml:space="preserve"> </t>
        </is>
      </c>
      <c r="U158" s="101" t="inlineStr">
        <is>
          <t xml:space="preserve"> </t>
        </is>
      </c>
      <c r="V158" s="101" t="inlineStr">
        <is>
          <t xml:space="preserve"> </t>
        </is>
      </c>
      <c r="W158" s="102" t="inlineStr">
        <is>
          <t xml:space="preserve"> </t>
        </is>
      </c>
      <c r="X158" t="inlineStr">
        <is>
          <t>No se encontró ejecución en CUIPO</t>
        </is>
      </c>
    </row>
    <row r="159">
      <c r="A159" t="inlineStr">
        <is>
          <t>IP-192</t>
        </is>
      </c>
      <c r="B159" t="inlineStr">
        <is>
          <t>39</t>
        </is>
      </c>
      <c r="C159" t="inlineStr">
        <is>
          <t xml:space="preserve">Ciencia, tecnología e innovación
</t>
        </is>
      </c>
      <c r="D159" t="inlineStr">
        <is>
          <t>3906</t>
        </is>
      </c>
      <c r="E159" t="inlineStr">
        <is>
          <t>Fomento a vocaciones y formación, generación, uso y apropiación social del conocimiento de la ciencia, tecnología e innovación</t>
        </is>
      </c>
      <c r="F159" t="inlineStr">
        <is>
          <t>3906011</t>
        </is>
      </c>
      <c r="G159" t="inlineStr">
        <is>
          <t>Servicio de apropiación social del conocimiento</t>
        </is>
      </c>
      <c r="H159" t="inlineStr">
        <is>
          <t>Servicio mediante el cual se realizan actividades que incluyen, entre otras:  estrategias necesarias para la sensibilización, socialización y apropiación social del conocimiento a nivel local, regional y nacional en temáticas especiales por medio de la implementación, seguimiento, acompañamiento y evaluación que promuevan el acceso a la información, fomenten la conciencia pública, la capacitación, la educación, la investigación y la participación.</t>
        </is>
      </c>
      <c r="I159" t="inlineStr">
        <is>
          <t>2024254860033</t>
        </is>
      </c>
      <c r="J159" s="99">
        <v>0</v>
      </c>
      <c r="K159" s="99">
        <v>0</v>
      </c>
      <c r="L159" s="99">
        <v>0</v>
      </c>
      <c r="M159" s="99">
        <v>0</v>
      </c>
      <c r="N159" s="99">
        <v>0</v>
      </c>
      <c r="O159" s="99" t="inlineStr">
        <is>
          <t xml:space="preserve"> </t>
        </is>
      </c>
      <c r="P159" s="99" t="inlineStr">
        <is>
          <t xml:space="preserve"> </t>
        </is>
      </c>
      <c r="Q159" s="99" t="inlineStr">
        <is>
          <t xml:space="preserve"> </t>
        </is>
      </c>
      <c r="R159" s="100" t="inlineStr">
        <is>
          <t xml:space="preserve"> </t>
        </is>
      </c>
      <c r="S159" t="inlineStr">
        <is>
          <t>No se encontró ejecución en CUIPO</t>
        </is>
      </c>
      <c r="T159" s="101" t="inlineStr">
        <is>
          <t xml:space="preserve"> </t>
        </is>
      </c>
      <c r="U159" s="101" t="inlineStr">
        <is>
          <t xml:space="preserve"> </t>
        </is>
      </c>
      <c r="V159" s="101" t="inlineStr">
        <is>
          <t xml:space="preserve"> </t>
        </is>
      </c>
      <c r="W159" s="102" t="inlineStr">
        <is>
          <t xml:space="preserve"> </t>
        </is>
      </c>
      <c r="X159" t="inlineStr">
        <is>
          <t>No se encontró ejecución en CUIPO</t>
        </is>
      </c>
    </row>
    <row r="160">
      <c r="A160" t="inlineStr">
        <is>
          <t>IP-193</t>
        </is>
      </c>
      <c r="B160" t="inlineStr">
        <is>
          <t>39</t>
        </is>
      </c>
      <c r="C160" t="inlineStr">
        <is>
          <t xml:space="preserve">Ciencia, tecnología e innovación
</t>
        </is>
      </c>
      <c r="D160" t="inlineStr">
        <is>
          <t>3906</t>
        </is>
      </c>
      <c r="E160" t="inlineStr">
        <is>
          <t>Fomento a vocaciones y formación, generación, uso y apropiación social del conocimiento de la ciencia, tecnología e innovación</t>
        </is>
      </c>
      <c r="F160" t="inlineStr">
        <is>
          <t>3906009</t>
        </is>
      </c>
      <c r="G160" t="inlineStr">
        <is>
          <t>Servicios de apoyo financiero para programas y proyectos de CTI que promueven la innovación, la transferencia tecnológica y el emprendimiento</t>
        </is>
      </c>
      <c r="H160" t="inlineStr">
        <is>
          <t>Servicio mediante el cual se realiza apoyo financiero a los programas y proyectos de CTI, que promuevan: la innovación empresarial, emprendimiento, la transferencia tecnológica  y la protección de conocimiento</t>
        </is>
      </c>
      <c r="I160" t="inlineStr">
        <is>
          <t>2024254860033</t>
        </is>
      </c>
      <c r="J160" s="99">
        <v>0</v>
      </c>
      <c r="K160" s="99">
        <v>0</v>
      </c>
      <c r="L160" s="99">
        <v>0</v>
      </c>
      <c r="M160" s="99">
        <v>0</v>
      </c>
      <c r="N160" s="99">
        <v>0</v>
      </c>
      <c r="O160" s="99" t="inlineStr">
        <is>
          <t xml:space="preserve"> </t>
        </is>
      </c>
      <c r="P160" s="99" t="inlineStr">
        <is>
          <t xml:space="preserve"> </t>
        </is>
      </c>
      <c r="Q160" s="99" t="inlineStr">
        <is>
          <t xml:space="preserve"> </t>
        </is>
      </c>
      <c r="R160" s="100" t="inlineStr">
        <is>
          <t xml:space="preserve"> </t>
        </is>
      </c>
      <c r="S160" t="inlineStr">
        <is>
          <t>No se encontró ejecución en CUIPO</t>
        </is>
      </c>
      <c r="T160" s="101" t="inlineStr">
        <is>
          <t xml:space="preserve"> </t>
        </is>
      </c>
      <c r="U160" s="101" t="inlineStr">
        <is>
          <t xml:space="preserve"> </t>
        </is>
      </c>
      <c r="V160" s="101" t="inlineStr">
        <is>
          <t xml:space="preserve"> </t>
        </is>
      </c>
      <c r="W160" s="102" t="inlineStr">
        <is>
          <t xml:space="preserve"> </t>
        </is>
      </c>
      <c r="X160" t="inlineStr">
        <is>
          <t>No se encontró ejecución en CUIPO</t>
        </is>
      </c>
    </row>
    <row r="161">
      <c r="A161" t="inlineStr">
        <is>
          <t>IP-194, IP-195, IP-202</t>
        </is>
      </c>
      <c r="B161" t="inlineStr">
        <is>
          <t>36</t>
        </is>
      </c>
      <c r="C161" t="inlineStr">
        <is>
          <t>Trabajo</t>
        </is>
      </c>
      <c r="D161" t="inlineStr">
        <is>
          <t>3602</t>
        </is>
      </c>
      <c r="E161" t="inlineStr">
        <is>
          <t>Generación y formalización del empleo</t>
        </is>
      </c>
      <c r="F161" t="inlineStr">
        <is>
          <t>3602032</t>
        </is>
      </c>
      <c r="G161" t="inlineStr">
        <is>
          <t>Servicio de asesoría técnica para el emprendimiento</t>
        </is>
      </c>
      <c r="H161" t="inlineStr">
        <is>
          <t>Comprende la asesoría a emprendedores con iniciativas productivas para la identificación de oportunidades de negocio, ideación y validación en el mercado de las mismas a fin de lograr consolidar unidades productivas con acceso a mercados y activos productivos.</t>
        </is>
      </c>
      <c r="I161" t="inlineStr">
        <is>
          <t>2024254860034</t>
        </is>
      </c>
      <c r="J161" s="99">
        <v>0</v>
      </c>
      <c r="K161" s="99">
        <v>0</v>
      </c>
      <c r="L161" s="99">
        <v>0</v>
      </c>
      <c r="M161" s="99">
        <v>0</v>
      </c>
      <c r="N161" s="99">
        <v>0</v>
      </c>
      <c r="O161" s="99" t="inlineStr">
        <is>
          <t xml:space="preserve"> </t>
        </is>
      </c>
      <c r="P161" s="99" t="inlineStr">
        <is>
          <t xml:space="preserve"> </t>
        </is>
      </c>
      <c r="Q161" s="99" t="inlineStr">
        <is>
          <t xml:space="preserve"> </t>
        </is>
      </c>
      <c r="R161" s="100" t="inlineStr">
        <is>
          <t xml:space="preserve"> </t>
        </is>
      </c>
      <c r="S161" t="inlineStr">
        <is>
          <t>No se encontró ejecución en CUIPO</t>
        </is>
      </c>
      <c r="T161" s="101" t="inlineStr">
        <is>
          <t xml:space="preserve"> </t>
        </is>
      </c>
      <c r="U161" s="101" t="inlineStr">
        <is>
          <t xml:space="preserve"> </t>
        </is>
      </c>
      <c r="V161" s="101" t="inlineStr">
        <is>
          <t xml:space="preserve"> </t>
        </is>
      </c>
      <c r="W161" s="102" t="inlineStr">
        <is>
          <t xml:space="preserve"> </t>
        </is>
      </c>
      <c r="X161" t="inlineStr">
        <is>
          <t>No se encontró ejecución en CUIPO</t>
        </is>
      </c>
    </row>
    <row r="162">
      <c r="A162" t="inlineStr">
        <is>
          <t>IP-196, IP-201</t>
        </is>
      </c>
      <c r="B162" t="inlineStr">
        <is>
          <t>36</t>
        </is>
      </c>
      <c r="C162" t="inlineStr">
        <is>
          <t>Trabajo</t>
        </is>
      </c>
      <c r="D162" t="inlineStr">
        <is>
          <t>3605</t>
        </is>
      </c>
      <c r="E162" t="inlineStr">
        <is>
          <t>Fomento de la investigación, desarrollo tecnológico e innovación del sector trabajo</t>
        </is>
      </c>
      <c r="F162" t="inlineStr">
        <is>
          <t>3605007</t>
        </is>
      </c>
      <c r="G162" t="inlineStr">
        <is>
          <t>Servicio de investigación, desarrollo e innovación tecnológica orientados a la competitividad del mercado del trabajo</t>
        </is>
      </c>
      <c r="H162" t="inlineStr">
        <is>
          <t>Hace referencia a los servicios de apoyo financiero para la creación de parques tecnológicos, proyectos de investigación y/o innovación, al igual que al fortalecimiento de la oferta de servicios tecnológicos para las empresas.</t>
        </is>
      </c>
      <c r="I162" t="inlineStr">
        <is>
          <t>2024254860037</t>
        </is>
      </c>
      <c r="J162" s="99">
        <v>22000000</v>
      </c>
      <c r="K162" s="99">
        <v>0</v>
      </c>
      <c r="L162" s="99">
        <v>22000000</v>
      </c>
      <c r="M162" s="99">
        <v>0</v>
      </c>
      <c r="N162" s="99">
        <v>0</v>
      </c>
      <c r="O162" s="99" t="inlineStr">
        <is>
          <t xml:space="preserve"> </t>
        </is>
      </c>
      <c r="P162" s="99" t="inlineStr">
        <is>
          <t xml:space="preserve"> </t>
        </is>
      </c>
      <c r="Q162" s="99" t="inlineStr">
        <is>
          <t xml:space="preserve"> </t>
        </is>
      </c>
      <c r="R162" s="100" t="inlineStr">
        <is>
          <t xml:space="preserve"> </t>
        </is>
      </c>
      <c r="S162" t="inlineStr">
        <is>
          <t>No se encontró ejecución en CUIPO</t>
        </is>
      </c>
      <c r="T162" s="101" t="inlineStr">
        <is>
          <t xml:space="preserve"> </t>
        </is>
      </c>
      <c r="U162" s="101" t="inlineStr">
        <is>
          <t xml:space="preserve"> </t>
        </is>
      </c>
      <c r="V162" s="101" t="inlineStr">
        <is>
          <t xml:space="preserve"> </t>
        </is>
      </c>
      <c r="W162" s="102" t="inlineStr">
        <is>
          <t xml:space="preserve"> </t>
        </is>
      </c>
      <c r="X162" t="inlineStr">
        <is>
          <t>No se encontró ejecución en CUIPO</t>
        </is>
      </c>
    </row>
    <row r="163">
      <c r="A163" t="inlineStr">
        <is>
          <t>IP-197</t>
        </is>
      </c>
      <c r="B163" t="inlineStr">
        <is>
          <t>36</t>
        </is>
      </c>
      <c r="C163" t="inlineStr">
        <is>
          <t>Trabajo</t>
        </is>
      </c>
      <c r="D163" t="inlineStr">
        <is>
          <t>3605</t>
        </is>
      </c>
      <c r="E163" t="inlineStr">
        <is>
          <t>Fomento de la investigación, desarrollo tecnológico e innovación del sector trabajo</t>
        </is>
      </c>
      <c r="F163" t="inlineStr">
        <is>
          <t>3605017</t>
        </is>
      </c>
      <c r="G163" t="inlineStr">
        <is>
          <t>Servicio de asistencia técnica para el fortalecimiento de la red de prestadores del Servicio Público de Empleo</t>
        </is>
      </c>
      <c r="H163" t="inlineStr">
        <is>
          <t>Comprende asistencia técnica y transferencia de conocimientos relacionados con herramientas, instrumentos y demás acciones que permiten la gestión y fortalecimiento de los prestadores del SPE y la gestión empresarial que realizan los prestadores del SPE autorizados a nivel nacional</t>
        </is>
      </c>
      <c r="I163" t="inlineStr">
        <is>
          <t>2024254860037</t>
        </is>
      </c>
      <c r="J163" s="99">
        <v>24728834</v>
      </c>
      <c r="K163" s="99">
        <v>5000000</v>
      </c>
      <c r="L163" s="99">
        <v>8483334</v>
      </c>
      <c r="M163" s="99">
        <v>5512500</v>
      </c>
      <c r="N163" s="99">
        <v>5733000</v>
      </c>
      <c r="O163" s="99">
        <v>4597333</v>
      </c>
      <c r="P163" s="99">
        <v>4597333</v>
      </c>
      <c r="Q163" s="99">
        <v>4597333</v>
      </c>
      <c r="R163" s="100">
        <v>0.9194666</v>
      </c>
      <c r="S163" t="inlineStr">
        <is>
          <t>Lo obligado está por debajo de lo programado en la vigencia</t>
        </is>
      </c>
      <c r="T163" s="101">
        <v>12663334</v>
      </c>
      <c r="U163" s="101">
        <v>10573334</v>
      </c>
      <c r="V163" s="101">
        <v>10573334</v>
      </c>
      <c r="W163" s="102">
        <v>1.24636540303612</v>
      </c>
      <c r="X163" t="inlineStr">
        <is>
          <t>Hubo ejecución por encima de lo programado en SisPT</t>
        </is>
      </c>
    </row>
    <row r="164">
      <c r="A164" t="inlineStr">
        <is>
          <t>IP-198</t>
        </is>
      </c>
      <c r="B164" t="inlineStr">
        <is>
          <t>36</t>
        </is>
      </c>
      <c r="C164" t="inlineStr">
        <is>
          <t>Trabajo</t>
        </is>
      </c>
      <c r="D164" t="inlineStr">
        <is>
          <t>3602</t>
        </is>
      </c>
      <c r="E164" t="inlineStr">
        <is>
          <t>Generación y formalización del empleo</t>
        </is>
      </c>
      <c r="F164" t="inlineStr">
        <is>
          <t>3602004</t>
        </is>
      </c>
      <c r="G164" t="inlineStr">
        <is>
          <t>Servicio de colocación laboral</t>
        </is>
      </c>
      <c r="H164" t="inlineStr">
        <is>
          <t>La colocación laboral es la que realiza actividades dirigidas a vincular buscadores de empleo y vacantes, brindando información para la mejor búsqueda.</t>
        </is>
      </c>
      <c r="I164" t="inlineStr">
        <is>
          <t>2024254860034</t>
        </is>
      </c>
      <c r="J164" s="99">
        <v>0</v>
      </c>
      <c r="K164" s="99">
        <v>0</v>
      </c>
      <c r="L164" s="99">
        <v>0</v>
      </c>
      <c r="M164" s="99">
        <v>0</v>
      </c>
      <c r="N164" s="99">
        <v>0</v>
      </c>
      <c r="O164" s="99">
        <v>348722</v>
      </c>
      <c r="P164" s="99">
        <v>348722</v>
      </c>
      <c r="Q164" s="99">
        <v>348722</v>
      </c>
      <c r="R164" s="100" t="inlineStr">
        <is>
          <t xml:space="preserve"> </t>
        </is>
      </c>
      <c r="S164" t="inlineStr">
        <is>
          <t>Se ejecutó un producto no programado en la vigencia</t>
        </is>
      </c>
      <c r="T164" s="101" t="inlineStr">
        <is>
          <t xml:space="preserve"> </t>
        </is>
      </c>
      <c r="U164" s="101" t="inlineStr">
        <is>
          <t xml:space="preserve"> </t>
        </is>
      </c>
      <c r="V164" s="101" t="inlineStr">
        <is>
          <t xml:space="preserve"> </t>
        </is>
      </c>
      <c r="W164" s="102" t="inlineStr">
        <is>
          <t xml:space="preserve"> </t>
        </is>
      </c>
      <c r="X164" t="inlineStr">
        <is>
          <t>No se encontró ejecución en CUIPO</t>
        </is>
      </c>
    </row>
    <row r="165">
      <c r="A165" t="inlineStr">
        <is>
          <t>IP-199</t>
        </is>
      </c>
      <c r="B165" t="inlineStr">
        <is>
          <t>36</t>
        </is>
      </c>
      <c r="C165" t="inlineStr">
        <is>
          <t>Trabajo</t>
        </is>
      </c>
      <c r="D165" t="inlineStr">
        <is>
          <t>3603</t>
        </is>
      </c>
      <c r="E165" t="inlineStr">
        <is>
          <t>Formación para el trabajo</t>
        </is>
      </c>
      <c r="F165" t="inlineStr">
        <is>
          <t>3603005</t>
        </is>
      </c>
      <c r="G165" t="inlineStr">
        <is>
          <t>Servicio de certificación de desempeño laboral</t>
        </is>
      </c>
      <c r="H165" t="inlineStr">
        <is>
          <t xml:space="preserve">Es  el proceso por medio del cual un evaluador recoge evidencias de desempeño, producto y conocimiento de una persona con el fin de determinar su nivel de competencia (básico, intermedio o avanzado), para desempeñar una función productiva, centrándose en el desempeño real de las personas y con base en un referente que es la Norma de Competencia Laboral y/o el esquema de certificación. </t>
        </is>
      </c>
      <c r="I165" t="inlineStr">
        <is>
          <t>2024254860035</t>
        </is>
      </c>
      <c r="J165" s="99">
        <v>0</v>
      </c>
      <c r="K165" s="99">
        <v>0</v>
      </c>
      <c r="L165" s="99">
        <v>0</v>
      </c>
      <c r="M165" s="99">
        <v>0</v>
      </c>
      <c r="N165" s="99">
        <v>0</v>
      </c>
      <c r="O165" s="99" t="inlineStr">
        <is>
          <t xml:space="preserve"> </t>
        </is>
      </c>
      <c r="P165" s="99" t="inlineStr">
        <is>
          <t xml:space="preserve"> </t>
        </is>
      </c>
      <c r="Q165" s="99" t="inlineStr">
        <is>
          <t xml:space="preserve"> </t>
        </is>
      </c>
      <c r="R165" s="100" t="inlineStr">
        <is>
          <t xml:space="preserve"> </t>
        </is>
      </c>
      <c r="S165" t="inlineStr">
        <is>
          <t>No se encontró ejecución en CUIPO</t>
        </is>
      </c>
      <c r="T165" s="101" t="inlineStr">
        <is>
          <t xml:space="preserve"> </t>
        </is>
      </c>
      <c r="U165" s="101" t="inlineStr">
        <is>
          <t xml:space="preserve"> </t>
        </is>
      </c>
      <c r="V165" s="101" t="inlineStr">
        <is>
          <t xml:space="preserve"> </t>
        </is>
      </c>
      <c r="W165" s="102" t="inlineStr">
        <is>
          <t xml:space="preserve"> </t>
        </is>
      </c>
      <c r="X165" t="inlineStr">
        <is>
          <t>No se encontró ejecución en CUIPO</t>
        </is>
      </c>
    </row>
    <row r="166">
      <c r="A166" t="inlineStr">
        <is>
          <t>IP-200</t>
        </is>
      </c>
      <c r="B166" t="inlineStr">
        <is>
          <t>36</t>
        </is>
      </c>
      <c r="C166" t="inlineStr">
        <is>
          <t>Trabajo</t>
        </is>
      </c>
      <c r="D166" t="inlineStr">
        <is>
          <t>3604</t>
        </is>
      </c>
      <c r="E166" t="inlineStr">
        <is>
          <t>Derechos fundamentales del trabajo y fortalecimiento del diálogo social</t>
        </is>
      </c>
      <c r="F166" t="inlineStr">
        <is>
          <t>3604006</t>
        </is>
      </c>
      <c r="G166" t="inlineStr">
        <is>
          <t>Servicio de educación informal para la prevención integral del trabajo infantil</t>
        </is>
      </c>
      <c r="H166" t="inlineStr">
        <is>
          <t>Servicio que presta el Ministerio del Trabajo a nivel nacional y territorial para dar a conocer los lineamientos, estrategias, rutas de atención y demás mecanismos para promover la prevención y erradicación del trabajo infantil.</t>
        </is>
      </c>
      <c r="I166" t="inlineStr">
        <is>
          <t>2024254860036</t>
        </is>
      </c>
      <c r="J166" s="99">
        <v>0</v>
      </c>
      <c r="K166" s="99">
        <v>0</v>
      </c>
      <c r="L166" s="99">
        <v>0</v>
      </c>
      <c r="M166" s="99">
        <v>0</v>
      </c>
      <c r="N166" s="99">
        <v>0</v>
      </c>
      <c r="O166" s="99" t="inlineStr">
        <is>
          <t xml:space="preserve"> </t>
        </is>
      </c>
      <c r="P166" s="99" t="inlineStr">
        <is>
          <t xml:space="preserve"> </t>
        </is>
      </c>
      <c r="Q166" s="99" t="inlineStr">
        <is>
          <t xml:space="preserve"> </t>
        </is>
      </c>
      <c r="R166" s="100" t="inlineStr">
        <is>
          <t xml:space="preserve"> </t>
        </is>
      </c>
      <c r="S166" t="inlineStr">
        <is>
          <t>No se encontró ejecución en CUIPO</t>
        </is>
      </c>
      <c r="T166" s="101" t="inlineStr">
        <is>
          <t xml:space="preserve"> </t>
        </is>
      </c>
      <c r="U166" s="101" t="inlineStr">
        <is>
          <t xml:space="preserve"> </t>
        </is>
      </c>
      <c r="V166" s="101" t="inlineStr">
        <is>
          <t xml:space="preserve"> </t>
        </is>
      </c>
      <c r="W166" s="102" t="inlineStr">
        <is>
          <t xml:space="preserve"> </t>
        </is>
      </c>
      <c r="X166" t="inlineStr">
        <is>
          <t>No se encontró ejecución en CUIPO</t>
        </is>
      </c>
    </row>
    <row r="167">
      <c r="A167" t="inlineStr">
        <is>
          <t>IP-203, IP-205</t>
        </is>
      </c>
      <c r="B167" t="inlineStr">
        <is>
          <t>24</t>
        </is>
      </c>
      <c r="C167" t="inlineStr">
        <is>
          <t>Transporte</t>
        </is>
      </c>
      <c r="D167" t="inlineStr">
        <is>
          <t>2402</t>
        </is>
      </c>
      <c r="E167" t="inlineStr">
        <is>
          <t>Infraestructura red vial regional</t>
        </is>
      </c>
      <c r="F167" t="inlineStr">
        <is>
          <t>2402118</t>
        </is>
      </c>
      <c r="G167" t="inlineStr">
        <is>
          <t>Estudios de preinversión para la red vial regional</t>
        </is>
      </c>
      <c r="H167" t="inlineStr">
        <is>
          <t>Incluye la realización de los estudios requeridos en las fases de pre factibilidad, factibilidad o definitivos.</t>
        </is>
      </c>
      <c r="I167" t="inlineStr">
        <is>
          <t>2024254860038</t>
        </is>
      </c>
      <c r="J167" s="99">
        <v>80000000</v>
      </c>
      <c r="K167" s="99">
        <v>0</v>
      </c>
      <c r="L167" s="99">
        <v>80000000</v>
      </c>
      <c r="M167" s="99">
        <v>0</v>
      </c>
      <c r="N167" s="99">
        <v>0</v>
      </c>
      <c r="O167" s="99" t="inlineStr">
        <is>
          <t xml:space="preserve"> </t>
        </is>
      </c>
      <c r="P167" s="99" t="inlineStr">
        <is>
          <t xml:space="preserve"> </t>
        </is>
      </c>
      <c r="Q167" s="99" t="inlineStr">
        <is>
          <t xml:space="preserve"> </t>
        </is>
      </c>
      <c r="R167" s="100" t="inlineStr">
        <is>
          <t xml:space="preserve"> </t>
        </is>
      </c>
      <c r="S167" t="inlineStr">
        <is>
          <t>No se encontró ejecución en CUIPO</t>
        </is>
      </c>
      <c r="T167" s="101">
        <v>79999999</v>
      </c>
      <c r="U167" s="101">
        <v>0</v>
      </c>
      <c r="V167" s="101">
        <v>0</v>
      </c>
      <c r="W167" s="102">
        <v>0</v>
      </c>
      <c r="X167" t="inlineStr">
        <is>
          <t>No se ejecutó en la vigencia</t>
        </is>
      </c>
    </row>
    <row r="168">
      <c r="A168" t="inlineStr">
        <is>
          <t>IP-204</t>
        </is>
      </c>
      <c r="B168" t="inlineStr">
        <is>
          <t>24</t>
        </is>
      </c>
      <c r="C168" t="inlineStr">
        <is>
          <t>Transporte</t>
        </is>
      </c>
      <c r="D168" t="inlineStr">
        <is>
          <t>2402</t>
        </is>
      </c>
      <c r="E168" t="inlineStr">
        <is>
          <t>Infraestructura red vial regional</t>
        </is>
      </c>
      <c r="F168" t="inlineStr">
        <is>
          <t>2402141</t>
        </is>
      </c>
      <c r="G168" t="inlineStr">
        <is>
          <t>Banco de maquinaria con mantenimiento mayor, repotenciado o renovado</t>
        </is>
      </c>
      <c r="H168" t="inlineStr">
        <is>
          <t>Corresponde a las acciones de mantenimiento mayor, repotenciación o modernización de maquinaria, encaminadas a recuperar las condiciones técnicas iniciales de los equipos y máquinas del banco de maquinaria amarilla</t>
        </is>
      </c>
      <c r="I168" t="inlineStr">
        <is>
          <t>2024254860038</t>
        </is>
      </c>
      <c r="J168" s="99">
        <v>1722787550.8493</v>
      </c>
      <c r="K168" s="99">
        <v>472116323</v>
      </c>
      <c r="L168" s="99">
        <v>188834405.79</v>
      </c>
      <c r="M168" s="99">
        <v>520508246.1075</v>
      </c>
      <c r="N168" s="99">
        <v>541328575.9518</v>
      </c>
      <c r="O168" s="99" t="inlineStr">
        <is>
          <t xml:space="preserve"> </t>
        </is>
      </c>
      <c r="P168" s="99" t="inlineStr">
        <is>
          <t xml:space="preserve"> </t>
        </is>
      </c>
      <c r="Q168" s="99" t="inlineStr">
        <is>
          <t xml:space="preserve"> </t>
        </is>
      </c>
      <c r="R168" s="100" t="inlineStr">
        <is>
          <t xml:space="preserve"> </t>
        </is>
      </c>
      <c r="S168" t="inlineStr">
        <is>
          <t>No se encontró ejecución en CUIPO</t>
        </is>
      </c>
      <c r="T168" s="101" t="inlineStr">
        <is>
          <t xml:space="preserve"> </t>
        </is>
      </c>
      <c r="U168" s="101" t="inlineStr">
        <is>
          <t xml:space="preserve"> </t>
        </is>
      </c>
      <c r="V168" s="101" t="inlineStr">
        <is>
          <t xml:space="preserve"> </t>
        </is>
      </c>
      <c r="W168" s="102" t="inlineStr">
        <is>
          <t xml:space="preserve"> </t>
        </is>
      </c>
      <c r="X168" t="inlineStr">
        <is>
          <t>No se encontró ejecución en CUIPO</t>
        </is>
      </c>
    </row>
    <row r="169">
      <c r="A169" t="inlineStr">
        <is>
          <t>IP-206</t>
        </is>
      </c>
      <c r="B169" t="inlineStr">
        <is>
          <t>24</t>
        </is>
      </c>
      <c r="C169" t="inlineStr">
        <is>
          <t>Transporte</t>
        </is>
      </c>
      <c r="D169" t="inlineStr">
        <is>
          <t>2402</t>
        </is>
      </c>
      <c r="E169" t="inlineStr">
        <is>
          <t>Infraestructura red vial regional</t>
        </is>
      </c>
      <c r="F169" t="inlineStr">
        <is>
          <t>2402006</t>
        </is>
      </c>
      <c r="G169" t="inlineStr">
        <is>
          <t>Vía secundaria mejorada</t>
        </is>
      </c>
      <c r="H169" t="inlineStr">
        <is>
          <t>Incluye la construcción de obras de infraestructura vial en vías de la red vial secundaria que mejoren la prestación del servicio, así como los cambios en una infraestructura de transporte con el propósito de mejorar sus especificaciones técnicas iniciales</t>
        </is>
      </c>
      <c r="I169" t="inlineStr">
        <is>
          <t>2024254860038</t>
        </is>
      </c>
      <c r="J169" s="99">
        <v>100000000</v>
      </c>
      <c r="K169" s="99">
        <v>0</v>
      </c>
      <c r="L169" s="99">
        <v>100000000</v>
      </c>
      <c r="M169" s="99">
        <v>0</v>
      </c>
      <c r="N169" s="99">
        <v>0</v>
      </c>
      <c r="O169" s="99" t="inlineStr">
        <is>
          <t xml:space="preserve"> </t>
        </is>
      </c>
      <c r="P169" s="99" t="inlineStr">
        <is>
          <t xml:space="preserve"> </t>
        </is>
      </c>
      <c r="Q169" s="99" t="inlineStr">
        <is>
          <t xml:space="preserve"> </t>
        </is>
      </c>
      <c r="R169" s="100" t="inlineStr">
        <is>
          <t xml:space="preserve"> </t>
        </is>
      </c>
      <c r="S169" t="inlineStr">
        <is>
          <t>No se encontró ejecución en CUIPO</t>
        </is>
      </c>
      <c r="T169" s="101" t="inlineStr">
        <is>
          <t xml:space="preserve"> </t>
        </is>
      </c>
      <c r="U169" s="101" t="inlineStr">
        <is>
          <t xml:space="preserve"> </t>
        </is>
      </c>
      <c r="V169" s="101" t="inlineStr">
        <is>
          <t xml:space="preserve"> </t>
        </is>
      </c>
      <c r="W169" s="102" t="inlineStr">
        <is>
          <t xml:space="preserve"> </t>
        </is>
      </c>
      <c r="X169" t="inlineStr">
        <is>
          <t>No se encontró ejecución en CUIPO</t>
        </is>
      </c>
    </row>
    <row r="170">
      <c r="A170" t="inlineStr">
        <is>
          <t>IP-207</t>
        </is>
      </c>
      <c r="B170" t="inlineStr">
        <is>
          <t>24</t>
        </is>
      </c>
      <c r="C170" t="inlineStr">
        <is>
          <t>Transporte</t>
        </is>
      </c>
      <c r="D170" t="inlineStr">
        <is>
          <t>2402</t>
        </is>
      </c>
      <c r="E170" t="inlineStr">
        <is>
          <t>Infraestructura red vial regional</t>
        </is>
      </c>
      <c r="F170" t="inlineStr">
        <is>
          <t>2402041</t>
        </is>
      </c>
      <c r="G170" t="inlineStr">
        <is>
          <t>Vía terciaria mejorada</t>
        </is>
      </c>
      <c r="H170" t="inlineStr">
        <is>
          <t>Incluye la construcción de obras de infraestructura vial en vías de la red vial terciaria que mejoren la prestación del servicio, así como los cambios en una infraestructura de transporte con el propósito de mejorar sus especificaciones técnicas iniciales</t>
        </is>
      </c>
      <c r="I170" t="inlineStr">
        <is>
          <t>2024254860038</t>
        </is>
      </c>
      <c r="J170" s="99">
        <v>522344024.2546</v>
      </c>
      <c r="K170" s="99">
        <v>105215000.54</v>
      </c>
      <c r="L170" s="99">
        <v>180489966</v>
      </c>
      <c r="M170" s="99">
        <v>115999538.0954</v>
      </c>
      <c r="N170" s="99">
        <v>120639519.6192</v>
      </c>
      <c r="O170" s="99">
        <v>103838865</v>
      </c>
      <c r="P170" s="99">
        <v>103838865</v>
      </c>
      <c r="Q170" s="99">
        <v>103838865</v>
      </c>
      <c r="R170" s="100">
        <v>0.986920728670463</v>
      </c>
      <c r="S170" t="inlineStr">
        <is>
          <t>Lo obligado está por debajo de lo programado en la vigencia</t>
        </is>
      </c>
      <c r="T170" s="101">
        <v>152753455</v>
      </c>
      <c r="U170" s="101">
        <v>78312163</v>
      </c>
      <c r="V170" s="101">
        <v>78312163</v>
      </c>
      <c r="W170" s="102">
        <v>0.433886518655558</v>
      </c>
      <c r="X170" t="inlineStr">
        <is>
          <t>Lo obligado está por debajo de lo programado en la vigencia</t>
        </is>
      </c>
    </row>
    <row r="171">
      <c r="A171" t="inlineStr">
        <is>
          <t>IP-208</t>
        </is>
      </c>
      <c r="B171" t="inlineStr">
        <is>
          <t>24</t>
        </is>
      </c>
      <c r="C171" t="inlineStr">
        <is>
          <t>Transporte</t>
        </is>
      </c>
      <c r="D171" t="inlineStr">
        <is>
          <t>2402</t>
        </is>
      </c>
      <c r="E171" t="inlineStr">
        <is>
          <t>Infraestructura red vial regional</t>
        </is>
      </c>
      <c r="F171" t="inlineStr">
        <is>
          <t>2402115</t>
        </is>
      </c>
      <c r="G171" t="inlineStr">
        <is>
          <t>Vía urbana con mantenimiento periódico o rutinario</t>
        </is>
      </c>
      <c r="H171" t="inlineStr">
        <is>
          <t>Incluye las acciones de conservación periódica o rutinaria de las vías urbanas con el fin de mantener las condiciones óptimas para el tránsito y  el uso adecuado de la infraestructura de transporte.</t>
        </is>
      </c>
      <c r="I171" t="inlineStr">
        <is>
          <t>2024254860038</t>
        </is>
      </c>
      <c r="J171" s="99">
        <v>1054203724.18</v>
      </c>
      <c r="K171" s="99">
        <v>67740000</v>
      </c>
      <c r="L171" s="99">
        <v>834109690.18</v>
      </c>
      <c r="M171" s="99">
        <v>74683350</v>
      </c>
      <c r="N171" s="99">
        <v>77670684</v>
      </c>
      <c r="O171" s="99">
        <v>67740000</v>
      </c>
      <c r="P171" s="99">
        <v>67740000</v>
      </c>
      <c r="Q171" s="99">
        <v>67740000</v>
      </c>
      <c r="R171" s="100">
        <v>1</v>
      </c>
      <c r="S171" t="inlineStr">
        <is>
          <t>Se ejecutó el 100% de lo programado en la vigencia</t>
        </is>
      </c>
      <c r="T171" s="101">
        <v>806712659</v>
      </c>
      <c r="U171" s="101">
        <v>417047758</v>
      </c>
      <c r="V171" s="101">
        <v>417047758</v>
      </c>
      <c r="W171" s="102">
        <v>0.499991503407665</v>
      </c>
      <c r="X171" t="inlineStr">
        <is>
          <t>Lo obligado está por debajo de lo programado en la vigencia</t>
        </is>
      </c>
    </row>
    <row r="172">
      <c r="A172" t="inlineStr">
        <is>
          <t>IP-209</t>
        </is>
      </c>
      <c r="B172" t="inlineStr">
        <is>
          <t>24</t>
        </is>
      </c>
      <c r="C172" t="inlineStr">
        <is>
          <t>Transporte</t>
        </is>
      </c>
      <c r="D172" t="inlineStr">
        <is>
          <t>2402</t>
        </is>
      </c>
      <c r="E172" t="inlineStr">
        <is>
          <t>Infraestructura red vial regional</t>
        </is>
      </c>
      <c r="F172" t="inlineStr">
        <is>
          <t>2402033</t>
        </is>
      </c>
      <c r="G172" t="inlineStr">
        <is>
          <t>Ciclo infraestructura construida en red vial secundaria</t>
        </is>
      </c>
      <c r="H172" t="inlineStr">
        <is>
          <t>Incluye la construcción de vías o secciones de la calzada destinada al tránsito de bicicletas en forma exclusiva</t>
        </is>
      </c>
      <c r="I172" t="inlineStr">
        <is>
          <t>2024254860038</t>
        </is>
      </c>
      <c r="J172" s="99">
        <v>0</v>
      </c>
      <c r="K172" s="99">
        <v>0</v>
      </c>
      <c r="L172" s="99">
        <v>0</v>
      </c>
      <c r="M172" s="99">
        <v>0</v>
      </c>
      <c r="N172" s="99">
        <v>0</v>
      </c>
      <c r="O172" s="99" t="inlineStr">
        <is>
          <t xml:space="preserve"> </t>
        </is>
      </c>
      <c r="P172" s="99" t="inlineStr">
        <is>
          <t xml:space="preserve"> </t>
        </is>
      </c>
      <c r="Q172" s="99" t="inlineStr">
        <is>
          <t xml:space="preserve"> </t>
        </is>
      </c>
      <c r="R172" s="100" t="inlineStr">
        <is>
          <t xml:space="preserve"> </t>
        </is>
      </c>
      <c r="S172" t="inlineStr">
        <is>
          <t>No se encontró ejecución en CUIPO</t>
        </is>
      </c>
      <c r="T172" s="101" t="inlineStr">
        <is>
          <t xml:space="preserve"> </t>
        </is>
      </c>
      <c r="U172" s="101" t="inlineStr">
        <is>
          <t xml:space="preserve"> </t>
        </is>
      </c>
      <c r="V172" s="101" t="inlineStr">
        <is>
          <t xml:space="preserve"> </t>
        </is>
      </c>
      <c r="W172" s="102" t="inlineStr">
        <is>
          <t xml:space="preserve"> </t>
        </is>
      </c>
      <c r="X172" t="inlineStr">
        <is>
          <t>No se encontró ejecución en CUIPO</t>
        </is>
      </c>
    </row>
    <row r="173">
      <c r="A173" t="inlineStr">
        <is>
          <t>IP-210</t>
        </is>
      </c>
      <c r="B173" t="inlineStr">
        <is>
          <t>24</t>
        </is>
      </c>
      <c r="C173" t="inlineStr">
        <is>
          <t>Transporte</t>
        </is>
      </c>
      <c r="D173" t="inlineStr">
        <is>
          <t>2409</t>
        </is>
      </c>
      <c r="E173" t="inlineStr">
        <is>
          <t>Seguridad de transporte</t>
        </is>
      </c>
      <c r="F173" t="inlineStr">
        <is>
          <t>2409053</t>
        </is>
      </c>
      <c r="G173" t="inlineStr">
        <is>
          <t>Retornos y variantes construidos</t>
        </is>
      </c>
      <c r="H173" t="inlineStr">
        <is>
          <t>Incluye la construcción de retornos y variantes para el mejoramiento de condiciones de seguridad.</t>
        </is>
      </c>
      <c r="I173" t="inlineStr">
        <is>
          <t>2024254860042</t>
        </is>
      </c>
      <c r="J173" s="99">
        <v>0</v>
      </c>
      <c r="K173" s="99">
        <v>0</v>
      </c>
      <c r="L173" s="99">
        <v>0</v>
      </c>
      <c r="M173" s="99">
        <v>0</v>
      </c>
      <c r="N173" s="99">
        <v>0</v>
      </c>
      <c r="O173" s="99" t="inlineStr">
        <is>
          <t xml:space="preserve"> </t>
        </is>
      </c>
      <c r="P173" s="99" t="inlineStr">
        <is>
          <t xml:space="preserve"> </t>
        </is>
      </c>
      <c r="Q173" s="99" t="inlineStr">
        <is>
          <t xml:space="preserve"> </t>
        </is>
      </c>
      <c r="R173" s="100" t="inlineStr">
        <is>
          <t xml:space="preserve"> </t>
        </is>
      </c>
      <c r="S173" t="inlineStr">
        <is>
          <t>No se encontró ejecución en CUIPO</t>
        </is>
      </c>
      <c r="T173" s="101" t="inlineStr">
        <is>
          <t xml:space="preserve"> </t>
        </is>
      </c>
      <c r="U173" s="101" t="inlineStr">
        <is>
          <t xml:space="preserve"> </t>
        </is>
      </c>
      <c r="V173" s="101" t="inlineStr">
        <is>
          <t xml:space="preserve"> </t>
        </is>
      </c>
      <c r="W173" s="102" t="inlineStr">
        <is>
          <t xml:space="preserve"> </t>
        </is>
      </c>
      <c r="X173" t="inlineStr">
        <is>
          <t>No se encontró ejecución en CUIPO</t>
        </is>
      </c>
    </row>
    <row r="174">
      <c r="A174" t="inlineStr">
        <is>
          <t>IP-211</t>
        </is>
      </c>
      <c r="B174" t="inlineStr">
        <is>
          <t>24</t>
        </is>
      </c>
      <c r="C174" t="inlineStr">
        <is>
          <t>Transporte</t>
        </is>
      </c>
      <c r="D174" t="inlineStr">
        <is>
          <t>2408</t>
        </is>
      </c>
      <c r="E174" t="inlineStr">
        <is>
          <t>Prestación de servicios de transporte público de pasajeros</t>
        </is>
      </c>
      <c r="F174" t="inlineStr">
        <is>
          <t>2408005</t>
        </is>
      </c>
      <c r="G174" t="inlineStr">
        <is>
          <t>Vías urbanas construidas para la operación del servicio público de transporte organizado</t>
        </is>
      </c>
      <c r="H174" t="inlineStr">
        <is>
          <t/>
        </is>
      </c>
      <c r="I174" t="inlineStr">
        <is>
          <t>2024254860041</t>
        </is>
      </c>
      <c r="J174" s="99">
        <v>0</v>
      </c>
      <c r="K174" s="99">
        <v>0</v>
      </c>
      <c r="L174" s="99">
        <v>0</v>
      </c>
      <c r="M174" s="99">
        <v>0</v>
      </c>
      <c r="N174" s="99">
        <v>0</v>
      </c>
      <c r="O174" s="99" t="inlineStr">
        <is>
          <t xml:space="preserve"> </t>
        </is>
      </c>
      <c r="P174" s="99" t="inlineStr">
        <is>
          <t xml:space="preserve"> </t>
        </is>
      </c>
      <c r="Q174" s="99" t="inlineStr">
        <is>
          <t xml:space="preserve"> </t>
        </is>
      </c>
      <c r="R174" s="100" t="inlineStr">
        <is>
          <t xml:space="preserve"> </t>
        </is>
      </c>
      <c r="S174" t="inlineStr">
        <is>
          <t>No se encontró ejecución en CUIPO</t>
        </is>
      </c>
      <c r="T174" s="101" t="inlineStr">
        <is>
          <t xml:space="preserve"> </t>
        </is>
      </c>
      <c r="U174" s="101" t="inlineStr">
        <is>
          <t xml:space="preserve"> </t>
        </is>
      </c>
      <c r="V174" s="101" t="inlineStr">
        <is>
          <t xml:space="preserve"> </t>
        </is>
      </c>
      <c r="W174" s="102" t="inlineStr">
        <is>
          <t xml:space="preserve"> </t>
        </is>
      </c>
      <c r="X174" t="inlineStr">
        <is>
          <t>No se encontró ejecución en CUIPO</t>
        </is>
      </c>
    </row>
    <row r="175">
      <c r="A175" t="inlineStr">
        <is>
          <t>IP-212</t>
        </is>
      </c>
      <c r="B175" t="inlineStr">
        <is>
          <t>24</t>
        </is>
      </c>
      <c r="C175" t="inlineStr">
        <is>
          <t>Transporte</t>
        </is>
      </c>
      <c r="D175" t="inlineStr">
        <is>
          <t>2404</t>
        </is>
      </c>
      <c r="E175" t="inlineStr">
        <is>
          <t>Infraestructura de transporte férreo</t>
        </is>
      </c>
      <c r="F175" t="inlineStr">
        <is>
          <t>2404016</t>
        </is>
      </c>
      <c r="G175" t="inlineStr">
        <is>
          <t>Vía férrea en condiciones de operación</t>
        </is>
      </c>
      <c r="H175" t="inlineStr">
        <is>
          <t/>
        </is>
      </c>
      <c r="I175" t="inlineStr">
        <is>
          <t>2024254860040</t>
        </is>
      </c>
      <c r="J175" s="99">
        <v>0</v>
      </c>
      <c r="K175" s="99">
        <v>0</v>
      </c>
      <c r="L175" s="99">
        <v>0</v>
      </c>
      <c r="M175" s="99">
        <v>0</v>
      </c>
      <c r="N175" s="99">
        <v>0</v>
      </c>
      <c r="O175" s="99" t="inlineStr">
        <is>
          <t xml:space="preserve"> </t>
        </is>
      </c>
      <c r="P175" s="99" t="inlineStr">
        <is>
          <t xml:space="preserve"> </t>
        </is>
      </c>
      <c r="Q175" s="99" t="inlineStr">
        <is>
          <t xml:space="preserve"> </t>
        </is>
      </c>
      <c r="R175" s="100" t="inlineStr">
        <is>
          <t xml:space="preserve"> </t>
        </is>
      </c>
      <c r="S175" t="inlineStr">
        <is>
          <t>No se encontró ejecución en CUIPO</t>
        </is>
      </c>
      <c r="T175" s="101" t="inlineStr">
        <is>
          <t xml:space="preserve"> </t>
        </is>
      </c>
      <c r="U175" s="101" t="inlineStr">
        <is>
          <t xml:space="preserve"> </t>
        </is>
      </c>
      <c r="V175" s="101" t="inlineStr">
        <is>
          <t xml:space="preserve"> </t>
        </is>
      </c>
      <c r="W175" s="102" t="inlineStr">
        <is>
          <t xml:space="preserve"> </t>
        </is>
      </c>
      <c r="X175" t="inlineStr">
        <is>
          <t>No se encontró ejecución en CUIPO</t>
        </is>
      </c>
    </row>
    <row r="176">
      <c r="A176" t="inlineStr">
        <is>
          <t>IP-213</t>
        </is>
      </c>
      <c r="B176" t="inlineStr">
        <is>
          <t>24</t>
        </is>
      </c>
      <c r="C176" t="inlineStr">
        <is>
          <t>Transporte</t>
        </is>
      </c>
      <c r="D176" t="inlineStr">
        <is>
          <t>2401</t>
        </is>
      </c>
      <c r="E176" t="inlineStr">
        <is>
          <t>Infraestructura red vial primaria</t>
        </is>
      </c>
      <c r="F176" t="inlineStr">
        <is>
          <t>2401009</t>
        </is>
      </c>
      <c r="G176" t="inlineStr">
        <is>
          <t>Nueva calzada construida</t>
        </is>
      </c>
      <c r="H176" t="inlineStr">
        <is>
          <t>Incluye la construcción de dos carriles o más, delimitados o no por marcas viales longitudinales, y con anchura suficiente para la circulación de una fila de automóviles por carril que no sean motocicletas en la red vial primaria</t>
        </is>
      </c>
      <c r="I176" t="inlineStr">
        <is>
          <t>2024254860039</t>
        </is>
      </c>
      <c r="J176" s="99">
        <v>0</v>
      </c>
      <c r="K176" s="99">
        <v>0</v>
      </c>
      <c r="L176" s="99">
        <v>0</v>
      </c>
      <c r="M176" s="99">
        <v>0</v>
      </c>
      <c r="N176" s="99">
        <v>0</v>
      </c>
      <c r="O176" s="99" t="inlineStr">
        <is>
          <t xml:space="preserve"> </t>
        </is>
      </c>
      <c r="P176" s="99" t="inlineStr">
        <is>
          <t xml:space="preserve"> </t>
        </is>
      </c>
      <c r="Q176" s="99" t="inlineStr">
        <is>
          <t xml:space="preserve"> </t>
        </is>
      </c>
      <c r="R176" s="100" t="inlineStr">
        <is>
          <t xml:space="preserve"> </t>
        </is>
      </c>
      <c r="S176" t="inlineStr">
        <is>
          <t>No se encontró ejecución en CUIPO</t>
        </is>
      </c>
      <c r="T176" s="101" t="inlineStr">
        <is>
          <t xml:space="preserve"> </t>
        </is>
      </c>
      <c r="U176" s="101" t="inlineStr">
        <is>
          <t xml:space="preserve"> </t>
        </is>
      </c>
      <c r="V176" s="101" t="inlineStr">
        <is>
          <t xml:space="preserve"> </t>
        </is>
      </c>
      <c r="W176" s="102" t="inlineStr">
        <is>
          <t xml:space="preserve"> </t>
        </is>
      </c>
      <c r="X176" t="inlineStr">
        <is>
          <t>No se encontró ejecución en CUIPO</t>
        </is>
      </c>
    </row>
    <row r="177">
      <c r="A177" t="inlineStr">
        <is>
          <t>IP-214</t>
        </is>
      </c>
      <c r="B177" t="inlineStr">
        <is>
          <t>24</t>
        </is>
      </c>
      <c r="C177" t="inlineStr">
        <is>
          <t>Transporte</t>
        </is>
      </c>
      <c r="D177" t="inlineStr">
        <is>
          <t>2409</t>
        </is>
      </c>
      <c r="E177" t="inlineStr">
        <is>
          <t>Seguridad de transporte</t>
        </is>
      </c>
      <c r="F177" t="inlineStr">
        <is>
          <t>2409009</t>
        </is>
      </c>
      <c r="G177" t="inlineStr">
        <is>
          <t>Servicio de promoción y difusión para la seguridad de transporte</t>
        </is>
      </c>
      <c r="H177" t="inlineStr">
        <is>
          <t>Incluye el diseño e implementación de todo tipo de campañas y estrategias formativas e informativas visuales, auditivas y audiovisuales dirigidas a los actores viales.</t>
        </is>
      </c>
      <c r="I177" t="inlineStr">
        <is>
          <t>2024254860042</t>
        </is>
      </c>
      <c r="J177" s="99">
        <v>0</v>
      </c>
      <c r="K177" s="99">
        <v>0</v>
      </c>
      <c r="L177" s="99">
        <v>0</v>
      </c>
      <c r="M177" s="99">
        <v>0</v>
      </c>
      <c r="N177" s="99">
        <v>0</v>
      </c>
      <c r="O177" s="99" t="inlineStr">
        <is>
          <t xml:space="preserve"> </t>
        </is>
      </c>
      <c r="P177" s="99" t="inlineStr">
        <is>
          <t xml:space="preserve"> </t>
        </is>
      </c>
      <c r="Q177" s="99" t="inlineStr">
        <is>
          <t xml:space="preserve"> </t>
        </is>
      </c>
      <c r="R177" s="100" t="inlineStr">
        <is>
          <t xml:space="preserve"> </t>
        </is>
      </c>
      <c r="S177" t="inlineStr">
        <is>
          <t>No se encontró ejecución en CUIPO</t>
        </is>
      </c>
      <c r="T177" s="101" t="inlineStr">
        <is>
          <t xml:space="preserve"> </t>
        </is>
      </c>
      <c r="U177" s="101" t="inlineStr">
        <is>
          <t xml:space="preserve"> </t>
        </is>
      </c>
      <c r="V177" s="101" t="inlineStr">
        <is>
          <t xml:space="preserve"> </t>
        </is>
      </c>
      <c r="W177" s="102" t="inlineStr">
        <is>
          <t xml:space="preserve"> </t>
        </is>
      </c>
      <c r="X177" t="inlineStr">
        <is>
          <t>No se encontró ejecución en CUIPO</t>
        </is>
      </c>
    </row>
    <row r="178">
      <c r="A178" t="inlineStr">
        <is>
          <t>IP-215</t>
        </is>
      </c>
      <c r="B178" t="inlineStr">
        <is>
          <t>24</t>
        </is>
      </c>
      <c r="C178" t="inlineStr">
        <is>
          <t>Transporte</t>
        </is>
      </c>
      <c r="D178" t="inlineStr">
        <is>
          <t>2402</t>
        </is>
      </c>
      <c r="E178" t="inlineStr">
        <is>
          <t>Infraestructura red vial regional</t>
        </is>
      </c>
      <c r="F178" t="inlineStr">
        <is>
          <t>2402018</t>
        </is>
      </c>
      <c r="G178" t="inlineStr">
        <is>
          <t>Vía secundaria rehabilitada</t>
        </is>
      </c>
      <c r="H178" t="inlineStr">
        <is>
          <t>Incluye las intervenciones en vías secundaria para devolverlas al estado inicial para la cual fueron construidas</t>
        </is>
      </c>
      <c r="I178" t="inlineStr">
        <is>
          <t>2024254860038</t>
        </is>
      </c>
      <c r="J178" s="99">
        <v>0</v>
      </c>
      <c r="K178" s="99">
        <v>0</v>
      </c>
      <c r="L178" s="99">
        <v>0</v>
      </c>
      <c r="M178" s="99">
        <v>0</v>
      </c>
      <c r="N178" s="99">
        <v>0</v>
      </c>
      <c r="O178" s="99" t="inlineStr">
        <is>
          <t xml:space="preserve"> </t>
        </is>
      </c>
      <c r="P178" s="99" t="inlineStr">
        <is>
          <t xml:space="preserve"> </t>
        </is>
      </c>
      <c r="Q178" s="99" t="inlineStr">
        <is>
          <t xml:space="preserve"> </t>
        </is>
      </c>
      <c r="R178" s="100" t="inlineStr">
        <is>
          <t xml:space="preserve"> </t>
        </is>
      </c>
      <c r="S178" t="inlineStr">
        <is>
          <t>No se encontró ejecución en CUIPO</t>
        </is>
      </c>
      <c r="T178" s="101" t="inlineStr">
        <is>
          <t xml:space="preserve"> </t>
        </is>
      </c>
      <c r="U178" s="101" t="inlineStr">
        <is>
          <t xml:space="preserve"> </t>
        </is>
      </c>
      <c r="V178" s="101" t="inlineStr">
        <is>
          <t xml:space="preserve"> </t>
        </is>
      </c>
      <c r="W178" s="102" t="inlineStr">
        <is>
          <t xml:space="preserve"> </t>
        </is>
      </c>
      <c r="X178" t="inlineStr">
        <is>
          <t>No se encontró ejecución en CUIPO</t>
        </is>
      </c>
    </row>
    <row r="179">
      <c r="A179" t="inlineStr">
        <is>
          <t>IP-216</t>
        </is>
      </c>
      <c r="B179" t="inlineStr">
        <is>
          <t>24</t>
        </is>
      </c>
      <c r="C179" t="inlineStr">
        <is>
          <t>Transporte</t>
        </is>
      </c>
      <c r="D179" t="inlineStr">
        <is>
          <t>2409</t>
        </is>
      </c>
      <c r="E179" t="inlineStr">
        <is>
          <t>Seguridad de transporte</t>
        </is>
      </c>
      <c r="F179" t="inlineStr">
        <is>
          <t>2409008</t>
        </is>
      </c>
      <c r="G179" t="inlineStr">
        <is>
          <t>Documentos de lineamientos técnicos</t>
        </is>
      </c>
      <c r="H179" t="inlineStr">
        <is>
          <t>Documentos cuyo objetivo es describir y explicar instrumentos, estándares, requisitos y condiciones necesarias para llevar a cabo un proceso o actividad</t>
        </is>
      </c>
      <c r="I179" t="inlineStr">
        <is>
          <t>2024254860042</t>
        </is>
      </c>
      <c r="J179" s="99">
        <v>0</v>
      </c>
      <c r="K179" s="99">
        <v>0</v>
      </c>
      <c r="L179" s="99">
        <v>0</v>
      </c>
      <c r="M179" s="99">
        <v>0</v>
      </c>
      <c r="N179" s="99">
        <v>0</v>
      </c>
      <c r="O179" s="99" t="inlineStr">
        <is>
          <t xml:space="preserve"> </t>
        </is>
      </c>
      <c r="P179" s="99" t="inlineStr">
        <is>
          <t xml:space="preserve"> </t>
        </is>
      </c>
      <c r="Q179" s="99" t="inlineStr">
        <is>
          <t xml:space="preserve"> </t>
        </is>
      </c>
      <c r="R179" s="100" t="inlineStr">
        <is>
          <t xml:space="preserve"> </t>
        </is>
      </c>
      <c r="S179" t="inlineStr">
        <is>
          <t>No se encontró ejecución en CUIPO</t>
        </is>
      </c>
      <c r="T179" s="101" t="inlineStr">
        <is>
          <t xml:space="preserve"> </t>
        </is>
      </c>
      <c r="U179" s="101" t="inlineStr">
        <is>
          <t xml:space="preserve"> </t>
        </is>
      </c>
      <c r="V179" s="101" t="inlineStr">
        <is>
          <t xml:space="preserve"> </t>
        </is>
      </c>
      <c r="W179" s="102" t="inlineStr">
        <is>
          <t xml:space="preserve"> </t>
        </is>
      </c>
      <c r="X179" t="inlineStr">
        <is>
          <t>No se encontró ejecución en CUIPO</t>
        </is>
      </c>
    </row>
    <row r="180">
      <c r="A180" t="inlineStr">
        <is>
          <t>IP-217, IP-292</t>
        </is>
      </c>
      <c r="B180" t="inlineStr">
        <is>
          <t>04</t>
        </is>
      </c>
      <c r="C180" t="inlineStr">
        <is>
          <t>Información Estadística</t>
        </is>
      </c>
      <c r="D180" t="inlineStr">
        <is>
          <t>0406</t>
        </is>
      </c>
      <c r="E180" t="inlineStr">
        <is>
          <t>Generación de la información geográfica del territorio nacional</t>
        </is>
      </c>
      <c r="F180" t="inlineStr">
        <is>
          <t>0406004</t>
        </is>
      </c>
      <c r="G180" t="inlineStr">
        <is>
          <t>Servicio de información catastral actualizado</t>
        </is>
      </c>
      <c r="H180" t="inlineStr">
        <is>
          <t>Corresponde al proceso que mejora la disposición de la información catastral para garantizar el uso y acceso de los datos.</t>
        </is>
      </c>
      <c r="I180" t="inlineStr">
        <is>
          <t>2024254860049</t>
        </is>
      </c>
      <c r="J180" s="99">
        <v>0</v>
      </c>
      <c r="K180" s="99">
        <v>0</v>
      </c>
      <c r="L180" s="99">
        <v>0</v>
      </c>
      <c r="M180" s="99">
        <v>0</v>
      </c>
      <c r="N180" s="99">
        <v>0</v>
      </c>
      <c r="O180" s="99" t="inlineStr">
        <is>
          <t xml:space="preserve"> </t>
        </is>
      </c>
      <c r="P180" s="99" t="inlineStr">
        <is>
          <t xml:space="preserve"> </t>
        </is>
      </c>
      <c r="Q180" s="99" t="inlineStr">
        <is>
          <t xml:space="preserve"> </t>
        </is>
      </c>
      <c r="R180" s="100" t="inlineStr">
        <is>
          <t xml:space="preserve"> </t>
        </is>
      </c>
      <c r="S180" t="inlineStr">
        <is>
          <t>No se encontró ejecución en CUIPO</t>
        </is>
      </c>
      <c r="T180" s="101" t="inlineStr">
        <is>
          <t xml:space="preserve"> </t>
        </is>
      </c>
      <c r="U180" s="101" t="inlineStr">
        <is>
          <t xml:space="preserve"> </t>
        </is>
      </c>
      <c r="V180" s="101" t="inlineStr">
        <is>
          <t xml:space="preserve"> </t>
        </is>
      </c>
      <c r="W180" s="102" t="inlineStr">
        <is>
          <t xml:space="preserve"> </t>
        </is>
      </c>
      <c r="X180" t="inlineStr">
        <is>
          <t>No se encontró ejecución en CUIPO</t>
        </is>
      </c>
    </row>
    <row r="181">
      <c r="A181" t="inlineStr">
        <is>
          <t>IP-218</t>
        </is>
      </c>
      <c r="B181" t="inlineStr">
        <is>
          <t>24</t>
        </is>
      </c>
      <c r="C181" t="inlineStr">
        <is>
          <t>Transporte</t>
        </is>
      </c>
      <c r="D181" t="inlineStr">
        <is>
          <t>2408</t>
        </is>
      </c>
      <c r="E181" t="inlineStr">
        <is>
          <t>Prestación de servicios de transporte público de pasajeros</t>
        </is>
      </c>
      <c r="F181" t="inlineStr">
        <is>
          <t>2408038</t>
        </is>
      </c>
      <c r="G181" t="inlineStr">
        <is>
          <t>Servicio de seguridad vial y prevenciones de accidentalidad y siniestros en los sistemas de transporte público organizado</t>
        </is>
      </c>
      <c r="H181" t="inlineStr">
        <is>
          <t>Incluye la implementación de programas, estrategias y acciones dirigidas al mejoramiento de las condiciones de seguridad vial que permitan reducir y evitar la sinestralidad en los Sistemas de Transporte Púbico de Pasajeros.</t>
        </is>
      </c>
      <c r="I181" t="inlineStr">
        <is>
          <t>2024254860041</t>
        </is>
      </c>
      <c r="J181" s="99">
        <v>0</v>
      </c>
      <c r="K181" s="99">
        <v>0</v>
      </c>
      <c r="L181" s="99">
        <v>0</v>
      </c>
      <c r="M181" s="99">
        <v>0</v>
      </c>
      <c r="N181" s="99">
        <v>0</v>
      </c>
      <c r="O181" s="99" t="inlineStr">
        <is>
          <t xml:space="preserve"> </t>
        </is>
      </c>
      <c r="P181" s="99" t="inlineStr">
        <is>
          <t xml:space="preserve"> </t>
        </is>
      </c>
      <c r="Q181" s="99" t="inlineStr">
        <is>
          <t xml:space="preserve"> </t>
        </is>
      </c>
      <c r="R181" s="100" t="inlineStr">
        <is>
          <t xml:space="preserve"> </t>
        </is>
      </c>
      <c r="S181" t="inlineStr">
        <is>
          <t>No se encontró ejecución en CUIPO</t>
        </is>
      </c>
      <c r="T181" s="101" t="inlineStr">
        <is>
          <t xml:space="preserve"> </t>
        </is>
      </c>
      <c r="U181" s="101" t="inlineStr">
        <is>
          <t xml:space="preserve"> </t>
        </is>
      </c>
      <c r="V181" s="101" t="inlineStr">
        <is>
          <t xml:space="preserve"> </t>
        </is>
      </c>
      <c r="W181" s="102" t="inlineStr">
        <is>
          <t xml:space="preserve"> </t>
        </is>
      </c>
      <c r="X181" t="inlineStr">
        <is>
          <t>No se encontró ejecución en CUIPO</t>
        </is>
      </c>
    </row>
    <row r="182">
      <c r="A182" t="inlineStr">
        <is>
          <t>IP-219</t>
        </is>
      </c>
      <c r="B182" t="inlineStr">
        <is>
          <t>24</t>
        </is>
      </c>
      <c r="C182" t="inlineStr">
        <is>
          <t>Transporte</t>
        </is>
      </c>
      <c r="D182" t="inlineStr">
        <is>
          <t>2408</t>
        </is>
      </c>
      <c r="E182" t="inlineStr">
        <is>
          <t>Prestación de servicios de transporte público de pasajeros</t>
        </is>
      </c>
      <c r="F182" t="inlineStr">
        <is>
          <t>2408029</t>
        </is>
      </c>
      <c r="G182" t="inlineStr">
        <is>
          <t>Andenes de la red urbana construidos</t>
        </is>
      </c>
      <c r="H182" t="inlineStr">
        <is>
          <t/>
        </is>
      </c>
      <c r="I182" t="inlineStr">
        <is>
          <t>2024254860041</t>
        </is>
      </c>
      <c r="J182" s="99">
        <v>0</v>
      </c>
      <c r="K182" s="99">
        <v>0</v>
      </c>
      <c r="L182" s="99">
        <v>0</v>
      </c>
      <c r="M182" s="99">
        <v>0</v>
      </c>
      <c r="N182" s="99">
        <v>0</v>
      </c>
      <c r="O182" s="99" t="inlineStr">
        <is>
          <t xml:space="preserve"> </t>
        </is>
      </c>
      <c r="P182" s="99" t="inlineStr">
        <is>
          <t xml:space="preserve"> </t>
        </is>
      </c>
      <c r="Q182" s="99" t="inlineStr">
        <is>
          <t xml:space="preserve"> </t>
        </is>
      </c>
      <c r="R182" s="100" t="inlineStr">
        <is>
          <t xml:space="preserve"> </t>
        </is>
      </c>
      <c r="S182" t="inlineStr">
        <is>
          <t>No se encontró ejecución en CUIPO</t>
        </is>
      </c>
      <c r="T182" s="101" t="inlineStr">
        <is>
          <t xml:space="preserve"> </t>
        </is>
      </c>
      <c r="U182" s="101" t="inlineStr">
        <is>
          <t xml:space="preserve"> </t>
        </is>
      </c>
      <c r="V182" s="101" t="inlineStr">
        <is>
          <t xml:space="preserve"> </t>
        </is>
      </c>
      <c r="W182" s="102" t="inlineStr">
        <is>
          <t xml:space="preserve"> </t>
        </is>
      </c>
      <c r="X182" t="inlineStr">
        <is>
          <t>No se encontró ejecución en CUIPO</t>
        </is>
      </c>
    </row>
    <row r="183">
      <c r="A183" t="inlineStr">
        <is>
          <t>IP-220</t>
        </is>
      </c>
      <c r="B183" t="inlineStr">
        <is>
          <t>24</t>
        </is>
      </c>
      <c r="C183" t="inlineStr">
        <is>
          <t>Transporte</t>
        </is>
      </c>
      <c r="D183" t="inlineStr">
        <is>
          <t>2409</t>
        </is>
      </c>
      <c r="E183" t="inlineStr">
        <is>
          <t>Seguridad de transporte</t>
        </is>
      </c>
      <c r="F183" t="inlineStr">
        <is>
          <t>2409063</t>
        </is>
      </c>
      <c r="G183" t="inlineStr">
        <is>
          <t>Servicio de educación informal</t>
        </is>
      </c>
      <c r="H183" t="inlineStr">
        <is>
          <t xml:space="preserve">Incluye el diseño e implementación de todo tipo de campañas y estrategias formativas e informativas visuales, auditivas y audiovisuales para la promoción del transporte seguro, sostenible y eficiente   </t>
        </is>
      </c>
      <c r="I183" t="inlineStr">
        <is>
          <t>2024254860042</t>
        </is>
      </c>
      <c r="J183" s="99">
        <v>0</v>
      </c>
      <c r="K183" s="99">
        <v>0</v>
      </c>
      <c r="L183" s="99">
        <v>0</v>
      </c>
      <c r="M183" s="99">
        <v>0</v>
      </c>
      <c r="N183" s="99">
        <v>0</v>
      </c>
      <c r="O183" s="99" t="inlineStr">
        <is>
          <t xml:space="preserve"> </t>
        </is>
      </c>
      <c r="P183" s="99" t="inlineStr">
        <is>
          <t xml:space="preserve"> </t>
        </is>
      </c>
      <c r="Q183" s="99" t="inlineStr">
        <is>
          <t xml:space="preserve"> </t>
        </is>
      </c>
      <c r="R183" s="100" t="inlineStr">
        <is>
          <t xml:space="preserve"> </t>
        </is>
      </c>
      <c r="S183" t="inlineStr">
        <is>
          <t>No se encontró ejecución en CUIPO</t>
        </is>
      </c>
      <c r="T183" s="101" t="inlineStr">
        <is>
          <t xml:space="preserve"> </t>
        </is>
      </c>
      <c r="U183" s="101" t="inlineStr">
        <is>
          <t xml:space="preserve"> </t>
        </is>
      </c>
      <c r="V183" s="101" t="inlineStr">
        <is>
          <t xml:space="preserve"> </t>
        </is>
      </c>
      <c r="W183" s="102" t="inlineStr">
        <is>
          <t xml:space="preserve"> </t>
        </is>
      </c>
      <c r="X183" t="inlineStr">
        <is>
          <t>No se encontró ejecución en CUIPO</t>
        </is>
      </c>
    </row>
    <row r="184">
      <c r="A184" t="inlineStr">
        <is>
          <t>IP-221</t>
        </is>
      </c>
      <c r="B184" t="inlineStr">
        <is>
          <t>24</t>
        </is>
      </c>
      <c r="C184" t="inlineStr">
        <is>
          <t>Transporte</t>
        </is>
      </c>
      <c r="D184" t="inlineStr">
        <is>
          <t>2402</t>
        </is>
      </c>
      <c r="E184" t="inlineStr">
        <is>
          <t>Infraestructura red vial regional</t>
        </is>
      </c>
      <c r="F184" t="inlineStr">
        <is>
          <t>2402105</t>
        </is>
      </c>
      <c r="G184" t="inlineStr">
        <is>
          <t>Documentos de lineamientos técnicos</t>
        </is>
      </c>
      <c r="H184" t="inlineStr">
        <is>
          <t>Documentos cuyo objetivo es describir y explicar instrumentos, estándares, requisitos y condiciones necesarias para llevar a cabo un proceso o actividad</t>
        </is>
      </c>
      <c r="I184" t="inlineStr">
        <is>
          <t>2024254860038</t>
        </is>
      </c>
      <c r="J184" s="99">
        <v>0</v>
      </c>
      <c r="K184" s="99">
        <v>0</v>
      </c>
      <c r="L184" s="99">
        <v>0</v>
      </c>
      <c r="M184" s="99">
        <v>0</v>
      </c>
      <c r="N184" s="99">
        <v>0</v>
      </c>
      <c r="O184" s="99" t="inlineStr">
        <is>
          <t xml:space="preserve"> </t>
        </is>
      </c>
      <c r="P184" s="99" t="inlineStr">
        <is>
          <t xml:space="preserve"> </t>
        </is>
      </c>
      <c r="Q184" s="99" t="inlineStr">
        <is>
          <t xml:space="preserve"> </t>
        </is>
      </c>
      <c r="R184" s="100" t="inlineStr">
        <is>
          <t xml:space="preserve"> </t>
        </is>
      </c>
      <c r="S184" t="inlineStr">
        <is>
          <t>No se encontró ejecución en CUIPO</t>
        </is>
      </c>
      <c r="T184" s="101" t="inlineStr">
        <is>
          <t xml:space="preserve"> </t>
        </is>
      </c>
      <c r="U184" s="101" t="inlineStr">
        <is>
          <t xml:space="preserve"> </t>
        </is>
      </c>
      <c r="V184" s="101" t="inlineStr">
        <is>
          <t xml:space="preserve"> </t>
        </is>
      </c>
      <c r="W184" s="102" t="inlineStr">
        <is>
          <t xml:space="preserve"> </t>
        </is>
      </c>
      <c r="X184" t="inlineStr">
        <is>
          <t>No se encontró ejecución en CUIPO</t>
        </is>
      </c>
    </row>
    <row r="185">
      <c r="A185" t="inlineStr">
        <is>
          <t>IP-222</t>
        </is>
      </c>
      <c r="B185" t="inlineStr">
        <is>
          <t>21</t>
        </is>
      </c>
      <c r="C185" t="inlineStr">
        <is>
          <t>Minas y Energía</t>
        </is>
      </c>
      <c r="D185" t="inlineStr">
        <is>
          <t>2102</t>
        </is>
      </c>
      <c r="E185" t="inlineStr">
        <is>
          <t>Consolidación productiva del sector de energía eléctrica</t>
        </is>
      </c>
      <c r="F185" t="inlineStr">
        <is>
          <t>2102010</t>
        </is>
      </c>
      <c r="G185" t="inlineStr">
        <is>
          <t>Redes de alumbrado público ampliadas</t>
        </is>
      </c>
      <c r="H185" t="inlineStr">
        <is>
          <t>Ampliación de redes para brindar el servicio público no domiciliario de energía eléctrica para la iluminación de los bienes de uso público y demás espacios de libre circulación con tránsito vehicular o peatonal, dentro del perímetro urbano y rural un municipio o Distrito. Incluye luminarias, transformadores y equipos necesarios para el funcionamiento de la red.</t>
        </is>
      </c>
      <c r="I185" t="inlineStr">
        <is>
          <t>2024254860043</t>
        </is>
      </c>
      <c r="J185" s="99">
        <v>0</v>
      </c>
      <c r="K185" s="99">
        <v>0</v>
      </c>
      <c r="L185" s="99">
        <v>0</v>
      </c>
      <c r="M185" s="99">
        <v>0</v>
      </c>
      <c r="N185" s="99">
        <v>0</v>
      </c>
      <c r="O185" s="99" t="inlineStr">
        <is>
          <t xml:space="preserve"> </t>
        </is>
      </c>
      <c r="P185" s="99" t="inlineStr">
        <is>
          <t xml:space="preserve"> </t>
        </is>
      </c>
      <c r="Q185" s="99" t="inlineStr">
        <is>
          <t xml:space="preserve"> </t>
        </is>
      </c>
      <c r="R185" s="100" t="inlineStr">
        <is>
          <t xml:space="preserve"> </t>
        </is>
      </c>
      <c r="S185" t="inlineStr">
        <is>
          <t>No se encontró ejecución en CUIPO</t>
        </is>
      </c>
      <c r="T185" s="101" t="inlineStr">
        <is>
          <t xml:space="preserve"> </t>
        </is>
      </c>
      <c r="U185" s="101" t="inlineStr">
        <is>
          <t xml:space="preserve"> </t>
        </is>
      </c>
      <c r="V185" s="101" t="inlineStr">
        <is>
          <t xml:space="preserve"> </t>
        </is>
      </c>
      <c r="W185" s="102" t="inlineStr">
        <is>
          <t xml:space="preserve"> </t>
        </is>
      </c>
      <c r="X185" t="inlineStr">
        <is>
          <t>No se encontró ejecución en CUIPO</t>
        </is>
      </c>
    </row>
    <row r="186">
      <c r="A186" t="inlineStr">
        <is>
          <t>IP-223, IP-225</t>
        </is>
      </c>
      <c r="B186" t="inlineStr">
        <is>
          <t>21</t>
        </is>
      </c>
      <c r="C186" t="inlineStr">
        <is>
          <t>Minas y Energía</t>
        </is>
      </c>
      <c r="D186" t="inlineStr">
        <is>
          <t>2102</t>
        </is>
      </c>
      <c r="E186" t="inlineStr">
        <is>
          <t>Consolidación productiva del sector de energía eléctrica</t>
        </is>
      </c>
      <c r="F186" t="inlineStr">
        <is>
          <t>2102069</t>
        </is>
      </c>
      <c r="G186" t="inlineStr">
        <is>
          <t>Servicio de alumbrado público</t>
        </is>
      </c>
      <c r="H186" t="inlineStr">
        <is>
          <t>Corresponde a la prestación del servicio público no domiciliario de iluminación, inherente al servicio de energía eléctrica, que se presta con el fin de dar visibilidad al espacio público, bienes de uso público y demás espacios de libre circulación, con tránsito vehicular o peatonal, dentro del perímetro urbano y rural de un municipio o distrito, para el normal desarrollo de las actividades. El servicio de alumbrado público comprende las actividades de suministro de energía eléctrica al sistema de alumbrado público, la administración y operación de dicho sistema.</t>
        </is>
      </c>
      <c r="I186" t="inlineStr">
        <is>
          <t>2024254860043</t>
        </is>
      </c>
      <c r="J186" s="99">
        <v>14107500</v>
      </c>
      <c r="K186" s="99">
        <v>0</v>
      </c>
      <c r="L186" s="99">
        <v>14107500</v>
      </c>
      <c r="M186" s="99">
        <v>0</v>
      </c>
      <c r="N186" s="99">
        <v>0</v>
      </c>
      <c r="O186" s="99" t="inlineStr">
        <is>
          <t xml:space="preserve"> </t>
        </is>
      </c>
      <c r="P186" s="99" t="inlineStr">
        <is>
          <t xml:space="preserve"> </t>
        </is>
      </c>
      <c r="Q186" s="99" t="inlineStr">
        <is>
          <t xml:space="preserve"> </t>
        </is>
      </c>
      <c r="R186" s="100" t="inlineStr">
        <is>
          <t xml:space="preserve"> </t>
        </is>
      </c>
      <c r="S186" t="inlineStr">
        <is>
          <t>No se encontró ejecución en CUIPO</t>
        </is>
      </c>
      <c r="T186" s="101">
        <v>377613381</v>
      </c>
      <c r="U186" s="101">
        <v>349398381</v>
      </c>
      <c r="V186" s="101">
        <v>349398381</v>
      </c>
      <c r="W186" s="102">
        <v>24.7668531632111</v>
      </c>
      <c r="X186" t="inlineStr">
        <is>
          <t>Hubo ejecución por encima de lo programado en SisPT</t>
        </is>
      </c>
    </row>
    <row r="187">
      <c r="A187" t="inlineStr">
        <is>
          <t>IP-224</t>
        </is>
      </c>
      <c r="B187" t="inlineStr">
        <is>
          <t>21</t>
        </is>
      </c>
      <c r="C187" t="inlineStr">
        <is>
          <t>Minas y Energía</t>
        </is>
      </c>
      <c r="D187" t="inlineStr">
        <is>
          <t>2102</t>
        </is>
      </c>
      <c r="E187" t="inlineStr">
        <is>
          <t>Consolidación productiva del sector de energía eléctrica</t>
        </is>
      </c>
      <c r="F187" t="inlineStr">
        <is>
          <t>2102070</t>
        </is>
      </c>
      <c r="G187" t="inlineStr">
        <is>
          <t>Servicio de apoyo financiero a soluciones energéticas</t>
        </is>
      </c>
      <c r="H187" t="inlineStr">
        <is>
          <t>Recursos destinados a financiar planes, programas y proyectos priorizados para la construcción e instalación de nueva infraestructura y para el mejoramiento, reposición, rehabilitación, repotenciación y disposición de la infraestructura eléctrica; lo anterior con el propósito de ampliar y mejorar el servicio de energía eléctrica en el territorio nacional.</t>
        </is>
      </c>
      <c r="I187" t="inlineStr">
        <is>
          <t>2024254860043</t>
        </is>
      </c>
      <c r="J187" s="99">
        <v>2851633788.9433</v>
      </c>
      <c r="K187" s="99">
        <v>628617563</v>
      </c>
      <c r="L187" s="99">
        <v>809192465</v>
      </c>
      <c r="M187" s="99">
        <v>693050863.2075</v>
      </c>
      <c r="N187" s="99">
        <v>720772897.7358</v>
      </c>
      <c r="O187" s="99" t="inlineStr">
        <is>
          <t xml:space="preserve"> </t>
        </is>
      </c>
      <c r="P187" s="99" t="inlineStr">
        <is>
          <t xml:space="preserve"> </t>
        </is>
      </c>
      <c r="Q187" s="99" t="inlineStr">
        <is>
          <t xml:space="preserve"> </t>
        </is>
      </c>
      <c r="R187" s="100" t="inlineStr">
        <is>
          <t xml:space="preserve"> </t>
        </is>
      </c>
      <c r="S187" t="inlineStr">
        <is>
          <t>No se encontró ejecución en CUIPO</t>
        </is>
      </c>
      <c r="T187" s="101" t="inlineStr">
        <is>
          <t xml:space="preserve"> </t>
        </is>
      </c>
      <c r="U187" s="101" t="inlineStr">
        <is>
          <t xml:space="preserve"> </t>
        </is>
      </c>
      <c r="V187" s="101" t="inlineStr">
        <is>
          <t xml:space="preserve"> </t>
        </is>
      </c>
      <c r="W187" s="102" t="inlineStr">
        <is>
          <t xml:space="preserve"> </t>
        </is>
      </c>
      <c r="X187" t="inlineStr">
        <is>
          <t>No se encontró ejecución en CUIPO</t>
        </is>
      </c>
    </row>
    <row r="188">
      <c r="A188" t="inlineStr">
        <is>
          <t>IP-226</t>
        </is>
      </c>
      <c r="B188" t="inlineStr">
        <is>
          <t>21</t>
        </is>
      </c>
      <c r="C188" t="inlineStr">
        <is>
          <t>Minas y Energía</t>
        </is>
      </c>
      <c r="D188" t="inlineStr">
        <is>
          <t>2102</t>
        </is>
      </c>
      <c r="E188" t="inlineStr">
        <is>
          <t>Consolidación productiva del sector de energía eléctrica</t>
        </is>
      </c>
      <c r="F188" t="inlineStr">
        <is>
          <t>2102058</t>
        </is>
      </c>
      <c r="G188" t="inlineStr">
        <is>
          <t>Unidades de generación fotovoltaica de energía eléctrica instaladas</t>
        </is>
      </c>
      <c r="H188" t="inlineStr">
        <is>
          <t>Unidades de generación de energía eléctrica instaladas individualmente, mediante las cuales se realiza la transformación de energía solar. Compuesta por celdas fotovoltaicas regulador de carga, inversor, baterías (sistema de almacenamiento), accesorios de conexión, puesta a tierra, y la estructura de soporte que se compone de poste galvanizado, base y cimentación en concreto.</t>
        </is>
      </c>
      <c r="I188" t="inlineStr">
        <is>
          <t>2024254860043</t>
        </is>
      </c>
      <c r="J188" s="99">
        <v>0</v>
      </c>
      <c r="K188" s="99">
        <v>0</v>
      </c>
      <c r="L188" s="99">
        <v>0</v>
      </c>
      <c r="M188" s="99">
        <v>0</v>
      </c>
      <c r="N188" s="99">
        <v>0</v>
      </c>
      <c r="O188" s="99" t="inlineStr">
        <is>
          <t xml:space="preserve"> </t>
        </is>
      </c>
      <c r="P188" s="99" t="inlineStr">
        <is>
          <t xml:space="preserve"> </t>
        </is>
      </c>
      <c r="Q188" s="99" t="inlineStr">
        <is>
          <t xml:space="preserve"> </t>
        </is>
      </c>
      <c r="R188" s="100" t="inlineStr">
        <is>
          <t xml:space="preserve"> </t>
        </is>
      </c>
      <c r="S188" t="inlineStr">
        <is>
          <t>No se encontró ejecución en CUIPO</t>
        </is>
      </c>
      <c r="T188" s="101" t="inlineStr">
        <is>
          <t xml:space="preserve"> </t>
        </is>
      </c>
      <c r="U188" s="101" t="inlineStr">
        <is>
          <t xml:space="preserve"> </t>
        </is>
      </c>
      <c r="V188" s="101" t="inlineStr">
        <is>
          <t xml:space="preserve"> </t>
        </is>
      </c>
      <c r="W188" s="102" t="inlineStr">
        <is>
          <t xml:space="preserve"> </t>
        </is>
      </c>
      <c r="X188" t="inlineStr">
        <is>
          <t>No se encontró ejecución en CUIPO</t>
        </is>
      </c>
    </row>
    <row r="189">
      <c r="A189" t="inlineStr">
        <is>
          <t>IP-227</t>
        </is>
      </c>
      <c r="B189" t="inlineStr">
        <is>
          <t>21</t>
        </is>
      </c>
      <c r="C189" t="inlineStr">
        <is>
          <t>Minas y Energía</t>
        </is>
      </c>
      <c r="D189" t="inlineStr">
        <is>
          <t>2101</t>
        </is>
      </c>
      <c r="E189" t="inlineStr">
        <is>
          <t>Acceso al servicio público domiciliario de gas combustible</t>
        </is>
      </c>
      <c r="F189" t="inlineStr">
        <is>
          <t>2101009</t>
        </is>
      </c>
      <c r="G189" t="inlineStr">
        <is>
          <t>Redes de distribución de gas combustible construidas</t>
        </is>
      </c>
      <c r="H189" t="inlineStr">
        <is>
          <t>Construcción de gasoductos que transportan gas combustible desde un sitio de acopio de grandes volúmenes, o desde un sistema de transporte o gasoducto hasta las instalaciones del consumidor final, incluyendo su conexión y medición.</t>
        </is>
      </c>
      <c r="I189" t="inlineStr">
        <is>
          <t>2024254860044</t>
        </is>
      </c>
      <c r="J189" s="99">
        <v>324910</v>
      </c>
      <c r="K189" s="99">
        <v>100000</v>
      </c>
      <c r="L189" s="99">
        <v>0</v>
      </c>
      <c r="M189" s="99">
        <v>110250</v>
      </c>
      <c r="N189" s="99">
        <v>114660</v>
      </c>
      <c r="O189" s="99" t="inlineStr">
        <is>
          <t xml:space="preserve"> </t>
        </is>
      </c>
      <c r="P189" s="99" t="inlineStr">
        <is>
          <t xml:space="preserve"> </t>
        </is>
      </c>
      <c r="Q189" s="99" t="inlineStr">
        <is>
          <t xml:space="preserve"> </t>
        </is>
      </c>
      <c r="R189" s="100" t="inlineStr">
        <is>
          <t xml:space="preserve"> </t>
        </is>
      </c>
      <c r="S189" t="inlineStr">
        <is>
          <t>No se encontró ejecución en CUIPO</t>
        </is>
      </c>
      <c r="T189" s="101" t="inlineStr">
        <is>
          <t xml:space="preserve"> </t>
        </is>
      </c>
      <c r="U189" s="101" t="inlineStr">
        <is>
          <t xml:space="preserve"> </t>
        </is>
      </c>
      <c r="V189" s="101" t="inlineStr">
        <is>
          <t xml:space="preserve"> </t>
        </is>
      </c>
      <c r="W189" s="102" t="inlineStr">
        <is>
          <t xml:space="preserve"> </t>
        </is>
      </c>
      <c r="X189" t="inlineStr">
        <is>
          <t>No se encontró ejecución en CUIPO</t>
        </is>
      </c>
    </row>
    <row r="190">
      <c r="A190" t="inlineStr">
        <is>
          <t>IP-228, IP-229</t>
        </is>
      </c>
      <c r="B190" t="inlineStr">
        <is>
          <t>21</t>
        </is>
      </c>
      <c r="C190" t="inlineStr">
        <is>
          <t>Minas y Energía</t>
        </is>
      </c>
      <c r="D190" t="inlineStr">
        <is>
          <t>2101</t>
        </is>
      </c>
      <c r="E190" t="inlineStr">
        <is>
          <t>Acceso al servicio público domiciliario de gas combustible</t>
        </is>
      </c>
      <c r="F190" t="inlineStr">
        <is>
          <t>2101016</t>
        </is>
      </c>
      <c r="G190" t="inlineStr">
        <is>
          <t>Redes domiciliarias de gas combustible instaladas</t>
        </is>
      </c>
      <c r="H190" t="inlineStr">
        <is>
          <t>Permite la conexión de las viviendas a la red de distribución local de gas domiciliario. Incluye acometida y medidor.</t>
        </is>
      </c>
      <c r="I190" t="inlineStr">
        <is>
          <t>2024254860044</t>
        </is>
      </c>
      <c r="J190" s="99">
        <v>0</v>
      </c>
      <c r="K190" s="99">
        <v>0</v>
      </c>
      <c r="L190" s="99">
        <v>0</v>
      </c>
      <c r="M190" s="99">
        <v>0</v>
      </c>
      <c r="N190" s="99">
        <v>0</v>
      </c>
      <c r="O190" s="99" t="inlineStr">
        <is>
          <t xml:space="preserve"> </t>
        </is>
      </c>
      <c r="P190" s="99" t="inlineStr">
        <is>
          <t xml:space="preserve"> </t>
        </is>
      </c>
      <c r="Q190" s="99" t="inlineStr">
        <is>
          <t xml:space="preserve"> </t>
        </is>
      </c>
      <c r="R190" s="100" t="inlineStr">
        <is>
          <t xml:space="preserve"> </t>
        </is>
      </c>
      <c r="S190" t="inlineStr">
        <is>
          <t>No se encontró ejecución en CUIPO</t>
        </is>
      </c>
      <c r="T190" s="101" t="inlineStr">
        <is>
          <t xml:space="preserve"> </t>
        </is>
      </c>
      <c r="U190" s="101" t="inlineStr">
        <is>
          <t xml:space="preserve"> </t>
        </is>
      </c>
      <c r="V190" s="101" t="inlineStr">
        <is>
          <t xml:space="preserve"> </t>
        </is>
      </c>
      <c r="W190" s="102" t="inlineStr">
        <is>
          <t xml:space="preserve"> </t>
        </is>
      </c>
      <c r="X190" t="inlineStr">
        <is>
          <t>No se encontró ejecución en CUIPO</t>
        </is>
      </c>
    </row>
    <row r="191">
      <c r="A191" t="inlineStr">
        <is>
          <t>IP-230</t>
        </is>
      </c>
      <c r="B191" t="inlineStr">
        <is>
          <t>21</t>
        </is>
      </c>
      <c r="C191" t="inlineStr">
        <is>
          <t>Minas y Energía</t>
        </is>
      </c>
      <c r="D191" t="inlineStr">
        <is>
          <t>2102</t>
        </is>
      </c>
      <c r="E191" t="inlineStr">
        <is>
          <t>Consolidación productiva del sector de energía eléctrica</t>
        </is>
      </c>
      <c r="F191" t="inlineStr">
        <is>
          <t>2102061</t>
        </is>
      </c>
      <c r="G191" t="inlineStr">
        <is>
          <t>Servicio de apoyo financiero para la financiación de infraestructura de energía eléctrica en las zonas rurales interconectadas</t>
        </is>
      </c>
      <c r="H191" t="inlineStr">
        <is>
          <t>(FAER) Recursos destinados a financiar planes, programas o proyectos de inversión priorizados para la construcción e instalación de nueva infraestructura eléctrica en las zonas rurales interconectadas, que permita ampliar la cobertura y procurar la satisfacción de la demanda de energía.</t>
        </is>
      </c>
      <c r="I191" t="inlineStr">
        <is>
          <t>2024254860043</t>
        </is>
      </c>
      <c r="J191" s="99">
        <v>0</v>
      </c>
      <c r="K191" s="99">
        <v>0</v>
      </c>
      <c r="L191" s="99">
        <v>0</v>
      </c>
      <c r="M191" s="99">
        <v>0</v>
      </c>
      <c r="N191" s="99">
        <v>0</v>
      </c>
      <c r="O191" s="99" t="inlineStr">
        <is>
          <t xml:space="preserve"> </t>
        </is>
      </c>
      <c r="P191" s="99" t="inlineStr">
        <is>
          <t xml:space="preserve"> </t>
        </is>
      </c>
      <c r="Q191" s="99" t="inlineStr">
        <is>
          <t xml:space="preserve"> </t>
        </is>
      </c>
      <c r="R191" s="100" t="inlineStr">
        <is>
          <t xml:space="preserve"> </t>
        </is>
      </c>
      <c r="S191" t="inlineStr">
        <is>
          <t>No se encontró ejecución en CUIPO</t>
        </is>
      </c>
      <c r="T191" s="101" t="inlineStr">
        <is>
          <t xml:space="preserve"> </t>
        </is>
      </c>
      <c r="U191" s="101" t="inlineStr">
        <is>
          <t xml:space="preserve"> </t>
        </is>
      </c>
      <c r="V191" s="101" t="inlineStr">
        <is>
          <t xml:space="preserve"> </t>
        </is>
      </c>
      <c r="W191" s="102" t="inlineStr">
        <is>
          <t xml:space="preserve"> </t>
        </is>
      </c>
      <c r="X191" t="inlineStr">
        <is>
          <t>No se encontró ejecución en CUIPO</t>
        </is>
      </c>
    </row>
    <row r="192">
      <c r="A192" t="inlineStr">
        <is>
          <t>IP-231</t>
        </is>
      </c>
      <c r="B192" t="inlineStr">
        <is>
          <t>45</t>
        </is>
      </c>
      <c r="C192" t="inlineStr">
        <is>
          <t>Gobierno Territorial</t>
        </is>
      </c>
      <c r="D192" t="inlineStr">
        <is>
          <t>4502</t>
        </is>
      </c>
      <c r="E192" t="inlineStr">
        <is>
          <t>Fortalecimiento del buen gobierno para el respeto y garantía de los derechos humanos.</t>
        </is>
      </c>
      <c r="F192" t="inlineStr">
        <is>
          <t>4502026</t>
        </is>
      </c>
      <c r="G192" t="inlineStr">
        <is>
          <t>Documentos normativos</t>
        </is>
      </c>
      <c r="H192" t="inlineStr">
        <is>
          <t>Incluye la realización de los documentos de contenido normativo para la reglamentación de las diferentes lineas de acción del programa.</t>
        </is>
      </c>
      <c r="I192" t="inlineStr">
        <is>
          <t>2024254860045</t>
        </is>
      </c>
      <c r="J192" s="99">
        <v>0</v>
      </c>
      <c r="K192" s="99">
        <v>0</v>
      </c>
      <c r="L192" s="99">
        <v>0</v>
      </c>
      <c r="M192" s="99">
        <v>0</v>
      </c>
      <c r="N192" s="99">
        <v>0</v>
      </c>
      <c r="O192" s="99" t="inlineStr">
        <is>
          <t xml:space="preserve"> </t>
        </is>
      </c>
      <c r="P192" s="99" t="inlineStr">
        <is>
          <t xml:space="preserve"> </t>
        </is>
      </c>
      <c r="Q192" s="99" t="inlineStr">
        <is>
          <t xml:space="preserve"> </t>
        </is>
      </c>
      <c r="R192" s="100" t="inlineStr">
        <is>
          <t xml:space="preserve"> </t>
        </is>
      </c>
      <c r="S192" t="inlineStr">
        <is>
          <t>No se encontró ejecución en CUIPO</t>
        </is>
      </c>
      <c r="T192" s="101" t="inlineStr">
        <is>
          <t xml:space="preserve"> </t>
        </is>
      </c>
      <c r="U192" s="101" t="inlineStr">
        <is>
          <t xml:space="preserve"> </t>
        </is>
      </c>
      <c r="V192" s="101" t="inlineStr">
        <is>
          <t xml:space="preserve"> </t>
        </is>
      </c>
      <c r="W192" s="102" t="inlineStr">
        <is>
          <t xml:space="preserve"> </t>
        </is>
      </c>
      <c r="X192" t="inlineStr">
        <is>
          <t>No se encontró ejecución en CUIPO</t>
        </is>
      </c>
    </row>
    <row r="193">
      <c r="A193" t="inlineStr">
        <is>
          <t>IP-232</t>
        </is>
      </c>
      <c r="B193" t="inlineStr">
        <is>
          <t>45</t>
        </is>
      </c>
      <c r="C193" t="inlineStr">
        <is>
          <t>Gobierno Territorial</t>
        </is>
      </c>
      <c r="D193" t="inlineStr">
        <is>
          <t>4599</t>
        </is>
      </c>
      <c r="E193" t="inlineStr">
        <is>
          <t>Fortalecimiento a la gestión y dirección de la administración pública territorial</t>
        </is>
      </c>
      <c r="F193" t="inlineStr">
        <is>
          <t>4599006</t>
        </is>
      </c>
      <c r="G193" t="inlineStr">
        <is>
          <t>Estudios de preinversión</t>
        </is>
      </c>
      <c r="H193" t="inlineStr">
        <is>
          <t>Incluye la realización de los estudios requeridos en las fases de pre factibilidad, factibilidad o definitivos.</t>
        </is>
      </c>
      <c r="I193" t="inlineStr">
        <is>
          <t>2024254860045</t>
        </is>
      </c>
      <c r="J193" s="99">
        <v>25748085</v>
      </c>
      <c r="K193" s="99">
        <v>4000000</v>
      </c>
      <c r="L193" s="99">
        <v>12751685</v>
      </c>
      <c r="M193" s="99">
        <v>4410000</v>
      </c>
      <c r="N193" s="99">
        <v>4586400</v>
      </c>
      <c r="O193" s="99">
        <v>4000000</v>
      </c>
      <c r="P193" s="99">
        <v>4000000</v>
      </c>
      <c r="Q193" s="99">
        <v>4000000</v>
      </c>
      <c r="R193" s="100">
        <v>1</v>
      </c>
      <c r="S193" t="inlineStr">
        <is>
          <t>Se ejecutó el 100% de lo programado en la vigencia</t>
        </is>
      </c>
      <c r="T193" s="101">
        <v>12751685</v>
      </c>
      <c r="U193" s="101">
        <v>12751685</v>
      </c>
      <c r="V193" s="101">
        <v>12751685</v>
      </c>
      <c r="W193" s="102">
        <v>1</v>
      </c>
      <c r="X193" t="inlineStr">
        <is>
          <t>Se ejecutó el 100% de lo programado en la vigencia</t>
        </is>
      </c>
    </row>
    <row r="194">
      <c r="A194" t="inlineStr">
        <is>
          <t>IP-233</t>
        </is>
      </c>
      <c r="B194" t="inlineStr">
        <is>
          <t>45</t>
        </is>
      </c>
      <c r="C194" t="inlineStr">
        <is>
          <t>Gobierno Territorial</t>
        </is>
      </c>
      <c r="D194" t="inlineStr">
        <is>
          <t>4599</t>
        </is>
      </c>
      <c r="E194" t="inlineStr">
        <is>
          <t>Fortalecimiento a la gestión y dirección de la administración pública territorial</t>
        </is>
      </c>
      <c r="F194" t="inlineStr">
        <is>
          <t>4599019</t>
        </is>
      </c>
      <c r="G194" t="inlineStr">
        <is>
          <t>Documentos de planeación</t>
        </is>
      </c>
      <c r="H194" t="inlineStr">
        <is>
          <t>Consiste en la formulación de documentos cuyo objetivo es plasmar una visión de futuro a nivel país, entidad territorial, comunidad, sector, región, entidad o cualquier nivel de desagregación que se requiera, plasmando elementos como objetivos, estrategias, metas e indicadores.</t>
        </is>
      </c>
      <c r="I194" t="inlineStr">
        <is>
          <t>2024254860045</t>
        </is>
      </c>
      <c r="J194" s="99">
        <v>375805991.7597</v>
      </c>
      <c r="K194" s="99">
        <v>70570617.02</v>
      </c>
      <c r="L194" s="99">
        <v>146515000</v>
      </c>
      <c r="M194" s="99">
        <v>77804105.2646</v>
      </c>
      <c r="N194" s="99">
        <v>80916269.4751</v>
      </c>
      <c r="O194" s="99" t="inlineStr">
        <is>
          <t xml:space="preserve"> </t>
        </is>
      </c>
      <c r="P194" s="99" t="inlineStr">
        <is>
          <t xml:space="preserve"> </t>
        </is>
      </c>
      <c r="Q194" s="99" t="inlineStr">
        <is>
          <t xml:space="preserve"> </t>
        </is>
      </c>
      <c r="R194" s="100" t="inlineStr">
        <is>
          <t xml:space="preserve"> </t>
        </is>
      </c>
      <c r="S194" t="inlineStr">
        <is>
          <t>No se encontró ejecución en CUIPO</t>
        </is>
      </c>
      <c r="T194" s="101" t="inlineStr">
        <is>
          <t xml:space="preserve"> </t>
        </is>
      </c>
      <c r="U194" s="101" t="inlineStr">
        <is>
          <t xml:space="preserve"> </t>
        </is>
      </c>
      <c r="V194" s="101" t="inlineStr">
        <is>
          <t xml:space="preserve"> </t>
        </is>
      </c>
      <c r="W194" s="102" t="inlineStr">
        <is>
          <t xml:space="preserve"> </t>
        </is>
      </c>
      <c r="X194" t="inlineStr">
        <is>
          <t>No se encontró ejecución en CUIPO</t>
        </is>
      </c>
    </row>
    <row r="195">
      <c r="A195" t="inlineStr">
        <is>
          <t>IP-234</t>
        </is>
      </c>
      <c r="B195" t="inlineStr">
        <is>
          <t>45</t>
        </is>
      </c>
      <c r="C195" t="inlineStr">
        <is>
          <t>Gobierno Territorial</t>
        </is>
      </c>
      <c r="D195" t="inlineStr">
        <is>
          <t>4599</t>
        </is>
      </c>
      <c r="E195" t="inlineStr">
        <is>
          <t>Fortalecimiento a la gestión y dirección de la administración pública territorial</t>
        </is>
      </c>
      <c r="F195" t="inlineStr">
        <is>
          <t>4599020</t>
        </is>
      </c>
      <c r="G195" t="inlineStr">
        <is>
          <t>Documentos metodológicos</t>
        </is>
      </c>
      <c r="H195" t="inlineStr">
        <is>
          <t>Documentos cuyo objetivo es describir y explicar métodos, herramientas analíticas, o procesos que determinan un camino o forma de realizar un análisis en particular.</t>
        </is>
      </c>
      <c r="I195" t="inlineStr">
        <is>
          <t>2024254860045</t>
        </is>
      </c>
      <c r="J195" s="99">
        <v>5433433</v>
      </c>
      <c r="K195" s="99">
        <v>1000000</v>
      </c>
      <c r="L195" s="99">
        <v>2184333</v>
      </c>
      <c r="M195" s="99">
        <v>1102500</v>
      </c>
      <c r="N195" s="99">
        <v>1146600</v>
      </c>
      <c r="O195" s="99">
        <v>516704</v>
      </c>
      <c r="P195" s="99">
        <v>516704</v>
      </c>
      <c r="Q195" s="99">
        <v>516704</v>
      </c>
      <c r="R195" s="100">
        <v>0.516704</v>
      </c>
      <c r="S195" t="inlineStr">
        <is>
          <t>Lo obligado está por debajo de lo programado en la vigencia</t>
        </is>
      </c>
      <c r="T195" s="101">
        <v>3686625</v>
      </c>
      <c r="U195" s="101">
        <v>1705375</v>
      </c>
      <c r="V195" s="101">
        <v>1705375</v>
      </c>
      <c r="W195" s="102">
        <v>0.780730319049339</v>
      </c>
      <c r="X195" t="inlineStr">
        <is>
          <t>Lo obligado está por debajo de lo programado en la vigencia</t>
        </is>
      </c>
    </row>
    <row r="196">
      <c r="A196" t="inlineStr">
        <is>
          <t>IP-235, IP-244, IP-248</t>
        </is>
      </c>
      <c r="B196" t="inlineStr">
        <is>
          <t>45</t>
        </is>
      </c>
      <c r="C196" t="inlineStr">
        <is>
          <t>Gobierno Territorial</t>
        </is>
      </c>
      <c r="D196" t="inlineStr">
        <is>
          <t>4599</t>
        </is>
      </c>
      <c r="E196" t="inlineStr">
        <is>
          <t>Fortalecimiento a la gestión y dirección de la administración pública territorial</t>
        </is>
      </c>
      <c r="F196" t="inlineStr">
        <is>
          <t>4599023</t>
        </is>
      </c>
      <c r="G196" t="inlineStr">
        <is>
          <t>Servicio de Implementación Sistemas de Gestión</t>
        </is>
      </c>
      <c r="H196" t="inlineStr">
        <is>
          <t>Contempla actividades de apoyo, necesarias para el diseño e implementación de sistemas de gestión y de desempeño institucional en el marco del Modelo Integrado de Planeación y Gestión - MIPG y otros instrumentos de certificación de calidad a la gestion a generar capacidades instaladas en los servidores públicos en temas como: Fortalecimiento Institucional, Planeación Estratégica, simplificación de procesos, identificación y manejo de riesgos, controles, diseño e implementación de indicadores de gestión y gestión del conocimiento.</t>
        </is>
      </c>
      <c r="I196" t="inlineStr">
        <is>
          <t>2024254860045</t>
        </is>
      </c>
      <c r="J196" s="99">
        <v>433857424.0021</v>
      </c>
      <c r="K196" s="99">
        <v>100770831</v>
      </c>
      <c r="L196" s="99">
        <v>106442917</v>
      </c>
      <c r="M196" s="99">
        <v>111099841.1775</v>
      </c>
      <c r="N196" s="99">
        <v>115543834.8246</v>
      </c>
      <c r="O196" s="99">
        <v>173512456</v>
      </c>
      <c r="P196" s="99">
        <v>173512456</v>
      </c>
      <c r="Q196" s="99">
        <v>116512456</v>
      </c>
      <c r="R196" s="100">
        <v>1.72185199107865</v>
      </c>
      <c r="S196" t="inlineStr">
        <is>
          <t>Hubo ejecución por encima de lo programado en SisPT</t>
        </is>
      </c>
      <c r="T196" s="101">
        <v>170088163</v>
      </c>
      <c r="U196" s="101">
        <v>167951913</v>
      </c>
      <c r="V196" s="101">
        <v>167951913</v>
      </c>
      <c r="W196" s="102">
        <v>1.57785898520613</v>
      </c>
      <c r="X196" t="inlineStr">
        <is>
          <t>Hubo ejecución por encima de lo programado en SisPT</t>
        </is>
      </c>
    </row>
    <row r="197">
      <c r="A197" t="inlineStr">
        <is>
          <t>IP-236, IP-243, IP-247, IP-249</t>
        </is>
      </c>
      <c r="B197" t="inlineStr">
        <is>
          <t>45</t>
        </is>
      </c>
      <c r="C197" t="inlineStr">
        <is>
          <t>Gobierno Territorial</t>
        </is>
      </c>
      <c r="D197" t="inlineStr">
        <is>
          <t>4599</t>
        </is>
      </c>
      <c r="E197" t="inlineStr">
        <is>
          <t>Fortalecimiento a la gestión y dirección de la administración pública territorial</t>
        </is>
      </c>
      <c r="F197" t="inlineStr">
        <is>
          <t>4599029</t>
        </is>
      </c>
      <c r="G197" t="inlineStr">
        <is>
          <t>Servicio de integración de la oferta pública</t>
        </is>
      </c>
      <c r="H197" t="inlineStr">
        <is>
          <t>Corresponde al diseño e implementación de espacios que articulen la oferta institucional para que los ciudadanos conozcan sus derechos y deberes y los mecanismos de acceso a la oferta publica.</t>
        </is>
      </c>
      <c r="I197" t="inlineStr">
        <is>
          <t>2024254860045</t>
        </is>
      </c>
      <c r="J197" s="99">
        <v>293405347.7244</v>
      </c>
      <c r="K197" s="99">
        <v>80768084</v>
      </c>
      <c r="L197" s="99">
        <v>30981766</v>
      </c>
      <c r="M197" s="99">
        <v>89046812.61</v>
      </c>
      <c r="N197" s="99">
        <v>92608685.1144</v>
      </c>
      <c r="O197" s="99">
        <v>10793333</v>
      </c>
      <c r="P197" s="99">
        <v>10793333</v>
      </c>
      <c r="Q197" s="99">
        <v>10793333</v>
      </c>
      <c r="R197" s="100">
        <v>0.133633639247899</v>
      </c>
      <c r="S197" t="inlineStr">
        <is>
          <t>Lo obligado está por debajo de lo programado en la vigencia</t>
        </is>
      </c>
      <c r="T197" s="101" t="inlineStr">
        <is>
          <t xml:space="preserve"> </t>
        </is>
      </c>
      <c r="U197" s="101" t="inlineStr">
        <is>
          <t xml:space="preserve"> </t>
        </is>
      </c>
      <c r="V197" s="101" t="inlineStr">
        <is>
          <t xml:space="preserve"> </t>
        </is>
      </c>
      <c r="W197" s="102" t="inlineStr">
        <is>
          <t xml:space="preserve"> </t>
        </is>
      </c>
      <c r="X197" t="inlineStr">
        <is>
          <t>No se encontró ejecución en CUIPO</t>
        </is>
      </c>
    </row>
    <row r="198">
      <c r="A198" t="inlineStr">
        <is>
          <t>IP-237, IP-238</t>
        </is>
      </c>
      <c r="B198" t="inlineStr">
        <is>
          <t>45</t>
        </is>
      </c>
      <c r="C198" t="inlineStr">
        <is>
          <t>Gobierno Territorial</t>
        </is>
      </c>
      <c r="D198" t="inlineStr">
        <is>
          <t>4599</t>
        </is>
      </c>
      <c r="E198" t="inlineStr">
        <is>
          <t>Fortalecimiento a la gestión y dirección de la administración pública territorial</t>
        </is>
      </c>
      <c r="F198" t="inlineStr">
        <is>
          <t>4599017</t>
        </is>
      </c>
      <c r="G198" t="inlineStr">
        <is>
          <t>Servicio de gestión documental</t>
        </is>
      </c>
      <c r="H198" t="inlineStr">
        <is>
          <t>Conjunto de actividades administrativas y técnicas tendientes a la planificación, manejo y organización de la documentación producida y recibida por las entidades, desde su origen hasta su destino final, con el objeto de facilitar su utilización y conservación. (Ley 594 de 2000)</t>
        </is>
      </c>
      <c r="I198" t="inlineStr">
        <is>
          <t>2024254860045</t>
        </is>
      </c>
      <c r="J198" s="99">
        <v>71958845.006</v>
      </c>
      <c r="K198" s="99">
        <v>8666660</v>
      </c>
      <c r="L198" s="99">
        <v>43800000</v>
      </c>
      <c r="M198" s="99">
        <v>9554992.65</v>
      </c>
      <c r="N198" s="99">
        <v>9937192.356</v>
      </c>
      <c r="O198" s="99">
        <v>8066666</v>
      </c>
      <c r="P198" s="99">
        <v>8066666</v>
      </c>
      <c r="Q198" s="99">
        <v>8066666</v>
      </c>
      <c r="R198" s="100">
        <v>0.930769869822977</v>
      </c>
      <c r="S198" t="inlineStr">
        <is>
          <t>Lo obligado está por debajo de lo programado en la vigencia</t>
        </is>
      </c>
      <c r="T198" s="101">
        <v>32370660</v>
      </c>
      <c r="U198" s="101">
        <v>32370660</v>
      </c>
      <c r="V198" s="101">
        <v>32370660</v>
      </c>
      <c r="W198" s="102">
        <v>0.739056164383562</v>
      </c>
      <c r="X198" t="inlineStr">
        <is>
          <t>Lo obligado está por debajo de lo programado en la vigencia</t>
        </is>
      </c>
    </row>
    <row r="199">
      <c r="A199" t="inlineStr">
        <is>
          <t>IP-239</t>
        </is>
      </c>
      <c r="B199" t="inlineStr">
        <is>
          <t>45</t>
        </is>
      </c>
      <c r="C199" t="inlineStr">
        <is>
          <t>Gobierno Territorial</t>
        </is>
      </c>
      <c r="D199" t="inlineStr">
        <is>
          <t>4599</t>
        </is>
      </c>
      <c r="E199" t="inlineStr">
        <is>
          <t>Fortalecimiento a la gestión y dirección de la administración pública territorial</t>
        </is>
      </c>
      <c r="F199" t="inlineStr">
        <is>
          <t>4599008</t>
        </is>
      </c>
      <c r="G199" t="inlineStr">
        <is>
          <t>Sede construida y dotada</t>
        </is>
      </c>
      <c r="H199" t="inlineStr">
        <is>
          <t>Corresponde a un inmueble resultado de obras de edificación en terrenos no construidos o cuya área esté libre por autorización de demolición total. Incluye la dotación del inmueble. (Corresponde a la licencia de construcción por obra nueva)</t>
        </is>
      </c>
      <c r="I199" t="inlineStr">
        <is>
          <t>2024254860045</t>
        </is>
      </c>
      <c r="J199" s="99">
        <v>969271512</v>
      </c>
      <c r="K199" s="99">
        <v>298320000</v>
      </c>
      <c r="L199" s="99">
        <v>0</v>
      </c>
      <c r="M199" s="99">
        <v>328897800</v>
      </c>
      <c r="N199" s="99">
        <v>342053712</v>
      </c>
      <c r="O199" s="99">
        <v>298246965</v>
      </c>
      <c r="P199" s="99">
        <v>298246965</v>
      </c>
      <c r="Q199" s="99">
        <v>298246965</v>
      </c>
      <c r="R199" s="100">
        <v>0.999755179002414</v>
      </c>
      <c r="S199" t="inlineStr">
        <is>
          <t>Lo obligado está por debajo de lo programado en la vigencia</t>
        </is>
      </c>
      <c r="T199" s="101" t="inlineStr">
        <is>
          <t xml:space="preserve"> </t>
        </is>
      </c>
      <c r="U199" s="101" t="inlineStr">
        <is>
          <t xml:space="preserve"> </t>
        </is>
      </c>
      <c r="V199" s="101" t="inlineStr">
        <is>
          <t xml:space="preserve"> </t>
        </is>
      </c>
      <c r="W199" s="102" t="inlineStr">
        <is>
          <t xml:space="preserve"> </t>
        </is>
      </c>
      <c r="X199" t="inlineStr">
        <is>
          <t>No se encontró ejecución en CUIPO</t>
        </is>
      </c>
    </row>
    <row r="200">
      <c r="A200" t="inlineStr">
        <is>
          <t>IP-240</t>
        </is>
      </c>
      <c r="B200" t="inlineStr">
        <is>
          <t>45</t>
        </is>
      </c>
      <c r="C200" t="inlineStr">
        <is>
          <t>Gobierno Territorial</t>
        </is>
      </c>
      <c r="D200" t="inlineStr">
        <is>
          <t>4599</t>
        </is>
      </c>
      <c r="E200" t="inlineStr">
        <is>
          <t>Fortalecimiento a la gestión y dirección de la administración pública territorial</t>
        </is>
      </c>
      <c r="F200" t="inlineStr">
        <is>
          <t>4599016</t>
        </is>
      </c>
      <c r="G200" t="inlineStr">
        <is>
          <t>Sedes mantenidas</t>
        </is>
      </c>
      <c r="H200" t="inlineStr">
        <is>
          <t>Corresponde a un inmueble sobre el cual se realizan obras, operaciones y cuidados necesarios para su conservación en buen estado o en una situación determinada para evitar su degradación. Cuando es adelantado con recursos de inversión debe asegurarse de cumplir con las condiciones de una operación de inversión pública, es decir, debe orientarse a crear, ampliar o mantener la capacidad de producción del Estado, y contar claramente con actividades limitadas en el tiempo.</t>
        </is>
      </c>
      <c r="I200" t="inlineStr">
        <is>
          <t>2024254860045</t>
        </is>
      </c>
      <c r="J200" s="99">
        <v>31418755</v>
      </c>
      <c r="K200" s="99">
        <v>6500000</v>
      </c>
      <c r="L200" s="99">
        <v>10299605</v>
      </c>
      <c r="M200" s="99">
        <v>7166250</v>
      </c>
      <c r="N200" s="99">
        <v>7452900</v>
      </c>
      <c r="O200" s="99">
        <v>6280000</v>
      </c>
      <c r="P200" s="99">
        <v>6280000</v>
      </c>
      <c r="Q200" s="99">
        <v>6280000</v>
      </c>
      <c r="R200" s="100">
        <v>0.966153846153846</v>
      </c>
      <c r="S200" t="inlineStr">
        <is>
          <t>Lo obligado está por debajo de lo programado en la vigencia</t>
        </is>
      </c>
      <c r="T200" s="101">
        <v>10299605</v>
      </c>
      <c r="U200" s="101">
        <v>10299605</v>
      </c>
      <c r="V200" s="101">
        <v>10299605</v>
      </c>
      <c r="W200" s="102">
        <v>1</v>
      </c>
      <c r="X200" t="inlineStr">
        <is>
          <t>Se ejecutó el 100% de lo programado en la vigencia</t>
        </is>
      </c>
    </row>
    <row r="201">
      <c r="A201" t="inlineStr">
        <is>
          <t>IP-241</t>
        </is>
      </c>
      <c r="B201" t="inlineStr">
        <is>
          <t>45</t>
        </is>
      </c>
      <c r="C201" t="inlineStr">
        <is>
          <t>Gobierno Territorial</t>
        </is>
      </c>
      <c r="D201" t="inlineStr">
        <is>
          <t>4599</t>
        </is>
      </c>
      <c r="E201" t="inlineStr">
        <is>
          <t>Fortalecimiento a la gestión y dirección de la administración pública territorial</t>
        </is>
      </c>
      <c r="F201" t="inlineStr">
        <is>
          <t>4599025</t>
        </is>
      </c>
      <c r="G201" t="inlineStr">
        <is>
          <t>Servicios de información implementados</t>
        </is>
      </c>
      <c r="H201" t="inlineStr">
        <is>
          <t>Corresponde al proceso que asegura la disposición de la información de manera accesible, confiable y oportuna.</t>
        </is>
      </c>
      <c r="I201" t="inlineStr">
        <is>
          <t>2024254860045</t>
        </is>
      </c>
      <c r="J201" s="99">
        <v>25000000</v>
      </c>
      <c r="K201" s="99">
        <v>0</v>
      </c>
      <c r="L201" s="99">
        <v>25000000</v>
      </c>
      <c r="M201" s="99">
        <v>0</v>
      </c>
      <c r="N201" s="99">
        <v>0</v>
      </c>
      <c r="O201" s="99">
        <v>66288383</v>
      </c>
      <c r="P201" s="99">
        <v>56812383</v>
      </c>
      <c r="Q201" s="99">
        <v>56812383</v>
      </c>
      <c r="R201" s="100" t="inlineStr">
        <is>
          <t xml:space="preserve"> </t>
        </is>
      </c>
      <c r="S201" t="inlineStr">
        <is>
          <t>Se ejecutó un producto no programado en la vigencia</t>
        </is>
      </c>
      <c r="T201" s="101">
        <v>62087516</v>
      </c>
      <c r="U201" s="101">
        <v>30981766</v>
      </c>
      <c r="V201" s="101">
        <v>40457766</v>
      </c>
      <c r="W201" s="102">
        <v>1.23927064</v>
      </c>
      <c r="X201" t="inlineStr">
        <is>
          <t>Hubo ejecución por encima de lo programado en SisPT</t>
        </is>
      </c>
    </row>
    <row r="202">
      <c r="A202" t="inlineStr">
        <is>
          <t>IP-242, IP-250</t>
        </is>
      </c>
      <c r="B202" t="inlineStr">
        <is>
          <t>45</t>
        </is>
      </c>
      <c r="C202" t="inlineStr">
        <is>
          <t>Gobierno Territorial</t>
        </is>
      </c>
      <c r="D202" t="inlineStr">
        <is>
          <t>4599</t>
        </is>
      </c>
      <c r="E202" t="inlineStr">
        <is>
          <t>Fortalecimiento a la gestión y dirección de la administración pública territorial</t>
        </is>
      </c>
      <c r="F202" t="inlineStr">
        <is>
          <t>4599028</t>
        </is>
      </c>
      <c r="G202" t="inlineStr">
        <is>
          <t>Servicio de información actualizado</t>
        </is>
      </c>
      <c r="H202" t="inlineStr">
        <is>
          <t>Corresponde al proceso que mejora en la disposición de la información para asegurar que sea accesible, confiable y oportuna.</t>
        </is>
      </c>
      <c r="I202" t="inlineStr">
        <is>
          <t>2024254860045</t>
        </is>
      </c>
      <c r="J202" s="99">
        <v>25000000</v>
      </c>
      <c r="K202" s="99">
        <v>0</v>
      </c>
      <c r="L202" s="99">
        <v>25000000</v>
      </c>
      <c r="M202" s="99">
        <v>0</v>
      </c>
      <c r="N202" s="99">
        <v>0</v>
      </c>
      <c r="O202" s="99">
        <v>32354377</v>
      </c>
      <c r="P202" s="99">
        <v>32354377</v>
      </c>
      <c r="Q202" s="99">
        <v>32354377</v>
      </c>
      <c r="R202" s="100" t="inlineStr">
        <is>
          <t xml:space="preserve"> </t>
        </is>
      </c>
      <c r="S202" t="inlineStr">
        <is>
          <t>Se ejecutó un producto no programado en la vigencia</t>
        </is>
      </c>
      <c r="T202" s="101">
        <v>79795748</v>
      </c>
      <c r="U202" s="101">
        <v>72020948</v>
      </c>
      <c r="V202" s="101">
        <v>72020948</v>
      </c>
      <c r="W202" s="102">
        <v>2.88083792</v>
      </c>
      <c r="X202" t="inlineStr">
        <is>
          <t>Hubo ejecución por encima de lo programado en SisPT</t>
        </is>
      </c>
    </row>
    <row r="203">
      <c r="A203" t="inlineStr">
        <is>
          <t>IP-245</t>
        </is>
      </c>
      <c r="B203" t="inlineStr">
        <is>
          <t>45</t>
        </is>
      </c>
      <c r="C203" t="inlineStr">
        <is>
          <t>Gobierno Territorial</t>
        </is>
      </c>
      <c r="D203" t="inlineStr">
        <is>
          <t>4599</t>
        </is>
      </c>
      <c r="E203" t="inlineStr">
        <is>
          <t>Fortalecimiento a la gestión y dirección de la administración pública territorial</t>
        </is>
      </c>
      <c r="F203" t="inlineStr">
        <is>
          <t>4599031</t>
        </is>
      </c>
      <c r="G203" t="inlineStr">
        <is>
          <t>Servicio de asistencia técnica</t>
        </is>
      </c>
      <c r="H203" t="inlineStr">
        <is>
          <t>Corresponde al acompañamiento,apoyo,  asesoría y seguimiento técnico para la transferencia de herramientas de gestión y conocimiento en políticas, planes , proyectos y programas de apoyo a la dirección y gestión de la administración territorial.</t>
        </is>
      </c>
      <c r="I203" t="inlineStr">
        <is>
          <t>2024254860045</t>
        </is>
      </c>
      <c r="J203" s="99">
        <v>529108392.9573</v>
      </c>
      <c r="K203" s="99">
        <v>96883103</v>
      </c>
      <c r="L203" s="99">
        <v>214325503</v>
      </c>
      <c r="M203" s="99">
        <v>106813621.0575</v>
      </c>
      <c r="N203" s="99">
        <v>111086165.8998</v>
      </c>
      <c r="O203" s="99" t="inlineStr">
        <is>
          <t xml:space="preserve"> </t>
        </is>
      </c>
      <c r="P203" s="99" t="inlineStr">
        <is>
          <t xml:space="preserve"> </t>
        </is>
      </c>
      <c r="Q203" s="99" t="inlineStr">
        <is>
          <t xml:space="preserve"> </t>
        </is>
      </c>
      <c r="R203" s="100" t="inlineStr">
        <is>
          <t xml:space="preserve"> </t>
        </is>
      </c>
      <c r="S203" t="inlineStr">
        <is>
          <t>No se encontró ejecución en CUIPO</t>
        </is>
      </c>
      <c r="T203" s="101" t="inlineStr">
        <is>
          <t xml:space="preserve"> </t>
        </is>
      </c>
      <c r="U203" s="101" t="inlineStr">
        <is>
          <t xml:space="preserve"> </t>
        </is>
      </c>
      <c r="V203" s="101" t="inlineStr">
        <is>
          <t xml:space="preserve"> </t>
        </is>
      </c>
      <c r="W203" s="102" t="inlineStr">
        <is>
          <t xml:space="preserve"> </t>
        </is>
      </c>
      <c r="X203" t="inlineStr">
        <is>
          <t>No se encontró ejecución en CUIPO</t>
        </is>
      </c>
    </row>
    <row r="204">
      <c r="A204" t="inlineStr">
        <is>
          <t>IP-246</t>
        </is>
      </c>
      <c r="B204" t="inlineStr">
        <is>
          <t>45</t>
        </is>
      </c>
      <c r="C204" t="inlineStr">
        <is>
          <t>Gobierno Territorial</t>
        </is>
      </c>
      <c r="D204" t="inlineStr">
        <is>
          <t>4599</t>
        </is>
      </c>
      <c r="E204" t="inlineStr">
        <is>
          <t>Fortalecimiento a la gestión y dirección de la administración pública territorial</t>
        </is>
      </c>
      <c r="F204" t="inlineStr">
        <is>
          <t>4599018</t>
        </is>
      </c>
      <c r="G204" t="inlineStr">
        <is>
          <t>Documentos de lineamientos técnicos</t>
        </is>
      </c>
      <c r="H204" t="inlineStr">
        <is>
          <t>Documentos cuyo objetivo es describir y explicar instrumentos, estándares, requisitos y condiciones necesarias para llevar a cabo un proceso o actividad.</t>
        </is>
      </c>
      <c r="I204" t="inlineStr">
        <is>
          <t>2024254860045</t>
        </is>
      </c>
      <c r="J204" s="99">
        <v>24368250.0649</v>
      </c>
      <c r="K204" s="99">
        <v>7500000.02</v>
      </c>
      <c r="L204" s="99">
        <v>0</v>
      </c>
      <c r="M204" s="99">
        <v>8268750.022</v>
      </c>
      <c r="N204" s="99">
        <v>8599500.0229</v>
      </c>
      <c r="O204" s="99">
        <v>60399584</v>
      </c>
      <c r="P204" s="99">
        <v>60399584</v>
      </c>
      <c r="Q204" s="99">
        <v>60399584</v>
      </c>
      <c r="R204" s="100">
        <v>8.05327784519126</v>
      </c>
      <c r="S204" t="inlineStr">
        <is>
          <t>Hubo ejecución por encima de lo programado en SisPT</t>
        </is>
      </c>
      <c r="T204" s="101">
        <v>107515000</v>
      </c>
      <c r="U204" s="101">
        <v>82504326</v>
      </c>
      <c r="V204" s="101">
        <v>82504326</v>
      </c>
      <c r="W204" s="102" t="inlineStr">
        <is>
          <t xml:space="preserve"> </t>
        </is>
      </c>
      <c r="X204" t="inlineStr">
        <is>
          <t>Se ejecutó un producto no programado en la vigencia</t>
        </is>
      </c>
    </row>
    <row r="205">
      <c r="A205" t="inlineStr">
        <is>
          <t>IP-251, IP-252</t>
        </is>
      </c>
      <c r="B205" t="inlineStr">
        <is>
          <t>45</t>
        </is>
      </c>
      <c r="C205" t="inlineStr">
        <is>
          <t>Gobierno Territorial</t>
        </is>
      </c>
      <c r="D205" t="inlineStr">
        <is>
          <t>4599</t>
        </is>
      </c>
      <c r="E205" t="inlineStr">
        <is>
          <t>Fortalecimiento a la gestión y dirección de la administración pública territorial</t>
        </is>
      </c>
      <c r="F205" t="inlineStr">
        <is>
          <t>4599002</t>
        </is>
      </c>
      <c r="G205" t="inlineStr">
        <is>
          <t>Servicio de saneamiento fiscal y financiero</t>
        </is>
      </c>
      <c r="H205" t="inlineStr">
        <is>
          <t xml:space="preserve">Corresponde a la ejecución del programa integral, institucional, financiero y administrativo que cubra la entidad territorial y que tenga por objeto restablecer la solidez económica y financiera de la misma mediante la adopción de medidas de reorganización administrativa, racionalización del gasto, reestructuración de la deuda, saneamiento de pasivos y fortalecimiento de los ingresos. </t>
        </is>
      </c>
      <c r="I205" t="inlineStr">
        <is>
          <t>2024254860045</t>
        </is>
      </c>
      <c r="J205" s="99">
        <v>188524385.5066</v>
      </c>
      <c r="K205" s="99">
        <v>32693326</v>
      </c>
      <c r="L205" s="99">
        <v>82300500</v>
      </c>
      <c r="M205" s="99">
        <v>36044391.915</v>
      </c>
      <c r="N205" s="99">
        <v>37486167.5916</v>
      </c>
      <c r="O205" s="99" t="inlineStr">
        <is>
          <t xml:space="preserve"> </t>
        </is>
      </c>
      <c r="P205" s="99" t="inlineStr">
        <is>
          <t xml:space="preserve"> </t>
        </is>
      </c>
      <c r="Q205" s="99" t="inlineStr">
        <is>
          <t xml:space="preserve"> </t>
        </is>
      </c>
      <c r="R205" s="100" t="inlineStr">
        <is>
          <t xml:space="preserve"> </t>
        </is>
      </c>
      <c r="S205" t="inlineStr">
        <is>
          <t>No se encontró ejecución en CUIPO</t>
        </is>
      </c>
      <c r="T205" s="101" t="inlineStr">
        <is>
          <t xml:space="preserve"> </t>
        </is>
      </c>
      <c r="U205" s="101" t="inlineStr">
        <is>
          <t xml:space="preserve"> </t>
        </is>
      </c>
      <c r="V205" s="101" t="inlineStr">
        <is>
          <t xml:space="preserve"> </t>
        </is>
      </c>
      <c r="W205" s="102" t="inlineStr">
        <is>
          <t xml:space="preserve"> </t>
        </is>
      </c>
      <c r="X205" t="inlineStr">
        <is>
          <t>No se encontró ejecución en CUIPO</t>
        </is>
      </c>
    </row>
    <row r="206">
      <c r="A206" t="inlineStr">
        <is>
          <t>IP-253</t>
        </is>
      </c>
      <c r="B206" t="inlineStr">
        <is>
          <t>45</t>
        </is>
      </c>
      <c r="C206" t="inlineStr">
        <is>
          <t>Gobierno Territorial</t>
        </is>
      </c>
      <c r="D206" t="inlineStr">
        <is>
          <t>4599</t>
        </is>
      </c>
      <c r="E206" t="inlineStr">
        <is>
          <t>Fortalecimiento a la gestión y dirección de la administración pública territorial</t>
        </is>
      </c>
      <c r="F206" t="inlineStr">
        <is>
          <t>4599030</t>
        </is>
      </c>
      <c r="G206" t="inlineStr">
        <is>
          <t xml:space="preserve">Servicio de educación informal </t>
        </is>
      </c>
      <c r="H206" t="inlineStr">
        <is>
          <t>Corresponde al diseño y desarrollo de estrategias educativas que tienen como objetivo brindar oportunidades para apropiar,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t>
        </is>
      </c>
      <c r="I206" t="inlineStr">
        <is>
          <t>2024254860046</t>
        </is>
      </c>
      <c r="J206" s="99">
        <v>0</v>
      </c>
      <c r="K206" s="99">
        <v>0</v>
      </c>
      <c r="L206" s="99">
        <v>0</v>
      </c>
      <c r="M206" s="99">
        <v>0</v>
      </c>
      <c r="N206" s="99">
        <v>0</v>
      </c>
      <c r="O206" s="99" t="inlineStr">
        <is>
          <t xml:space="preserve"> </t>
        </is>
      </c>
      <c r="P206" s="99" t="inlineStr">
        <is>
          <t xml:space="preserve"> </t>
        </is>
      </c>
      <c r="Q206" s="99" t="inlineStr">
        <is>
          <t xml:space="preserve"> </t>
        </is>
      </c>
      <c r="R206" s="100" t="inlineStr">
        <is>
          <t xml:space="preserve"> </t>
        </is>
      </c>
      <c r="S206" t="inlineStr">
        <is>
          <t>No se encontró ejecución en CUIPO</t>
        </is>
      </c>
      <c r="T206" s="101" t="inlineStr">
        <is>
          <t xml:space="preserve"> </t>
        </is>
      </c>
      <c r="U206" s="101" t="inlineStr">
        <is>
          <t xml:space="preserve"> </t>
        </is>
      </c>
      <c r="V206" s="101" t="inlineStr">
        <is>
          <t xml:space="preserve"> </t>
        </is>
      </c>
      <c r="W206" s="102" t="inlineStr">
        <is>
          <t xml:space="preserve"> </t>
        </is>
      </c>
      <c r="X206" t="inlineStr">
        <is>
          <t>No se encontró ejecución en CUIPO</t>
        </is>
      </c>
    </row>
    <row r="207">
      <c r="A207" t="inlineStr">
        <is>
          <t>IP-254, IP-257, IP-259</t>
        </is>
      </c>
      <c r="B207" t="inlineStr">
        <is>
          <t>45</t>
        </is>
      </c>
      <c r="C207" t="inlineStr">
        <is>
          <t>Gobierno Territorial</t>
        </is>
      </c>
      <c r="D207" t="inlineStr">
        <is>
          <t>4502</t>
        </is>
      </c>
      <c r="E207" t="inlineStr">
        <is>
          <t>Fortalecimiento del buen gobierno para el respeto y garantía de los derechos humanos.</t>
        </is>
      </c>
      <c r="F207" t="inlineStr">
        <is>
          <t>4502038</t>
        </is>
      </c>
      <c r="G207" t="inlineStr">
        <is>
          <t>Servicio de promoción de la garantía de derechos</t>
        </is>
      </c>
      <c r="H207" t="inlineStr">
        <is>
          <t>Incluye el desarrollo de acciones orientadas a divulgar y promover los mecanismos de atención, protección y ejercicio de los derechos de las mujeres, población LGTBI y personas y comunidades en riesgo así como la prevención de su vulneración.</t>
        </is>
      </c>
      <c r="I207" t="inlineStr">
        <is>
          <t>2024254860046</t>
        </is>
      </c>
      <c r="J207" s="99">
        <v>12942456</v>
      </c>
      <c r="K207" s="99">
        <v>0</v>
      </c>
      <c r="L207" s="99">
        <v>12942456</v>
      </c>
      <c r="M207" s="99">
        <v>0</v>
      </c>
      <c r="N207" s="99">
        <v>0</v>
      </c>
      <c r="O207" s="99" t="inlineStr">
        <is>
          <t xml:space="preserve"> </t>
        </is>
      </c>
      <c r="P207" s="99" t="inlineStr">
        <is>
          <t xml:space="preserve"> </t>
        </is>
      </c>
      <c r="Q207" s="99" t="inlineStr">
        <is>
          <t xml:space="preserve"> </t>
        </is>
      </c>
      <c r="R207" s="100" t="inlineStr">
        <is>
          <t xml:space="preserve"> </t>
        </is>
      </c>
      <c r="S207" t="inlineStr">
        <is>
          <t>No se encontró ejecución en CUIPO</t>
        </is>
      </c>
      <c r="T207" s="101" t="inlineStr">
        <is>
          <t xml:space="preserve"> </t>
        </is>
      </c>
      <c r="U207" s="101" t="inlineStr">
        <is>
          <t xml:space="preserve"> </t>
        </is>
      </c>
      <c r="V207" s="101" t="inlineStr">
        <is>
          <t xml:space="preserve"> </t>
        </is>
      </c>
      <c r="W207" s="102" t="inlineStr">
        <is>
          <t xml:space="preserve"> </t>
        </is>
      </c>
      <c r="X207" t="inlineStr">
        <is>
          <t>No se encontró ejecución en CUIPO</t>
        </is>
      </c>
    </row>
    <row r="208">
      <c r="A208" t="inlineStr">
        <is>
          <t>IP-255</t>
        </is>
      </c>
      <c r="B208" t="inlineStr">
        <is>
          <t>45</t>
        </is>
      </c>
      <c r="C208" t="inlineStr">
        <is>
          <t>Gobierno Territorial</t>
        </is>
      </c>
      <c r="D208" t="inlineStr">
        <is>
          <t>4502</t>
        </is>
      </c>
      <c r="E208" t="inlineStr">
        <is>
          <t>Fortalecimiento del buen gobierno para el respeto y garantía de los derechos humanos.</t>
        </is>
      </c>
      <c r="F208" t="inlineStr">
        <is>
          <t>4502026</t>
        </is>
      </c>
      <c r="G208" t="inlineStr">
        <is>
          <t>Documentos normativos</t>
        </is>
      </c>
      <c r="H208" t="inlineStr">
        <is>
          <t>Incluye la realización de los documentos de contenido normativo para la reglamentación de las diferentes lineas de acción del programa.</t>
        </is>
      </c>
      <c r="I208" t="inlineStr">
        <is>
          <t>2024254860046</t>
        </is>
      </c>
      <c r="J208" s="99">
        <v>15000000</v>
      </c>
      <c r="K208" s="99">
        <v>0</v>
      </c>
      <c r="L208" s="99">
        <v>15000000</v>
      </c>
      <c r="M208" s="99">
        <v>0</v>
      </c>
      <c r="N208" s="99">
        <v>0</v>
      </c>
      <c r="O208" s="99" t="inlineStr">
        <is>
          <t xml:space="preserve"> </t>
        </is>
      </c>
      <c r="P208" s="99" t="inlineStr">
        <is>
          <t xml:space="preserve"> </t>
        </is>
      </c>
      <c r="Q208" s="99" t="inlineStr">
        <is>
          <t xml:space="preserve"> </t>
        </is>
      </c>
      <c r="R208" s="100" t="inlineStr">
        <is>
          <t xml:space="preserve"> </t>
        </is>
      </c>
      <c r="S208" t="inlineStr">
        <is>
          <t>No se encontró ejecución en CUIPO</t>
        </is>
      </c>
      <c r="T208" s="101">
        <v>15000000</v>
      </c>
      <c r="U208" s="101">
        <v>0</v>
      </c>
      <c r="V208" s="101">
        <v>0</v>
      </c>
      <c r="W208" s="102">
        <v>0</v>
      </c>
      <c r="X208" t="inlineStr">
        <is>
          <t>No se ejecutó en la vigencia</t>
        </is>
      </c>
    </row>
    <row r="209">
      <c r="A209" t="inlineStr">
        <is>
          <t>IP-256, IP-260, IP-263, IP-41</t>
        </is>
      </c>
      <c r="B209" t="inlineStr">
        <is>
          <t>45</t>
        </is>
      </c>
      <c r="C209" t="inlineStr">
        <is>
          <t>Gobierno Territorial</t>
        </is>
      </c>
      <c r="D209" t="inlineStr">
        <is>
          <t>4502</t>
        </is>
      </c>
      <c r="E209" t="inlineStr">
        <is>
          <t>Fortalecimiento del buen gobierno para el respeto y garantía de los derechos humanos.</t>
        </is>
      </c>
      <c r="F209" t="inlineStr">
        <is>
          <t>4502001</t>
        </is>
      </c>
      <c r="G209" t="inlineStr">
        <is>
          <t>Servicio de promoción a la participación ciudadana</t>
        </is>
      </c>
      <c r="H209" t="inlineStr">
        <is>
          <t>Corresponde al diseño e implementación de acciones y estrategias que promuevan el ejercicio de la participación ciudadana para el respeto y garantía de los derechos humanos</t>
        </is>
      </c>
      <c r="I209" t="inlineStr">
        <is>
          <t>2024254860046</t>
        </is>
      </c>
      <c r="J209" s="99">
        <v>66429970.2503</v>
      </c>
      <c r="K209" s="99">
        <v>10773333</v>
      </c>
      <c r="L209" s="99">
        <v>31426334</v>
      </c>
      <c r="M209" s="99">
        <v>11877599.6325</v>
      </c>
      <c r="N209" s="99">
        <v>12352703.6178</v>
      </c>
      <c r="O209" s="99">
        <v>15910000</v>
      </c>
      <c r="P209" s="99">
        <v>15910000</v>
      </c>
      <c r="Q209" s="99">
        <v>15910000</v>
      </c>
      <c r="R209" s="100">
        <v>1.47679460014835</v>
      </c>
      <c r="S209" t="inlineStr">
        <is>
          <t>Hubo ejecución por encima de lo programado en SisPT</t>
        </is>
      </c>
      <c r="T209" s="101">
        <v>67100000</v>
      </c>
      <c r="U209" s="101">
        <v>23100000</v>
      </c>
      <c r="V209" s="101">
        <v>23100000</v>
      </c>
      <c r="W209" s="102">
        <v>0.735052329043534</v>
      </c>
      <c r="X209" t="inlineStr">
        <is>
          <t>Lo obligado está por debajo de lo programado en la vigencia</t>
        </is>
      </c>
    </row>
    <row r="210">
      <c r="A210" t="inlineStr">
        <is>
          <t>IP-258</t>
        </is>
      </c>
      <c r="B210" t="inlineStr">
        <is>
          <t>45</t>
        </is>
      </c>
      <c r="C210" t="inlineStr">
        <is>
          <t>Gobierno Territorial</t>
        </is>
      </c>
      <c r="D210" t="inlineStr">
        <is>
          <t>4502</t>
        </is>
      </c>
      <c r="E210" t="inlineStr">
        <is>
          <t>Fortalecimiento del buen gobierno para el respeto y garantía de los derechos humanos.</t>
        </is>
      </c>
      <c r="F210" t="inlineStr">
        <is>
          <t>4502039</t>
        </is>
      </c>
      <c r="G210" t="inlineStr">
        <is>
          <t>Servicio de apoyo financiero para empresas y emprendimientos productivos</t>
        </is>
      </c>
      <c r="H210" t="inlineStr">
        <is>
          <t xml:space="preserve">Comprende el apoyo con recursos monetarios para el fortalecimiento de empresas y el desarrollo de emprendimientos de personas y comunidades en riesgo, mujeres y población LGTBI. </t>
        </is>
      </c>
      <c r="I210" t="inlineStr">
        <is>
          <t>2024254860046</t>
        </is>
      </c>
      <c r="J210" s="99">
        <v>0</v>
      </c>
      <c r="K210" s="99">
        <v>0</v>
      </c>
      <c r="L210" s="99">
        <v>0</v>
      </c>
      <c r="M210" s="99">
        <v>0</v>
      </c>
      <c r="N210" s="99">
        <v>0</v>
      </c>
      <c r="O210" s="99" t="inlineStr">
        <is>
          <t xml:space="preserve"> </t>
        </is>
      </c>
      <c r="P210" s="99" t="inlineStr">
        <is>
          <t xml:space="preserve"> </t>
        </is>
      </c>
      <c r="Q210" s="99" t="inlineStr">
        <is>
          <t xml:space="preserve"> </t>
        </is>
      </c>
      <c r="R210" s="100" t="inlineStr">
        <is>
          <t xml:space="preserve"> </t>
        </is>
      </c>
      <c r="S210" t="inlineStr">
        <is>
          <t>No se encontró ejecución en CUIPO</t>
        </is>
      </c>
      <c r="T210" s="101" t="inlineStr">
        <is>
          <t xml:space="preserve"> </t>
        </is>
      </c>
      <c r="U210" s="101" t="inlineStr">
        <is>
          <t xml:space="preserve"> </t>
        </is>
      </c>
      <c r="V210" s="101" t="inlineStr">
        <is>
          <t xml:space="preserve"> </t>
        </is>
      </c>
      <c r="W210" s="102" t="inlineStr">
        <is>
          <t xml:space="preserve"> </t>
        </is>
      </c>
      <c r="X210" t="inlineStr">
        <is>
          <t>No se encontró ejecución en CUIPO</t>
        </is>
      </c>
    </row>
    <row r="211">
      <c r="A211" t="inlineStr">
        <is>
          <t>IP-261, IP-262</t>
        </is>
      </c>
      <c r="B211" t="inlineStr">
        <is>
          <t>45</t>
        </is>
      </c>
      <c r="C211" t="inlineStr">
        <is>
          <t>Gobierno Territorial</t>
        </is>
      </c>
      <c r="D211" t="inlineStr">
        <is>
          <t>4599</t>
        </is>
      </c>
      <c r="E211" t="inlineStr">
        <is>
          <t>Fortalecimiento a la gestión y dirección de la administración pública territorial</t>
        </is>
      </c>
      <c r="F211" t="inlineStr">
        <is>
          <t>4599031</t>
        </is>
      </c>
      <c r="G211" t="inlineStr">
        <is>
          <t>Servicio de asistencia técnica</t>
        </is>
      </c>
      <c r="H211" t="inlineStr">
        <is>
          <t>Corresponde al acompañamiento,apoyo,  asesoría y seguimiento técnico para la transferencia de herramientas de gestión y conocimiento en políticas, planes , proyectos y programas de apoyo a la dirección y gestión de la administración territorial.</t>
        </is>
      </c>
      <c r="I211" t="inlineStr">
        <is>
          <t>2024254860046</t>
        </is>
      </c>
      <c r="J211" s="99">
        <v>71261267</v>
      </c>
      <c r="K211" s="99">
        <v>6000000</v>
      </c>
      <c r="L211" s="99">
        <v>51766667</v>
      </c>
      <c r="M211" s="99">
        <v>6615000</v>
      </c>
      <c r="N211" s="99">
        <v>6879600</v>
      </c>
      <c r="O211" s="99" t="inlineStr">
        <is>
          <t xml:space="preserve"> </t>
        </is>
      </c>
      <c r="P211" s="99" t="inlineStr">
        <is>
          <t xml:space="preserve"> </t>
        </is>
      </c>
      <c r="Q211" s="99" t="inlineStr">
        <is>
          <t xml:space="preserve"> </t>
        </is>
      </c>
      <c r="R211" s="100" t="inlineStr">
        <is>
          <t xml:space="preserve"> </t>
        </is>
      </c>
      <c r="S211" t="inlineStr">
        <is>
          <t>No se encontró ejecución en CUIPO</t>
        </is>
      </c>
      <c r="T211" s="101" t="inlineStr">
        <is>
          <t xml:space="preserve"> </t>
        </is>
      </c>
      <c r="U211" s="101" t="inlineStr">
        <is>
          <t xml:space="preserve"> </t>
        </is>
      </c>
      <c r="V211" s="101" t="inlineStr">
        <is>
          <t xml:space="preserve"> </t>
        </is>
      </c>
      <c r="W211" s="102" t="inlineStr">
        <is>
          <t xml:space="preserve"> </t>
        </is>
      </c>
      <c r="X211" t="inlineStr">
        <is>
          <t>No se encontró ejecución en CUIPO</t>
        </is>
      </c>
    </row>
    <row r="212">
      <c r="A212" t="inlineStr">
        <is>
          <t>IP-264</t>
        </is>
      </c>
      <c r="B212" t="inlineStr">
        <is>
          <t>45</t>
        </is>
      </c>
      <c r="C212" t="inlineStr">
        <is>
          <t>Gobierno Territorial</t>
        </is>
      </c>
      <c r="D212" t="inlineStr">
        <is>
          <t>4502</t>
        </is>
      </c>
      <c r="E212" t="inlineStr">
        <is>
          <t>Fortalecimiento del buen gobierno para el respeto y garantía de los derechos humanos.</t>
        </is>
      </c>
      <c r="F212" t="inlineStr">
        <is>
          <t>4502025</t>
        </is>
      </c>
      <c r="G212" t="inlineStr">
        <is>
          <t>Servicio de organización de procesos electorales</t>
        </is>
      </c>
      <c r="H212" t="inlineStr">
        <is>
          <t xml:space="preserve">Incluye la disposición de los espacios y la logística para el desarrollo de procesos electorales. </t>
        </is>
      </c>
      <c r="I212" t="inlineStr">
        <is>
          <t>2024254860046</t>
        </is>
      </c>
      <c r="J212" s="99">
        <v>30394464</v>
      </c>
      <c r="K212" s="99">
        <v>6300000</v>
      </c>
      <c r="L212" s="99">
        <v>9925134</v>
      </c>
      <c r="M212" s="99">
        <v>6945750</v>
      </c>
      <c r="N212" s="99">
        <v>7223580</v>
      </c>
      <c r="O212" s="99" t="inlineStr">
        <is>
          <t xml:space="preserve"> </t>
        </is>
      </c>
      <c r="P212" s="99" t="inlineStr">
        <is>
          <t xml:space="preserve"> </t>
        </is>
      </c>
      <c r="Q212" s="99" t="inlineStr">
        <is>
          <t xml:space="preserve"> </t>
        </is>
      </c>
      <c r="R212" s="100" t="inlineStr">
        <is>
          <t xml:space="preserve"> </t>
        </is>
      </c>
      <c r="S212" t="inlineStr">
        <is>
          <t>No se encontró ejecución en CUIPO</t>
        </is>
      </c>
      <c r="T212" s="101">
        <v>1059583</v>
      </c>
      <c r="U212" s="101">
        <v>1059583</v>
      </c>
      <c r="V212" s="101">
        <v>1059583</v>
      </c>
      <c r="W212" s="102">
        <v>0.10675755108193</v>
      </c>
      <c r="X212" t="inlineStr">
        <is>
          <t>Lo obligado está por debajo de lo programado en la vigencia</t>
        </is>
      </c>
    </row>
    <row r="213">
      <c r="A213" t="inlineStr">
        <is>
          <t>IP-265, IP-269</t>
        </is>
      </c>
      <c r="B213" t="inlineStr">
        <is>
          <t>45</t>
        </is>
      </c>
      <c r="C213" t="inlineStr">
        <is>
          <t>Gobierno Territorial</t>
        </is>
      </c>
      <c r="D213" t="inlineStr">
        <is>
          <t>4501</t>
        </is>
      </c>
      <c r="E213" t="inlineStr">
        <is>
          <t>Fortalecimiento de la convivencia y la seguridad ciudadana</t>
        </is>
      </c>
      <c r="F213" t="inlineStr">
        <is>
          <t>4501057</t>
        </is>
      </c>
      <c r="G213" t="inlineStr">
        <is>
          <t>Servicio de apoyo financiero para dotar a miembros de la fuerza publica</t>
        </is>
      </c>
      <c r="H213" t="inlineStr">
        <is>
          <t xml:space="preserve">Corresponde a los recursos del Fondos de Seguridad de las Entidades Territoriales (FONSET) destinados a la adquisición de dotación para nuevos policias, soldados y auxiliares en tanto se inicia la nueva vigencia.
</t>
        </is>
      </c>
      <c r="I213" t="inlineStr">
        <is>
          <t>2024254860047</t>
        </is>
      </c>
      <c r="J213" s="99">
        <v>90530898.2493</v>
      </c>
      <c r="K213" s="99">
        <v>18627223</v>
      </c>
      <c r="L213" s="99">
        <v>30009188</v>
      </c>
      <c r="M213" s="99">
        <v>20536513.3575</v>
      </c>
      <c r="N213" s="99">
        <v>21357973.8918</v>
      </c>
      <c r="O213" s="99">
        <v>14849619</v>
      </c>
      <c r="P213" s="99">
        <v>12349619</v>
      </c>
      <c r="Q213" s="99">
        <v>11479089</v>
      </c>
      <c r="R213" s="100">
        <v>0.662987660586873</v>
      </c>
      <c r="S213" t="inlineStr">
        <is>
          <t>Lo obligado está por debajo de lo programado en la vigencia</t>
        </is>
      </c>
      <c r="T213" s="101">
        <v>22333333</v>
      </c>
      <c r="U213" s="101">
        <v>21256029</v>
      </c>
      <c r="V213" s="101">
        <v>23741558</v>
      </c>
      <c r="W213" s="102">
        <v>0.708317366001373</v>
      </c>
      <c r="X213" t="inlineStr">
        <is>
          <t>Lo obligado está por debajo de lo programado en la vigencia</t>
        </is>
      </c>
    </row>
    <row r="214">
      <c r="A214" t="inlineStr">
        <is>
          <t>IP-266</t>
        </is>
      </c>
      <c r="B214" t="inlineStr">
        <is>
          <t>45</t>
        </is>
      </c>
      <c r="C214" t="inlineStr">
        <is>
          <t>Gobierno Territorial</t>
        </is>
      </c>
      <c r="D214" t="inlineStr">
        <is>
          <t>4501</t>
        </is>
      </c>
      <c r="E214" t="inlineStr">
        <is>
          <t>Fortalecimiento de la convivencia y la seguridad ciudadana</t>
        </is>
      </c>
      <c r="F214" t="inlineStr">
        <is>
          <t>4501066</t>
        </is>
      </c>
      <c r="G214" t="inlineStr">
        <is>
          <t>Estaciones de policía construidas y dotadas</t>
        </is>
      </c>
      <c r="H214" t="inlineStr">
        <is>
          <t>Corresponde a un inmueble resultado de obras de edificación en terrenos no construidos o cuya área esté libre por autorización de demolición total, en áreas priorizadas por la Policía Nacional de acuerdo con las necesidades focalizadas en materia de convivencia y seguridad ciudadana. Incluye la dotación.</t>
        </is>
      </c>
      <c r="I214" t="inlineStr">
        <is>
          <t>2024254860047</t>
        </is>
      </c>
      <c r="J214" s="99">
        <v>0</v>
      </c>
      <c r="K214" s="99">
        <v>0</v>
      </c>
      <c r="L214" s="99">
        <v>0</v>
      </c>
      <c r="M214" s="99">
        <v>0</v>
      </c>
      <c r="N214" s="99">
        <v>0</v>
      </c>
      <c r="O214" s="99" t="inlineStr">
        <is>
          <t xml:space="preserve"> </t>
        </is>
      </c>
      <c r="P214" s="99" t="inlineStr">
        <is>
          <t xml:space="preserve"> </t>
        </is>
      </c>
      <c r="Q214" s="99" t="inlineStr">
        <is>
          <t xml:space="preserve"> </t>
        </is>
      </c>
      <c r="R214" s="100" t="inlineStr">
        <is>
          <t xml:space="preserve"> </t>
        </is>
      </c>
      <c r="S214" t="inlineStr">
        <is>
          <t>No se encontró ejecución en CUIPO</t>
        </is>
      </c>
      <c r="T214" s="101" t="inlineStr">
        <is>
          <t xml:space="preserve"> </t>
        </is>
      </c>
      <c r="U214" s="101" t="inlineStr">
        <is>
          <t xml:space="preserve"> </t>
        </is>
      </c>
      <c r="V214" s="101" t="inlineStr">
        <is>
          <t xml:space="preserve"> </t>
        </is>
      </c>
      <c r="W214" s="102" t="inlineStr">
        <is>
          <t xml:space="preserve"> </t>
        </is>
      </c>
      <c r="X214" t="inlineStr">
        <is>
          <t>No se encontró ejecución en CUIPO</t>
        </is>
      </c>
    </row>
    <row r="215">
      <c r="A215" t="inlineStr">
        <is>
          <t>IP-267</t>
        </is>
      </c>
      <c r="B215" t="inlineStr">
        <is>
          <t>45</t>
        </is>
      </c>
      <c r="C215" t="inlineStr">
        <is>
          <t>Gobierno Territorial</t>
        </is>
      </c>
      <c r="D215" t="inlineStr">
        <is>
          <t>4501</t>
        </is>
      </c>
      <c r="E215" t="inlineStr">
        <is>
          <t>Fortalecimiento de la convivencia y la seguridad ciudadana</t>
        </is>
      </c>
      <c r="F215" t="inlineStr">
        <is>
          <t>4501065</t>
        </is>
      </c>
      <c r="G215" t="inlineStr">
        <is>
          <t>Comandos  de policía construidas y dotadas</t>
        </is>
      </c>
      <c r="H215" t="inlineStr">
        <is>
          <t>Corresponde a un inmueble resultado de obras de edificación en terrenos no construidos o cuya área esté libre por autorización de demolición total, en áreas priorizadas por la Policía Nacional de acuerdo con las necesidades focalizadas en materia de convivencia y seguridad ciudadana. Incluye la dotación</t>
        </is>
      </c>
      <c r="I215" t="inlineStr">
        <is>
          <t>2024254860047</t>
        </is>
      </c>
      <c r="J215" s="99">
        <v>0</v>
      </c>
      <c r="K215" s="99">
        <v>0</v>
      </c>
      <c r="L215" s="99">
        <v>0</v>
      </c>
      <c r="M215" s="99">
        <v>0</v>
      </c>
      <c r="N215" s="99">
        <v>0</v>
      </c>
      <c r="O215" s="99" t="inlineStr">
        <is>
          <t xml:space="preserve"> </t>
        </is>
      </c>
      <c r="P215" s="99" t="inlineStr">
        <is>
          <t xml:space="preserve"> </t>
        </is>
      </c>
      <c r="Q215" s="99" t="inlineStr">
        <is>
          <t xml:space="preserve"> </t>
        </is>
      </c>
      <c r="R215" s="100" t="inlineStr">
        <is>
          <t xml:space="preserve"> </t>
        </is>
      </c>
      <c r="S215" t="inlineStr">
        <is>
          <t>No se encontró ejecución en CUIPO</t>
        </is>
      </c>
      <c r="T215" s="101" t="inlineStr">
        <is>
          <t xml:space="preserve"> </t>
        </is>
      </c>
      <c r="U215" s="101" t="inlineStr">
        <is>
          <t xml:space="preserve"> </t>
        </is>
      </c>
      <c r="V215" s="101" t="inlineStr">
        <is>
          <t xml:space="preserve"> </t>
        </is>
      </c>
      <c r="W215" s="102" t="inlineStr">
        <is>
          <t xml:space="preserve"> </t>
        </is>
      </c>
      <c r="X215" t="inlineStr">
        <is>
          <t>No se encontró ejecución en CUIPO</t>
        </is>
      </c>
    </row>
    <row r="216">
      <c r="A216" t="inlineStr">
        <is>
          <t>IP-268</t>
        </is>
      </c>
      <c r="B216" t="inlineStr">
        <is>
          <t>45</t>
        </is>
      </c>
      <c r="C216" t="inlineStr">
        <is>
          <t>Gobierno Territorial</t>
        </is>
      </c>
      <c r="D216" t="inlineStr">
        <is>
          <t>4501</t>
        </is>
      </c>
      <c r="E216" t="inlineStr">
        <is>
          <t>Fortalecimiento de la convivencia y la seguridad ciudadana</t>
        </is>
      </c>
      <c r="F216" t="inlineStr">
        <is>
          <t>4501029</t>
        </is>
      </c>
      <c r="G216" t="inlineStr">
        <is>
          <t>Servicio de apoyo financiero para proyectos de convivencia y seguridad ciudadana</t>
        </is>
      </c>
      <c r="H216" t="inlineStr">
        <is>
          <t>Incluye la financiación monetaria de iniciativas ciudadanas que promuevan la convivencia y  seguridad ciudadana.</t>
        </is>
      </c>
      <c r="I216" t="inlineStr">
        <is>
          <t>2024254860047</t>
        </is>
      </c>
      <c r="J216" s="99">
        <v>244525563.396</v>
      </c>
      <c r="K216" s="99">
        <v>58109560</v>
      </c>
      <c r="L216" s="99">
        <v>55721792</v>
      </c>
      <c r="M216" s="99">
        <v>64065789.9</v>
      </c>
      <c r="N216" s="99">
        <v>66628421.496</v>
      </c>
      <c r="O216" s="99">
        <v>2623108</v>
      </c>
      <c r="P216" s="99">
        <v>2623108</v>
      </c>
      <c r="Q216" s="99">
        <v>2623108</v>
      </c>
      <c r="R216" s="100">
        <v>0.0451407307162539</v>
      </c>
      <c r="S216" t="inlineStr">
        <is>
          <t>Lo obligado está por debajo de lo programado en la vigencia</t>
        </is>
      </c>
      <c r="T216" s="101">
        <v>0</v>
      </c>
      <c r="U216" s="101">
        <v>0</v>
      </c>
      <c r="V216" s="101">
        <v>0</v>
      </c>
      <c r="W216" s="102">
        <v>0</v>
      </c>
      <c r="X216" t="inlineStr">
        <is>
          <t>No se ejecutó en la vigencia</t>
        </is>
      </c>
    </row>
    <row r="217">
      <c r="A217" t="inlineStr">
        <is>
          <t>IP-270, IP-276</t>
        </is>
      </c>
      <c r="B217" t="inlineStr">
        <is>
          <t>45</t>
        </is>
      </c>
      <c r="C217" t="inlineStr">
        <is>
          <t>Gobierno Territorial</t>
        </is>
      </c>
      <c r="D217" t="inlineStr">
        <is>
          <t>4501</t>
        </is>
      </c>
      <c r="E217" t="inlineStr">
        <is>
          <t>Fortalecimiento de la convivencia y la seguridad ciudadana</t>
        </is>
      </c>
      <c r="F217" t="inlineStr">
        <is>
          <t>4501048</t>
        </is>
      </c>
      <c r="G217" t="inlineStr">
        <is>
          <t>Servicio de apoyo para el acceso a la justicia policiva</t>
        </is>
      </c>
      <c r="H217" t="inlineStr">
        <is>
          <t>Comprende la estructuración , definición , implementacion y evaluación de estrategias que permitan garantizar el  efectivo cumplimiento de las normas para la prestación de los servicios de justicia policiva.</t>
        </is>
      </c>
      <c r="I217" t="inlineStr">
        <is>
          <t>2024254860047</t>
        </is>
      </c>
      <c r="J217" s="99">
        <v>9558206</v>
      </c>
      <c r="K217" s="99">
        <v>0</v>
      </c>
      <c r="L217" s="99">
        <v>9558206</v>
      </c>
      <c r="M217" s="99">
        <v>0</v>
      </c>
      <c r="N217" s="99">
        <v>0</v>
      </c>
      <c r="O217" s="99" t="inlineStr">
        <is>
          <t xml:space="preserve"> </t>
        </is>
      </c>
      <c r="P217" s="99" t="inlineStr">
        <is>
          <t xml:space="preserve"> </t>
        </is>
      </c>
      <c r="Q217" s="99" t="inlineStr">
        <is>
          <t xml:space="preserve"> </t>
        </is>
      </c>
      <c r="R217" s="100" t="inlineStr">
        <is>
          <t xml:space="preserve"> </t>
        </is>
      </c>
      <c r="S217" t="inlineStr">
        <is>
          <t>No se encontró ejecución en CUIPO</t>
        </is>
      </c>
      <c r="T217" s="101" t="inlineStr">
        <is>
          <t xml:space="preserve"> </t>
        </is>
      </c>
      <c r="U217" s="101" t="inlineStr">
        <is>
          <t xml:space="preserve"> </t>
        </is>
      </c>
      <c r="V217" s="101" t="inlineStr">
        <is>
          <t xml:space="preserve"> </t>
        </is>
      </c>
      <c r="W217" s="102" t="inlineStr">
        <is>
          <t xml:space="preserve"> </t>
        </is>
      </c>
      <c r="X217" t="inlineStr">
        <is>
          <t>No se encontró ejecución en CUIPO</t>
        </is>
      </c>
    </row>
    <row r="218">
      <c r="A218" t="inlineStr">
        <is>
          <t>IP-271</t>
        </is>
      </c>
      <c r="B218" t="inlineStr">
        <is>
          <t>45</t>
        </is>
      </c>
      <c r="C218" t="inlineStr">
        <is>
          <t>Gobierno Territorial</t>
        </is>
      </c>
      <c r="D218" t="inlineStr">
        <is>
          <t>4501</t>
        </is>
      </c>
      <c r="E218" t="inlineStr">
        <is>
          <t>Fortalecimiento de la convivencia y la seguridad ciudadana</t>
        </is>
      </c>
      <c r="F218" t="inlineStr">
        <is>
          <t>4501026</t>
        </is>
      </c>
      <c r="G218" t="inlineStr">
        <is>
          <t>Documentos Planeacion</t>
        </is>
      </c>
      <c r="H218" t="inlineStr">
        <is>
          <t>Documentos cuyo objetivo es plasmar una visión de futuro a anivel de entidad territorial, comunidad, sector, región, entidad o cualquier nivel de desagregación que se requiera. Incluye objetivos, estrategias, metas e indicadores.</t>
        </is>
      </c>
      <c r="I218" t="inlineStr">
        <is>
          <t>2024254860047</t>
        </is>
      </c>
      <c r="J218" s="99">
        <v>49581061</v>
      </c>
      <c r="K218" s="99">
        <v>0</v>
      </c>
      <c r="L218" s="99">
        <v>49581061</v>
      </c>
      <c r="M218" s="99">
        <v>0</v>
      </c>
      <c r="N218" s="99">
        <v>0</v>
      </c>
      <c r="O218" s="99" t="inlineStr">
        <is>
          <t xml:space="preserve"> </t>
        </is>
      </c>
      <c r="P218" s="99" t="inlineStr">
        <is>
          <t xml:space="preserve"> </t>
        </is>
      </c>
      <c r="Q218" s="99" t="inlineStr">
        <is>
          <t xml:space="preserve"> </t>
        </is>
      </c>
      <c r="R218" s="100" t="inlineStr">
        <is>
          <t xml:space="preserve"> </t>
        </is>
      </c>
      <c r="S218" t="inlineStr">
        <is>
          <t>No se encontró ejecución en CUIPO</t>
        </is>
      </c>
      <c r="T218" s="101" t="inlineStr">
        <is>
          <t xml:space="preserve"> </t>
        </is>
      </c>
      <c r="U218" s="101" t="inlineStr">
        <is>
          <t xml:space="preserve"> </t>
        </is>
      </c>
      <c r="V218" s="101" t="inlineStr">
        <is>
          <t xml:space="preserve"> </t>
        </is>
      </c>
      <c r="W218" s="102" t="inlineStr">
        <is>
          <t xml:space="preserve"> </t>
        </is>
      </c>
      <c r="X218" t="inlineStr">
        <is>
          <t>No se encontró ejecución en CUIPO</t>
        </is>
      </c>
    </row>
    <row r="219">
      <c r="A219" t="inlineStr">
        <is>
          <t>IP-272</t>
        </is>
      </c>
      <c r="B219" t="inlineStr">
        <is>
          <t>45</t>
        </is>
      </c>
      <c r="C219" t="inlineStr">
        <is>
          <t>Gobierno Territorial</t>
        </is>
      </c>
      <c r="D219" t="inlineStr">
        <is>
          <t>4501</t>
        </is>
      </c>
      <c r="E219" t="inlineStr">
        <is>
          <t>Fortalecimiento de la convivencia y la seguridad ciudadana</t>
        </is>
      </c>
      <c r="F219" t="inlineStr">
        <is>
          <t>4501049</t>
        </is>
      </c>
      <c r="G219" t="inlineStr">
        <is>
          <t>Servicio de educación informal</t>
        </is>
      </c>
      <c r="H219" t="inlineStr">
        <is>
          <t>Corresponde al diseño y desarrollo de estrategias educativas que tienen como objetivo brindar oportunidades para apropiar, complementar, actualizar, perfeccionar, renovar o profundizar conocimientos, habilidades, técnicas y prácticas de la prevención y la participación, como herramientas para la convivencia y la seguridad ciudadana. Este conocimiento libre y espontáneo adquirido por ciudadanos, puede provenir de personas, entidades, medios de comunicación masiva, medios impresos, tradiciones, costumbres, comportamientos sociales y otros no estructurados y su duración es inferior a 160 horas</t>
        </is>
      </c>
      <c r="I219" t="inlineStr">
        <is>
          <t>2024254860047</t>
        </is>
      </c>
      <c r="J219" s="99">
        <v>0</v>
      </c>
      <c r="K219" s="99">
        <v>0</v>
      </c>
      <c r="L219" s="99">
        <v>0</v>
      </c>
      <c r="M219" s="99">
        <v>0</v>
      </c>
      <c r="N219" s="99">
        <v>0</v>
      </c>
      <c r="O219" s="99" t="inlineStr">
        <is>
          <t xml:space="preserve"> </t>
        </is>
      </c>
      <c r="P219" s="99" t="inlineStr">
        <is>
          <t xml:space="preserve"> </t>
        </is>
      </c>
      <c r="Q219" s="99" t="inlineStr">
        <is>
          <t xml:space="preserve"> </t>
        </is>
      </c>
      <c r="R219" s="100" t="inlineStr">
        <is>
          <t xml:space="preserve"> </t>
        </is>
      </c>
      <c r="S219" t="inlineStr">
        <is>
          <t>No se encontró ejecución en CUIPO</t>
        </is>
      </c>
      <c r="T219" s="101" t="inlineStr">
        <is>
          <t xml:space="preserve"> </t>
        </is>
      </c>
      <c r="U219" s="101" t="inlineStr">
        <is>
          <t xml:space="preserve"> </t>
        </is>
      </c>
      <c r="V219" s="101" t="inlineStr">
        <is>
          <t xml:space="preserve"> </t>
        </is>
      </c>
      <c r="W219" s="102" t="inlineStr">
        <is>
          <t xml:space="preserve"> </t>
        </is>
      </c>
      <c r="X219" t="inlineStr">
        <is>
          <t>No se encontró ejecución en CUIPO</t>
        </is>
      </c>
    </row>
    <row r="220">
      <c r="A220" t="inlineStr">
        <is>
          <t>IP-273</t>
        </is>
      </c>
      <c r="B220" t="inlineStr">
        <is>
          <t>45</t>
        </is>
      </c>
      <c r="C220" t="inlineStr">
        <is>
          <t>Gobierno Territorial</t>
        </is>
      </c>
      <c r="D220" t="inlineStr">
        <is>
          <t>4501</t>
        </is>
      </c>
      <c r="E220" t="inlineStr">
        <is>
          <t>Fortalecimiento de la convivencia y la seguridad ciudadana</t>
        </is>
      </c>
      <c r="F220" t="inlineStr">
        <is>
          <t>4501028</t>
        </is>
      </c>
      <c r="G220" t="inlineStr">
        <is>
          <t>Servicio de vigilancia a través de cámaras de seguridad</t>
        </is>
      </c>
      <c r="H220" t="inlineStr">
        <is>
          <t>Incluye la disposición tecnológica de cámaras de seguridad para la implementación de estrategias de convivencia y seguridad ciudadana.</t>
        </is>
      </c>
      <c r="I220" t="inlineStr">
        <is>
          <t>2024254860047</t>
        </is>
      </c>
      <c r="J220" s="99">
        <v>0</v>
      </c>
      <c r="K220" s="99">
        <v>0</v>
      </c>
      <c r="L220" s="99">
        <v>0</v>
      </c>
      <c r="M220" s="99">
        <v>0</v>
      </c>
      <c r="N220" s="99">
        <v>0</v>
      </c>
      <c r="O220" s="99" t="inlineStr">
        <is>
          <t xml:space="preserve"> </t>
        </is>
      </c>
      <c r="P220" s="99" t="inlineStr">
        <is>
          <t xml:space="preserve"> </t>
        </is>
      </c>
      <c r="Q220" s="99" t="inlineStr">
        <is>
          <t xml:space="preserve"> </t>
        </is>
      </c>
      <c r="R220" s="100" t="inlineStr">
        <is>
          <t xml:space="preserve"> </t>
        </is>
      </c>
      <c r="S220" t="inlineStr">
        <is>
          <t>No se encontró ejecución en CUIPO</t>
        </is>
      </c>
      <c r="T220" s="101" t="inlineStr">
        <is>
          <t xml:space="preserve"> </t>
        </is>
      </c>
      <c r="U220" s="101" t="inlineStr">
        <is>
          <t xml:space="preserve"> </t>
        </is>
      </c>
      <c r="V220" s="101" t="inlineStr">
        <is>
          <t xml:space="preserve"> </t>
        </is>
      </c>
      <c r="W220" s="102" t="inlineStr">
        <is>
          <t xml:space="preserve"> </t>
        </is>
      </c>
      <c r="X220" t="inlineStr">
        <is>
          <t>No se encontró ejecución en CUIPO</t>
        </is>
      </c>
    </row>
    <row r="221">
      <c r="A221" t="inlineStr">
        <is>
          <t>IP-274</t>
        </is>
      </c>
      <c r="B221" t="inlineStr">
        <is>
          <t>45</t>
        </is>
      </c>
      <c r="C221" t="inlineStr">
        <is>
          <t>Gobierno Territorial</t>
        </is>
      </c>
      <c r="D221" t="inlineStr">
        <is>
          <t>4501</t>
        </is>
      </c>
      <c r="E221" t="inlineStr">
        <is>
          <t>Fortalecimiento de la convivencia y la seguridad ciudadana</t>
        </is>
      </c>
      <c r="F221" t="inlineStr">
        <is>
          <t>4501007</t>
        </is>
      </c>
      <c r="G221" t="inlineStr">
        <is>
          <t>Servicio información implementado</t>
        </is>
      </c>
      <c r="H221" t="inlineStr">
        <is>
          <t>Diseño e implementación de las Tics orientadas a atender las necesidades de las dependencias de la entidad en Sistemas de Información, infraestructura computacional, y  redes, que apoyen los proceso de toma de decisiones y la accesibilidad a la ciudadanía.</t>
        </is>
      </c>
      <c r="I221" t="inlineStr">
        <is>
          <t>2024254860047</t>
        </is>
      </c>
      <c r="J221" s="99">
        <v>0</v>
      </c>
      <c r="K221" s="99">
        <v>0</v>
      </c>
      <c r="L221" s="99">
        <v>0</v>
      </c>
      <c r="M221" s="99">
        <v>0</v>
      </c>
      <c r="N221" s="99">
        <v>0</v>
      </c>
      <c r="O221" s="99" t="inlineStr">
        <is>
          <t xml:space="preserve"> </t>
        </is>
      </c>
      <c r="P221" s="99" t="inlineStr">
        <is>
          <t xml:space="preserve"> </t>
        </is>
      </c>
      <c r="Q221" s="99" t="inlineStr">
        <is>
          <t xml:space="preserve"> </t>
        </is>
      </c>
      <c r="R221" s="100" t="inlineStr">
        <is>
          <t xml:space="preserve"> </t>
        </is>
      </c>
      <c r="S221" t="inlineStr">
        <is>
          <t>No se encontró ejecución en CUIPO</t>
        </is>
      </c>
      <c r="T221" s="101" t="inlineStr">
        <is>
          <t xml:space="preserve"> </t>
        </is>
      </c>
      <c r="U221" s="101" t="inlineStr">
        <is>
          <t xml:space="preserve"> </t>
        </is>
      </c>
      <c r="V221" s="101" t="inlineStr">
        <is>
          <t xml:space="preserve"> </t>
        </is>
      </c>
      <c r="W221" s="102" t="inlineStr">
        <is>
          <t xml:space="preserve"> </t>
        </is>
      </c>
      <c r="X221" t="inlineStr">
        <is>
          <t>No se encontró ejecución en CUIPO</t>
        </is>
      </c>
    </row>
    <row r="222">
      <c r="A222" t="inlineStr">
        <is>
          <t>IP-275</t>
        </is>
      </c>
      <c r="B222" t="inlineStr">
        <is>
          <t>45</t>
        </is>
      </c>
      <c r="C222" t="inlineStr">
        <is>
          <t>Gobierno Territorial</t>
        </is>
      </c>
      <c r="D222" t="inlineStr">
        <is>
          <t>4501</t>
        </is>
      </c>
      <c r="E222" t="inlineStr">
        <is>
          <t>Fortalecimiento de la convivencia y la seguridad ciudadana</t>
        </is>
      </c>
      <c r="F222" t="inlineStr">
        <is>
          <t>4501004</t>
        </is>
      </c>
      <c r="G222" t="inlineStr">
        <is>
          <t>Servicio de promoción de convivencia y no repetición</t>
        </is>
      </c>
      <c r="H222" t="inlineStr">
        <is>
          <t>Incluye acciones e iniciativas de carácter institucional e interinstitucional que promuevan la desactivación de los patrones del conflicto armado interno, la construcción de la cultura de respeto y tolerancia en democracia, en perspectiva de crear y mejorar las condiciones de convivencia y de no repetición en los territorios.</t>
        </is>
      </c>
      <c r="I222" t="inlineStr">
        <is>
          <t>2024254860047</t>
        </is>
      </c>
      <c r="J222" s="99">
        <v>0</v>
      </c>
      <c r="K222" s="99">
        <v>0</v>
      </c>
      <c r="L222" s="99">
        <v>0</v>
      </c>
      <c r="M222" s="99">
        <v>0</v>
      </c>
      <c r="N222" s="99">
        <v>0</v>
      </c>
      <c r="O222" s="99">
        <v>2623107</v>
      </c>
      <c r="P222" s="99">
        <v>2623107</v>
      </c>
      <c r="Q222" s="99">
        <v>2623107</v>
      </c>
      <c r="R222" s="100" t="inlineStr">
        <is>
          <t xml:space="preserve"> </t>
        </is>
      </c>
      <c r="S222" t="inlineStr">
        <is>
          <t>Se ejecutó un producto no programado en la vigencia</t>
        </is>
      </c>
      <c r="T222" s="101" t="inlineStr">
        <is>
          <t xml:space="preserve"> </t>
        </is>
      </c>
      <c r="U222" s="101" t="inlineStr">
        <is>
          <t xml:space="preserve"> </t>
        </is>
      </c>
      <c r="V222" s="101" t="inlineStr">
        <is>
          <t xml:space="preserve"> </t>
        </is>
      </c>
      <c r="W222" s="102" t="inlineStr">
        <is>
          <t xml:space="preserve"> </t>
        </is>
      </c>
      <c r="X222" t="inlineStr">
        <is>
          <t>No se encontró ejecución en CUIPO</t>
        </is>
      </c>
    </row>
    <row r="223">
      <c r="A223" t="inlineStr">
        <is>
          <t>IP-277</t>
        </is>
      </c>
      <c r="B223" t="inlineStr">
        <is>
          <t>45</t>
        </is>
      </c>
      <c r="C223" t="inlineStr">
        <is>
          <t>Gobierno Territorial</t>
        </is>
      </c>
      <c r="D223" t="inlineStr">
        <is>
          <t>4501</t>
        </is>
      </c>
      <c r="E223" t="inlineStr">
        <is>
          <t>Fortalecimiento de la convivencia y la seguridad ciudadana</t>
        </is>
      </c>
      <c r="F223" t="inlineStr">
        <is>
          <t>4501056</t>
        </is>
      </c>
      <c r="G223" t="inlineStr">
        <is>
          <t>Servicio de apoyo financiero para la justicia y seguridad</t>
        </is>
      </c>
      <c r="H223" t="inlineStr">
        <is>
          <t>Corresponde a los recursos destinados a compensar a personas que colaboren con la justicia y a contribuir a la seguridad de las mismas.</t>
        </is>
      </c>
      <c r="I223" t="inlineStr">
        <is>
          <t>2024254860047</t>
        </is>
      </c>
      <c r="J223" s="99">
        <v>0</v>
      </c>
      <c r="K223" s="99">
        <v>0</v>
      </c>
      <c r="L223" s="99">
        <v>0</v>
      </c>
      <c r="M223" s="99">
        <v>0</v>
      </c>
      <c r="N223" s="99">
        <v>0</v>
      </c>
      <c r="O223" s="99" t="inlineStr">
        <is>
          <t xml:space="preserve"> </t>
        </is>
      </c>
      <c r="P223" s="99" t="inlineStr">
        <is>
          <t xml:space="preserve"> </t>
        </is>
      </c>
      <c r="Q223" s="99" t="inlineStr">
        <is>
          <t xml:space="preserve"> </t>
        </is>
      </c>
      <c r="R223" s="100" t="inlineStr">
        <is>
          <t xml:space="preserve"> </t>
        </is>
      </c>
      <c r="S223" t="inlineStr">
        <is>
          <t>No se encontró ejecución en CUIPO</t>
        </is>
      </c>
      <c r="T223" s="101" t="inlineStr">
        <is>
          <t xml:space="preserve"> </t>
        </is>
      </c>
      <c r="U223" s="101" t="inlineStr">
        <is>
          <t xml:space="preserve"> </t>
        </is>
      </c>
      <c r="V223" s="101" t="inlineStr">
        <is>
          <t xml:space="preserve"> </t>
        </is>
      </c>
      <c r="W223" s="102" t="inlineStr">
        <is>
          <t xml:space="preserve"> </t>
        </is>
      </c>
      <c r="X223" t="inlineStr">
        <is>
          <t>No se encontró ejecución en CUIPO</t>
        </is>
      </c>
    </row>
    <row r="224">
      <c r="A224" t="inlineStr">
        <is>
          <t>IP-278</t>
        </is>
      </c>
      <c r="B224" t="inlineStr">
        <is>
          <t>45</t>
        </is>
      </c>
      <c r="C224" t="inlineStr">
        <is>
          <t>Gobierno Territorial</t>
        </is>
      </c>
      <c r="D224" t="inlineStr">
        <is>
          <t>4501</t>
        </is>
      </c>
      <c r="E224" t="inlineStr">
        <is>
          <t>Fortalecimiento de la convivencia y la seguridad ciudadana</t>
        </is>
      </c>
      <c r="F224" t="inlineStr">
        <is>
          <t>4501046</t>
        </is>
      </c>
      <c r="G224" t="inlineStr">
        <is>
          <t>Documentos de lineamientos técnicos</t>
        </is>
      </c>
      <c r="H224" t="inlineStr">
        <is>
          <t>Documentos cuyo objetivo es describir y explicar instrumentos, estándares, requisitos y condiciones necesarias para llevar a cabo un proceso o actividad.</t>
        </is>
      </c>
      <c r="I224" t="inlineStr">
        <is>
          <t>2024254860047</t>
        </is>
      </c>
      <c r="J224" s="99">
        <v>34465742.018</v>
      </c>
      <c r="K224" s="99">
        <v>2019980</v>
      </c>
      <c r="L224" s="99">
        <v>27902625</v>
      </c>
      <c r="M224" s="99">
        <v>2227027.95</v>
      </c>
      <c r="N224" s="99">
        <v>2316109.068</v>
      </c>
      <c r="O224" s="99" t="inlineStr">
        <is>
          <t xml:space="preserve"> </t>
        </is>
      </c>
      <c r="P224" s="99" t="inlineStr">
        <is>
          <t xml:space="preserve"> </t>
        </is>
      </c>
      <c r="Q224" s="99" t="inlineStr">
        <is>
          <t xml:space="preserve"> </t>
        </is>
      </c>
      <c r="R224" s="100" t="inlineStr">
        <is>
          <t xml:space="preserve"> </t>
        </is>
      </c>
      <c r="S224" t="inlineStr">
        <is>
          <t>No se encontró ejecución en CUIPO</t>
        </is>
      </c>
      <c r="T224" s="101" t="inlineStr">
        <is>
          <t xml:space="preserve"> </t>
        </is>
      </c>
      <c r="U224" s="101" t="inlineStr">
        <is>
          <t xml:space="preserve"> </t>
        </is>
      </c>
      <c r="V224" s="101" t="inlineStr">
        <is>
          <t xml:space="preserve"> </t>
        </is>
      </c>
      <c r="W224" s="102" t="inlineStr">
        <is>
          <t xml:space="preserve"> </t>
        </is>
      </c>
      <c r="X224" t="inlineStr">
        <is>
          <t>No se encontró ejecución en CUIPO</t>
        </is>
      </c>
    </row>
    <row r="225">
      <c r="A225" t="inlineStr">
        <is>
          <t>IP-279</t>
        </is>
      </c>
      <c r="B225" t="inlineStr">
        <is>
          <t>45</t>
        </is>
      </c>
      <c r="C225" t="inlineStr">
        <is>
          <t>Gobierno Territorial</t>
        </is>
      </c>
      <c r="D225" t="inlineStr">
        <is>
          <t>4501</t>
        </is>
      </c>
      <c r="E225" t="inlineStr">
        <is>
          <t>Fortalecimiento de la convivencia y la seguridad ciudadana</t>
        </is>
      </c>
      <c r="F225" t="inlineStr">
        <is>
          <t>4501061</t>
        </is>
      </c>
      <c r="G225" t="inlineStr">
        <is>
          <t>Servicio de atención integral a la fauna</t>
        </is>
      </c>
      <c r="H225" t="inlineStr">
        <is>
          <t>Corresponde a la atención médica y de urgencias médico veterinarias para el bienestar animal para prevenir, diagnosticar y curar las enfermedades de los animales domésticos,  silvestres y  de producción recuperados por el ente territorial, que se encuentren en condición de abandono, pérdida, desatención estatal o de  tenencia irresponsable o en situación de vulnerabilidad y aprehendidos por la policía o en riesgo que ello suceda. Para tal efecto, incluye también los programas de adopción, custodia, atención del maltrato animal, comportamiento animal, registro e identificacion y las demas que garanticen la atención integral a la Fauna en el cumplimiento de la normatividad vigente</t>
        </is>
      </c>
      <c r="I225" t="inlineStr">
        <is>
          <t>2024254860047</t>
        </is>
      </c>
      <c r="J225" s="99">
        <v>78047125</v>
      </c>
      <c r="K225" s="99">
        <v>15000000</v>
      </c>
      <c r="L225" s="99">
        <v>29310625</v>
      </c>
      <c r="M225" s="99">
        <v>16537500</v>
      </c>
      <c r="N225" s="99">
        <v>17199000</v>
      </c>
      <c r="O225" s="99">
        <v>14945000</v>
      </c>
      <c r="P225" s="99">
        <v>14945000</v>
      </c>
      <c r="Q225" s="99">
        <v>14945000</v>
      </c>
      <c r="R225" s="100">
        <v>0.996333333333333</v>
      </c>
      <c r="S225" t="inlineStr">
        <is>
          <t>Lo obligado está por debajo de lo programado en la vigencia</t>
        </is>
      </c>
      <c r="T225" s="101">
        <v>37365750</v>
      </c>
      <c r="U225" s="101">
        <v>26636500</v>
      </c>
      <c r="V225" s="101">
        <v>26636500</v>
      </c>
      <c r="W225" s="102">
        <v>0.908766019148346</v>
      </c>
      <c r="X225" t="inlineStr">
        <is>
          <t>Lo obligado está por debajo de lo programado en la vigencia</t>
        </is>
      </c>
    </row>
    <row r="226">
      <c r="A226" t="inlineStr">
        <is>
          <t>IP-280</t>
        </is>
      </c>
      <c r="B226" t="inlineStr">
        <is>
          <t>45</t>
        </is>
      </c>
      <c r="C226" t="inlineStr">
        <is>
          <t>Gobierno Territorial</t>
        </is>
      </c>
      <c r="D226" t="inlineStr">
        <is>
          <t>4501</t>
        </is>
      </c>
      <c r="E226" t="inlineStr">
        <is>
          <t>Fortalecimiento de la convivencia y la seguridad ciudadana</t>
        </is>
      </c>
      <c r="F226" t="inlineStr">
        <is>
          <t>4501063</t>
        </is>
      </c>
      <c r="G226" t="inlineStr">
        <is>
          <t>Servicio de apoyo financiero para la atención integral de animales</t>
        </is>
      </c>
      <c r="H226" t="inlineStr">
        <is>
          <t>Corresponde al apoyo financiero entregado para el desarrollo de las labores de refugios o fundaciones que reciban animales vulnerables</t>
        </is>
      </c>
      <c r="I226" t="inlineStr">
        <is>
          <t>2024254860047</t>
        </is>
      </c>
      <c r="J226" s="99">
        <v>34000000</v>
      </c>
      <c r="K226" s="99">
        <v>0</v>
      </c>
      <c r="L226" s="99">
        <v>34000000</v>
      </c>
      <c r="M226" s="99">
        <v>0</v>
      </c>
      <c r="N226" s="99">
        <v>0</v>
      </c>
      <c r="O226" s="99" t="inlineStr">
        <is>
          <t xml:space="preserve"> </t>
        </is>
      </c>
      <c r="P226" s="99" t="inlineStr">
        <is>
          <t xml:space="preserve"> </t>
        </is>
      </c>
      <c r="Q226" s="99" t="inlineStr">
        <is>
          <t xml:space="preserve"> </t>
        </is>
      </c>
      <c r="R226" s="100" t="inlineStr">
        <is>
          <t xml:space="preserve"> </t>
        </is>
      </c>
      <c r="S226" t="inlineStr">
        <is>
          <t>No se encontró ejecución en CUIPO</t>
        </is>
      </c>
      <c r="T226" s="101">
        <v>0</v>
      </c>
      <c r="U226" s="101">
        <v>0</v>
      </c>
      <c r="V226" s="101">
        <v>0</v>
      </c>
      <c r="W226" s="102">
        <v>0</v>
      </c>
      <c r="X226" t="inlineStr">
        <is>
          <t>No se ejecutó en la vigencia</t>
        </is>
      </c>
    </row>
    <row r="227">
      <c r="A227" t="inlineStr">
        <is>
          <t>IP-281</t>
        </is>
      </c>
      <c r="B227" t="inlineStr">
        <is>
          <t>45</t>
        </is>
      </c>
      <c r="C227" t="inlineStr">
        <is>
          <t>Gobierno Territorial</t>
        </is>
      </c>
      <c r="D227" t="inlineStr">
        <is>
          <t>4503</t>
        </is>
      </c>
      <c r="E227" t="inlineStr">
        <is>
          <t>Gestión del riesgo de desastres y emergencias</t>
        </is>
      </c>
      <c r="F227" t="inlineStr">
        <is>
          <t>4503016</t>
        </is>
      </c>
      <c r="G227" t="inlineStr">
        <is>
          <t>Servicio de fortalecimiento a las salas de crisis territorial</t>
        </is>
      </c>
      <c r="H227" t="inlineStr">
        <is>
          <t>Incluye la dotación de los organismos que componen la sala de crisis de los Consejos territoriales de Gestión de Riesgo con vehículos, equipos de protección personal y equipos, herramientas y accesorios para la atención de emergencias, así como el aseguramiento del personal misional.</t>
        </is>
      </c>
      <c r="I227" t="inlineStr">
        <is>
          <t>2024254860048</t>
        </is>
      </c>
      <c r="J227" s="99">
        <v>0</v>
      </c>
      <c r="K227" s="99">
        <v>0</v>
      </c>
      <c r="L227" s="99">
        <v>0</v>
      </c>
      <c r="M227" s="99">
        <v>0</v>
      </c>
      <c r="N227" s="99">
        <v>0</v>
      </c>
      <c r="O227" s="99" t="inlineStr">
        <is>
          <t xml:space="preserve"> </t>
        </is>
      </c>
      <c r="P227" s="99" t="inlineStr">
        <is>
          <t xml:space="preserve"> </t>
        </is>
      </c>
      <c r="Q227" s="99" t="inlineStr">
        <is>
          <t xml:space="preserve"> </t>
        </is>
      </c>
      <c r="R227" s="100" t="inlineStr">
        <is>
          <t xml:space="preserve"> </t>
        </is>
      </c>
      <c r="S227" t="inlineStr">
        <is>
          <t>No se encontró ejecución en CUIPO</t>
        </is>
      </c>
      <c r="T227" s="101" t="inlineStr">
        <is>
          <t xml:space="preserve"> </t>
        </is>
      </c>
      <c r="U227" s="101" t="inlineStr">
        <is>
          <t xml:space="preserve"> </t>
        </is>
      </c>
      <c r="V227" s="101" t="inlineStr">
        <is>
          <t xml:space="preserve"> </t>
        </is>
      </c>
      <c r="W227" s="102" t="inlineStr">
        <is>
          <t xml:space="preserve"> </t>
        </is>
      </c>
      <c r="X227" t="inlineStr">
        <is>
          <t>No se encontró ejecución en CUIPO</t>
        </is>
      </c>
    </row>
    <row r="228">
      <c r="A228" t="inlineStr">
        <is>
          <t>IP-282, IP-290</t>
        </is>
      </c>
      <c r="B228" t="inlineStr">
        <is>
          <t>45</t>
        </is>
      </c>
      <c r="C228" t="inlineStr">
        <is>
          <t>Gobierno Territorial</t>
        </is>
      </c>
      <c r="D228" t="inlineStr">
        <is>
          <t>4503</t>
        </is>
      </c>
      <c r="E228" t="inlineStr">
        <is>
          <t>Gestión del riesgo de desastres y emergencias</t>
        </is>
      </c>
      <c r="F228" t="inlineStr">
        <is>
          <t>4503004</t>
        </is>
      </c>
      <c r="G228" t="inlineStr">
        <is>
          <t>Servicio de atención a emergencias y desastres</t>
        </is>
      </c>
      <c r="H228" t="inlineStr">
        <is>
          <t>Acciones orientadas para dar respuesta a emergencias o desastres de origen natural o antrópico mediante la adquisición de equipos de atención de desastres, búsqueda y rescate, equipos de protección personal nucleares, biológicos, químicos, y radiológicos -NBQR-, equipos para el Manejo de inundaciones, control de incendios, sanidad veterinaria y equipos de alojamiento temporal.</t>
        </is>
      </c>
      <c r="I228" t="inlineStr">
        <is>
          <t>2024254860048</t>
        </is>
      </c>
      <c r="J228" s="99">
        <v>0</v>
      </c>
      <c r="K228" s="99">
        <v>0</v>
      </c>
      <c r="L228" s="99">
        <v>0</v>
      </c>
      <c r="M228" s="99">
        <v>0</v>
      </c>
      <c r="N228" s="99">
        <v>0</v>
      </c>
      <c r="O228" s="99" t="inlineStr">
        <is>
          <t xml:space="preserve"> </t>
        </is>
      </c>
      <c r="P228" s="99" t="inlineStr">
        <is>
          <t xml:space="preserve"> </t>
        </is>
      </c>
      <c r="Q228" s="99" t="inlineStr">
        <is>
          <t xml:space="preserve"> </t>
        </is>
      </c>
      <c r="R228" s="100" t="inlineStr">
        <is>
          <t xml:space="preserve"> </t>
        </is>
      </c>
      <c r="S228" t="inlineStr">
        <is>
          <t>No se encontró ejecución en CUIPO</t>
        </is>
      </c>
      <c r="T228" s="101" t="inlineStr">
        <is>
          <t xml:space="preserve"> </t>
        </is>
      </c>
      <c r="U228" s="101" t="inlineStr">
        <is>
          <t xml:space="preserve"> </t>
        </is>
      </c>
      <c r="V228" s="101" t="inlineStr">
        <is>
          <t xml:space="preserve"> </t>
        </is>
      </c>
      <c r="W228" s="102" t="inlineStr">
        <is>
          <t xml:space="preserve"> </t>
        </is>
      </c>
      <c r="X228" t="inlineStr">
        <is>
          <t>No se encontró ejecución en CUIPO</t>
        </is>
      </c>
    </row>
    <row r="229">
      <c r="A229" t="inlineStr">
        <is>
          <t>IP-283, IP-285, IP-289</t>
        </is>
      </c>
      <c r="B229" t="inlineStr">
        <is>
          <t>45</t>
        </is>
      </c>
      <c r="C229" t="inlineStr">
        <is>
          <t>Gobierno Territorial</t>
        </is>
      </c>
      <c r="D229" t="inlineStr">
        <is>
          <t>4503</t>
        </is>
      </c>
      <c r="E229" t="inlineStr">
        <is>
          <t>Gestión del riesgo de desastres y emergencias</t>
        </is>
      </c>
      <c r="F229" t="inlineStr">
        <is>
          <t>4503023</t>
        </is>
      </c>
      <c r="G229" t="inlineStr">
        <is>
          <t>Documentos de planeación</t>
        </is>
      </c>
      <c r="H229" t="inlineStr">
        <is>
          <t>Documentos cuyo objetivo es plasmar una visión de futuro a nivel país, entidad territorial, comunidad, sector, región, entidad o cualquier nivel de desagregación que se requiera. Incluye objetivos, estrategias, metas e indicadores</t>
        </is>
      </c>
      <c r="I229" t="inlineStr">
        <is>
          <t>2024254860048</t>
        </is>
      </c>
      <c r="J229" s="99">
        <v>63724478.0833</v>
      </c>
      <c r="K229" s="99">
        <v>19612963</v>
      </c>
      <c r="L229" s="99">
        <v>0</v>
      </c>
      <c r="M229" s="99">
        <v>21623291.7075</v>
      </c>
      <c r="N229" s="99">
        <v>22488223.3758</v>
      </c>
      <c r="O229" s="99" t="inlineStr">
        <is>
          <t xml:space="preserve"> </t>
        </is>
      </c>
      <c r="P229" s="99" t="inlineStr">
        <is>
          <t xml:space="preserve"> </t>
        </is>
      </c>
      <c r="Q229" s="99" t="inlineStr">
        <is>
          <t xml:space="preserve"> </t>
        </is>
      </c>
      <c r="R229" s="100" t="inlineStr">
        <is>
          <t xml:space="preserve"> </t>
        </is>
      </c>
      <c r="S229" t="inlineStr">
        <is>
          <t>No se encontró ejecución en CUIPO</t>
        </is>
      </c>
      <c r="T229" s="101" t="inlineStr">
        <is>
          <t xml:space="preserve"> </t>
        </is>
      </c>
      <c r="U229" s="101" t="inlineStr">
        <is>
          <t xml:space="preserve"> </t>
        </is>
      </c>
      <c r="V229" s="101" t="inlineStr">
        <is>
          <t xml:space="preserve"> </t>
        </is>
      </c>
      <c r="W229" s="102" t="inlineStr">
        <is>
          <t xml:space="preserve"> </t>
        </is>
      </c>
      <c r="X229" t="inlineStr">
        <is>
          <t>No se encontró ejecución en CUIPO</t>
        </is>
      </c>
    </row>
    <row r="230">
      <c r="A230" t="inlineStr">
        <is>
          <t>IP-284</t>
        </is>
      </c>
      <c r="B230" t="inlineStr">
        <is>
          <t>45</t>
        </is>
      </c>
      <c r="C230" t="inlineStr">
        <is>
          <t>Gobierno Territorial</t>
        </is>
      </c>
      <c r="D230" t="inlineStr">
        <is>
          <t>4503</t>
        </is>
      </c>
      <c r="E230" t="inlineStr">
        <is>
          <t>Gestión del riesgo de desastres y emergencias</t>
        </is>
      </c>
      <c r="F230" t="inlineStr">
        <is>
          <t>4503026</t>
        </is>
      </c>
      <c r="G230" t="inlineStr">
        <is>
          <t>Centros logísticos construidos y dotados</t>
        </is>
      </c>
      <c r="H230" t="inlineStr">
        <is>
          <t xml:space="preserve">Incluye la construcción de centros logísticos en terrenos no construidos o cuya área esté libre por autorización de demolición total. A su vez, contiene la dotación a la infraestructura construida. </t>
        </is>
      </c>
      <c r="I230" t="inlineStr">
        <is>
          <t>2024254860048</t>
        </is>
      </c>
      <c r="J230" s="99">
        <v>0</v>
      </c>
      <c r="K230" s="99">
        <v>0</v>
      </c>
      <c r="L230" s="99">
        <v>0</v>
      </c>
      <c r="M230" s="99">
        <v>0</v>
      </c>
      <c r="N230" s="99">
        <v>0</v>
      </c>
      <c r="O230" s="99" t="inlineStr">
        <is>
          <t xml:space="preserve"> </t>
        </is>
      </c>
      <c r="P230" s="99" t="inlineStr">
        <is>
          <t xml:space="preserve"> </t>
        </is>
      </c>
      <c r="Q230" s="99" t="inlineStr">
        <is>
          <t xml:space="preserve"> </t>
        </is>
      </c>
      <c r="R230" s="100" t="inlineStr">
        <is>
          <t xml:space="preserve"> </t>
        </is>
      </c>
      <c r="S230" t="inlineStr">
        <is>
          <t>No se encontró ejecución en CUIPO</t>
        </is>
      </c>
      <c r="T230" s="101" t="inlineStr">
        <is>
          <t xml:space="preserve"> </t>
        </is>
      </c>
      <c r="U230" s="101" t="inlineStr">
        <is>
          <t xml:space="preserve"> </t>
        </is>
      </c>
      <c r="V230" s="101" t="inlineStr">
        <is>
          <t xml:space="preserve"> </t>
        </is>
      </c>
      <c r="W230" s="102" t="inlineStr">
        <is>
          <t xml:space="preserve"> </t>
        </is>
      </c>
      <c r="X230" t="inlineStr">
        <is>
          <t>No se encontró ejecución en CUIPO</t>
        </is>
      </c>
    </row>
    <row r="231">
      <c r="A231" t="inlineStr">
        <is>
          <t>IP-286</t>
        </is>
      </c>
      <c r="B231" t="inlineStr">
        <is>
          <t>45</t>
        </is>
      </c>
      <c r="C231" t="inlineStr">
        <is>
          <t>Gobierno Territorial</t>
        </is>
      </c>
      <c r="D231" t="inlineStr">
        <is>
          <t>4503</t>
        </is>
      </c>
      <c r="E231" t="inlineStr">
        <is>
          <t>Gestión del riesgo de desastres y emergencias</t>
        </is>
      </c>
      <c r="F231" t="inlineStr">
        <is>
          <t>4503036</t>
        </is>
      </c>
      <c r="G231" t="inlineStr">
        <is>
          <t>Servicio de apoyo financiero para la prevención y control de incendios en los municipios</t>
        </is>
      </c>
      <c r="H231" t="inlineStr">
        <is>
          <t>Contempla la asignación de recursos financieros a iniciativas en temas relacionados a la disposición de los cuerpos de bomberos en el desarrollo de las acciones orientadas a la gestión integral del riesgo contra incendio, los preparativos y atención de rescates en todas sus modalidades y la atención de incidentes con materiales peligrosos, las campañas preventivas, dotación, maquinaria, equipos y otros insumos en los municipios.</t>
        </is>
      </c>
      <c r="I231" t="inlineStr">
        <is>
          <t>2024254860048</t>
        </is>
      </c>
      <c r="J231" s="99">
        <v>86162105</v>
      </c>
      <c r="K231" s="99">
        <v>0</v>
      </c>
      <c r="L231" s="99">
        <v>86162105</v>
      </c>
      <c r="M231" s="99">
        <v>0</v>
      </c>
      <c r="N231" s="99">
        <v>0</v>
      </c>
      <c r="O231" s="99">
        <v>15408480</v>
      </c>
      <c r="P231" s="99">
        <v>15408480</v>
      </c>
      <c r="Q231" s="99">
        <v>0</v>
      </c>
      <c r="R231" s="100" t="inlineStr">
        <is>
          <t xml:space="preserve"> </t>
        </is>
      </c>
      <c r="S231" t="inlineStr">
        <is>
          <t>Se ejecutó un producto no programado en la vigencia</t>
        </is>
      </c>
      <c r="T231" s="101">
        <v>71500000</v>
      </c>
      <c r="U231" s="101">
        <v>45500000</v>
      </c>
      <c r="V231" s="101">
        <v>45500000</v>
      </c>
      <c r="W231" s="102">
        <v>0.52807437794144</v>
      </c>
      <c r="X231" t="inlineStr">
        <is>
          <t>Lo obligado está por debajo de lo programado en la vigencia</t>
        </is>
      </c>
    </row>
    <row r="232">
      <c r="A232" t="inlineStr">
        <is>
          <t>IP-287</t>
        </is>
      </c>
      <c r="B232" t="inlineStr">
        <is>
          <t>45</t>
        </is>
      </c>
      <c r="C232" t="inlineStr">
        <is>
          <t>Gobierno Territorial</t>
        </is>
      </c>
      <c r="D232" t="inlineStr">
        <is>
          <t>4503</t>
        </is>
      </c>
      <c r="E232" t="inlineStr">
        <is>
          <t>Gestión del riesgo de desastres y emergencias</t>
        </is>
      </c>
      <c r="F232" t="inlineStr">
        <is>
          <t>4503002</t>
        </is>
      </c>
      <c r="G232" t="inlineStr">
        <is>
          <t>Servicio de educación informal</t>
        </is>
      </c>
      <c r="H232" t="inlineStr">
        <is>
          <t>Corresponde al diseño y desarrollo de estrategias educativas que tienen como objetivo brindar oportunidades para apropiar,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t>
        </is>
      </c>
      <c r="I232" t="inlineStr">
        <is>
          <t>2024254860048</t>
        </is>
      </c>
      <c r="J232" s="99">
        <v>0</v>
      </c>
      <c r="K232" s="99">
        <v>0</v>
      </c>
      <c r="L232" s="99">
        <v>0</v>
      </c>
      <c r="M232" s="99">
        <v>0</v>
      </c>
      <c r="N232" s="99">
        <v>0</v>
      </c>
      <c r="O232" s="99" t="inlineStr">
        <is>
          <t xml:space="preserve"> </t>
        </is>
      </c>
      <c r="P232" s="99" t="inlineStr">
        <is>
          <t xml:space="preserve"> </t>
        </is>
      </c>
      <c r="Q232" s="99" t="inlineStr">
        <is>
          <t xml:space="preserve"> </t>
        </is>
      </c>
      <c r="R232" s="100" t="inlineStr">
        <is>
          <t xml:space="preserve"> </t>
        </is>
      </c>
      <c r="S232" t="inlineStr">
        <is>
          <t>No se encontró ejecución en CUIPO</t>
        </is>
      </c>
      <c r="T232" s="101" t="inlineStr">
        <is>
          <t xml:space="preserve"> </t>
        </is>
      </c>
      <c r="U232" s="101" t="inlineStr">
        <is>
          <t xml:space="preserve"> </t>
        </is>
      </c>
      <c r="V232" s="101" t="inlineStr">
        <is>
          <t xml:space="preserve"> </t>
        </is>
      </c>
      <c r="W232" s="102" t="inlineStr">
        <is>
          <t xml:space="preserve"> </t>
        </is>
      </c>
      <c r="X232" t="inlineStr">
        <is>
          <t>No se encontró ejecución en CUIPO</t>
        </is>
      </c>
    </row>
    <row r="233">
      <c r="A233" t="inlineStr">
        <is>
          <t>IP-288</t>
        </is>
      </c>
      <c r="B233" t="inlineStr">
        <is>
          <t>45</t>
        </is>
      </c>
      <c r="C233" t="inlineStr">
        <is>
          <t>Gobierno Territorial</t>
        </is>
      </c>
      <c r="D233" t="inlineStr">
        <is>
          <t>4503</t>
        </is>
      </c>
      <c r="E233" t="inlineStr">
        <is>
          <t>Gestión del riesgo de desastres y emergencias</t>
        </is>
      </c>
      <c r="F233" t="inlineStr">
        <is>
          <t>4503022</t>
        </is>
      </c>
      <c r="G233" t="inlineStr">
        <is>
          <t>Obras de infraestructura para la reducción del riesgo de desastres</t>
        </is>
      </c>
      <c r="H233" t="inlineStr">
        <is>
          <t>Intervenciones que buscan reducir el nivel de riesgo existente en un determinado sitio, mediante acciones de carácter estructural – físicas que conlleven a corregir o reducir las condiciones de amenaza, cuando esto sea posible, y/o la vulnerabilidad de los elementos expuestos.</t>
        </is>
      </c>
      <c r="I233" t="inlineStr">
        <is>
          <t>2024254860048</t>
        </is>
      </c>
      <c r="J233" s="99">
        <v>0</v>
      </c>
      <c r="K233" s="99">
        <v>0</v>
      </c>
      <c r="L233" s="99">
        <v>0</v>
      </c>
      <c r="M233" s="99">
        <v>0</v>
      </c>
      <c r="N233" s="99">
        <v>0</v>
      </c>
      <c r="O233" s="99" t="inlineStr">
        <is>
          <t xml:space="preserve"> </t>
        </is>
      </c>
      <c r="P233" s="99" t="inlineStr">
        <is>
          <t xml:space="preserve"> </t>
        </is>
      </c>
      <c r="Q233" s="99" t="inlineStr">
        <is>
          <t xml:space="preserve"> </t>
        </is>
      </c>
      <c r="R233" s="100" t="inlineStr">
        <is>
          <t xml:space="preserve"> </t>
        </is>
      </c>
      <c r="S233" t="inlineStr">
        <is>
          <t>No se encontró ejecución en CUIPO</t>
        </is>
      </c>
      <c r="T233" s="101" t="inlineStr">
        <is>
          <t xml:space="preserve"> </t>
        </is>
      </c>
      <c r="U233" s="101" t="inlineStr">
        <is>
          <t xml:space="preserve"> </t>
        </is>
      </c>
      <c r="V233" s="101" t="inlineStr">
        <is>
          <t xml:space="preserve"> </t>
        </is>
      </c>
      <c r="W233" s="102" t="inlineStr">
        <is>
          <t xml:space="preserve"> </t>
        </is>
      </c>
      <c r="X233" t="inlineStr">
        <is>
          <t>No se encontró ejecución en CUIPO</t>
        </is>
      </c>
    </row>
    <row r="234">
      <c r="A234" t="inlineStr">
        <is>
          <t>IP-291</t>
        </is>
      </c>
      <c r="B234" t="inlineStr">
        <is>
          <t>04</t>
        </is>
      </c>
      <c r="C234" t="inlineStr">
        <is>
          <t>Información Estadística</t>
        </is>
      </c>
      <c r="D234" t="inlineStr">
        <is>
          <t>0406</t>
        </is>
      </c>
      <c r="E234" t="inlineStr">
        <is>
          <t>Generación de la información geográfica del territorio nacional</t>
        </is>
      </c>
      <c r="F234" t="inlineStr">
        <is>
          <t>0406001</t>
        </is>
      </c>
      <c r="G234" t="inlineStr">
        <is>
          <t>Servicio de información geográfica, geodésica y cartográfica actualizado</t>
        </is>
      </c>
      <c r="H234" t="inlineStr">
        <is>
          <t>Corresponde al proceso que mejora la disposición de los servicios web de mapas de información Geográfica, cartográfica y geodésica para garantizar el uso y acceso de los datos.</t>
        </is>
      </c>
      <c r="I234" t="inlineStr">
        <is>
          <t>2024254860049</t>
        </is>
      </c>
      <c r="J234" s="99">
        <v>0</v>
      </c>
      <c r="K234" s="99">
        <v>0</v>
      </c>
      <c r="L234" s="99">
        <v>0</v>
      </c>
      <c r="M234" s="99">
        <v>0</v>
      </c>
      <c r="N234" s="99">
        <v>0</v>
      </c>
      <c r="O234" s="99" t="inlineStr">
        <is>
          <t xml:space="preserve"> </t>
        </is>
      </c>
      <c r="P234" s="99" t="inlineStr">
        <is>
          <t xml:space="preserve"> </t>
        </is>
      </c>
      <c r="Q234" s="99" t="inlineStr">
        <is>
          <t xml:space="preserve"> </t>
        </is>
      </c>
      <c r="R234" s="100" t="inlineStr">
        <is>
          <t xml:space="preserve"> </t>
        </is>
      </c>
      <c r="S234" t="inlineStr">
        <is>
          <t>No se encontró ejecución en CUIPO</t>
        </is>
      </c>
      <c r="T234" s="101" t="inlineStr">
        <is>
          <t xml:space="preserve"> </t>
        </is>
      </c>
      <c r="U234" s="101" t="inlineStr">
        <is>
          <t xml:space="preserve"> </t>
        </is>
      </c>
      <c r="V234" s="101" t="inlineStr">
        <is>
          <t xml:space="preserve"> </t>
        </is>
      </c>
      <c r="W234" s="102" t="inlineStr">
        <is>
          <t xml:space="preserve"> </t>
        </is>
      </c>
      <c r="X234" t="inlineStr">
        <is>
          <t>No se encontró ejecución en CUIPO</t>
        </is>
      </c>
    </row>
    <row r="235">
      <c r="A235" t="inlineStr">
        <is>
          <t>IP-293</t>
        </is>
      </c>
      <c r="B235" t="inlineStr">
        <is>
          <t>04</t>
        </is>
      </c>
      <c r="C235" t="inlineStr">
        <is>
          <t>Información Estadística</t>
        </is>
      </c>
      <c r="D235" t="inlineStr">
        <is>
          <t>0401</t>
        </is>
      </c>
      <c r="E235" t="inlineStr">
        <is>
          <t>Levantamiento y actualización de información estadística de calidad</t>
        </is>
      </c>
      <c r="F235" t="inlineStr">
        <is>
          <t>0401105</t>
        </is>
      </c>
      <c r="G235" t="inlineStr">
        <is>
          <t>Servicio de estratificación socioeconómica</t>
        </is>
      </c>
      <c r="H235" t="inlineStr">
        <is>
          <t>Acciones orientadas a establecer la clasificación de los inmuebles residenciales de un municipio, que se hace en atención al Régimen de los Servicios Públicos Domiciliarios en Colombia.</t>
        </is>
      </c>
      <c r="I235" t="inlineStr">
        <is>
          <t>2024254860050</t>
        </is>
      </c>
      <c r="J235" s="99">
        <v>0</v>
      </c>
      <c r="K235" s="99">
        <v>0</v>
      </c>
      <c r="L235" s="99">
        <v>0</v>
      </c>
      <c r="M235" s="99">
        <v>0</v>
      </c>
      <c r="N235" s="99">
        <v>0</v>
      </c>
      <c r="O235" s="99" t="inlineStr">
        <is>
          <t xml:space="preserve"> </t>
        </is>
      </c>
      <c r="P235" s="99" t="inlineStr">
        <is>
          <t xml:space="preserve"> </t>
        </is>
      </c>
      <c r="Q235" s="99" t="inlineStr">
        <is>
          <t xml:space="preserve"> </t>
        </is>
      </c>
      <c r="R235" s="100" t="inlineStr">
        <is>
          <t xml:space="preserve"> </t>
        </is>
      </c>
      <c r="S235" t="inlineStr">
        <is>
          <t>No se encontró ejecución en CUIPO</t>
        </is>
      </c>
      <c r="T235" s="101" t="inlineStr">
        <is>
          <t xml:space="preserve"> </t>
        </is>
      </c>
      <c r="U235" s="101" t="inlineStr">
        <is>
          <t xml:space="preserve"> </t>
        </is>
      </c>
      <c r="V235" s="101" t="inlineStr">
        <is>
          <t xml:space="preserve"> </t>
        </is>
      </c>
      <c r="W235" s="102" t="inlineStr">
        <is>
          <t xml:space="preserve"> </t>
        </is>
      </c>
      <c r="X235" t="inlineStr">
        <is>
          <t>No se encontró ejecución en CUIPO</t>
        </is>
      </c>
    </row>
    <row r="236">
      <c r="A236" t="inlineStr">
        <is>
          <t>IP-294</t>
        </is>
      </c>
      <c r="B236" t="inlineStr">
        <is>
          <t>04</t>
        </is>
      </c>
      <c r="C236" t="inlineStr">
        <is>
          <t>Información Estadística</t>
        </is>
      </c>
      <c r="D236" t="inlineStr">
        <is>
          <t>0401</t>
        </is>
      </c>
      <c r="E236" t="inlineStr">
        <is>
          <t>Levantamiento y actualización de información estadística de calidad</t>
        </is>
      </c>
      <c r="F236" t="inlineStr">
        <is>
          <t>0401102</t>
        </is>
      </c>
      <c r="G236" t="inlineStr">
        <is>
          <t>Servicio de información implementado</t>
        </is>
      </c>
      <c r="H236" t="inlineStr">
        <is>
          <t>Corresponde al proceso que asegura la disposición de la información de manera accesible, confiable y oportuna.</t>
        </is>
      </c>
      <c r="I236" t="inlineStr">
        <is>
          <t>2024254860050</t>
        </is>
      </c>
      <c r="J236" s="99">
        <v>3920000</v>
      </c>
      <c r="K236" s="99">
        <v>0</v>
      </c>
      <c r="L236" s="99">
        <v>3920000</v>
      </c>
      <c r="M236" s="99">
        <v>0</v>
      </c>
      <c r="N236" s="99">
        <v>0</v>
      </c>
      <c r="O236" s="99" t="inlineStr">
        <is>
          <t xml:space="preserve"> </t>
        </is>
      </c>
      <c r="P236" s="99" t="inlineStr">
        <is>
          <t xml:space="preserve"> </t>
        </is>
      </c>
      <c r="Q236" s="99" t="inlineStr">
        <is>
          <t xml:space="preserve"> </t>
        </is>
      </c>
      <c r="R236" s="100" t="inlineStr">
        <is>
          <t xml:space="preserve"> </t>
        </is>
      </c>
      <c r="S236" t="inlineStr">
        <is>
          <t>No se encontró ejecución en CUIPO</t>
        </is>
      </c>
      <c r="T236" s="101" t="inlineStr">
        <is>
          <t xml:space="preserve"> </t>
        </is>
      </c>
      <c r="U236" s="101" t="inlineStr">
        <is>
          <t xml:space="preserve"> </t>
        </is>
      </c>
      <c r="V236" s="101" t="inlineStr">
        <is>
          <t xml:space="preserve"> </t>
        </is>
      </c>
      <c r="W236" s="102" t="inlineStr">
        <is>
          <t xml:space="preserve"> </t>
        </is>
      </c>
      <c r="X236" t="inlineStr">
        <is>
          <t>No se encontró ejecución en CUIPO</t>
        </is>
      </c>
    </row>
    <row r="237">
      <c r="A237" t="inlineStr">
        <is>
          <t>IP-295, IP-297</t>
        </is>
      </c>
      <c r="B237" t="inlineStr">
        <is>
          <t>25</t>
        </is>
      </c>
      <c r="C237" t="inlineStr">
        <is>
          <t>Organismos de Control</t>
        </is>
      </c>
      <c r="D237" t="inlineStr">
        <is>
          <t>2501</t>
        </is>
      </c>
      <c r="E237" t="inlineStr">
        <is>
          <t>Fortalecimiento del control y la vigilancia de la gestión fiscal y resarcimiento al daño del patrimonio público</t>
        </is>
      </c>
      <c r="F237" t="inlineStr">
        <is>
          <t>2501021</t>
        </is>
      </c>
      <c r="G237" t="inlineStr">
        <is>
          <t>Servicio de control fiscal participativo</t>
        </is>
      </c>
      <c r="H237" t="inlineStr">
        <is>
          <t>Servicio dirigido a fortalecer la participación de la ciudadanía en las actividades de control fiscal.</t>
        </is>
      </c>
      <c r="I237" t="inlineStr">
        <is>
          <t>2024254860051</t>
        </is>
      </c>
      <c r="J237" s="99">
        <v>0</v>
      </c>
      <c r="K237" s="99">
        <v>0</v>
      </c>
      <c r="L237" s="99">
        <v>0</v>
      </c>
      <c r="M237" s="99">
        <v>0</v>
      </c>
      <c r="N237" s="99">
        <v>0</v>
      </c>
      <c r="O237" s="99" t="inlineStr">
        <is>
          <t xml:space="preserve"> </t>
        </is>
      </c>
      <c r="P237" s="99" t="inlineStr">
        <is>
          <t xml:space="preserve"> </t>
        </is>
      </c>
      <c r="Q237" s="99" t="inlineStr">
        <is>
          <t xml:space="preserve"> </t>
        </is>
      </c>
      <c r="R237" s="100" t="inlineStr">
        <is>
          <t xml:space="preserve"> </t>
        </is>
      </c>
      <c r="S237" t="inlineStr">
        <is>
          <t>No se encontró ejecución en CUIPO</t>
        </is>
      </c>
      <c r="T237" s="101" t="inlineStr">
        <is>
          <t xml:space="preserve"> </t>
        </is>
      </c>
      <c r="U237" s="101" t="inlineStr">
        <is>
          <t xml:space="preserve"> </t>
        </is>
      </c>
      <c r="V237" s="101" t="inlineStr">
        <is>
          <t xml:space="preserve"> </t>
        </is>
      </c>
      <c r="W237" s="102" t="inlineStr">
        <is>
          <t xml:space="preserve"> </t>
        </is>
      </c>
      <c r="X237" t="inlineStr">
        <is>
          <t>No se encontró ejecución en CUIPO</t>
        </is>
      </c>
    </row>
    <row r="238">
      <c r="A238" t="inlineStr">
        <is>
          <t>IP-296</t>
        </is>
      </c>
      <c r="B238" t="inlineStr">
        <is>
          <t>25</t>
        </is>
      </c>
      <c r="C238" t="inlineStr">
        <is>
          <t>Organismos de Control</t>
        </is>
      </c>
      <c r="D238" t="inlineStr">
        <is>
          <t>2502</t>
        </is>
      </c>
      <c r="E238" t="inlineStr">
        <is>
          <t>Promoción, protección y defensa de los Derechos Humanos y el Derecho Internacional Humanitario</t>
        </is>
      </c>
      <c r="F238" t="inlineStr">
        <is>
          <t>2502002</t>
        </is>
      </c>
      <c r="G238" t="inlineStr">
        <is>
          <t>Servicio de asistencia técnica para atención, orientación y asesoría en materia de Derechos Humanos, el Derecho Internacional Humanitario y en escenarios de paz</t>
        </is>
      </c>
      <c r="H238" t="inlineStr">
        <is>
          <t>Desarrollo de las acciones orientadas a la atención y  tramite de peticiones presentadas por los ciudadanos, en materia de Derechos Humanos, Derecho
Internacional Humanitario y en el proceso de construcción de la paz</t>
        </is>
      </c>
      <c r="I238" t="inlineStr">
        <is>
          <t>2024254860052</t>
        </is>
      </c>
      <c r="J238" s="99">
        <v>0</v>
      </c>
      <c r="K238" s="99">
        <v>0</v>
      </c>
      <c r="L238" s="99">
        <v>0</v>
      </c>
      <c r="M238" s="99">
        <v>0</v>
      </c>
      <c r="N238" s="99">
        <v>0</v>
      </c>
      <c r="O238" s="99" t="inlineStr">
        <is>
          <t xml:space="preserve"> </t>
        </is>
      </c>
      <c r="P238" s="99" t="inlineStr">
        <is>
          <t xml:space="preserve"> </t>
        </is>
      </c>
      <c r="Q238" s="99" t="inlineStr">
        <is>
          <t xml:space="preserve"> </t>
        </is>
      </c>
      <c r="R238" s="100" t="inlineStr">
        <is>
          <t xml:space="preserve"> </t>
        </is>
      </c>
      <c r="S238" t="inlineStr">
        <is>
          <t>No se encontró ejecución en CUIPO</t>
        </is>
      </c>
      <c r="T238" s="101" t="inlineStr">
        <is>
          <t xml:space="preserve"> </t>
        </is>
      </c>
      <c r="U238" s="101" t="inlineStr">
        <is>
          <t xml:space="preserve"> </t>
        </is>
      </c>
      <c r="V238" s="101" t="inlineStr">
        <is>
          <t xml:space="preserve"> </t>
        </is>
      </c>
      <c r="W238" s="102" t="inlineStr">
        <is>
          <t xml:space="preserve"> </t>
        </is>
      </c>
      <c r="X238" t="inlineStr">
        <is>
          <t>No se encontró ejecución en CUIPO</t>
        </is>
      </c>
    </row>
    <row r="239">
      <c r="A239" t="inlineStr">
        <is>
          <t>IP-298</t>
        </is>
      </c>
      <c r="B239" t="inlineStr">
        <is>
          <t>12</t>
        </is>
      </c>
      <c r="C239" t="inlineStr">
        <is>
          <t>Justicia y del derecho</t>
        </is>
      </c>
      <c r="D239" t="inlineStr">
        <is>
          <t>1202</t>
        </is>
      </c>
      <c r="E239" t="inlineStr">
        <is>
          <t>Promoción al acceso a la justicia</t>
        </is>
      </c>
      <c r="F239" t="inlineStr">
        <is>
          <t>1202002</t>
        </is>
      </c>
      <c r="G239" t="inlineStr">
        <is>
          <t>Servicio de justicia a los ciudadanos</t>
        </is>
      </c>
      <c r="H239" t="inlineStr">
        <is>
          <t>Hace referencia a servicios de información y orientación sobre herramientas y mecanismos legales, formales y no formales, para el reconocimiento y protección de los derechos de los ciudadanos</t>
        </is>
      </c>
      <c r="I239" t="inlineStr">
        <is>
          <t>2024254860053</t>
        </is>
      </c>
      <c r="J239" s="99">
        <v>0</v>
      </c>
      <c r="K239" s="99">
        <v>0</v>
      </c>
      <c r="L239" s="99">
        <v>0</v>
      </c>
      <c r="M239" s="99">
        <v>0</v>
      </c>
      <c r="N239" s="99">
        <v>0</v>
      </c>
      <c r="O239" s="99" t="inlineStr">
        <is>
          <t xml:space="preserve"> </t>
        </is>
      </c>
      <c r="P239" s="99" t="inlineStr">
        <is>
          <t xml:space="preserve"> </t>
        </is>
      </c>
      <c r="Q239" s="99" t="inlineStr">
        <is>
          <t xml:space="preserve"> </t>
        </is>
      </c>
      <c r="R239" s="100" t="inlineStr">
        <is>
          <t xml:space="preserve"> </t>
        </is>
      </c>
      <c r="S239" t="inlineStr">
        <is>
          <t>No se encontró ejecución en CUIPO</t>
        </is>
      </c>
      <c r="T239" s="101" t="inlineStr">
        <is>
          <t xml:space="preserve"> </t>
        </is>
      </c>
      <c r="U239" s="101" t="inlineStr">
        <is>
          <t xml:space="preserve"> </t>
        </is>
      </c>
      <c r="V239" s="101" t="inlineStr">
        <is>
          <t xml:space="preserve"> </t>
        </is>
      </c>
      <c r="W239" s="102" t="inlineStr">
        <is>
          <t xml:space="preserve"> </t>
        </is>
      </c>
      <c r="X239" t="inlineStr">
        <is>
          <t>No se encontró ejecución en CUIPO</t>
        </is>
      </c>
    </row>
    <row r="240">
      <c r="A240" t="inlineStr">
        <is>
          <t>IP-299</t>
        </is>
      </c>
      <c r="B240" t="inlineStr">
        <is>
          <t>12</t>
        </is>
      </c>
      <c r="C240" t="inlineStr">
        <is>
          <t>Justicia y del derecho</t>
        </is>
      </c>
      <c r="D240" t="inlineStr">
        <is>
          <t>1203</t>
        </is>
      </c>
      <c r="E240" t="inlineStr">
        <is>
          <t>Promoción de los métodos de resolución de conflictos</t>
        </is>
      </c>
      <c r="F240" t="inlineStr">
        <is>
          <t>1203001</t>
        </is>
      </c>
      <c r="G240" t="inlineStr">
        <is>
          <t>Servicio de divulgación para promover los métodos de resolución de conflictos</t>
        </is>
      </c>
      <c r="H240" t="inlineStr">
        <is>
          <t>Con este producto se busca promover los métodos de resolución de conflictos por diferentes medios de comunicación</t>
        </is>
      </c>
      <c r="I240" t="inlineStr">
        <is>
          <t>2024254860053</t>
        </is>
      </c>
      <c r="J240" s="99">
        <v>0</v>
      </c>
      <c r="K240" s="99">
        <v>0</v>
      </c>
      <c r="L240" s="99">
        <v>0</v>
      </c>
      <c r="M240" s="99">
        <v>0</v>
      </c>
      <c r="N240" s="99">
        <v>0</v>
      </c>
      <c r="O240" s="99" t="inlineStr">
        <is>
          <t xml:space="preserve"> </t>
        </is>
      </c>
      <c r="P240" s="99" t="inlineStr">
        <is>
          <t xml:space="preserve"> </t>
        </is>
      </c>
      <c r="Q240" s="99" t="inlineStr">
        <is>
          <t xml:space="preserve"> </t>
        </is>
      </c>
      <c r="R240" s="100" t="inlineStr">
        <is>
          <t xml:space="preserve"> </t>
        </is>
      </c>
      <c r="S240" t="inlineStr">
        <is>
          <t>No se encontró ejecución en CUIPO</t>
        </is>
      </c>
      <c r="T240" s="101" t="inlineStr">
        <is>
          <t xml:space="preserve"> </t>
        </is>
      </c>
      <c r="U240" s="101" t="inlineStr">
        <is>
          <t xml:space="preserve"> </t>
        </is>
      </c>
      <c r="V240" s="101" t="inlineStr">
        <is>
          <t xml:space="preserve"> </t>
        </is>
      </c>
      <c r="W240" s="102" t="inlineStr">
        <is>
          <t xml:space="preserve"> </t>
        </is>
      </c>
      <c r="X240" t="inlineStr">
        <is>
          <t>No se encontró ejecución en CUIPO</t>
        </is>
      </c>
    </row>
    <row r="241">
      <c r="A241" t="inlineStr">
        <is>
          <t>IP-300</t>
        </is>
      </c>
      <c r="B241" t="inlineStr">
        <is>
          <t>12</t>
        </is>
      </c>
      <c r="C241" t="inlineStr">
        <is>
          <t>Justicia y del derecho</t>
        </is>
      </c>
      <c r="D241" t="inlineStr">
        <is>
          <t>1202</t>
        </is>
      </c>
      <c r="E241" t="inlineStr">
        <is>
          <t>Promoción al acceso a la justicia</t>
        </is>
      </c>
      <c r="F241" t="inlineStr">
        <is>
          <t>1202019</t>
        </is>
      </c>
      <c r="G241" t="inlineStr">
        <is>
          <t>Servicio de promoción del acceso a la justicia</t>
        </is>
      </c>
      <c r="H241" t="inlineStr">
        <is>
          <t>Comprende el desarrollo de estrategias para la promoción del acceso a la justicia </t>
        </is>
      </c>
      <c r="I241" t="inlineStr">
        <is>
          <t>2024254860053</t>
        </is>
      </c>
      <c r="J241" s="99">
        <v>14000000</v>
      </c>
      <c r="K241" s="99">
        <v>0</v>
      </c>
      <c r="L241" s="99">
        <v>14000000</v>
      </c>
      <c r="M241" s="99">
        <v>0</v>
      </c>
      <c r="N241" s="99">
        <v>0</v>
      </c>
      <c r="O241" s="99" t="inlineStr">
        <is>
          <t xml:space="preserve"> </t>
        </is>
      </c>
      <c r="P241" s="99" t="inlineStr">
        <is>
          <t xml:space="preserve"> </t>
        </is>
      </c>
      <c r="Q241" s="99" t="inlineStr">
        <is>
          <t xml:space="preserve"> </t>
        </is>
      </c>
      <c r="R241" s="100" t="inlineStr">
        <is>
          <t xml:space="preserve"> </t>
        </is>
      </c>
      <c r="S241" t="inlineStr">
        <is>
          <t>No se encontró ejecución en CUIPO</t>
        </is>
      </c>
      <c r="T241" s="101" t="inlineStr">
        <is>
          <t xml:space="preserve"> </t>
        </is>
      </c>
      <c r="U241" s="101" t="inlineStr">
        <is>
          <t xml:space="preserve"> </t>
        </is>
      </c>
      <c r="V241" s="101" t="inlineStr">
        <is>
          <t xml:space="preserve"> </t>
        </is>
      </c>
      <c r="W241" s="102" t="inlineStr">
        <is>
          <t xml:space="preserve"> </t>
        </is>
      </c>
      <c r="X241" t="inlineStr">
        <is>
          <t>No se encontró ejecución en CUIPO</t>
        </is>
      </c>
    </row>
    <row r="242">
      <c r="A242" t="inlineStr">
        <is>
          <t>IP-301</t>
        </is>
      </c>
      <c r="B242" t="inlineStr">
        <is>
          <t>12</t>
        </is>
      </c>
      <c r="C242" t="inlineStr">
        <is>
          <t>Justicia y del derecho</t>
        </is>
      </c>
      <c r="D242" t="inlineStr">
        <is>
          <t>1205</t>
        </is>
      </c>
      <c r="E242" t="inlineStr">
        <is>
          <t>Defensa jurídica del Estado</t>
        </is>
      </c>
      <c r="F242" t="inlineStr">
        <is>
          <t>1205005</t>
        </is>
      </c>
      <c r="G242" t="inlineStr">
        <is>
          <t>Documentos de lineamientos técnicos</t>
        </is>
      </c>
      <c r="H242" t="inlineStr">
        <is>
          <t>Documentos cuyo objetivo es describir y explicar instrumentos, estándares, requisitos y condiciones necesarias para llevar a cabo un proceso o actividad</t>
        </is>
      </c>
      <c r="I242" t="inlineStr">
        <is>
          <t>2024254860054</t>
        </is>
      </c>
      <c r="J242" s="99">
        <v>185318200</v>
      </c>
      <c r="K242" s="99">
        <v>38000000</v>
      </c>
      <c r="L242" s="99">
        <v>61852400</v>
      </c>
      <c r="M242" s="99">
        <v>41895000</v>
      </c>
      <c r="N242" s="99">
        <v>43570800</v>
      </c>
      <c r="O242" s="99">
        <v>38000000</v>
      </c>
      <c r="P242" s="99">
        <v>38000000</v>
      </c>
      <c r="Q242" s="99">
        <v>38000000</v>
      </c>
      <c r="R242" s="100">
        <v>1</v>
      </c>
      <c r="S242" t="inlineStr">
        <is>
          <t>Se ejecutó el 100% de lo programado en la vigencia</t>
        </is>
      </c>
      <c r="T242" s="101">
        <v>61852400</v>
      </c>
      <c r="U242" s="101">
        <v>52250000</v>
      </c>
      <c r="V242" s="101">
        <v>52250000</v>
      </c>
      <c r="W242" s="102">
        <v>0.844752992608209</v>
      </c>
      <c r="X242" t="inlineStr">
        <is>
          <t>Lo obligado está por debajo de lo programado en la vigencia</t>
        </is>
      </c>
    </row>
    <row r="243">
      <c r="A243" t="inlineStr">
        <is>
          <t>IP-302</t>
        </is>
      </c>
      <c r="B243" t="inlineStr">
        <is>
          <t>12</t>
        </is>
      </c>
      <c r="C243" t="inlineStr">
        <is>
          <t>Justicia y del derecho</t>
        </is>
      </c>
      <c r="D243" t="inlineStr">
        <is>
          <t>1206</t>
        </is>
      </c>
      <c r="E243" t="inlineStr">
        <is>
          <t>Sistema penitenciario y carcelario en el marco de los derechos humanos</t>
        </is>
      </c>
      <c r="F243" t="inlineStr">
        <is>
          <t>1206007</t>
        </is>
      </c>
      <c r="G243" t="inlineStr">
        <is>
          <t>Servicio de bienestar a la población privada de libertad</t>
        </is>
      </c>
      <c r="H243" t="inlineStr">
        <is>
          <t>Hace referencia a los diferentes Servicio de bienestar que reciben las personas privadas de la libertad</t>
        </is>
      </c>
      <c r="I243" t="inlineStr">
        <is>
          <t>2024254860055</t>
        </is>
      </c>
      <c r="J243" s="99">
        <v>16000000</v>
      </c>
      <c r="K243" s="99">
        <v>0</v>
      </c>
      <c r="L243" s="99">
        <v>16000000</v>
      </c>
      <c r="M243" s="99">
        <v>0</v>
      </c>
      <c r="N243" s="99">
        <v>0</v>
      </c>
      <c r="O243" s="99" t="inlineStr">
        <is>
          <t xml:space="preserve"> </t>
        </is>
      </c>
      <c r="P243" s="99" t="inlineStr">
        <is>
          <t xml:space="preserve"> </t>
        </is>
      </c>
      <c r="Q243" s="99" t="inlineStr">
        <is>
          <t xml:space="preserve"> </t>
        </is>
      </c>
      <c r="R243" s="100" t="inlineStr">
        <is>
          <t xml:space="preserve"> </t>
        </is>
      </c>
      <c r="S243" t="inlineStr">
        <is>
          <t>No se encontró ejecución en CUIPO</t>
        </is>
      </c>
      <c r="T243" s="101" t="inlineStr">
        <is>
          <t xml:space="preserve"> </t>
        </is>
      </c>
      <c r="U243" s="101" t="inlineStr">
        <is>
          <t xml:space="preserve"> </t>
        </is>
      </c>
      <c r="V243" s="101" t="inlineStr">
        <is>
          <t xml:space="preserve"> </t>
        </is>
      </c>
      <c r="W243" s="102" t="inlineStr">
        <is>
          <t xml:space="preserve"> </t>
        </is>
      </c>
      <c r="X243" t="inlineStr">
        <is>
          <t>No se encontró ejecución en CUIPO</t>
        </is>
      </c>
    </row>
    <row r="244">
      <c r="A244" t="inlineStr">
        <is>
          <t>IP-303</t>
        </is>
      </c>
      <c r="B244" t="inlineStr">
        <is>
          <t>23</t>
        </is>
      </c>
      <c r="C244" t="inlineStr">
        <is>
          <t>Tecnologías de la información y las comunicaciones</t>
        </is>
      </c>
      <c r="D244" t="inlineStr">
        <is>
          <t>2301</t>
        </is>
      </c>
      <c r="E244" t="inlineStr">
        <is>
          <t>Facilitar el acceso y uso de las Tecnologías de la Información y las Comunicaciones (TIC) en todo el territorio nacional</t>
        </is>
      </c>
      <c r="F244" t="inlineStr">
        <is>
          <t>2301004</t>
        </is>
      </c>
      <c r="G244" t="inlineStr">
        <is>
          <t>Documentos de planeación</t>
        </is>
      </c>
      <c r="H244" t="inlineStr">
        <is>
          <t xml:space="preserve">Documentos que plantean la hoja de ruta  para futuros planes, programas y proyectos en el sector TIC. </t>
        </is>
      </c>
      <c r="I244" t="inlineStr">
        <is>
          <t>2024254860056</t>
        </is>
      </c>
      <c r="J244" s="99">
        <v>0</v>
      </c>
      <c r="K244" s="99">
        <v>0</v>
      </c>
      <c r="L244" s="99">
        <v>0</v>
      </c>
      <c r="M244" s="99">
        <v>0</v>
      </c>
      <c r="N244" s="99">
        <v>0</v>
      </c>
      <c r="O244" s="99" t="inlineStr">
        <is>
          <t xml:space="preserve"> </t>
        </is>
      </c>
      <c r="P244" s="99" t="inlineStr">
        <is>
          <t xml:space="preserve"> </t>
        </is>
      </c>
      <c r="Q244" s="99" t="inlineStr">
        <is>
          <t xml:space="preserve"> </t>
        </is>
      </c>
      <c r="R244" s="100" t="inlineStr">
        <is>
          <t xml:space="preserve"> </t>
        </is>
      </c>
      <c r="S244" t="inlineStr">
        <is>
          <t>No se encontró ejecución en CUIPO</t>
        </is>
      </c>
      <c r="T244" s="101" t="inlineStr">
        <is>
          <t xml:space="preserve"> </t>
        </is>
      </c>
      <c r="U244" s="101" t="inlineStr">
        <is>
          <t xml:space="preserve"> </t>
        </is>
      </c>
      <c r="V244" s="101" t="inlineStr">
        <is>
          <t xml:space="preserve"> </t>
        </is>
      </c>
      <c r="W244" s="102" t="inlineStr">
        <is>
          <t xml:space="preserve"> </t>
        </is>
      </c>
      <c r="X244" t="inlineStr">
        <is>
          <t>No se encontró ejecución en CUIPO</t>
        </is>
      </c>
    </row>
    <row r="245">
      <c r="A245" t="inlineStr">
        <is>
          <t>IP-304</t>
        </is>
      </c>
      <c r="B245" t="inlineStr">
        <is>
          <t>23</t>
        </is>
      </c>
      <c r="C245" t="inlineStr">
        <is>
          <t>Tecnologías de la información y las comunicaciones</t>
        </is>
      </c>
      <c r="D245" t="inlineStr">
        <is>
          <t>2301</t>
        </is>
      </c>
      <c r="E245" t="inlineStr">
        <is>
          <t>Facilitar el acceso y uso de las Tecnologías de la Información y las Comunicaciones (TIC) en todo el territorio nacional</t>
        </is>
      </c>
      <c r="F245" t="inlineStr">
        <is>
          <t>2301077</t>
        </is>
      </c>
      <c r="G245" t="inlineStr">
        <is>
          <t>Servicio de información actualizado</t>
        </is>
      </c>
      <c r="H245" t="inlineStr">
        <is>
          <t>Corresponde al proceso que mejora en la disposición de la información para asegurar que sea accesible, confiable y oportuna.</t>
        </is>
      </c>
      <c r="I245" t="inlineStr">
        <is>
          <t>2024254860056</t>
        </is>
      </c>
      <c r="J245" s="99">
        <v>146896568</v>
      </c>
      <c r="K245" s="99">
        <v>9900000</v>
      </c>
      <c r="L245" s="99">
        <v>114730478</v>
      </c>
      <c r="M245" s="99">
        <v>10914750</v>
      </c>
      <c r="N245" s="99">
        <v>11351340</v>
      </c>
      <c r="O245" s="99">
        <v>9900000</v>
      </c>
      <c r="P245" s="99">
        <v>9900000</v>
      </c>
      <c r="Q245" s="99">
        <v>9900000</v>
      </c>
      <c r="R245" s="100">
        <v>1</v>
      </c>
      <c r="S245" t="inlineStr">
        <is>
          <t>Se ejecutó el 100% de lo programado en la vigencia</t>
        </is>
      </c>
      <c r="T245" s="101">
        <v>114724196</v>
      </c>
      <c r="U245" s="101">
        <v>57203333</v>
      </c>
      <c r="V245" s="101">
        <v>57203333</v>
      </c>
      <c r="W245" s="102">
        <v>0.498588814386357</v>
      </c>
      <c r="X245" t="inlineStr">
        <is>
          <t>Lo obligado está por debajo de lo programado en la vigencia</t>
        </is>
      </c>
    </row>
    <row r="246">
      <c r="A246" t="inlineStr">
        <is>
          <t>IP-305</t>
        </is>
      </c>
      <c r="B246" t="inlineStr">
        <is>
          <t>23</t>
        </is>
      </c>
      <c r="C246" t="inlineStr">
        <is>
          <t>Tecnologías de la información y las comunicaciones</t>
        </is>
      </c>
      <c r="D246" t="inlineStr">
        <is>
          <t>2301</t>
        </is>
      </c>
      <c r="E246" t="inlineStr">
        <is>
          <t>Facilitar el acceso y uso de las Tecnologías de la Información y las Comunicaciones (TIC) en todo el territorio nacional</t>
        </is>
      </c>
      <c r="F246" t="inlineStr">
        <is>
          <t>2301079</t>
        </is>
      </c>
      <c r="G246" t="inlineStr">
        <is>
          <t xml:space="preserve"> Servicio de acceso zonas digitales</t>
        </is>
      </c>
      <c r="H246" t="inlineStr">
        <is>
          <t>Corresponde al montaje y puesta en servicio de la zona digital (wifi), medido a través de la cantidad de usuarios (dispositivos a la zona) y la asistencia personalizada y virtual a los mismos.</t>
        </is>
      </c>
      <c r="I246" t="inlineStr">
        <is>
          <t>2024254860056</t>
        </is>
      </c>
      <c r="J246" s="99">
        <v>0</v>
      </c>
      <c r="K246" s="99">
        <v>0</v>
      </c>
      <c r="L246" s="99">
        <v>0</v>
      </c>
      <c r="M246" s="99">
        <v>0</v>
      </c>
      <c r="N246" s="99">
        <v>0</v>
      </c>
      <c r="O246" s="99" t="inlineStr">
        <is>
          <t xml:space="preserve"> </t>
        </is>
      </c>
      <c r="P246" s="99" t="inlineStr">
        <is>
          <t xml:space="preserve"> </t>
        </is>
      </c>
      <c r="Q246" s="99" t="inlineStr">
        <is>
          <t xml:space="preserve"> </t>
        </is>
      </c>
      <c r="R246" s="100" t="inlineStr">
        <is>
          <t xml:space="preserve"> </t>
        </is>
      </c>
      <c r="S246" t="inlineStr">
        <is>
          <t>No se encontró ejecución en CUIPO</t>
        </is>
      </c>
      <c r="T246" s="101" t="inlineStr">
        <is>
          <t xml:space="preserve"> </t>
        </is>
      </c>
      <c r="U246" s="101" t="inlineStr">
        <is>
          <t xml:space="preserve"> </t>
        </is>
      </c>
      <c r="V246" s="101" t="inlineStr">
        <is>
          <t xml:space="preserve"> </t>
        </is>
      </c>
      <c r="W246" s="102" t="inlineStr">
        <is>
          <t xml:space="preserve"> </t>
        </is>
      </c>
      <c r="X246" t="inlineStr">
        <is>
          <t>No se encontró ejecución en CUIPO</t>
        </is>
      </c>
    </row>
    <row r="247">
      <c r="A247" t="inlineStr">
        <is>
          <t>IP-306</t>
        </is>
      </c>
      <c r="B247" t="inlineStr">
        <is>
          <t>23</t>
        </is>
      </c>
      <c r="C247" t="inlineStr">
        <is>
          <t>Tecnologías de la información y las comunicaciones</t>
        </is>
      </c>
      <c r="D247" t="inlineStr">
        <is>
          <t>2301</t>
        </is>
      </c>
      <c r="E247" t="inlineStr">
        <is>
          <t>Facilitar el acceso y uso de las Tecnologías de la Información y las Comunicaciones (TIC) en todo el territorio nacional</t>
        </is>
      </c>
      <c r="F247" t="inlineStr">
        <is>
          <t>2301024</t>
        </is>
      </c>
      <c r="G247" t="inlineStr">
        <is>
          <t>Servicio de acceso y uso de Tecnologías de la Información y las Comunicaciones</t>
        </is>
      </c>
      <c r="H247" t="inlineStr">
        <is>
          <t>Se prestan Servicio a la comunidad, tales como: i) acceso a Internet, ii) uso de aula de capacitaciones enfocada en informática e Internet  y iii) Entretenimiento a través de consolas de video juegos. Adicionalmente, se cuenta con un área de competencias especializadas, para la formación de estudiantes en competencias en Tecnologías de la Información, tales como animación 2D, 3D, emprendimiento Digital, producción de audio y video digital para socializar a través de la web, diseño de efectos especiales, desarrollo web para móviles y videojuegos, entre otros.  Se prestan Servicio telecomunicaciones básicos para las comunidades donde este acceso es limitado o nulo.</t>
        </is>
      </c>
      <c r="I247" t="inlineStr">
        <is>
          <t>2024254860056</t>
        </is>
      </c>
      <c r="J247" s="99">
        <v>0</v>
      </c>
      <c r="K247" s="99">
        <v>0</v>
      </c>
      <c r="L247" s="99">
        <v>0</v>
      </c>
      <c r="M247" s="99">
        <v>0</v>
      </c>
      <c r="N247" s="99">
        <v>0</v>
      </c>
      <c r="O247" s="99" t="inlineStr">
        <is>
          <t xml:space="preserve"> </t>
        </is>
      </c>
      <c r="P247" s="99" t="inlineStr">
        <is>
          <t xml:space="preserve"> </t>
        </is>
      </c>
      <c r="Q247" s="99" t="inlineStr">
        <is>
          <t xml:space="preserve"> </t>
        </is>
      </c>
      <c r="R247" s="100" t="inlineStr">
        <is>
          <t xml:space="preserve"> </t>
        </is>
      </c>
      <c r="S247" t="inlineStr">
        <is>
          <t>No se encontró ejecución en CUIPO</t>
        </is>
      </c>
      <c r="T247" s="101" t="inlineStr">
        <is>
          <t xml:space="preserve"> </t>
        </is>
      </c>
      <c r="U247" s="101" t="inlineStr">
        <is>
          <t xml:space="preserve"> </t>
        </is>
      </c>
      <c r="V247" s="101" t="inlineStr">
        <is>
          <t xml:space="preserve"> </t>
        </is>
      </c>
      <c r="W247" s="102" t="inlineStr">
        <is>
          <t xml:space="preserve"> </t>
        </is>
      </c>
      <c r="X247" t="inlineStr">
        <is>
          <t>No se encontró ejecución en CUIPO</t>
        </is>
      </c>
    </row>
    <row r="248">
      <c r="A248" t="inlineStr">
        <is>
          <t>IP-307</t>
        </is>
      </c>
      <c r="B248" t="inlineStr">
        <is>
          <t>23</t>
        </is>
      </c>
      <c r="C248" t="inlineStr">
        <is>
          <t>Tecnologías de la información y las comunicaciones</t>
        </is>
      </c>
      <c r="D248" t="inlineStr">
        <is>
          <t>2301</t>
        </is>
      </c>
      <c r="E248" t="inlineStr">
        <is>
          <t>Facilitar el acceso y uso de las Tecnologías de la Información y las Comunicaciones (TIC) en todo el territorio nacional</t>
        </is>
      </c>
      <c r="F248" t="inlineStr">
        <is>
          <t>2301027</t>
        </is>
      </c>
      <c r="G248" t="inlineStr">
        <is>
          <t>Servicio de conexiones a redes de acceso</t>
        </is>
      </c>
      <c r="H248" t="inlineStr">
        <is>
          <t>Corresponde al despliegue de infraestructura de telecomunicaciones con tecnologías alámbricas, radioeléctricas, ópticas u otros sistemas electromagnéticos de última generación que sean implementables en el territorio nacional, para brindar soluciones de conectividad de última milla y soluciones de conectividad a la  terminal de usuario para permitir el acceso a internet</t>
        </is>
      </c>
      <c r="I248" t="inlineStr">
        <is>
          <t>2024254860056</t>
        </is>
      </c>
      <c r="J248" s="99">
        <v>0</v>
      </c>
      <c r="K248" s="99">
        <v>0</v>
      </c>
      <c r="L248" s="99">
        <v>0</v>
      </c>
      <c r="M248" s="99">
        <v>0</v>
      </c>
      <c r="N248" s="99">
        <v>0</v>
      </c>
      <c r="O248" s="99" t="inlineStr">
        <is>
          <t xml:space="preserve"> </t>
        </is>
      </c>
      <c r="P248" s="99" t="inlineStr">
        <is>
          <t xml:space="preserve"> </t>
        </is>
      </c>
      <c r="Q248" s="99" t="inlineStr">
        <is>
          <t xml:space="preserve"> </t>
        </is>
      </c>
      <c r="R248" s="100" t="inlineStr">
        <is>
          <t xml:space="preserve"> </t>
        </is>
      </c>
      <c r="S248" t="inlineStr">
        <is>
          <t>No se encontró ejecución en CUIPO</t>
        </is>
      </c>
      <c r="T248" s="101" t="inlineStr">
        <is>
          <t xml:space="preserve"> </t>
        </is>
      </c>
      <c r="U248" s="101" t="inlineStr">
        <is>
          <t xml:space="preserve"> </t>
        </is>
      </c>
      <c r="V248" s="101" t="inlineStr">
        <is>
          <t xml:space="preserve"> </t>
        </is>
      </c>
      <c r="W248" s="102" t="inlineStr">
        <is>
          <t xml:space="preserve"> </t>
        </is>
      </c>
      <c r="X248" t="inlineStr">
        <is>
          <t>No se encontró ejecución en CUIPO</t>
        </is>
      </c>
    </row>
    <row r="249">
      <c r="A249" t="inlineStr">
        <is>
          <t>IP-308</t>
        </is>
      </c>
      <c r="B249" t="inlineStr">
        <is>
          <t>23</t>
        </is>
      </c>
      <c r="C249" t="inlineStr">
        <is>
          <t>Tecnologías de la información y las comunicaciones</t>
        </is>
      </c>
      <c r="D249" t="inlineStr">
        <is>
          <t>2302</t>
        </is>
      </c>
      <c r="E249" t="inlineStr">
        <is>
          <t>Fomento del desarrollo de aplicaciones, software y contenidos para impulsar la apropiación de las Tecnologías de la Información y las Comunicaciones (TIC)</t>
        </is>
      </c>
      <c r="F249" t="inlineStr">
        <is>
          <t>2302020</t>
        </is>
      </c>
      <c r="G249" t="inlineStr">
        <is>
          <t>Servicio de asistencia técnica para el emprendimiento de base tecnológica</t>
        </is>
      </c>
      <c r="H249" t="inlineStr">
        <is>
          <t>Acompañamiento técnico  realizadas para apoyar y desarrollar los proyectos y equipos de emprendedores potenciales de contenidos digitales en etapa temprana y avanzada</t>
        </is>
      </c>
      <c r="I249" t="inlineStr">
        <is>
          <t>2024254860057</t>
        </is>
      </c>
      <c r="J249" s="99">
        <v>0</v>
      </c>
      <c r="K249" s="99">
        <v>0</v>
      </c>
      <c r="L249" s="99">
        <v>0</v>
      </c>
      <c r="M249" s="99">
        <v>0</v>
      </c>
      <c r="N249" s="99">
        <v>0</v>
      </c>
      <c r="O249" s="99" t="inlineStr">
        <is>
          <t xml:space="preserve"> </t>
        </is>
      </c>
      <c r="P249" s="99" t="inlineStr">
        <is>
          <t xml:space="preserve"> </t>
        </is>
      </c>
      <c r="Q249" s="99" t="inlineStr">
        <is>
          <t xml:space="preserve"> </t>
        </is>
      </c>
      <c r="R249" s="100" t="inlineStr">
        <is>
          <t xml:space="preserve"> </t>
        </is>
      </c>
      <c r="S249" t="inlineStr">
        <is>
          <t>No se encontró ejecución en CUIPO</t>
        </is>
      </c>
      <c r="T249" s="101" t="inlineStr">
        <is>
          <t xml:space="preserve"> </t>
        </is>
      </c>
      <c r="U249" s="101" t="inlineStr">
        <is>
          <t xml:space="preserve"> </t>
        </is>
      </c>
      <c r="V249" s="101" t="inlineStr">
        <is>
          <t xml:space="preserve"> </t>
        </is>
      </c>
      <c r="W249" s="102" t="inlineStr">
        <is>
          <t xml:space="preserve"> </t>
        </is>
      </c>
      <c r="X249" t="inlineStr">
        <is>
          <t>No se encontró ejecución en CUIPO</t>
        </is>
      </c>
    </row>
    <row r="250">
      <c r="J250" s="99"/>
      <c r="K250" s="99"/>
      <c r="L250" s="99"/>
      <c r="M250" s="99"/>
      <c r="N250" s="99"/>
      <c r="O250" s="99"/>
      <c r="P250" s="99"/>
      <c r="Q250" s="99"/>
      <c r="R250" s="100"/>
      <c r="T250" s="101"/>
      <c r="U250" s="101"/>
      <c r="V250" s="101"/>
      <c r="W250" s="102"/>
    </row>
  </sheetData>
  <mergeCells count="6">
    <mergeCell ref="T6:X6"/>
    <mergeCell ref="K6:N6"/>
    <mergeCell ref="O6:S6"/>
    <mergeCell ref="A2:L2"/>
    <mergeCell ref="A3:L3"/>
    <mergeCell ref="A4:L4"/>
  </mergeCells>
  <conditionalFormatting sqref="R8:R1048576">
    <cfRule type="cellIs" dxfId="3" priority="1" operator="between">
      <formula>1.00000001</formula>
      <formula>9999999999</formula>
    </cfRule>
  </conditionalFormatting>
  <conditionalFormatting sqref="R8:R1048576">
    <cfRule type="colorScale" priority="3">
      <colorScale>
        <cfvo type="num" val="0"/>
        <cfvo type="num" val="0.5"/>
        <cfvo type="num" val="1"/>
        <color rgb="FFFB9985"/>
        <color rgb="FFFCF797"/>
        <color rgb="FFADEC9E"/>
      </colorScale>
    </cfRule>
  </conditionalFormatting>
  <conditionalFormatting sqref="W8:W1048576">
    <cfRule type="cellIs" dxfId="2" priority="2" operator="between">
      <formula>1.00000001</formula>
      <formula>9999999999</formula>
    </cfRule>
  </conditionalFormatting>
  <conditionalFormatting sqref="W8:W1048576">
    <cfRule type="colorScale" priority="5">
      <colorScale>
        <cfvo type="num" val="0"/>
        <cfvo type="num" val="0.5"/>
        <cfvo type="num" val="1"/>
        <color rgb="FFFB9985"/>
        <color rgb="FFFCF797"/>
        <color rgb="FFADEC9E"/>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2EF"/>
  </sheetPr>
  <dimension ref="A1:W291"/>
  <sheetViews>
    <sheetView showGridLines="0" zoomScale="85" zoomScaleNormal="85" workbookViewId="0">
      <selection activeCell="A7" sqref="A7"/>
    </sheetView>
  </sheetViews>
  <sheetFormatPr baseColWidth="10" defaultColWidth="11.42578125" defaultRowHeight="15" x14ac:dyDescent="0.25"/>
  <cols>
    <col min="1" max="1" width="13.42578125" customWidth="1"/>
    <col min="2" max="2" width="9" customWidth="1"/>
    <col min="3" max="3" width="19.28515625" customWidth="1"/>
    <col min="4" max="4" width="10.7109375" customWidth="1"/>
    <col min="5" max="5" width="19.28515625" customWidth="1"/>
    <col min="6" max="6" width="10.42578125" customWidth="1"/>
    <col min="7" max="7" width="18" customWidth="1"/>
    <col min="8" max="8" width="11.28515625" customWidth="1"/>
    <col min="9" max="9" width="19.28515625" customWidth="1"/>
    <col min="10" max="10" width="14.7109375" customWidth="1"/>
    <col min="11" max="11" width="12.85546875" customWidth="1"/>
    <col min="12" max="12" width="12" customWidth="1"/>
    <col min="13" max="13" width="10.85546875" customWidth="1"/>
    <col min="14" max="17" width="13.28515625" customWidth="1"/>
    <col min="18" max="18" width="17.7109375" customWidth="1"/>
    <col min="19" max="19" width="11.7109375" style="48" customWidth="1"/>
    <col min="20" max="20" width="28.140625" customWidth="1"/>
    <col min="21" max="21" width="17.7109375" customWidth="1"/>
    <col min="22" max="22" width="11.7109375" customWidth="1"/>
    <col min="23" max="23" width="28.140625" customWidth="1"/>
  </cols>
  <sheetData>
    <row r="1" spans="1:23" s="20" ht="26.25" customFormat="1" x14ac:dyDescent="0.3">
      <c r="A1" s="31" t="s">
        <v>116</v>
      </c>
      <c r="B1" s="4"/>
      <c r="C1" s="4"/>
      <c r="D1" s="4"/>
      <c r="E1" s="4"/>
      <c r="F1" s="4"/>
      <c r="G1" s="4"/>
      <c r="H1" s="4"/>
      <c r="I1" s="4"/>
      <c r="J1" s="4"/>
      <c r="K1" s="4"/>
      <c r="L1" s="4"/>
      <c r="M1" s="4"/>
      <c r="N1" s="4"/>
      <c r="O1" s="4"/>
      <c r="P1" s="4"/>
      <c r="Q1" s="4"/>
      <c r="R1" s="4"/>
      <c r="S1" s="47"/>
      <c r="T1" s="4"/>
      <c r="U1" s="4"/>
      <c r="V1" s="4"/>
      <c r="W1" s="4"/>
    </row>
    <row r="2" spans="1:23" s="20" ht="65.25" customFormat="1" customHeight="1" x14ac:dyDescent="0.3">
      <c r="A2" s="94" t="s">
        <v>117</v>
      </c>
      <c r="B2" s="94"/>
      <c r="C2" s="94"/>
      <c r="D2" s="94"/>
      <c r="E2" s="94"/>
      <c r="F2" s="94"/>
      <c r="G2" s="94"/>
      <c r="H2" s="94"/>
      <c r="I2" s="94"/>
      <c r="J2" s="94"/>
      <c r="K2" s="94"/>
      <c r="L2" s="94"/>
      <c r="M2" s="94"/>
      <c r="N2" s="46"/>
      <c r="O2" s="46"/>
      <c r="P2" s="46"/>
      <c r="Q2" s="4"/>
      <c r="R2" s="4"/>
      <c r="S2" s="47"/>
      <c r="T2" s="4"/>
      <c r="U2" s="4"/>
      <c r="V2" s="4"/>
      <c r="W2" s="4"/>
    </row>
    <row r="3" spans="1:23" s="20" ht="35.25" customFormat="1" customHeight="1" x14ac:dyDescent="0.3">
      <c r="A3" s="94" t="s">
        <v>119</v>
      </c>
      <c r="B3" s="94"/>
      <c r="C3" s="94"/>
      <c r="D3" s="94"/>
      <c r="E3" s="94"/>
      <c r="F3" s="94"/>
      <c r="G3" s="94"/>
      <c r="H3" s="94"/>
      <c r="I3" s="94"/>
      <c r="J3" s="94"/>
      <c r="K3" s="94"/>
      <c r="L3" s="94"/>
      <c r="M3" s="94"/>
      <c r="N3" s="46"/>
      <c r="O3" s="46"/>
      <c r="P3" s="46"/>
      <c r="Q3" s="4"/>
      <c r="R3" s="4"/>
      <c r="S3" s="47"/>
      <c r="T3" s="4"/>
      <c r="U3" s="4"/>
      <c r="V3" s="4"/>
      <c r="W3" s="4"/>
    </row>
    <row r="4" spans="1:23" s="20" ht="16.5" customFormat="1" x14ac:dyDescent="0.3">
      <c r="A4" s="95" t="s">
        <v>132</v>
      </c>
      <c r="B4" s="95"/>
      <c r="C4" s="95"/>
      <c r="D4" s="95"/>
      <c r="E4" s="95"/>
      <c r="F4" s="95"/>
      <c r="G4" s="95"/>
      <c r="H4" s="95"/>
      <c r="I4" s="95"/>
      <c r="J4" s="95"/>
      <c r="K4" s="95"/>
      <c r="L4" s="46"/>
      <c r="M4" s="46"/>
      <c r="N4" s="46"/>
      <c r="O4" s="46"/>
      <c r="P4" s="46"/>
      <c r="Q4" s="4"/>
      <c r="R4" s="4"/>
      <c r="S4" s="47"/>
      <c r="T4" s="4"/>
      <c r="U4" s="4"/>
      <c r="V4" s="4"/>
      <c r="W4" s="4"/>
    </row>
    <row r="5" spans="1:23" s="20" ht="9.75" customFormat="1" customHeight="1" x14ac:dyDescent="0.3">
      <c r="A5" s="46"/>
      <c r="B5" s="46"/>
      <c r="C5" s="46"/>
      <c r="D5" s="46"/>
      <c r="E5" s="46"/>
      <c r="F5" s="46"/>
      <c r="G5" s="46"/>
      <c r="H5" s="46"/>
      <c r="I5" s="46"/>
      <c r="J5" s="46"/>
      <c r="K5" s="46"/>
      <c r="L5" s="46"/>
      <c r="M5" s="46"/>
      <c r="N5" s="46"/>
      <c r="O5" s="46"/>
      <c r="P5" s="46"/>
      <c r="Q5" s="4"/>
      <c r="R5" s="4"/>
      <c r="S5" s="47"/>
      <c r="T5" s="4"/>
      <c r="U5" s="4"/>
      <c r="V5" s="4"/>
      <c r="W5" s="4"/>
    </row>
    <row r="6" spans="1:23" s="20" ht="20.45" customFormat="1" customHeight="1" x14ac:dyDescent="0.3">
      <c r="A6" s="4"/>
      <c r="B6" s="4"/>
      <c r="C6" s="4"/>
      <c r="D6" s="4"/>
      <c r="E6" s="4"/>
      <c r="F6" s="4"/>
      <c r="G6" s="4"/>
      <c r="H6" s="4"/>
      <c r="I6" s="4"/>
      <c r="J6" s="4"/>
      <c r="K6" s="4"/>
      <c r="L6" s="4"/>
      <c r="M6" s="4"/>
      <c r="N6" s="91" t="s">
        <v>133</v>
      </c>
      <c r="O6" s="92"/>
      <c r="P6" s="92"/>
      <c r="Q6" s="93"/>
      <c r="R6" s="96" t="s">
        <v>75</v>
      </c>
      <c r="S6" s="97"/>
      <c r="T6" s="98"/>
      <c r="U6" s="96" t="str">
        <f>CONCATENATE("Ejecución PIIP ",Resumen!$X$1)</f>
        <v>Ejecución PIIP (Dar clic en Habilitar Edición)</v>
      </c>
      <c r="V6" s="97"/>
      <c r="W6" s="98"/>
    </row>
    <row r="7" spans="1:23" s="20" ht="66" customFormat="1" x14ac:dyDescent="0.3">
      <c r="A7" s="16" t="inlineStr">
        <is>
          <t>Consecutivos IP (SisPT)</t>
        </is>
      </c>
      <c r="B7" s="16" t="inlineStr">
        <is>
          <t>Código Sector (MGA)</t>
        </is>
      </c>
      <c r="C7" s="16" t="inlineStr">
        <is>
          <t>Sector (MGA)</t>
        </is>
      </c>
      <c r="D7" s="16" t="inlineStr">
        <is>
          <t>Código Programa (MGA)</t>
        </is>
      </c>
      <c r="E7" s="16" t="inlineStr">
        <is>
          <t>Programa (MGA)</t>
        </is>
      </c>
      <c r="F7" s="16" t="inlineStr">
        <is>
          <t>Código Producto (MGA)</t>
        </is>
      </c>
      <c r="G7" s="16" t="inlineStr">
        <is>
          <t>Producto (MGA)</t>
        </is>
      </c>
      <c r="H7" s="16" t="inlineStr">
        <is>
          <t>Código Indicador Producto (MGA)</t>
        </is>
      </c>
      <c r="I7" s="16" t="inlineStr">
        <is>
          <t>Indicador Producto (MGA)</t>
        </is>
      </c>
      <c r="J7" s="16" t="inlineStr">
        <is>
          <t>Códigos BPIN Asociados</t>
        </is>
      </c>
      <c r="K7" s="16" t="inlineStr">
        <is>
          <t>Acumulativo</t>
        </is>
      </c>
      <c r="L7" s="16" t="inlineStr">
        <is>
          <t>Unidad de Medida</t>
        </is>
      </c>
      <c r="M7" s="16" t="inlineStr">
        <is>
          <t>Meta del Cuatrenio (SisPT)</t>
        </is>
      </c>
      <c r="N7" s="61" t="inlineStr">
        <is>
          <t>Programado 2024 (SisPT)</t>
        </is>
      </c>
      <c r="O7" s="16" t="inlineStr">
        <is>
          <t>Programado 2025 (SisPT)</t>
        </is>
      </c>
      <c r="P7" s="16" t="inlineStr">
        <is>
          <t>Programado 2026 (SisPT)</t>
        </is>
      </c>
      <c r="Q7" s="54" t="inlineStr">
        <is>
          <t>Programado 2027 (SisPT)</t>
        </is>
      </c>
      <c r="R7" s="57" t="inlineStr">
        <is>
          <t>Ejecución Física 2024 (PIIP)</t>
        </is>
      </c>
      <c r="S7" s="65" t="inlineStr">
        <is>
          <t>Avance físico 2024 (%)</t>
        </is>
      </c>
      <c r="T7" s="66" t="inlineStr">
        <is>
          <t>Explicación del valor 2024</t>
        </is>
      </c>
      <c r="U7" s="57" t="inlineStr">
        <is>
          <t>Ejecución Física 2025 (PIIP)</t>
        </is>
      </c>
      <c r="V7" s="65" t="inlineStr">
        <is>
          <t>Avance físico 2025 (%)</t>
        </is>
      </c>
      <c r="W7" s="66" t="inlineStr">
        <is>
          <t>Explicación del valor 2025</t>
        </is>
      </c>
    </row>
    <row r="8">
      <c r="A8" t="inlineStr">
        <is>
          <t>IP-1</t>
        </is>
      </c>
      <c r="B8" t="inlineStr">
        <is>
          <t>32</t>
        </is>
      </c>
      <c r="C8" t="inlineStr">
        <is>
          <t>Ambiente y desarrollo sostenible</t>
        </is>
      </c>
      <c r="D8" t="inlineStr">
        <is>
          <t>3203</t>
        </is>
      </c>
      <c r="E8" t="inlineStr">
        <is>
          <t>Gestión integral del recurso hídrico</t>
        </is>
      </c>
      <c r="F8" t="inlineStr">
        <is>
          <t>3203048</t>
        </is>
      </c>
      <c r="G8" t="inlineStr">
        <is>
          <t>Servicio de almacenamiento de agua</t>
        </is>
      </c>
      <c r="H8" t="inlineStr">
        <is>
          <t>320304801</t>
        </is>
      </c>
      <c r="I8" t="inlineStr">
        <is>
          <t>Reservorio construido</t>
        </is>
      </c>
      <c r="J8" t="inlineStr">
        <is>
          <t>2024254860002</t>
        </is>
      </c>
      <c r="K8" t="inlineStr">
        <is>
          <t>Si</t>
        </is>
      </c>
      <c r="L8" t="inlineStr">
        <is>
          <t>Número</t>
        </is>
      </c>
      <c r="M8">
        <v>38</v>
      </c>
      <c r="N8">
        <v>0</v>
      </c>
      <c r="O8">
        <v>13</v>
      </c>
      <c r="P8">
        <v>13</v>
      </c>
      <c r="Q8">
        <v>12</v>
      </c>
      <c r="R8" t="inlineStr">
        <is>
          <t xml:space="preserve"> </t>
        </is>
      </c>
      <c r="S8" s="103" t="inlineStr">
        <is>
          <t xml:space="preserve"> </t>
        </is>
      </c>
      <c r="T8" t="inlineStr">
        <is>
          <t>No se encontró ejecución en PIIP</t>
        </is>
      </c>
      <c r="U8" t="inlineStr">
        <is>
          <t xml:space="preserve"> </t>
        </is>
      </c>
      <c r="V8" s="104" t="inlineStr">
        <is>
          <t xml:space="preserve"> </t>
        </is>
      </c>
      <c r="W8" t="inlineStr">
        <is>
          <t>No se encontró ejecución en PIIP</t>
        </is>
      </c>
    </row>
    <row r="9">
      <c r="A9" t="inlineStr">
        <is>
          <t>IP-2</t>
        </is>
      </c>
      <c r="B9" t="inlineStr">
        <is>
          <t>32</t>
        </is>
      </c>
      <c r="C9" t="inlineStr">
        <is>
          <t>Ambiente y desarrollo sostenible</t>
        </is>
      </c>
      <c r="D9" t="inlineStr">
        <is>
          <t>3202</t>
        </is>
      </c>
      <c r="E9" t="inlineStr">
        <is>
          <t>Conservación de la biodiversidad y sus servicios ecosistémicos</t>
        </is>
      </c>
      <c r="F9" t="inlineStr">
        <is>
          <t>3202044</t>
        </is>
      </c>
      <c r="G9" t="inlineStr">
        <is>
          <t>Estudios de preinversión</t>
        </is>
      </c>
      <c r="H9" t="inlineStr">
        <is>
          <t>320204400</t>
        </is>
      </c>
      <c r="I9" t="inlineStr">
        <is>
          <t>Estudios de preinversión elaborados</t>
        </is>
      </c>
      <c r="J9" t="inlineStr">
        <is>
          <t>2024254860003</t>
        </is>
      </c>
      <c r="K9" t="inlineStr">
        <is>
          <t>No</t>
        </is>
      </c>
      <c r="L9" t="inlineStr">
        <is>
          <t>Número</t>
        </is>
      </c>
      <c r="M9">
        <v>1</v>
      </c>
      <c r="N9">
        <v>0</v>
      </c>
      <c r="O9">
        <v>1</v>
      </c>
      <c r="P9">
        <v>0</v>
      </c>
      <c r="Q9">
        <v>0</v>
      </c>
      <c r="R9" t="inlineStr">
        <is>
          <t xml:space="preserve"> </t>
        </is>
      </c>
      <c r="S9" s="103" t="inlineStr">
        <is>
          <t xml:space="preserve"> </t>
        </is>
      </c>
      <c r="T9" t="inlineStr">
        <is>
          <t>No se encontró ejecución en PIIP</t>
        </is>
      </c>
      <c r="U9" t="inlineStr">
        <is>
          <t xml:space="preserve"> </t>
        </is>
      </c>
      <c r="V9" s="104" t="inlineStr">
        <is>
          <t xml:space="preserve"> </t>
        </is>
      </c>
      <c r="W9" t="inlineStr">
        <is>
          <t>No se encontró ejecución en PIIP</t>
        </is>
      </c>
    </row>
    <row r="10">
      <c r="A10" t="inlineStr">
        <is>
          <t>IP-3</t>
        </is>
      </c>
      <c r="B10" t="inlineStr">
        <is>
          <t>32</t>
        </is>
      </c>
      <c r="C10" t="inlineStr">
        <is>
          <t>Ambiente y desarrollo sostenible</t>
        </is>
      </c>
      <c r="D10" t="inlineStr">
        <is>
          <t>3202</t>
        </is>
      </c>
      <c r="E10" t="inlineStr">
        <is>
          <t>Conservación de la biodiversidad y sus servicios ecosistémicos</t>
        </is>
      </c>
      <c r="F10" t="inlineStr">
        <is>
          <t>3202070</t>
        </is>
      </c>
      <c r="G10" t="inlineStr">
        <is>
          <t>Sistemas alternativos de gestión de la biomasa instalado</t>
        </is>
      </c>
      <c r="H10" t="inlineStr">
        <is>
          <t>320207000</t>
        </is>
      </c>
      <c r="I10" t="inlineStr">
        <is>
          <t>Sistemas alternativos de gestión de la biomasa instalados</t>
        </is>
      </c>
      <c r="J10" t="inlineStr">
        <is>
          <t>2024254860003</t>
        </is>
      </c>
      <c r="K10" t="inlineStr">
        <is>
          <t>Si</t>
        </is>
      </c>
      <c r="L10" t="inlineStr">
        <is>
          <t>Número</t>
        </is>
      </c>
      <c r="M10">
        <v>5</v>
      </c>
      <c r="N10">
        <v>0</v>
      </c>
      <c r="O10">
        <v>2</v>
      </c>
      <c r="P10">
        <v>3</v>
      </c>
      <c r="Q10">
        <v>0</v>
      </c>
      <c r="R10" t="inlineStr">
        <is>
          <t xml:space="preserve"> </t>
        </is>
      </c>
      <c r="S10" s="103" t="inlineStr">
        <is>
          <t xml:space="preserve"> </t>
        </is>
      </c>
      <c r="T10" t="inlineStr">
        <is>
          <t>No se encontró ejecución en PIIP</t>
        </is>
      </c>
      <c r="U10" t="inlineStr">
        <is>
          <t xml:space="preserve"> </t>
        </is>
      </c>
      <c r="V10" s="104" t="inlineStr">
        <is>
          <t xml:space="preserve"> </t>
        </is>
      </c>
      <c r="W10" t="inlineStr">
        <is>
          <t>No se encontró ejecución en PIIP</t>
        </is>
      </c>
    </row>
    <row r="11">
      <c r="A11" t="inlineStr">
        <is>
          <t>IP-4, IP-6</t>
        </is>
      </c>
      <c r="B11" t="inlineStr">
        <is>
          <t>32</t>
        </is>
      </c>
      <c r="C11" t="inlineStr">
        <is>
          <t>Ambiente y desarrollo sostenible</t>
        </is>
      </c>
      <c r="D11" t="inlineStr">
        <is>
          <t>3206</t>
        </is>
      </c>
      <c r="E11" t="inlineStr">
        <is>
          <t>Gestión del cambio climático para un desarrollo bajo en carbono y resiliente al clima</t>
        </is>
      </c>
      <c r="F11" t="inlineStr">
        <is>
          <t>3206003</t>
        </is>
      </c>
      <c r="G11" t="inlineStr">
        <is>
          <t>Servicio de apoyo técnico para la implementación de acciones de mitigación y adaptación al cambio climático</t>
        </is>
      </c>
      <c r="H11" t="inlineStr">
        <is>
          <t>320600300</t>
        </is>
      </c>
      <c r="I11" t="inlineStr">
        <is>
          <t>Pilotos con acciones de mitigación y adaptación al cambio climático desarrollados</t>
        </is>
      </c>
      <c r="J11" t="inlineStr">
        <is>
          <t>2024254860004</t>
        </is>
      </c>
      <c r="K11" t="inlineStr">
        <is>
          <t>No</t>
        </is>
      </c>
      <c r="L11" t="inlineStr">
        <is>
          <t>Número</t>
        </is>
      </c>
      <c r="M11">
        <v>2</v>
      </c>
      <c r="N11">
        <v>0</v>
      </c>
      <c r="O11">
        <v>2</v>
      </c>
      <c r="P11">
        <v>2</v>
      </c>
      <c r="Q11">
        <v>2</v>
      </c>
      <c r="R11" t="inlineStr">
        <is>
          <t xml:space="preserve"> </t>
        </is>
      </c>
      <c r="S11" s="103" t="inlineStr">
        <is>
          <t xml:space="preserve"> </t>
        </is>
      </c>
      <c r="T11" t="inlineStr">
        <is>
          <t>No se encontró ejecución en PIIP</t>
        </is>
      </c>
      <c r="U11" t="inlineStr">
        <is>
          <t xml:space="preserve"> </t>
        </is>
      </c>
      <c r="V11" s="104" t="inlineStr">
        <is>
          <t xml:space="preserve"> </t>
        </is>
      </c>
      <c r="W11" t="inlineStr">
        <is>
          <t>No se encontró ejecución en PIIP</t>
        </is>
      </c>
    </row>
    <row r="12">
      <c r="A12" t="inlineStr">
        <is>
          <t>IP-5</t>
        </is>
      </c>
      <c r="B12" t="inlineStr">
        <is>
          <t>32</t>
        </is>
      </c>
      <c r="C12" t="inlineStr">
        <is>
          <t>Ambiente y desarrollo sostenible</t>
        </is>
      </c>
      <c r="D12" t="inlineStr">
        <is>
          <t>3202</t>
        </is>
      </c>
      <c r="E12" t="inlineStr">
        <is>
          <t>Conservación de la biodiversidad y sus servicios ecosistémicos</t>
        </is>
      </c>
      <c r="F12" t="inlineStr">
        <is>
          <t>3202033</t>
        </is>
      </c>
      <c r="G12" t="inlineStr">
        <is>
          <t>Infraestructura ecoturística construida</t>
        </is>
      </c>
      <c r="H12" t="inlineStr">
        <is>
          <t>320203300</t>
        </is>
      </c>
      <c r="I12" t="inlineStr">
        <is>
          <t xml:space="preserve">Infraestructura ecoturística construida </t>
        </is>
      </c>
      <c r="J12" t="inlineStr">
        <is>
          <t>2024254860003</t>
        </is>
      </c>
      <c r="K12" t="inlineStr">
        <is>
          <t>No</t>
        </is>
      </c>
      <c r="L12" t="inlineStr">
        <is>
          <t>Número</t>
        </is>
      </c>
      <c r="M12">
        <v>1</v>
      </c>
      <c r="N12">
        <v>0</v>
      </c>
      <c r="O12">
        <v>0</v>
      </c>
      <c r="P12">
        <v>1</v>
      </c>
      <c r="Q12">
        <v>1</v>
      </c>
      <c r="R12" t="inlineStr">
        <is>
          <t xml:space="preserve"> </t>
        </is>
      </c>
      <c r="S12" s="103" t="inlineStr">
        <is>
          <t xml:space="preserve"> </t>
        </is>
      </c>
      <c r="T12" t="inlineStr">
        <is>
          <t>No se encontró ejecución en PIIP</t>
        </is>
      </c>
      <c r="U12" t="inlineStr">
        <is>
          <t xml:space="preserve"> </t>
        </is>
      </c>
      <c r="V12" s="104" t="inlineStr">
        <is>
          <t xml:space="preserve"> </t>
        </is>
      </c>
      <c r="W12" t="inlineStr">
        <is>
          <t>No se encontró ejecución en PIIP</t>
        </is>
      </c>
    </row>
    <row r="13">
      <c r="A13" t="inlineStr">
        <is>
          <t>IP-7</t>
        </is>
      </c>
      <c r="B13" t="inlineStr">
        <is>
          <t>32</t>
        </is>
      </c>
      <c r="C13" t="inlineStr">
        <is>
          <t>Ambiente y desarrollo sostenible</t>
        </is>
      </c>
      <c r="D13" t="inlineStr">
        <is>
          <t>3206</t>
        </is>
      </c>
      <c r="E13" t="inlineStr">
        <is>
          <t>Gestión del cambio climático para un desarrollo bajo en carbono y resiliente al clima</t>
        </is>
      </c>
      <c r="F13" t="inlineStr">
        <is>
          <t>3206011</t>
        </is>
      </c>
      <c r="G13" t="inlineStr">
        <is>
          <t>Servicios de información para el seguimiento a los compromisos en cambio climático de Colombia</t>
        </is>
      </c>
      <c r="H13" t="inlineStr">
        <is>
          <t>320601100</t>
        </is>
      </c>
      <c r="I13" t="inlineStr">
        <is>
          <t>Documentos con los resultados del monitoreo elaborados</t>
        </is>
      </c>
      <c r="J13" t="inlineStr">
        <is>
          <t>2024254860004</t>
        </is>
      </c>
      <c r="K13" t="inlineStr">
        <is>
          <t>Si</t>
        </is>
      </c>
      <c r="L13" t="inlineStr">
        <is>
          <t>Número</t>
        </is>
      </c>
      <c r="M13">
        <v>4</v>
      </c>
      <c r="N13">
        <v>1</v>
      </c>
      <c r="O13">
        <v>1</v>
      </c>
      <c r="P13">
        <v>1</v>
      </c>
      <c r="Q13">
        <v>1</v>
      </c>
      <c r="R13" t="inlineStr">
        <is>
          <t xml:space="preserve"> </t>
        </is>
      </c>
      <c r="S13" s="103" t="inlineStr">
        <is>
          <t xml:space="preserve"> </t>
        </is>
      </c>
      <c r="T13" t="inlineStr">
        <is>
          <t>No se encontró ejecución en PIIP</t>
        </is>
      </c>
      <c r="U13" t="inlineStr">
        <is>
          <t xml:space="preserve"> </t>
        </is>
      </c>
      <c r="V13" s="104" t="inlineStr">
        <is>
          <t xml:space="preserve"> </t>
        </is>
      </c>
      <c r="W13" t="inlineStr">
        <is>
          <t>No se encontró ejecución en PIIP</t>
        </is>
      </c>
    </row>
    <row r="14">
      <c r="A14" t="inlineStr">
        <is>
          <t>IP-8</t>
        </is>
      </c>
      <c r="B14" t="inlineStr">
        <is>
          <t>32</t>
        </is>
      </c>
      <c r="C14" t="inlineStr">
        <is>
          <t>Ambiente y desarrollo sostenible</t>
        </is>
      </c>
      <c r="D14" t="inlineStr">
        <is>
          <t>3202</t>
        </is>
      </c>
      <c r="E14" t="inlineStr">
        <is>
          <t>Conservación de la biodiversidad y sus servicios ecosistémicos</t>
        </is>
      </c>
      <c r="F14" t="inlineStr">
        <is>
          <t>3202003</t>
        </is>
      </c>
      <c r="G14" t="inlineStr">
        <is>
          <t>Documentos de política para la conservación de la biodiversidad y sus servicio eco sistémicos</t>
        </is>
      </c>
      <c r="H14" t="inlineStr">
        <is>
          <t>320200301</t>
        </is>
      </c>
      <c r="I14" t="inlineStr">
        <is>
          <t xml:space="preserve">Documentos de política sobre la conservación de la biodiversidad y los servicios ecosistémicos elaborado </t>
        </is>
      </c>
      <c r="J14" t="inlineStr">
        <is>
          <t>2024254860003</t>
        </is>
      </c>
      <c r="K14" t="inlineStr">
        <is>
          <t>No</t>
        </is>
      </c>
      <c r="L14" t="inlineStr">
        <is>
          <t>Número</t>
        </is>
      </c>
      <c r="M14">
        <v>1</v>
      </c>
      <c r="N14">
        <v>1</v>
      </c>
      <c r="O14">
        <v>1</v>
      </c>
      <c r="P14">
        <v>1</v>
      </c>
      <c r="Q14">
        <v>1</v>
      </c>
      <c r="R14" t="inlineStr">
        <is>
          <t xml:space="preserve"> </t>
        </is>
      </c>
      <c r="S14" s="103" t="inlineStr">
        <is>
          <t xml:space="preserve"> </t>
        </is>
      </c>
      <c r="T14" t="inlineStr">
        <is>
          <t>No se encontró ejecución en PIIP</t>
        </is>
      </c>
      <c r="U14" t="inlineStr">
        <is>
          <t xml:space="preserve"> </t>
        </is>
      </c>
      <c r="V14" s="104" t="inlineStr">
        <is>
          <t xml:space="preserve"> </t>
        </is>
      </c>
      <c r="W14" t="inlineStr">
        <is>
          <t>No se encontró ejecución en PIIP</t>
        </is>
      </c>
    </row>
    <row r="15">
      <c r="A15" t="inlineStr">
        <is>
          <t>IP-9</t>
        </is>
      </c>
      <c r="B15" t="inlineStr">
        <is>
          <t>32</t>
        </is>
      </c>
      <c r="C15" t="inlineStr">
        <is>
          <t>Ambiente y desarrollo sostenible</t>
        </is>
      </c>
      <c r="D15" t="inlineStr">
        <is>
          <t>3202</t>
        </is>
      </c>
      <c r="E15" t="inlineStr">
        <is>
          <t>Conservación de la biodiversidad y sus servicios ecosistémicos</t>
        </is>
      </c>
      <c r="F15" t="inlineStr">
        <is>
          <t>3202049</t>
        </is>
      </c>
      <c r="G15" t="inlineStr">
        <is>
          <t>Servicio de recuperación de ecosistemas</t>
        </is>
      </c>
      <c r="H15" t="inlineStr">
        <is>
          <t>320204903</t>
        </is>
      </c>
      <c r="I15" t="inlineStr">
        <is>
          <t>Árboles nativos sembrados</t>
        </is>
      </c>
      <c r="J15" t="inlineStr">
        <is>
          <t>2024254860003</t>
        </is>
      </c>
      <c r="K15" t="inlineStr">
        <is>
          <t>Si</t>
        </is>
      </c>
      <c r="L15" t="inlineStr">
        <is>
          <t>Número</t>
        </is>
      </c>
      <c r="M15">
        <v>100</v>
      </c>
      <c r="N15">
        <v>0</v>
      </c>
      <c r="O15">
        <v>20</v>
      </c>
      <c r="P15">
        <v>40</v>
      </c>
      <c r="Q15">
        <v>40</v>
      </c>
      <c r="R15" t="inlineStr">
        <is>
          <t xml:space="preserve"> </t>
        </is>
      </c>
      <c r="S15" s="103" t="inlineStr">
        <is>
          <t xml:space="preserve"> </t>
        </is>
      </c>
      <c r="T15" t="inlineStr">
        <is>
          <t>No se encontró ejecución en PIIP</t>
        </is>
      </c>
      <c r="U15" t="inlineStr">
        <is>
          <t xml:space="preserve"> </t>
        </is>
      </c>
      <c r="V15" s="104" t="inlineStr">
        <is>
          <t xml:space="preserve"> </t>
        </is>
      </c>
      <c r="W15" t="inlineStr">
        <is>
          <t>No se encontró ejecución en PIIP</t>
        </is>
      </c>
    </row>
    <row r="16">
      <c r="A16" t="inlineStr">
        <is>
          <t>IP-10</t>
        </is>
      </c>
      <c r="B16" t="inlineStr">
        <is>
          <t>32</t>
        </is>
      </c>
      <c r="C16" t="inlineStr">
        <is>
          <t>Ambiente y desarrollo sostenible</t>
        </is>
      </c>
      <c r="D16" t="inlineStr">
        <is>
          <t>3204</t>
        </is>
      </c>
      <c r="E16" t="inlineStr">
        <is>
          <t>Gestión de la información y el conocimiento ambiental</t>
        </is>
      </c>
      <c r="F16" t="inlineStr">
        <is>
          <t>3204034</t>
        </is>
      </c>
      <c r="G16" t="inlineStr">
        <is>
          <t>Estaciones de investigación mejoradas y dotadas</t>
        </is>
      </c>
      <c r="H16" t="inlineStr">
        <is>
          <t>320403400</t>
        </is>
      </c>
      <c r="I16" t="inlineStr">
        <is>
          <t>Estaciones de investigación adecuadas y dotadas para el desempeño de la investigación mejoradas y dotadas</t>
        </is>
      </c>
      <c r="J16" t="inlineStr">
        <is>
          <t>2024254860005</t>
        </is>
      </c>
      <c r="K16" t="inlineStr">
        <is>
          <t>No</t>
        </is>
      </c>
      <c r="L16" t="inlineStr">
        <is>
          <t>Número</t>
        </is>
      </c>
      <c r="M16">
        <v>1</v>
      </c>
      <c r="N16">
        <v>0</v>
      </c>
      <c r="O16">
        <v>1</v>
      </c>
      <c r="P16">
        <v>1</v>
      </c>
      <c r="Q16">
        <v>1</v>
      </c>
      <c r="R16" t="inlineStr">
        <is>
          <t xml:space="preserve"> </t>
        </is>
      </c>
      <c r="S16" s="103" t="inlineStr">
        <is>
          <t xml:space="preserve"> </t>
        </is>
      </c>
      <c r="T16" t="inlineStr">
        <is>
          <t>No se encontró ejecución en PIIP</t>
        </is>
      </c>
      <c r="U16" t="inlineStr">
        <is>
          <t xml:space="preserve"> </t>
        </is>
      </c>
      <c r="V16" s="104" t="inlineStr">
        <is>
          <t xml:space="preserve"> </t>
        </is>
      </c>
      <c r="W16" t="inlineStr">
        <is>
          <t>No se encontró ejecución en PIIP</t>
        </is>
      </c>
    </row>
    <row r="17">
      <c r="A17" t="inlineStr">
        <is>
          <t>IP-11</t>
        </is>
      </c>
      <c r="B17" t="inlineStr">
        <is>
          <t>32</t>
        </is>
      </c>
      <c r="C17" t="inlineStr">
        <is>
          <t>Ambiente y desarrollo sostenible</t>
        </is>
      </c>
      <c r="D17" t="inlineStr">
        <is>
          <t>3202</t>
        </is>
      </c>
      <c r="E17" t="inlineStr">
        <is>
          <t>Conservación de la biodiversidad y sus servicios ecosistémicos</t>
        </is>
      </c>
      <c r="F17" t="inlineStr">
        <is>
          <t>3202006</t>
        </is>
      </c>
      <c r="G17" t="inlineStr">
        <is>
          <t>Servicio de reforestación de ecosistemas</t>
        </is>
      </c>
      <c r="H17" t="inlineStr">
        <is>
          <t>320200600</t>
        </is>
      </c>
      <c r="I17" t="inlineStr">
        <is>
          <t>Plantaciones forestales realizadas</t>
        </is>
      </c>
      <c r="J17" t="inlineStr">
        <is>
          <t>2024254860003</t>
        </is>
      </c>
      <c r="K17" t="inlineStr">
        <is>
          <t>No</t>
        </is>
      </c>
      <c r="L17" t="inlineStr">
        <is>
          <t>Hectáreas</t>
        </is>
      </c>
      <c r="M17">
        <v>1</v>
      </c>
      <c r="N17">
        <v>0</v>
      </c>
      <c r="O17">
        <v>1</v>
      </c>
      <c r="P17">
        <v>1</v>
      </c>
      <c r="Q17">
        <v>1</v>
      </c>
      <c r="R17" t="inlineStr">
        <is>
          <t xml:space="preserve"> </t>
        </is>
      </c>
      <c r="S17" s="103" t="inlineStr">
        <is>
          <t xml:space="preserve"> </t>
        </is>
      </c>
      <c r="T17" t="inlineStr">
        <is>
          <t>No se encontró ejecución en PIIP</t>
        </is>
      </c>
      <c r="U17" t="inlineStr">
        <is>
          <t xml:space="preserve"> </t>
        </is>
      </c>
      <c r="V17" s="104" t="inlineStr">
        <is>
          <t xml:space="preserve"> </t>
        </is>
      </c>
      <c r="W17" t="inlineStr">
        <is>
          <t>No se encontró ejecución en PIIP</t>
        </is>
      </c>
    </row>
    <row r="18">
      <c r="A18" t="inlineStr">
        <is>
          <t>IP-12</t>
        </is>
      </c>
      <c r="B18" t="inlineStr">
        <is>
          <t>32</t>
        </is>
      </c>
      <c r="C18" t="inlineStr">
        <is>
          <t>Ambiente y desarrollo sostenible</t>
        </is>
      </c>
      <c r="D18" t="inlineStr">
        <is>
          <t>3202</t>
        </is>
      </c>
      <c r="E18" t="inlineStr">
        <is>
          <t>Conservación de la biodiversidad y sus servicios ecosistémicos</t>
        </is>
      </c>
      <c r="F18" t="inlineStr">
        <is>
          <t>3202043</t>
        </is>
      </c>
      <c r="G18" t="inlineStr">
        <is>
          <t>Servicio apoyo financiero para la implementación de esquemas de pago por Servicio ambientales</t>
        </is>
      </c>
      <c r="H18" t="inlineStr">
        <is>
          <t>320204300</t>
        </is>
      </c>
      <c r="I18" t="inlineStr">
        <is>
          <t>Áreas con esquemas de Pago por Servicios Ambientales implementados</t>
        </is>
      </c>
      <c r="J18" t="inlineStr">
        <is>
          <t>2024254860003</t>
        </is>
      </c>
      <c r="K18" t="inlineStr">
        <is>
          <t>No</t>
        </is>
      </c>
      <c r="L18" t="inlineStr">
        <is>
          <t>Hectáreas</t>
        </is>
      </c>
      <c r="M18">
        <v>1</v>
      </c>
      <c r="N18">
        <v>0</v>
      </c>
      <c r="O18">
        <v>1</v>
      </c>
      <c r="P18">
        <v>1</v>
      </c>
      <c r="Q18">
        <v>1</v>
      </c>
      <c r="R18" t="inlineStr">
        <is>
          <t xml:space="preserve"> </t>
        </is>
      </c>
      <c r="S18" s="103" t="inlineStr">
        <is>
          <t xml:space="preserve"> </t>
        </is>
      </c>
      <c r="T18" t="inlineStr">
        <is>
          <t>No se encontró ejecución en PIIP</t>
        </is>
      </c>
      <c r="U18" t="inlineStr">
        <is>
          <t xml:space="preserve"> </t>
        </is>
      </c>
      <c r="V18" s="104" t="inlineStr">
        <is>
          <t xml:space="preserve"> </t>
        </is>
      </c>
      <c r="W18" t="inlineStr">
        <is>
          <t>No se encontró ejecución en PIIP</t>
        </is>
      </c>
    </row>
    <row r="19">
      <c r="A19" t="inlineStr">
        <is>
          <t>IP-13</t>
        </is>
      </c>
      <c r="B19" t="inlineStr">
        <is>
          <t>32</t>
        </is>
      </c>
      <c r="C19" t="inlineStr">
        <is>
          <t>Ambiente y desarrollo sostenible</t>
        </is>
      </c>
      <c r="D19" t="inlineStr">
        <is>
          <t>3202</t>
        </is>
      </c>
      <c r="E19" t="inlineStr">
        <is>
          <t>Conservación de la biodiversidad y sus servicios ecosistémicos</t>
        </is>
      </c>
      <c r="F19" t="inlineStr">
        <is>
          <t>3202038</t>
        </is>
      </c>
      <c r="G19" t="inlineStr">
        <is>
          <t>Servicio de producción de plántulas en viveros</t>
        </is>
      </c>
      <c r="H19" t="inlineStr">
        <is>
          <t>320203800</t>
        </is>
      </c>
      <c r="I19" t="inlineStr">
        <is>
          <t>Plántulas producidas</t>
        </is>
      </c>
      <c r="J19" t="inlineStr">
        <is>
          <t>2024254860003</t>
        </is>
      </c>
      <c r="K19" t="inlineStr">
        <is>
          <t>Si</t>
        </is>
      </c>
      <c r="L19" t="inlineStr">
        <is>
          <t>Número</t>
        </is>
      </c>
      <c r="M19">
        <v>20000</v>
      </c>
      <c r="N19">
        <v>500</v>
      </c>
      <c r="O19">
        <v>6500</v>
      </c>
      <c r="P19">
        <v>6000</v>
      </c>
      <c r="Q19">
        <v>7000</v>
      </c>
      <c r="R19" t="inlineStr">
        <is>
          <t xml:space="preserve"> </t>
        </is>
      </c>
      <c r="S19" s="103" t="inlineStr">
        <is>
          <t xml:space="preserve"> </t>
        </is>
      </c>
      <c r="T19" t="inlineStr">
        <is>
          <t>No se encontró ejecución en PIIP</t>
        </is>
      </c>
      <c r="U19" t="inlineStr">
        <is>
          <t xml:space="preserve"> </t>
        </is>
      </c>
      <c r="V19" s="104" t="inlineStr">
        <is>
          <t xml:space="preserve"> </t>
        </is>
      </c>
      <c r="W19" t="inlineStr">
        <is>
          <t>No se encontró ejecución en PIIP</t>
        </is>
      </c>
    </row>
    <row r="20">
      <c r="A20" t="inlineStr">
        <is>
          <t>IP-14</t>
        </is>
      </c>
      <c r="B20" t="inlineStr">
        <is>
          <t>32</t>
        </is>
      </c>
      <c r="C20" t="inlineStr">
        <is>
          <t>Ambiente y desarrollo sostenible</t>
        </is>
      </c>
      <c r="D20" t="inlineStr">
        <is>
          <t>3202</t>
        </is>
      </c>
      <c r="E20" t="inlineStr">
        <is>
          <t>Conservación de la biodiversidad y sus servicios ecosistémicos</t>
        </is>
      </c>
      <c r="F20" t="inlineStr">
        <is>
          <t>3202006</t>
        </is>
      </c>
      <c r="G20" t="inlineStr">
        <is>
          <t>Servicio de reforestación de ecosistemas</t>
        </is>
      </c>
      <c r="H20" t="inlineStr">
        <is>
          <t>320200600</t>
        </is>
      </c>
      <c r="I20" t="inlineStr">
        <is>
          <t>Plantaciones forestales realizadas</t>
        </is>
      </c>
      <c r="J20" t="inlineStr">
        <is>
          <t>2024254860003</t>
        </is>
      </c>
      <c r="K20" t="inlineStr">
        <is>
          <t>Si</t>
        </is>
      </c>
      <c r="L20" t="inlineStr">
        <is>
          <t>Hectáreas</t>
        </is>
      </c>
      <c r="M20">
        <v>200</v>
      </c>
      <c r="N20">
        <v>1</v>
      </c>
      <c r="O20">
        <v>50</v>
      </c>
      <c r="P20">
        <v>100</v>
      </c>
      <c r="Q20">
        <v>49</v>
      </c>
      <c r="R20" t="inlineStr">
        <is>
          <t xml:space="preserve"> </t>
        </is>
      </c>
      <c r="S20" s="103" t="inlineStr">
        <is>
          <t xml:space="preserve"> </t>
        </is>
      </c>
      <c r="T20" t="inlineStr">
        <is>
          <t>No se encontró ejecución en PIIP</t>
        </is>
      </c>
      <c r="U20" t="inlineStr">
        <is>
          <t xml:space="preserve"> </t>
        </is>
      </c>
      <c r="V20" s="104" t="inlineStr">
        <is>
          <t xml:space="preserve"> </t>
        </is>
      </c>
      <c r="W20" t="inlineStr">
        <is>
          <t>No se encontró ejecución en PIIP</t>
        </is>
      </c>
    </row>
    <row r="21">
      <c r="A21" t="inlineStr">
        <is>
          <t>IP-15</t>
        </is>
      </c>
      <c r="B21" t="inlineStr">
        <is>
          <t>32</t>
        </is>
      </c>
      <c r="C21" t="inlineStr">
        <is>
          <t>Ambiente y desarrollo sostenible</t>
        </is>
      </c>
      <c r="D21" t="inlineStr">
        <is>
          <t>3203</t>
        </is>
      </c>
      <c r="E21" t="inlineStr">
        <is>
          <t>Gestión integral del recurso hídrico</t>
        </is>
      </c>
      <c r="F21" t="inlineStr">
        <is>
          <t>3203050</t>
        </is>
      </c>
      <c r="G21" t="inlineStr">
        <is>
          <t>Servicio de protección del recurso hídrico</t>
        </is>
      </c>
      <c r="H21" t="inlineStr">
        <is>
          <t>320305000</t>
        </is>
      </c>
      <c r="I21" t="inlineStr">
        <is>
          <t>Áreas protegidas</t>
        </is>
      </c>
      <c r="J21" t="inlineStr">
        <is>
          <t>2024254860002</t>
        </is>
      </c>
      <c r="K21" t="inlineStr">
        <is>
          <t>No</t>
        </is>
      </c>
      <c r="L21" t="inlineStr">
        <is>
          <t>Hectáreas</t>
        </is>
      </c>
      <c r="M21">
        <v>1</v>
      </c>
      <c r="N21">
        <v>0</v>
      </c>
      <c r="O21">
        <v>1</v>
      </c>
      <c r="P21">
        <v>1</v>
      </c>
      <c r="Q21">
        <v>1</v>
      </c>
      <c r="R21" t="inlineStr">
        <is>
          <t xml:space="preserve"> </t>
        </is>
      </c>
      <c r="S21" s="103" t="inlineStr">
        <is>
          <t xml:space="preserve"> </t>
        </is>
      </c>
      <c r="T21" t="inlineStr">
        <is>
          <t>No se encontró ejecución en PIIP</t>
        </is>
      </c>
      <c r="U21" t="inlineStr">
        <is>
          <t xml:space="preserve"> </t>
        </is>
      </c>
      <c r="V21" s="104" t="inlineStr">
        <is>
          <t xml:space="preserve"> </t>
        </is>
      </c>
      <c r="W21" t="inlineStr">
        <is>
          <t>No se encontró ejecución en PIIP</t>
        </is>
      </c>
    </row>
    <row r="22">
      <c r="A22" t="inlineStr">
        <is>
          <t>IP-16, IP-17</t>
        </is>
      </c>
      <c r="B22" t="inlineStr">
        <is>
          <t>32</t>
        </is>
      </c>
      <c r="C22" t="inlineStr">
        <is>
          <t>Ambiente y desarrollo sostenible</t>
        </is>
      </c>
      <c r="D22" t="inlineStr">
        <is>
          <t>3208</t>
        </is>
      </c>
      <c r="E22" t="inlineStr">
        <is>
          <t xml:space="preserve">Educación Ambiental </t>
        </is>
      </c>
      <c r="F22" t="inlineStr">
        <is>
          <t>3208006</t>
        </is>
      </c>
      <c r="G22" t="inlineStr">
        <is>
          <t>Servicio de asistencia técnica para la implementación de lasestrategias educativo ambientales y de participación</t>
        </is>
      </c>
      <c r="H22" t="inlineStr">
        <is>
          <t>320800600</t>
        </is>
      </c>
      <c r="I22" t="inlineStr">
        <is>
          <t xml:space="preserve">Estrategias educativo ambientales y de participación implementadas </t>
        </is>
      </c>
      <c r="J22" t="inlineStr">
        <is>
          <t>2024254860006</t>
        </is>
      </c>
      <c r="K22" t="inlineStr">
        <is>
          <t>No</t>
        </is>
      </c>
      <c r="L22" t="inlineStr">
        <is>
          <t>Número</t>
        </is>
      </c>
      <c r="M22">
        <v>2</v>
      </c>
      <c r="N22">
        <v>2</v>
      </c>
      <c r="O22">
        <v>2</v>
      </c>
      <c r="P22">
        <v>2</v>
      </c>
      <c r="Q22">
        <v>2</v>
      </c>
      <c r="R22" t="inlineStr">
        <is>
          <t xml:space="preserve"> </t>
        </is>
      </c>
      <c r="S22" s="103" t="inlineStr">
        <is>
          <t xml:space="preserve"> </t>
        </is>
      </c>
      <c r="T22" t="inlineStr">
        <is>
          <t>No se encontró ejecución en PIIP</t>
        </is>
      </c>
      <c r="U22" t="inlineStr">
        <is>
          <t xml:space="preserve"> </t>
        </is>
      </c>
      <c r="V22" s="104" t="inlineStr">
        <is>
          <t xml:space="preserve"> </t>
        </is>
      </c>
      <c r="W22" t="inlineStr">
        <is>
          <t>No se encontró ejecución en PIIP</t>
        </is>
      </c>
    </row>
    <row r="23">
      <c r="A23" t="inlineStr">
        <is>
          <t>IP-18</t>
        </is>
      </c>
      <c r="B23" t="inlineStr">
        <is>
          <t>32</t>
        </is>
      </c>
      <c r="C23" t="inlineStr">
        <is>
          <t>Ambiente y desarrollo sostenible</t>
        </is>
      </c>
      <c r="D23" t="inlineStr">
        <is>
          <t>3208</t>
        </is>
      </c>
      <c r="E23" t="inlineStr">
        <is>
          <t xml:space="preserve">Educación Ambiental </t>
        </is>
      </c>
      <c r="F23" t="inlineStr">
        <is>
          <t>3208010</t>
        </is>
      </c>
      <c r="G23" t="inlineStr">
        <is>
          <t>Servicio de educación informal ambiental</t>
        </is>
      </c>
      <c r="H23" t="inlineStr">
        <is>
          <t>320801000</t>
        </is>
      </c>
      <c r="I23" t="inlineStr">
        <is>
          <t>Personas capacitadas</t>
        </is>
      </c>
      <c r="J23" t="inlineStr">
        <is>
          <t>2024254860006</t>
        </is>
      </c>
      <c r="K23" t="inlineStr">
        <is>
          <t>Si</t>
        </is>
      </c>
      <c r="L23" t="inlineStr">
        <is>
          <t>Número</t>
        </is>
      </c>
      <c r="M23">
        <v>15</v>
      </c>
      <c r="N23">
        <v>0</v>
      </c>
      <c r="O23">
        <v>5</v>
      </c>
      <c r="P23">
        <v>5</v>
      </c>
      <c r="Q23">
        <v>5</v>
      </c>
      <c r="R23" t="inlineStr">
        <is>
          <t xml:space="preserve"> </t>
        </is>
      </c>
      <c r="S23" s="103" t="inlineStr">
        <is>
          <t xml:space="preserve"> </t>
        </is>
      </c>
      <c r="T23" t="inlineStr">
        <is>
          <t>No se encontró ejecución en PIIP</t>
        </is>
      </c>
      <c r="U23" t="inlineStr">
        <is>
          <t xml:space="preserve"> </t>
        </is>
      </c>
      <c r="V23" s="104" t="inlineStr">
        <is>
          <t xml:space="preserve"> </t>
        </is>
      </c>
      <c r="W23" t="inlineStr">
        <is>
          <t>No se encontró ejecución en PIIP</t>
        </is>
      </c>
    </row>
    <row r="24">
      <c r="A24" t="inlineStr">
        <is>
          <t>IP-19</t>
        </is>
      </c>
      <c r="B24" t="inlineStr">
        <is>
          <t>32</t>
        </is>
      </c>
      <c r="C24" t="inlineStr">
        <is>
          <t>Ambiente y desarrollo sostenible</t>
        </is>
      </c>
      <c r="D24" t="inlineStr">
        <is>
          <t>3208</t>
        </is>
      </c>
      <c r="E24" t="inlineStr">
        <is>
          <t xml:space="preserve">Educación Ambiental </t>
        </is>
      </c>
      <c r="F24" t="inlineStr">
        <is>
          <t>3208008</t>
        </is>
      </c>
      <c r="G24" t="inlineStr">
        <is>
          <t>Servicio de divulgación de la información de la política nacional de educación ambiental y participación</t>
        </is>
      </c>
      <c r="H24" t="inlineStr">
        <is>
          <t>320800803</t>
        </is>
      </c>
      <c r="I24" t="inlineStr">
        <is>
          <t>Publicaciones en temas ambientales divulgadas</t>
        </is>
      </c>
      <c r="J24" t="inlineStr">
        <is>
          <t>2024254860006</t>
        </is>
      </c>
      <c r="K24" t="inlineStr">
        <is>
          <t>No</t>
        </is>
      </c>
      <c r="L24" t="inlineStr">
        <is>
          <t>Número</t>
        </is>
      </c>
      <c r="M24">
        <v>1</v>
      </c>
      <c r="N24">
        <v>0</v>
      </c>
      <c r="O24">
        <v>1</v>
      </c>
      <c r="P24">
        <v>1</v>
      </c>
      <c r="Q24">
        <v>1</v>
      </c>
      <c r="R24" t="inlineStr">
        <is>
          <t xml:space="preserve"> </t>
        </is>
      </c>
      <c r="S24" s="103" t="inlineStr">
        <is>
          <t xml:space="preserve"> </t>
        </is>
      </c>
      <c r="T24" t="inlineStr">
        <is>
          <t>No se encontró ejecución en PIIP</t>
        </is>
      </c>
      <c r="U24" t="inlineStr">
        <is>
          <t xml:space="preserve"> </t>
        </is>
      </c>
      <c r="V24" s="104" t="inlineStr">
        <is>
          <t xml:space="preserve"> </t>
        </is>
      </c>
      <c r="W24" t="inlineStr">
        <is>
          <t>No se encontró ejecución en PIIP</t>
        </is>
      </c>
    </row>
    <row r="25">
      <c r="A25" t="inlineStr">
        <is>
          <t>IP-20</t>
        </is>
      </c>
      <c r="B25" t="inlineStr">
        <is>
          <t>32</t>
        </is>
      </c>
      <c r="C25" t="inlineStr">
        <is>
          <t>Ambiente y desarrollo sostenible</t>
        </is>
      </c>
      <c r="D25" t="inlineStr">
        <is>
          <t>3202</t>
        </is>
      </c>
      <c r="E25" t="inlineStr">
        <is>
          <t>Conservación de la biodiversidad y sus servicios ecosistémicos</t>
        </is>
      </c>
      <c r="F25" t="inlineStr">
        <is>
          <t>3202005</t>
        </is>
      </c>
      <c r="G25" t="inlineStr">
        <is>
          <t>Servicio de restauración de ecosistemas</t>
        </is>
      </c>
      <c r="H25" t="inlineStr">
        <is>
          <t>320200503</t>
        </is>
      </c>
      <c r="I25" t="inlineStr">
        <is>
          <t>Áreas en proceso de restauración con seguimiento</t>
        </is>
      </c>
      <c r="J25" t="inlineStr">
        <is>
          <t>2024254860002</t>
        </is>
      </c>
      <c r="K25" t="inlineStr">
        <is>
          <t>Si</t>
        </is>
      </c>
      <c r="L25" t="inlineStr">
        <is>
          <t>Hectáreas</t>
        </is>
      </c>
      <c r="M25">
        <v>10</v>
      </c>
      <c r="N25">
        <v>0</v>
      </c>
      <c r="O25">
        <v>3</v>
      </c>
      <c r="P25">
        <v>3</v>
      </c>
      <c r="Q25">
        <v>4</v>
      </c>
      <c r="R25" t="inlineStr">
        <is>
          <t xml:space="preserve"> </t>
        </is>
      </c>
      <c r="S25" s="103" t="inlineStr">
        <is>
          <t xml:space="preserve"> </t>
        </is>
      </c>
      <c r="T25" t="inlineStr">
        <is>
          <t>No se encontró ejecución en PIIP</t>
        </is>
      </c>
      <c r="U25" t="inlineStr">
        <is>
          <t xml:space="preserve"> </t>
        </is>
      </c>
      <c r="V25" s="104" t="inlineStr">
        <is>
          <t xml:space="preserve"> </t>
        </is>
      </c>
      <c r="W25" t="inlineStr">
        <is>
          <t>No se encontró ejecución en PIIP</t>
        </is>
      </c>
    </row>
    <row r="26">
      <c r="A26" t="inlineStr">
        <is>
          <t>IP-21</t>
        </is>
      </c>
      <c r="B26" t="inlineStr">
        <is>
          <t>32</t>
        </is>
      </c>
      <c r="C26" t="inlineStr">
        <is>
          <t>Ambiente y desarrollo sostenible</t>
        </is>
      </c>
      <c r="D26" t="inlineStr">
        <is>
          <t>3203</t>
        </is>
      </c>
      <c r="E26" t="inlineStr">
        <is>
          <t>Gestión integral del recurso hídrico</t>
        </is>
      </c>
      <c r="F26" t="inlineStr">
        <is>
          <t>3203002</t>
        </is>
      </c>
      <c r="G26" t="inlineStr">
        <is>
          <t>Documentos de planeación para la gestión integral del recurso hídrico</t>
        </is>
      </c>
      <c r="H26" t="inlineStr">
        <is>
          <t>320300201</t>
        </is>
      </c>
      <c r="I26" t="inlineStr">
        <is>
          <t>Documentos de planeación para la ordenación y manejo ambiental de cuenca hidrográfica adoptados</t>
        </is>
      </c>
      <c r="J26" t="inlineStr">
        <is>
          <t>2024254860002</t>
        </is>
      </c>
      <c r="K26" t="inlineStr">
        <is>
          <t>No</t>
        </is>
      </c>
      <c r="L26" t="inlineStr">
        <is>
          <t>Número</t>
        </is>
      </c>
      <c r="M26">
        <v>1</v>
      </c>
      <c r="N26">
        <v>0</v>
      </c>
      <c r="O26">
        <v>1</v>
      </c>
      <c r="P26">
        <v>1</v>
      </c>
      <c r="Q26">
        <v>1</v>
      </c>
      <c r="R26" t="inlineStr">
        <is>
          <t xml:space="preserve"> </t>
        </is>
      </c>
      <c r="S26" s="103" t="inlineStr">
        <is>
          <t xml:space="preserve"> </t>
        </is>
      </c>
      <c r="T26" t="inlineStr">
        <is>
          <t>No se encontró ejecución en PIIP</t>
        </is>
      </c>
      <c r="U26" t="inlineStr">
        <is>
          <t xml:space="preserve"> </t>
        </is>
      </c>
      <c r="V26" s="104" t="inlineStr">
        <is>
          <t xml:space="preserve"> </t>
        </is>
      </c>
      <c r="W26" t="inlineStr">
        <is>
          <t>No se encontró ejecución en PIIP</t>
        </is>
      </c>
    </row>
    <row r="27">
      <c r="A27" t="inlineStr">
        <is>
          <t>IP-22</t>
        </is>
      </c>
      <c r="B27" t="inlineStr">
        <is>
          <t>32</t>
        </is>
      </c>
      <c r="C27" t="inlineStr">
        <is>
          <t>Ambiente y desarrollo sostenible</t>
        </is>
      </c>
      <c r="D27" t="inlineStr">
        <is>
          <t>3201</t>
        </is>
      </c>
      <c r="E27" t="inlineStr">
        <is>
          <t>Fortalecimiento del desempeño ambiental de los sectores productivos</t>
        </is>
      </c>
      <c r="F27" t="inlineStr">
        <is>
          <t>3201003</t>
        </is>
      </c>
      <c r="G27" t="inlineStr">
        <is>
          <t>Servicio de asistencia técnica para la consolidación de negocios verdes</t>
        </is>
      </c>
      <c r="H27" t="inlineStr">
        <is>
          <t>320100300</t>
        </is>
      </c>
      <c r="I27" t="inlineStr">
        <is>
          <t xml:space="preserve">Negocios verdes consolidados </t>
        </is>
      </c>
      <c r="J27" t="inlineStr">
        <is>
          <t>2024254860007</t>
        </is>
      </c>
      <c r="K27" t="inlineStr">
        <is>
          <t>Si</t>
        </is>
      </c>
      <c r="L27" t="inlineStr">
        <is>
          <t>Número</t>
        </is>
      </c>
      <c r="M27">
        <v>20</v>
      </c>
      <c r="N27">
        <v>1</v>
      </c>
      <c r="O27">
        <v>6</v>
      </c>
      <c r="P27">
        <v>7</v>
      </c>
      <c r="Q27">
        <v>6</v>
      </c>
      <c r="R27" t="inlineStr">
        <is>
          <t xml:space="preserve"> </t>
        </is>
      </c>
      <c r="S27" s="103" t="inlineStr">
        <is>
          <t xml:space="preserve"> </t>
        </is>
      </c>
      <c r="T27" t="inlineStr">
        <is>
          <t>No se encontró ejecución en PIIP</t>
        </is>
      </c>
      <c r="U27" t="inlineStr">
        <is>
          <t xml:space="preserve"> </t>
        </is>
      </c>
      <c r="V27" s="104" t="inlineStr">
        <is>
          <t xml:space="preserve"> </t>
        </is>
      </c>
      <c r="W27" t="inlineStr">
        <is>
          <t>No se encontró ejecución en PIIP</t>
        </is>
      </c>
    </row>
    <row r="28">
      <c r="A28" t="inlineStr">
        <is>
          <t>IP-23</t>
        </is>
      </c>
      <c r="B28" t="inlineStr">
        <is>
          <t>32</t>
        </is>
      </c>
      <c r="C28" t="inlineStr">
        <is>
          <t>Ambiente y desarrollo sostenible</t>
        </is>
      </c>
      <c r="D28" t="inlineStr">
        <is>
          <t>3202</t>
        </is>
      </c>
      <c r="E28" t="inlineStr">
        <is>
          <t>Conservación de la biodiversidad y sus servicios ecosistémicos</t>
        </is>
      </c>
      <c r="F28" t="inlineStr">
        <is>
          <t>3202070</t>
        </is>
      </c>
      <c r="G28" t="inlineStr">
        <is>
          <t>Sistemas alternativos de gestión de la biomasa instalado</t>
        </is>
      </c>
      <c r="H28" t="inlineStr">
        <is>
          <t>320207000</t>
        </is>
      </c>
      <c r="I28" t="inlineStr">
        <is>
          <t>Sistemas alternativos de gestión de la biomasa instalados</t>
        </is>
      </c>
      <c r="J28" t="inlineStr">
        <is>
          <t>2024254860003</t>
        </is>
      </c>
      <c r="K28" t="inlineStr">
        <is>
          <t>No</t>
        </is>
      </c>
      <c r="L28" t="inlineStr">
        <is>
          <t>Número</t>
        </is>
      </c>
      <c r="M28">
        <v>1</v>
      </c>
      <c r="N28">
        <v>0</v>
      </c>
      <c r="O28">
        <v>1</v>
      </c>
      <c r="P28">
        <v>1</v>
      </c>
      <c r="Q28">
        <v>1</v>
      </c>
      <c r="R28" t="inlineStr">
        <is>
          <t xml:space="preserve"> </t>
        </is>
      </c>
      <c r="S28" s="103" t="inlineStr">
        <is>
          <t xml:space="preserve"> </t>
        </is>
      </c>
      <c r="T28" t="inlineStr">
        <is>
          <t>No se encontró ejecución en PIIP</t>
        </is>
      </c>
      <c r="U28" t="inlineStr">
        <is>
          <t xml:space="preserve"> </t>
        </is>
      </c>
      <c r="V28" s="104" t="inlineStr">
        <is>
          <t xml:space="preserve"> </t>
        </is>
      </c>
      <c r="W28" t="inlineStr">
        <is>
          <t>No se encontró ejecución en PIIP</t>
        </is>
      </c>
    </row>
    <row r="29">
      <c r="A29" t="inlineStr">
        <is>
          <t>IP-24</t>
        </is>
      </c>
      <c r="B29" t="inlineStr">
        <is>
          <t>32</t>
        </is>
      </c>
      <c r="C29" t="inlineStr">
        <is>
          <t>Ambiente y desarrollo sostenible</t>
        </is>
      </c>
      <c r="D29" t="inlineStr">
        <is>
          <t>3203</t>
        </is>
      </c>
      <c r="E29" t="inlineStr">
        <is>
          <t>Gestión integral del recurso hídrico</t>
        </is>
      </c>
      <c r="F29" t="inlineStr">
        <is>
          <t>3203050</t>
        </is>
      </c>
      <c r="G29" t="inlineStr">
        <is>
          <t>Servicio de protección del recurso hídrico</t>
        </is>
      </c>
      <c r="H29" t="inlineStr">
        <is>
          <t>320305000</t>
        </is>
      </c>
      <c r="I29" t="inlineStr">
        <is>
          <t>Áreas protegidas</t>
        </is>
      </c>
      <c r="J29" t="inlineStr">
        <is>
          <t>2024254860008</t>
        </is>
      </c>
      <c r="K29" t="inlineStr">
        <is>
          <t>No</t>
        </is>
      </c>
      <c r="L29" t="inlineStr">
        <is>
          <t>Hectáreas</t>
        </is>
      </c>
      <c r="M29">
        <v>1</v>
      </c>
      <c r="N29">
        <v>1</v>
      </c>
      <c r="O29">
        <v>1</v>
      </c>
      <c r="P29">
        <v>1</v>
      </c>
      <c r="Q29">
        <v>1</v>
      </c>
      <c r="R29" t="inlineStr">
        <is>
          <t xml:space="preserve"> </t>
        </is>
      </c>
      <c r="S29" s="103" t="inlineStr">
        <is>
          <t xml:space="preserve"> </t>
        </is>
      </c>
      <c r="T29" t="inlineStr">
        <is>
          <t>No se encontró ejecución en PIIP</t>
        </is>
      </c>
      <c r="U29" t="inlineStr">
        <is>
          <t xml:space="preserve"> </t>
        </is>
      </c>
      <c r="V29" s="104" t="inlineStr">
        <is>
          <t xml:space="preserve"> </t>
        </is>
      </c>
      <c r="W29" t="inlineStr">
        <is>
          <t>No se encontró ejecución en PIIP</t>
        </is>
      </c>
    </row>
    <row r="30">
      <c r="A30" t="inlineStr">
        <is>
          <t>IP-25</t>
        </is>
      </c>
      <c r="B30" t="inlineStr">
        <is>
          <t>45</t>
        </is>
      </c>
      <c r="C30" t="inlineStr">
        <is>
          <t>Gobierno Territorial</t>
        </is>
      </c>
      <c r="D30" t="inlineStr">
        <is>
          <t>4501</t>
        </is>
      </c>
      <c r="E30" t="inlineStr">
        <is>
          <t>Fortalecimiento de la convivencia y la seguridad ciudadana</t>
        </is>
      </c>
      <c r="F30" t="inlineStr">
        <is>
          <t>4501082</t>
        </is>
      </c>
      <c r="G30" t="inlineStr">
        <is>
          <t>Servicio de apoyo para la atención especializada e interdisciplinaria en las comisarias de familia</t>
        </is>
      </c>
      <c r="H30" t="inlineStr">
        <is>
          <t>450108201</t>
        </is>
      </c>
      <c r="I30" t="inlineStr">
        <is>
          <t>Trabajadores de la comisaria de familia beneficiados</t>
        </is>
      </c>
      <c r="J30" t="inlineStr">
        <is>
          <t>2024254860009</t>
        </is>
      </c>
      <c r="K30" t="inlineStr">
        <is>
          <t>No</t>
        </is>
      </c>
      <c r="L30" t="inlineStr">
        <is>
          <t>Número</t>
        </is>
      </c>
      <c r="M30">
        <v>4</v>
      </c>
      <c r="N30">
        <v>4</v>
      </c>
      <c r="O30">
        <v>4</v>
      </c>
      <c r="P30">
        <v>4</v>
      </c>
      <c r="Q30">
        <v>4</v>
      </c>
      <c r="R30" t="inlineStr">
        <is>
          <t xml:space="preserve"> </t>
        </is>
      </c>
      <c r="S30" s="103" t="inlineStr">
        <is>
          <t xml:space="preserve"> </t>
        </is>
      </c>
      <c r="T30" t="inlineStr">
        <is>
          <t>No se encontró ejecución en PIIP</t>
        </is>
      </c>
      <c r="U30" t="inlineStr">
        <is>
          <t xml:space="preserve"> </t>
        </is>
      </c>
      <c r="V30" s="104" t="inlineStr">
        <is>
          <t xml:space="preserve"> </t>
        </is>
      </c>
      <c r="W30" t="inlineStr">
        <is>
          <t>No se encontró ejecución en PIIP</t>
        </is>
      </c>
    </row>
    <row r="31">
      <c r="A31" t="inlineStr">
        <is>
          <t>IP-26</t>
        </is>
      </c>
      <c r="B31" t="inlineStr">
        <is>
          <t>41</t>
        </is>
      </c>
      <c r="C31" t="inlineStr">
        <is>
          <t xml:space="preserve">Inclusión social y reconciliación </t>
        </is>
      </c>
      <c r="D31" t="inlineStr">
        <is>
          <t>4103</t>
        </is>
      </c>
      <c r="E31" t="inlineStr">
        <is>
          <t>Inclusión social y productiva para la población en situación de vulnerabilidad</t>
        </is>
      </c>
      <c r="F31" t="inlineStr">
        <is>
          <t>4103050</t>
        </is>
      </c>
      <c r="G31" t="inlineStr">
        <is>
          <t>Servicio de acompañamiento familiar y comunitario para la superación de la pobreza</t>
        </is>
      </c>
      <c r="H31" t="inlineStr">
        <is>
          <t>410305000</t>
        </is>
      </c>
      <c r="I31" t="inlineStr">
        <is>
          <t>Hogares con acompañamiento familiar</t>
        </is>
      </c>
      <c r="J31" t="inlineStr">
        <is>
          <t>2024254860009</t>
        </is>
      </c>
      <c r="K31" t="inlineStr">
        <is>
          <t>No</t>
        </is>
      </c>
      <c r="L31" t="inlineStr">
        <is>
          <t>Número</t>
        </is>
      </c>
      <c r="M31">
        <v>215</v>
      </c>
      <c r="N31">
        <v>215</v>
      </c>
      <c r="O31">
        <v>215</v>
      </c>
      <c r="P31">
        <v>215</v>
      </c>
      <c r="Q31">
        <v>215</v>
      </c>
      <c r="R31" t="inlineStr">
        <is>
          <t xml:space="preserve"> </t>
        </is>
      </c>
      <c r="S31" s="103" t="inlineStr">
        <is>
          <t xml:space="preserve"> </t>
        </is>
      </c>
      <c r="T31" t="inlineStr">
        <is>
          <t>No se encontró ejecución en PIIP</t>
        </is>
      </c>
      <c r="U31" t="inlineStr">
        <is>
          <t xml:space="preserve"> </t>
        </is>
      </c>
      <c r="V31" s="104" t="inlineStr">
        <is>
          <t xml:space="preserve"> </t>
        </is>
      </c>
      <c r="W31" t="inlineStr">
        <is>
          <t>No se encontró ejecución en PIIP</t>
        </is>
      </c>
    </row>
    <row r="32">
      <c r="A32" t="inlineStr">
        <is>
          <t>IP-27</t>
        </is>
      </c>
      <c r="B32" t="inlineStr">
        <is>
          <t>41</t>
        </is>
      </c>
      <c r="C32" t="inlineStr">
        <is>
          <t xml:space="preserve">Inclusión social y reconciliación </t>
        </is>
      </c>
      <c r="D32" t="inlineStr">
        <is>
          <t>4103</t>
        </is>
      </c>
      <c r="E32" t="inlineStr">
        <is>
          <t>Inclusión social y productiva para la población en situación de vulnerabilidad</t>
        </is>
      </c>
      <c r="F32" t="inlineStr">
        <is>
          <t>4103017</t>
        </is>
      </c>
      <c r="G32" t="inlineStr">
        <is>
          <t>Servicio de entrega de raciones de alimentos</t>
        </is>
      </c>
      <c r="H32" t="inlineStr">
        <is>
          <t>410301700</t>
        </is>
      </c>
      <c r="I32" t="inlineStr">
        <is>
          <t>Personas beneficiadas con raciones de alimentos</t>
        </is>
      </c>
      <c r="J32" t="inlineStr">
        <is>
          <t>2024254860009</t>
        </is>
      </c>
      <c r="K32" t="inlineStr">
        <is>
          <t>No</t>
        </is>
      </c>
      <c r="L32" t="inlineStr">
        <is>
          <t>Número</t>
        </is>
      </c>
      <c r="M32">
        <v>70</v>
      </c>
      <c r="N32">
        <v>70</v>
      </c>
      <c r="O32">
        <v>70</v>
      </c>
      <c r="P32">
        <v>70</v>
      </c>
      <c r="Q32">
        <v>70</v>
      </c>
      <c r="R32" t="inlineStr">
        <is>
          <t xml:space="preserve"> </t>
        </is>
      </c>
      <c r="S32" s="103" t="inlineStr">
        <is>
          <t xml:space="preserve"> </t>
        </is>
      </c>
      <c r="T32" t="inlineStr">
        <is>
          <t>No se encontró ejecución en PIIP</t>
        </is>
      </c>
      <c r="U32" t="inlineStr">
        <is>
          <t xml:space="preserve"> </t>
        </is>
      </c>
      <c r="V32" s="104" t="inlineStr">
        <is>
          <t xml:space="preserve"> </t>
        </is>
      </c>
      <c r="W32" t="inlineStr">
        <is>
          <t>No se encontró ejecución en PIIP</t>
        </is>
      </c>
    </row>
    <row r="33">
      <c r="A33" t="inlineStr">
        <is>
          <t>IP-28</t>
        </is>
      </c>
      <c r="B33" t="inlineStr">
        <is>
          <t>41</t>
        </is>
      </c>
      <c r="C33" t="inlineStr">
        <is>
          <t xml:space="preserve">Inclusión social y reconciliación </t>
        </is>
      </c>
      <c r="D33" t="inlineStr">
        <is>
          <t>4103</t>
        </is>
      </c>
      <c r="E33" t="inlineStr">
        <is>
          <t>Inclusión social y productiva para la población en situación de vulnerabilidad</t>
        </is>
      </c>
      <c r="F33" t="inlineStr">
        <is>
          <t>4103061</t>
        </is>
      </c>
      <c r="G33" t="inlineStr">
        <is>
          <t>Servicio de apoyo financiero para la entrega de transferencias monetarias no condicionadas</t>
        </is>
      </c>
      <c r="H33" t="inlineStr">
        <is>
          <t>410306100</t>
        </is>
      </c>
      <c r="I33" t="inlineStr">
        <is>
          <t>Familias beneficiadas con transferencias monetarias no condicionadas</t>
        </is>
      </c>
      <c r="J33" t="inlineStr">
        <is>
          <t>2024254860009</t>
        </is>
      </c>
      <c r="K33" t="inlineStr">
        <is>
          <t>No</t>
        </is>
      </c>
      <c r="L33" t="inlineStr">
        <is>
          <t>Número</t>
        </is>
      </c>
      <c r="M33">
        <v>150</v>
      </c>
      <c r="N33">
        <v>80</v>
      </c>
      <c r="O33">
        <v>150</v>
      </c>
      <c r="P33">
        <v>180</v>
      </c>
      <c r="Q33">
        <v>190</v>
      </c>
      <c r="R33" t="inlineStr">
        <is>
          <t xml:space="preserve"> </t>
        </is>
      </c>
      <c r="S33" s="103" t="inlineStr">
        <is>
          <t xml:space="preserve"> </t>
        </is>
      </c>
      <c r="T33" t="inlineStr">
        <is>
          <t>No se encontró ejecución en PIIP</t>
        </is>
      </c>
      <c r="U33" t="inlineStr">
        <is>
          <t xml:space="preserve"> </t>
        </is>
      </c>
      <c r="V33" s="104" t="inlineStr">
        <is>
          <t xml:space="preserve"> </t>
        </is>
      </c>
      <c r="W33" t="inlineStr">
        <is>
          <t>No se encontró ejecución en PIIP</t>
        </is>
      </c>
    </row>
    <row r="34">
      <c r="A34" t="inlineStr">
        <is>
          <t>IP-29</t>
        </is>
      </c>
      <c r="B34" t="inlineStr">
        <is>
          <t>41</t>
        </is>
      </c>
      <c r="C34" t="inlineStr">
        <is>
          <t xml:space="preserve">Inclusión social y reconciliación </t>
        </is>
      </c>
      <c r="D34" t="inlineStr">
        <is>
          <t>4103</t>
        </is>
      </c>
      <c r="E34" t="inlineStr">
        <is>
          <t>Inclusión social y productiva para la población en situación de vulnerabilidad</t>
        </is>
      </c>
      <c r="F34" t="inlineStr">
        <is>
          <t>4103071</t>
        </is>
      </c>
      <c r="G34" t="inlineStr">
        <is>
          <t>Estudios de preinversión</t>
        </is>
      </c>
      <c r="H34" t="inlineStr">
        <is>
          <t>410307100</t>
        </is>
      </c>
      <c r="I34" t="inlineStr">
        <is>
          <t>Estudios de preinversión elaborados</t>
        </is>
      </c>
      <c r="J34" t="inlineStr">
        <is>
          <t>2024254860009</t>
        </is>
      </c>
      <c r="K34" t="inlineStr">
        <is>
          <t>Si</t>
        </is>
      </c>
      <c r="L34" t="inlineStr">
        <is>
          <t>Número</t>
        </is>
      </c>
      <c r="M34">
        <v>1</v>
      </c>
      <c r="N34">
        <v>0</v>
      </c>
      <c r="O34">
        <v>1</v>
      </c>
      <c r="P34">
        <v>0</v>
      </c>
      <c r="Q34">
        <v>0</v>
      </c>
      <c r="R34" t="inlineStr">
        <is>
          <t xml:space="preserve"> </t>
        </is>
      </c>
      <c r="S34" s="103" t="inlineStr">
        <is>
          <t xml:space="preserve"> </t>
        </is>
      </c>
      <c r="T34" t="inlineStr">
        <is>
          <t>No se encontró ejecución en PIIP</t>
        </is>
      </c>
      <c r="U34" t="inlineStr">
        <is>
          <t xml:space="preserve"> </t>
        </is>
      </c>
      <c r="V34" s="104" t="inlineStr">
        <is>
          <t xml:space="preserve"> </t>
        </is>
      </c>
      <c r="W34" t="inlineStr">
        <is>
          <t>No se encontró ejecución en PIIP</t>
        </is>
      </c>
    </row>
    <row r="35">
      <c r="A35" t="inlineStr">
        <is>
          <t>IP-30</t>
        </is>
      </c>
      <c r="B35" t="inlineStr">
        <is>
          <t>41</t>
        </is>
      </c>
      <c r="C35" t="inlineStr">
        <is>
          <t xml:space="preserve">Inclusión social y reconciliación </t>
        </is>
      </c>
      <c r="D35" t="inlineStr">
        <is>
          <t>4102</t>
        </is>
      </c>
      <c r="E35" t="inlineStr">
        <is>
          <t>Desarrollo integral de la primera infancia a la juventud, y fortalecimiento de las capacidades de las familias de niñas, niños y adolescentes</t>
        </is>
      </c>
      <c r="F35" t="inlineStr">
        <is>
          <t>4102042</t>
        </is>
      </c>
      <c r="G35" t="inlineStr">
        <is>
          <t>Servicio de asistencia técnica a comunidades en temas de fortalecimiento del tejido social y construcción de escenarios comunitarios protectores de derechos</t>
        </is>
      </c>
      <c r="H35" t="inlineStr">
        <is>
          <t>410204200</t>
        </is>
      </c>
      <c r="I35" t="inlineStr">
        <is>
          <t>Acciones ejecutadas con las comunidades</t>
        </is>
      </c>
      <c r="J35" t="inlineStr">
        <is>
          <t>2024254860010</t>
        </is>
      </c>
      <c r="K35" t="inlineStr">
        <is>
          <t>No</t>
        </is>
      </c>
      <c r="L35" t="inlineStr">
        <is>
          <t>Número</t>
        </is>
      </c>
      <c r="M35">
        <v>1</v>
      </c>
      <c r="N35">
        <v>0</v>
      </c>
      <c r="O35">
        <v>1</v>
      </c>
      <c r="P35">
        <v>1</v>
      </c>
      <c r="Q35">
        <v>1</v>
      </c>
      <c r="R35" t="inlineStr">
        <is>
          <t xml:space="preserve"> </t>
        </is>
      </c>
      <c r="S35" s="103" t="inlineStr">
        <is>
          <t xml:space="preserve"> </t>
        </is>
      </c>
      <c r="T35" t="inlineStr">
        <is>
          <t>No se encontró ejecución en PIIP</t>
        </is>
      </c>
      <c r="U35" t="inlineStr">
        <is>
          <t xml:space="preserve"> </t>
        </is>
      </c>
      <c r="V35" s="104" t="inlineStr">
        <is>
          <t xml:space="preserve"> </t>
        </is>
      </c>
      <c r="W35" t="inlineStr">
        <is>
          <t>No se encontró ejecución en PIIP</t>
        </is>
      </c>
    </row>
    <row r="36">
      <c r="A36" t="inlineStr">
        <is>
          <t>IP-31</t>
        </is>
      </c>
      <c r="B36" t="inlineStr">
        <is>
          <t>41</t>
        </is>
      </c>
      <c r="C36" t="inlineStr">
        <is>
          <t xml:space="preserve">Inclusión social y reconciliación </t>
        </is>
      </c>
      <c r="D36" t="inlineStr">
        <is>
          <t>4102</t>
        </is>
      </c>
      <c r="E36" t="inlineStr">
        <is>
          <t>Desarrollo integral de la primera infancia a la juventud, y fortalecimiento de las capacidades de las familias de niñas, niños y adolescentes</t>
        </is>
      </c>
      <c r="F36" t="inlineStr">
        <is>
          <t>4102001</t>
        </is>
      </c>
      <c r="G36" t="inlineStr">
        <is>
          <t>Servicio de atención integral a la primera infancia</t>
        </is>
      </c>
      <c r="H36" t="inlineStr">
        <is>
          <t>410200100</t>
        </is>
      </c>
      <c r="I36" t="inlineStr">
        <is>
          <t>Niños y niñas atendidos en Servicio integrales</t>
        </is>
      </c>
      <c r="J36" t="inlineStr">
        <is>
          <t>2024254860010</t>
        </is>
      </c>
      <c r="K36" t="inlineStr">
        <is>
          <t>No</t>
        </is>
      </c>
      <c r="L36" t="inlineStr">
        <is>
          <t>Número</t>
        </is>
      </c>
      <c r="M36">
        <v>900</v>
      </c>
      <c r="N36">
        <v>900</v>
      </c>
      <c r="O36">
        <v>900</v>
      </c>
      <c r="P36">
        <v>900</v>
      </c>
      <c r="Q36">
        <v>900</v>
      </c>
      <c r="R36" t="inlineStr">
        <is>
          <t xml:space="preserve"> </t>
        </is>
      </c>
      <c r="S36" s="103" t="inlineStr">
        <is>
          <t xml:space="preserve"> </t>
        </is>
      </c>
      <c r="T36" t="inlineStr">
        <is>
          <t>No se encontró ejecución en PIIP</t>
        </is>
      </c>
      <c r="U36" t="inlineStr">
        <is>
          <t xml:space="preserve"> </t>
        </is>
      </c>
      <c r="V36" s="104" t="inlineStr">
        <is>
          <t xml:space="preserve"> </t>
        </is>
      </c>
      <c r="W36" t="inlineStr">
        <is>
          <t>No se encontró ejecución en PIIP</t>
        </is>
      </c>
    </row>
    <row r="37">
      <c r="A37" t="inlineStr">
        <is>
          <t>IP-33</t>
        </is>
      </c>
      <c r="B37" t="inlineStr">
        <is>
          <t>41</t>
        </is>
      </c>
      <c r="C37" t="inlineStr">
        <is>
          <t xml:space="preserve">Inclusión social y reconciliación </t>
        </is>
      </c>
      <c r="D37" t="inlineStr">
        <is>
          <t>4103</t>
        </is>
      </c>
      <c r="E37" t="inlineStr">
        <is>
          <t>Inclusión social y productiva para la población en situación de vulnerabilidad</t>
        </is>
      </c>
      <c r="F37" t="inlineStr">
        <is>
          <t>4103067</t>
        </is>
      </c>
      <c r="G37" t="inlineStr">
        <is>
          <t>Documentos de planeación</t>
        </is>
      </c>
      <c r="H37" t="inlineStr">
        <is>
          <t>410306701</t>
        </is>
      </c>
      <c r="I37" t="inlineStr">
        <is>
          <t>Documentos de planeación con seguimiento realizados</t>
        </is>
      </c>
      <c r="J37" t="inlineStr">
        <is>
          <t>2024254860009</t>
        </is>
      </c>
      <c r="K37" t="inlineStr">
        <is>
          <t>No</t>
        </is>
      </c>
      <c r="L37" t="inlineStr">
        <is>
          <t>Número</t>
        </is>
      </c>
      <c r="M37">
        <v>1</v>
      </c>
      <c r="N37">
        <v>1</v>
      </c>
      <c r="O37">
        <v>1</v>
      </c>
      <c r="P37">
        <v>1</v>
      </c>
      <c r="Q37">
        <v>1</v>
      </c>
      <c r="R37" t="inlineStr">
        <is>
          <t xml:space="preserve"> </t>
        </is>
      </c>
      <c r="S37" s="103" t="inlineStr">
        <is>
          <t xml:space="preserve"> </t>
        </is>
      </c>
      <c r="T37" t="inlineStr">
        <is>
          <t>No se encontró ejecución en PIIP</t>
        </is>
      </c>
      <c r="U37" t="inlineStr">
        <is>
          <t xml:space="preserve"> </t>
        </is>
      </c>
      <c r="V37" s="104" t="inlineStr">
        <is>
          <t xml:space="preserve"> </t>
        </is>
      </c>
      <c r="W37" t="inlineStr">
        <is>
          <t>No se encontró ejecución en PIIP</t>
        </is>
      </c>
    </row>
    <row r="38">
      <c r="A38" t="inlineStr">
        <is>
          <t>IP-34</t>
        </is>
      </c>
      <c r="B38" t="inlineStr">
        <is>
          <t>41</t>
        </is>
      </c>
      <c r="C38" t="inlineStr">
        <is>
          <t xml:space="preserve">Inclusión social y reconciliación </t>
        </is>
      </c>
      <c r="D38" t="inlineStr">
        <is>
          <t>4102</t>
        </is>
      </c>
      <c r="E38" t="inlineStr">
        <is>
          <t>Desarrollo integral de la primera infancia a la juventud, y fortalecimiento de las capacidades de las familias de niñas, niños y adolescentes</t>
        </is>
      </c>
      <c r="F38" t="inlineStr">
        <is>
          <t>4102005</t>
        </is>
      </c>
      <c r="G38" t="inlineStr">
        <is>
          <t>Edificaciones de atención a la primera infancia adecuadas</t>
        </is>
      </c>
      <c r="H38" t="inlineStr">
        <is>
          <t>410200500</t>
        </is>
      </c>
      <c r="I38" t="inlineStr">
        <is>
          <t>Edificaciones de atención a la primera infancia adecuadas</t>
        </is>
      </c>
      <c r="J38" t="inlineStr">
        <is>
          <t>2024254860010</t>
        </is>
      </c>
      <c r="K38" t="inlineStr">
        <is>
          <t>No</t>
        </is>
      </c>
      <c r="L38" t="inlineStr">
        <is>
          <t>Número</t>
        </is>
      </c>
      <c r="M38">
        <v>2</v>
      </c>
      <c r="N38">
        <v>2</v>
      </c>
      <c r="O38">
        <v>2</v>
      </c>
      <c r="P38">
        <v>2</v>
      </c>
      <c r="Q38">
        <v>2</v>
      </c>
      <c r="R38" t="inlineStr">
        <is>
          <t xml:space="preserve"> </t>
        </is>
      </c>
      <c r="S38" s="103" t="inlineStr">
        <is>
          <t xml:space="preserve"> </t>
        </is>
      </c>
      <c r="T38" t="inlineStr">
        <is>
          <t>No se encontró ejecución en PIIP</t>
        </is>
      </c>
      <c r="U38" t="inlineStr">
        <is>
          <t xml:space="preserve"> </t>
        </is>
      </c>
      <c r="V38" s="104" t="inlineStr">
        <is>
          <t xml:space="preserve"> </t>
        </is>
      </c>
      <c r="W38" t="inlineStr">
        <is>
          <t>No se encontró ejecución en PIIP</t>
        </is>
      </c>
    </row>
    <row r="39">
      <c r="A39" t="inlineStr">
        <is>
          <t>IP-35, IP-37</t>
        </is>
      </c>
      <c r="B39" t="inlineStr">
        <is>
          <t>41</t>
        </is>
      </c>
      <c r="C39" t="inlineStr">
        <is>
          <t xml:space="preserve">Inclusión social y reconciliación </t>
        </is>
      </c>
      <c r="D39" t="inlineStr">
        <is>
          <t>4102</t>
        </is>
      </c>
      <c r="E39" t="inlineStr">
        <is>
          <t>Desarrollo integral de la primera infancia a la juventud, y fortalecimiento de las capacidades de las familias de niñas, niños y adolescentes</t>
        </is>
      </c>
      <c r="F39" t="inlineStr">
        <is>
          <t>4102046</t>
        </is>
      </c>
      <c r="G39" t="inlineStr">
        <is>
          <t>Servicios de promoción de los derechos de los niños, niñas, adolescentes y jóvenes</t>
        </is>
      </c>
      <c r="H39" t="inlineStr">
        <is>
          <t>410204600</t>
        </is>
      </c>
      <c r="I39" t="inlineStr">
        <is>
          <t>Campañas de promoción realizadas</t>
        </is>
      </c>
      <c r="J39" t="inlineStr">
        <is>
          <t>2024254860010</t>
        </is>
      </c>
      <c r="K39" t="inlineStr">
        <is>
          <t>Si</t>
        </is>
      </c>
      <c r="L39" t="inlineStr">
        <is>
          <t>Número</t>
        </is>
      </c>
      <c r="M39">
        <v>8</v>
      </c>
      <c r="N39">
        <v>2</v>
      </c>
      <c r="O39">
        <v>2</v>
      </c>
      <c r="P39">
        <v>2</v>
      </c>
      <c r="Q39">
        <v>2</v>
      </c>
      <c r="R39" t="inlineStr">
        <is>
          <t xml:space="preserve"> </t>
        </is>
      </c>
      <c r="S39" s="103" t="inlineStr">
        <is>
          <t xml:space="preserve"> </t>
        </is>
      </c>
      <c r="T39" t="inlineStr">
        <is>
          <t>No se encontró ejecución en PIIP</t>
        </is>
      </c>
      <c r="U39" t="inlineStr">
        <is>
          <t xml:space="preserve"> </t>
        </is>
      </c>
      <c r="V39" s="104" t="inlineStr">
        <is>
          <t xml:space="preserve"> </t>
        </is>
      </c>
      <c r="W39" t="inlineStr">
        <is>
          <t>No se encontró ejecución en PIIP</t>
        </is>
      </c>
    </row>
    <row r="40">
      <c r="A40" t="inlineStr">
        <is>
          <t>IP-36</t>
        </is>
      </c>
      <c r="B40" t="inlineStr">
        <is>
          <t>41</t>
        </is>
      </c>
      <c r="C40" t="inlineStr">
        <is>
          <t xml:space="preserve">Inclusión social y reconciliación </t>
        </is>
      </c>
      <c r="D40" t="inlineStr">
        <is>
          <t>4102</t>
        </is>
      </c>
      <c r="E40" t="inlineStr">
        <is>
          <t>Desarrollo integral de la primera infancia a la juventud, y fortalecimiento de las capacidades de las familias de niñas, niños y adolescentes</t>
        </is>
      </c>
      <c r="F40" t="inlineStr">
        <is>
          <t>4102052</t>
        </is>
      </c>
      <c r="G40" t="inlineStr">
        <is>
          <t>Servicio de protección integral a niños, niñas, adolescentes y jóvenes</t>
        </is>
      </c>
      <c r="H40" t="inlineStr">
        <is>
          <t>410205201</t>
        </is>
      </c>
      <c r="I40" t="inlineStr">
        <is>
          <t>Niños, niñas, adolescentes y jóvenes beneficiados con acciones de restablecimiento de derechos</t>
        </is>
      </c>
      <c r="J40" t="inlineStr">
        <is>
          <t>2024254860010</t>
        </is>
      </c>
      <c r="K40" t="inlineStr">
        <is>
          <t>Si</t>
        </is>
      </c>
      <c r="L40" t="inlineStr">
        <is>
          <t>Número</t>
        </is>
      </c>
      <c r="M40">
        <v>22</v>
      </c>
      <c r="N40">
        <v>7</v>
      </c>
      <c r="O40">
        <v>6</v>
      </c>
      <c r="P40">
        <v>5</v>
      </c>
      <c r="Q40">
        <v>4</v>
      </c>
      <c r="R40" t="inlineStr">
        <is>
          <t xml:space="preserve"> </t>
        </is>
      </c>
      <c r="S40" s="103" t="inlineStr">
        <is>
          <t xml:space="preserve"> </t>
        </is>
      </c>
      <c r="T40" t="inlineStr">
        <is>
          <t>No se encontró ejecución en PIIP</t>
        </is>
      </c>
      <c r="U40" t="inlineStr">
        <is>
          <t xml:space="preserve"> </t>
        </is>
      </c>
      <c r="V40" s="104" t="inlineStr">
        <is>
          <t xml:space="preserve"> </t>
        </is>
      </c>
      <c r="W40" t="inlineStr">
        <is>
          <t>No se encontró ejecución en PIIP</t>
        </is>
      </c>
    </row>
    <row r="41">
      <c r="A41" t="inlineStr">
        <is>
          <t>IP-38</t>
        </is>
      </c>
      <c r="B41" t="inlineStr">
        <is>
          <t>41</t>
        </is>
      </c>
      <c r="C41" t="inlineStr">
        <is>
          <t xml:space="preserve">Inclusión social y reconciliación </t>
        </is>
      </c>
      <c r="D41" t="inlineStr">
        <is>
          <t>4103</t>
        </is>
      </c>
      <c r="E41" t="inlineStr">
        <is>
          <t>Inclusión social y productiva para la población en situación de vulnerabilidad</t>
        </is>
      </c>
      <c r="F41" t="inlineStr">
        <is>
          <t>4103005</t>
        </is>
      </c>
      <c r="G41" t="inlineStr">
        <is>
          <t>Servicio de asistencia técnica para el emprendimiento</t>
        </is>
      </c>
      <c r="H41" t="inlineStr">
        <is>
          <t>410300501</t>
        </is>
      </c>
      <c r="I41" t="inlineStr">
        <is>
          <t>Personas asistidas técnicamente</t>
        </is>
      </c>
      <c r="J41" t="inlineStr">
        <is>
          <t>2024254860010</t>
        </is>
      </c>
      <c r="K41" t="inlineStr">
        <is>
          <t>Si</t>
        </is>
      </c>
      <c r="L41" t="inlineStr">
        <is>
          <t>Número</t>
        </is>
      </c>
      <c r="M41">
        <v>28</v>
      </c>
      <c r="N41">
        <v>7</v>
      </c>
      <c r="O41">
        <v>7</v>
      </c>
      <c r="P41">
        <v>7</v>
      </c>
      <c r="Q41">
        <v>7</v>
      </c>
      <c r="R41" t="inlineStr">
        <is>
          <t xml:space="preserve"> </t>
        </is>
      </c>
      <c r="S41" s="103" t="inlineStr">
        <is>
          <t xml:space="preserve"> </t>
        </is>
      </c>
      <c r="T41" t="inlineStr">
        <is>
          <t>No se encontró ejecución en PIIP</t>
        </is>
      </c>
      <c r="U41" t="inlineStr">
        <is>
          <t xml:space="preserve"> </t>
        </is>
      </c>
      <c r="V41" s="104" t="inlineStr">
        <is>
          <t xml:space="preserve"> </t>
        </is>
      </c>
      <c r="W41" t="inlineStr">
        <is>
          <t>No se encontró ejecución en PIIP</t>
        </is>
      </c>
    </row>
    <row r="42">
      <c r="A42" t="inlineStr">
        <is>
          <t>IP-39</t>
        </is>
      </c>
      <c r="B42" t="inlineStr">
        <is>
          <t>41</t>
        </is>
      </c>
      <c r="C42" t="inlineStr">
        <is>
          <t xml:space="preserve">Inclusión social y reconciliación </t>
        </is>
      </c>
      <c r="D42" t="inlineStr">
        <is>
          <t>4102</t>
        </is>
      </c>
      <c r="E42" t="inlineStr">
        <is>
          <t>Desarrollo integral de la primera infancia a la juventud, y fortalecimiento de las capacidades de las familias de niñas, niños y adolescentes</t>
        </is>
      </c>
      <c r="F42" t="inlineStr">
        <is>
          <t>4102047</t>
        </is>
      </c>
      <c r="G42" t="inlineStr">
        <is>
          <t>Servicios de asistencia técnica en políticas públicas de infancia, adolescencia y juventud</t>
        </is>
      </c>
      <c r="H42" t="inlineStr">
        <is>
          <t>410204700</t>
        </is>
      </c>
      <c r="I42" t="inlineStr">
        <is>
          <t>Agentes de la institucionalidad de infancia, adolescencia y juventud  asistidos técnicamente</t>
        </is>
      </c>
      <c r="J42" t="inlineStr">
        <is>
          <t>2024254860010</t>
        </is>
      </c>
      <c r="K42" t="inlineStr">
        <is>
          <t>No</t>
        </is>
      </c>
      <c r="L42" t="inlineStr">
        <is>
          <t>Número</t>
        </is>
      </c>
      <c r="M42">
        <v>1</v>
      </c>
      <c r="N42">
        <v>1</v>
      </c>
      <c r="O42">
        <v>1</v>
      </c>
      <c r="P42">
        <v>1</v>
      </c>
      <c r="Q42">
        <v>1</v>
      </c>
      <c r="R42" t="inlineStr">
        <is>
          <t xml:space="preserve"> </t>
        </is>
      </c>
      <c r="S42" s="103" t="inlineStr">
        <is>
          <t xml:space="preserve"> </t>
        </is>
      </c>
      <c r="T42" t="inlineStr">
        <is>
          <t>No se encontró ejecución en PIIP</t>
        </is>
      </c>
      <c r="U42" t="inlineStr">
        <is>
          <t xml:space="preserve"> </t>
        </is>
      </c>
      <c r="V42" s="104" t="inlineStr">
        <is>
          <t xml:space="preserve"> </t>
        </is>
      </c>
      <c r="W42" t="inlineStr">
        <is>
          <t>No se encontró ejecución en PIIP</t>
        </is>
      </c>
    </row>
    <row r="43">
      <c r="A43" t="inlineStr">
        <is>
          <t>IP-40</t>
        </is>
      </c>
      <c r="B43" t="inlineStr">
        <is>
          <t>22</t>
        </is>
      </c>
      <c r="C43" t="inlineStr">
        <is>
          <t>Educación</t>
        </is>
      </c>
      <c r="D43" t="inlineStr">
        <is>
          <t>2201</t>
        </is>
      </c>
      <c r="E43" t="inlineStr">
        <is>
          <t>Calidad, cobertura y fortalecimiento de la educación inicial, prescolar, básica y media</t>
        </is>
      </c>
      <c r="F43" t="inlineStr">
        <is>
          <t>2201085</t>
        </is>
      </c>
      <c r="G43" t="inlineStr">
        <is>
          <t>Servicio de orientación socio ocupacional</t>
        </is>
      </c>
      <c r="H43" t="inlineStr">
        <is>
          <t>220108500</t>
        </is>
      </c>
      <c r="I43" t="inlineStr">
        <is>
          <t>Estudiantes vinculados a procesos de orientación socio ocupacional</t>
        </is>
      </c>
      <c r="J43" t="inlineStr">
        <is>
          <t>2024254860018</t>
        </is>
      </c>
      <c r="K43" t="inlineStr">
        <is>
          <t>No</t>
        </is>
      </c>
      <c r="L43" t="inlineStr">
        <is>
          <t>Número</t>
        </is>
      </c>
      <c r="M43">
        <v>200</v>
      </c>
      <c r="N43">
        <v>200</v>
      </c>
      <c r="O43">
        <v>200</v>
      </c>
      <c r="P43">
        <v>200</v>
      </c>
      <c r="Q43">
        <v>200</v>
      </c>
      <c r="R43" t="inlineStr">
        <is>
          <t xml:space="preserve"> </t>
        </is>
      </c>
      <c r="S43" s="103" t="inlineStr">
        <is>
          <t xml:space="preserve"> </t>
        </is>
      </c>
      <c r="T43" t="inlineStr">
        <is>
          <t>No se encontró ejecución en PIIP</t>
        </is>
      </c>
      <c r="U43" t="inlineStr">
        <is>
          <t xml:space="preserve"> </t>
        </is>
      </c>
      <c r="V43" s="104" t="inlineStr">
        <is>
          <t xml:space="preserve"> </t>
        </is>
      </c>
      <c r="W43" t="inlineStr">
        <is>
          <t>No se encontró ejecución en PIIP</t>
        </is>
      </c>
    </row>
    <row r="44">
      <c r="A44" t="inlineStr">
        <is>
          <t>IP-41</t>
        </is>
      </c>
      <c r="B44" t="inlineStr">
        <is>
          <t>45</t>
        </is>
      </c>
      <c r="C44" t="inlineStr">
        <is>
          <t>Gobierno Territorial</t>
        </is>
      </c>
      <c r="D44" t="inlineStr">
        <is>
          <t>4502</t>
        </is>
      </c>
      <c r="E44" t="inlineStr">
        <is>
          <t>Fortalecimiento del buen gobierno para el respeto y garantía de los derechos humanos.</t>
        </is>
      </c>
      <c r="F44" t="inlineStr">
        <is>
          <t>4502001</t>
        </is>
      </c>
      <c r="G44" t="inlineStr">
        <is>
          <t>Servicio de promoción a la participación ciudadana</t>
        </is>
      </c>
      <c r="H44" t="inlineStr">
        <is>
          <t>450200100</t>
        </is>
      </c>
      <c r="I44" t="inlineStr">
        <is>
          <t>Espacios de participación promovidos</t>
        </is>
      </c>
      <c r="J44" t="inlineStr">
        <is>
          <t>2024254860046</t>
        </is>
      </c>
      <c r="K44" t="inlineStr">
        <is>
          <t>No</t>
        </is>
      </c>
      <c r="L44" t="inlineStr">
        <is>
          <t>Número</t>
        </is>
      </c>
      <c r="M44">
        <v>3</v>
      </c>
      <c r="N44">
        <v>3</v>
      </c>
      <c r="O44">
        <v>3</v>
      </c>
      <c r="P44">
        <v>3</v>
      </c>
      <c r="Q44">
        <v>3</v>
      </c>
      <c r="R44" t="inlineStr">
        <is>
          <t xml:space="preserve"> </t>
        </is>
      </c>
      <c r="S44" s="103" t="inlineStr">
        <is>
          <t xml:space="preserve"> </t>
        </is>
      </c>
      <c r="T44" t="inlineStr">
        <is>
          <t>No se encontró ejecución en PIIP</t>
        </is>
      </c>
      <c r="U44" t="inlineStr">
        <is>
          <t xml:space="preserve"> </t>
        </is>
      </c>
      <c r="V44" s="104" t="inlineStr">
        <is>
          <t xml:space="preserve"> </t>
        </is>
      </c>
      <c r="W44" t="inlineStr">
        <is>
          <t>No se encontró ejecución en PIIP</t>
        </is>
      </c>
    </row>
    <row r="45">
      <c r="A45" t="inlineStr">
        <is>
          <t>IP-42</t>
        </is>
      </c>
      <c r="B45" t="inlineStr">
        <is>
          <t>41</t>
        </is>
      </c>
      <c r="C45" t="inlineStr">
        <is>
          <t xml:space="preserve">Inclusión social y reconciliación </t>
        </is>
      </c>
      <c r="D45" t="inlineStr">
        <is>
          <t>4104</t>
        </is>
      </c>
      <c r="E45" t="inlineStr">
        <is>
          <t>Atención integral de población en situación permanente de desprotección social y/o familiar</t>
        </is>
      </c>
      <c r="F45" t="inlineStr">
        <is>
          <t>4104009</t>
        </is>
      </c>
      <c r="G45" t="inlineStr">
        <is>
          <t>Centros de protección social de día para el adulto mayor adecuados</t>
        </is>
      </c>
      <c r="H45" t="inlineStr">
        <is>
          <t>410400900</t>
        </is>
      </c>
      <c r="I45" t="inlineStr">
        <is>
          <t>Centros de día para el adulto mayor adecuados</t>
        </is>
      </c>
      <c r="J45" t="inlineStr">
        <is>
          <t>2024254860011</t>
        </is>
      </c>
      <c r="K45" t="inlineStr">
        <is>
          <t>No</t>
        </is>
      </c>
      <c r="L45" t="inlineStr">
        <is>
          <t>Número</t>
        </is>
      </c>
      <c r="M45">
        <v>1</v>
      </c>
      <c r="N45">
        <v>1</v>
      </c>
      <c r="O45">
        <v>1</v>
      </c>
      <c r="P45">
        <v>1</v>
      </c>
      <c r="Q45">
        <v>1</v>
      </c>
      <c r="R45" t="inlineStr">
        <is>
          <t xml:space="preserve"> </t>
        </is>
      </c>
      <c r="S45" s="103" t="inlineStr">
        <is>
          <t xml:space="preserve"> </t>
        </is>
      </c>
      <c r="T45" t="inlineStr">
        <is>
          <t>No se encontró ejecución en PIIP</t>
        </is>
      </c>
      <c r="U45" t="inlineStr">
        <is>
          <t xml:space="preserve"> </t>
        </is>
      </c>
      <c r="V45" s="104" t="inlineStr">
        <is>
          <t xml:space="preserve"> </t>
        </is>
      </c>
      <c r="W45" t="inlineStr">
        <is>
          <t>No se encontró ejecución en PIIP</t>
        </is>
      </c>
    </row>
    <row r="46">
      <c r="A46" t="inlineStr">
        <is>
          <t>IP-43</t>
        </is>
      </c>
      <c r="B46" t="inlineStr">
        <is>
          <t>41</t>
        </is>
      </c>
      <c r="C46" t="inlineStr">
        <is>
          <t xml:space="preserve">Inclusión social y reconciliación </t>
        </is>
      </c>
      <c r="D46" t="inlineStr">
        <is>
          <t>4103</t>
        </is>
      </c>
      <c r="E46" t="inlineStr">
        <is>
          <t>Inclusión social y productiva para la población en situación de vulnerabilidad</t>
        </is>
      </c>
      <c r="F46" t="inlineStr">
        <is>
          <t>4103067</t>
        </is>
      </c>
      <c r="G46" t="inlineStr">
        <is>
          <t>Documentos de planeación</t>
        </is>
      </c>
      <c r="H46" t="inlineStr">
        <is>
          <t>410306700</t>
        </is>
      </c>
      <c r="I46" t="inlineStr">
        <is>
          <t>Documentos de planeación realizados</t>
        </is>
      </c>
      <c r="J46" t="inlineStr">
        <is>
          <t>2024254860009</t>
        </is>
      </c>
      <c r="K46" t="inlineStr">
        <is>
          <t>No</t>
        </is>
      </c>
      <c r="L46" t="inlineStr">
        <is>
          <t>Número</t>
        </is>
      </c>
      <c r="M46">
        <v>1</v>
      </c>
      <c r="N46">
        <v>1</v>
      </c>
      <c r="O46">
        <v>1</v>
      </c>
      <c r="P46">
        <v>1</v>
      </c>
      <c r="Q46">
        <v>1</v>
      </c>
      <c r="R46" t="inlineStr">
        <is>
          <t xml:space="preserve"> </t>
        </is>
      </c>
      <c r="S46" s="103" t="inlineStr">
        <is>
          <t xml:space="preserve"> </t>
        </is>
      </c>
      <c r="T46" t="inlineStr">
        <is>
          <t>No se encontró ejecución en PIIP</t>
        </is>
      </c>
      <c r="U46" t="inlineStr">
        <is>
          <t xml:space="preserve"> </t>
        </is>
      </c>
      <c r="V46" s="104" t="inlineStr">
        <is>
          <t xml:space="preserve"> </t>
        </is>
      </c>
      <c r="W46" t="inlineStr">
        <is>
          <t>No se encontró ejecución en PIIP</t>
        </is>
      </c>
    </row>
    <row r="47">
      <c r="A47" t="inlineStr">
        <is>
          <t>IP-44, IP-45</t>
        </is>
      </c>
      <c r="B47" t="inlineStr">
        <is>
          <t>41</t>
        </is>
      </c>
      <c r="C47" t="inlineStr">
        <is>
          <t xml:space="preserve">Inclusión social y reconciliación </t>
        </is>
      </c>
      <c r="D47" t="inlineStr">
        <is>
          <t>4104</t>
        </is>
      </c>
      <c r="E47" t="inlineStr">
        <is>
          <t>Atención integral de población en situación permanente de desprotección social y/o familiar</t>
        </is>
      </c>
      <c r="F47" t="inlineStr">
        <is>
          <t>4104008</t>
        </is>
      </c>
      <c r="G47" t="inlineStr">
        <is>
          <t>Servicio de atención y protección integral al adulto mayor</t>
        </is>
      </c>
      <c r="H47" t="inlineStr">
        <is>
          <t>410400800</t>
        </is>
      </c>
      <c r="I47" t="inlineStr">
        <is>
          <t>Adultos mayores atendidos con servicios integrales</t>
        </is>
      </c>
      <c r="J47" t="inlineStr">
        <is>
          <t>2024254860011</t>
        </is>
      </c>
      <c r="K47" t="inlineStr">
        <is>
          <t>No</t>
        </is>
      </c>
      <c r="L47" t="inlineStr">
        <is>
          <t>Número</t>
        </is>
      </c>
      <c r="M47">
        <v>1246</v>
      </c>
      <c r="N47">
        <v>1246</v>
      </c>
      <c r="O47">
        <v>1246</v>
      </c>
      <c r="P47">
        <v>1246</v>
      </c>
      <c r="Q47">
        <v>1246</v>
      </c>
      <c r="R47" t="inlineStr">
        <is>
          <t xml:space="preserve"> </t>
        </is>
      </c>
      <c r="S47" s="103" t="inlineStr">
        <is>
          <t xml:space="preserve"> </t>
        </is>
      </c>
      <c r="T47" t="inlineStr">
        <is>
          <t>No se encontró ejecución en PIIP</t>
        </is>
      </c>
      <c r="U47" t="inlineStr">
        <is>
          <t xml:space="preserve"> </t>
        </is>
      </c>
      <c r="V47" s="104" t="inlineStr">
        <is>
          <t xml:space="preserve"> </t>
        </is>
      </c>
      <c r="W47" t="inlineStr">
        <is>
          <t>No se encontró ejecución en PIIP</t>
        </is>
      </c>
    </row>
    <row r="48">
      <c r="A48" t="inlineStr">
        <is>
          <t>IP-46</t>
        </is>
      </c>
      <c r="B48" t="inlineStr">
        <is>
          <t>41</t>
        </is>
      </c>
      <c r="C48" t="inlineStr">
        <is>
          <t xml:space="preserve">Inclusión social y reconciliación </t>
        </is>
      </c>
      <c r="D48" t="inlineStr">
        <is>
          <t>4102</t>
        </is>
      </c>
      <c r="E48" t="inlineStr">
        <is>
          <t>Desarrollo integral de la primera infancia a la juventud, y fortalecimiento de las capacidades de las familias de niñas, niños y adolescentes</t>
        </is>
      </c>
      <c r="F48" t="inlineStr">
        <is>
          <t>4102041</t>
        </is>
      </c>
      <c r="G48" t="inlineStr">
        <is>
          <t>Servicio de asistencia técnica en el ciclo de políticas públicas de familia y otras relacionadas</t>
        </is>
      </c>
      <c r="H48" t="inlineStr">
        <is>
          <t>410204103</t>
        </is>
      </c>
      <c r="I48" t="inlineStr">
        <is>
          <t>Entes territoriales asistidos técnicamente</t>
        </is>
      </c>
      <c r="J48" t="inlineStr">
        <is>
          <t>2024254860010</t>
        </is>
      </c>
      <c r="K48" t="inlineStr">
        <is>
          <t>No</t>
        </is>
      </c>
      <c r="L48" t="inlineStr">
        <is>
          <t>Número</t>
        </is>
      </c>
      <c r="M48">
        <v>1</v>
      </c>
      <c r="N48">
        <v>1</v>
      </c>
      <c r="O48">
        <v>1</v>
      </c>
      <c r="P48">
        <v>1</v>
      </c>
      <c r="Q48">
        <v>1</v>
      </c>
      <c r="R48" t="inlineStr">
        <is>
          <t xml:space="preserve"> </t>
        </is>
      </c>
      <c r="S48" s="103" t="inlineStr">
        <is>
          <t xml:space="preserve"> </t>
        </is>
      </c>
      <c r="T48" t="inlineStr">
        <is>
          <t>No se encontró ejecución en PIIP</t>
        </is>
      </c>
      <c r="U48" t="inlineStr">
        <is>
          <t xml:space="preserve"> </t>
        </is>
      </c>
      <c r="V48" s="104" t="inlineStr">
        <is>
          <t xml:space="preserve"> </t>
        </is>
      </c>
      <c r="W48" t="inlineStr">
        <is>
          <t>No se encontró ejecución en PIIP</t>
        </is>
      </c>
    </row>
    <row r="49">
      <c r="A49" t="inlineStr">
        <is>
          <t>IP-47</t>
        </is>
      </c>
      <c r="B49" t="inlineStr">
        <is>
          <t>41</t>
        </is>
      </c>
      <c r="C49" t="inlineStr">
        <is>
          <t xml:space="preserve">Inclusión social y reconciliación </t>
        </is>
      </c>
      <c r="D49" t="inlineStr">
        <is>
          <t>4104</t>
        </is>
      </c>
      <c r="E49" t="inlineStr">
        <is>
          <t>Atención integral de población en situación permanente de desprotección social y/o familiar</t>
        </is>
      </c>
      <c r="F49" t="inlineStr">
        <is>
          <t>4104020</t>
        </is>
      </c>
      <c r="G49" t="inlineStr">
        <is>
          <t>Servicio de atención integral a población en condición de discapacidad</t>
        </is>
      </c>
      <c r="H49" t="inlineStr">
        <is>
          <t>410402000</t>
        </is>
      </c>
      <c r="I49" t="inlineStr">
        <is>
          <t>Personas con discapacidad atendidas con servicios integrales</t>
        </is>
      </c>
      <c r="J49" t="inlineStr">
        <is>
          <t>2024254860011</t>
        </is>
      </c>
      <c r="K49" t="inlineStr">
        <is>
          <t>No</t>
        </is>
      </c>
      <c r="L49" t="inlineStr">
        <is>
          <t>Número</t>
        </is>
      </c>
      <c r="M49">
        <v>150</v>
      </c>
      <c r="N49">
        <v>150</v>
      </c>
      <c r="O49">
        <v>150</v>
      </c>
      <c r="P49">
        <v>150</v>
      </c>
      <c r="Q49">
        <v>150</v>
      </c>
      <c r="R49" t="inlineStr">
        <is>
          <t xml:space="preserve"> </t>
        </is>
      </c>
      <c r="S49" s="103" t="inlineStr">
        <is>
          <t xml:space="preserve"> </t>
        </is>
      </c>
      <c r="T49" t="inlineStr">
        <is>
          <t>No se encontró ejecución en PIIP</t>
        </is>
      </c>
      <c r="U49" t="inlineStr">
        <is>
          <t xml:space="preserve"> </t>
        </is>
      </c>
      <c r="V49" s="104" t="inlineStr">
        <is>
          <t xml:space="preserve"> </t>
        </is>
      </c>
      <c r="W49" t="inlineStr">
        <is>
          <t>No se encontró ejecución en PIIP</t>
        </is>
      </c>
    </row>
    <row r="50">
      <c r="A50" t="inlineStr">
        <is>
          <t>IP-48</t>
        </is>
      </c>
      <c r="B50" t="inlineStr">
        <is>
          <t>41</t>
        </is>
      </c>
      <c r="C50" t="inlineStr">
        <is>
          <t xml:space="preserve">Inclusión social y reconciliación </t>
        </is>
      </c>
      <c r="D50" t="inlineStr">
        <is>
          <t>4104</t>
        </is>
      </c>
      <c r="E50" t="inlineStr">
        <is>
          <t>Atención integral de población en situación permanente de desprotección social y/o familiar</t>
        </is>
      </c>
      <c r="F50" t="inlineStr">
        <is>
          <t>4104037</t>
        </is>
      </c>
      <c r="G50" t="inlineStr">
        <is>
          <t>Centros de atención integral para personas con discapacidad adecuados</t>
        </is>
      </c>
      <c r="H50" t="inlineStr">
        <is>
          <t>410403700</t>
        </is>
      </c>
      <c r="I50" t="inlineStr">
        <is>
          <t>Centros de atención integral para personas con discapacidad adecuados</t>
        </is>
      </c>
      <c r="J50" t="inlineStr">
        <is>
          <t>2024254860011</t>
        </is>
      </c>
      <c r="K50" t="inlineStr">
        <is>
          <t>No</t>
        </is>
      </c>
      <c r="L50" t="inlineStr">
        <is>
          <t>Número</t>
        </is>
      </c>
      <c r="M50">
        <v>1</v>
      </c>
      <c r="N50">
        <v>0</v>
      </c>
      <c r="O50">
        <v>1</v>
      </c>
      <c r="P50">
        <v>1</v>
      </c>
      <c r="Q50">
        <v>1</v>
      </c>
      <c r="R50" t="inlineStr">
        <is>
          <t xml:space="preserve"> </t>
        </is>
      </c>
      <c r="S50" s="103" t="inlineStr">
        <is>
          <t xml:space="preserve"> </t>
        </is>
      </c>
      <c r="T50" t="inlineStr">
        <is>
          <t>No se encontró ejecución en PIIP</t>
        </is>
      </c>
      <c r="U50" t="inlineStr">
        <is>
          <t xml:space="preserve"> </t>
        </is>
      </c>
      <c r="V50" s="104" t="inlineStr">
        <is>
          <t xml:space="preserve"> </t>
        </is>
      </c>
      <c r="W50" t="inlineStr">
        <is>
          <t>No se encontró ejecución en PIIP</t>
        </is>
      </c>
    </row>
    <row r="51">
      <c r="A51" t="inlineStr">
        <is>
          <t>IP-49</t>
        </is>
      </c>
      <c r="B51" t="inlineStr">
        <is>
          <t>41</t>
        </is>
      </c>
      <c r="C51" t="inlineStr">
        <is>
          <t xml:space="preserve">Inclusión social y reconciliación </t>
        </is>
      </c>
      <c r="D51" t="inlineStr">
        <is>
          <t>4101</t>
        </is>
      </c>
      <c r="E51" t="inlineStr">
        <is>
          <t>Atención, asistencia y reparación integral a las víctimas</t>
        </is>
      </c>
      <c r="F51" t="inlineStr">
        <is>
          <t>4101063</t>
        </is>
      </c>
      <c r="G51" t="inlineStr">
        <is>
          <t>Servicios de asistencia técnica para la articulación interinstitucional en la implementación de la polìtica pública para las víctimas</t>
        </is>
      </c>
      <c r="H51" t="inlineStr">
        <is>
          <t>410106300</t>
        </is>
      </c>
      <c r="I51" t="inlineStr">
        <is>
          <t>Planes de acción articulados</t>
        </is>
      </c>
      <c r="J51" t="inlineStr">
        <is>
          <t>2024254860012</t>
        </is>
      </c>
      <c r="K51" t="inlineStr">
        <is>
          <t>No</t>
        </is>
      </c>
      <c r="L51" t="inlineStr">
        <is>
          <t>Número</t>
        </is>
      </c>
      <c r="M51">
        <v>3</v>
      </c>
      <c r="N51">
        <v>3</v>
      </c>
      <c r="O51">
        <v>3</v>
      </c>
      <c r="P51">
        <v>3</v>
      </c>
      <c r="Q51">
        <v>3</v>
      </c>
      <c r="R51" t="inlineStr">
        <is>
          <t xml:space="preserve"> </t>
        </is>
      </c>
      <c r="S51" s="103" t="inlineStr">
        <is>
          <t xml:space="preserve"> </t>
        </is>
      </c>
      <c r="T51" t="inlineStr">
        <is>
          <t>No se encontró ejecución en PIIP</t>
        </is>
      </c>
      <c r="U51" t="inlineStr">
        <is>
          <t xml:space="preserve"> </t>
        </is>
      </c>
      <c r="V51" s="104" t="inlineStr">
        <is>
          <t xml:space="preserve"> </t>
        </is>
      </c>
      <c r="W51" t="inlineStr">
        <is>
          <t>No se encontró ejecución en PIIP</t>
        </is>
      </c>
    </row>
    <row r="52">
      <c r="A52" t="inlineStr">
        <is>
          <t>IP-50</t>
        </is>
      </c>
      <c r="B52" t="inlineStr">
        <is>
          <t>41</t>
        </is>
      </c>
      <c r="C52" t="inlineStr">
        <is>
          <t xml:space="preserve">Inclusión social y reconciliación </t>
        </is>
      </c>
      <c r="D52" t="inlineStr">
        <is>
          <t>4101</t>
        </is>
      </c>
      <c r="E52" t="inlineStr">
        <is>
          <t>Atención, asistencia y reparación integral a las víctimas</t>
        </is>
      </c>
      <c r="F52" t="inlineStr">
        <is>
          <t>4101014</t>
        </is>
      </c>
      <c r="G52" t="inlineStr">
        <is>
          <t>Servicio de caracterización de la población víctima para su posterior atención, asistencia y reparación integral</t>
        </is>
      </c>
      <c r="H52" t="inlineStr">
        <is>
          <t>410101400</t>
        </is>
      </c>
      <c r="I52" t="inlineStr">
        <is>
          <t>Víctimas caracterizadas</t>
        </is>
      </c>
      <c r="J52" t="inlineStr">
        <is>
          <t>2024254860012</t>
        </is>
      </c>
      <c r="K52" t="inlineStr">
        <is>
          <t>Si</t>
        </is>
      </c>
      <c r="L52" t="inlineStr">
        <is>
          <t>Número</t>
        </is>
      </c>
      <c r="M52">
        <v>442</v>
      </c>
      <c r="N52">
        <v>224</v>
      </c>
      <c r="O52">
        <v>0</v>
      </c>
      <c r="P52">
        <v>218</v>
      </c>
      <c r="Q52">
        <v>0</v>
      </c>
      <c r="R52" t="inlineStr">
        <is>
          <t xml:space="preserve"> </t>
        </is>
      </c>
      <c r="S52" s="103" t="inlineStr">
        <is>
          <t xml:space="preserve"> </t>
        </is>
      </c>
      <c r="T52" t="inlineStr">
        <is>
          <t>No se encontró ejecución en PIIP</t>
        </is>
      </c>
      <c r="U52" t="inlineStr">
        <is>
          <t xml:space="preserve"> </t>
        </is>
      </c>
      <c r="V52" s="104" t="inlineStr">
        <is>
          <t xml:space="preserve"> </t>
        </is>
      </c>
      <c r="W52" t="inlineStr">
        <is>
          <t>No se encontró ejecución en PIIP</t>
        </is>
      </c>
    </row>
    <row r="53">
      <c r="A53" t="inlineStr">
        <is>
          <t>IP-51</t>
        </is>
      </c>
      <c r="B53" t="inlineStr">
        <is>
          <t>41</t>
        </is>
      </c>
      <c r="C53" t="inlineStr">
        <is>
          <t xml:space="preserve">Inclusión social y reconciliación </t>
        </is>
      </c>
      <c r="D53" t="inlineStr">
        <is>
          <t>4101</t>
        </is>
      </c>
      <c r="E53" t="inlineStr">
        <is>
          <t>Atención, asistencia y reparación integral a las víctimas</t>
        </is>
      </c>
      <c r="F53" t="inlineStr">
        <is>
          <t>4101031</t>
        </is>
      </c>
      <c r="G53" t="inlineStr">
        <is>
          <t>Servicios de implementaciónde medidas de satisfacción y acompañamiento a las víctimas del conflicto armado</t>
        </is>
      </c>
      <c r="H53" t="inlineStr">
        <is>
          <t>410103102</t>
        </is>
      </c>
      <c r="I53" t="inlineStr">
        <is>
          <t>Acciones realizadas en cumplimiento de las medidas de satisfacción, distintas al mensaje estatal de reconocimiento.</t>
        </is>
      </c>
      <c r="J53" t="inlineStr">
        <is>
          <t>2024254860012</t>
        </is>
      </c>
      <c r="K53" t="inlineStr">
        <is>
          <t>Si</t>
        </is>
      </c>
      <c r="L53" t="inlineStr">
        <is>
          <t>Número</t>
        </is>
      </c>
      <c r="M53">
        <v>4</v>
      </c>
      <c r="N53">
        <v>1</v>
      </c>
      <c r="O53">
        <v>1</v>
      </c>
      <c r="P53">
        <v>1</v>
      </c>
      <c r="Q53">
        <v>1</v>
      </c>
      <c r="R53" t="inlineStr">
        <is>
          <t xml:space="preserve"> </t>
        </is>
      </c>
      <c r="S53" s="103" t="inlineStr">
        <is>
          <t xml:space="preserve"> </t>
        </is>
      </c>
      <c r="T53" t="inlineStr">
        <is>
          <t>No se encontró ejecución en PIIP</t>
        </is>
      </c>
      <c r="U53" t="inlineStr">
        <is>
          <t xml:space="preserve"> </t>
        </is>
      </c>
      <c r="V53" s="104" t="inlineStr">
        <is>
          <t xml:space="preserve"> </t>
        </is>
      </c>
      <c r="W53" t="inlineStr">
        <is>
          <t>No se encontró ejecución en PIIP</t>
        </is>
      </c>
    </row>
    <row r="54">
      <c r="A54" t="inlineStr">
        <is>
          <t>IP-52</t>
        </is>
      </c>
      <c r="B54" t="inlineStr">
        <is>
          <t>41</t>
        </is>
      </c>
      <c r="C54" t="inlineStr">
        <is>
          <t xml:space="preserve">Inclusión social y reconciliación </t>
        </is>
      </c>
      <c r="D54" t="inlineStr">
        <is>
          <t>4101</t>
        </is>
      </c>
      <c r="E54" t="inlineStr">
        <is>
          <t>Atención, asistencia y reparación integral a las víctimas</t>
        </is>
      </c>
      <c r="F54" t="inlineStr">
        <is>
          <t>4101025</t>
        </is>
      </c>
      <c r="G54" t="inlineStr">
        <is>
          <t>Servicio de ayuda y atención humanitaria</t>
        </is>
      </c>
      <c r="H54" t="inlineStr">
        <is>
          <t>410102511</t>
        </is>
      </c>
      <c r="I54" t="inlineStr">
        <is>
          <t>Personas víctimas con ayuda humanitaria</t>
        </is>
      </c>
      <c r="J54" t="inlineStr">
        <is>
          <t>2024254860012</t>
        </is>
      </c>
      <c r="K54" t="inlineStr">
        <is>
          <t>No</t>
        </is>
      </c>
      <c r="L54" t="inlineStr">
        <is>
          <t>Número</t>
        </is>
      </c>
      <c r="M54">
        <v>442</v>
      </c>
      <c r="N54">
        <v>442</v>
      </c>
      <c r="O54">
        <v>442</v>
      </c>
      <c r="P54">
        <v>442</v>
      </c>
      <c r="Q54">
        <v>442</v>
      </c>
      <c r="R54" t="inlineStr">
        <is>
          <t xml:space="preserve"> </t>
        </is>
      </c>
      <c r="S54" s="103" t="inlineStr">
        <is>
          <t xml:space="preserve"> </t>
        </is>
      </c>
      <c r="T54" t="inlineStr">
        <is>
          <t>No se encontró ejecución en PIIP</t>
        </is>
      </c>
      <c r="U54" t="inlineStr">
        <is>
          <t xml:space="preserve"> </t>
        </is>
      </c>
      <c r="V54" s="104" t="inlineStr">
        <is>
          <t xml:space="preserve"> </t>
        </is>
      </c>
      <c r="W54" t="inlineStr">
        <is>
          <t>No se encontró ejecución en PIIP</t>
        </is>
      </c>
    </row>
    <row r="55">
      <c r="A55" t="inlineStr">
        <is>
          <t>IP-53</t>
        </is>
      </c>
      <c r="B55" t="inlineStr">
        <is>
          <t>41</t>
        </is>
      </c>
      <c r="C55" t="inlineStr">
        <is>
          <t xml:space="preserve">Inclusión social y reconciliación </t>
        </is>
      </c>
      <c r="D55" t="inlineStr">
        <is>
          <t>4103</t>
        </is>
      </c>
      <c r="E55" t="inlineStr">
        <is>
          <t>Inclusión social y productiva para la población en situación de vulnerabilidad</t>
        </is>
      </c>
      <c r="F55" t="inlineStr">
        <is>
          <t>4103009</t>
        </is>
      </c>
      <c r="G55" t="inlineStr">
        <is>
          <t>Servicio de asistencia en temas de desarrollo de habilidades no cognitivas para la inclusión productiva</t>
        </is>
      </c>
      <c r="H55" t="inlineStr">
        <is>
          <t>410300900</t>
        </is>
      </c>
      <c r="I55" t="inlineStr">
        <is>
          <t xml:space="preserve">Personas asistidas en temas  de desarrollo de habilidades no cognitivas </t>
        </is>
      </c>
      <c r="J55" t="inlineStr">
        <is>
          <t>2024254860009</t>
        </is>
      </c>
      <c r="K55" t="inlineStr">
        <is>
          <t>No</t>
        </is>
      </c>
      <c r="L55" t="inlineStr">
        <is>
          <t>Número</t>
        </is>
      </c>
      <c r="M55">
        <v>21</v>
      </c>
      <c r="N55">
        <v>21</v>
      </c>
      <c r="O55">
        <v>21</v>
      </c>
      <c r="P55">
        <v>21</v>
      </c>
      <c r="Q55">
        <v>21</v>
      </c>
      <c r="R55" t="inlineStr">
        <is>
          <t xml:space="preserve"> </t>
        </is>
      </c>
      <c r="S55" s="103" t="inlineStr">
        <is>
          <t xml:space="preserve"> </t>
        </is>
      </c>
      <c r="T55" t="inlineStr">
        <is>
          <t>No se encontró ejecución en PIIP</t>
        </is>
      </c>
      <c r="U55" t="inlineStr">
        <is>
          <t xml:space="preserve"> </t>
        </is>
      </c>
      <c r="V55" s="104" t="inlineStr">
        <is>
          <t xml:space="preserve"> </t>
        </is>
      </c>
      <c r="W55" t="inlineStr">
        <is>
          <t>No se encontró ejecución en PIIP</t>
        </is>
      </c>
    </row>
    <row r="56">
      <c r="A56" t="inlineStr">
        <is>
          <t>IP-54</t>
        </is>
      </c>
      <c r="B56" t="inlineStr">
        <is>
          <t>41</t>
        </is>
      </c>
      <c r="C56" t="inlineStr">
        <is>
          <t xml:space="preserve">Inclusión social y reconciliación </t>
        </is>
      </c>
      <c r="D56" t="inlineStr">
        <is>
          <t>4101</t>
        </is>
      </c>
      <c r="E56" t="inlineStr">
        <is>
          <t>Atención, asistencia y reparación integral a las víctimas</t>
        </is>
      </c>
      <c r="F56" t="inlineStr">
        <is>
          <t>4101079</t>
        </is>
      </c>
      <c r="G56" t="inlineStr">
        <is>
          <t>Servicio de asistencia técnica a comunidades en temas de fortalecimiento del tejido social y construcción de escenarios comunitarios protectores de derechos</t>
        </is>
      </c>
      <c r="H56" t="inlineStr">
        <is>
          <t>410107903</t>
        </is>
      </c>
      <c r="I56" t="inlineStr">
        <is>
          <t>Familias pertenecientes a comunidades étnicas atendidas</t>
        </is>
      </c>
      <c r="J56" t="inlineStr">
        <is>
          <t>2024254860012</t>
        </is>
      </c>
      <c r="K56" t="inlineStr">
        <is>
          <t>Si</t>
        </is>
      </c>
      <c r="L56" t="inlineStr">
        <is>
          <t>Número</t>
        </is>
      </c>
      <c r="M56">
        <v>150</v>
      </c>
      <c r="N56">
        <v>0</v>
      </c>
      <c r="O56">
        <v>30</v>
      </c>
      <c r="P56">
        <v>40</v>
      </c>
      <c r="Q56">
        <v>80</v>
      </c>
      <c r="R56" t="inlineStr">
        <is>
          <t xml:space="preserve"> </t>
        </is>
      </c>
      <c r="S56" s="103" t="inlineStr">
        <is>
          <t xml:space="preserve"> </t>
        </is>
      </c>
      <c r="T56" t="inlineStr">
        <is>
          <t>No se encontró ejecución en PIIP</t>
        </is>
      </c>
      <c r="U56" t="inlineStr">
        <is>
          <t xml:space="preserve"> </t>
        </is>
      </c>
      <c r="V56" s="104" t="inlineStr">
        <is>
          <t xml:space="preserve"> </t>
        </is>
      </c>
      <c r="W56" t="inlineStr">
        <is>
          <t>No se encontró ejecución en PIIP</t>
        </is>
      </c>
    </row>
    <row r="57">
      <c r="A57" t="inlineStr">
        <is>
          <t>IP-55</t>
        </is>
      </c>
      <c r="B57" t="inlineStr">
        <is>
          <t>41</t>
        </is>
      </c>
      <c r="C57" t="inlineStr">
        <is>
          <t xml:space="preserve">Inclusión social y reconciliación </t>
        </is>
      </c>
      <c r="D57" t="inlineStr">
        <is>
          <t>4103</t>
        </is>
      </c>
      <c r="E57" t="inlineStr">
        <is>
          <t>Inclusión social y productiva para la población en situación de vulnerabilidad</t>
        </is>
      </c>
      <c r="F57" t="inlineStr">
        <is>
          <t>4103054</t>
        </is>
      </c>
      <c r="G57" t="inlineStr">
        <is>
          <t>Servicio de monitoreo y seguimiento a las intervenciones implementadas para la inclusión social y productiva de la población en situación de vulnerabilidad</t>
        </is>
      </c>
      <c r="H57" t="inlineStr">
        <is>
          <t>410305400</t>
        </is>
      </c>
      <c r="I57" t="inlineStr">
        <is>
          <t>Informes de monitoreo y seguimiento elaborados</t>
        </is>
      </c>
      <c r="J57" t="inlineStr">
        <is>
          <t>2024254860009</t>
        </is>
      </c>
      <c r="K57" t="inlineStr">
        <is>
          <t>No</t>
        </is>
      </c>
      <c r="L57" t="inlineStr">
        <is>
          <t>Número</t>
        </is>
      </c>
      <c r="M57">
        <v>1</v>
      </c>
      <c r="N57">
        <v>1</v>
      </c>
      <c r="O57">
        <v>1</v>
      </c>
      <c r="P57">
        <v>1</v>
      </c>
      <c r="Q57">
        <v>1</v>
      </c>
      <c r="R57" t="inlineStr">
        <is>
          <t xml:space="preserve"> </t>
        </is>
      </c>
      <c r="S57" s="103" t="inlineStr">
        <is>
          <t xml:space="preserve"> </t>
        </is>
      </c>
      <c r="T57" t="inlineStr">
        <is>
          <t>No se encontró ejecución en PIIP</t>
        </is>
      </c>
      <c r="U57" t="inlineStr">
        <is>
          <t xml:space="preserve"> </t>
        </is>
      </c>
      <c r="V57" s="104" t="inlineStr">
        <is>
          <t xml:space="preserve"> </t>
        </is>
      </c>
      <c r="W57" t="inlineStr">
        <is>
          <t>No se encontró ejecución en PIIP</t>
        </is>
      </c>
    </row>
    <row r="58">
      <c r="A58" t="inlineStr">
        <is>
          <t>IP-56</t>
        </is>
      </c>
      <c r="B58" t="inlineStr">
        <is>
          <t>41</t>
        </is>
      </c>
      <c r="C58" t="inlineStr">
        <is>
          <t xml:space="preserve">Inclusión social y reconciliación </t>
        </is>
      </c>
      <c r="D58" t="inlineStr">
        <is>
          <t>4101</t>
        </is>
      </c>
      <c r="E58" t="inlineStr">
        <is>
          <t>Atención, asistencia y reparación integral a las víctimas</t>
        </is>
      </c>
      <c r="F58" t="inlineStr">
        <is>
          <t>4101094</t>
        </is>
      </c>
      <c r="G58" t="inlineStr">
        <is>
          <t>Servicio de reparación simbólica</t>
        </is>
      </c>
      <c r="H58" t="inlineStr">
        <is>
          <t>410109401</t>
        </is>
      </c>
      <c r="I58" t="inlineStr">
        <is>
          <t>Medidas de reparación simbólica concertadas</t>
        </is>
      </c>
      <c r="J58" t="inlineStr">
        <is>
          <t>2024254860012</t>
        </is>
      </c>
      <c r="K58" t="inlineStr">
        <is>
          <t>No</t>
        </is>
      </c>
      <c r="L58" t="inlineStr">
        <is>
          <t>Número</t>
        </is>
      </c>
      <c r="M58">
        <v>1</v>
      </c>
      <c r="N58">
        <v>1</v>
      </c>
      <c r="O58">
        <v>1</v>
      </c>
      <c r="P58">
        <v>1</v>
      </c>
      <c r="Q58">
        <v>1</v>
      </c>
      <c r="R58" t="inlineStr">
        <is>
          <t xml:space="preserve"> </t>
        </is>
      </c>
      <c r="S58" s="103" t="inlineStr">
        <is>
          <t xml:space="preserve"> </t>
        </is>
      </c>
      <c r="T58" t="inlineStr">
        <is>
          <t>No se encontró ejecución en PIIP</t>
        </is>
      </c>
      <c r="U58" t="inlineStr">
        <is>
          <t xml:space="preserve"> </t>
        </is>
      </c>
      <c r="V58" s="104" t="inlineStr">
        <is>
          <t xml:space="preserve"> </t>
        </is>
      </c>
      <c r="W58" t="inlineStr">
        <is>
          <t>No se encontró ejecución en PIIP</t>
        </is>
      </c>
    </row>
    <row r="59">
      <c r="A59" t="inlineStr">
        <is>
          <t>IP-57</t>
        </is>
      </c>
      <c r="B59" t="inlineStr">
        <is>
          <t>19</t>
        </is>
      </c>
      <c r="C59" t="inlineStr">
        <is>
          <t>Salud y protección social</t>
        </is>
      </c>
      <c r="D59" t="inlineStr">
        <is>
          <t>1905</t>
        </is>
      </c>
      <c r="E59" t="inlineStr">
        <is>
          <t>Salud pública</t>
        </is>
      </c>
      <c r="F59" t="inlineStr">
        <is>
          <t>1905041</t>
        </is>
      </c>
      <c r="G59" t="inlineStr">
        <is>
          <t>Servicio de atención psicosocial a víctimas del conflicto armado</t>
        </is>
      </c>
      <c r="H59" t="inlineStr">
        <is>
          <t>190504100</t>
        </is>
      </c>
      <c r="I59" t="inlineStr">
        <is>
          <t>Personas víctimas del conflicto armado atendidas con atención psicosocial</t>
        </is>
      </c>
      <c r="J59" t="inlineStr">
        <is>
          <t>2024254860014</t>
        </is>
      </c>
      <c r="K59" t="inlineStr">
        <is>
          <t>Si</t>
        </is>
      </c>
      <c r="L59" t="inlineStr">
        <is>
          <t>Número</t>
        </is>
      </c>
      <c r="M59">
        <v>442</v>
      </c>
      <c r="N59">
        <v>10</v>
      </c>
      <c r="O59">
        <v>144</v>
      </c>
      <c r="P59">
        <v>144</v>
      </c>
      <c r="Q59">
        <v>144</v>
      </c>
      <c r="R59">
        <v>0</v>
      </c>
      <c r="S59" s="103">
        <v>0</v>
      </c>
      <c r="T59" t="inlineStr">
        <is>
          <t>No se ejecutó en la vigencia</t>
        </is>
      </c>
      <c r="U59" t="inlineStr">
        <is>
          <t xml:space="preserve"> </t>
        </is>
      </c>
      <c r="V59" s="104" t="inlineStr">
        <is>
          <t xml:space="preserve"> </t>
        </is>
      </c>
      <c r="W59" t="inlineStr">
        <is>
          <t>No se encontró ejecución en PIIP</t>
        </is>
      </c>
    </row>
    <row r="60">
      <c r="A60" t="inlineStr">
        <is>
          <t>IP-58</t>
        </is>
      </c>
      <c r="B60" t="inlineStr">
        <is>
          <t>19</t>
        </is>
      </c>
      <c r="C60" t="inlineStr">
        <is>
          <t>Salud y protección social</t>
        </is>
      </c>
      <c r="D60" t="inlineStr">
        <is>
          <t>1903</t>
        </is>
      </c>
      <c r="E60" t="inlineStr">
        <is>
          <t>Inspección, vigilancia y control</t>
        </is>
      </c>
      <c r="F60" t="inlineStr">
        <is>
          <t>1903016</t>
        </is>
      </c>
      <c r="G60" t="inlineStr">
        <is>
          <t>Servicio de auditoría y visitas inspectivas</t>
        </is>
      </c>
      <c r="H60" t="inlineStr">
        <is>
          <t>190301600</t>
        </is>
      </c>
      <c r="I60" t="inlineStr">
        <is>
          <t>auditorías y visitas inspectivas realizadas</t>
        </is>
      </c>
      <c r="J60" t="inlineStr">
        <is>
          <t>2024254860013</t>
        </is>
      </c>
      <c r="K60" t="inlineStr">
        <is>
          <t>Si</t>
        </is>
      </c>
      <c r="L60" t="inlineStr">
        <is>
          <t>Número</t>
        </is>
      </c>
      <c r="M60">
        <v>12</v>
      </c>
      <c r="N60">
        <v>3</v>
      </c>
      <c r="O60">
        <v>3</v>
      </c>
      <c r="P60">
        <v>3</v>
      </c>
      <c r="Q60">
        <v>3</v>
      </c>
      <c r="R60">
        <v>0</v>
      </c>
      <c r="S60" s="103">
        <v>0</v>
      </c>
      <c r="T60" t="inlineStr">
        <is>
          <t>No se ejecutó en la vigencia</t>
        </is>
      </c>
      <c r="U60" t="inlineStr">
        <is>
          <t xml:space="preserve"> </t>
        </is>
      </c>
      <c r="V60" s="104" t="inlineStr">
        <is>
          <t xml:space="preserve"> </t>
        </is>
      </c>
      <c r="W60" t="inlineStr">
        <is>
          <t>No se encontró ejecución en PIIP</t>
        </is>
      </c>
    </row>
    <row r="61">
      <c r="A61" t="inlineStr">
        <is>
          <t>IP-59</t>
        </is>
      </c>
      <c r="B61" t="inlineStr">
        <is>
          <t>19</t>
        </is>
      </c>
      <c r="C61" t="inlineStr">
        <is>
          <t>Salud y protección social</t>
        </is>
      </c>
      <c r="D61" t="inlineStr">
        <is>
          <t>1903</t>
        </is>
      </c>
      <c r="E61" t="inlineStr">
        <is>
          <t>Inspección, vigilancia y control</t>
        </is>
      </c>
      <c r="F61" t="inlineStr">
        <is>
          <t>1903031</t>
        </is>
      </c>
      <c r="G61" t="inlineStr">
        <is>
          <t>Servicio de información de vigilancia epidemiológica</t>
        </is>
      </c>
      <c r="H61" t="inlineStr">
        <is>
          <t>190303100</t>
        </is>
      </c>
      <c r="I61" t="inlineStr">
        <is>
          <t>Informes de evento generados en la vigencia</t>
        </is>
      </c>
      <c r="J61" t="inlineStr">
        <is>
          <t>2024254860013</t>
        </is>
      </c>
      <c r="K61" t="inlineStr">
        <is>
          <t>Si</t>
        </is>
      </c>
      <c r="L61" t="inlineStr">
        <is>
          <t>Número</t>
        </is>
      </c>
      <c r="M61">
        <v>208</v>
      </c>
      <c r="N61">
        <v>52</v>
      </c>
      <c r="O61">
        <v>52</v>
      </c>
      <c r="P61">
        <v>52</v>
      </c>
      <c r="Q61">
        <v>52</v>
      </c>
      <c r="R61">
        <v>0</v>
      </c>
      <c r="S61" s="103">
        <v>0</v>
      </c>
      <c r="T61" t="inlineStr">
        <is>
          <t>No se ejecutó en la vigencia</t>
        </is>
      </c>
      <c r="U61" t="inlineStr">
        <is>
          <t xml:space="preserve"> </t>
        </is>
      </c>
      <c r="V61" s="104" t="inlineStr">
        <is>
          <t xml:space="preserve"> </t>
        </is>
      </c>
      <c r="W61" t="inlineStr">
        <is>
          <t>No se encontró ejecución en PIIP</t>
        </is>
      </c>
    </row>
    <row r="62">
      <c r="A62" t="inlineStr">
        <is>
          <t>IP-60</t>
        </is>
      </c>
      <c r="B62" t="inlineStr">
        <is>
          <t>19</t>
        </is>
      </c>
      <c r="C62" t="inlineStr">
        <is>
          <t>Salud y protección social</t>
        </is>
      </c>
      <c r="D62" t="inlineStr">
        <is>
          <t>1903</t>
        </is>
      </c>
      <c r="E62" t="inlineStr">
        <is>
          <t>Inspección, vigilancia y control</t>
        </is>
      </c>
      <c r="F62" t="inlineStr">
        <is>
          <t>1903051</t>
        </is>
      </c>
      <c r="G62" t="inlineStr">
        <is>
          <t>Documentos de planeación</t>
        </is>
      </c>
      <c r="H62" t="inlineStr">
        <is>
          <t>190305102</t>
        </is>
      </c>
      <c r="I62" t="inlineStr">
        <is>
          <t>Documentos de planeación con seguimiento realizados</t>
        </is>
      </c>
      <c r="J62" t="inlineStr">
        <is>
          <t>2024254860013</t>
        </is>
      </c>
      <c r="K62" t="inlineStr">
        <is>
          <t>Si</t>
        </is>
      </c>
      <c r="L62" t="inlineStr">
        <is>
          <t>Número</t>
        </is>
      </c>
      <c r="M62">
        <v>4</v>
      </c>
      <c r="N62">
        <v>1</v>
      </c>
      <c r="O62">
        <v>1</v>
      </c>
      <c r="P62">
        <v>1</v>
      </c>
      <c r="Q62">
        <v>1</v>
      </c>
      <c r="R62" t="inlineStr">
        <is>
          <t xml:space="preserve"> </t>
        </is>
      </c>
      <c r="S62" s="103" t="inlineStr">
        <is>
          <t xml:space="preserve"> </t>
        </is>
      </c>
      <c r="T62" t="inlineStr">
        <is>
          <t>No se encontró ejecución en PIIP</t>
        </is>
      </c>
      <c r="U62" t="inlineStr">
        <is>
          <t xml:space="preserve"> </t>
        </is>
      </c>
      <c r="V62" s="104" t="inlineStr">
        <is>
          <t xml:space="preserve"> </t>
        </is>
      </c>
      <c r="W62" t="inlineStr">
        <is>
          <t>No se encontró ejecución en PIIP</t>
        </is>
      </c>
    </row>
    <row r="63">
      <c r="A63" t="inlineStr">
        <is>
          <t>IP-61</t>
        </is>
      </c>
      <c r="B63" t="inlineStr">
        <is>
          <t>19</t>
        </is>
      </c>
      <c r="C63" t="inlineStr">
        <is>
          <t>Salud y protección social</t>
        </is>
      </c>
      <c r="D63" t="inlineStr">
        <is>
          <t>1903</t>
        </is>
      </c>
      <c r="E63" t="inlineStr">
        <is>
          <t>Inspección, vigilancia y control</t>
        </is>
      </c>
      <c r="F63" t="inlineStr">
        <is>
          <t>1903052</t>
        </is>
      </c>
      <c r="G63" t="inlineStr">
        <is>
          <t>Documentos de evaluación</t>
        </is>
      </c>
      <c r="H63" t="inlineStr">
        <is>
          <t>190305200</t>
        </is>
      </c>
      <c r="I63" t="inlineStr">
        <is>
          <t>Documentos de evaluación realizados</t>
        </is>
      </c>
      <c r="J63" t="inlineStr">
        <is>
          <t>2024254860013</t>
        </is>
      </c>
      <c r="K63" t="inlineStr">
        <is>
          <t>Si</t>
        </is>
      </c>
      <c r="L63" t="inlineStr">
        <is>
          <t>Número</t>
        </is>
      </c>
      <c r="M63">
        <v>4</v>
      </c>
      <c r="N63">
        <v>1</v>
      </c>
      <c r="O63">
        <v>1</v>
      </c>
      <c r="P63">
        <v>1</v>
      </c>
      <c r="Q63">
        <v>1</v>
      </c>
      <c r="R63">
        <v>0</v>
      </c>
      <c r="S63" s="103">
        <v>0</v>
      </c>
      <c r="T63" t="inlineStr">
        <is>
          <t>No se ejecutó en la vigencia</t>
        </is>
      </c>
      <c r="U63" t="inlineStr">
        <is>
          <t xml:space="preserve"> </t>
        </is>
      </c>
      <c r="V63" s="104" t="inlineStr">
        <is>
          <t xml:space="preserve"> </t>
        </is>
      </c>
      <c r="W63" t="inlineStr">
        <is>
          <t>No se encontró ejecución en PIIP</t>
        </is>
      </c>
    </row>
    <row r="64">
      <c r="A64" t="inlineStr">
        <is>
          <t>IP-62</t>
        </is>
      </c>
      <c r="B64" t="inlineStr">
        <is>
          <t>19</t>
        </is>
      </c>
      <c r="C64" t="inlineStr">
        <is>
          <t>Salud y protección social</t>
        </is>
      </c>
      <c r="D64" t="inlineStr">
        <is>
          <t>1903</t>
        </is>
      </c>
      <c r="E64" t="inlineStr">
        <is>
          <t>Inspección, vigilancia y control</t>
        </is>
      </c>
      <c r="F64" t="inlineStr">
        <is>
          <t>1903028</t>
        </is>
      </c>
      <c r="G64" t="inlineStr">
        <is>
          <t>Servicio de gestión de peticiones, quejas, reclamos y denuncias</t>
        </is>
      </c>
      <c r="H64" t="inlineStr">
        <is>
          <t>190302800</t>
        </is>
      </c>
      <c r="I64" t="inlineStr">
        <is>
          <t xml:space="preserve"> Preguntas Quejas Reclamos y Denuncias Gestionadas</t>
        </is>
      </c>
      <c r="J64" t="inlineStr">
        <is>
          <t>2024254860013</t>
        </is>
      </c>
      <c r="K64" t="inlineStr">
        <is>
          <t>No</t>
        </is>
      </c>
      <c r="L64" t="inlineStr">
        <is>
          <t>Número</t>
        </is>
      </c>
      <c r="M64">
        <v>250</v>
      </c>
      <c r="N64">
        <v>250</v>
      </c>
      <c r="O64">
        <v>250</v>
      </c>
      <c r="P64">
        <v>250</v>
      </c>
      <c r="Q64">
        <v>250</v>
      </c>
      <c r="R64" t="inlineStr">
        <is>
          <t xml:space="preserve"> </t>
        </is>
      </c>
      <c r="S64" s="103" t="inlineStr">
        <is>
          <t xml:space="preserve"> </t>
        </is>
      </c>
      <c r="T64" t="inlineStr">
        <is>
          <t>No se encontró ejecución en PIIP</t>
        </is>
      </c>
      <c r="U64" t="inlineStr">
        <is>
          <t xml:space="preserve"> </t>
        </is>
      </c>
      <c r="V64" s="104" t="inlineStr">
        <is>
          <t xml:space="preserve"> </t>
        </is>
      </c>
      <c r="W64" t="inlineStr">
        <is>
          <t>No se encontró ejecución en PIIP</t>
        </is>
      </c>
    </row>
    <row r="65">
      <c r="A65" t="inlineStr">
        <is>
          <t>IP-63</t>
        </is>
      </c>
      <c r="B65" t="inlineStr">
        <is>
          <t>19</t>
        </is>
      </c>
      <c r="C65" t="inlineStr">
        <is>
          <t>Salud y protección social</t>
        </is>
      </c>
      <c r="D65" t="inlineStr">
        <is>
          <t>1905</t>
        </is>
      </c>
      <c r="E65" t="inlineStr">
        <is>
          <t>Salud pública</t>
        </is>
      </c>
      <c r="F65" t="inlineStr">
        <is>
          <t>1905020</t>
        </is>
      </c>
      <c r="G65" t="inlineStr">
        <is>
          <t>Servicio de gestión del riesgo en temas de consumo de sustancias psicoactivas</t>
        </is>
      </c>
      <c r="H65" t="inlineStr">
        <is>
          <t>190502000</t>
        </is>
      </c>
      <c r="I65" t="inlineStr">
        <is>
          <t>Campañas de gestión del riesgo en temas de consumo de sustancias psicoactivas implementadas</t>
        </is>
      </c>
      <c r="J65" t="inlineStr">
        <is>
          <t>2024254860014</t>
        </is>
      </c>
      <c r="K65" t="inlineStr">
        <is>
          <t>Si</t>
        </is>
      </c>
      <c r="L65" t="inlineStr">
        <is>
          <t>Minutos</t>
        </is>
      </c>
      <c r="M65">
        <v>4</v>
      </c>
      <c r="N65">
        <v>1</v>
      </c>
      <c r="O65">
        <v>1</v>
      </c>
      <c r="P65">
        <v>1</v>
      </c>
      <c r="Q65">
        <v>1</v>
      </c>
      <c r="R65">
        <v>0</v>
      </c>
      <c r="S65" s="103">
        <v>0</v>
      </c>
      <c r="T65" t="inlineStr">
        <is>
          <t>No se ejecutó en la vigencia</t>
        </is>
      </c>
      <c r="U65" t="inlineStr">
        <is>
          <t xml:space="preserve"> </t>
        </is>
      </c>
      <c r="V65" s="104" t="inlineStr">
        <is>
          <t xml:space="preserve"> </t>
        </is>
      </c>
      <c r="W65" t="inlineStr">
        <is>
          <t>No se encontró ejecución en PIIP</t>
        </is>
      </c>
    </row>
    <row r="66">
      <c r="A66" t="inlineStr">
        <is>
          <t>IP-64</t>
        </is>
      </c>
      <c r="B66" t="inlineStr">
        <is>
          <t>19</t>
        </is>
      </c>
      <c r="C66" t="inlineStr">
        <is>
          <t>Salud y protección social</t>
        </is>
      </c>
      <c r="D66" t="inlineStr">
        <is>
          <t>1905</t>
        </is>
      </c>
      <c r="E66" t="inlineStr">
        <is>
          <t>Salud pública</t>
        </is>
      </c>
      <c r="F66" t="inlineStr">
        <is>
          <t>1905021</t>
        </is>
      </c>
      <c r="G66" t="inlineStr">
        <is>
          <t>Servicio de gestión del riesgo en temas de salud sexual y reproductiva</t>
        </is>
      </c>
      <c r="H66" t="inlineStr">
        <is>
          <t>190502100</t>
        </is>
      </c>
      <c r="I66" t="inlineStr">
        <is>
          <t>Campañas de gestión del riesgo en temas de salud sexual y reproductiva implementadas</t>
        </is>
      </c>
      <c r="J66" t="inlineStr">
        <is>
          <t>2024254860014</t>
        </is>
      </c>
      <c r="K66" t="inlineStr">
        <is>
          <t>Si</t>
        </is>
      </c>
      <c r="L66" t="inlineStr">
        <is>
          <t>Número</t>
        </is>
      </c>
      <c r="M66">
        <v>4</v>
      </c>
      <c r="N66">
        <v>1</v>
      </c>
      <c r="O66">
        <v>1</v>
      </c>
      <c r="P66">
        <v>1</v>
      </c>
      <c r="Q66">
        <v>1</v>
      </c>
      <c r="R66" t="inlineStr">
        <is>
          <t xml:space="preserve"> </t>
        </is>
      </c>
      <c r="S66" s="103" t="inlineStr">
        <is>
          <t xml:space="preserve"> </t>
        </is>
      </c>
      <c r="T66" t="inlineStr">
        <is>
          <t>No se encontró ejecución en PIIP</t>
        </is>
      </c>
      <c r="U66" t="inlineStr">
        <is>
          <t xml:space="preserve"> </t>
        </is>
      </c>
      <c r="V66" s="104" t="inlineStr">
        <is>
          <t xml:space="preserve"> </t>
        </is>
      </c>
      <c r="W66" t="inlineStr">
        <is>
          <t>No se encontró ejecución en PIIP</t>
        </is>
      </c>
    </row>
    <row r="67">
      <c r="A67" t="inlineStr">
        <is>
          <t>IP-65</t>
        </is>
      </c>
      <c r="B67" t="inlineStr">
        <is>
          <t>19</t>
        </is>
      </c>
      <c r="C67" t="inlineStr">
        <is>
          <t>Salud y protección social</t>
        </is>
      </c>
      <c r="D67" t="inlineStr">
        <is>
          <t>1905</t>
        </is>
      </c>
      <c r="E67" t="inlineStr">
        <is>
          <t>Salud pública</t>
        </is>
      </c>
      <c r="F67" t="inlineStr">
        <is>
          <t>1905022</t>
        </is>
      </c>
      <c r="G67" t="inlineStr">
        <is>
          <t>Servicio de gestión del riesgo en temas de trastornos mentales</t>
        </is>
      </c>
      <c r="H67" t="inlineStr">
        <is>
          <t>190502200</t>
        </is>
      </c>
      <c r="I67" t="inlineStr">
        <is>
          <t>Campañas de gestión del riesgo en temas de trastornos mentales implementadas</t>
        </is>
      </c>
      <c r="J67" t="inlineStr">
        <is>
          <t>2024254860014</t>
        </is>
      </c>
      <c r="K67" t="inlineStr">
        <is>
          <t>Si</t>
        </is>
      </c>
      <c r="L67" t="inlineStr">
        <is>
          <t>Número</t>
        </is>
      </c>
      <c r="M67">
        <v>4</v>
      </c>
      <c r="N67">
        <v>1</v>
      </c>
      <c r="O67">
        <v>1</v>
      </c>
      <c r="P67">
        <v>1</v>
      </c>
      <c r="Q67">
        <v>1</v>
      </c>
      <c r="R67" t="inlineStr">
        <is>
          <t xml:space="preserve"> </t>
        </is>
      </c>
      <c r="S67" s="103" t="inlineStr">
        <is>
          <t xml:space="preserve"> </t>
        </is>
      </c>
      <c r="T67" t="inlineStr">
        <is>
          <t>No se encontró ejecución en PIIP</t>
        </is>
      </c>
      <c r="U67" t="inlineStr">
        <is>
          <t xml:space="preserve"> </t>
        </is>
      </c>
      <c r="V67" s="104" t="inlineStr">
        <is>
          <t xml:space="preserve"> </t>
        </is>
      </c>
      <c r="W67" t="inlineStr">
        <is>
          <t>No se encontró ejecución en PIIP</t>
        </is>
      </c>
    </row>
    <row r="68">
      <c r="A68" t="inlineStr">
        <is>
          <t>IP-66</t>
        </is>
      </c>
      <c r="B68" t="inlineStr">
        <is>
          <t>19</t>
        </is>
      </c>
      <c r="C68" t="inlineStr">
        <is>
          <t>Salud y protección social</t>
        </is>
      </c>
      <c r="D68" t="inlineStr">
        <is>
          <t>1905</t>
        </is>
      </c>
      <c r="E68" t="inlineStr">
        <is>
          <t>Salud pública</t>
        </is>
      </c>
      <c r="F68" t="inlineStr">
        <is>
          <t>1905023</t>
        </is>
      </c>
      <c r="G68" t="inlineStr">
        <is>
          <t>Servicio de gestión del riesgo para abordar condiciones crónicas prevalentes</t>
        </is>
      </c>
      <c r="H68" t="inlineStr">
        <is>
          <t>190502300</t>
        </is>
      </c>
      <c r="I68" t="inlineStr">
        <is>
          <t>Campañas de gestión del riesgo para abordar condiciones crónicas prevalentes implementadas</t>
        </is>
      </c>
      <c r="J68" t="inlineStr">
        <is>
          <t>2024254860014</t>
        </is>
      </c>
      <c r="K68" t="inlineStr">
        <is>
          <t>Si</t>
        </is>
      </c>
      <c r="L68" t="inlineStr">
        <is>
          <t>Número</t>
        </is>
      </c>
      <c r="M68">
        <v>4</v>
      </c>
      <c r="N68">
        <v>1</v>
      </c>
      <c r="O68">
        <v>1</v>
      </c>
      <c r="P68">
        <v>1</v>
      </c>
      <c r="Q68">
        <v>1</v>
      </c>
      <c r="R68" t="inlineStr">
        <is>
          <t xml:space="preserve"> </t>
        </is>
      </c>
      <c r="S68" s="103" t="inlineStr">
        <is>
          <t xml:space="preserve"> </t>
        </is>
      </c>
      <c r="T68" t="inlineStr">
        <is>
          <t>No se encontró ejecución en PIIP</t>
        </is>
      </c>
      <c r="U68" t="inlineStr">
        <is>
          <t xml:space="preserve"> </t>
        </is>
      </c>
      <c r="V68" s="104" t="inlineStr">
        <is>
          <t xml:space="preserve"> </t>
        </is>
      </c>
      <c r="W68" t="inlineStr">
        <is>
          <t>No se encontró ejecución en PIIP</t>
        </is>
      </c>
    </row>
    <row r="69">
      <c r="A69" t="inlineStr">
        <is>
          <t>IP-67</t>
        </is>
      </c>
      <c r="B69" t="inlineStr">
        <is>
          <t>19</t>
        </is>
      </c>
      <c r="C69" t="inlineStr">
        <is>
          <t>Salud y protección social</t>
        </is>
      </c>
      <c r="D69" t="inlineStr">
        <is>
          <t>1905</t>
        </is>
      </c>
      <c r="E69" t="inlineStr">
        <is>
          <t>Salud pública</t>
        </is>
      </c>
      <c r="F69" t="inlineStr">
        <is>
          <t>1905024</t>
        </is>
      </c>
      <c r="G69" t="inlineStr">
        <is>
          <t>Servicio de gestión del riesgo para abordar situaciones de salud relacionadas con condiciones ambientales</t>
        </is>
      </c>
      <c r="H69" t="inlineStr">
        <is>
          <t>190502400</t>
        </is>
      </c>
      <c r="I69" t="inlineStr">
        <is>
          <t>Campañas de gestión del riesgo para abordar situaciones de salud relacionadas con condiciones ambientales implementadas</t>
        </is>
      </c>
      <c r="J69" t="inlineStr">
        <is>
          <t>2024254860014</t>
        </is>
      </c>
      <c r="K69" t="inlineStr">
        <is>
          <t>Si</t>
        </is>
      </c>
      <c r="L69" t="inlineStr">
        <is>
          <t>Número</t>
        </is>
      </c>
      <c r="M69">
        <v>4</v>
      </c>
      <c r="N69">
        <v>1</v>
      </c>
      <c r="O69">
        <v>1</v>
      </c>
      <c r="P69">
        <v>1</v>
      </c>
      <c r="Q69">
        <v>1</v>
      </c>
      <c r="R69">
        <v>0</v>
      </c>
      <c r="S69" s="103">
        <v>0</v>
      </c>
      <c r="T69" t="inlineStr">
        <is>
          <t>No se ejecutó en la vigencia</t>
        </is>
      </c>
      <c r="U69" t="inlineStr">
        <is>
          <t xml:space="preserve"> </t>
        </is>
      </c>
      <c r="V69" s="104" t="inlineStr">
        <is>
          <t xml:space="preserve"> </t>
        </is>
      </c>
      <c r="W69" t="inlineStr">
        <is>
          <t>No se encontró ejecución en PIIP</t>
        </is>
      </c>
    </row>
    <row r="70">
      <c r="A70" t="inlineStr">
        <is>
          <t>IP-68</t>
        </is>
      </c>
      <c r="B70" t="inlineStr">
        <is>
          <t>19</t>
        </is>
      </c>
      <c r="C70" t="inlineStr">
        <is>
          <t>Salud y protección social</t>
        </is>
      </c>
      <c r="D70" t="inlineStr">
        <is>
          <t>1905</t>
        </is>
      </c>
      <c r="E70" t="inlineStr">
        <is>
          <t>Salud pública</t>
        </is>
      </c>
      <c r="F70" t="inlineStr">
        <is>
          <t>1905025</t>
        </is>
      </c>
      <c r="G70" t="inlineStr">
        <is>
          <t>Servicio de gestión del riesgo para abordar situaciones prevalentes de origen laboral</t>
        </is>
      </c>
      <c r="H70" t="inlineStr">
        <is>
          <t>190502500</t>
        </is>
      </c>
      <c r="I70" t="inlineStr">
        <is>
          <t>Campañas de gestión del riesgo para abordar situaciones prevalentes de origen laboral implementadas</t>
        </is>
      </c>
      <c r="J70" t="inlineStr">
        <is>
          <t>2024254860014</t>
        </is>
      </c>
      <c r="K70" t="inlineStr">
        <is>
          <t>Si</t>
        </is>
      </c>
      <c r="L70" t="inlineStr">
        <is>
          <t>Número</t>
        </is>
      </c>
      <c r="M70">
        <v>4</v>
      </c>
      <c r="N70">
        <v>1</v>
      </c>
      <c r="O70">
        <v>1</v>
      </c>
      <c r="P70">
        <v>1</v>
      </c>
      <c r="Q70">
        <v>1</v>
      </c>
      <c r="R70" t="inlineStr">
        <is>
          <t xml:space="preserve"> </t>
        </is>
      </c>
      <c r="S70" s="103" t="inlineStr">
        <is>
          <t xml:space="preserve"> </t>
        </is>
      </c>
      <c r="T70" t="inlineStr">
        <is>
          <t>No se encontró ejecución en PIIP</t>
        </is>
      </c>
      <c r="U70" t="inlineStr">
        <is>
          <t xml:space="preserve"> </t>
        </is>
      </c>
      <c r="V70" s="104" t="inlineStr">
        <is>
          <t xml:space="preserve"> </t>
        </is>
      </c>
      <c r="W70" t="inlineStr">
        <is>
          <t>No se encontró ejecución en PIIP</t>
        </is>
      </c>
    </row>
    <row r="71">
      <c r="A71" t="inlineStr">
        <is>
          <t>IP-69</t>
        </is>
      </c>
      <c r="B71" t="inlineStr">
        <is>
          <t>19</t>
        </is>
      </c>
      <c r="C71" t="inlineStr">
        <is>
          <t>Salud y protección social</t>
        </is>
      </c>
      <c r="D71" t="inlineStr">
        <is>
          <t>1905</t>
        </is>
      </c>
      <c r="E71" t="inlineStr">
        <is>
          <t>Salud pública</t>
        </is>
      </c>
      <c r="F71" t="inlineStr">
        <is>
          <t>1905035</t>
        </is>
      </c>
      <c r="G71" t="inlineStr">
        <is>
          <t>Servicio de gestión territorial para atención en salud -pandemias- a población afectada por emergencias o desastres</t>
        </is>
      </c>
      <c r="H71" t="inlineStr">
        <is>
          <t>190503505</t>
        </is>
      </c>
      <c r="I71" t="inlineStr">
        <is>
          <t>Estrategias de gestión territorial para atención en salud -pandemias- a población afectada por emergencias o desastres implementadas</t>
        </is>
      </c>
      <c r="J71" t="inlineStr">
        <is>
          <t>2024254860014</t>
        </is>
      </c>
      <c r="K71" t="inlineStr">
        <is>
          <t>Si</t>
        </is>
      </c>
      <c r="L71" t="inlineStr">
        <is>
          <t>Número</t>
        </is>
      </c>
      <c r="M71">
        <v>4</v>
      </c>
      <c r="N71">
        <v>1</v>
      </c>
      <c r="O71">
        <v>1</v>
      </c>
      <c r="P71">
        <v>1</v>
      </c>
      <c r="Q71">
        <v>1</v>
      </c>
      <c r="R71" t="inlineStr">
        <is>
          <t xml:space="preserve"> </t>
        </is>
      </c>
      <c r="S71" s="103" t="inlineStr">
        <is>
          <t xml:space="preserve"> </t>
        </is>
      </c>
      <c r="T71" t="inlineStr">
        <is>
          <t>No se encontró ejecución en PIIP</t>
        </is>
      </c>
      <c r="U71" t="inlineStr">
        <is>
          <t xml:space="preserve"> </t>
        </is>
      </c>
      <c r="V71" s="104" t="inlineStr">
        <is>
          <t xml:space="preserve"> </t>
        </is>
      </c>
      <c r="W71" t="inlineStr">
        <is>
          <t>No se encontró ejecución en PIIP</t>
        </is>
      </c>
    </row>
    <row r="72">
      <c r="A72" t="inlineStr">
        <is>
          <t>IP-70</t>
        </is>
      </c>
      <c r="B72" t="inlineStr">
        <is>
          <t>19</t>
        </is>
      </c>
      <c r="C72" t="inlineStr">
        <is>
          <t>Salud y protección social</t>
        </is>
      </c>
      <c r="D72" t="inlineStr">
        <is>
          <t>1905</t>
        </is>
      </c>
      <c r="E72" t="inlineStr">
        <is>
          <t>Salud pública</t>
        </is>
      </c>
      <c r="F72" t="inlineStr">
        <is>
          <t>1905054</t>
        </is>
      </c>
      <c r="G72" t="inlineStr">
        <is>
          <t>Servicio de promoción de la salud</t>
        </is>
      </c>
      <c r="H72" t="inlineStr">
        <is>
          <t>190505400</t>
        </is>
      </c>
      <c r="I72" t="inlineStr">
        <is>
          <t>Estrategias de promoción de la salud implementadas</t>
        </is>
      </c>
      <c r="J72" t="inlineStr">
        <is>
          <t>2024254860014</t>
        </is>
      </c>
      <c r="K72" t="inlineStr">
        <is>
          <t>No</t>
        </is>
      </c>
      <c r="L72" t="inlineStr">
        <is>
          <t>Número</t>
        </is>
      </c>
      <c r="M72">
        <v>1</v>
      </c>
      <c r="N72">
        <v>1</v>
      </c>
      <c r="O72">
        <v>1</v>
      </c>
      <c r="P72">
        <v>1</v>
      </c>
      <c r="Q72">
        <v>1</v>
      </c>
      <c r="R72" t="inlineStr">
        <is>
          <t xml:space="preserve"> </t>
        </is>
      </c>
      <c r="S72" s="103" t="inlineStr">
        <is>
          <t xml:space="preserve"> </t>
        </is>
      </c>
      <c r="T72" t="inlineStr">
        <is>
          <t>No se encontró ejecución en PIIP</t>
        </is>
      </c>
      <c r="U72" t="inlineStr">
        <is>
          <t xml:space="preserve"> </t>
        </is>
      </c>
      <c r="V72" s="104" t="inlineStr">
        <is>
          <t xml:space="preserve"> </t>
        </is>
      </c>
      <c r="W72" t="inlineStr">
        <is>
          <t>No se encontró ejecución en PIIP</t>
        </is>
      </c>
    </row>
    <row r="73">
      <c r="A73" t="inlineStr">
        <is>
          <t>IP-71</t>
        </is>
      </c>
      <c r="B73" t="inlineStr">
        <is>
          <t>19</t>
        </is>
      </c>
      <c r="C73" t="inlineStr">
        <is>
          <t>Salud y protección social</t>
        </is>
      </c>
      <c r="D73" t="inlineStr">
        <is>
          <t>1905</t>
        </is>
      </c>
      <c r="E73" t="inlineStr">
        <is>
          <t>Salud pública</t>
        </is>
      </c>
      <c r="F73" t="inlineStr">
        <is>
          <t>1905026</t>
        </is>
      </c>
      <c r="G73" t="inlineStr">
        <is>
          <t>Servicio de gestión del riesgo para enfermedades emergentes, reemergentes y desatendidas</t>
        </is>
      </c>
      <c r="H73" t="inlineStr">
        <is>
          <t>190502600</t>
        </is>
      </c>
      <c r="I73" t="inlineStr">
        <is>
          <t>Campañas de gestión del riesgo para enfermedades emergentes, reemergentes y desatendidas implementadas</t>
        </is>
      </c>
      <c r="J73" t="inlineStr">
        <is>
          <t>2024254860014</t>
        </is>
      </c>
      <c r="K73" t="inlineStr">
        <is>
          <t>Si</t>
        </is>
      </c>
      <c r="L73" t="inlineStr">
        <is>
          <t>Número</t>
        </is>
      </c>
      <c r="M73">
        <v>4</v>
      </c>
      <c r="N73">
        <v>1</v>
      </c>
      <c r="O73">
        <v>1</v>
      </c>
      <c r="P73">
        <v>1</v>
      </c>
      <c r="Q73">
        <v>1</v>
      </c>
      <c r="R73" t="inlineStr">
        <is>
          <t xml:space="preserve"> </t>
        </is>
      </c>
      <c r="S73" s="103" t="inlineStr">
        <is>
          <t xml:space="preserve"> </t>
        </is>
      </c>
      <c r="T73" t="inlineStr">
        <is>
          <t>No se encontró ejecución en PIIP</t>
        </is>
      </c>
      <c r="U73" t="inlineStr">
        <is>
          <t xml:space="preserve"> </t>
        </is>
      </c>
      <c r="V73" s="104" t="inlineStr">
        <is>
          <t xml:space="preserve"> </t>
        </is>
      </c>
      <c r="W73" t="inlineStr">
        <is>
          <t>No se encontró ejecución en PIIP</t>
        </is>
      </c>
    </row>
    <row r="74">
      <c r="A74" t="inlineStr">
        <is>
          <t>IP-72</t>
        </is>
      </c>
      <c r="B74" t="inlineStr">
        <is>
          <t>19</t>
        </is>
      </c>
      <c r="C74" t="inlineStr">
        <is>
          <t>Salud y protección social</t>
        </is>
      </c>
      <c r="D74" t="inlineStr">
        <is>
          <t>1905</t>
        </is>
      </c>
      <c r="E74" t="inlineStr">
        <is>
          <t>Salud pública</t>
        </is>
      </c>
      <c r="F74" t="inlineStr">
        <is>
          <t>1905027</t>
        </is>
      </c>
      <c r="G74" t="inlineStr">
        <is>
          <t>Servicio de gestión del riesgo para enfermedades inmunoprevenibles</t>
        </is>
      </c>
      <c r="H74" t="inlineStr">
        <is>
          <t>190502700</t>
        </is>
      </c>
      <c r="I74" t="inlineStr">
        <is>
          <t>Campañas de gestión del riesgo para enfermedades inmunoprevenibles  implementadas</t>
        </is>
      </c>
      <c r="J74" t="inlineStr">
        <is>
          <t>2024254860014</t>
        </is>
      </c>
      <c r="K74" t="inlineStr">
        <is>
          <t>Si</t>
        </is>
      </c>
      <c r="L74" t="inlineStr">
        <is>
          <t>Número</t>
        </is>
      </c>
      <c r="M74">
        <v>4</v>
      </c>
      <c r="N74">
        <v>1</v>
      </c>
      <c r="O74">
        <v>1</v>
      </c>
      <c r="P74">
        <v>1</v>
      </c>
      <c r="Q74">
        <v>1</v>
      </c>
      <c r="R74" t="inlineStr">
        <is>
          <t xml:space="preserve"> </t>
        </is>
      </c>
      <c r="S74" s="103" t="inlineStr">
        <is>
          <t xml:space="preserve"> </t>
        </is>
      </c>
      <c r="T74" t="inlineStr">
        <is>
          <t>No se encontró ejecución en PIIP</t>
        </is>
      </c>
      <c r="U74" t="inlineStr">
        <is>
          <t xml:space="preserve"> </t>
        </is>
      </c>
      <c r="V74" s="104" t="inlineStr">
        <is>
          <t xml:space="preserve"> </t>
        </is>
      </c>
      <c r="W74" t="inlineStr">
        <is>
          <t>No se encontró ejecución en PIIP</t>
        </is>
      </c>
    </row>
    <row r="75">
      <c r="A75" t="inlineStr">
        <is>
          <t>IP-73</t>
        </is>
      </c>
      <c r="B75" t="inlineStr">
        <is>
          <t>19</t>
        </is>
      </c>
      <c r="C75" t="inlineStr">
        <is>
          <t>Salud y protección social</t>
        </is>
      </c>
      <c r="D75" t="inlineStr">
        <is>
          <t>1905</t>
        </is>
      </c>
      <c r="E75" t="inlineStr">
        <is>
          <t>Salud pública</t>
        </is>
      </c>
      <c r="F75" t="inlineStr">
        <is>
          <t>1905028</t>
        </is>
      </c>
      <c r="G75" t="inlineStr">
        <is>
          <t>Servicio de gestión del riesgo para temas de consumo, aprovechamiento biológico, calidad e inocuidad de los alimentos</t>
        </is>
      </c>
      <c r="H75" t="inlineStr">
        <is>
          <t>190502800</t>
        </is>
      </c>
      <c r="I75" t="inlineStr">
        <is>
          <t>Campañas de gestión del riesgo para temas de consumo, aprovechamiento biológico, calidad e inocuidad de los alimentos implementadas</t>
        </is>
      </c>
      <c r="J75" t="inlineStr">
        <is>
          <t>2024254860014</t>
        </is>
      </c>
      <c r="K75" t="inlineStr">
        <is>
          <t>Si</t>
        </is>
      </c>
      <c r="L75" t="inlineStr">
        <is>
          <t>Número</t>
        </is>
      </c>
      <c r="M75">
        <v>4</v>
      </c>
      <c r="N75">
        <v>1</v>
      </c>
      <c r="O75">
        <v>1</v>
      </c>
      <c r="P75">
        <v>1</v>
      </c>
      <c r="Q75">
        <v>1</v>
      </c>
      <c r="R75" t="inlineStr">
        <is>
          <t xml:space="preserve"> </t>
        </is>
      </c>
      <c r="S75" s="103" t="inlineStr">
        <is>
          <t xml:space="preserve"> </t>
        </is>
      </c>
      <c r="T75" t="inlineStr">
        <is>
          <t>No se encontró ejecución en PIIP</t>
        </is>
      </c>
      <c r="U75" t="inlineStr">
        <is>
          <t xml:space="preserve"> </t>
        </is>
      </c>
      <c r="V75" s="104" t="inlineStr">
        <is>
          <t xml:space="preserve"> </t>
        </is>
      </c>
      <c r="W75" t="inlineStr">
        <is>
          <t>No se encontró ejecución en PIIP</t>
        </is>
      </c>
    </row>
    <row r="76">
      <c r="A76" t="inlineStr">
        <is>
          <t>IP-74</t>
        </is>
      </c>
      <c r="B76" t="inlineStr">
        <is>
          <t>19</t>
        </is>
      </c>
      <c r="C76" t="inlineStr">
        <is>
          <t>Salud y protección social</t>
        </is>
      </c>
      <c r="D76" t="inlineStr">
        <is>
          <t>1905</t>
        </is>
      </c>
      <c r="E76" t="inlineStr">
        <is>
          <t>Salud pública</t>
        </is>
      </c>
      <c r="F76" t="inlineStr">
        <is>
          <t>1905031</t>
        </is>
      </c>
      <c r="G76" t="inlineStr">
        <is>
          <t>Servicio de promoción de la salud y prevención de riesgos asociados a condiciones no transmisibles</t>
        </is>
      </c>
      <c r="H76" t="inlineStr">
        <is>
          <t>190503100</t>
        </is>
      </c>
      <c r="I76" t="inlineStr">
        <is>
          <t>Campañas de promoción de la salud  y prevención de riesgos asociados a condiciones no transmisibles implementadas</t>
        </is>
      </c>
      <c r="J76" t="inlineStr">
        <is>
          <t>2024254860014</t>
        </is>
      </c>
      <c r="K76" t="inlineStr">
        <is>
          <t>Si</t>
        </is>
      </c>
      <c r="L76" t="inlineStr">
        <is>
          <t>Número</t>
        </is>
      </c>
      <c r="M76">
        <v>4</v>
      </c>
      <c r="N76">
        <v>1</v>
      </c>
      <c r="O76">
        <v>1</v>
      </c>
      <c r="P76">
        <v>1</v>
      </c>
      <c r="Q76">
        <v>1</v>
      </c>
      <c r="R76" t="inlineStr">
        <is>
          <t xml:space="preserve"> </t>
        </is>
      </c>
      <c r="S76" s="103" t="inlineStr">
        <is>
          <t xml:space="preserve"> </t>
        </is>
      </c>
      <c r="T76" t="inlineStr">
        <is>
          <t>No se encontró ejecución en PIIP</t>
        </is>
      </c>
      <c r="U76" t="inlineStr">
        <is>
          <t xml:space="preserve"> </t>
        </is>
      </c>
      <c r="V76" s="104" t="inlineStr">
        <is>
          <t xml:space="preserve"> </t>
        </is>
      </c>
      <c r="W76" t="inlineStr">
        <is>
          <t>No se encontró ejecución en PIIP</t>
        </is>
      </c>
    </row>
    <row r="77">
      <c r="A77" t="inlineStr">
        <is>
          <t>IP-75</t>
        </is>
      </c>
      <c r="B77" t="inlineStr">
        <is>
          <t>19</t>
        </is>
      </c>
      <c r="C77" t="inlineStr">
        <is>
          <t>Salud y protección social</t>
        </is>
      </c>
      <c r="D77" t="inlineStr">
        <is>
          <t>1906</t>
        </is>
      </c>
      <c r="E77" t="inlineStr">
        <is>
          <t>Aseguramiento y prestación integral de servicios de salud</t>
        </is>
      </c>
      <c r="F77" t="inlineStr">
        <is>
          <t>1906044</t>
        </is>
      </c>
      <c r="G77" t="inlineStr">
        <is>
          <t>Servicio de afiliaciones al régimen subsidiado del Sistema General de Seguridad Social</t>
        </is>
      </c>
      <c r="H77" t="inlineStr">
        <is>
          <t>190604400</t>
        </is>
      </c>
      <c r="I77" t="inlineStr">
        <is>
          <t>Personas afiliadas al régimen subsidiado</t>
        </is>
      </c>
      <c r="J77" t="inlineStr">
        <is>
          <t>2024254860015</t>
        </is>
      </c>
      <c r="K77" t="inlineStr">
        <is>
          <t>No</t>
        </is>
      </c>
      <c r="L77" t="inlineStr">
        <is>
          <t>Número</t>
        </is>
      </c>
      <c r="M77">
        <v>3775</v>
      </c>
      <c r="N77">
        <v>3775</v>
      </c>
      <c r="O77">
        <v>3775</v>
      </c>
      <c r="P77">
        <v>3775</v>
      </c>
      <c r="Q77">
        <v>3775</v>
      </c>
      <c r="R77" t="inlineStr">
        <is>
          <t xml:space="preserve"> </t>
        </is>
      </c>
      <c r="S77" s="103" t="inlineStr">
        <is>
          <t xml:space="preserve"> </t>
        </is>
      </c>
      <c r="T77" t="inlineStr">
        <is>
          <t>No se encontró ejecución en PIIP</t>
        </is>
      </c>
      <c r="U77" t="inlineStr">
        <is>
          <t xml:space="preserve"> </t>
        </is>
      </c>
      <c r="V77" s="104" t="inlineStr">
        <is>
          <t xml:space="preserve"> </t>
        </is>
      </c>
      <c r="W77" t="inlineStr">
        <is>
          <t>No se encontró ejecución en PIIP</t>
        </is>
      </c>
    </row>
    <row r="78">
      <c r="A78" t="inlineStr">
        <is>
          <t>IP-76</t>
        </is>
      </c>
      <c r="B78" t="inlineStr">
        <is>
          <t>19</t>
        </is>
      </c>
      <c r="C78" t="inlineStr">
        <is>
          <t>Salud y protección social</t>
        </is>
      </c>
      <c r="D78" t="inlineStr">
        <is>
          <t>1906</t>
        </is>
      </c>
      <c r="E78" t="inlineStr">
        <is>
          <t>Aseguramiento y prestación integral de servicios de salud</t>
        </is>
      </c>
      <c r="F78" t="inlineStr">
        <is>
          <t>1906047</t>
        </is>
      </c>
      <c r="G78" t="inlineStr">
        <is>
          <t>Hospitales de primer nivel de atención construidos</t>
        </is>
      </c>
      <c r="H78" t="inlineStr">
        <is>
          <t>190604700</t>
        </is>
      </c>
      <c r="I78" t="inlineStr">
        <is>
          <t>Hospitales de primer nivel de atención construidos</t>
        </is>
      </c>
      <c r="J78" t="inlineStr">
        <is>
          <t>2024254860015</t>
        </is>
      </c>
      <c r="K78" t="inlineStr">
        <is>
          <t>No</t>
        </is>
      </c>
      <c r="L78" t="inlineStr">
        <is>
          <t>Número</t>
        </is>
      </c>
      <c r="M78">
        <v>1</v>
      </c>
      <c r="N78">
        <v>1</v>
      </c>
      <c r="O78">
        <v>1</v>
      </c>
      <c r="P78">
        <v>1</v>
      </c>
      <c r="Q78">
        <v>1</v>
      </c>
      <c r="R78" t="inlineStr">
        <is>
          <t xml:space="preserve"> </t>
        </is>
      </c>
      <c r="S78" s="103" t="inlineStr">
        <is>
          <t xml:space="preserve"> </t>
        </is>
      </c>
      <c r="T78" t="inlineStr">
        <is>
          <t>No se encontró ejecución en PIIP</t>
        </is>
      </c>
      <c r="U78" t="inlineStr">
        <is>
          <t xml:space="preserve"> </t>
        </is>
      </c>
      <c r="V78" s="104" t="inlineStr">
        <is>
          <t xml:space="preserve"> </t>
        </is>
      </c>
      <c r="W78" t="inlineStr">
        <is>
          <t>No se encontró ejecución en PIIP</t>
        </is>
      </c>
    </row>
    <row r="79">
      <c r="A79" t="inlineStr">
        <is>
          <t>IP-77, IP-78, IP-79</t>
        </is>
      </c>
      <c r="B79" t="inlineStr">
        <is>
          <t>22</t>
        </is>
      </c>
      <c r="C79" t="inlineStr">
        <is>
          <t>Educación</t>
        </is>
      </c>
      <c r="D79" t="inlineStr">
        <is>
          <t>2201</t>
        </is>
      </c>
      <c r="E79" t="inlineStr">
        <is>
          <t>Calidad, cobertura y fortalecimiento de la educación inicial, prescolar, básica y media</t>
        </is>
      </c>
      <c r="F79" t="inlineStr">
        <is>
          <t>2201034</t>
        </is>
      </c>
      <c r="G79" t="inlineStr">
        <is>
          <t>Servicio educativos de promoción del bilingüismo</t>
        </is>
      </c>
      <c r="H79" t="inlineStr">
        <is>
          <t>220103400</t>
        </is>
      </c>
      <c r="I79" t="inlineStr">
        <is>
          <t>Estudiantes beneficiados con estrategias de promoción del bilingüismo</t>
        </is>
      </c>
      <c r="J79" t="inlineStr">
        <is>
          <t>2024254860016</t>
        </is>
      </c>
      <c r="K79" t="inlineStr">
        <is>
          <t>Si</t>
        </is>
      </c>
      <c r="L79" t="inlineStr">
        <is>
          <t>Número</t>
        </is>
      </c>
      <c r="M79">
        <v>3022</v>
      </c>
      <c r="N79">
        <v>0</v>
      </c>
      <c r="O79">
        <v>1007</v>
      </c>
      <c r="P79">
        <v>1007</v>
      </c>
      <c r="Q79">
        <v>1008</v>
      </c>
      <c r="R79" t="inlineStr">
        <is>
          <t xml:space="preserve"> </t>
        </is>
      </c>
      <c r="S79" s="103" t="inlineStr">
        <is>
          <t xml:space="preserve"> </t>
        </is>
      </c>
      <c r="T79" t="inlineStr">
        <is>
          <t>No se encontró ejecución en PIIP</t>
        </is>
      </c>
      <c r="U79" t="inlineStr">
        <is>
          <t xml:space="preserve"> </t>
        </is>
      </c>
      <c r="V79" s="104" t="inlineStr">
        <is>
          <t xml:space="preserve"> </t>
        </is>
      </c>
      <c r="W79" t="inlineStr">
        <is>
          <t>No se encontró ejecución en PIIP</t>
        </is>
      </c>
    </row>
    <row r="80">
      <c r="A80" t="inlineStr">
        <is>
          <t>IP-80</t>
        </is>
      </c>
      <c r="B80" t="inlineStr">
        <is>
          <t>22</t>
        </is>
      </c>
      <c r="C80" t="inlineStr">
        <is>
          <t>Educación</t>
        </is>
      </c>
      <c r="D80" t="inlineStr">
        <is>
          <t>2201</t>
        </is>
      </c>
      <c r="E80" t="inlineStr">
        <is>
          <t>Calidad, cobertura y fortalecimiento de la educación inicial, prescolar, básica y media</t>
        </is>
      </c>
      <c r="F80" t="inlineStr">
        <is>
          <t>2201032</t>
        </is>
      </c>
      <c r="G80" t="inlineStr">
        <is>
          <t>Servicio de alfabetización</t>
        </is>
      </c>
      <c r="H80" t="inlineStr">
        <is>
          <t>220103200</t>
        </is>
      </c>
      <c r="I80" t="inlineStr">
        <is>
          <t xml:space="preserve">Personas beneficiarias con modelos de alfabetización </t>
        </is>
      </c>
      <c r="J80" t="inlineStr">
        <is>
          <t>2024254860016</t>
        </is>
      </c>
      <c r="K80" t="inlineStr">
        <is>
          <t>Si</t>
        </is>
      </c>
      <c r="L80" t="inlineStr">
        <is>
          <t>Número</t>
        </is>
      </c>
      <c r="M80">
        <v>402</v>
      </c>
      <c r="N80">
        <v>0</v>
      </c>
      <c r="O80">
        <v>134</v>
      </c>
      <c r="P80">
        <v>134</v>
      </c>
      <c r="Q80">
        <v>134</v>
      </c>
      <c r="R80" t="inlineStr">
        <is>
          <t xml:space="preserve"> </t>
        </is>
      </c>
      <c r="S80" s="103" t="inlineStr">
        <is>
          <t xml:space="preserve"> </t>
        </is>
      </c>
      <c r="T80" t="inlineStr">
        <is>
          <t>No se encontró ejecución en PIIP</t>
        </is>
      </c>
      <c r="U80" t="inlineStr">
        <is>
          <t xml:space="preserve"> </t>
        </is>
      </c>
      <c r="V80" s="104" t="inlineStr">
        <is>
          <t xml:space="preserve"> </t>
        </is>
      </c>
      <c r="W80" t="inlineStr">
        <is>
          <t>No se encontró ejecución en PIIP</t>
        </is>
      </c>
    </row>
    <row r="81">
      <c r="A81" t="inlineStr">
        <is>
          <t>IP-81</t>
        </is>
      </c>
      <c r="B81" t="inlineStr">
        <is>
          <t>22</t>
        </is>
      </c>
      <c r="C81" t="inlineStr">
        <is>
          <t>Educación</t>
        </is>
      </c>
      <c r="D81" t="inlineStr">
        <is>
          <t>2201</t>
        </is>
      </c>
      <c r="E81" t="inlineStr">
        <is>
          <t>Calidad, cobertura y fortalecimiento de la educación inicial, prescolar, básica y media</t>
        </is>
      </c>
      <c r="F81" t="inlineStr">
        <is>
          <t>2201039</t>
        </is>
      </c>
      <c r="G81" t="inlineStr">
        <is>
          <t>Estudios y diseños de infraestructura educativa</t>
        </is>
      </c>
      <c r="H81" t="inlineStr">
        <is>
          <t>220103900</t>
        </is>
      </c>
      <c r="I81" t="inlineStr">
        <is>
          <t>Estudios y diseños de infraestructura educativa elaborados</t>
        </is>
      </c>
      <c r="J81" t="inlineStr">
        <is>
          <t>2024254860016</t>
        </is>
      </c>
      <c r="K81" t="inlineStr">
        <is>
          <t>Si</t>
        </is>
      </c>
      <c r="L81" t="inlineStr">
        <is>
          <t>Número</t>
        </is>
      </c>
      <c r="M81">
        <v>1</v>
      </c>
      <c r="N81">
        <v>0</v>
      </c>
      <c r="O81">
        <v>1</v>
      </c>
      <c r="P81">
        <v>0</v>
      </c>
      <c r="Q81">
        <v>0</v>
      </c>
      <c r="R81" t="inlineStr">
        <is>
          <t xml:space="preserve"> </t>
        </is>
      </c>
      <c r="S81" s="103" t="inlineStr">
        <is>
          <t xml:space="preserve"> </t>
        </is>
      </c>
      <c r="T81" t="inlineStr">
        <is>
          <t>No se encontró ejecución en PIIP</t>
        </is>
      </c>
      <c r="U81" t="inlineStr">
        <is>
          <t xml:space="preserve"> </t>
        </is>
      </c>
      <c r="V81" s="104" t="inlineStr">
        <is>
          <t xml:space="preserve"> </t>
        </is>
      </c>
      <c r="W81" t="inlineStr">
        <is>
          <t>No se encontró ejecución en PIIP</t>
        </is>
      </c>
    </row>
    <row r="82">
      <c r="A82" t="inlineStr">
        <is>
          <t>IP-82</t>
        </is>
      </c>
      <c r="B82" t="inlineStr">
        <is>
          <t>22</t>
        </is>
      </c>
      <c r="C82" t="inlineStr">
        <is>
          <t>Educación</t>
        </is>
      </c>
      <c r="D82" t="inlineStr">
        <is>
          <t>2201</t>
        </is>
      </c>
      <c r="E82" t="inlineStr">
        <is>
          <t>Calidad, cobertura y fortalecimiento de la educación inicial, prescolar, básica y media</t>
        </is>
      </c>
      <c r="F82" t="inlineStr">
        <is>
          <t>2201073</t>
        </is>
      </c>
      <c r="G82" t="inlineStr">
        <is>
          <t>Servicio de evaluación de la calidad de la educación inicial, preescolar, básica y media</t>
        </is>
      </c>
      <c r="H82" t="inlineStr">
        <is>
          <t>220107308</t>
        </is>
      </c>
      <c r="I82" t="inlineStr">
        <is>
          <t>Simulacros realizados</t>
        </is>
      </c>
      <c r="J82" t="inlineStr">
        <is>
          <t>2024254860016</t>
        </is>
      </c>
      <c r="K82" t="inlineStr">
        <is>
          <t>Si</t>
        </is>
      </c>
      <c r="L82" t="inlineStr">
        <is>
          <t>Número</t>
        </is>
      </c>
      <c r="M82">
        <v>4</v>
      </c>
      <c r="N82">
        <v>1</v>
      </c>
      <c r="O82">
        <v>1</v>
      </c>
      <c r="P82">
        <v>1</v>
      </c>
      <c r="Q82">
        <v>1</v>
      </c>
      <c r="R82" t="inlineStr">
        <is>
          <t xml:space="preserve"> </t>
        </is>
      </c>
      <c r="S82" s="103" t="inlineStr">
        <is>
          <t xml:space="preserve"> </t>
        </is>
      </c>
      <c r="T82" t="inlineStr">
        <is>
          <t>No se encontró ejecución en PIIP</t>
        </is>
      </c>
      <c r="U82" t="inlineStr">
        <is>
          <t xml:space="preserve"> </t>
        </is>
      </c>
      <c r="V82" s="104" t="inlineStr">
        <is>
          <t xml:space="preserve"> </t>
        </is>
      </c>
      <c r="W82" t="inlineStr">
        <is>
          <t>No se encontró ejecución en PIIP</t>
        </is>
      </c>
    </row>
    <row r="83">
      <c r="A83" t="inlineStr">
        <is>
          <t>IP-84</t>
        </is>
      </c>
      <c r="B83" t="inlineStr">
        <is>
          <t>22</t>
        </is>
      </c>
      <c r="C83" t="inlineStr">
        <is>
          <t>Educación</t>
        </is>
      </c>
      <c r="D83" t="inlineStr">
        <is>
          <t>2201</t>
        </is>
      </c>
      <c r="E83" t="inlineStr">
        <is>
          <t>Calidad, cobertura y fortalecimiento de la educación inicial, prescolar, básica y media</t>
        </is>
      </c>
      <c r="F83" t="inlineStr">
        <is>
          <t>2201026</t>
        </is>
      </c>
      <c r="G83" t="inlineStr">
        <is>
          <t>Servicio de acondicionamiento de ambientes de aprendizaje</t>
        </is>
      </c>
      <c r="H83" t="inlineStr">
        <is>
          <t>220102600</t>
        </is>
      </c>
      <c r="I83" t="inlineStr">
        <is>
          <t>Ambientes de aprendizaje en funcionamiento</t>
        </is>
      </c>
      <c r="J83" t="inlineStr">
        <is>
          <t>2024254860016</t>
        </is>
      </c>
      <c r="K83" t="inlineStr">
        <is>
          <t>Si</t>
        </is>
      </c>
      <c r="L83" t="inlineStr">
        <is>
          <t>Número</t>
        </is>
      </c>
      <c r="M83">
        <v>13</v>
      </c>
      <c r="N83">
        <v>0</v>
      </c>
      <c r="O83">
        <v>4</v>
      </c>
      <c r="P83">
        <v>4</v>
      </c>
      <c r="Q83">
        <v>5</v>
      </c>
      <c r="R83" t="inlineStr">
        <is>
          <t xml:space="preserve"> </t>
        </is>
      </c>
      <c r="S83" s="103" t="inlineStr">
        <is>
          <t xml:space="preserve"> </t>
        </is>
      </c>
      <c r="T83" t="inlineStr">
        <is>
          <t>No se encontró ejecución en PIIP</t>
        </is>
      </c>
      <c r="U83" t="inlineStr">
        <is>
          <t xml:space="preserve"> </t>
        </is>
      </c>
      <c r="V83" s="104" t="inlineStr">
        <is>
          <t xml:space="preserve"> </t>
        </is>
      </c>
      <c r="W83" t="inlineStr">
        <is>
          <t>No se encontró ejecución en PIIP</t>
        </is>
      </c>
    </row>
    <row r="84">
      <c r="A84" t="inlineStr">
        <is>
          <t>IP-85</t>
        </is>
      </c>
      <c r="B84" t="inlineStr">
        <is>
          <t>22</t>
        </is>
      </c>
      <c r="C84" t="inlineStr">
        <is>
          <t>Educación</t>
        </is>
      </c>
      <c r="D84" t="inlineStr">
        <is>
          <t>2201</t>
        </is>
      </c>
      <c r="E84" t="inlineStr">
        <is>
          <t>Calidad, cobertura y fortalecimiento de la educación inicial, prescolar, básica y media</t>
        </is>
      </c>
      <c r="F84" t="inlineStr">
        <is>
          <t>2201029</t>
        </is>
      </c>
      <c r="G84" t="inlineStr">
        <is>
          <t>Servicio de apoyo a la permanencia con transporte escolar</t>
        </is>
      </c>
      <c r="H84" t="inlineStr">
        <is>
          <t>220102902</t>
        </is>
      </c>
      <c r="I84" t="inlineStr">
        <is>
          <t>Estrategias de movilidad escolar implementadas</t>
        </is>
      </c>
      <c r="J84" t="inlineStr">
        <is>
          <t>2024254860016</t>
        </is>
      </c>
      <c r="K84" t="inlineStr">
        <is>
          <t>Si</t>
        </is>
      </c>
      <c r="L84" t="inlineStr">
        <is>
          <t>Número</t>
        </is>
      </c>
      <c r="M84">
        <v>4</v>
      </c>
      <c r="N84">
        <v>1</v>
      </c>
      <c r="O84">
        <v>1</v>
      </c>
      <c r="P84">
        <v>1</v>
      </c>
      <c r="Q84">
        <v>1</v>
      </c>
      <c r="R84" t="inlineStr">
        <is>
          <t xml:space="preserve"> </t>
        </is>
      </c>
      <c r="S84" s="103" t="inlineStr">
        <is>
          <t xml:space="preserve"> </t>
        </is>
      </c>
      <c r="T84" t="inlineStr">
        <is>
          <t>No se encontró ejecución en PIIP</t>
        </is>
      </c>
      <c r="U84" t="inlineStr">
        <is>
          <t xml:space="preserve"> </t>
        </is>
      </c>
      <c r="V84" s="104" t="inlineStr">
        <is>
          <t xml:space="preserve"> </t>
        </is>
      </c>
      <c r="W84" t="inlineStr">
        <is>
          <t>No se encontró ejecución en PIIP</t>
        </is>
      </c>
    </row>
    <row r="85">
      <c r="A85" t="inlineStr">
        <is>
          <t>IP-86</t>
        </is>
      </c>
      <c r="B85" t="inlineStr">
        <is>
          <t>22</t>
        </is>
      </c>
      <c r="C85" t="inlineStr">
        <is>
          <t>Educación</t>
        </is>
      </c>
      <c r="D85" t="inlineStr">
        <is>
          <t>2201</t>
        </is>
      </c>
      <c r="E85" t="inlineStr">
        <is>
          <t>Calidad, cobertura y fortalecimiento de la educación inicial, prescolar, básica y media</t>
        </is>
      </c>
      <c r="F85" t="inlineStr">
        <is>
          <t>2201052</t>
        </is>
      </c>
      <c r="G85" t="inlineStr">
        <is>
          <t>Infraestructura educativa mejorada</t>
        </is>
      </c>
      <c r="H85" t="inlineStr">
        <is>
          <t>220105205</t>
        </is>
      </c>
      <c r="I85" t="inlineStr">
        <is>
          <t>Comedor – Cocina mejorado intervenido</t>
        </is>
      </c>
      <c r="J85" t="inlineStr">
        <is>
          <t>2024254860016</t>
        </is>
      </c>
      <c r="K85" t="inlineStr">
        <is>
          <t>Si</t>
        </is>
      </c>
      <c r="L85" t="inlineStr">
        <is>
          <t>Número</t>
        </is>
      </c>
      <c r="M85">
        <v>13</v>
      </c>
      <c r="N85">
        <v>0</v>
      </c>
      <c r="O85">
        <v>4</v>
      </c>
      <c r="P85">
        <v>4</v>
      </c>
      <c r="Q85">
        <v>5</v>
      </c>
      <c r="R85" t="inlineStr">
        <is>
          <t xml:space="preserve"> </t>
        </is>
      </c>
      <c r="S85" s="103" t="inlineStr">
        <is>
          <t xml:space="preserve"> </t>
        </is>
      </c>
      <c r="T85" t="inlineStr">
        <is>
          <t>No se encontró ejecución en PIIP</t>
        </is>
      </c>
      <c r="U85" t="inlineStr">
        <is>
          <t xml:space="preserve"> </t>
        </is>
      </c>
      <c r="V85" s="104" t="inlineStr">
        <is>
          <t xml:space="preserve"> </t>
        </is>
      </c>
      <c r="W85" t="inlineStr">
        <is>
          <t>No se encontró ejecución en PIIP</t>
        </is>
      </c>
    </row>
    <row r="86">
      <c r="A86" t="inlineStr">
        <is>
          <t>IP-87</t>
        </is>
      </c>
      <c r="B86" t="inlineStr">
        <is>
          <t>22</t>
        </is>
      </c>
      <c r="C86" t="inlineStr">
        <is>
          <t>Educación</t>
        </is>
      </c>
      <c r="D86" t="inlineStr">
        <is>
          <t>2201</t>
        </is>
      </c>
      <c r="E86" t="inlineStr">
        <is>
          <t>Calidad, cobertura y fortalecimiento de la educación inicial, prescolar, básica y media</t>
        </is>
      </c>
      <c r="F86" t="inlineStr">
        <is>
          <t>2201074</t>
        </is>
      </c>
      <c r="G86" t="inlineStr">
        <is>
          <t>Servicio de fortalecimiento a las capacidades de los docentes de educación Inicial, preescolar, básica y media</t>
        </is>
      </c>
      <c r="H86" t="inlineStr">
        <is>
          <t>220107403</t>
        </is>
      </c>
      <c r="I86" t="inlineStr">
        <is>
          <t>Docentes de educación inicial, preescolar, básica y media beneficiados con programas de educación para el trabajo y el desarrollo humano</t>
        </is>
      </c>
      <c r="J86" t="inlineStr">
        <is>
          <t>2024254860016</t>
        </is>
      </c>
      <c r="K86" t="inlineStr">
        <is>
          <t>No</t>
        </is>
      </c>
      <c r="L86" t="inlineStr">
        <is>
          <t>Número</t>
        </is>
      </c>
      <c r="M86">
        <v>125</v>
      </c>
      <c r="N86">
        <v>125</v>
      </c>
      <c r="O86">
        <v>125</v>
      </c>
      <c r="P86">
        <v>125</v>
      </c>
      <c r="Q86">
        <v>125</v>
      </c>
      <c r="R86" t="inlineStr">
        <is>
          <t xml:space="preserve"> </t>
        </is>
      </c>
      <c r="S86" s="103" t="inlineStr">
        <is>
          <t xml:space="preserve"> </t>
        </is>
      </c>
      <c r="T86" t="inlineStr">
        <is>
          <t>No se encontró ejecución en PIIP</t>
        </is>
      </c>
      <c r="U86" t="inlineStr">
        <is>
          <t xml:space="preserve"> </t>
        </is>
      </c>
      <c r="V86" s="104" t="inlineStr">
        <is>
          <t xml:space="preserve"> </t>
        </is>
      </c>
      <c r="W86" t="inlineStr">
        <is>
          <t>No se encontró ejecución en PIIP</t>
        </is>
      </c>
    </row>
    <row r="87">
      <c r="A87" t="inlineStr">
        <is>
          <t>IP-88</t>
        </is>
      </c>
      <c r="B87" t="inlineStr">
        <is>
          <t>22</t>
        </is>
      </c>
      <c r="C87" t="inlineStr">
        <is>
          <t>Educación</t>
        </is>
      </c>
      <c r="D87" t="inlineStr">
        <is>
          <t>2201</t>
        </is>
      </c>
      <c r="E87" t="inlineStr">
        <is>
          <t>Calidad, cobertura y fortalecimiento de la educación inicial, prescolar, básica y media</t>
        </is>
      </c>
      <c r="F87" t="inlineStr">
        <is>
          <t>2201086</t>
        </is>
      </c>
      <c r="G87" t="inlineStr">
        <is>
          <t>Servicio de atención psicosocial a estudiantes</t>
        </is>
      </c>
      <c r="H87" t="inlineStr">
        <is>
          <t>220108600</t>
        </is>
      </c>
      <c r="I87" t="inlineStr">
        <is>
          <t>Alumnos atendidos</t>
        </is>
      </c>
      <c r="J87" t="inlineStr">
        <is>
          <t>2024254860016</t>
        </is>
      </c>
      <c r="K87" t="inlineStr">
        <is>
          <t>No</t>
        </is>
      </c>
      <c r="L87" t="inlineStr">
        <is>
          <t>Número</t>
        </is>
      </c>
      <c r="M87">
        <v>100</v>
      </c>
      <c r="N87">
        <v>100</v>
      </c>
      <c r="O87">
        <v>100</v>
      </c>
      <c r="P87">
        <v>100</v>
      </c>
      <c r="Q87">
        <v>100</v>
      </c>
      <c r="R87" t="inlineStr">
        <is>
          <t xml:space="preserve"> </t>
        </is>
      </c>
      <c r="S87" s="103" t="inlineStr">
        <is>
          <t xml:space="preserve"> </t>
        </is>
      </c>
      <c r="T87" t="inlineStr">
        <is>
          <t>No se encontró ejecución en PIIP</t>
        </is>
      </c>
      <c r="U87" t="inlineStr">
        <is>
          <t xml:space="preserve"> </t>
        </is>
      </c>
      <c r="V87" s="104" t="inlineStr">
        <is>
          <t xml:space="preserve"> </t>
        </is>
      </c>
      <c r="W87" t="inlineStr">
        <is>
          <t>No se encontró ejecución en PIIP</t>
        </is>
      </c>
    </row>
    <row r="88">
      <c r="A88" t="inlineStr">
        <is>
          <t>IP-89</t>
        </is>
      </c>
      <c r="B88" t="inlineStr">
        <is>
          <t>22</t>
        </is>
      </c>
      <c r="C88" t="inlineStr">
        <is>
          <t>Educación</t>
        </is>
      </c>
      <c r="D88" t="inlineStr">
        <is>
          <t>2201</t>
        </is>
      </c>
      <c r="E88" t="inlineStr">
        <is>
          <t>Calidad, cobertura y fortalecimiento de la educación inicial, prescolar, básica y media</t>
        </is>
      </c>
      <c r="F88" t="inlineStr">
        <is>
          <t>2201052</t>
        </is>
      </c>
      <c r="G88" t="inlineStr">
        <is>
          <t>Infraestructura educativa mejorada</t>
        </is>
      </c>
      <c r="H88" t="inlineStr">
        <is>
          <t>220105201</t>
        </is>
      </c>
      <c r="I88" t="inlineStr">
        <is>
          <t>Sedes educativas mejoradas en zona urbana</t>
        </is>
      </c>
      <c r="J88" t="inlineStr">
        <is>
          <t>2024254860016</t>
        </is>
      </c>
      <c r="K88" t="inlineStr">
        <is>
          <t>No</t>
        </is>
      </c>
      <c r="L88" t="inlineStr">
        <is>
          <t>Número</t>
        </is>
      </c>
      <c r="M88">
        <v>1</v>
      </c>
      <c r="N88">
        <v>0</v>
      </c>
      <c r="O88">
        <v>0</v>
      </c>
      <c r="P88">
        <v>1</v>
      </c>
      <c r="Q88">
        <v>1</v>
      </c>
      <c r="R88" t="inlineStr">
        <is>
          <t xml:space="preserve"> </t>
        </is>
      </c>
      <c r="S88" s="103" t="inlineStr">
        <is>
          <t xml:space="preserve"> </t>
        </is>
      </c>
      <c r="T88" t="inlineStr">
        <is>
          <t>No se encontró ejecución en PIIP</t>
        </is>
      </c>
      <c r="U88" t="inlineStr">
        <is>
          <t xml:space="preserve"> </t>
        </is>
      </c>
      <c r="V88" s="104" t="inlineStr">
        <is>
          <t xml:space="preserve"> </t>
        </is>
      </c>
      <c r="W88" t="inlineStr">
        <is>
          <t>No se encontró ejecución en PIIP</t>
        </is>
      </c>
    </row>
    <row r="89">
      <c r="A89" t="inlineStr">
        <is>
          <t>IP-90</t>
        </is>
      </c>
      <c r="B89" t="inlineStr">
        <is>
          <t>22</t>
        </is>
      </c>
      <c r="C89" t="inlineStr">
        <is>
          <t>Educación</t>
        </is>
      </c>
      <c r="D89" t="inlineStr">
        <is>
          <t>2201</t>
        </is>
      </c>
      <c r="E89" t="inlineStr">
        <is>
          <t>Calidad, cobertura y fortalecimiento de la educación inicial, prescolar, básica y media</t>
        </is>
      </c>
      <c r="F89" t="inlineStr">
        <is>
          <t>2201052</t>
        </is>
      </c>
      <c r="G89" t="inlineStr">
        <is>
          <t>Infraestructura educativa mejorada</t>
        </is>
      </c>
      <c r="H89" t="inlineStr">
        <is>
          <t>220105200</t>
        </is>
      </c>
      <c r="I89" t="inlineStr">
        <is>
          <t xml:space="preserve">Sedes educativas mejoradas </t>
        </is>
      </c>
      <c r="J89" t="inlineStr">
        <is>
          <t>2024254860016</t>
        </is>
      </c>
      <c r="K89" t="inlineStr">
        <is>
          <t>Si</t>
        </is>
      </c>
      <c r="L89" t="inlineStr">
        <is>
          <t>Número</t>
        </is>
      </c>
      <c r="M89">
        <v>13</v>
      </c>
      <c r="N89">
        <v>0</v>
      </c>
      <c r="O89">
        <v>1</v>
      </c>
      <c r="P89">
        <v>6</v>
      </c>
      <c r="Q89">
        <v>6</v>
      </c>
      <c r="R89" t="inlineStr">
        <is>
          <t xml:space="preserve"> </t>
        </is>
      </c>
      <c r="S89" s="103" t="inlineStr">
        <is>
          <t xml:space="preserve"> </t>
        </is>
      </c>
      <c r="T89" t="inlineStr">
        <is>
          <t>No se encontró ejecución en PIIP</t>
        </is>
      </c>
      <c r="U89" t="inlineStr">
        <is>
          <t xml:space="preserve"> </t>
        </is>
      </c>
      <c r="V89" s="104" t="inlineStr">
        <is>
          <t xml:space="preserve"> </t>
        </is>
      </c>
      <c r="W89" t="inlineStr">
        <is>
          <t>No se encontró ejecución en PIIP</t>
        </is>
      </c>
    </row>
    <row r="90">
      <c r="A90" t="inlineStr">
        <is>
          <t>IP-91</t>
        </is>
      </c>
      <c r="B90" t="inlineStr">
        <is>
          <t>22</t>
        </is>
      </c>
      <c r="C90" t="inlineStr">
        <is>
          <t>Educación</t>
        </is>
      </c>
      <c r="D90" t="inlineStr">
        <is>
          <t>2201</t>
        </is>
      </c>
      <c r="E90" t="inlineStr">
        <is>
          <t>Calidad, cobertura y fortalecimiento de la educación inicial, prescolar, básica y media</t>
        </is>
      </c>
      <c r="F90" t="inlineStr">
        <is>
          <t>2201084</t>
        </is>
      </c>
      <c r="G90" t="inlineStr">
        <is>
          <t>Servicio de apoyo pedagógico para  la oferta de educación inclusiva para preescolar, básica y media</t>
        </is>
      </c>
      <c r="H90" t="inlineStr">
        <is>
          <t>220108400</t>
        </is>
      </c>
      <c r="I90" t="inlineStr">
        <is>
          <t>Sedes educativas con apoyo pedagógico para  la oferta de educación inclusiva para preescolar, básica y media</t>
        </is>
      </c>
      <c r="J90" t="inlineStr">
        <is>
          <t>2024254860017</t>
        </is>
      </c>
      <c r="K90" t="inlineStr">
        <is>
          <t>No</t>
        </is>
      </c>
      <c r="L90" t="inlineStr">
        <is>
          <t>Número</t>
        </is>
      </c>
      <c r="M90">
        <v>1</v>
      </c>
      <c r="N90">
        <v>0</v>
      </c>
      <c r="O90">
        <v>1</v>
      </c>
      <c r="P90">
        <v>1</v>
      </c>
      <c r="Q90">
        <v>1</v>
      </c>
      <c r="R90" t="inlineStr">
        <is>
          <t xml:space="preserve"> </t>
        </is>
      </c>
      <c r="S90" s="103" t="inlineStr">
        <is>
          <t xml:space="preserve"> </t>
        </is>
      </c>
      <c r="T90" t="inlineStr">
        <is>
          <t>No se encontró ejecución en PIIP</t>
        </is>
      </c>
      <c r="U90" t="inlineStr">
        <is>
          <t xml:space="preserve"> </t>
        </is>
      </c>
      <c r="V90" s="104" t="inlineStr">
        <is>
          <t xml:space="preserve"> </t>
        </is>
      </c>
      <c r="W90" t="inlineStr">
        <is>
          <t>No se encontró ejecución en PIIP</t>
        </is>
      </c>
    </row>
    <row r="91">
      <c r="A91" t="inlineStr">
        <is>
          <t>IP-92</t>
        </is>
      </c>
      <c r="B91" t="inlineStr">
        <is>
          <t>22</t>
        </is>
      </c>
      <c r="C91" t="inlineStr">
        <is>
          <t>Educación</t>
        </is>
      </c>
      <c r="D91" t="inlineStr">
        <is>
          <t>2202</t>
        </is>
      </c>
      <c r="E91" t="inlineStr">
        <is>
          <t>Calidad y fomento de la educación superior</t>
        </is>
      </c>
      <c r="F91" t="inlineStr">
        <is>
          <t>2202062</t>
        </is>
      </c>
      <c r="G91" t="inlineStr">
        <is>
          <t xml:space="preserve">Servicio de fomento para el acceso a la educación superior </t>
        </is>
      </c>
      <c r="H91" t="inlineStr">
        <is>
          <t>220206208</t>
        </is>
      </c>
      <c r="I91" t="inlineStr">
        <is>
          <t xml:space="preserve"> Estrategias de fomento para el acceso a la educación superior implementadas</t>
        </is>
      </c>
      <c r="J91" t="inlineStr">
        <is>
          <t>2024254860018</t>
        </is>
      </c>
      <c r="K91" t="inlineStr">
        <is>
          <t>Si</t>
        </is>
      </c>
      <c r="L91" t="inlineStr">
        <is>
          <t>Número</t>
        </is>
      </c>
      <c r="M91">
        <v>4</v>
      </c>
      <c r="N91">
        <v>1</v>
      </c>
      <c r="O91">
        <v>1</v>
      </c>
      <c r="P91">
        <v>1</v>
      </c>
      <c r="Q91">
        <v>1</v>
      </c>
      <c r="R91" t="inlineStr">
        <is>
          <t xml:space="preserve"> </t>
        </is>
      </c>
      <c r="S91" s="103" t="inlineStr">
        <is>
          <t xml:space="preserve"> </t>
        </is>
      </c>
      <c r="T91" t="inlineStr">
        <is>
          <t>No se encontró ejecución en PIIP</t>
        </is>
      </c>
      <c r="U91" t="inlineStr">
        <is>
          <t xml:space="preserve"> </t>
        </is>
      </c>
      <c r="V91" s="104" t="inlineStr">
        <is>
          <t xml:space="preserve"> </t>
        </is>
      </c>
      <c r="W91" t="inlineStr">
        <is>
          <t>No se encontró ejecución en PIIP</t>
        </is>
      </c>
    </row>
    <row r="92">
      <c r="A92" t="inlineStr">
        <is>
          <t>IP-93</t>
        </is>
      </c>
      <c r="B92" t="inlineStr">
        <is>
          <t>22</t>
        </is>
      </c>
      <c r="C92" t="inlineStr">
        <is>
          <t>Educación</t>
        </is>
      </c>
      <c r="D92" t="inlineStr">
        <is>
          <t>2202</t>
        </is>
      </c>
      <c r="E92" t="inlineStr">
        <is>
          <t>Calidad y fomento de la educación superior</t>
        </is>
      </c>
      <c r="F92" t="inlineStr">
        <is>
          <t>2202063</t>
        </is>
      </c>
      <c r="G92" t="inlineStr">
        <is>
          <t>Servicio de apoyo financiero para el acceso a la educación superior</t>
        </is>
      </c>
      <c r="H92" t="inlineStr">
        <is>
          <t>220206300</t>
        </is>
      </c>
      <c r="I92" t="inlineStr">
        <is>
          <t xml:space="preserve">Beneficiarios de estrategias o programas de  apoyo financiero para el acceso a la educación superior  </t>
        </is>
      </c>
      <c r="J92" t="inlineStr">
        <is>
          <t>2024254860018</t>
        </is>
      </c>
      <c r="K92" t="inlineStr">
        <is>
          <t>Si</t>
        </is>
      </c>
      <c r="L92" t="inlineStr">
        <is>
          <t>Número</t>
        </is>
      </c>
      <c r="M92">
        <v>120</v>
      </c>
      <c r="N92">
        <v>30</v>
      </c>
      <c r="O92">
        <v>30</v>
      </c>
      <c r="P92">
        <v>30</v>
      </c>
      <c r="Q92">
        <v>30</v>
      </c>
      <c r="R92" t="inlineStr">
        <is>
          <t xml:space="preserve"> </t>
        </is>
      </c>
      <c r="S92" s="103" t="inlineStr">
        <is>
          <t xml:space="preserve"> </t>
        </is>
      </c>
      <c r="T92" t="inlineStr">
        <is>
          <t>No se encontró ejecución en PIIP</t>
        </is>
      </c>
      <c r="U92" t="inlineStr">
        <is>
          <t xml:space="preserve"> </t>
        </is>
      </c>
      <c r="V92" s="104" t="inlineStr">
        <is>
          <t xml:space="preserve"> </t>
        </is>
      </c>
      <c r="W92" t="inlineStr">
        <is>
          <t>No se encontró ejecución en PIIP</t>
        </is>
      </c>
    </row>
    <row r="93">
      <c r="A93" t="inlineStr">
        <is>
          <t>IP-94</t>
        </is>
      </c>
      <c r="B93" t="inlineStr">
        <is>
          <t>22</t>
        </is>
      </c>
      <c r="C93" t="inlineStr">
        <is>
          <t>Educación</t>
        </is>
      </c>
      <c r="D93" t="inlineStr">
        <is>
          <t>2201</t>
        </is>
      </c>
      <c r="E93" t="inlineStr">
        <is>
          <t>Calidad, cobertura y fortalecimiento de la educación inicial, prescolar, básica y media</t>
        </is>
      </c>
      <c r="F93" t="inlineStr">
        <is>
          <t>2201071</t>
        </is>
      </c>
      <c r="G93" t="inlineStr">
        <is>
          <t>Servicio educativo</t>
        </is>
      </c>
      <c r="H93" t="inlineStr">
        <is>
          <t>220107103</t>
        </is>
      </c>
      <c r="I93" t="inlineStr">
        <is>
          <t>Matrícula en niveles de preescolar, básica y media realizada</t>
        </is>
      </c>
      <c r="J93" t="inlineStr">
        <is>
          <t>2024254860016</t>
        </is>
      </c>
      <c r="K93" t="inlineStr">
        <is>
          <t>No</t>
        </is>
      </c>
      <c r="L93" t="inlineStr">
        <is>
          <t>Número</t>
        </is>
      </c>
      <c r="M93">
        <v>3400</v>
      </c>
      <c r="N93">
        <v>3400</v>
      </c>
      <c r="O93">
        <v>3400</v>
      </c>
      <c r="P93">
        <v>3400</v>
      </c>
      <c r="Q93">
        <v>3400</v>
      </c>
      <c r="R93" t="inlineStr">
        <is>
          <t xml:space="preserve"> </t>
        </is>
      </c>
      <c r="S93" s="103" t="inlineStr">
        <is>
          <t xml:space="preserve"> </t>
        </is>
      </c>
      <c r="T93" t="inlineStr">
        <is>
          <t>No se encontró ejecución en PIIP</t>
        </is>
      </c>
      <c r="U93" t="inlineStr">
        <is>
          <t xml:space="preserve"> </t>
        </is>
      </c>
      <c r="V93" s="104" t="inlineStr">
        <is>
          <t xml:space="preserve"> </t>
        </is>
      </c>
      <c r="W93" t="inlineStr">
        <is>
          <t>No se encontró ejecución en PIIP</t>
        </is>
      </c>
    </row>
    <row r="94">
      <c r="A94" t="inlineStr">
        <is>
          <t>IP-95, IP-98, IP-99</t>
        </is>
      </c>
      <c r="B94" t="inlineStr">
        <is>
          <t>33</t>
        </is>
      </c>
      <c r="C94" t="inlineStr">
        <is>
          <t>Cultura</t>
        </is>
      </c>
      <c r="D94" t="inlineStr">
        <is>
          <t>3301</t>
        </is>
      </c>
      <c r="E94" t="inlineStr">
        <is>
          <t>Promoción y acceso efectivo a procesos culturales y artísticos</t>
        </is>
      </c>
      <c r="F94" t="inlineStr">
        <is>
          <t>3301126</t>
        </is>
      </c>
      <c r="G94" t="inlineStr">
        <is>
          <t>Servicio de apoyo al proceso de formación artística y cultural</t>
        </is>
      </c>
      <c r="H94" t="inlineStr">
        <is>
          <t>330112600</t>
        </is>
      </c>
      <c r="I94" t="inlineStr">
        <is>
          <t>Procesos de formación atendidos</t>
        </is>
      </c>
      <c r="J94" t="inlineStr">
        <is>
          <t>2024254860019</t>
        </is>
      </c>
      <c r="K94" t="inlineStr">
        <is>
          <t>No</t>
        </is>
      </c>
      <c r="L94" t="inlineStr">
        <is>
          <t>Número</t>
        </is>
      </c>
      <c r="M94">
        <v>12</v>
      </c>
      <c r="N94">
        <v>12</v>
      </c>
      <c r="O94">
        <v>12</v>
      </c>
      <c r="P94">
        <v>12</v>
      </c>
      <c r="Q94">
        <v>12</v>
      </c>
      <c r="R94" t="inlineStr">
        <is>
          <t xml:space="preserve"> </t>
        </is>
      </c>
      <c r="S94" s="103" t="inlineStr">
        <is>
          <t xml:space="preserve"> </t>
        </is>
      </c>
      <c r="T94" t="inlineStr">
        <is>
          <t>No se encontró ejecución en PIIP</t>
        </is>
      </c>
      <c r="U94" t="inlineStr">
        <is>
          <t xml:space="preserve"> </t>
        </is>
      </c>
      <c r="V94" s="104" t="inlineStr">
        <is>
          <t xml:space="preserve"> </t>
        </is>
      </c>
      <c r="W94" t="inlineStr">
        <is>
          <t>No se encontró ejecución en PIIP</t>
        </is>
      </c>
    </row>
    <row r="95">
      <c r="A95" t="inlineStr">
        <is>
          <t>IP-97</t>
        </is>
      </c>
      <c r="B95" t="inlineStr">
        <is>
          <t>33</t>
        </is>
      </c>
      <c r="C95" t="inlineStr">
        <is>
          <t>Cultura</t>
        </is>
      </c>
      <c r="D95" t="inlineStr">
        <is>
          <t>3301</t>
        </is>
      </c>
      <c r="E95" t="inlineStr">
        <is>
          <t>Promoción y acceso efectivo a procesos culturales y artísticos</t>
        </is>
      </c>
      <c r="F95" t="inlineStr">
        <is>
          <t>3301126</t>
        </is>
      </c>
      <c r="G95" t="inlineStr">
        <is>
          <t>Servicio de apoyo al proceso de formación artística y cultural</t>
        </is>
      </c>
      <c r="H95" t="inlineStr">
        <is>
          <t>330112600</t>
        </is>
      </c>
      <c r="I95" t="inlineStr">
        <is>
          <t>Procesos de formación atendidos</t>
        </is>
      </c>
      <c r="J95" t="inlineStr">
        <is>
          <t>2024254860019</t>
        </is>
      </c>
      <c r="K95" t="inlineStr">
        <is>
          <t>Si</t>
        </is>
      </c>
      <c r="L95" t="inlineStr">
        <is>
          <t>Número</t>
        </is>
      </c>
      <c r="M95">
        <v>8</v>
      </c>
      <c r="N95">
        <v>2</v>
      </c>
      <c r="O95">
        <v>2</v>
      </c>
      <c r="P95">
        <v>2</v>
      </c>
      <c r="Q95">
        <v>2</v>
      </c>
      <c r="R95" t="inlineStr">
        <is>
          <t xml:space="preserve"> </t>
        </is>
      </c>
      <c r="S95" s="103" t="inlineStr">
        <is>
          <t xml:space="preserve"> </t>
        </is>
      </c>
      <c r="T95" t="inlineStr">
        <is>
          <t>No se encontró ejecución en PIIP</t>
        </is>
      </c>
      <c r="U95" t="inlineStr">
        <is>
          <t xml:space="preserve"> </t>
        </is>
      </c>
      <c r="V95" s="104" t="inlineStr">
        <is>
          <t xml:space="preserve"> </t>
        </is>
      </c>
      <c r="W95" t="inlineStr">
        <is>
          <t>No se encontró ejecución en PIIP</t>
        </is>
      </c>
    </row>
    <row r="96">
      <c r="A96" t="inlineStr">
        <is>
          <t>IP-100</t>
        </is>
      </c>
      <c r="B96" t="inlineStr">
        <is>
          <t>33</t>
        </is>
      </c>
      <c r="C96" t="inlineStr">
        <is>
          <t>Cultura</t>
        </is>
      </c>
      <c r="D96" t="inlineStr">
        <is>
          <t>3301</t>
        </is>
      </c>
      <c r="E96" t="inlineStr">
        <is>
          <t>Promoción y acceso efectivo a procesos culturales y artísticos</t>
        </is>
      </c>
      <c r="F96" t="inlineStr">
        <is>
          <t>3301094</t>
        </is>
      </c>
      <c r="G96" t="inlineStr">
        <is>
          <t>Estudios y diseños de infraestructura cultural</t>
        </is>
      </c>
      <c r="H96" t="inlineStr">
        <is>
          <t>330109400</t>
        </is>
      </c>
      <c r="I96" t="inlineStr">
        <is>
          <t>Estudios y diseños elaborados</t>
        </is>
      </c>
      <c r="J96" t="inlineStr">
        <is>
          <t>2024254860019</t>
        </is>
      </c>
      <c r="K96" t="inlineStr">
        <is>
          <t>Si</t>
        </is>
      </c>
      <c r="L96" t="inlineStr">
        <is>
          <t>Número</t>
        </is>
      </c>
      <c r="M96">
        <v>3</v>
      </c>
      <c r="N96">
        <v>0</v>
      </c>
      <c r="O96">
        <v>3</v>
      </c>
      <c r="P96">
        <v>0</v>
      </c>
      <c r="Q96">
        <v>0</v>
      </c>
      <c r="R96" t="inlineStr">
        <is>
          <t xml:space="preserve"> </t>
        </is>
      </c>
      <c r="S96" s="103" t="inlineStr">
        <is>
          <t xml:space="preserve"> </t>
        </is>
      </c>
      <c r="T96" t="inlineStr">
        <is>
          <t>No se encontró ejecución en PIIP</t>
        </is>
      </c>
      <c r="U96" t="inlineStr">
        <is>
          <t xml:space="preserve"> </t>
        </is>
      </c>
      <c r="V96" s="104" t="inlineStr">
        <is>
          <t xml:space="preserve"> </t>
        </is>
      </c>
      <c r="W96" t="inlineStr">
        <is>
          <t>No se encontró ejecución en PIIP</t>
        </is>
      </c>
    </row>
    <row r="97">
      <c r="A97" t="inlineStr">
        <is>
          <t>IP-101</t>
        </is>
      </c>
      <c r="B97" t="inlineStr">
        <is>
          <t>33</t>
        </is>
      </c>
      <c r="C97" t="inlineStr">
        <is>
          <t>Cultura</t>
        </is>
      </c>
      <c r="D97" t="inlineStr">
        <is>
          <t>3301</t>
        </is>
      </c>
      <c r="E97" t="inlineStr">
        <is>
          <t>Promoción y acceso efectivo a procesos culturales y artísticos</t>
        </is>
      </c>
      <c r="F97" t="inlineStr">
        <is>
          <t>3301093</t>
        </is>
      </c>
      <c r="G97" t="inlineStr">
        <is>
          <t>Centros culturales construidos y dotados</t>
        </is>
      </c>
      <c r="H97" t="inlineStr">
        <is>
          <t>330109300</t>
        </is>
      </c>
      <c r="I97" t="inlineStr">
        <is>
          <t>Centros culturales construidos y dotados</t>
        </is>
      </c>
      <c r="J97" t="inlineStr">
        <is>
          <t>2024254860019</t>
        </is>
      </c>
      <c r="K97" t="inlineStr">
        <is>
          <t>No</t>
        </is>
      </c>
      <c r="L97" t="inlineStr">
        <is>
          <t>Número</t>
        </is>
      </c>
      <c r="M97">
        <v>1</v>
      </c>
      <c r="N97">
        <v>0</v>
      </c>
      <c r="O97">
        <v>1</v>
      </c>
      <c r="P97">
        <v>1</v>
      </c>
      <c r="Q97">
        <v>1</v>
      </c>
      <c r="R97" t="inlineStr">
        <is>
          <t xml:space="preserve"> </t>
        </is>
      </c>
      <c r="S97" s="103" t="inlineStr">
        <is>
          <t xml:space="preserve"> </t>
        </is>
      </c>
      <c r="T97" t="inlineStr">
        <is>
          <t>No se encontró ejecución en PIIP</t>
        </is>
      </c>
      <c r="U97" t="inlineStr">
        <is>
          <t xml:space="preserve"> </t>
        </is>
      </c>
      <c r="V97" s="104" t="inlineStr">
        <is>
          <t xml:space="preserve"> </t>
        </is>
      </c>
      <c r="W97" t="inlineStr">
        <is>
          <t>No se encontró ejecución en PIIP</t>
        </is>
      </c>
    </row>
    <row r="98">
      <c r="A98" t="inlineStr">
        <is>
          <t>IP-102</t>
        </is>
      </c>
      <c r="B98" t="inlineStr">
        <is>
          <t>33</t>
        </is>
      </c>
      <c r="C98" t="inlineStr">
        <is>
          <t>Cultura</t>
        </is>
      </c>
      <c r="D98" t="inlineStr">
        <is>
          <t>3302</t>
        </is>
      </c>
      <c r="E98" t="inlineStr">
        <is>
          <t>Gestión, protección y salvaguardia del patrimonio cultural colombiano</t>
        </is>
      </c>
      <c r="F98" t="inlineStr">
        <is>
          <t>3302049</t>
        </is>
      </c>
      <c r="G98" t="inlineStr">
        <is>
          <t>Servicio de salvaguardia al patrimonio inmaterial</t>
        </is>
      </c>
      <c r="H98" t="inlineStr">
        <is>
          <t>330204900</t>
        </is>
      </c>
      <c r="I98" t="inlineStr">
        <is>
          <t>Procesos de salvaguardia efectiva del patrimonio inmaterial realizados</t>
        </is>
      </c>
      <c r="J98" t="inlineStr">
        <is>
          <t>2024254860020</t>
        </is>
      </c>
      <c r="K98" t="inlineStr">
        <is>
          <t>No</t>
        </is>
      </c>
      <c r="L98" t="inlineStr">
        <is>
          <t>Número</t>
        </is>
      </c>
      <c r="M98">
        <v>1</v>
      </c>
      <c r="N98">
        <v>1</v>
      </c>
      <c r="O98">
        <v>1</v>
      </c>
      <c r="P98">
        <v>1</v>
      </c>
      <c r="Q98">
        <v>1</v>
      </c>
      <c r="R98" t="inlineStr">
        <is>
          <t xml:space="preserve"> </t>
        </is>
      </c>
      <c r="S98" s="103" t="inlineStr">
        <is>
          <t xml:space="preserve"> </t>
        </is>
      </c>
      <c r="T98" t="inlineStr">
        <is>
          <t>No se encontró ejecución en PIIP</t>
        </is>
      </c>
      <c r="U98" t="inlineStr">
        <is>
          <t xml:space="preserve"> </t>
        </is>
      </c>
      <c r="V98" s="104" t="inlineStr">
        <is>
          <t xml:space="preserve"> </t>
        </is>
      </c>
      <c r="W98" t="inlineStr">
        <is>
          <t>No se encontró ejecución en PIIP</t>
        </is>
      </c>
    </row>
    <row r="99">
      <c r="A99" t="inlineStr">
        <is>
          <t>IP-103</t>
        </is>
      </c>
      <c r="B99" t="inlineStr">
        <is>
          <t>33</t>
        </is>
      </c>
      <c r="C99" t="inlineStr">
        <is>
          <t>Cultura</t>
        </is>
      </c>
      <c r="D99" t="inlineStr">
        <is>
          <t>3301</t>
        </is>
      </c>
      <c r="E99" t="inlineStr">
        <is>
          <t>Promoción y acceso efectivo a procesos culturales y artísticos</t>
        </is>
      </c>
      <c r="F99" t="inlineStr">
        <is>
          <t>3301054</t>
        </is>
      </c>
      <c r="G99" t="inlineStr">
        <is>
          <t>Servicio de apoyo financiero al sector artístico y cultural</t>
        </is>
      </c>
      <c r="H99" t="inlineStr">
        <is>
          <t>330105400</t>
        </is>
      </c>
      <c r="I99" t="inlineStr">
        <is>
          <t>Estímulos otorgados</t>
        </is>
      </c>
      <c r="J99" t="inlineStr">
        <is>
          <t>2024254860019</t>
        </is>
      </c>
      <c r="K99" t="inlineStr">
        <is>
          <t>Si</t>
        </is>
      </c>
      <c r="L99" t="inlineStr">
        <is>
          <t>Número</t>
        </is>
      </c>
      <c r="M99">
        <v>30</v>
      </c>
      <c r="N99">
        <v>0</v>
      </c>
      <c r="O99">
        <v>10</v>
      </c>
      <c r="P99">
        <v>10</v>
      </c>
      <c r="Q99">
        <v>10</v>
      </c>
      <c r="R99" t="inlineStr">
        <is>
          <t xml:space="preserve"> </t>
        </is>
      </c>
      <c r="S99" s="103" t="inlineStr">
        <is>
          <t xml:space="preserve"> </t>
        </is>
      </c>
      <c r="T99" t="inlineStr">
        <is>
          <t>No se encontró ejecución en PIIP</t>
        </is>
      </c>
      <c r="U99" t="inlineStr">
        <is>
          <t xml:space="preserve"> </t>
        </is>
      </c>
      <c r="V99" s="104" t="inlineStr">
        <is>
          <t xml:space="preserve"> </t>
        </is>
      </c>
      <c r="W99" t="inlineStr">
        <is>
          <t>No se encontró ejecución en PIIP</t>
        </is>
      </c>
    </row>
    <row r="100">
      <c r="A100" t="inlineStr">
        <is>
          <t>IP-104</t>
        </is>
      </c>
      <c r="B100" t="inlineStr">
        <is>
          <t>33</t>
        </is>
      </c>
      <c r="C100" t="inlineStr">
        <is>
          <t>Cultura</t>
        </is>
      </c>
      <c r="D100" t="inlineStr">
        <is>
          <t>3302</t>
        </is>
      </c>
      <c r="E100" t="inlineStr">
        <is>
          <t>Gestión, protección y salvaguardia del patrimonio cultural colombiano</t>
        </is>
      </c>
      <c r="F100" t="inlineStr">
        <is>
          <t>3302078</t>
        </is>
      </c>
      <c r="G100" t="inlineStr">
        <is>
          <t>Servicio de educación informal en asuntos patrimoniales</t>
        </is>
      </c>
      <c r="H100" t="inlineStr">
        <is>
          <t>330207802</t>
        </is>
      </c>
      <c r="I100" t="inlineStr">
        <is>
          <t>Ciudadanos capacitados</t>
        </is>
      </c>
      <c r="J100" t="inlineStr">
        <is>
          <t>2024254860020</t>
        </is>
      </c>
      <c r="K100" t="inlineStr">
        <is>
          <t>No</t>
        </is>
      </c>
      <c r="L100" t="inlineStr">
        <is>
          <t>Número</t>
        </is>
      </c>
      <c r="M100">
        <v>8000</v>
      </c>
      <c r="N100">
        <v>8000</v>
      </c>
      <c r="O100">
        <v>8000</v>
      </c>
      <c r="P100">
        <v>8000</v>
      </c>
      <c r="Q100">
        <v>8000</v>
      </c>
      <c r="R100" t="inlineStr">
        <is>
          <t xml:space="preserve"> </t>
        </is>
      </c>
      <c r="S100" s="103" t="inlineStr">
        <is>
          <t xml:space="preserve"> </t>
        </is>
      </c>
      <c r="T100" t="inlineStr">
        <is>
          <t>No se encontró ejecución en PIIP</t>
        </is>
      </c>
      <c r="U100" t="inlineStr">
        <is>
          <t xml:space="preserve"> </t>
        </is>
      </c>
      <c r="V100" s="104" t="inlineStr">
        <is>
          <t xml:space="preserve"> </t>
        </is>
      </c>
      <c r="W100" t="inlineStr">
        <is>
          <t>No se encontró ejecución en PIIP</t>
        </is>
      </c>
    </row>
    <row r="101">
      <c r="A101" t="inlineStr">
        <is>
          <t>IP-105</t>
        </is>
      </c>
      <c r="B101" t="inlineStr">
        <is>
          <t>33</t>
        </is>
      </c>
      <c r="C101" t="inlineStr">
        <is>
          <t>Cultura</t>
        </is>
      </c>
      <c r="D101" t="inlineStr">
        <is>
          <t>3301</t>
        </is>
      </c>
      <c r="E101" t="inlineStr">
        <is>
          <t>Promoción y acceso efectivo a procesos culturales y artísticos</t>
        </is>
      </c>
      <c r="F101" t="inlineStr">
        <is>
          <t>3301128</t>
        </is>
      </c>
      <c r="G101" t="inlineStr">
        <is>
          <t>Servicio de apoyo financiero para creadores y gestores culturales</t>
        </is>
      </c>
      <c r="H101" t="inlineStr">
        <is>
          <t>330112800</t>
        </is>
      </c>
      <c r="I101" t="inlineStr">
        <is>
          <t>Creadores y gestores culturales beneficiados</t>
        </is>
      </c>
      <c r="J101" t="inlineStr">
        <is>
          <t>2024254860019</t>
        </is>
      </c>
      <c r="K101" t="inlineStr">
        <is>
          <t>No</t>
        </is>
      </c>
      <c r="L101" t="inlineStr">
        <is>
          <t>Número</t>
        </is>
      </c>
      <c r="M101">
        <v>1</v>
      </c>
      <c r="N101">
        <v>1</v>
      </c>
      <c r="O101">
        <v>1</v>
      </c>
      <c r="P101">
        <v>1</v>
      </c>
      <c r="Q101">
        <v>1</v>
      </c>
      <c r="R101" t="inlineStr">
        <is>
          <t xml:space="preserve"> </t>
        </is>
      </c>
      <c r="S101" s="103" t="inlineStr">
        <is>
          <t xml:space="preserve"> </t>
        </is>
      </c>
      <c r="T101" t="inlineStr">
        <is>
          <t>No se encontró ejecución en PIIP</t>
        </is>
      </c>
      <c r="U101" t="inlineStr">
        <is>
          <t xml:space="preserve"> </t>
        </is>
      </c>
      <c r="V101" s="104" t="inlineStr">
        <is>
          <t xml:space="preserve"> </t>
        </is>
      </c>
      <c r="W101" t="inlineStr">
        <is>
          <t>No se encontró ejecución en PIIP</t>
        </is>
      </c>
    </row>
    <row r="102">
      <c r="A102" t="inlineStr">
        <is>
          <t>IP-106</t>
        </is>
      </c>
      <c r="B102" t="inlineStr">
        <is>
          <t>33</t>
        </is>
      </c>
      <c r="C102" t="inlineStr">
        <is>
          <t>Cultura</t>
        </is>
      </c>
      <c r="D102" t="inlineStr">
        <is>
          <t>3301</t>
        </is>
      </c>
      <c r="E102" t="inlineStr">
        <is>
          <t>Promoción y acceso efectivo a procesos culturales y artísticos</t>
        </is>
      </c>
      <c r="F102" t="inlineStr">
        <is>
          <t>3301053</t>
        </is>
      </c>
      <c r="G102" t="inlineStr">
        <is>
          <t>Servicio de promoción de actividades culturales</t>
        </is>
      </c>
      <c r="H102" t="inlineStr">
        <is>
          <t>330105301</t>
        </is>
      </c>
      <c r="I102" t="inlineStr">
        <is>
          <t>Actividades culturales para la promoción de la cultura realizadas</t>
        </is>
      </c>
      <c r="J102" t="inlineStr">
        <is>
          <t>2024254860019</t>
        </is>
      </c>
      <c r="K102" t="inlineStr">
        <is>
          <t>Si</t>
        </is>
      </c>
      <c r="L102" t="inlineStr">
        <is>
          <t>Número</t>
        </is>
      </c>
      <c r="M102">
        <v>24</v>
      </c>
      <c r="N102">
        <v>6</v>
      </c>
      <c r="O102">
        <v>6</v>
      </c>
      <c r="P102">
        <v>6</v>
      </c>
      <c r="Q102">
        <v>6</v>
      </c>
      <c r="R102" t="inlineStr">
        <is>
          <t xml:space="preserve"> </t>
        </is>
      </c>
      <c r="S102" s="103" t="inlineStr">
        <is>
          <t xml:space="preserve"> </t>
        </is>
      </c>
      <c r="T102" t="inlineStr">
        <is>
          <t>No se encontró ejecución en PIIP</t>
        </is>
      </c>
      <c r="U102" t="inlineStr">
        <is>
          <t xml:space="preserve"> </t>
        </is>
      </c>
      <c r="V102" s="104" t="inlineStr">
        <is>
          <t xml:space="preserve"> </t>
        </is>
      </c>
      <c r="W102" t="inlineStr">
        <is>
          <t>No se encontró ejecución en PIIP</t>
        </is>
      </c>
    </row>
    <row r="103">
      <c r="A103" t="inlineStr">
        <is>
          <t>IP-107</t>
        </is>
      </c>
      <c r="B103" t="inlineStr">
        <is>
          <t>33</t>
        </is>
      </c>
      <c r="C103" t="inlineStr">
        <is>
          <t>Cultura</t>
        </is>
      </c>
      <c r="D103" t="inlineStr">
        <is>
          <t>3301</t>
        </is>
      </c>
      <c r="E103" t="inlineStr">
        <is>
          <t>Promoción y acceso efectivo a procesos culturales y artísticos</t>
        </is>
      </c>
      <c r="F103" t="inlineStr">
        <is>
          <t>3301074</t>
        </is>
      </c>
      <c r="G103" t="inlineStr">
        <is>
          <t>Servicio de apoyo para la organización y la participación del sector artístico, cultural y la ciudadanía</t>
        </is>
      </c>
      <c r="H103" t="inlineStr">
        <is>
          <t>330107408</t>
        </is>
      </c>
      <c r="I103" t="inlineStr">
        <is>
          <t>Consejos apoyados</t>
        </is>
      </c>
      <c r="J103" t="inlineStr">
        <is>
          <t>2024254860019</t>
        </is>
      </c>
      <c r="K103" t="inlineStr">
        <is>
          <t>No</t>
        </is>
      </c>
      <c r="L103" t="inlineStr">
        <is>
          <t>Número</t>
        </is>
      </c>
      <c r="M103">
        <v>2</v>
      </c>
      <c r="N103">
        <v>2</v>
      </c>
      <c r="O103">
        <v>2</v>
      </c>
      <c r="P103">
        <v>2</v>
      </c>
      <c r="Q103">
        <v>2</v>
      </c>
      <c r="R103" t="inlineStr">
        <is>
          <t xml:space="preserve"> </t>
        </is>
      </c>
      <c r="S103" s="103" t="inlineStr">
        <is>
          <t xml:space="preserve"> </t>
        </is>
      </c>
      <c r="T103" t="inlineStr">
        <is>
          <t>No se encontró ejecución en PIIP</t>
        </is>
      </c>
      <c r="U103" t="inlineStr">
        <is>
          <t xml:space="preserve"> </t>
        </is>
      </c>
      <c r="V103" s="104" t="inlineStr">
        <is>
          <t xml:space="preserve"> </t>
        </is>
      </c>
      <c r="W103" t="inlineStr">
        <is>
          <t>No se encontró ejecución en PIIP</t>
        </is>
      </c>
    </row>
    <row r="104">
      <c r="A104" t="inlineStr">
        <is>
          <t>IP-108</t>
        </is>
      </c>
      <c r="B104" t="inlineStr">
        <is>
          <t>33</t>
        </is>
      </c>
      <c r="C104" t="inlineStr">
        <is>
          <t>Cultura</t>
        </is>
      </c>
      <c r="D104" t="inlineStr">
        <is>
          <t>3302</t>
        </is>
      </c>
      <c r="E104" t="inlineStr">
        <is>
          <t>Gestión, protección y salvaguardia del patrimonio cultural colombiano</t>
        </is>
      </c>
      <c r="F104" t="inlineStr">
        <is>
          <t>3302070</t>
        </is>
      </c>
      <c r="G104" t="inlineStr">
        <is>
          <t>Serviciode divulgación y publicación del Patrimonio cultural</t>
        </is>
      </c>
      <c r="H104" t="inlineStr">
        <is>
          <t>330207000</t>
        </is>
      </c>
      <c r="I104" t="inlineStr">
        <is>
          <t>Publicaciones realizadas</t>
        </is>
      </c>
      <c r="J104" t="inlineStr">
        <is>
          <t>2024254860020</t>
        </is>
      </c>
      <c r="K104" t="inlineStr">
        <is>
          <t>No</t>
        </is>
      </c>
      <c r="L104" t="inlineStr">
        <is>
          <t>Número</t>
        </is>
      </c>
      <c r="M104">
        <v>1</v>
      </c>
      <c r="N104">
        <v>1</v>
      </c>
      <c r="O104">
        <v>1</v>
      </c>
      <c r="P104">
        <v>1</v>
      </c>
      <c r="Q104">
        <v>1</v>
      </c>
      <c r="R104" t="inlineStr">
        <is>
          <t xml:space="preserve"> </t>
        </is>
      </c>
      <c r="S104" s="103" t="inlineStr">
        <is>
          <t xml:space="preserve"> </t>
        </is>
      </c>
      <c r="T104" t="inlineStr">
        <is>
          <t>No se encontró ejecución en PIIP</t>
        </is>
      </c>
      <c r="U104" t="inlineStr">
        <is>
          <t xml:space="preserve"> </t>
        </is>
      </c>
      <c r="V104" s="104" t="inlineStr">
        <is>
          <t xml:space="preserve"> </t>
        </is>
      </c>
      <c r="W104" t="inlineStr">
        <is>
          <t>No se encontró ejecución en PIIP</t>
        </is>
      </c>
    </row>
    <row r="105">
      <c r="A105" t="inlineStr">
        <is>
          <t>IP-109</t>
        </is>
      </c>
      <c r="B105" t="inlineStr">
        <is>
          <t>33</t>
        </is>
      </c>
      <c r="C105" t="inlineStr">
        <is>
          <t>Cultura</t>
        </is>
      </c>
      <c r="D105" t="inlineStr">
        <is>
          <t>3302</t>
        </is>
      </c>
      <c r="E105" t="inlineStr">
        <is>
          <t>Gestión, protección y salvaguardia del patrimonio cultural colombiano</t>
        </is>
      </c>
      <c r="F105" t="inlineStr">
        <is>
          <t>3302003</t>
        </is>
      </c>
      <c r="G105" t="inlineStr">
        <is>
          <t>Documentos normativos</t>
        </is>
      </c>
      <c r="H105" t="inlineStr">
        <is>
          <t>330200304</t>
        </is>
      </c>
      <c r="I105" t="inlineStr">
        <is>
          <t>Documentos normativos sobre patrimonio cultural realizados</t>
        </is>
      </c>
      <c r="J105" t="inlineStr">
        <is>
          <t>2024254860020</t>
        </is>
      </c>
      <c r="K105" t="inlineStr">
        <is>
          <t>Si</t>
        </is>
      </c>
      <c r="L105" t="inlineStr">
        <is>
          <t>Número</t>
        </is>
      </c>
      <c r="M105">
        <v>1</v>
      </c>
      <c r="N105">
        <v>0</v>
      </c>
      <c r="O105">
        <v>1</v>
      </c>
      <c r="P105">
        <v>0</v>
      </c>
      <c r="Q105">
        <v>0</v>
      </c>
      <c r="R105" t="inlineStr">
        <is>
          <t xml:space="preserve"> </t>
        </is>
      </c>
      <c r="S105" s="103" t="inlineStr">
        <is>
          <t xml:space="preserve"> </t>
        </is>
      </c>
      <c r="T105" t="inlineStr">
        <is>
          <t>No se encontró ejecución en PIIP</t>
        </is>
      </c>
      <c r="U105" t="inlineStr">
        <is>
          <t xml:space="preserve"> </t>
        </is>
      </c>
      <c r="V105" s="104" t="inlineStr">
        <is>
          <t xml:space="preserve"> </t>
        </is>
      </c>
      <c r="W105" t="inlineStr">
        <is>
          <t>No se encontró ejecución en PIIP</t>
        </is>
      </c>
    </row>
    <row r="106">
      <c r="A106" t="inlineStr">
        <is>
          <t>IP-110</t>
        </is>
      </c>
      <c r="B106" t="inlineStr">
        <is>
          <t>33</t>
        </is>
      </c>
      <c r="C106" t="inlineStr">
        <is>
          <t>Cultura</t>
        </is>
      </c>
      <c r="D106" t="inlineStr">
        <is>
          <t>3301</t>
        </is>
      </c>
      <c r="E106" t="inlineStr">
        <is>
          <t>Promoción y acceso efectivo a procesos culturales y artísticos</t>
        </is>
      </c>
      <c r="F106" t="inlineStr">
        <is>
          <t>3301068</t>
        </is>
      </c>
      <c r="G106" t="inlineStr">
        <is>
          <t>Servicio de mantenimiento de infraestructura cultural</t>
        </is>
      </c>
      <c r="H106" t="inlineStr">
        <is>
          <t>330106800</t>
        </is>
      </c>
      <c r="I106" t="inlineStr">
        <is>
          <t>Infraestructura cultural intervenida</t>
        </is>
      </c>
      <c r="J106" t="inlineStr">
        <is>
          <t>2024254860019</t>
        </is>
      </c>
      <c r="K106" t="inlineStr">
        <is>
          <t>Si</t>
        </is>
      </c>
      <c r="L106" t="inlineStr">
        <is>
          <t>Número</t>
        </is>
      </c>
      <c r="M106">
        <v>1</v>
      </c>
      <c r="N106">
        <v>0</v>
      </c>
      <c r="O106">
        <v>0</v>
      </c>
      <c r="P106">
        <v>1</v>
      </c>
      <c r="Q106">
        <v>0</v>
      </c>
      <c r="R106" t="inlineStr">
        <is>
          <t xml:space="preserve"> </t>
        </is>
      </c>
      <c r="S106" s="103" t="inlineStr">
        <is>
          <t xml:space="preserve"> </t>
        </is>
      </c>
      <c r="T106" t="inlineStr">
        <is>
          <t>No se encontró ejecución en PIIP</t>
        </is>
      </c>
      <c r="U106" t="inlineStr">
        <is>
          <t xml:space="preserve"> </t>
        </is>
      </c>
      <c r="V106" s="104" t="inlineStr">
        <is>
          <t xml:space="preserve"> </t>
        </is>
      </c>
      <c r="W106" t="inlineStr">
        <is>
          <t>No se encontró ejecución en PIIP</t>
        </is>
      </c>
    </row>
    <row r="107">
      <c r="A107" t="inlineStr">
        <is>
          <t>IP-111</t>
        </is>
      </c>
      <c r="B107" t="inlineStr">
        <is>
          <t>33</t>
        </is>
      </c>
      <c r="C107" t="inlineStr">
        <is>
          <t>Cultura</t>
        </is>
      </c>
      <c r="D107" t="inlineStr">
        <is>
          <t>3301</t>
        </is>
      </c>
      <c r="E107" t="inlineStr">
        <is>
          <t>Promoción y acceso efectivo a procesos culturales y artísticos</t>
        </is>
      </c>
      <c r="F107" t="inlineStr">
        <is>
          <t>3301038</t>
        </is>
      </c>
      <c r="G107" t="inlineStr">
        <is>
          <t>Teatros adecuados</t>
        </is>
      </c>
      <c r="H107" t="inlineStr">
        <is>
          <t>330103800</t>
        </is>
      </c>
      <c r="I107" t="inlineStr">
        <is>
          <t>Teatros adecuados</t>
        </is>
      </c>
      <c r="J107" t="inlineStr">
        <is>
          <t>2024254860019</t>
        </is>
      </c>
      <c r="K107" t="inlineStr">
        <is>
          <t>No</t>
        </is>
      </c>
      <c r="L107" t="inlineStr">
        <is>
          <t>Número</t>
        </is>
      </c>
      <c r="M107">
        <v>1</v>
      </c>
      <c r="N107">
        <v>0</v>
      </c>
      <c r="O107">
        <v>1</v>
      </c>
      <c r="P107">
        <v>1</v>
      </c>
      <c r="Q107">
        <v>1</v>
      </c>
      <c r="R107" t="inlineStr">
        <is>
          <t xml:space="preserve"> </t>
        </is>
      </c>
      <c r="S107" s="103" t="inlineStr">
        <is>
          <t xml:space="preserve"> </t>
        </is>
      </c>
      <c r="T107" t="inlineStr">
        <is>
          <t>No se encontró ejecución en PIIP</t>
        </is>
      </c>
      <c r="U107" t="inlineStr">
        <is>
          <t xml:space="preserve"> </t>
        </is>
      </c>
      <c r="V107" s="104" t="inlineStr">
        <is>
          <t xml:space="preserve"> </t>
        </is>
      </c>
      <c r="W107" t="inlineStr">
        <is>
          <t>No se encontró ejecución en PIIP</t>
        </is>
      </c>
    </row>
    <row r="108">
      <c r="A108" t="inlineStr">
        <is>
          <t>IP-112</t>
        </is>
      </c>
      <c r="B108" t="inlineStr">
        <is>
          <t>40</t>
        </is>
      </c>
      <c r="C108" t="inlineStr">
        <is>
          <t>Vivienda, ciudad y territorio</t>
        </is>
      </c>
      <c r="D108" t="inlineStr">
        <is>
          <t>4001</t>
        </is>
      </c>
      <c r="E108" t="inlineStr">
        <is>
          <t>Acceso a soluciones de vivienda</t>
        </is>
      </c>
      <c r="F108" t="inlineStr">
        <is>
          <t>4001032</t>
        </is>
      </c>
      <c r="G108" t="inlineStr">
        <is>
          <t>Servicio de apoyo financiero para mejoramiento de vivienda</t>
        </is>
      </c>
      <c r="H108" t="inlineStr">
        <is>
          <t>400103200</t>
        </is>
      </c>
      <c r="I108" t="inlineStr">
        <is>
          <t>Hogares beneficiados con mejoramiento de una vivienda  </t>
        </is>
      </c>
      <c r="J108" t="inlineStr">
        <is>
          <t>2024254860021</t>
        </is>
      </c>
      <c r="K108" t="inlineStr">
        <is>
          <t>Si</t>
        </is>
      </c>
      <c r="L108" t="inlineStr">
        <is>
          <t>Número</t>
        </is>
      </c>
      <c r="M108">
        <v>130</v>
      </c>
      <c r="N108">
        <v>9</v>
      </c>
      <c r="O108">
        <v>55</v>
      </c>
      <c r="P108">
        <v>60</v>
      </c>
      <c r="Q108">
        <v>6</v>
      </c>
      <c r="R108" t="inlineStr">
        <is>
          <t xml:space="preserve"> </t>
        </is>
      </c>
      <c r="S108" s="103" t="inlineStr">
        <is>
          <t xml:space="preserve"> </t>
        </is>
      </c>
      <c r="T108" t="inlineStr">
        <is>
          <t>No se encontró ejecución en PIIP</t>
        </is>
      </c>
      <c r="U108" t="inlineStr">
        <is>
          <t xml:space="preserve"> </t>
        </is>
      </c>
      <c r="V108" s="104" t="inlineStr">
        <is>
          <t xml:space="preserve"> </t>
        </is>
      </c>
      <c r="W108" t="inlineStr">
        <is>
          <t>No se encontró ejecución en PIIP</t>
        </is>
      </c>
    </row>
    <row r="109">
      <c r="A109" t="inlineStr">
        <is>
          <t>IP-113</t>
        </is>
      </c>
      <c r="B109" t="inlineStr">
        <is>
          <t>40</t>
        </is>
      </c>
      <c r="C109" t="inlineStr">
        <is>
          <t>Vivienda, ciudad y territorio</t>
        </is>
      </c>
      <c r="D109" t="inlineStr">
        <is>
          <t>4001</t>
        </is>
      </c>
      <c r="E109" t="inlineStr">
        <is>
          <t>Acceso a soluciones de vivienda</t>
        </is>
      </c>
      <c r="F109" t="inlineStr">
        <is>
          <t>4001001</t>
        </is>
      </c>
      <c r="G109" t="inlineStr">
        <is>
          <t>Servicio de asistencia técnica y jurídica en saneamiento y titulación de predios</t>
        </is>
      </c>
      <c r="H109" t="inlineStr">
        <is>
          <t>400100101</t>
        </is>
      </c>
      <c r="I109" t="inlineStr">
        <is>
          <t>Asistencias técnicas y jurídicas realizadas</t>
        </is>
      </c>
      <c r="J109" t="inlineStr">
        <is>
          <t>2024254860021</t>
        </is>
      </c>
      <c r="K109" t="inlineStr">
        <is>
          <t>Si</t>
        </is>
      </c>
      <c r="L109" t="inlineStr">
        <is>
          <t>Número</t>
        </is>
      </c>
      <c r="M109">
        <v>97</v>
      </c>
      <c r="N109">
        <v>24</v>
      </c>
      <c r="O109">
        <v>26</v>
      </c>
      <c r="P109">
        <v>40</v>
      </c>
      <c r="Q109">
        <v>7</v>
      </c>
      <c r="R109" t="inlineStr">
        <is>
          <t xml:space="preserve"> </t>
        </is>
      </c>
      <c r="S109" s="103" t="inlineStr">
        <is>
          <t xml:space="preserve"> </t>
        </is>
      </c>
      <c r="T109" t="inlineStr">
        <is>
          <t>No se encontró ejecución en PIIP</t>
        </is>
      </c>
      <c r="U109" t="inlineStr">
        <is>
          <t xml:space="preserve"> </t>
        </is>
      </c>
      <c r="V109" s="104" t="inlineStr">
        <is>
          <t xml:space="preserve"> </t>
        </is>
      </c>
      <c r="W109" t="inlineStr">
        <is>
          <t>No se encontró ejecución en PIIP</t>
        </is>
      </c>
    </row>
    <row r="110">
      <c r="A110" t="inlineStr">
        <is>
          <t>IP-114</t>
        </is>
      </c>
      <c r="B110" t="inlineStr">
        <is>
          <t>40</t>
        </is>
      </c>
      <c r="C110" t="inlineStr">
        <is>
          <t>Vivienda, ciudad y territorio</t>
        </is>
      </c>
      <c r="D110" t="inlineStr">
        <is>
          <t>4003</t>
        </is>
      </c>
      <c r="E110" t="inlineStr">
        <is>
          <t>Acceso de la población a los servicios de agua potable y saneamiento básico</t>
        </is>
      </c>
      <c r="F110" t="inlineStr">
        <is>
          <t>4003042</t>
        </is>
      </c>
      <c r="G110" t="inlineStr">
        <is>
          <t>Estudios de pre inversión e inversión</t>
        </is>
      </c>
      <c r="H110" t="inlineStr">
        <is>
          <t>400304200</t>
        </is>
      </c>
      <c r="I110" t="inlineStr">
        <is>
          <t xml:space="preserve">Estudios o diseños realizados </t>
        </is>
      </c>
      <c r="J110" t="inlineStr">
        <is>
          <t>2024254860022</t>
        </is>
      </c>
      <c r="K110" t="inlineStr">
        <is>
          <t>Si</t>
        </is>
      </c>
      <c r="L110" t="inlineStr">
        <is>
          <t>Número</t>
        </is>
      </c>
      <c r="M110">
        <v>4</v>
      </c>
      <c r="N110">
        <v>1</v>
      </c>
      <c r="O110">
        <v>3</v>
      </c>
      <c r="P110">
        <v>0</v>
      </c>
      <c r="Q110">
        <v>0</v>
      </c>
      <c r="R110" t="inlineStr">
        <is>
          <t xml:space="preserve"> </t>
        </is>
      </c>
      <c r="S110" s="103" t="inlineStr">
        <is>
          <t xml:space="preserve"> </t>
        </is>
      </c>
      <c r="T110" t="inlineStr">
        <is>
          <t>No se encontró ejecución en PIIP</t>
        </is>
      </c>
      <c r="U110" t="inlineStr">
        <is>
          <t xml:space="preserve"> </t>
        </is>
      </c>
      <c r="V110" s="104" t="inlineStr">
        <is>
          <t xml:space="preserve"> </t>
        </is>
      </c>
      <c r="W110" t="inlineStr">
        <is>
          <t>No se encontró ejecución en PIIP</t>
        </is>
      </c>
    </row>
    <row r="111">
      <c r="A111" t="inlineStr">
        <is>
          <t>IP-115</t>
        </is>
      </c>
      <c r="B111" t="inlineStr">
        <is>
          <t>40</t>
        </is>
      </c>
      <c r="C111" t="inlineStr">
        <is>
          <t>Vivienda, ciudad y territorio</t>
        </is>
      </c>
      <c r="D111" t="inlineStr">
        <is>
          <t>4003</t>
        </is>
      </c>
      <c r="E111" t="inlineStr">
        <is>
          <t>Acceso de la población a los servicios de agua potable y saneamiento básico</t>
        </is>
      </c>
      <c r="F111" t="inlineStr">
        <is>
          <t>4003015</t>
        </is>
      </c>
      <c r="G111" t="inlineStr">
        <is>
          <t>Acueductos construidos</t>
        </is>
      </c>
      <c r="H111" t="inlineStr">
        <is>
          <t>400301500</t>
        </is>
      </c>
      <c r="I111" t="inlineStr">
        <is>
          <t>Acueductos construidos</t>
        </is>
      </c>
      <c r="J111" t="inlineStr">
        <is>
          <t>2024254860022</t>
        </is>
      </c>
      <c r="K111" t="inlineStr">
        <is>
          <t>No</t>
        </is>
      </c>
      <c r="L111" t="inlineStr">
        <is>
          <t>Número</t>
        </is>
      </c>
      <c r="M111">
        <v>1</v>
      </c>
      <c r="N111">
        <v>0</v>
      </c>
      <c r="O111">
        <v>1</v>
      </c>
      <c r="P111">
        <v>1</v>
      </c>
      <c r="Q111">
        <v>1</v>
      </c>
      <c r="R111" t="inlineStr">
        <is>
          <t xml:space="preserve"> </t>
        </is>
      </c>
      <c r="S111" s="103" t="inlineStr">
        <is>
          <t xml:space="preserve"> </t>
        </is>
      </c>
      <c r="T111" t="inlineStr">
        <is>
          <t>No se encontró ejecución en PIIP</t>
        </is>
      </c>
      <c r="U111" t="inlineStr">
        <is>
          <t xml:space="preserve"> </t>
        </is>
      </c>
      <c r="V111" s="104" t="inlineStr">
        <is>
          <t xml:space="preserve"> </t>
        </is>
      </c>
      <c r="W111" t="inlineStr">
        <is>
          <t>No se encontró ejecución en PIIP</t>
        </is>
      </c>
    </row>
    <row r="112">
      <c r="A112" t="inlineStr">
        <is>
          <t>IP-116, IP-124</t>
        </is>
      </c>
      <c r="B112" t="inlineStr">
        <is>
          <t>40</t>
        </is>
      </c>
      <c r="C112" t="inlineStr">
        <is>
          <t>Vivienda, ciudad y territorio</t>
        </is>
      </c>
      <c r="D112" t="inlineStr">
        <is>
          <t>4003</t>
        </is>
      </c>
      <c r="E112" t="inlineStr">
        <is>
          <t>Acceso de la población a los servicios de agua potable y saneamiento básico</t>
        </is>
      </c>
      <c r="F112" t="inlineStr">
        <is>
          <t>4003008</t>
        </is>
      </c>
      <c r="G112" t="inlineStr">
        <is>
          <t>Servicio de apoyo financiero a los planes, programas y proyectos de Agua Potable y Saneamiento Básico</t>
        </is>
      </c>
      <c r="H112" t="inlineStr">
        <is>
          <t>400300800</t>
        </is>
      </c>
      <c r="I112" t="inlineStr">
        <is>
          <t>Proyectos de acueducto, alcantarillado y aseo apoyados financieramente</t>
        </is>
      </c>
      <c r="J112" t="inlineStr">
        <is>
          <t>2024254860022</t>
        </is>
      </c>
      <c r="K112" t="inlineStr">
        <is>
          <t>No</t>
        </is>
      </c>
      <c r="L112" t="inlineStr">
        <is>
          <t>Número</t>
        </is>
      </c>
      <c r="M112">
        <v>2</v>
      </c>
      <c r="N112">
        <v>0</v>
      </c>
      <c r="O112">
        <v>0</v>
      </c>
      <c r="P112">
        <v>2</v>
      </c>
      <c r="Q112">
        <v>2</v>
      </c>
      <c r="R112" t="inlineStr">
        <is>
          <t xml:space="preserve"> </t>
        </is>
      </c>
      <c r="S112" s="103" t="inlineStr">
        <is>
          <t xml:space="preserve"> </t>
        </is>
      </c>
      <c r="T112" t="inlineStr">
        <is>
          <t>No se encontró ejecución en PIIP</t>
        </is>
      </c>
      <c r="U112" t="inlineStr">
        <is>
          <t xml:space="preserve"> </t>
        </is>
      </c>
      <c r="V112" s="104" t="inlineStr">
        <is>
          <t xml:space="preserve"> </t>
        </is>
      </c>
      <c r="W112" t="inlineStr">
        <is>
          <t>No se encontró ejecución en PIIP</t>
        </is>
      </c>
    </row>
    <row r="113">
      <c r="A113" t="inlineStr">
        <is>
          <t>IP-117</t>
        </is>
      </c>
      <c r="B113" t="inlineStr">
        <is>
          <t>40</t>
        </is>
      </c>
      <c r="C113" t="inlineStr">
        <is>
          <t>Vivienda, ciudad y territorio</t>
        </is>
      </c>
      <c r="D113" t="inlineStr">
        <is>
          <t>4003</t>
        </is>
      </c>
      <c r="E113" t="inlineStr">
        <is>
          <t>Acceso de la población a los servicios de agua potable y saneamiento básico</t>
        </is>
      </c>
      <c r="F113" t="inlineStr">
        <is>
          <t>4003016</t>
        </is>
      </c>
      <c r="G113" t="inlineStr">
        <is>
          <t>Acueductos ampliados</t>
        </is>
      </c>
      <c r="H113" t="inlineStr">
        <is>
          <t>400301601</t>
        </is>
      </c>
      <c r="I113" t="inlineStr">
        <is>
          <t>Personas beneficiadas con proyectos que mejoran provisión, calidad y/o continuidad de los servicios de acueducto</t>
        </is>
      </c>
      <c r="J113" t="inlineStr">
        <is>
          <t>2024254860022</t>
        </is>
      </c>
      <c r="K113" t="inlineStr">
        <is>
          <t>No</t>
        </is>
      </c>
      <c r="L113" t="inlineStr">
        <is>
          <t>Número</t>
        </is>
      </c>
      <c r="M113">
        <v>14188</v>
      </c>
      <c r="N113">
        <v>14188</v>
      </c>
      <c r="O113">
        <v>14188</v>
      </c>
      <c r="P113">
        <v>14188</v>
      </c>
      <c r="Q113">
        <v>14188</v>
      </c>
      <c r="R113" t="inlineStr">
        <is>
          <t xml:space="preserve"> </t>
        </is>
      </c>
      <c r="S113" s="103" t="inlineStr">
        <is>
          <t xml:space="preserve"> </t>
        </is>
      </c>
      <c r="T113" t="inlineStr">
        <is>
          <t>No se encontró ejecución en PIIP</t>
        </is>
      </c>
      <c r="U113" t="inlineStr">
        <is>
          <t xml:space="preserve"> </t>
        </is>
      </c>
      <c r="V113" s="104" t="inlineStr">
        <is>
          <t xml:space="preserve"> </t>
        </is>
      </c>
      <c r="W113" t="inlineStr">
        <is>
          <t>No se encontró ejecución en PIIP</t>
        </is>
      </c>
    </row>
    <row r="114">
      <c r="A114" t="inlineStr">
        <is>
          <t>IP-118</t>
        </is>
      </c>
      <c r="B114" t="inlineStr">
        <is>
          <t>40</t>
        </is>
      </c>
      <c r="C114" t="inlineStr">
        <is>
          <t>Vivienda, ciudad y territorio</t>
        </is>
      </c>
      <c r="D114" t="inlineStr">
        <is>
          <t>4003</t>
        </is>
      </c>
      <c r="E114" t="inlineStr">
        <is>
          <t>Acceso de la población a los servicios de agua potable y saneamiento básico</t>
        </is>
      </c>
      <c r="F114" t="inlineStr">
        <is>
          <t>4003006</t>
        </is>
      </c>
      <c r="G114" t="inlineStr">
        <is>
          <t>Documentos de planeación</t>
        </is>
      </c>
      <c r="H114" t="inlineStr">
        <is>
          <t>400300601</t>
        </is>
      </c>
      <c r="I114" t="inlineStr">
        <is>
          <t>Documentos de planeación en políticas de Agua Potable y Saneamiento Básico elaborados</t>
        </is>
      </c>
      <c r="J114" t="inlineStr">
        <is>
          <t>2024254860022</t>
        </is>
      </c>
      <c r="K114" t="inlineStr">
        <is>
          <t>No</t>
        </is>
      </c>
      <c r="L114" t="inlineStr">
        <is>
          <t>Número</t>
        </is>
      </c>
      <c r="M114">
        <v>1</v>
      </c>
      <c r="N114">
        <v>0</v>
      </c>
      <c r="O114">
        <v>1</v>
      </c>
      <c r="P114">
        <v>1</v>
      </c>
      <c r="Q114">
        <v>1</v>
      </c>
      <c r="R114" t="inlineStr">
        <is>
          <t xml:space="preserve"> </t>
        </is>
      </c>
      <c r="S114" s="103" t="inlineStr">
        <is>
          <t xml:space="preserve"> </t>
        </is>
      </c>
      <c r="T114" t="inlineStr">
        <is>
          <t>No se encontró ejecución en PIIP</t>
        </is>
      </c>
      <c r="U114" t="inlineStr">
        <is>
          <t xml:space="preserve"> </t>
        </is>
      </c>
      <c r="V114" s="104" t="inlineStr">
        <is>
          <t xml:space="preserve"> </t>
        </is>
      </c>
      <c r="W114" t="inlineStr">
        <is>
          <t>No se encontró ejecución en PIIP</t>
        </is>
      </c>
    </row>
    <row r="115">
      <c r="A115" t="inlineStr">
        <is>
          <t>IP-119</t>
        </is>
      </c>
      <c r="B115" t="inlineStr">
        <is>
          <t>40</t>
        </is>
      </c>
      <c r="C115" t="inlineStr">
        <is>
          <t>Vivienda, ciudad y territorio</t>
        </is>
      </c>
      <c r="D115" t="inlineStr">
        <is>
          <t>4003</t>
        </is>
      </c>
      <c r="E115" t="inlineStr">
        <is>
          <t>Acceso de la población a los servicios de agua potable y saneamiento básico</t>
        </is>
      </c>
      <c r="F115" t="inlineStr">
        <is>
          <t>4003047</t>
        </is>
      </c>
      <c r="G115" t="inlineStr">
        <is>
          <t>Servicio de apoyo financiero para subsidios al consumo en los servicios públicos domiciliarios</t>
        </is>
      </c>
      <c r="H115" t="inlineStr">
        <is>
          <t>400304702</t>
        </is>
      </c>
      <c r="I115" t="inlineStr">
        <is>
          <t>Usuarios beneficiados con subsidios al consumo del servicio de acueducto</t>
        </is>
      </c>
      <c r="J115" t="inlineStr">
        <is>
          <t>2024254860022</t>
        </is>
      </c>
      <c r="K115" t="inlineStr">
        <is>
          <t>No</t>
        </is>
      </c>
      <c r="L115" t="inlineStr">
        <is>
          <t>Número</t>
        </is>
      </c>
      <c r="M115">
        <v>4500</v>
      </c>
      <c r="N115">
        <v>4500</v>
      </c>
      <c r="O115">
        <v>4500</v>
      </c>
      <c r="P115">
        <v>4500</v>
      </c>
      <c r="Q115">
        <v>4500</v>
      </c>
      <c r="R115" t="inlineStr">
        <is>
          <t xml:space="preserve"> </t>
        </is>
      </c>
      <c r="S115" s="103" t="inlineStr">
        <is>
          <t xml:space="preserve"> </t>
        </is>
      </c>
      <c r="T115" t="inlineStr">
        <is>
          <t>No se encontró ejecución en PIIP</t>
        </is>
      </c>
      <c r="U115" t="inlineStr">
        <is>
          <t xml:space="preserve"> </t>
        </is>
      </c>
      <c r="V115" s="104" t="inlineStr">
        <is>
          <t xml:space="preserve"> </t>
        </is>
      </c>
      <c r="W115" t="inlineStr">
        <is>
          <t>No se encontró ejecución en PIIP</t>
        </is>
      </c>
    </row>
    <row r="116">
      <c r="A116" t="inlineStr">
        <is>
          <t>IP-120</t>
        </is>
      </c>
      <c r="B116" t="inlineStr">
        <is>
          <t>40</t>
        </is>
      </c>
      <c r="C116" t="inlineStr">
        <is>
          <t>Vivienda, ciudad y territorio</t>
        </is>
      </c>
      <c r="D116" t="inlineStr">
        <is>
          <t>4003</t>
        </is>
      </c>
      <c r="E116" t="inlineStr">
        <is>
          <t>Acceso de la población a los servicios de agua potable y saneamiento básico</t>
        </is>
      </c>
      <c r="F116" t="inlineStr">
        <is>
          <t>4003018</t>
        </is>
      </c>
      <c r="G116" t="inlineStr">
        <is>
          <t>Alcantarillados construidos</t>
        </is>
      </c>
      <c r="H116" t="inlineStr">
        <is>
          <t>400301800</t>
        </is>
      </c>
      <c r="I116" t="inlineStr">
        <is>
          <t>Alcantarillados construidos</t>
        </is>
      </c>
      <c r="J116" t="inlineStr">
        <is>
          <t>2024254860022</t>
        </is>
      </c>
      <c r="K116" t="inlineStr">
        <is>
          <t>No</t>
        </is>
      </c>
      <c r="L116" t="inlineStr">
        <is>
          <t>Número</t>
        </is>
      </c>
      <c r="M116">
        <v>1</v>
      </c>
      <c r="N116">
        <v>0</v>
      </c>
      <c r="O116">
        <v>0</v>
      </c>
      <c r="P116">
        <v>1</v>
      </c>
      <c r="Q116">
        <v>1</v>
      </c>
      <c r="R116" t="inlineStr">
        <is>
          <t xml:space="preserve"> </t>
        </is>
      </c>
      <c r="S116" s="103" t="inlineStr">
        <is>
          <t xml:space="preserve"> </t>
        </is>
      </c>
      <c r="T116" t="inlineStr">
        <is>
          <t>No se encontró ejecución en PIIP</t>
        </is>
      </c>
      <c r="U116" t="inlineStr">
        <is>
          <t xml:space="preserve"> </t>
        </is>
      </c>
      <c r="V116" s="104" t="inlineStr">
        <is>
          <t xml:space="preserve"> </t>
        </is>
      </c>
      <c r="W116" t="inlineStr">
        <is>
          <t>No se encontró ejecución en PIIP</t>
        </is>
      </c>
    </row>
    <row r="117">
      <c r="A117" t="inlineStr">
        <is>
          <t>IP-121</t>
        </is>
      </c>
      <c r="B117" t="inlineStr">
        <is>
          <t>40</t>
        </is>
      </c>
      <c r="C117" t="inlineStr">
        <is>
          <t>Vivienda, ciudad y territorio</t>
        </is>
      </c>
      <c r="D117" t="inlineStr">
        <is>
          <t>4003</t>
        </is>
      </c>
      <c r="E117" t="inlineStr">
        <is>
          <t>Acceso de la población a los servicios de agua potable y saneamiento básico</t>
        </is>
      </c>
      <c r="F117" t="inlineStr">
        <is>
          <t>4003020</t>
        </is>
      </c>
      <c r="G117" t="inlineStr">
        <is>
          <t>Alcantarillados optimizados</t>
        </is>
      </c>
      <c r="H117" t="inlineStr">
        <is>
          <t>400302002</t>
        </is>
      </c>
      <c r="I117" t="inlineStr">
        <is>
          <t>Plantas de tratamiento de aguas residuales optimizadas</t>
        </is>
      </c>
      <c r="J117" t="inlineStr">
        <is>
          <t>2024254860022</t>
        </is>
      </c>
      <c r="K117" t="inlineStr">
        <is>
          <t>No</t>
        </is>
      </c>
      <c r="L117" t="inlineStr">
        <is>
          <t>Número</t>
        </is>
      </c>
      <c r="M117">
        <v>1</v>
      </c>
      <c r="N117">
        <v>1</v>
      </c>
      <c r="O117">
        <v>1</v>
      </c>
      <c r="P117">
        <v>1</v>
      </c>
      <c r="Q117">
        <v>1</v>
      </c>
      <c r="R117" t="inlineStr">
        <is>
          <t xml:space="preserve"> </t>
        </is>
      </c>
      <c r="S117" s="103" t="inlineStr">
        <is>
          <t xml:space="preserve"> </t>
        </is>
      </c>
      <c r="T117" t="inlineStr">
        <is>
          <t>No se encontró ejecución en PIIP</t>
        </is>
      </c>
      <c r="U117" t="inlineStr">
        <is>
          <t xml:space="preserve"> </t>
        </is>
      </c>
      <c r="V117" s="104" t="inlineStr">
        <is>
          <t xml:space="preserve"> </t>
        </is>
      </c>
      <c r="W117" t="inlineStr">
        <is>
          <t>No se encontró ejecución en PIIP</t>
        </is>
      </c>
    </row>
    <row r="118">
      <c r="A118" t="inlineStr">
        <is>
          <t>IP-122</t>
        </is>
      </c>
      <c r="B118" t="inlineStr">
        <is>
          <t>40</t>
        </is>
      </c>
      <c r="C118" t="inlineStr">
        <is>
          <t>Vivienda, ciudad y territorio</t>
        </is>
      </c>
      <c r="D118" t="inlineStr">
        <is>
          <t>4003</t>
        </is>
      </c>
      <c r="E118" t="inlineStr">
        <is>
          <t>Acceso de la población a los servicios de agua potable y saneamiento básico</t>
        </is>
      </c>
      <c r="F118" t="inlineStr">
        <is>
          <t>4003020</t>
        </is>
      </c>
      <c r="G118" t="inlineStr">
        <is>
          <t>Alcantarillados optimizados</t>
        </is>
      </c>
      <c r="H118" t="inlineStr">
        <is>
          <t>400302007</t>
        </is>
      </c>
      <c r="I118" t="inlineStr">
        <is>
          <t>Sitios de vertido o descarga optimizados</t>
        </is>
      </c>
      <c r="J118" t="inlineStr">
        <is>
          <t>2024254860022</t>
        </is>
      </c>
      <c r="K118" t="inlineStr">
        <is>
          <t>No</t>
        </is>
      </c>
      <c r="L118" t="inlineStr">
        <is>
          <t>Número</t>
        </is>
      </c>
      <c r="M118">
        <v>9</v>
      </c>
      <c r="N118">
        <v>9</v>
      </c>
      <c r="O118">
        <v>9</v>
      </c>
      <c r="P118">
        <v>9</v>
      </c>
      <c r="Q118">
        <v>9</v>
      </c>
      <c r="R118" t="inlineStr">
        <is>
          <t xml:space="preserve"> </t>
        </is>
      </c>
      <c r="S118" s="103" t="inlineStr">
        <is>
          <t xml:space="preserve"> </t>
        </is>
      </c>
      <c r="T118" t="inlineStr">
        <is>
          <t>No se encontró ejecución en PIIP</t>
        </is>
      </c>
      <c r="U118" t="inlineStr">
        <is>
          <t xml:space="preserve"> </t>
        </is>
      </c>
      <c r="V118" s="104" t="inlineStr">
        <is>
          <t xml:space="preserve"> </t>
        </is>
      </c>
      <c r="W118" t="inlineStr">
        <is>
          <t>No se encontró ejecución en PIIP</t>
        </is>
      </c>
    </row>
    <row r="119">
      <c r="A119" t="inlineStr">
        <is>
          <t>IP-123</t>
        </is>
      </c>
      <c r="B119" t="inlineStr">
        <is>
          <t>40</t>
        </is>
      </c>
      <c r="C119" t="inlineStr">
        <is>
          <t>Vivienda, ciudad y territorio</t>
        </is>
      </c>
      <c r="D119" t="inlineStr">
        <is>
          <t>4003</t>
        </is>
      </c>
      <c r="E119" t="inlineStr">
        <is>
          <t>Acceso de la población a los servicios de agua potable y saneamiento básico</t>
        </is>
      </c>
      <c r="F119" t="inlineStr">
        <is>
          <t>4003047</t>
        </is>
      </c>
      <c r="G119" t="inlineStr">
        <is>
          <t>Servicio de apoyo financiero para subsidios al consumo en los servicios públicos domiciliarios</t>
        </is>
      </c>
      <c r="H119" t="inlineStr">
        <is>
          <t>400304703</t>
        </is>
      </c>
      <c r="I119" t="inlineStr">
        <is>
          <t>Usuarios beneficiados con subsidios al consumo del servicio de alcantarillado</t>
        </is>
      </c>
      <c r="J119" t="inlineStr">
        <is>
          <t>2024254860022</t>
        </is>
      </c>
      <c r="K119" t="inlineStr">
        <is>
          <t>No</t>
        </is>
      </c>
      <c r="L119" t="inlineStr">
        <is>
          <t>Número</t>
        </is>
      </c>
      <c r="M119">
        <v>3200</v>
      </c>
      <c r="N119">
        <v>3200</v>
      </c>
      <c r="O119">
        <v>3200</v>
      </c>
      <c r="P119">
        <v>3200</v>
      </c>
      <c r="Q119">
        <v>3200</v>
      </c>
      <c r="R119" t="inlineStr">
        <is>
          <t xml:space="preserve"> </t>
        </is>
      </c>
      <c r="S119" s="103" t="inlineStr">
        <is>
          <t xml:space="preserve"> </t>
        </is>
      </c>
      <c r="T119" t="inlineStr">
        <is>
          <t>No se encontró ejecución en PIIP</t>
        </is>
      </c>
      <c r="U119" t="inlineStr">
        <is>
          <t xml:space="preserve"> </t>
        </is>
      </c>
      <c r="V119" s="104" t="inlineStr">
        <is>
          <t xml:space="preserve"> </t>
        </is>
      </c>
      <c r="W119" t="inlineStr">
        <is>
          <t>No se encontró ejecución en PIIP</t>
        </is>
      </c>
    </row>
    <row r="120">
      <c r="A120" t="inlineStr">
        <is>
          <t>IP-125</t>
        </is>
      </c>
      <c r="B120" t="inlineStr">
        <is>
          <t>40</t>
        </is>
      </c>
      <c r="C120" t="inlineStr">
        <is>
          <t>Vivienda, ciudad y territorio</t>
        </is>
      </c>
      <c r="D120" t="inlineStr">
        <is>
          <t>4003</t>
        </is>
      </c>
      <c r="E120" t="inlineStr">
        <is>
          <t>Acceso de la población a los servicios de agua potable y saneamiento básico</t>
        </is>
      </c>
      <c r="F120" t="inlineStr">
        <is>
          <t>4003025</t>
        </is>
      </c>
      <c r="G120" t="inlineStr">
        <is>
          <t>Servicios de apoyo financiero para la ejecución de proyectos de acueductos y alcantarillado</t>
        </is>
      </c>
      <c r="H120" t="inlineStr">
        <is>
          <t>400302500</t>
        </is>
      </c>
      <c r="I120" t="inlineStr">
        <is>
          <t>Proyectos de acueducto y alcantarillado en área urbana financiados</t>
        </is>
      </c>
      <c r="J120" t="inlineStr">
        <is>
          <t>2024254860022</t>
        </is>
      </c>
      <c r="K120" t="inlineStr">
        <is>
          <t>No</t>
        </is>
      </c>
      <c r="L120" t="inlineStr">
        <is>
          <t>Número</t>
        </is>
      </c>
      <c r="M120">
        <v>1</v>
      </c>
      <c r="N120">
        <v>0</v>
      </c>
      <c r="O120">
        <v>0</v>
      </c>
      <c r="P120">
        <v>1</v>
      </c>
      <c r="Q120">
        <v>1</v>
      </c>
      <c r="R120" t="inlineStr">
        <is>
          <t xml:space="preserve"> </t>
        </is>
      </c>
      <c r="S120" s="103" t="inlineStr">
        <is>
          <t xml:space="preserve"> </t>
        </is>
      </c>
      <c r="T120" t="inlineStr">
        <is>
          <t>No se encontró ejecución en PIIP</t>
        </is>
      </c>
      <c r="U120" t="inlineStr">
        <is>
          <t xml:space="preserve"> </t>
        </is>
      </c>
      <c r="V120" s="104" t="inlineStr">
        <is>
          <t xml:space="preserve"> </t>
        </is>
      </c>
      <c r="W120" t="inlineStr">
        <is>
          <t>No se encontró ejecución en PIIP</t>
        </is>
      </c>
    </row>
    <row r="121">
      <c r="A121" t="inlineStr">
        <is>
          <t>IP-126</t>
        </is>
      </c>
      <c r="B121" t="inlineStr">
        <is>
          <t>40</t>
        </is>
      </c>
      <c r="C121" t="inlineStr">
        <is>
          <t>Vivienda, ciudad y territorio</t>
        </is>
      </c>
      <c r="D121" t="inlineStr">
        <is>
          <t>4003</t>
        </is>
      </c>
      <c r="E121" t="inlineStr">
        <is>
          <t>Acceso de la población a los servicios de agua potable y saneamiento básico</t>
        </is>
      </c>
      <c r="F121" t="inlineStr">
        <is>
          <t>4003026</t>
        </is>
      </c>
      <c r="G121" t="inlineStr">
        <is>
          <t>Servicios de apoyo financiero para la ejecución de proyectos de acueductos y de manejo de aguas residuales</t>
        </is>
      </c>
      <c r="H121" t="inlineStr">
        <is>
          <t>400302600</t>
        </is>
      </c>
      <c r="I121" t="inlineStr">
        <is>
          <t>Proyectos de acueducto y de manejo de aguas residuales en área rural financiados</t>
        </is>
      </c>
      <c r="J121" t="inlineStr">
        <is>
          <t>2024254860022</t>
        </is>
      </c>
      <c r="K121" t="inlineStr">
        <is>
          <t>No</t>
        </is>
      </c>
      <c r="L121" t="inlineStr">
        <is>
          <t>Número</t>
        </is>
      </c>
      <c r="M121">
        <v>1</v>
      </c>
      <c r="N121">
        <v>0</v>
      </c>
      <c r="O121">
        <v>0</v>
      </c>
      <c r="P121">
        <v>1</v>
      </c>
      <c r="Q121">
        <v>1</v>
      </c>
      <c r="R121" t="inlineStr">
        <is>
          <t xml:space="preserve"> </t>
        </is>
      </c>
      <c r="S121" s="103" t="inlineStr">
        <is>
          <t xml:space="preserve"> </t>
        </is>
      </c>
      <c r="T121" t="inlineStr">
        <is>
          <t>No se encontró ejecución en PIIP</t>
        </is>
      </c>
      <c r="U121" t="inlineStr">
        <is>
          <t xml:space="preserve"> </t>
        </is>
      </c>
      <c r="V121" s="104" t="inlineStr">
        <is>
          <t xml:space="preserve"> </t>
        </is>
      </c>
      <c r="W121" t="inlineStr">
        <is>
          <t>No se encontró ejecución en PIIP</t>
        </is>
      </c>
    </row>
    <row r="122">
      <c r="A122" t="inlineStr">
        <is>
          <t>IP-127</t>
        </is>
      </c>
      <c r="B122" t="inlineStr">
        <is>
          <t>40</t>
        </is>
      </c>
      <c r="C122" t="inlineStr">
        <is>
          <t>Vivienda, ciudad y territorio</t>
        </is>
      </c>
      <c r="D122" t="inlineStr">
        <is>
          <t>4003</t>
        </is>
      </c>
      <c r="E122" t="inlineStr">
        <is>
          <t>Acceso de la población a los servicios de agua potable y saneamiento básico</t>
        </is>
      </c>
      <c r="F122" t="inlineStr">
        <is>
          <t>4003044</t>
        </is>
      </c>
      <c r="G122" t="inlineStr">
        <is>
          <t>Unidades sanitarias con saneamiento básico construidas</t>
        </is>
      </c>
      <c r="H122" t="inlineStr">
        <is>
          <t>400304402</t>
        </is>
      </c>
      <c r="I122" t="inlineStr">
        <is>
          <t xml:space="preserve">Unidades sanitarias con saneamiento básico construidas para vivienda Rural </t>
        </is>
      </c>
      <c r="J122" t="inlineStr">
        <is>
          <t>2024254860022</t>
        </is>
      </c>
      <c r="K122" t="inlineStr">
        <is>
          <t>Si</t>
        </is>
      </c>
      <c r="L122" t="inlineStr">
        <is>
          <t>Número</t>
        </is>
      </c>
      <c r="M122">
        <v>60</v>
      </c>
      <c r="N122">
        <v>0</v>
      </c>
      <c r="O122">
        <v>20</v>
      </c>
      <c r="P122">
        <v>20</v>
      </c>
      <c r="Q122">
        <v>20</v>
      </c>
      <c r="R122" t="inlineStr">
        <is>
          <t xml:space="preserve"> </t>
        </is>
      </c>
      <c r="S122" s="103" t="inlineStr">
        <is>
          <t xml:space="preserve"> </t>
        </is>
      </c>
      <c r="T122" t="inlineStr">
        <is>
          <t>No se encontró ejecución en PIIP</t>
        </is>
      </c>
      <c r="U122" t="inlineStr">
        <is>
          <t xml:space="preserve"> </t>
        </is>
      </c>
      <c r="V122" s="104" t="inlineStr">
        <is>
          <t xml:space="preserve"> </t>
        </is>
      </c>
      <c r="W122" t="inlineStr">
        <is>
          <t>No se encontró ejecución en PIIP</t>
        </is>
      </c>
    </row>
    <row r="123">
      <c r="A123" t="inlineStr">
        <is>
          <t>IP-128</t>
        </is>
      </c>
      <c r="B123" t="inlineStr">
        <is>
          <t>40</t>
        </is>
      </c>
      <c r="C123" t="inlineStr">
        <is>
          <t>Vivienda, ciudad y territorio</t>
        </is>
      </c>
      <c r="D123" t="inlineStr">
        <is>
          <t>4003</t>
        </is>
      </c>
      <c r="E123" t="inlineStr">
        <is>
          <t>Acceso de la población a los servicios de agua potable y saneamiento básico</t>
        </is>
      </c>
      <c r="F123" t="inlineStr">
        <is>
          <t>4003023</t>
        </is>
      </c>
      <c r="G123" t="inlineStr">
        <is>
          <t>Servicios de seguimiento al Plan de Gestión Integral de Residuos Solidos PGIRS</t>
        </is>
      </c>
      <c r="H123" t="inlineStr">
        <is>
          <t>400302300</t>
        </is>
      </c>
      <c r="I123" t="inlineStr">
        <is>
          <t>Plan de Gestión Integral de Residuos Solidos con seguimiento</t>
        </is>
      </c>
      <c r="J123" t="inlineStr">
        <is>
          <t>2024254860022</t>
        </is>
      </c>
      <c r="K123" t="inlineStr">
        <is>
          <t>No</t>
        </is>
      </c>
      <c r="L123" t="inlineStr">
        <is>
          <t>Número</t>
        </is>
      </c>
      <c r="M123">
        <v>1</v>
      </c>
      <c r="N123">
        <v>1</v>
      </c>
      <c r="O123">
        <v>1</v>
      </c>
      <c r="P123">
        <v>1</v>
      </c>
      <c r="Q123">
        <v>1</v>
      </c>
      <c r="R123" t="inlineStr">
        <is>
          <t xml:space="preserve"> </t>
        </is>
      </c>
      <c r="S123" s="103" t="inlineStr">
        <is>
          <t xml:space="preserve"> </t>
        </is>
      </c>
      <c r="T123" t="inlineStr">
        <is>
          <t>No se encontró ejecución en PIIP</t>
        </is>
      </c>
      <c r="U123" t="inlineStr">
        <is>
          <t xml:space="preserve"> </t>
        </is>
      </c>
      <c r="V123" s="104" t="inlineStr">
        <is>
          <t xml:space="preserve"> </t>
        </is>
      </c>
      <c r="W123" t="inlineStr">
        <is>
          <t>No se encontró ejecución en PIIP</t>
        </is>
      </c>
    </row>
    <row r="124">
      <c r="A124" t="inlineStr">
        <is>
          <t>IP-129</t>
        </is>
      </c>
      <c r="B124" t="inlineStr">
        <is>
          <t>40</t>
        </is>
      </c>
      <c r="C124" t="inlineStr">
        <is>
          <t>Vivienda, ciudad y territorio</t>
        </is>
      </c>
      <c r="D124" t="inlineStr">
        <is>
          <t>4003</t>
        </is>
      </c>
      <c r="E124" t="inlineStr">
        <is>
          <t>Acceso de la población a los servicios de agua potable y saneamiento básico</t>
        </is>
      </c>
      <c r="F124" t="inlineStr">
        <is>
          <t>4003022</t>
        </is>
      </c>
      <c r="G124" t="inlineStr">
        <is>
          <t>Servicios de implementación del Plan de Gestión Integral de Residuos Solidos PGIRS</t>
        </is>
      </c>
      <c r="H124" t="inlineStr">
        <is>
          <t>400302200</t>
        </is>
      </c>
      <c r="I124" t="inlineStr">
        <is>
          <t>Plan de Gestión Integral de Residuos Solidos implementado</t>
        </is>
      </c>
      <c r="J124" t="inlineStr">
        <is>
          <t>2024254860022</t>
        </is>
      </c>
      <c r="K124" t="inlineStr">
        <is>
          <t>No</t>
        </is>
      </c>
      <c r="L124" t="inlineStr">
        <is>
          <t>Número</t>
        </is>
      </c>
      <c r="M124">
        <v>1</v>
      </c>
      <c r="N124">
        <v>1</v>
      </c>
      <c r="O124">
        <v>1</v>
      </c>
      <c r="P124">
        <v>1</v>
      </c>
      <c r="Q124">
        <v>1</v>
      </c>
      <c r="R124" t="inlineStr">
        <is>
          <t xml:space="preserve"> </t>
        </is>
      </c>
      <c r="S124" s="103" t="inlineStr">
        <is>
          <t xml:space="preserve"> </t>
        </is>
      </c>
      <c r="T124" t="inlineStr">
        <is>
          <t>No se encontró ejecución en PIIP</t>
        </is>
      </c>
      <c r="U124" t="inlineStr">
        <is>
          <t xml:space="preserve"> </t>
        </is>
      </c>
      <c r="V124" s="104" t="inlineStr">
        <is>
          <t xml:space="preserve"> </t>
        </is>
      </c>
      <c r="W124" t="inlineStr">
        <is>
          <t>No se encontró ejecución en PIIP</t>
        </is>
      </c>
    </row>
    <row r="125">
      <c r="A125" t="inlineStr">
        <is>
          <t>IP-130</t>
        </is>
      </c>
      <c r="B125" t="inlineStr">
        <is>
          <t>40</t>
        </is>
      </c>
      <c r="C125" t="inlineStr">
        <is>
          <t>Vivienda, ciudad y territorio</t>
        </is>
      </c>
      <c r="D125" t="inlineStr">
        <is>
          <t>4003</t>
        </is>
      </c>
      <c r="E125" t="inlineStr">
        <is>
          <t>Acceso de la población a los servicios de agua potable y saneamiento básico</t>
        </is>
      </c>
      <c r="F125" t="inlineStr">
        <is>
          <t>4003010</t>
        </is>
      </c>
      <c r="G125" t="inlineStr">
        <is>
          <t>Servicio de Aseo</t>
        </is>
      </c>
      <c r="H125" t="inlineStr">
        <is>
          <t>400301000</t>
        </is>
      </c>
      <c r="I125" t="inlineStr">
        <is>
          <t>Usuarios con acceso al servicio de aseo</t>
        </is>
      </c>
      <c r="J125" t="inlineStr">
        <is>
          <t>2024254860022</t>
        </is>
      </c>
      <c r="K125" t="inlineStr">
        <is>
          <t>No</t>
        </is>
      </c>
      <c r="L125" t="inlineStr">
        <is>
          <t>Número</t>
        </is>
      </c>
      <c r="M125">
        <v>3000</v>
      </c>
      <c r="N125">
        <v>3000</v>
      </c>
      <c r="O125">
        <v>3000</v>
      </c>
      <c r="P125">
        <v>3000</v>
      </c>
      <c r="Q125">
        <v>3000</v>
      </c>
      <c r="R125" t="inlineStr">
        <is>
          <t xml:space="preserve"> </t>
        </is>
      </c>
      <c r="S125" s="103" t="inlineStr">
        <is>
          <t xml:space="preserve"> </t>
        </is>
      </c>
      <c r="T125" t="inlineStr">
        <is>
          <t>No se encontró ejecución en PIIP</t>
        </is>
      </c>
      <c r="U125" t="inlineStr">
        <is>
          <t xml:space="preserve"> </t>
        </is>
      </c>
      <c r="V125" s="104" t="inlineStr">
        <is>
          <t xml:space="preserve"> </t>
        </is>
      </c>
      <c r="W125" t="inlineStr">
        <is>
          <t>No se encontró ejecución en PIIP</t>
        </is>
      </c>
    </row>
    <row r="126">
      <c r="A126" t="inlineStr">
        <is>
          <t>IP-131</t>
        </is>
      </c>
      <c r="B126" t="inlineStr">
        <is>
          <t>40</t>
        </is>
      </c>
      <c r="C126" t="inlineStr">
        <is>
          <t>Vivienda, ciudad y territorio</t>
        </is>
      </c>
      <c r="D126" t="inlineStr">
        <is>
          <t>4003</t>
        </is>
      </c>
      <c r="E126" t="inlineStr">
        <is>
          <t>Acceso de la población a los servicios de agua potable y saneamiento básico</t>
        </is>
      </c>
      <c r="F126" t="inlineStr">
        <is>
          <t>4003010</t>
        </is>
      </c>
      <c r="G126" t="inlineStr">
        <is>
          <t>Servicio de Aseo</t>
        </is>
      </c>
      <c r="H126" t="inlineStr">
        <is>
          <t>400301001</t>
        </is>
      </c>
      <c r="I126" t="inlineStr">
        <is>
          <t>Municipios con vehículos de recolección de residuos solidos</t>
        </is>
      </c>
      <c r="J126" t="inlineStr">
        <is>
          <t>2024254860022</t>
        </is>
      </c>
      <c r="K126" t="inlineStr">
        <is>
          <t>No</t>
        </is>
      </c>
      <c r="L126" t="inlineStr">
        <is>
          <t>Número</t>
        </is>
      </c>
      <c r="M126">
        <v>1</v>
      </c>
      <c r="N126">
        <v>1</v>
      </c>
      <c r="O126">
        <v>1</v>
      </c>
      <c r="P126">
        <v>1</v>
      </c>
      <c r="Q126">
        <v>1</v>
      </c>
      <c r="R126" t="inlineStr">
        <is>
          <t xml:space="preserve"> </t>
        </is>
      </c>
      <c r="S126" s="103" t="inlineStr">
        <is>
          <t xml:space="preserve"> </t>
        </is>
      </c>
      <c r="T126" t="inlineStr">
        <is>
          <t>No se encontró ejecución en PIIP</t>
        </is>
      </c>
      <c r="U126" t="inlineStr">
        <is>
          <t xml:space="preserve"> </t>
        </is>
      </c>
      <c r="V126" s="104" t="inlineStr">
        <is>
          <t xml:space="preserve"> </t>
        </is>
      </c>
      <c r="W126" t="inlineStr">
        <is>
          <t>No se encontró ejecución en PIIP</t>
        </is>
      </c>
    </row>
    <row r="127">
      <c r="A127" t="inlineStr">
        <is>
          <t>IP-132</t>
        </is>
      </c>
      <c r="B127" t="inlineStr">
        <is>
          <t>40</t>
        </is>
      </c>
      <c r="C127" t="inlineStr">
        <is>
          <t>Vivienda, ciudad y territorio</t>
        </is>
      </c>
      <c r="D127" t="inlineStr">
        <is>
          <t>4003</t>
        </is>
      </c>
      <c r="E127" t="inlineStr">
        <is>
          <t>Acceso de la población a los servicios de agua potable y saneamiento básico</t>
        </is>
      </c>
      <c r="F127" t="inlineStr">
        <is>
          <t>4003047</t>
        </is>
      </c>
      <c r="G127" t="inlineStr">
        <is>
          <t>Servicio de apoyo financiero para subsidios al consumo en los servicios públicos domiciliarios</t>
        </is>
      </c>
      <c r="H127" t="inlineStr">
        <is>
          <t>400304704</t>
        </is>
      </c>
      <c r="I127" t="inlineStr">
        <is>
          <t>Usuarios beneficiados con subsidios al consumo del servicio de aseo</t>
        </is>
      </c>
      <c r="J127" t="inlineStr">
        <is>
          <t>2024254860022</t>
        </is>
      </c>
      <c r="K127" t="inlineStr">
        <is>
          <t>No</t>
        </is>
      </c>
      <c r="L127" t="inlineStr">
        <is>
          <t>Número</t>
        </is>
      </c>
      <c r="M127">
        <v>3000</v>
      </c>
      <c r="N127">
        <v>3000</v>
      </c>
      <c r="O127">
        <v>3000</v>
      </c>
      <c r="P127">
        <v>3000</v>
      </c>
      <c r="Q127">
        <v>3000</v>
      </c>
      <c r="R127" t="inlineStr">
        <is>
          <t xml:space="preserve"> </t>
        </is>
      </c>
      <c r="S127" s="103" t="inlineStr">
        <is>
          <t xml:space="preserve"> </t>
        </is>
      </c>
      <c r="T127" t="inlineStr">
        <is>
          <t>No se encontró ejecución en PIIP</t>
        </is>
      </c>
      <c r="U127" t="inlineStr">
        <is>
          <t xml:space="preserve"> </t>
        </is>
      </c>
      <c r="V127" s="104" t="inlineStr">
        <is>
          <t xml:space="preserve"> </t>
        </is>
      </c>
      <c r="W127" t="inlineStr">
        <is>
          <t>No se encontró ejecución en PIIP</t>
        </is>
      </c>
    </row>
    <row r="128">
      <c r="A128" t="inlineStr">
        <is>
          <t>IP-133</t>
        </is>
      </c>
      <c r="B128" t="inlineStr">
        <is>
          <t>40</t>
        </is>
      </c>
      <c r="C128" t="inlineStr">
        <is>
          <t>Vivienda, ciudad y territorio</t>
        </is>
      </c>
      <c r="D128" t="inlineStr">
        <is>
          <t>4002</t>
        </is>
      </c>
      <c r="E128" t="inlineStr">
        <is>
          <t>Ordenamiento territorial y desarrollo urbano</t>
        </is>
      </c>
      <c r="F128" t="inlineStr">
        <is>
          <t>4002016</t>
        </is>
      </c>
      <c r="G128" t="inlineStr">
        <is>
          <t>Documentos de planeación</t>
        </is>
      </c>
      <c r="H128" t="inlineStr">
        <is>
          <t>400201601</t>
        </is>
      </c>
      <c r="I128" t="inlineStr">
        <is>
          <t>Documentos de planeación en Ordenamiento Territorial implementados</t>
        </is>
      </c>
      <c r="J128" t="inlineStr">
        <is>
          <t>2024254860023</t>
        </is>
      </c>
      <c r="K128" t="inlineStr">
        <is>
          <t>No</t>
        </is>
      </c>
      <c r="L128" t="inlineStr">
        <is>
          <t>Número</t>
        </is>
      </c>
      <c r="M128">
        <v>1</v>
      </c>
      <c r="N128">
        <v>1</v>
      </c>
      <c r="O128">
        <v>1</v>
      </c>
      <c r="P128">
        <v>1</v>
      </c>
      <c r="Q128">
        <v>1</v>
      </c>
      <c r="R128" t="inlineStr">
        <is>
          <t xml:space="preserve"> </t>
        </is>
      </c>
      <c r="S128" s="103" t="inlineStr">
        <is>
          <t xml:space="preserve"> </t>
        </is>
      </c>
      <c r="T128" t="inlineStr">
        <is>
          <t>No se encontró ejecución en PIIP</t>
        </is>
      </c>
      <c r="U128" t="inlineStr">
        <is>
          <t xml:space="preserve"> </t>
        </is>
      </c>
      <c r="V128" s="104" t="inlineStr">
        <is>
          <t xml:space="preserve"> </t>
        </is>
      </c>
      <c r="W128" t="inlineStr">
        <is>
          <t>No se encontró ejecución en PIIP</t>
        </is>
      </c>
    </row>
    <row r="129">
      <c r="A129" t="inlineStr">
        <is>
          <t>IP-134</t>
        </is>
      </c>
      <c r="B129" t="inlineStr">
        <is>
          <t>40</t>
        </is>
      </c>
      <c r="C129" t="inlineStr">
        <is>
          <t>Vivienda, ciudad y territorio</t>
        </is>
      </c>
      <c r="D129" t="inlineStr">
        <is>
          <t>4002</t>
        </is>
      </c>
      <c r="E129" t="inlineStr">
        <is>
          <t>Ordenamiento territorial y desarrollo urbano</t>
        </is>
      </c>
      <c r="F129" t="inlineStr">
        <is>
          <t>4002020</t>
        </is>
      </c>
      <c r="G129" t="inlineStr">
        <is>
          <t>Espacio publico adecuado</t>
        </is>
      </c>
      <c r="H129" t="inlineStr">
        <is>
          <t>400202000</t>
        </is>
      </c>
      <c r="I129" t="inlineStr">
        <is>
          <t>Espacio publico adecuado</t>
        </is>
      </c>
      <c r="J129" t="inlineStr">
        <is>
          <t>2024254860023</t>
        </is>
      </c>
      <c r="K129" t="inlineStr">
        <is>
          <t>Si</t>
        </is>
      </c>
      <c r="L129" t="inlineStr">
        <is>
          <t>Metros cuadrados</t>
        </is>
      </c>
      <c r="M129">
        <v>8000</v>
      </c>
      <c r="N129">
        <v>500</v>
      </c>
      <c r="O129">
        <v>2500</v>
      </c>
      <c r="P129">
        <v>2500</v>
      </c>
      <c r="Q129">
        <v>2500</v>
      </c>
      <c r="R129" t="inlineStr">
        <is>
          <t xml:space="preserve"> </t>
        </is>
      </c>
      <c r="S129" s="103" t="inlineStr">
        <is>
          <t xml:space="preserve"> </t>
        </is>
      </c>
      <c r="T129" t="inlineStr">
        <is>
          <t>No se encontró ejecución en PIIP</t>
        </is>
      </c>
      <c r="U129" t="inlineStr">
        <is>
          <t xml:space="preserve"> </t>
        </is>
      </c>
      <c r="V129" s="104" t="inlineStr">
        <is>
          <t xml:space="preserve"> </t>
        </is>
      </c>
      <c r="W129" t="inlineStr">
        <is>
          <t>No se encontró ejecución en PIIP</t>
        </is>
      </c>
    </row>
    <row r="130">
      <c r="A130" t="inlineStr">
        <is>
          <t>IP-135</t>
        </is>
      </c>
      <c r="B130" t="inlineStr">
        <is>
          <t>40</t>
        </is>
      </c>
      <c r="C130" t="inlineStr">
        <is>
          <t>Vivienda, ciudad y territorio</t>
        </is>
      </c>
      <c r="D130" t="inlineStr">
        <is>
          <t>4002</t>
        </is>
      </c>
      <c r="E130" t="inlineStr">
        <is>
          <t>Ordenamiento territorial y desarrollo urbano</t>
        </is>
      </c>
      <c r="F130" t="inlineStr">
        <is>
          <t>4002013</t>
        </is>
      </c>
      <c r="G130" t="inlineStr">
        <is>
          <t>Servicio de apoyo financiero para el Mejoramiento integral de barrios</t>
        </is>
      </c>
      <c r="H130" t="inlineStr">
        <is>
          <t>400201300</t>
        </is>
      </c>
      <c r="I130" t="inlineStr">
        <is>
          <t>Proyectos apoyados financieramente en Mejoramiento Integral de Barrios</t>
        </is>
      </c>
      <c r="J130" t="inlineStr">
        <is>
          <t>2024254860023</t>
        </is>
      </c>
      <c r="K130" t="inlineStr">
        <is>
          <t>No</t>
        </is>
      </c>
      <c r="L130" t="inlineStr">
        <is>
          <t>Número</t>
        </is>
      </c>
      <c r="M130">
        <v>1</v>
      </c>
      <c r="N130">
        <v>1</v>
      </c>
      <c r="O130">
        <v>1</v>
      </c>
      <c r="P130">
        <v>1</v>
      </c>
      <c r="Q130">
        <v>1</v>
      </c>
      <c r="R130" t="inlineStr">
        <is>
          <t xml:space="preserve"> </t>
        </is>
      </c>
      <c r="S130" s="103" t="inlineStr">
        <is>
          <t xml:space="preserve"> </t>
        </is>
      </c>
      <c r="T130" t="inlineStr">
        <is>
          <t>No se encontró ejecución en PIIP</t>
        </is>
      </c>
      <c r="U130" t="inlineStr">
        <is>
          <t xml:space="preserve"> </t>
        </is>
      </c>
      <c r="V130" s="104" t="inlineStr">
        <is>
          <t xml:space="preserve"> </t>
        </is>
      </c>
      <c r="W130" t="inlineStr">
        <is>
          <t>No se encontró ejecución en PIIP</t>
        </is>
      </c>
    </row>
    <row r="131">
      <c r="A131" t="inlineStr">
        <is>
          <t>IP-136</t>
        </is>
      </c>
      <c r="B131" t="inlineStr">
        <is>
          <t>40</t>
        </is>
      </c>
      <c r="C131" t="inlineStr">
        <is>
          <t>Vivienda, ciudad y territorio</t>
        </is>
      </c>
      <c r="D131" t="inlineStr">
        <is>
          <t>4002</t>
        </is>
      </c>
      <c r="E131" t="inlineStr">
        <is>
          <t>Ordenamiento territorial y desarrollo urbano</t>
        </is>
      </c>
      <c r="F131" t="inlineStr">
        <is>
          <t>4002025</t>
        </is>
      </c>
      <c r="G131" t="inlineStr">
        <is>
          <t>Zonas verdes adecuadas</t>
        </is>
      </c>
      <c r="H131" t="inlineStr">
        <is>
          <t>400202500</t>
        </is>
      </c>
      <c r="I131" t="inlineStr">
        <is>
          <t>Zonas verdes adecuadas</t>
        </is>
      </c>
      <c r="J131" t="inlineStr">
        <is>
          <t>2024254860023</t>
        </is>
      </c>
      <c r="K131" t="inlineStr">
        <is>
          <t>Si</t>
        </is>
      </c>
      <c r="L131" t="inlineStr">
        <is>
          <t>Metros cuadrados</t>
        </is>
      </c>
      <c r="M131">
        <v>3000</v>
      </c>
      <c r="N131">
        <v>750</v>
      </c>
      <c r="O131">
        <v>750</v>
      </c>
      <c r="P131">
        <v>750</v>
      </c>
      <c r="Q131">
        <v>750</v>
      </c>
      <c r="R131" t="inlineStr">
        <is>
          <t xml:space="preserve"> </t>
        </is>
      </c>
      <c r="S131" s="103" t="inlineStr">
        <is>
          <t xml:space="preserve"> </t>
        </is>
      </c>
      <c r="T131" t="inlineStr">
        <is>
          <t>No se encontró ejecución en PIIP</t>
        </is>
      </c>
      <c r="U131" t="inlineStr">
        <is>
          <t xml:space="preserve"> </t>
        </is>
      </c>
      <c r="V131" s="104" t="inlineStr">
        <is>
          <t xml:space="preserve"> </t>
        </is>
      </c>
      <c r="W131" t="inlineStr">
        <is>
          <t>No se encontró ejecución en PIIP</t>
        </is>
      </c>
    </row>
    <row r="132">
      <c r="A132" t="inlineStr">
        <is>
          <t>IP-137</t>
        </is>
      </c>
      <c r="B132" t="inlineStr">
        <is>
          <t>40</t>
        </is>
      </c>
      <c r="C132" t="inlineStr">
        <is>
          <t>Vivienda, ciudad y territorio</t>
        </is>
      </c>
      <c r="D132" t="inlineStr">
        <is>
          <t>4002</t>
        </is>
      </c>
      <c r="E132" t="inlineStr">
        <is>
          <t>Ordenamiento territorial y desarrollo urbano</t>
        </is>
      </c>
      <c r="F132" t="inlineStr">
        <is>
          <t>4002026</t>
        </is>
      </c>
      <c r="G132" t="inlineStr">
        <is>
          <t>Zonas verdes mantenidas</t>
        </is>
      </c>
      <c r="H132" t="inlineStr">
        <is>
          <t>400202600</t>
        </is>
      </c>
      <c r="I132" t="inlineStr">
        <is>
          <t>Zonas verdes mantenidas</t>
        </is>
      </c>
      <c r="J132" t="inlineStr">
        <is>
          <t>2024254860023</t>
        </is>
      </c>
      <c r="K132" t="inlineStr">
        <is>
          <t>No</t>
        </is>
      </c>
      <c r="L132" t="inlineStr">
        <is>
          <t>Metros cuadrados</t>
        </is>
      </c>
      <c r="M132">
        <v>2000</v>
      </c>
      <c r="N132">
        <v>2000</v>
      </c>
      <c r="O132">
        <v>2000</v>
      </c>
      <c r="P132">
        <v>2000</v>
      </c>
      <c r="Q132">
        <v>2000</v>
      </c>
      <c r="R132" t="inlineStr">
        <is>
          <t xml:space="preserve"> </t>
        </is>
      </c>
      <c r="S132" s="103" t="inlineStr">
        <is>
          <t xml:space="preserve"> </t>
        </is>
      </c>
      <c r="T132" t="inlineStr">
        <is>
          <t>No se encontró ejecución en PIIP</t>
        </is>
      </c>
      <c r="U132" t="inlineStr">
        <is>
          <t xml:space="preserve"> </t>
        </is>
      </c>
      <c r="V132" s="104" t="inlineStr">
        <is>
          <t xml:space="preserve"> </t>
        </is>
      </c>
      <c r="W132" t="inlineStr">
        <is>
          <t>No se encontró ejecución en PIIP</t>
        </is>
      </c>
    </row>
    <row r="133">
      <c r="A133" t="inlineStr">
        <is>
          <t>IP-138</t>
        </is>
      </c>
      <c r="B133" t="inlineStr">
        <is>
          <t>40</t>
        </is>
      </c>
      <c r="C133" t="inlineStr">
        <is>
          <t>Vivienda, ciudad y territorio</t>
        </is>
      </c>
      <c r="D133" t="inlineStr">
        <is>
          <t>4002</t>
        </is>
      </c>
      <c r="E133" t="inlineStr">
        <is>
          <t>Ordenamiento territorial y desarrollo urbano</t>
        </is>
      </c>
      <c r="F133" t="inlineStr">
        <is>
          <t>4002016</t>
        </is>
      </c>
      <c r="G133" t="inlineStr">
        <is>
          <t>Documentos de planeación</t>
        </is>
      </c>
      <c r="H133" t="inlineStr">
        <is>
          <t>400201604</t>
        </is>
      </c>
      <c r="I133" t="inlineStr">
        <is>
          <t>Estrategia de Gobernanza, Coordinación, Armonización  y Conciliación del Plan de Ordenamiento Departamental diseñada e implementada</t>
        </is>
      </c>
      <c r="J133" t="inlineStr">
        <is>
          <t>2024254860023</t>
        </is>
      </c>
      <c r="K133" t="inlineStr">
        <is>
          <t>No</t>
        </is>
      </c>
      <c r="L133" t="inlineStr">
        <is>
          <t>Número</t>
        </is>
      </c>
      <c r="M133">
        <v>1</v>
      </c>
      <c r="N133">
        <v>0</v>
      </c>
      <c r="O133">
        <v>1</v>
      </c>
      <c r="P133">
        <v>1</v>
      </c>
      <c r="Q133">
        <v>1</v>
      </c>
      <c r="R133" t="inlineStr">
        <is>
          <t xml:space="preserve"> </t>
        </is>
      </c>
      <c r="S133" s="103" t="inlineStr">
        <is>
          <t xml:space="preserve"> </t>
        </is>
      </c>
      <c r="T133" t="inlineStr">
        <is>
          <t>No se encontró ejecución en PIIP</t>
        </is>
      </c>
      <c r="U133" t="inlineStr">
        <is>
          <t xml:space="preserve"> </t>
        </is>
      </c>
      <c r="V133" s="104" t="inlineStr">
        <is>
          <t xml:space="preserve"> </t>
        </is>
      </c>
      <c r="W133" t="inlineStr">
        <is>
          <t>No se encontró ejecución en PIIP</t>
        </is>
      </c>
    </row>
    <row r="134">
      <c r="A134" t="inlineStr">
        <is>
          <t>IP-139</t>
        </is>
      </c>
      <c r="B134" t="inlineStr">
        <is>
          <t>43</t>
        </is>
      </c>
      <c r="C134" t="inlineStr">
        <is>
          <t>Deporte y Recreación</t>
        </is>
      </c>
      <c r="D134" t="inlineStr">
        <is>
          <t>4301</t>
        </is>
      </c>
      <c r="E134" t="inlineStr">
        <is>
          <t>Fomento a la recreación, la actividad física y el deporte para desarrollar entornos de convivencia y paz</t>
        </is>
      </c>
      <c r="F134" t="inlineStr">
        <is>
          <t>4301037</t>
        </is>
      </c>
      <c r="G134" t="inlineStr">
        <is>
          <t>Servicio de promoción de la actividad física, la recreación y el deporte</t>
        </is>
      </c>
      <c r="H134" t="inlineStr">
        <is>
          <t>430103700</t>
        </is>
      </c>
      <c r="I134" t="inlineStr">
        <is>
          <t>Personas que acceden a servicios deportivos, recreativos y de actividad física</t>
        </is>
      </c>
      <c r="J134" t="inlineStr">
        <is>
          <t>2024254860024</t>
        </is>
      </c>
      <c r="K134" t="inlineStr">
        <is>
          <t>No</t>
        </is>
      </c>
      <c r="L134" t="inlineStr">
        <is>
          <t>Número</t>
        </is>
      </c>
      <c r="M134">
        <v>30</v>
      </c>
      <c r="N134">
        <v>10</v>
      </c>
      <c r="O134">
        <v>40</v>
      </c>
      <c r="P134">
        <v>40</v>
      </c>
      <c r="Q134">
        <v>30</v>
      </c>
      <c r="R134" t="inlineStr">
        <is>
          <t xml:space="preserve"> </t>
        </is>
      </c>
      <c r="S134" s="103" t="inlineStr">
        <is>
          <t xml:space="preserve"> </t>
        </is>
      </c>
      <c r="T134" t="inlineStr">
        <is>
          <t>No se encontró ejecución en PIIP</t>
        </is>
      </c>
      <c r="U134" t="inlineStr">
        <is>
          <t xml:space="preserve"> </t>
        </is>
      </c>
      <c r="V134" s="104" t="inlineStr">
        <is>
          <t xml:space="preserve"> </t>
        </is>
      </c>
      <c r="W134" t="inlineStr">
        <is>
          <t>No se encontró ejecución en PIIP</t>
        </is>
      </c>
    </row>
    <row r="135">
      <c r="A135" t="inlineStr">
        <is>
          <t>IP-140</t>
        </is>
      </c>
      <c r="B135" t="inlineStr">
        <is>
          <t>43</t>
        </is>
      </c>
      <c r="C135" t="inlineStr">
        <is>
          <t>Deporte y Recreación</t>
        </is>
      </c>
      <c r="D135" t="inlineStr">
        <is>
          <t>4301</t>
        </is>
      </c>
      <c r="E135" t="inlineStr">
        <is>
          <t>Fomento a la recreación, la actividad física y el deporte para desarrollar entornos de convivencia y paz</t>
        </is>
      </c>
      <c r="F135" t="inlineStr">
        <is>
          <t>4301037</t>
        </is>
      </c>
      <c r="G135" t="inlineStr">
        <is>
          <t>Servicio de promoción de la actividad física, la recreación y el deporte</t>
        </is>
      </c>
      <c r="H135" t="inlineStr">
        <is>
          <t>430103703</t>
        </is>
      </c>
      <c r="I135" t="inlineStr">
        <is>
          <t xml:space="preserve"> Personas atendidas por los programas de recreación, deporte social comunitario, actividad física y aprovechamiento del tiempo libre</t>
        </is>
      </c>
      <c r="J135" t="inlineStr">
        <is>
          <t>2024254860024</t>
        </is>
      </c>
      <c r="K135" t="inlineStr">
        <is>
          <t>No</t>
        </is>
      </c>
      <c r="L135" t="inlineStr">
        <is>
          <t>Número</t>
        </is>
      </c>
      <c r="M135">
        <v>1478</v>
      </c>
      <c r="N135">
        <v>1478</v>
      </c>
      <c r="O135">
        <v>1478</v>
      </c>
      <c r="P135">
        <v>1478</v>
      </c>
      <c r="Q135">
        <v>1478</v>
      </c>
      <c r="R135" t="inlineStr">
        <is>
          <t xml:space="preserve"> </t>
        </is>
      </c>
      <c r="S135" s="103" t="inlineStr">
        <is>
          <t xml:space="preserve"> </t>
        </is>
      </c>
      <c r="T135" t="inlineStr">
        <is>
          <t>No se encontró ejecución en PIIP</t>
        </is>
      </c>
      <c r="U135" t="inlineStr">
        <is>
          <t xml:space="preserve"> </t>
        </is>
      </c>
      <c r="V135" s="104" t="inlineStr">
        <is>
          <t xml:space="preserve"> </t>
        </is>
      </c>
      <c r="W135" t="inlineStr">
        <is>
          <t>No se encontró ejecución en PIIP</t>
        </is>
      </c>
    </row>
    <row r="136">
      <c r="A136" t="inlineStr">
        <is>
          <t>IP-141</t>
        </is>
      </c>
      <c r="B136" t="inlineStr">
        <is>
          <t>43</t>
        </is>
      </c>
      <c r="C136" t="inlineStr">
        <is>
          <t>Deporte y Recreación</t>
        </is>
      </c>
      <c r="D136" t="inlineStr">
        <is>
          <t>4301</t>
        </is>
      </c>
      <c r="E136" t="inlineStr">
        <is>
          <t>Fomento a la recreación, la actividad física y el deporte para desarrollar entornos de convivencia y paz</t>
        </is>
      </c>
      <c r="F136" t="inlineStr">
        <is>
          <t>4301037</t>
        </is>
      </c>
      <c r="G136" t="inlineStr">
        <is>
          <t>Servicio de promoción de la actividad física, la recreación y el deporte</t>
        </is>
      </c>
      <c r="H136" t="inlineStr">
        <is>
          <t>430103707</t>
        </is>
      </c>
      <c r="I136" t="inlineStr">
        <is>
          <t>Programas recreativos, deportivos y de actividad física realizados</t>
        </is>
      </c>
      <c r="J136" t="inlineStr">
        <is>
          <t>2024254860024</t>
        </is>
      </c>
      <c r="K136" t="inlineStr">
        <is>
          <t>Si</t>
        </is>
      </c>
      <c r="L136" t="inlineStr">
        <is>
          <t>Número</t>
        </is>
      </c>
      <c r="M136">
        <v>8</v>
      </c>
      <c r="N136">
        <v>2</v>
      </c>
      <c r="O136">
        <v>2</v>
      </c>
      <c r="P136">
        <v>2</v>
      </c>
      <c r="Q136">
        <v>2</v>
      </c>
      <c r="R136" t="inlineStr">
        <is>
          <t xml:space="preserve"> </t>
        </is>
      </c>
      <c r="S136" s="103" t="inlineStr">
        <is>
          <t xml:space="preserve"> </t>
        </is>
      </c>
      <c r="T136" t="inlineStr">
        <is>
          <t>No se encontró ejecución en PIIP</t>
        </is>
      </c>
      <c r="U136" t="inlineStr">
        <is>
          <t xml:space="preserve"> </t>
        </is>
      </c>
      <c r="V136" s="104" t="inlineStr">
        <is>
          <t xml:space="preserve"> </t>
        </is>
      </c>
      <c r="W136" t="inlineStr">
        <is>
          <t>No se encontró ejecución en PIIP</t>
        </is>
      </c>
    </row>
    <row r="137">
      <c r="A137" t="inlineStr">
        <is>
          <t>IP-142</t>
        </is>
      </c>
      <c r="B137" t="inlineStr">
        <is>
          <t>43</t>
        </is>
      </c>
      <c r="C137" t="inlineStr">
        <is>
          <t>Deporte y Recreación</t>
        </is>
      </c>
      <c r="D137" t="inlineStr">
        <is>
          <t>4301</t>
        </is>
      </c>
      <c r="E137" t="inlineStr">
        <is>
          <t>Fomento a la recreación, la actividad física y el deporte para desarrollar entornos de convivencia y paz</t>
        </is>
      </c>
      <c r="F137" t="inlineStr">
        <is>
          <t>4301007</t>
        </is>
      </c>
      <c r="G137" t="inlineStr">
        <is>
          <t>Servicio de Escuelas Deportivas</t>
        </is>
      </c>
      <c r="H137" t="inlineStr">
        <is>
          <t>430100702</t>
        </is>
      </c>
      <c r="I137" t="inlineStr">
        <is>
          <t>Escuelas deportivas implementadas</t>
        </is>
      </c>
      <c r="J137" t="inlineStr">
        <is>
          <t>2024254860024</t>
        </is>
      </c>
      <c r="K137" t="inlineStr">
        <is>
          <t>No</t>
        </is>
      </c>
      <c r="L137" t="inlineStr">
        <is>
          <t>Número</t>
        </is>
      </c>
      <c r="M137">
        <v>13</v>
      </c>
      <c r="N137">
        <v>13</v>
      </c>
      <c r="O137">
        <v>13</v>
      </c>
      <c r="P137">
        <v>13</v>
      </c>
      <c r="Q137">
        <v>13</v>
      </c>
      <c r="R137" t="inlineStr">
        <is>
          <t xml:space="preserve"> </t>
        </is>
      </c>
      <c r="S137" s="103" t="inlineStr">
        <is>
          <t xml:space="preserve"> </t>
        </is>
      </c>
      <c r="T137" t="inlineStr">
        <is>
          <t>No se encontró ejecución en PIIP</t>
        </is>
      </c>
      <c r="U137" t="inlineStr">
        <is>
          <t xml:space="preserve"> </t>
        </is>
      </c>
      <c r="V137" s="104" t="inlineStr">
        <is>
          <t xml:space="preserve"> </t>
        </is>
      </c>
      <c r="W137" t="inlineStr">
        <is>
          <t>No se encontró ejecución en PIIP</t>
        </is>
      </c>
    </row>
    <row r="138">
      <c r="A138" t="inlineStr">
        <is>
          <t>IP-143</t>
        </is>
      </c>
      <c r="B138" t="inlineStr">
        <is>
          <t>43</t>
        </is>
      </c>
      <c r="C138" t="inlineStr">
        <is>
          <t>Deporte y Recreación</t>
        </is>
      </c>
      <c r="D138" t="inlineStr">
        <is>
          <t>4301</t>
        </is>
      </c>
      <c r="E138" t="inlineStr">
        <is>
          <t>Fomento a la recreación, la actividad física y el deporte para desarrollar entornos de convivencia y paz</t>
        </is>
      </c>
      <c r="F138" t="inlineStr">
        <is>
          <t>4301010</t>
        </is>
      </c>
      <c r="G138" t="inlineStr">
        <is>
          <t>Parques recreativos construidos y dotados</t>
        </is>
      </c>
      <c r="H138" t="inlineStr">
        <is>
          <t>430101000</t>
        </is>
      </c>
      <c r="I138" t="inlineStr">
        <is>
          <t>Parques construidos y dotados</t>
        </is>
      </c>
      <c r="J138" t="inlineStr">
        <is>
          <t>2024254860024</t>
        </is>
      </c>
      <c r="K138" t="inlineStr">
        <is>
          <t>Si</t>
        </is>
      </c>
      <c r="L138" t="inlineStr">
        <is>
          <t>Número</t>
        </is>
      </c>
      <c r="M138">
        <v>8</v>
      </c>
      <c r="N138">
        <v>0</v>
      </c>
      <c r="O138">
        <v>3</v>
      </c>
      <c r="P138">
        <v>3</v>
      </c>
      <c r="Q138">
        <v>2</v>
      </c>
      <c r="R138" t="inlineStr">
        <is>
          <t xml:space="preserve"> </t>
        </is>
      </c>
      <c r="S138" s="103" t="inlineStr">
        <is>
          <t xml:space="preserve"> </t>
        </is>
      </c>
      <c r="T138" t="inlineStr">
        <is>
          <t>No se encontró ejecución en PIIP</t>
        </is>
      </c>
      <c r="U138" t="inlineStr">
        <is>
          <t xml:space="preserve"> </t>
        </is>
      </c>
      <c r="V138" s="104" t="inlineStr">
        <is>
          <t xml:space="preserve"> </t>
        </is>
      </c>
      <c r="W138" t="inlineStr">
        <is>
          <t>No se encontró ejecución en PIIP</t>
        </is>
      </c>
    </row>
    <row r="139">
      <c r="A139" t="inlineStr">
        <is>
          <t>IP-144</t>
        </is>
      </c>
      <c r="B139" t="inlineStr">
        <is>
          <t>43</t>
        </is>
      </c>
      <c r="C139" t="inlineStr">
        <is>
          <t>Deporte y Recreación</t>
        </is>
      </c>
      <c r="D139" t="inlineStr">
        <is>
          <t>4301</t>
        </is>
      </c>
      <c r="E139" t="inlineStr">
        <is>
          <t>Fomento a la recreación, la actividad física y el deporte para desarrollar entornos de convivencia y paz</t>
        </is>
      </c>
      <c r="F139" t="inlineStr">
        <is>
          <t>4301001</t>
        </is>
      </c>
      <c r="G139" t="inlineStr">
        <is>
          <t>Servicio de apoyo a la actividad física, la recreación y el deporte</t>
        </is>
      </c>
      <c r="H139" t="inlineStr">
        <is>
          <t>430100104</t>
        </is>
      </c>
      <c r="I139" t="inlineStr">
        <is>
          <t>Organismos deportivos apoyados</t>
        </is>
      </c>
      <c r="J139" t="inlineStr">
        <is>
          <t>2024254860024</t>
        </is>
      </c>
      <c r="K139" t="inlineStr">
        <is>
          <t>No</t>
        </is>
      </c>
      <c r="L139" t="inlineStr">
        <is>
          <t>Número</t>
        </is>
      </c>
      <c r="M139">
        <v>1</v>
      </c>
      <c r="N139">
        <v>1</v>
      </c>
      <c r="O139">
        <v>1</v>
      </c>
      <c r="P139">
        <v>1</v>
      </c>
      <c r="Q139">
        <v>1</v>
      </c>
      <c r="R139" t="inlineStr">
        <is>
          <t xml:space="preserve"> </t>
        </is>
      </c>
      <c r="S139" s="103" t="inlineStr">
        <is>
          <t xml:space="preserve"> </t>
        </is>
      </c>
      <c r="T139" t="inlineStr">
        <is>
          <t>No se encontró ejecución en PIIP</t>
        </is>
      </c>
      <c r="U139" t="inlineStr">
        <is>
          <t xml:space="preserve"> </t>
        </is>
      </c>
      <c r="V139" s="104" t="inlineStr">
        <is>
          <t xml:space="preserve"> </t>
        </is>
      </c>
      <c r="W139" t="inlineStr">
        <is>
          <t>No se encontró ejecución en PIIP</t>
        </is>
      </c>
    </row>
    <row r="140">
      <c r="A140" t="inlineStr">
        <is>
          <t>IP-145</t>
        </is>
      </c>
      <c r="B140" t="inlineStr">
        <is>
          <t>43</t>
        </is>
      </c>
      <c r="C140" t="inlineStr">
        <is>
          <t>Deporte y Recreación</t>
        </is>
      </c>
      <c r="D140" t="inlineStr">
        <is>
          <t>4301</t>
        </is>
      </c>
      <c r="E140" t="inlineStr">
        <is>
          <t>Fomento a la recreación, la actividad física y el deporte para desarrollar entornos de convivencia y paz</t>
        </is>
      </c>
      <c r="F140" t="inlineStr">
        <is>
          <t>4301006</t>
        </is>
      </c>
      <c r="G140" t="inlineStr">
        <is>
          <t>Documentos normativos</t>
        </is>
      </c>
      <c r="H140" t="inlineStr">
        <is>
          <t>430100602</t>
        </is>
      </c>
      <c r="I140" t="inlineStr">
        <is>
          <t>Decretos realizados</t>
        </is>
      </c>
      <c r="J140" t="inlineStr">
        <is>
          <t>2024254860024</t>
        </is>
      </c>
      <c r="K140" t="inlineStr">
        <is>
          <t>No</t>
        </is>
      </c>
      <c r="L140" t="inlineStr">
        <is>
          <t>Número</t>
        </is>
      </c>
      <c r="M140">
        <v>1</v>
      </c>
      <c r="N140">
        <v>0</v>
      </c>
      <c r="O140">
        <v>1</v>
      </c>
      <c r="P140">
        <v>1</v>
      </c>
      <c r="Q140">
        <v>1</v>
      </c>
      <c r="R140" t="inlineStr">
        <is>
          <t xml:space="preserve"> </t>
        </is>
      </c>
      <c r="S140" s="103" t="inlineStr">
        <is>
          <t xml:space="preserve"> </t>
        </is>
      </c>
      <c r="T140" t="inlineStr">
        <is>
          <t>No se encontró ejecución en PIIP</t>
        </is>
      </c>
      <c r="U140" t="inlineStr">
        <is>
          <t xml:space="preserve"> </t>
        </is>
      </c>
      <c r="V140" s="104" t="inlineStr">
        <is>
          <t xml:space="preserve"> </t>
        </is>
      </c>
      <c r="W140" t="inlineStr">
        <is>
          <t>No se encontró ejecución en PIIP</t>
        </is>
      </c>
    </row>
    <row r="141">
      <c r="A141" t="inlineStr">
        <is>
          <t>IP-146</t>
        </is>
      </c>
      <c r="B141" t="inlineStr">
        <is>
          <t>43</t>
        </is>
      </c>
      <c r="C141" t="inlineStr">
        <is>
          <t>Deporte y Recreación</t>
        </is>
      </c>
      <c r="D141" t="inlineStr">
        <is>
          <t>4301</t>
        </is>
      </c>
      <c r="E141" t="inlineStr">
        <is>
          <t>Fomento a la recreación, la actividad física y el deporte para desarrollar entornos de convivencia y paz</t>
        </is>
      </c>
      <c r="F141" t="inlineStr">
        <is>
          <t>4301037</t>
        </is>
      </c>
      <c r="G141" t="inlineStr">
        <is>
          <t>Servicio de promoción de la actividad física, la recreación y el deporte</t>
        </is>
      </c>
      <c r="H141" t="inlineStr">
        <is>
          <t>430103705</t>
        </is>
      </c>
      <c r="I141" t="inlineStr">
        <is>
          <t>Sedes educativas apoyadas con programas de fomento</t>
        </is>
      </c>
      <c r="J141" t="inlineStr">
        <is>
          <t>2024254860024</t>
        </is>
      </c>
      <c r="K141" t="inlineStr">
        <is>
          <t>No</t>
        </is>
      </c>
      <c r="L141" t="inlineStr">
        <is>
          <t>Número</t>
        </is>
      </c>
      <c r="M141">
        <v>9</v>
      </c>
      <c r="N141">
        <v>9</v>
      </c>
      <c r="O141">
        <v>9</v>
      </c>
      <c r="P141">
        <v>9</v>
      </c>
      <c r="Q141">
        <v>9</v>
      </c>
      <c r="R141" t="inlineStr">
        <is>
          <t xml:space="preserve"> </t>
        </is>
      </c>
      <c r="S141" s="103" t="inlineStr">
        <is>
          <t xml:space="preserve"> </t>
        </is>
      </c>
      <c r="T141" t="inlineStr">
        <is>
          <t>No se encontró ejecución en PIIP</t>
        </is>
      </c>
      <c r="U141" t="inlineStr">
        <is>
          <t xml:space="preserve"> </t>
        </is>
      </c>
      <c r="V141" s="104" t="inlineStr">
        <is>
          <t xml:space="preserve"> </t>
        </is>
      </c>
      <c r="W141" t="inlineStr">
        <is>
          <t>No se encontró ejecución en PIIP</t>
        </is>
      </c>
    </row>
    <row r="142">
      <c r="A142" t="inlineStr">
        <is>
          <t>IP-147</t>
        </is>
      </c>
      <c r="B142" t="inlineStr">
        <is>
          <t>43</t>
        </is>
      </c>
      <c r="C142" t="inlineStr">
        <is>
          <t>Deporte y Recreación</t>
        </is>
      </c>
      <c r="D142" t="inlineStr">
        <is>
          <t>4301</t>
        </is>
      </c>
      <c r="E142" t="inlineStr">
        <is>
          <t>Fomento a la recreación, la actividad física y el deporte para desarrollar entornos de convivencia y paz</t>
        </is>
      </c>
      <c r="F142" t="inlineStr">
        <is>
          <t>4301037</t>
        </is>
      </c>
      <c r="G142" t="inlineStr">
        <is>
          <t>Servicio de promoción de la actividad física, la recreación y el deporte</t>
        </is>
      </c>
      <c r="H142" t="inlineStr">
        <is>
          <t>430103703</t>
        </is>
      </c>
      <c r="I142" t="inlineStr">
        <is>
          <t xml:space="preserve"> Personas atendidas por los programas de recreación, deporte social comunitario, actividad física y aprovechamiento del tiempo libre</t>
        </is>
      </c>
      <c r="J142" t="inlineStr">
        <is>
          <t>2024254860024</t>
        </is>
      </c>
      <c r="K142" t="inlineStr">
        <is>
          <t>Si</t>
        </is>
      </c>
      <c r="L142" t="inlineStr">
        <is>
          <t>Número</t>
        </is>
      </c>
      <c r="M142">
        <v>12000</v>
      </c>
      <c r="N142">
        <v>2000</v>
      </c>
      <c r="O142">
        <v>4000</v>
      </c>
      <c r="P142">
        <v>3000</v>
      </c>
      <c r="Q142">
        <v>3000</v>
      </c>
      <c r="R142" t="inlineStr">
        <is>
          <t xml:space="preserve"> </t>
        </is>
      </c>
      <c r="S142" s="103" t="inlineStr">
        <is>
          <t xml:space="preserve"> </t>
        </is>
      </c>
      <c r="T142" t="inlineStr">
        <is>
          <t>No se encontró ejecución en PIIP</t>
        </is>
      </c>
      <c r="U142" t="inlineStr">
        <is>
          <t xml:space="preserve"> </t>
        </is>
      </c>
      <c r="V142" s="104" t="inlineStr">
        <is>
          <t xml:space="preserve"> </t>
        </is>
      </c>
      <c r="W142" t="inlineStr">
        <is>
          <t>No se encontró ejecución en PIIP</t>
        </is>
      </c>
    </row>
    <row r="143">
      <c r="A143" t="inlineStr">
        <is>
          <t>IP-148</t>
        </is>
      </c>
      <c r="B143" t="inlineStr">
        <is>
          <t>43</t>
        </is>
      </c>
      <c r="C143" t="inlineStr">
        <is>
          <t>Deporte y Recreación</t>
        </is>
      </c>
      <c r="D143" t="inlineStr">
        <is>
          <t>4301</t>
        </is>
      </c>
      <c r="E143" t="inlineStr">
        <is>
          <t>Fomento a la recreación, la actividad física y el deporte para desarrollar entornos de convivencia y paz</t>
        </is>
      </c>
      <c r="F143" t="inlineStr">
        <is>
          <t>4301032</t>
        </is>
      </c>
      <c r="G143" t="inlineStr">
        <is>
          <t>Servicio de organización de eventos deportivos comunitarios</t>
        </is>
      </c>
      <c r="H143" t="inlineStr">
        <is>
          <t>430103200</t>
        </is>
      </c>
      <c r="I143" t="inlineStr">
        <is>
          <t>Eventos deportivos comunitarios realizados</t>
        </is>
      </c>
      <c r="J143" t="inlineStr">
        <is>
          <t>2024254860024</t>
        </is>
      </c>
      <c r="K143" t="inlineStr">
        <is>
          <t>Si</t>
        </is>
      </c>
      <c r="L143" t="inlineStr">
        <is>
          <t>Número</t>
        </is>
      </c>
      <c r="M143">
        <v>90</v>
      </c>
      <c r="N143">
        <v>20</v>
      </c>
      <c r="O143">
        <v>25</v>
      </c>
      <c r="P143">
        <v>25</v>
      </c>
      <c r="Q143">
        <v>20</v>
      </c>
      <c r="R143" t="inlineStr">
        <is>
          <t xml:space="preserve"> </t>
        </is>
      </c>
      <c r="S143" s="103" t="inlineStr">
        <is>
          <t xml:space="preserve"> </t>
        </is>
      </c>
      <c r="T143" t="inlineStr">
        <is>
          <t>No se encontró ejecución en PIIP</t>
        </is>
      </c>
      <c r="U143" t="inlineStr">
        <is>
          <t xml:space="preserve"> </t>
        </is>
      </c>
      <c r="V143" s="104" t="inlineStr">
        <is>
          <t xml:space="preserve"> </t>
        </is>
      </c>
      <c r="W143" t="inlineStr">
        <is>
          <t>No se encontró ejecución en PIIP</t>
        </is>
      </c>
    </row>
    <row r="144">
      <c r="A144" t="inlineStr">
        <is>
          <t>IP-149</t>
        </is>
      </c>
      <c r="B144" t="inlineStr">
        <is>
          <t>43</t>
        </is>
      </c>
      <c r="C144" t="inlineStr">
        <is>
          <t>Deporte y Recreación</t>
        </is>
      </c>
      <c r="D144" t="inlineStr">
        <is>
          <t>4301</t>
        </is>
      </c>
      <c r="E144" t="inlineStr">
        <is>
          <t>Fomento a la recreación, la actividad física y el deporte para desarrollar entornos de convivencia y paz</t>
        </is>
      </c>
      <c r="F144" t="inlineStr">
        <is>
          <t>4301001</t>
        </is>
      </c>
      <c r="G144" t="inlineStr">
        <is>
          <t>Servicio de apoyo a la actividad física, la recreación y el deporte</t>
        </is>
      </c>
      <c r="H144" t="inlineStr">
        <is>
          <t>430100100</t>
        </is>
      </c>
      <c r="I144" t="inlineStr">
        <is>
          <t>Personas beneficiadas</t>
        </is>
      </c>
      <c r="J144" t="inlineStr">
        <is>
          <t>2024254860024</t>
        </is>
      </c>
      <c r="K144" t="inlineStr">
        <is>
          <t>Si</t>
        </is>
      </c>
      <c r="L144" t="inlineStr">
        <is>
          <t>Número</t>
        </is>
      </c>
      <c r="M144">
        <v>300</v>
      </c>
      <c r="N144">
        <v>50</v>
      </c>
      <c r="O144">
        <v>70</v>
      </c>
      <c r="P144">
        <v>80</v>
      </c>
      <c r="Q144">
        <v>100</v>
      </c>
      <c r="R144" t="inlineStr">
        <is>
          <t xml:space="preserve"> </t>
        </is>
      </c>
      <c r="S144" s="103" t="inlineStr">
        <is>
          <t xml:space="preserve"> </t>
        </is>
      </c>
      <c r="T144" t="inlineStr">
        <is>
          <t>No se encontró ejecución en PIIP</t>
        </is>
      </c>
      <c r="U144" t="inlineStr">
        <is>
          <t xml:space="preserve"> </t>
        </is>
      </c>
      <c r="V144" s="104" t="inlineStr">
        <is>
          <t xml:space="preserve"> </t>
        </is>
      </c>
      <c r="W144" t="inlineStr">
        <is>
          <t>No se encontró ejecución en PIIP</t>
        </is>
      </c>
    </row>
    <row r="145">
      <c r="A145" t="inlineStr">
        <is>
          <t>IP-150</t>
        </is>
      </c>
      <c r="B145" t="inlineStr">
        <is>
          <t>43</t>
        </is>
      </c>
      <c r="C145" t="inlineStr">
        <is>
          <t>Deporte y Recreación</t>
        </is>
      </c>
      <c r="D145" t="inlineStr">
        <is>
          <t>4301</t>
        </is>
      </c>
      <c r="E145" t="inlineStr">
        <is>
          <t>Fomento a la recreación, la actividad física y el deporte para desarrollar entornos de convivencia y paz</t>
        </is>
      </c>
      <c r="F145" t="inlineStr">
        <is>
          <t>4301031</t>
        </is>
      </c>
      <c r="G145" t="inlineStr">
        <is>
          <t>Estudios y diseños de infraestructura recreo-deportiva</t>
        </is>
      </c>
      <c r="H145" t="inlineStr">
        <is>
          <t>430103100</t>
        </is>
      </c>
      <c r="I145" t="inlineStr">
        <is>
          <t>Estudios y diseños elaborados</t>
        </is>
      </c>
      <c r="J145" t="inlineStr">
        <is>
          <t>2024254860024</t>
        </is>
      </c>
      <c r="K145" t="inlineStr">
        <is>
          <t>Si</t>
        </is>
      </c>
      <c r="L145" t="inlineStr">
        <is>
          <t>Número</t>
        </is>
      </c>
      <c r="M145">
        <v>2</v>
      </c>
      <c r="N145">
        <v>0</v>
      </c>
      <c r="O145">
        <v>2</v>
      </c>
      <c r="P145">
        <v>0</v>
      </c>
      <c r="Q145">
        <v>0</v>
      </c>
      <c r="R145" t="inlineStr">
        <is>
          <t xml:space="preserve"> </t>
        </is>
      </c>
      <c r="S145" s="103" t="inlineStr">
        <is>
          <t xml:space="preserve"> </t>
        </is>
      </c>
      <c r="T145" t="inlineStr">
        <is>
          <t>No se encontró ejecución en PIIP</t>
        </is>
      </c>
      <c r="U145" t="inlineStr">
        <is>
          <t xml:space="preserve"> </t>
        </is>
      </c>
      <c r="V145" s="104" t="inlineStr">
        <is>
          <t xml:space="preserve"> </t>
        </is>
      </c>
      <c r="W145" t="inlineStr">
        <is>
          <t>No se encontró ejecución en PIIP</t>
        </is>
      </c>
    </row>
    <row r="146">
      <c r="A146" t="inlineStr">
        <is>
          <t>IP-151</t>
        </is>
      </c>
      <c r="B146" t="inlineStr">
        <is>
          <t>43</t>
        </is>
      </c>
      <c r="C146" t="inlineStr">
        <is>
          <t>Deporte y Recreación</t>
        </is>
      </c>
      <c r="D146" t="inlineStr">
        <is>
          <t>4302</t>
        </is>
      </c>
      <c r="E146" t="inlineStr">
        <is>
          <t>Formación y preparación de deportistas</t>
        </is>
      </c>
      <c r="F146" t="inlineStr">
        <is>
          <t>4302083</t>
        </is>
      </c>
      <c r="G146" t="inlineStr">
        <is>
          <t>Complejo deportivo de alto rendimiento construido y dotado</t>
        </is>
      </c>
      <c r="H146" t="inlineStr">
        <is>
          <t>430208300</t>
        </is>
      </c>
      <c r="I146" t="inlineStr">
        <is>
          <t>Complejo deportivo de alto rendimiento construido y dotado</t>
        </is>
      </c>
      <c r="J146" t="inlineStr">
        <is>
          <t>2024254860025</t>
        </is>
      </c>
      <c r="K146" t="inlineStr">
        <is>
          <t>No</t>
        </is>
      </c>
      <c r="L146" t="inlineStr">
        <is>
          <t>Número</t>
        </is>
      </c>
      <c r="M146">
        <v>1</v>
      </c>
      <c r="N146">
        <v>0</v>
      </c>
      <c r="O146">
        <v>0</v>
      </c>
      <c r="P146">
        <v>1</v>
      </c>
      <c r="Q146">
        <v>1</v>
      </c>
      <c r="R146" t="inlineStr">
        <is>
          <t xml:space="preserve"> </t>
        </is>
      </c>
      <c r="S146" s="103" t="inlineStr">
        <is>
          <t xml:space="preserve"> </t>
        </is>
      </c>
      <c r="T146" t="inlineStr">
        <is>
          <t>No se encontró ejecución en PIIP</t>
        </is>
      </c>
      <c r="U146" t="inlineStr">
        <is>
          <t xml:space="preserve"> </t>
        </is>
      </c>
      <c r="V146" s="104" t="inlineStr">
        <is>
          <t xml:space="preserve"> </t>
        </is>
      </c>
      <c r="W146" t="inlineStr">
        <is>
          <t>No se encontró ejecución en PIIP</t>
        </is>
      </c>
    </row>
    <row r="147">
      <c r="A147" t="inlineStr">
        <is>
          <t>IP-152</t>
        </is>
      </c>
      <c r="B147" t="inlineStr">
        <is>
          <t>43</t>
        </is>
      </c>
      <c r="C147" t="inlineStr">
        <is>
          <t>Deporte y Recreación</t>
        </is>
      </c>
      <c r="D147" t="inlineStr">
        <is>
          <t>4302</t>
        </is>
      </c>
      <c r="E147" t="inlineStr">
        <is>
          <t>Formación y preparación de deportistas</t>
        </is>
      </c>
      <c r="F147" t="inlineStr">
        <is>
          <t>4302066</t>
        </is>
      </c>
      <c r="G147" t="inlineStr">
        <is>
          <t>Polideportivos construidos y dotados</t>
        </is>
      </c>
      <c r="H147" t="inlineStr">
        <is>
          <t>430206600</t>
        </is>
      </c>
      <c r="I147" t="inlineStr">
        <is>
          <t>Polideportivos construidos y dotados</t>
        </is>
      </c>
      <c r="J147" t="inlineStr">
        <is>
          <t>2024254860025</t>
        </is>
      </c>
      <c r="K147" t="inlineStr">
        <is>
          <t>Si</t>
        </is>
      </c>
      <c r="L147" t="inlineStr">
        <is>
          <t>Número</t>
        </is>
      </c>
      <c r="M147">
        <v>3</v>
      </c>
      <c r="N147">
        <v>0</v>
      </c>
      <c r="O147">
        <v>1</v>
      </c>
      <c r="P147">
        <v>1</v>
      </c>
      <c r="Q147">
        <v>1</v>
      </c>
      <c r="R147" t="inlineStr">
        <is>
          <t xml:space="preserve"> </t>
        </is>
      </c>
      <c r="S147" s="103" t="inlineStr">
        <is>
          <t xml:space="preserve"> </t>
        </is>
      </c>
      <c r="T147" t="inlineStr">
        <is>
          <t>No se encontró ejecución en PIIP</t>
        </is>
      </c>
      <c r="U147" t="inlineStr">
        <is>
          <t xml:space="preserve"> </t>
        </is>
      </c>
      <c r="V147" s="104" t="inlineStr">
        <is>
          <t xml:space="preserve"> </t>
        </is>
      </c>
      <c r="W147" t="inlineStr">
        <is>
          <t>No se encontró ejecución en PIIP</t>
        </is>
      </c>
    </row>
    <row r="148">
      <c r="A148" t="inlineStr">
        <is>
          <t>IP-153</t>
        </is>
      </c>
      <c r="B148" t="inlineStr">
        <is>
          <t>43</t>
        </is>
      </c>
      <c r="C148" t="inlineStr">
        <is>
          <t>Deporte y Recreación</t>
        </is>
      </c>
      <c r="D148" t="inlineStr">
        <is>
          <t>4302</t>
        </is>
      </c>
      <c r="E148" t="inlineStr">
        <is>
          <t>Formación y preparación de deportistas</t>
        </is>
      </c>
      <c r="F148" t="inlineStr">
        <is>
          <t>4302026</t>
        </is>
      </c>
      <c r="G148" t="inlineStr">
        <is>
          <t>Coliseos cubiertos adecuados</t>
        </is>
      </c>
      <c r="H148" t="inlineStr">
        <is>
          <t>430202600</t>
        </is>
      </c>
      <c r="I148" t="inlineStr">
        <is>
          <t>Coliseos adecuados</t>
        </is>
      </c>
      <c r="J148" t="inlineStr">
        <is>
          <t>2024254860025</t>
        </is>
      </c>
      <c r="K148" t="inlineStr">
        <is>
          <t>No</t>
        </is>
      </c>
      <c r="L148" t="inlineStr">
        <is>
          <t>Número</t>
        </is>
      </c>
      <c r="M148">
        <v>1</v>
      </c>
      <c r="N148">
        <v>0</v>
      </c>
      <c r="O148">
        <v>0</v>
      </c>
      <c r="P148">
        <v>1</v>
      </c>
      <c r="Q148">
        <v>1</v>
      </c>
      <c r="R148" t="inlineStr">
        <is>
          <t xml:space="preserve"> </t>
        </is>
      </c>
      <c r="S148" s="103" t="inlineStr">
        <is>
          <t xml:space="preserve"> </t>
        </is>
      </c>
      <c r="T148" t="inlineStr">
        <is>
          <t>No se encontró ejecución en PIIP</t>
        </is>
      </c>
      <c r="U148" t="inlineStr">
        <is>
          <t xml:space="preserve"> </t>
        </is>
      </c>
      <c r="V148" s="104" t="inlineStr">
        <is>
          <t xml:space="preserve"> </t>
        </is>
      </c>
      <c r="W148" t="inlineStr">
        <is>
          <t>No se encontró ejecución en PIIP</t>
        </is>
      </c>
    </row>
    <row r="149">
      <c r="A149" t="inlineStr">
        <is>
          <t>IP-154</t>
        </is>
      </c>
      <c r="B149" t="inlineStr">
        <is>
          <t>43</t>
        </is>
      </c>
      <c r="C149" t="inlineStr">
        <is>
          <t>Deporte y Recreación</t>
        </is>
      </c>
      <c r="D149" t="inlineStr">
        <is>
          <t>4302</t>
        </is>
      </c>
      <c r="E149" t="inlineStr">
        <is>
          <t>Formación y preparación de deportistas</t>
        </is>
      </c>
      <c r="F149" t="inlineStr">
        <is>
          <t>4302069</t>
        </is>
      </c>
      <c r="G149" t="inlineStr">
        <is>
          <t>Polideportivos mejorados</t>
        </is>
      </c>
      <c r="H149" t="inlineStr">
        <is>
          <t>430206900</t>
        </is>
      </c>
      <c r="I149" t="inlineStr">
        <is>
          <t>Polideportivos mejorados</t>
        </is>
      </c>
      <c r="J149" t="inlineStr">
        <is>
          <t>2024254860025</t>
        </is>
      </c>
      <c r="K149" t="inlineStr">
        <is>
          <t>Si</t>
        </is>
      </c>
      <c r="L149" t="inlineStr">
        <is>
          <t>Número</t>
        </is>
      </c>
      <c r="M149">
        <v>22</v>
      </c>
      <c r="N149">
        <v>0</v>
      </c>
      <c r="O149">
        <v>7</v>
      </c>
      <c r="P149">
        <v>7</v>
      </c>
      <c r="Q149">
        <v>8</v>
      </c>
      <c r="R149" t="inlineStr">
        <is>
          <t xml:space="preserve"> </t>
        </is>
      </c>
      <c r="S149" s="103" t="inlineStr">
        <is>
          <t xml:space="preserve"> </t>
        </is>
      </c>
      <c r="T149" t="inlineStr">
        <is>
          <t>No se encontró ejecución en PIIP</t>
        </is>
      </c>
      <c r="U149" t="inlineStr">
        <is>
          <t xml:space="preserve"> </t>
        </is>
      </c>
      <c r="V149" s="104" t="inlineStr">
        <is>
          <t xml:space="preserve"> </t>
        </is>
      </c>
      <c r="W149" t="inlineStr">
        <is>
          <t>No se encontró ejecución en PIIP</t>
        </is>
      </c>
    </row>
    <row r="150">
      <c r="A150" t="inlineStr">
        <is>
          <t>IP-155</t>
        </is>
      </c>
      <c r="B150" t="inlineStr">
        <is>
          <t>43</t>
        </is>
      </c>
      <c r="C150" t="inlineStr">
        <is>
          <t>Deporte y Recreación</t>
        </is>
      </c>
      <c r="D150" t="inlineStr">
        <is>
          <t>4302</t>
        </is>
      </c>
      <c r="E150" t="inlineStr">
        <is>
          <t>Formación y preparación de deportistas</t>
        </is>
      </c>
      <c r="F150" t="inlineStr">
        <is>
          <t>4302001</t>
        </is>
      </c>
      <c r="G150" t="inlineStr">
        <is>
          <t>Servicio de preparación deportiva</t>
        </is>
      </c>
      <c r="H150" t="inlineStr">
        <is>
          <t>430200100</t>
        </is>
      </c>
      <c r="I150" t="inlineStr">
        <is>
          <t>Atletas preparados</t>
        </is>
      </c>
      <c r="J150" t="inlineStr">
        <is>
          <t>2024254860025</t>
        </is>
      </c>
      <c r="K150" t="inlineStr">
        <is>
          <t>Si</t>
        </is>
      </c>
      <c r="L150" t="inlineStr">
        <is>
          <t>Número</t>
        </is>
      </c>
      <c r="M150">
        <v>10</v>
      </c>
      <c r="N150">
        <v>4</v>
      </c>
      <c r="O150">
        <v>2</v>
      </c>
      <c r="P150">
        <v>2</v>
      </c>
      <c r="Q150">
        <v>2</v>
      </c>
      <c r="R150" t="inlineStr">
        <is>
          <t xml:space="preserve"> </t>
        </is>
      </c>
      <c r="S150" s="103" t="inlineStr">
        <is>
          <t xml:space="preserve"> </t>
        </is>
      </c>
      <c r="T150" t="inlineStr">
        <is>
          <t>No se encontró ejecución en PIIP</t>
        </is>
      </c>
      <c r="U150" t="inlineStr">
        <is>
          <t xml:space="preserve"> </t>
        </is>
      </c>
      <c r="V150" s="104" t="inlineStr">
        <is>
          <t xml:space="preserve"> </t>
        </is>
      </c>
      <c r="W150" t="inlineStr">
        <is>
          <t>No se encontró ejecución en PIIP</t>
        </is>
      </c>
    </row>
    <row r="151">
      <c r="A151" t="inlineStr">
        <is>
          <t>IP-156</t>
        </is>
      </c>
      <c r="B151" t="inlineStr">
        <is>
          <t>43</t>
        </is>
      </c>
      <c r="C151" t="inlineStr">
        <is>
          <t>Deporte y Recreación</t>
        </is>
      </c>
      <c r="D151" t="inlineStr">
        <is>
          <t>4301</t>
        </is>
      </c>
      <c r="E151" t="inlineStr">
        <is>
          <t>Fomento a la recreación, la actividad física y el deporte para desarrollar entornos de convivencia y paz</t>
        </is>
      </c>
      <c r="F151" t="inlineStr">
        <is>
          <t>4301001</t>
        </is>
      </c>
      <c r="G151" t="inlineStr">
        <is>
          <t>Servicio de apoyo a la actividad física, la recreación y el deporte</t>
        </is>
      </c>
      <c r="H151" t="inlineStr">
        <is>
          <t>430100100</t>
        </is>
      </c>
      <c r="I151" t="inlineStr">
        <is>
          <t>Personas beneficiadas</t>
        </is>
      </c>
      <c r="J151" t="inlineStr">
        <is>
          <t>2024254860024</t>
        </is>
      </c>
      <c r="K151" t="inlineStr">
        <is>
          <t>No</t>
        </is>
      </c>
      <c r="L151" t="inlineStr">
        <is>
          <t>Número</t>
        </is>
      </c>
      <c r="M151">
        <v>200</v>
      </c>
      <c r="N151">
        <v>200</v>
      </c>
      <c r="O151">
        <v>200</v>
      </c>
      <c r="P151">
        <v>200</v>
      </c>
      <c r="Q151">
        <v>200</v>
      </c>
      <c r="R151" t="inlineStr">
        <is>
          <t xml:space="preserve"> </t>
        </is>
      </c>
      <c r="S151" s="103" t="inlineStr">
        <is>
          <t xml:space="preserve"> </t>
        </is>
      </c>
      <c r="T151" t="inlineStr">
        <is>
          <t>No se encontró ejecución en PIIP</t>
        </is>
      </c>
      <c r="U151" t="inlineStr">
        <is>
          <t xml:space="preserve"> </t>
        </is>
      </c>
      <c r="V151" s="104" t="inlineStr">
        <is>
          <t xml:space="preserve"> </t>
        </is>
      </c>
      <c r="W151" t="inlineStr">
        <is>
          <t>No se encontró ejecución en PIIP</t>
        </is>
      </c>
    </row>
    <row r="152">
      <c r="A152" t="inlineStr">
        <is>
          <t>IP-157</t>
        </is>
      </c>
      <c r="B152" t="inlineStr">
        <is>
          <t>17</t>
        </is>
      </c>
      <c r="C152" t="inlineStr">
        <is>
          <t xml:space="preserve">Agricultura y desarrollo rural
</t>
        </is>
      </c>
      <c r="D152" t="inlineStr">
        <is>
          <t>1702</t>
        </is>
      </c>
      <c r="E152" t="inlineStr">
        <is>
          <t>Inclusión productiva de pequeños productores rurales</t>
        </is>
      </c>
      <c r="F152" t="inlineStr">
        <is>
          <t>1702024</t>
        </is>
      </c>
      <c r="G152" t="inlineStr">
        <is>
          <t>Servicios de acompañamiento en la implementaciónde Planes de desarrollo agropecuario y rural</t>
        </is>
      </c>
      <c r="H152" t="inlineStr">
        <is>
          <t>170202400</t>
        </is>
      </c>
      <c r="I152" t="inlineStr">
        <is>
          <t>Planes de Desarrollo Agropecuario y Rural acompañados</t>
        </is>
      </c>
      <c r="J152" t="inlineStr">
        <is>
          <t>2024254860026</t>
        </is>
      </c>
      <c r="K152" t="inlineStr">
        <is>
          <t>No</t>
        </is>
      </c>
      <c r="L152" t="inlineStr">
        <is>
          <t>Número</t>
        </is>
      </c>
      <c r="M152">
        <v>1</v>
      </c>
      <c r="N152">
        <v>1</v>
      </c>
      <c r="O152">
        <v>1</v>
      </c>
      <c r="P152">
        <v>1</v>
      </c>
      <c r="Q152">
        <v>1</v>
      </c>
      <c r="R152" t="inlineStr">
        <is>
          <t xml:space="preserve"> </t>
        </is>
      </c>
      <c r="S152" s="103" t="inlineStr">
        <is>
          <t xml:space="preserve"> </t>
        </is>
      </c>
      <c r="T152" t="inlineStr">
        <is>
          <t>No se encontró ejecución en PIIP</t>
        </is>
      </c>
      <c r="U152" t="inlineStr">
        <is>
          <t xml:space="preserve"> </t>
        </is>
      </c>
      <c r="V152" s="104" t="inlineStr">
        <is>
          <t xml:space="preserve"> </t>
        </is>
      </c>
      <c r="W152" t="inlineStr">
        <is>
          <t>No se encontró ejecución en PIIP</t>
        </is>
      </c>
    </row>
    <row r="153">
      <c r="A153" t="inlineStr">
        <is>
          <t>IP-158</t>
        </is>
      </c>
      <c r="B153" t="inlineStr">
        <is>
          <t>17</t>
        </is>
      </c>
      <c r="C153" t="inlineStr">
        <is>
          <t xml:space="preserve">Agricultura y desarrollo rural
</t>
        </is>
      </c>
      <c r="D153" t="inlineStr">
        <is>
          <t>1704</t>
        </is>
      </c>
      <c r="E153" t="inlineStr">
        <is>
          <t>Ordenamiento social y uso productivo del territorio rural</t>
        </is>
      </c>
      <c r="F153" t="inlineStr">
        <is>
          <t>1704003</t>
        </is>
      </c>
      <c r="G153" t="inlineStr">
        <is>
          <t>Documentos de planeación</t>
        </is>
      </c>
      <c r="H153" t="inlineStr">
        <is>
          <t>170400300</t>
        </is>
      </c>
      <c r="I153" t="inlineStr">
        <is>
          <t>Documentos de planeación elaborados</t>
        </is>
      </c>
      <c r="J153" t="inlineStr">
        <is>
          <t>2024254860028</t>
        </is>
      </c>
      <c r="K153" t="inlineStr">
        <is>
          <t>No</t>
        </is>
      </c>
      <c r="L153" t="inlineStr">
        <is>
          <t>Número</t>
        </is>
      </c>
      <c r="M153">
        <v>1</v>
      </c>
      <c r="N153">
        <v>0</v>
      </c>
      <c r="O153">
        <v>1</v>
      </c>
      <c r="P153">
        <v>1</v>
      </c>
      <c r="Q153">
        <v>1</v>
      </c>
      <c r="R153" t="inlineStr">
        <is>
          <t xml:space="preserve"> </t>
        </is>
      </c>
      <c r="S153" s="103" t="inlineStr">
        <is>
          <t xml:space="preserve"> </t>
        </is>
      </c>
      <c r="T153" t="inlineStr">
        <is>
          <t>No se encontró ejecución en PIIP</t>
        </is>
      </c>
      <c r="U153" t="inlineStr">
        <is>
          <t xml:space="preserve"> </t>
        </is>
      </c>
      <c r="V153" s="104" t="inlineStr">
        <is>
          <t xml:space="preserve"> </t>
        </is>
      </c>
      <c r="W153" t="inlineStr">
        <is>
          <t>No se encontró ejecución en PIIP</t>
        </is>
      </c>
    </row>
    <row r="154">
      <c r="A154" t="inlineStr">
        <is>
          <t>IP-159</t>
        </is>
      </c>
      <c r="B154" t="inlineStr">
        <is>
          <t>17</t>
        </is>
      </c>
      <c r="C154" t="inlineStr">
        <is>
          <t xml:space="preserve">Agricultura y desarrollo rural
</t>
        </is>
      </c>
      <c r="D154" t="inlineStr">
        <is>
          <t>1704</t>
        </is>
      </c>
      <c r="E154" t="inlineStr">
        <is>
          <t>Ordenamiento social y uso productivo del territorio rural</t>
        </is>
      </c>
      <c r="F154" t="inlineStr">
        <is>
          <t>1704003</t>
        </is>
      </c>
      <c r="G154" t="inlineStr">
        <is>
          <t>Documentos de planeación</t>
        </is>
      </c>
      <c r="H154" t="inlineStr">
        <is>
          <t>170400306</t>
        </is>
      </c>
      <c r="I154" t="inlineStr">
        <is>
          <t>Documento de diagnóstico territorial elaborado</t>
        </is>
      </c>
      <c r="J154" t="inlineStr">
        <is>
          <t>2024254860028</t>
        </is>
      </c>
      <c r="K154" t="inlineStr">
        <is>
          <t>No</t>
        </is>
      </c>
      <c r="L154" t="inlineStr">
        <is>
          <t>Número</t>
        </is>
      </c>
      <c r="M154">
        <v>1</v>
      </c>
      <c r="N154">
        <v>0</v>
      </c>
      <c r="O154">
        <v>1</v>
      </c>
      <c r="P154">
        <v>1</v>
      </c>
      <c r="Q154">
        <v>1</v>
      </c>
      <c r="R154" t="inlineStr">
        <is>
          <t xml:space="preserve"> </t>
        </is>
      </c>
      <c r="S154" s="103" t="inlineStr">
        <is>
          <t xml:space="preserve"> </t>
        </is>
      </c>
      <c r="T154" t="inlineStr">
        <is>
          <t>No se encontró ejecución en PIIP</t>
        </is>
      </c>
      <c r="U154" t="inlineStr">
        <is>
          <t xml:space="preserve"> </t>
        </is>
      </c>
      <c r="V154" s="104" t="inlineStr">
        <is>
          <t xml:space="preserve"> </t>
        </is>
      </c>
      <c r="W154" t="inlineStr">
        <is>
          <t>No se encontró ejecución en PIIP</t>
        </is>
      </c>
    </row>
    <row r="155">
      <c r="A155" t="inlineStr">
        <is>
          <t>IP-160</t>
        </is>
      </c>
      <c r="B155" t="inlineStr">
        <is>
          <t>17</t>
        </is>
      </c>
      <c r="C155" t="inlineStr">
        <is>
          <t xml:space="preserve">Agricultura y desarrollo rural
</t>
        </is>
      </c>
      <c r="D155" t="inlineStr">
        <is>
          <t>1702</t>
        </is>
      </c>
      <c r="E155" t="inlineStr">
        <is>
          <t>Inclusión productiva de pequeños productores rurales</t>
        </is>
      </c>
      <c r="F155" t="inlineStr">
        <is>
          <t>1702011</t>
        </is>
      </c>
      <c r="G155" t="inlineStr">
        <is>
          <t>Servicio de asesoría para el fortalecimiento de la asociatividad</t>
        </is>
      </c>
      <c r="H155" t="inlineStr">
        <is>
          <t>170201101</t>
        </is>
      </c>
      <c r="I155" t="inlineStr">
        <is>
          <t>Asociaciones conformadas</t>
        </is>
      </c>
      <c r="J155" t="inlineStr">
        <is>
          <t>2024254860026</t>
        </is>
      </c>
      <c r="K155" t="inlineStr">
        <is>
          <t>No</t>
        </is>
      </c>
      <c r="L155" t="inlineStr">
        <is>
          <t>Número</t>
        </is>
      </c>
      <c r="M155">
        <v>1</v>
      </c>
      <c r="N155">
        <v>0</v>
      </c>
      <c r="O155">
        <v>1</v>
      </c>
      <c r="P155">
        <v>1</v>
      </c>
      <c r="Q155">
        <v>1</v>
      </c>
      <c r="R155" t="inlineStr">
        <is>
          <t xml:space="preserve"> </t>
        </is>
      </c>
      <c r="S155" s="103" t="inlineStr">
        <is>
          <t xml:space="preserve"> </t>
        </is>
      </c>
      <c r="T155" t="inlineStr">
        <is>
          <t>No se encontró ejecución en PIIP</t>
        </is>
      </c>
      <c r="U155" t="inlineStr">
        <is>
          <t xml:space="preserve"> </t>
        </is>
      </c>
      <c r="V155" s="104" t="inlineStr">
        <is>
          <t xml:space="preserve"> </t>
        </is>
      </c>
      <c r="W155" t="inlineStr">
        <is>
          <t>No se encontró ejecución en PIIP</t>
        </is>
      </c>
    </row>
    <row r="156">
      <c r="A156" t="inlineStr">
        <is>
          <t>IP-161</t>
        </is>
      </c>
      <c r="B156" t="inlineStr">
        <is>
          <t>17</t>
        </is>
      </c>
      <c r="C156" t="inlineStr">
        <is>
          <t xml:space="preserve">Agricultura y desarrollo rural
</t>
        </is>
      </c>
      <c r="D156" t="inlineStr">
        <is>
          <t>1708</t>
        </is>
      </c>
      <c r="E156" t="inlineStr">
        <is>
          <t>Ciencia, tecnología e innovación agropecuaria</t>
        </is>
      </c>
      <c r="F156" t="inlineStr">
        <is>
          <t>1708041</t>
        </is>
      </c>
      <c r="G156" t="inlineStr">
        <is>
          <t>Servicio de extensión agropecuaria</t>
        </is>
      </c>
      <c r="H156" t="inlineStr">
        <is>
          <t>170804100</t>
        </is>
      </c>
      <c r="I156" t="inlineStr">
        <is>
          <t>Productores atendidos con servicio de extensión agropecuaria</t>
        </is>
      </c>
      <c r="J156" t="inlineStr">
        <is>
          <t>2024254860029</t>
        </is>
      </c>
      <c r="K156" t="inlineStr">
        <is>
          <t>Si</t>
        </is>
      </c>
      <c r="L156" t="inlineStr">
        <is>
          <t>Número</t>
        </is>
      </c>
      <c r="M156">
        <v>80</v>
      </c>
      <c r="N156">
        <v>20</v>
      </c>
      <c r="O156">
        <v>20</v>
      </c>
      <c r="P156">
        <v>20</v>
      </c>
      <c r="Q156">
        <v>20</v>
      </c>
      <c r="R156" t="inlineStr">
        <is>
          <t xml:space="preserve"> </t>
        </is>
      </c>
      <c r="S156" s="103" t="inlineStr">
        <is>
          <t xml:space="preserve"> </t>
        </is>
      </c>
      <c r="T156" t="inlineStr">
        <is>
          <t>No se encontró ejecución en PIIP</t>
        </is>
      </c>
      <c r="U156" t="inlineStr">
        <is>
          <t xml:space="preserve"> </t>
        </is>
      </c>
      <c r="V156" s="104" t="inlineStr">
        <is>
          <t xml:space="preserve"> </t>
        </is>
      </c>
      <c r="W156" t="inlineStr">
        <is>
          <t>No se encontró ejecución en PIIP</t>
        </is>
      </c>
    </row>
    <row r="157">
      <c r="A157" t="inlineStr">
        <is>
          <t>IP-162</t>
        </is>
      </c>
      <c r="B157" t="inlineStr">
        <is>
          <t>17</t>
        </is>
      </c>
      <c r="C157" t="inlineStr">
        <is>
          <t xml:space="preserve">Agricultura y desarrollo rural
</t>
        </is>
      </c>
      <c r="D157" t="inlineStr">
        <is>
          <t>1709</t>
        </is>
      </c>
      <c r="E157" t="inlineStr">
        <is>
          <t>Infraestructura productiva y comercialización</t>
        </is>
      </c>
      <c r="F157" t="inlineStr">
        <is>
          <t>1709106</t>
        </is>
      </c>
      <c r="G157" t="inlineStr">
        <is>
          <t>Servicio de apoyo a la comercialización de las cadenas agrícolas, forestales, pecuarias, pesqueras y acuícolas</t>
        </is>
      </c>
      <c r="H157" t="inlineStr">
        <is>
          <t>170910601</t>
        </is>
      </c>
      <c r="I157" t="inlineStr">
        <is>
          <t>Productores apoyados</t>
        </is>
      </c>
      <c r="J157" t="inlineStr">
        <is>
          <t>2024254860030</t>
        </is>
      </c>
      <c r="K157" t="inlineStr">
        <is>
          <t>Si</t>
        </is>
      </c>
      <c r="L157" t="inlineStr">
        <is>
          <t>Número</t>
        </is>
      </c>
      <c r="M157">
        <v>18</v>
      </c>
      <c r="N157">
        <v>0</v>
      </c>
      <c r="O157">
        <v>6</v>
      </c>
      <c r="P157">
        <v>6</v>
      </c>
      <c r="Q157">
        <v>6</v>
      </c>
      <c r="R157" t="inlineStr">
        <is>
          <t xml:space="preserve"> </t>
        </is>
      </c>
      <c r="S157" s="103" t="inlineStr">
        <is>
          <t xml:space="preserve"> </t>
        </is>
      </c>
      <c r="T157" t="inlineStr">
        <is>
          <t>No se encontró ejecución en PIIP</t>
        </is>
      </c>
      <c r="U157" t="inlineStr">
        <is>
          <t xml:space="preserve"> </t>
        </is>
      </c>
      <c r="V157" s="104" t="inlineStr">
        <is>
          <t xml:space="preserve"> </t>
        </is>
      </c>
      <c r="W157" t="inlineStr">
        <is>
          <t>No se encontró ejecución en PIIP</t>
        </is>
      </c>
    </row>
    <row r="158">
      <c r="A158" t="inlineStr">
        <is>
          <t>IP-163</t>
        </is>
      </c>
      <c r="B158" t="inlineStr">
        <is>
          <t>17</t>
        </is>
      </c>
      <c r="C158" t="inlineStr">
        <is>
          <t xml:space="preserve">Agricultura y desarrollo rural
</t>
        </is>
      </c>
      <c r="D158" t="inlineStr">
        <is>
          <t>1702</t>
        </is>
      </c>
      <c r="E158" t="inlineStr">
        <is>
          <t>Inclusión productiva de pequeños productores rurales</t>
        </is>
      </c>
      <c r="F158" t="inlineStr">
        <is>
          <t>1702007</t>
        </is>
      </c>
      <c r="G158" t="inlineStr">
        <is>
          <t>Servicio de apoyo financiero para proyectos productivos</t>
        </is>
      </c>
      <c r="H158" t="inlineStr">
        <is>
          <t>170200700</t>
        </is>
      </c>
      <c r="I158" t="inlineStr">
        <is>
          <t>Proyectos productivos cofinanciados</t>
        </is>
      </c>
      <c r="J158" t="inlineStr">
        <is>
          <t>2024254860026</t>
        </is>
      </c>
      <c r="K158" t="inlineStr">
        <is>
          <t>Si</t>
        </is>
      </c>
      <c r="L158" t="inlineStr">
        <is>
          <t>Número</t>
        </is>
      </c>
      <c r="M158">
        <v>10</v>
      </c>
      <c r="N158">
        <v>0</v>
      </c>
      <c r="O158">
        <v>3</v>
      </c>
      <c r="P158">
        <v>3</v>
      </c>
      <c r="Q158">
        <v>4</v>
      </c>
      <c r="R158" t="inlineStr">
        <is>
          <t xml:space="preserve"> </t>
        </is>
      </c>
      <c r="S158" s="103" t="inlineStr">
        <is>
          <t xml:space="preserve"> </t>
        </is>
      </c>
      <c r="T158" t="inlineStr">
        <is>
          <t>No se encontró ejecución en PIIP</t>
        </is>
      </c>
      <c r="U158" t="inlineStr">
        <is>
          <t xml:space="preserve"> </t>
        </is>
      </c>
      <c r="V158" s="104" t="inlineStr">
        <is>
          <t xml:space="preserve"> </t>
        </is>
      </c>
      <c r="W158" t="inlineStr">
        <is>
          <t>No se encontró ejecución en PIIP</t>
        </is>
      </c>
    </row>
    <row r="159">
      <c r="A159" t="inlineStr">
        <is>
          <t>IP-164</t>
        </is>
      </c>
      <c r="B159" t="inlineStr">
        <is>
          <t>17</t>
        </is>
      </c>
      <c r="C159" t="inlineStr">
        <is>
          <t xml:space="preserve">Agricultura y desarrollo rural
</t>
        </is>
      </c>
      <c r="D159" t="inlineStr">
        <is>
          <t>1709</t>
        </is>
      </c>
      <c r="E159" t="inlineStr">
        <is>
          <t>Infraestructura productiva y comercialización</t>
        </is>
      </c>
      <c r="F159" t="inlineStr">
        <is>
          <t>1709114</t>
        </is>
      </c>
      <c r="G159" t="inlineStr">
        <is>
          <t>Bancos de maquinaria y equipos para la producción agropecuaria dotado</t>
        </is>
      </c>
      <c r="H159" t="inlineStr">
        <is>
          <t>170911405</t>
        </is>
      </c>
      <c r="I159" t="inlineStr">
        <is>
          <t>Productores beneficiados con maquinaria y equipo</t>
        </is>
      </c>
      <c r="J159" t="inlineStr">
        <is>
          <t>2024254860030</t>
        </is>
      </c>
      <c r="K159" t="inlineStr">
        <is>
          <t>No</t>
        </is>
      </c>
      <c r="L159" t="inlineStr">
        <is>
          <t>Número</t>
        </is>
      </c>
      <c r="M159">
        <v>100</v>
      </c>
      <c r="N159">
        <v>100</v>
      </c>
      <c r="O159">
        <v>100</v>
      </c>
      <c r="P159">
        <v>100</v>
      </c>
      <c r="Q159">
        <v>100</v>
      </c>
      <c r="R159" t="inlineStr">
        <is>
          <t xml:space="preserve"> </t>
        </is>
      </c>
      <c r="S159" s="103" t="inlineStr">
        <is>
          <t xml:space="preserve"> </t>
        </is>
      </c>
      <c r="T159" t="inlineStr">
        <is>
          <t>No se encontró ejecución en PIIP</t>
        </is>
      </c>
      <c r="U159" t="inlineStr">
        <is>
          <t xml:space="preserve"> </t>
        </is>
      </c>
      <c r="V159" s="104" t="inlineStr">
        <is>
          <t xml:space="preserve"> </t>
        </is>
      </c>
      <c r="W159" t="inlineStr">
        <is>
          <t>No se encontró ejecución en PIIP</t>
        </is>
      </c>
    </row>
    <row r="160">
      <c r="A160" t="inlineStr">
        <is>
          <t>IP-165</t>
        </is>
      </c>
      <c r="B160" t="inlineStr">
        <is>
          <t>17</t>
        </is>
      </c>
      <c r="C160" t="inlineStr">
        <is>
          <t xml:space="preserve">Agricultura y desarrollo rural
</t>
        </is>
      </c>
      <c r="D160" t="inlineStr">
        <is>
          <t>1708</t>
        </is>
      </c>
      <c r="E160" t="inlineStr">
        <is>
          <t>Ciencia, tecnología e innovación agropecuaria</t>
        </is>
      </c>
      <c r="F160" t="inlineStr">
        <is>
          <t>1708018</t>
        </is>
      </c>
      <c r="G160" t="inlineStr">
        <is>
          <t>Especies animales y vegetales mejoradas</t>
        </is>
      </c>
      <c r="H160" t="inlineStr">
        <is>
          <t>170801800</t>
        </is>
      </c>
      <c r="I160" t="inlineStr">
        <is>
          <t xml:space="preserve">Especies trabajadas a nivel genético </t>
        </is>
      </c>
      <c r="J160" t="inlineStr">
        <is>
          <t>2024254860029</t>
        </is>
      </c>
      <c r="K160" t="inlineStr">
        <is>
          <t>No</t>
        </is>
      </c>
      <c r="L160" t="inlineStr">
        <is>
          <t>Número</t>
        </is>
      </c>
      <c r="M160">
        <v>4</v>
      </c>
      <c r="N160">
        <v>4</v>
      </c>
      <c r="O160">
        <v>4</v>
      </c>
      <c r="P160">
        <v>4</v>
      </c>
      <c r="Q160">
        <v>4</v>
      </c>
      <c r="R160" t="inlineStr">
        <is>
          <t xml:space="preserve"> </t>
        </is>
      </c>
      <c r="S160" s="103" t="inlineStr">
        <is>
          <t xml:space="preserve"> </t>
        </is>
      </c>
      <c r="T160" t="inlineStr">
        <is>
          <t>No se encontró ejecución en PIIP</t>
        </is>
      </c>
      <c r="U160" t="inlineStr">
        <is>
          <t xml:space="preserve"> </t>
        </is>
      </c>
      <c r="V160" s="104" t="inlineStr">
        <is>
          <t xml:space="preserve"> </t>
        </is>
      </c>
      <c r="W160" t="inlineStr">
        <is>
          <t>No se encontró ejecución en PIIP</t>
        </is>
      </c>
    </row>
    <row r="161">
      <c r="A161" t="inlineStr">
        <is>
          <t>IP-166</t>
        </is>
      </c>
      <c r="B161" t="inlineStr">
        <is>
          <t>17</t>
        </is>
      </c>
      <c r="C161" t="inlineStr">
        <is>
          <t xml:space="preserve">Agricultura y desarrollo rural
</t>
        </is>
      </c>
      <c r="D161" t="inlineStr">
        <is>
          <t>1709</t>
        </is>
      </c>
      <c r="E161" t="inlineStr">
        <is>
          <t>Infraestructura productiva y comercialización</t>
        </is>
      </c>
      <c r="F161" t="inlineStr">
        <is>
          <t>1709106</t>
        </is>
      </c>
      <c r="G161" t="inlineStr">
        <is>
          <t>Servicio de apoyo a la comercialización de las cadenas agrícolas, forestales, pecuarias, pesqueras y acuícolas</t>
        </is>
      </c>
      <c r="H161" t="inlineStr">
        <is>
          <t>170910600</t>
        </is>
      </c>
      <c r="I161" t="inlineStr">
        <is>
          <t>Cadenas productivas apoyadas</t>
        </is>
      </c>
      <c r="J161" t="inlineStr">
        <is>
          <t>2024254860030</t>
        </is>
      </c>
      <c r="K161" t="inlineStr">
        <is>
          <t>No</t>
        </is>
      </c>
      <c r="L161" t="inlineStr">
        <is>
          <t>Número</t>
        </is>
      </c>
      <c r="M161">
        <v>4</v>
      </c>
      <c r="N161">
        <v>4</v>
      </c>
      <c r="O161">
        <v>4</v>
      </c>
      <c r="P161">
        <v>4</v>
      </c>
      <c r="Q161">
        <v>4</v>
      </c>
      <c r="R161" t="inlineStr">
        <is>
          <t xml:space="preserve"> </t>
        </is>
      </c>
      <c r="S161" s="103" t="inlineStr">
        <is>
          <t xml:space="preserve"> </t>
        </is>
      </c>
      <c r="T161" t="inlineStr">
        <is>
          <t>No se encontró ejecución en PIIP</t>
        </is>
      </c>
      <c r="U161" t="inlineStr">
        <is>
          <t xml:space="preserve"> </t>
        </is>
      </c>
      <c r="V161" s="104" t="inlineStr">
        <is>
          <t xml:space="preserve"> </t>
        </is>
      </c>
      <c r="W161" t="inlineStr">
        <is>
          <t>No se encontró ejecución en PIIP</t>
        </is>
      </c>
    </row>
    <row r="162">
      <c r="A162" t="inlineStr">
        <is>
          <t>IP-167</t>
        </is>
      </c>
      <c r="B162" t="inlineStr">
        <is>
          <t>17</t>
        </is>
      </c>
      <c r="C162" t="inlineStr">
        <is>
          <t xml:space="preserve">Agricultura y desarrollo rural
</t>
        </is>
      </c>
      <c r="D162" t="inlineStr">
        <is>
          <t>1702</t>
        </is>
      </c>
      <c r="E162" t="inlineStr">
        <is>
          <t>Inclusión productiva de pequeños productores rurales</t>
        </is>
      </c>
      <c r="F162" t="inlineStr">
        <is>
          <t>1702007</t>
        </is>
      </c>
      <c r="G162" t="inlineStr">
        <is>
          <t>Servicio de apoyo financiero para proyectos productivos</t>
        </is>
      </c>
      <c r="H162" t="inlineStr">
        <is>
          <t>170200705</t>
        </is>
      </c>
      <c r="I162" t="inlineStr">
        <is>
          <t>Grupos de jóvenes beneficiados</t>
        </is>
      </c>
      <c r="J162" t="inlineStr">
        <is>
          <t>2024254860026</t>
        </is>
      </c>
      <c r="K162" t="inlineStr">
        <is>
          <t>Si</t>
        </is>
      </c>
      <c r="L162" t="inlineStr">
        <is>
          <t>Número</t>
        </is>
      </c>
      <c r="M162">
        <v>30</v>
      </c>
      <c r="N162">
        <v>0</v>
      </c>
      <c r="O162">
        <v>10</v>
      </c>
      <c r="P162">
        <v>10</v>
      </c>
      <c r="Q162">
        <v>10</v>
      </c>
      <c r="R162" t="inlineStr">
        <is>
          <t xml:space="preserve"> </t>
        </is>
      </c>
      <c r="S162" s="103" t="inlineStr">
        <is>
          <t xml:space="preserve"> </t>
        </is>
      </c>
      <c r="T162" t="inlineStr">
        <is>
          <t>No se encontró ejecución en PIIP</t>
        </is>
      </c>
      <c r="U162" t="inlineStr">
        <is>
          <t xml:space="preserve"> </t>
        </is>
      </c>
      <c r="V162" s="104" t="inlineStr">
        <is>
          <t xml:space="preserve"> </t>
        </is>
      </c>
      <c r="W162" t="inlineStr">
        <is>
          <t>No se encontró ejecución en PIIP</t>
        </is>
      </c>
    </row>
    <row r="163">
      <c r="A163" t="inlineStr">
        <is>
          <t>IP-168</t>
        </is>
      </c>
      <c r="B163" t="inlineStr">
        <is>
          <t>17</t>
        </is>
      </c>
      <c r="C163" t="inlineStr">
        <is>
          <t xml:space="preserve">Agricultura y desarrollo rural
</t>
        </is>
      </c>
      <c r="D163" t="inlineStr">
        <is>
          <t>1702</t>
        </is>
      </c>
      <c r="E163" t="inlineStr">
        <is>
          <t>Inclusión productiva de pequeños productores rurales</t>
        </is>
      </c>
      <c r="F163" t="inlineStr">
        <is>
          <t>1702009</t>
        </is>
      </c>
      <c r="G163" t="inlineStr">
        <is>
          <t>Servicio de apoyo financiero para el acceso a activos productivos y de comercialización</t>
        </is>
      </c>
      <c r="H163" t="inlineStr">
        <is>
          <t>170200900</t>
        </is>
      </c>
      <c r="I163" t="inlineStr">
        <is>
          <t>Productores apoyados con activos productivos y de comercialización</t>
        </is>
      </c>
      <c r="J163" t="inlineStr">
        <is>
          <t>2024254860026</t>
        </is>
      </c>
      <c r="K163" t="inlineStr">
        <is>
          <t>No</t>
        </is>
      </c>
      <c r="L163" t="inlineStr">
        <is>
          <t>Número</t>
        </is>
      </c>
      <c r="M163">
        <v>10</v>
      </c>
      <c r="N163">
        <v>10</v>
      </c>
      <c r="O163">
        <v>10</v>
      </c>
      <c r="P163">
        <v>10</v>
      </c>
      <c r="Q163">
        <v>10</v>
      </c>
      <c r="R163" t="inlineStr">
        <is>
          <t xml:space="preserve"> </t>
        </is>
      </c>
      <c r="S163" s="103" t="inlineStr">
        <is>
          <t xml:space="preserve"> </t>
        </is>
      </c>
      <c r="T163" t="inlineStr">
        <is>
          <t>No se encontró ejecución en PIIP</t>
        </is>
      </c>
      <c r="U163" t="inlineStr">
        <is>
          <t xml:space="preserve"> </t>
        </is>
      </c>
      <c r="V163" s="104" t="inlineStr">
        <is>
          <t xml:space="preserve"> </t>
        </is>
      </c>
      <c r="W163" t="inlineStr">
        <is>
          <t>No se encontró ejecución en PIIP</t>
        </is>
      </c>
    </row>
    <row r="164">
      <c r="A164" t="inlineStr">
        <is>
          <t>IP-169</t>
        </is>
      </c>
      <c r="B164" t="inlineStr">
        <is>
          <t>17</t>
        </is>
      </c>
      <c r="C164" t="inlineStr">
        <is>
          <t xml:space="preserve">Agricultura y desarrollo rural
</t>
        </is>
      </c>
      <c r="D164" t="inlineStr">
        <is>
          <t>1703</t>
        </is>
      </c>
      <c r="E164" t="inlineStr">
        <is>
          <t>Servicios financieros y gestión del riesgo para las actividades agropecuarias y rurales</t>
        </is>
      </c>
      <c r="F164" t="inlineStr">
        <is>
          <t>1703010</t>
        </is>
      </c>
      <c r="G164" t="inlineStr">
        <is>
          <t>Servicio de divulgación</t>
        </is>
      </c>
      <c r="H164" t="inlineStr">
        <is>
          <t>170301000</t>
        </is>
      </c>
      <c r="I164" t="inlineStr">
        <is>
          <t>Jornadas de divulgación realizadas</t>
        </is>
      </c>
      <c r="J164" t="inlineStr">
        <is>
          <t>2024254860027</t>
        </is>
      </c>
      <c r="K164" t="inlineStr">
        <is>
          <t>Si</t>
        </is>
      </c>
      <c r="L164" t="inlineStr">
        <is>
          <t>Número</t>
        </is>
      </c>
      <c r="M164">
        <v>4</v>
      </c>
      <c r="N164">
        <v>1</v>
      </c>
      <c r="O164">
        <v>1</v>
      </c>
      <c r="P164">
        <v>1</v>
      </c>
      <c r="Q164">
        <v>1</v>
      </c>
      <c r="R164" t="inlineStr">
        <is>
          <t xml:space="preserve"> </t>
        </is>
      </c>
      <c r="S164" s="103" t="inlineStr">
        <is>
          <t xml:space="preserve"> </t>
        </is>
      </c>
      <c r="T164" t="inlineStr">
        <is>
          <t>No se encontró ejecución en PIIP</t>
        </is>
      </c>
      <c r="U164" t="inlineStr">
        <is>
          <t xml:space="preserve"> </t>
        </is>
      </c>
      <c r="V164" s="104" t="inlineStr">
        <is>
          <t xml:space="preserve"> </t>
        </is>
      </c>
      <c r="W164" t="inlineStr">
        <is>
          <t>No se encontró ejecución en PIIP</t>
        </is>
      </c>
    </row>
    <row r="165">
      <c r="A165" t="inlineStr">
        <is>
          <t>IP-170</t>
        </is>
      </c>
      <c r="B165" t="inlineStr">
        <is>
          <t>17</t>
        </is>
      </c>
      <c r="C165" t="inlineStr">
        <is>
          <t xml:space="preserve">Agricultura y desarrollo rural
</t>
        </is>
      </c>
      <c r="D165" t="inlineStr">
        <is>
          <t>1708</t>
        </is>
      </c>
      <c r="E165" t="inlineStr">
        <is>
          <t>Ciencia, tecnología e innovación agropecuaria</t>
        </is>
      </c>
      <c r="F165" t="inlineStr">
        <is>
          <t>1708056</t>
        </is>
      </c>
      <c r="G165" t="inlineStr">
        <is>
          <t>Servicio de implementación de rutas agroecológicas</t>
        </is>
      </c>
      <c r="H165" t="inlineStr">
        <is>
          <t>170805600</t>
        </is>
      </c>
      <c r="I165" t="inlineStr">
        <is>
          <t>Rutas agroecológicas implementadas</t>
        </is>
      </c>
      <c r="J165" t="inlineStr">
        <is>
          <t>2024254860028</t>
        </is>
      </c>
      <c r="K165" t="inlineStr">
        <is>
          <t>Si</t>
        </is>
      </c>
      <c r="L165" t="inlineStr">
        <is>
          <t>Número</t>
        </is>
      </c>
      <c r="M165">
        <v>3</v>
      </c>
      <c r="N165">
        <v>0</v>
      </c>
      <c r="O165">
        <v>1</v>
      </c>
      <c r="P165">
        <v>1</v>
      </c>
      <c r="Q165">
        <v>1</v>
      </c>
      <c r="R165" t="inlineStr">
        <is>
          <t xml:space="preserve"> </t>
        </is>
      </c>
      <c r="S165" s="103" t="inlineStr">
        <is>
          <t xml:space="preserve"> </t>
        </is>
      </c>
      <c r="T165" t="inlineStr">
        <is>
          <t>No se encontró ejecución en PIIP</t>
        </is>
      </c>
      <c r="U165" t="inlineStr">
        <is>
          <t xml:space="preserve"> </t>
        </is>
      </c>
      <c r="V165" s="104" t="inlineStr">
        <is>
          <t xml:space="preserve"> </t>
        </is>
      </c>
      <c r="W165" t="inlineStr">
        <is>
          <t>No se encontró ejecución en PIIP</t>
        </is>
      </c>
    </row>
    <row r="166">
      <c r="A166" t="inlineStr">
        <is>
          <t>IP-171</t>
        </is>
      </c>
      <c r="B166" t="inlineStr">
        <is>
          <t>17</t>
        </is>
      </c>
      <c r="C166" t="inlineStr">
        <is>
          <t xml:space="preserve">Agricultura y desarrollo rural
</t>
        </is>
      </c>
      <c r="D166" t="inlineStr">
        <is>
          <t>1709</t>
        </is>
      </c>
      <c r="E166" t="inlineStr">
        <is>
          <t>Infraestructura productiva y comercialización</t>
        </is>
      </c>
      <c r="F166" t="inlineStr">
        <is>
          <t>1709072</t>
        </is>
      </c>
      <c r="G166" t="inlineStr">
        <is>
          <t>Plaza de Ferias adecuada</t>
        </is>
      </c>
      <c r="H166" t="inlineStr">
        <is>
          <t>170907200</t>
        </is>
      </c>
      <c r="I166" t="inlineStr">
        <is>
          <t>Plaza de Ferias adecuada</t>
        </is>
      </c>
      <c r="J166" t="inlineStr">
        <is>
          <t>2024254860030</t>
        </is>
      </c>
      <c r="K166" t="inlineStr">
        <is>
          <t>No</t>
        </is>
      </c>
      <c r="L166" t="inlineStr">
        <is>
          <t>Número</t>
        </is>
      </c>
      <c r="M166">
        <v>1</v>
      </c>
      <c r="N166">
        <v>0</v>
      </c>
      <c r="O166">
        <v>1</v>
      </c>
      <c r="P166">
        <v>1</v>
      </c>
      <c r="Q166">
        <v>1</v>
      </c>
      <c r="R166" t="inlineStr">
        <is>
          <t xml:space="preserve"> </t>
        </is>
      </c>
      <c r="S166" s="103" t="inlineStr">
        <is>
          <t xml:space="preserve"> </t>
        </is>
      </c>
      <c r="T166" t="inlineStr">
        <is>
          <t>No se encontró ejecución en PIIP</t>
        </is>
      </c>
      <c r="U166" t="inlineStr">
        <is>
          <t xml:space="preserve"> </t>
        </is>
      </c>
      <c r="V166" s="104" t="inlineStr">
        <is>
          <t xml:space="preserve"> </t>
        </is>
      </c>
      <c r="W166" t="inlineStr">
        <is>
          <t>No se encontró ejecución en PIIP</t>
        </is>
      </c>
    </row>
    <row r="167">
      <c r="A167" t="inlineStr">
        <is>
          <t>IP-172</t>
        </is>
      </c>
      <c r="B167" t="inlineStr">
        <is>
          <t>17</t>
        </is>
      </c>
      <c r="C167" t="inlineStr">
        <is>
          <t xml:space="preserve">Agricultura y desarrollo rural
</t>
        </is>
      </c>
      <c r="D167" t="inlineStr">
        <is>
          <t>1709</t>
        </is>
      </c>
      <c r="E167" t="inlineStr">
        <is>
          <t>Infraestructura productiva y comercialización</t>
        </is>
      </c>
      <c r="F167" t="inlineStr">
        <is>
          <t>1709081</t>
        </is>
      </c>
      <c r="G167" t="inlineStr">
        <is>
          <t>Plaza de mercado construidas</t>
        </is>
      </c>
      <c r="H167" t="inlineStr">
        <is>
          <t>170908100</t>
        </is>
      </c>
      <c r="I167" t="inlineStr">
        <is>
          <t>Plazas de mercado construidas</t>
        </is>
      </c>
      <c r="J167" t="inlineStr">
        <is>
          <t>2024254860030</t>
        </is>
      </c>
      <c r="K167" t="inlineStr">
        <is>
          <t>No</t>
        </is>
      </c>
      <c r="L167" t="inlineStr">
        <is>
          <t>Número</t>
        </is>
      </c>
      <c r="M167">
        <v>1</v>
      </c>
      <c r="N167">
        <v>0</v>
      </c>
      <c r="O167">
        <v>1</v>
      </c>
      <c r="P167">
        <v>1</v>
      </c>
      <c r="Q167">
        <v>1</v>
      </c>
      <c r="R167" t="inlineStr">
        <is>
          <t xml:space="preserve"> </t>
        </is>
      </c>
      <c r="S167" s="103" t="inlineStr">
        <is>
          <t xml:space="preserve"> </t>
        </is>
      </c>
      <c r="T167" t="inlineStr">
        <is>
          <t>No se encontró ejecución en PIIP</t>
        </is>
      </c>
      <c r="U167" t="inlineStr">
        <is>
          <t xml:space="preserve"> </t>
        </is>
      </c>
      <c r="V167" s="104" t="inlineStr">
        <is>
          <t xml:space="preserve"> </t>
        </is>
      </c>
      <c r="W167" t="inlineStr">
        <is>
          <t>No se encontró ejecución en PIIP</t>
        </is>
      </c>
    </row>
    <row r="168">
      <c r="A168" t="inlineStr">
        <is>
          <t>IP-173</t>
        </is>
      </c>
      <c r="B168" t="inlineStr">
        <is>
          <t>17</t>
        </is>
      </c>
      <c r="C168" t="inlineStr">
        <is>
          <t xml:space="preserve">Agricultura y desarrollo rural
</t>
        </is>
      </c>
      <c r="D168" t="inlineStr">
        <is>
          <t>1702</t>
        </is>
      </c>
      <c r="E168" t="inlineStr">
        <is>
          <t>Inclusión productiva de pequeños productores rurales</t>
        </is>
      </c>
      <c r="F168" t="inlineStr">
        <is>
          <t>1702007</t>
        </is>
      </c>
      <c r="G168" t="inlineStr">
        <is>
          <t>Servicio de apoyo financiero para proyectos productivos</t>
        </is>
      </c>
      <c r="H168" t="inlineStr">
        <is>
          <t>170200703</t>
        </is>
      </c>
      <c r="I168" t="inlineStr">
        <is>
          <t>Mujeres beneficiadas</t>
        </is>
      </c>
      <c r="J168" t="inlineStr">
        <is>
          <t>2024254860026</t>
        </is>
      </c>
      <c r="K168" t="inlineStr">
        <is>
          <t>Si</t>
        </is>
      </c>
      <c r="L168" t="inlineStr">
        <is>
          <t>Número</t>
        </is>
      </c>
      <c r="M168">
        <v>33</v>
      </c>
      <c r="N168">
        <v>0</v>
      </c>
      <c r="O168">
        <v>11</v>
      </c>
      <c r="P168">
        <v>11</v>
      </c>
      <c r="Q168">
        <v>11</v>
      </c>
      <c r="R168" t="inlineStr">
        <is>
          <t xml:space="preserve"> </t>
        </is>
      </c>
      <c r="S168" s="103" t="inlineStr">
        <is>
          <t xml:space="preserve"> </t>
        </is>
      </c>
      <c r="T168" t="inlineStr">
        <is>
          <t>No se encontró ejecución en PIIP</t>
        </is>
      </c>
      <c r="U168" t="inlineStr">
        <is>
          <t xml:space="preserve"> </t>
        </is>
      </c>
      <c r="V168" s="104" t="inlineStr">
        <is>
          <t xml:space="preserve"> </t>
        </is>
      </c>
      <c r="W168" t="inlineStr">
        <is>
          <t>No se encontró ejecución en PIIP</t>
        </is>
      </c>
    </row>
    <row r="169">
      <c r="A169" t="inlineStr">
        <is>
          <t>IP-174</t>
        </is>
      </c>
      <c r="B169" t="inlineStr">
        <is>
          <t>35</t>
        </is>
      </c>
      <c r="C169" t="inlineStr">
        <is>
          <t>Comercio, industria y turismo</t>
        </is>
      </c>
      <c r="D169" t="inlineStr">
        <is>
          <t>3502</t>
        </is>
      </c>
      <c r="E169" t="inlineStr">
        <is>
          <t>Productividad y competitividad de las empresas colombianas</t>
        </is>
      </c>
      <c r="F169" t="inlineStr">
        <is>
          <t>3502116</t>
        </is>
      </c>
      <c r="G169" t="inlineStr">
        <is>
          <t>Servicio de asistencia técnica</t>
        </is>
      </c>
      <c r="H169" t="inlineStr">
        <is>
          <t>350211600</t>
        </is>
      </c>
      <c r="I169" t="inlineStr">
        <is>
          <t>Asistencias técnicas realizadas</t>
        </is>
      </c>
      <c r="J169" t="inlineStr">
        <is>
          <t>2024254860031</t>
        </is>
      </c>
      <c r="K169" t="inlineStr">
        <is>
          <t>Si</t>
        </is>
      </c>
      <c r="L169" t="inlineStr">
        <is>
          <t>Número</t>
        </is>
      </c>
      <c r="M169">
        <v>8</v>
      </c>
      <c r="N169">
        <v>2</v>
      </c>
      <c r="O169">
        <v>2</v>
      </c>
      <c r="P169">
        <v>2</v>
      </c>
      <c r="Q169">
        <v>2</v>
      </c>
      <c r="R169" t="inlineStr">
        <is>
          <t xml:space="preserve"> </t>
        </is>
      </c>
      <c r="S169" s="103" t="inlineStr">
        <is>
          <t xml:space="preserve"> </t>
        </is>
      </c>
      <c r="T169" t="inlineStr">
        <is>
          <t>No se encontró ejecución en PIIP</t>
        </is>
      </c>
      <c r="U169" t="inlineStr">
        <is>
          <t xml:space="preserve"> </t>
        </is>
      </c>
      <c r="V169" s="104" t="inlineStr">
        <is>
          <t xml:space="preserve"> </t>
        </is>
      </c>
      <c r="W169" t="inlineStr">
        <is>
          <t>No se encontró ejecución en PIIP</t>
        </is>
      </c>
    </row>
    <row r="170">
      <c r="A170" t="inlineStr">
        <is>
          <t>IP-175</t>
        </is>
      </c>
      <c r="B170" t="inlineStr">
        <is>
          <t>35</t>
        </is>
      </c>
      <c r="C170" t="inlineStr">
        <is>
          <t>Comercio, industria y turismo</t>
        </is>
      </c>
      <c r="D170" t="inlineStr">
        <is>
          <t>3502</t>
        </is>
      </c>
      <c r="E170" t="inlineStr">
        <is>
          <t>Productividad y competitividad de las empresas colombianas</t>
        </is>
      </c>
      <c r="F170" t="inlineStr">
        <is>
          <t>3502048</t>
        </is>
      </c>
      <c r="G170" t="inlineStr">
        <is>
          <t>Documentos normativos</t>
        </is>
      </c>
      <c r="H170" t="inlineStr">
        <is>
          <t>350204800</t>
        </is>
      </c>
      <c r="I170" t="inlineStr">
        <is>
          <t>Documentos realizados</t>
        </is>
      </c>
      <c r="J170" t="inlineStr">
        <is>
          <t>2024254860031</t>
        </is>
      </c>
      <c r="K170" t="inlineStr">
        <is>
          <t>No</t>
        </is>
      </c>
      <c r="L170" t="inlineStr">
        <is>
          <t>Número</t>
        </is>
      </c>
      <c r="M170">
        <v>1</v>
      </c>
      <c r="N170">
        <v>0</v>
      </c>
      <c r="O170">
        <v>1</v>
      </c>
      <c r="P170">
        <v>1</v>
      </c>
      <c r="Q170">
        <v>1</v>
      </c>
      <c r="R170" t="inlineStr">
        <is>
          <t xml:space="preserve"> </t>
        </is>
      </c>
      <c r="S170" s="103" t="inlineStr">
        <is>
          <t xml:space="preserve"> </t>
        </is>
      </c>
      <c r="T170" t="inlineStr">
        <is>
          <t>No se encontró ejecución en PIIP</t>
        </is>
      </c>
      <c r="U170" t="inlineStr">
        <is>
          <t xml:space="preserve"> </t>
        </is>
      </c>
      <c r="V170" s="104" t="inlineStr">
        <is>
          <t xml:space="preserve"> </t>
        </is>
      </c>
      <c r="W170" t="inlineStr">
        <is>
          <t>No se encontró ejecución en PIIP</t>
        </is>
      </c>
    </row>
    <row r="171">
      <c r="A171" t="inlineStr">
        <is>
          <t>IP-176, IP-186</t>
        </is>
      </c>
      <c r="B171" t="inlineStr">
        <is>
          <t>35</t>
        </is>
      </c>
      <c r="C171" t="inlineStr">
        <is>
          <t>Comercio, industria y turismo</t>
        </is>
      </c>
      <c r="D171" t="inlineStr">
        <is>
          <t>3502</t>
        </is>
      </c>
      <c r="E171" t="inlineStr">
        <is>
          <t>Productividad y competitividad de las empresas colombianas</t>
        </is>
      </c>
      <c r="F171" t="inlineStr">
        <is>
          <t>3502002</t>
        </is>
      </c>
      <c r="G171" t="inlineStr">
        <is>
          <t>Documentos de lineamientos técnicos</t>
        </is>
      </c>
      <c r="H171" t="inlineStr">
        <is>
          <t>350200200</t>
        </is>
      </c>
      <c r="I171" t="inlineStr">
        <is>
          <t>Documentos de lineamientos técnicos elaborados</t>
        </is>
      </c>
      <c r="J171" t="inlineStr">
        <is>
          <t>2024254860031</t>
        </is>
      </c>
      <c r="K171" t="inlineStr">
        <is>
          <t>No</t>
        </is>
      </c>
      <c r="L171" t="inlineStr">
        <is>
          <t>Número</t>
        </is>
      </c>
      <c r="M171">
        <v>2</v>
      </c>
      <c r="N171">
        <v>1</v>
      </c>
      <c r="O171">
        <v>2</v>
      </c>
      <c r="P171">
        <v>2</v>
      </c>
      <c r="Q171">
        <v>2</v>
      </c>
      <c r="R171" t="inlineStr">
        <is>
          <t xml:space="preserve"> </t>
        </is>
      </c>
      <c r="S171" s="103" t="inlineStr">
        <is>
          <t xml:space="preserve"> </t>
        </is>
      </c>
      <c r="T171" t="inlineStr">
        <is>
          <t>No se encontró ejecución en PIIP</t>
        </is>
      </c>
      <c r="U171" t="inlineStr">
        <is>
          <t xml:space="preserve"> </t>
        </is>
      </c>
      <c r="V171" s="104" t="inlineStr">
        <is>
          <t xml:space="preserve"> </t>
        </is>
      </c>
      <c r="W171" t="inlineStr">
        <is>
          <t>No se encontró ejecución en PIIP</t>
        </is>
      </c>
    </row>
    <row r="172">
      <c r="A172" t="inlineStr">
        <is>
          <t>IP-177</t>
        </is>
      </c>
      <c r="B172" t="inlineStr">
        <is>
          <t>35</t>
        </is>
      </c>
      <c r="C172" t="inlineStr">
        <is>
          <t>Comercio, industria y turismo</t>
        </is>
      </c>
      <c r="D172" t="inlineStr">
        <is>
          <t>3502</t>
        </is>
      </c>
      <c r="E172" t="inlineStr">
        <is>
          <t>Productividad y competitividad de las empresas colombianas</t>
        </is>
      </c>
      <c r="F172" t="inlineStr">
        <is>
          <t>3502007</t>
        </is>
      </c>
      <c r="G172" t="inlineStr">
        <is>
          <t>Servicio de asistencia técnica para el desarrollo de iniciativas clústeres</t>
        </is>
      </c>
      <c r="H172" t="inlineStr">
        <is>
          <t>350200701</t>
        </is>
      </c>
      <c r="I172" t="inlineStr">
        <is>
          <t>Eventos realizados para intercambio de experiencias y generación de alianzas entre iniciativas clústeres</t>
        </is>
      </c>
      <c r="J172" t="inlineStr">
        <is>
          <t>2024254860031</t>
        </is>
      </c>
      <c r="K172" t="inlineStr">
        <is>
          <t>Si</t>
        </is>
      </c>
      <c r="L172" t="inlineStr">
        <is>
          <t>Número</t>
        </is>
      </c>
      <c r="M172">
        <v>4</v>
      </c>
      <c r="N172">
        <v>0</v>
      </c>
      <c r="O172">
        <v>1</v>
      </c>
      <c r="P172">
        <v>2</v>
      </c>
      <c r="Q172">
        <v>1</v>
      </c>
      <c r="R172" t="inlineStr">
        <is>
          <t xml:space="preserve"> </t>
        </is>
      </c>
      <c r="S172" s="103" t="inlineStr">
        <is>
          <t xml:space="preserve"> </t>
        </is>
      </c>
      <c r="T172" t="inlineStr">
        <is>
          <t>No se encontró ejecución en PIIP</t>
        </is>
      </c>
      <c r="U172" t="inlineStr">
        <is>
          <t xml:space="preserve"> </t>
        </is>
      </c>
      <c r="V172" s="104" t="inlineStr">
        <is>
          <t xml:space="preserve"> </t>
        </is>
      </c>
      <c r="W172" t="inlineStr">
        <is>
          <t>No se encontró ejecución en PIIP</t>
        </is>
      </c>
    </row>
    <row r="173">
      <c r="A173" t="inlineStr">
        <is>
          <t>IP-178</t>
        </is>
      </c>
      <c r="B173" t="inlineStr">
        <is>
          <t>35</t>
        </is>
      </c>
      <c r="C173" t="inlineStr">
        <is>
          <t>Comercio, industria y turismo</t>
        </is>
      </c>
      <c r="D173" t="inlineStr">
        <is>
          <t>3502</t>
        </is>
      </c>
      <c r="E173" t="inlineStr">
        <is>
          <t>Productividad y competitividad de las empresas colombianas</t>
        </is>
      </c>
      <c r="F173" t="inlineStr">
        <is>
          <t>3502047</t>
        </is>
      </c>
      <c r="G173" t="inlineStr">
        <is>
          <t>Documentos de planeación</t>
        </is>
      </c>
      <c r="H173" t="inlineStr">
        <is>
          <t>350204700</t>
        </is>
      </c>
      <c r="I173" t="inlineStr">
        <is>
          <t>Documentos de planeación elaborados</t>
        </is>
      </c>
      <c r="J173" t="inlineStr">
        <is>
          <t>2024254860031</t>
        </is>
      </c>
      <c r="K173" t="inlineStr">
        <is>
          <t>No</t>
        </is>
      </c>
      <c r="L173" t="inlineStr">
        <is>
          <t>Número</t>
        </is>
      </c>
      <c r="M173">
        <v>1</v>
      </c>
      <c r="N173">
        <v>1</v>
      </c>
      <c r="O173">
        <v>1</v>
      </c>
      <c r="P173">
        <v>1</v>
      </c>
      <c r="Q173">
        <v>1</v>
      </c>
      <c r="R173" t="inlineStr">
        <is>
          <t xml:space="preserve"> </t>
        </is>
      </c>
      <c r="S173" s="103" t="inlineStr">
        <is>
          <t xml:space="preserve"> </t>
        </is>
      </c>
      <c r="T173" t="inlineStr">
        <is>
          <t>No se encontró ejecución en PIIP</t>
        </is>
      </c>
      <c r="U173" t="inlineStr">
        <is>
          <t xml:space="preserve"> </t>
        </is>
      </c>
      <c r="V173" s="104" t="inlineStr">
        <is>
          <t xml:space="preserve"> </t>
        </is>
      </c>
      <c r="W173" t="inlineStr">
        <is>
          <t>No se encontró ejecución en PIIP</t>
        </is>
      </c>
    </row>
    <row r="174">
      <c r="A174" t="inlineStr">
        <is>
          <t>IP-179</t>
        </is>
      </c>
      <c r="B174" t="inlineStr">
        <is>
          <t>33</t>
        </is>
      </c>
      <c r="C174" t="inlineStr">
        <is>
          <t>Cultura</t>
        </is>
      </c>
      <c r="D174" t="inlineStr">
        <is>
          <t>3302</t>
        </is>
      </c>
      <c r="E174" t="inlineStr">
        <is>
          <t>Gestión, protección y salvaguardia del patrimonio cultural colombiano</t>
        </is>
      </c>
      <c r="F174" t="inlineStr">
        <is>
          <t>3302003</t>
        </is>
      </c>
      <c r="G174" t="inlineStr">
        <is>
          <t>Documentos normativos</t>
        </is>
      </c>
      <c r="H174" t="inlineStr">
        <is>
          <t>330200301</t>
        </is>
      </c>
      <c r="I174" t="inlineStr">
        <is>
          <t>Documentos de declaratorias de Bienes de Interés Cultural del ámbito nacional realizados</t>
        </is>
      </c>
      <c r="J174" t="inlineStr">
        <is>
          <t>2024254860020</t>
        </is>
      </c>
      <c r="K174" t="inlineStr">
        <is>
          <t>Si</t>
        </is>
      </c>
      <c r="L174" t="inlineStr">
        <is>
          <t>Número</t>
        </is>
      </c>
      <c r="M174">
        <v>1</v>
      </c>
      <c r="N174">
        <v>0</v>
      </c>
      <c r="O174">
        <v>1</v>
      </c>
      <c r="P174">
        <v>0</v>
      </c>
      <c r="Q174">
        <v>0</v>
      </c>
      <c r="R174" t="inlineStr">
        <is>
          <t xml:space="preserve"> </t>
        </is>
      </c>
      <c r="S174" s="103" t="inlineStr">
        <is>
          <t xml:space="preserve"> </t>
        </is>
      </c>
      <c r="T174" t="inlineStr">
        <is>
          <t>No se encontró ejecución en PIIP</t>
        </is>
      </c>
      <c r="U174" t="inlineStr">
        <is>
          <t xml:space="preserve"> </t>
        </is>
      </c>
      <c r="V174" s="104" t="inlineStr">
        <is>
          <t xml:space="preserve"> </t>
        </is>
      </c>
      <c r="W174" t="inlineStr">
        <is>
          <t>No se encontró ejecución en PIIP</t>
        </is>
      </c>
    </row>
    <row r="175">
      <c r="A175" t="inlineStr">
        <is>
          <t>IP-180, IP-182</t>
        </is>
      </c>
      <c r="B175" t="inlineStr">
        <is>
          <t>35</t>
        </is>
      </c>
      <c r="C175" t="inlineStr">
        <is>
          <t>Comercio, industria y turismo</t>
        </is>
      </c>
      <c r="D175" t="inlineStr">
        <is>
          <t>3502</t>
        </is>
      </c>
      <c r="E175" t="inlineStr">
        <is>
          <t>Productividad y competitividad de las empresas colombianas</t>
        </is>
      </c>
      <c r="F175" t="inlineStr">
        <is>
          <t>3502010</t>
        </is>
      </c>
      <c r="G175" t="inlineStr">
        <is>
          <t>Servicio de apoyo financiero para agregar valor a los productos y mejorar los canales de comercialización</t>
        </is>
      </c>
      <c r="H175" t="inlineStr">
        <is>
          <t>350201000</t>
        </is>
      </c>
      <c r="I175" t="inlineStr">
        <is>
          <t>Proyectos cofinanciados para agregar valor a los productos y/o mejorar los canales de comercialización</t>
        </is>
      </c>
      <c r="J175" t="inlineStr">
        <is>
          <t>2024254860031</t>
        </is>
      </c>
      <c r="K175" t="inlineStr">
        <is>
          <t>Si</t>
        </is>
      </c>
      <c r="L175" t="inlineStr">
        <is>
          <t>Número</t>
        </is>
      </c>
      <c r="M175">
        <v>8</v>
      </c>
      <c r="N175">
        <v>2</v>
      </c>
      <c r="O175">
        <v>2</v>
      </c>
      <c r="P175">
        <v>2</v>
      </c>
      <c r="Q175">
        <v>2</v>
      </c>
      <c r="R175" t="inlineStr">
        <is>
          <t xml:space="preserve"> </t>
        </is>
      </c>
      <c r="S175" s="103" t="inlineStr">
        <is>
          <t xml:space="preserve"> </t>
        </is>
      </c>
      <c r="T175" t="inlineStr">
        <is>
          <t>No se encontró ejecución en PIIP</t>
        </is>
      </c>
      <c r="U175" t="inlineStr">
        <is>
          <t xml:space="preserve"> </t>
        </is>
      </c>
      <c r="V175" s="104" t="inlineStr">
        <is>
          <t xml:space="preserve"> </t>
        </is>
      </c>
      <c r="W175" t="inlineStr">
        <is>
          <t>No se encontró ejecución en PIIP</t>
        </is>
      </c>
    </row>
    <row r="176">
      <c r="A176" t="inlineStr">
        <is>
          <t>IP-181</t>
        </is>
      </c>
      <c r="B176" t="inlineStr">
        <is>
          <t>35</t>
        </is>
      </c>
      <c r="C176" t="inlineStr">
        <is>
          <t>Comercio, industria y turismo</t>
        </is>
      </c>
      <c r="D176" t="inlineStr">
        <is>
          <t>3502</t>
        </is>
      </c>
      <c r="E176" t="inlineStr">
        <is>
          <t>Productividad y competitividad de las empresas colombianas</t>
        </is>
      </c>
      <c r="F176" t="inlineStr">
        <is>
          <t>3502008</t>
        </is>
      </c>
      <c r="G176" t="inlineStr">
        <is>
          <t>Servicio de asistencia técnica para mejorar la competitividad de los sectores productivos</t>
        </is>
      </c>
      <c r="H176" t="inlineStr">
        <is>
          <t>350200801</t>
        </is>
      </c>
      <c r="I176" t="inlineStr">
        <is>
          <t xml:space="preserve">Planes de desarrollo productivo sectoriales y/ o regionales concertados </t>
        </is>
      </c>
      <c r="J176" t="inlineStr">
        <is>
          <t>2024254860031</t>
        </is>
      </c>
      <c r="K176" t="inlineStr">
        <is>
          <t>No</t>
        </is>
      </c>
      <c r="L176" t="inlineStr">
        <is>
          <t>Número</t>
        </is>
      </c>
      <c r="M176">
        <v>1</v>
      </c>
      <c r="N176">
        <v>0</v>
      </c>
      <c r="O176">
        <v>1</v>
      </c>
      <c r="P176">
        <v>1</v>
      </c>
      <c r="Q176">
        <v>1</v>
      </c>
      <c r="R176" t="inlineStr">
        <is>
          <t xml:space="preserve"> </t>
        </is>
      </c>
      <c r="S176" s="103" t="inlineStr">
        <is>
          <t xml:space="preserve"> </t>
        </is>
      </c>
      <c r="T176" t="inlineStr">
        <is>
          <t>No se encontró ejecución en PIIP</t>
        </is>
      </c>
      <c r="U176" t="inlineStr">
        <is>
          <t xml:space="preserve"> </t>
        </is>
      </c>
      <c r="V176" s="104" t="inlineStr">
        <is>
          <t xml:space="preserve"> </t>
        </is>
      </c>
      <c r="W176" t="inlineStr">
        <is>
          <t>No se encontró ejecución en PIIP</t>
        </is>
      </c>
    </row>
    <row r="177">
      <c r="A177" t="inlineStr">
        <is>
          <t>IP-183, IP-184, IP-187</t>
        </is>
      </c>
      <c r="B177" t="inlineStr">
        <is>
          <t>35</t>
        </is>
      </c>
      <c r="C177" t="inlineStr">
        <is>
          <t>Comercio, industria y turismo</t>
        </is>
      </c>
      <c r="D177" t="inlineStr">
        <is>
          <t>3502</t>
        </is>
      </c>
      <c r="E177" t="inlineStr">
        <is>
          <t>Productividad y competitividad de las empresas colombianas</t>
        </is>
      </c>
      <c r="F177" t="inlineStr">
        <is>
          <t>3502036</t>
        </is>
      </c>
      <c r="G177" t="inlineStr">
        <is>
          <t>Servicio de apoyo financiero para la competitividad turística</t>
        </is>
      </c>
      <c r="H177" t="inlineStr">
        <is>
          <t>350203600</t>
        </is>
      </c>
      <c r="I177" t="inlineStr">
        <is>
          <t>Proyectos cofinanciados para la adecuación de la oferta turística</t>
        </is>
      </c>
      <c r="J177" t="inlineStr">
        <is>
          <t>2024254860031</t>
        </is>
      </c>
      <c r="K177" t="inlineStr">
        <is>
          <t>Si</t>
        </is>
      </c>
      <c r="L177" t="inlineStr">
        <is>
          <t>Número</t>
        </is>
      </c>
      <c r="M177">
        <v>18</v>
      </c>
      <c r="N177">
        <v>2</v>
      </c>
      <c r="O177">
        <v>4</v>
      </c>
      <c r="P177">
        <v>6</v>
      </c>
      <c r="Q177">
        <v>6</v>
      </c>
      <c r="R177" t="inlineStr">
        <is>
          <t xml:space="preserve"> </t>
        </is>
      </c>
      <c r="S177" s="103" t="inlineStr">
        <is>
          <t xml:space="preserve"> </t>
        </is>
      </c>
      <c r="T177" t="inlineStr">
        <is>
          <t>No se encontró ejecución en PIIP</t>
        </is>
      </c>
      <c r="U177" t="inlineStr">
        <is>
          <t xml:space="preserve"> </t>
        </is>
      </c>
      <c r="V177" s="104" t="inlineStr">
        <is>
          <t xml:space="preserve"> </t>
        </is>
      </c>
      <c r="W177" t="inlineStr">
        <is>
          <t>No se encontró ejecución en PIIP</t>
        </is>
      </c>
    </row>
    <row r="178">
      <c r="A178" t="inlineStr">
        <is>
          <t>IP-185</t>
        </is>
      </c>
      <c r="B178" t="inlineStr">
        <is>
          <t>35</t>
        </is>
      </c>
      <c r="C178" t="inlineStr">
        <is>
          <t>Comercio, industria y turismo</t>
        </is>
      </c>
      <c r="D178" t="inlineStr">
        <is>
          <t>3502</t>
        </is>
      </c>
      <c r="E178" t="inlineStr">
        <is>
          <t>Productividad y competitividad de las empresas colombianas</t>
        </is>
      </c>
      <c r="F178" t="inlineStr">
        <is>
          <t>3502037</t>
        </is>
      </c>
      <c r="G178" t="inlineStr">
        <is>
          <t>Servicio de apoyo financiero para la promoción turística nacional e internacional</t>
        </is>
      </c>
      <c r="H178" t="inlineStr">
        <is>
          <t>350203700</t>
        </is>
      </c>
      <c r="I178" t="inlineStr">
        <is>
          <t>Proyectos cofinanciados para promover el mercadeo y promoción turística a nivel nacional e internacional</t>
        </is>
      </c>
      <c r="J178" t="inlineStr">
        <is>
          <t>2024254860031</t>
        </is>
      </c>
      <c r="K178" t="inlineStr">
        <is>
          <t>Si</t>
        </is>
      </c>
      <c r="L178" t="inlineStr">
        <is>
          <t>Número</t>
        </is>
      </c>
      <c r="M178">
        <v>4</v>
      </c>
      <c r="N178">
        <v>1</v>
      </c>
      <c r="O178">
        <v>1</v>
      </c>
      <c r="P178">
        <v>1</v>
      </c>
      <c r="Q178">
        <v>1</v>
      </c>
      <c r="R178" t="inlineStr">
        <is>
          <t xml:space="preserve"> </t>
        </is>
      </c>
      <c r="S178" s="103" t="inlineStr">
        <is>
          <t xml:space="preserve"> </t>
        </is>
      </c>
      <c r="T178" t="inlineStr">
        <is>
          <t>No se encontró ejecución en PIIP</t>
        </is>
      </c>
      <c r="U178" t="inlineStr">
        <is>
          <t xml:space="preserve"> </t>
        </is>
      </c>
      <c r="V178" s="104" t="inlineStr">
        <is>
          <t xml:space="preserve"> </t>
        </is>
      </c>
      <c r="W178" t="inlineStr">
        <is>
          <t>No se encontró ejecución en PIIP</t>
        </is>
      </c>
    </row>
    <row r="179">
      <c r="A179" t="inlineStr">
        <is>
          <t>IP-188</t>
        </is>
      </c>
      <c r="B179" t="inlineStr">
        <is>
          <t>35</t>
        </is>
      </c>
      <c r="C179" t="inlineStr">
        <is>
          <t>Comercio, industria y turismo</t>
        </is>
      </c>
      <c r="D179" t="inlineStr">
        <is>
          <t>3502</t>
        </is>
      </c>
      <c r="E179" t="inlineStr">
        <is>
          <t>Productividad y competitividad de las empresas colombianas</t>
        </is>
      </c>
      <c r="F179" t="inlineStr">
        <is>
          <t>3502010</t>
        </is>
      </c>
      <c r="G179" t="inlineStr">
        <is>
          <t>Servicio de apoyo financiero para agregar valor a los productos y mejorar los canales de comercialización</t>
        </is>
      </c>
      <c r="H179" t="inlineStr">
        <is>
          <t>350201000</t>
        </is>
      </c>
      <c r="I179" t="inlineStr">
        <is>
          <t>Proyectos cofinanciados para agregar valor a los productos y/o mejorar los canales de comercialización</t>
        </is>
      </c>
      <c r="J179" t="inlineStr">
        <is>
          <t>2024254860031</t>
        </is>
      </c>
      <c r="K179" t="inlineStr">
        <is>
          <t>No</t>
        </is>
      </c>
      <c r="L179" t="inlineStr">
        <is>
          <t>Número</t>
        </is>
      </c>
      <c r="M179">
        <v>1</v>
      </c>
      <c r="N179">
        <v>0</v>
      </c>
      <c r="O179">
        <v>1</v>
      </c>
      <c r="P179">
        <v>1</v>
      </c>
      <c r="Q179">
        <v>1</v>
      </c>
      <c r="R179" t="inlineStr">
        <is>
          <t xml:space="preserve"> </t>
        </is>
      </c>
      <c r="S179" s="103" t="inlineStr">
        <is>
          <t xml:space="preserve"> </t>
        </is>
      </c>
      <c r="T179" t="inlineStr">
        <is>
          <t>No se encontró ejecución en PIIP</t>
        </is>
      </c>
      <c r="U179" t="inlineStr">
        <is>
          <t xml:space="preserve"> </t>
        </is>
      </c>
      <c r="V179" s="104" t="inlineStr">
        <is>
          <t xml:space="preserve"> </t>
        </is>
      </c>
      <c r="W179" t="inlineStr">
        <is>
          <t>No se encontró ejecución en PIIP</t>
        </is>
      </c>
    </row>
    <row r="180">
      <c r="A180" t="inlineStr">
        <is>
          <t>IP-189</t>
        </is>
      </c>
      <c r="B180" t="inlineStr">
        <is>
          <t>35</t>
        </is>
      </c>
      <c r="C180" t="inlineStr">
        <is>
          <t>Comercio, industria y turismo</t>
        </is>
      </c>
      <c r="D180" t="inlineStr">
        <is>
          <t>3502</t>
        </is>
      </c>
      <c r="E180" t="inlineStr">
        <is>
          <t>Productividad y competitividad de las empresas colombianas</t>
        </is>
      </c>
      <c r="F180" t="inlineStr">
        <is>
          <t>3502012</t>
        </is>
      </c>
      <c r="G180" t="inlineStr">
        <is>
          <t>Servicio de apoyo para la modernización y fomento de la innovación empresarial</t>
        </is>
      </c>
      <c r="H180" t="inlineStr">
        <is>
          <t>350201208</t>
        </is>
      </c>
      <c r="I180" t="inlineStr">
        <is>
          <t>Mujeres formadas en habilidades y competencias empresariales</t>
        </is>
      </c>
      <c r="J180" t="inlineStr">
        <is>
          <t>2024254860031</t>
        </is>
      </c>
      <c r="K180" t="inlineStr">
        <is>
          <t>Si</t>
        </is>
      </c>
      <c r="L180" t="inlineStr">
        <is>
          <t>Número</t>
        </is>
      </c>
      <c r="M180">
        <v>100</v>
      </c>
      <c r="N180">
        <v>25</v>
      </c>
      <c r="O180">
        <v>25</v>
      </c>
      <c r="P180">
        <v>25</v>
      </c>
      <c r="Q180">
        <v>25</v>
      </c>
      <c r="R180" t="inlineStr">
        <is>
          <t xml:space="preserve"> </t>
        </is>
      </c>
      <c r="S180" s="103" t="inlineStr">
        <is>
          <t xml:space="preserve"> </t>
        </is>
      </c>
      <c r="T180" t="inlineStr">
        <is>
          <t>No se encontró ejecución en PIIP</t>
        </is>
      </c>
      <c r="U180" t="inlineStr">
        <is>
          <t xml:space="preserve"> </t>
        </is>
      </c>
      <c r="V180" s="104" t="inlineStr">
        <is>
          <t xml:space="preserve"> </t>
        </is>
      </c>
      <c r="W180" t="inlineStr">
        <is>
          <t>No se encontró ejecución en PIIP</t>
        </is>
      </c>
    </row>
    <row r="181">
      <c r="A181" t="inlineStr">
        <is>
          <t>IP-190</t>
        </is>
      </c>
      <c r="B181" t="inlineStr">
        <is>
          <t>39</t>
        </is>
      </c>
      <c r="C181" t="inlineStr">
        <is>
          <t xml:space="preserve">Ciencia, tecnología e innovación
</t>
        </is>
      </c>
      <c r="D181" t="inlineStr">
        <is>
          <t>3905</t>
        </is>
      </c>
      <c r="E181" t="inlineStr">
        <is>
          <t>Fortalecimiento de la gobernanza e institucionalidad multinivel del sector de CTeI</t>
        </is>
      </c>
      <c r="F181" t="inlineStr">
        <is>
          <t>3905002</t>
        </is>
      </c>
      <c r="G181" t="inlineStr">
        <is>
          <t>Documentos de política</t>
        </is>
      </c>
      <c r="H181" t="inlineStr">
        <is>
          <t>390500200</t>
        </is>
      </c>
      <c r="I181" t="inlineStr">
        <is>
          <t>Documentos de política elaborados</t>
        </is>
      </c>
      <c r="J181" t="inlineStr">
        <is>
          <t>2024254860032</t>
        </is>
      </c>
      <c r="K181" t="inlineStr">
        <is>
          <t>No</t>
        </is>
      </c>
      <c r="L181" t="inlineStr">
        <is>
          <t>Número</t>
        </is>
      </c>
      <c r="M181">
        <v>1</v>
      </c>
      <c r="N181">
        <v>1</v>
      </c>
      <c r="O181">
        <v>1</v>
      </c>
      <c r="P181">
        <v>1</v>
      </c>
      <c r="Q181">
        <v>1</v>
      </c>
      <c r="R181" t="inlineStr">
        <is>
          <t xml:space="preserve"> </t>
        </is>
      </c>
      <c r="S181" s="103" t="inlineStr">
        <is>
          <t xml:space="preserve"> </t>
        </is>
      </c>
      <c r="T181" t="inlineStr">
        <is>
          <t>No se encontró ejecución en PIIP</t>
        </is>
      </c>
      <c r="U181" t="inlineStr">
        <is>
          <t xml:space="preserve"> </t>
        </is>
      </c>
      <c r="V181" s="104" t="inlineStr">
        <is>
          <t xml:space="preserve"> </t>
        </is>
      </c>
      <c r="W181" t="inlineStr">
        <is>
          <t>No se encontró ejecución en PIIP</t>
        </is>
      </c>
    </row>
    <row r="182">
      <c r="A182" t="inlineStr">
        <is>
          <t>IP-191</t>
        </is>
      </c>
      <c r="B182" t="inlineStr">
        <is>
          <t>39</t>
        </is>
      </c>
      <c r="C182" t="inlineStr">
        <is>
          <t xml:space="preserve">Ciencia, tecnología e innovación
</t>
        </is>
      </c>
      <c r="D182" t="inlineStr">
        <is>
          <t>3906</t>
        </is>
      </c>
      <c r="E182" t="inlineStr">
        <is>
          <t>Fomento a vocaciones y formación, generación, uso y apropiación social del conocimiento de la ciencia, tecnología e innovación</t>
        </is>
      </c>
      <c r="F182" t="inlineStr">
        <is>
          <t>3906001</t>
        </is>
      </c>
      <c r="G182" t="inlineStr">
        <is>
          <t>Servicio de apoyo financiero para el fortalecimiento de las vocaciones científicas en CTI</t>
        </is>
      </c>
      <c r="H182" t="inlineStr">
        <is>
          <t>390600100</t>
        </is>
      </c>
      <c r="I182" t="inlineStr">
        <is>
          <t>Personas apoyadas en su vocación científica</t>
        </is>
      </c>
      <c r="J182" t="inlineStr">
        <is>
          <t>2024254860033</t>
        </is>
      </c>
      <c r="K182" t="inlineStr">
        <is>
          <t>Si</t>
        </is>
      </c>
      <c r="L182" t="inlineStr">
        <is>
          <t>Número</t>
        </is>
      </c>
      <c r="M182">
        <v>90</v>
      </c>
      <c r="N182">
        <v>0</v>
      </c>
      <c r="O182">
        <v>30</v>
      </c>
      <c r="P182">
        <v>30</v>
      </c>
      <c r="Q182">
        <v>30</v>
      </c>
      <c r="R182" t="inlineStr">
        <is>
          <t xml:space="preserve"> </t>
        </is>
      </c>
      <c r="S182" s="103" t="inlineStr">
        <is>
          <t xml:space="preserve"> </t>
        </is>
      </c>
      <c r="T182" t="inlineStr">
        <is>
          <t>No se encontró ejecución en PIIP</t>
        </is>
      </c>
      <c r="U182" t="inlineStr">
        <is>
          <t xml:space="preserve"> </t>
        </is>
      </c>
      <c r="V182" s="104" t="inlineStr">
        <is>
          <t xml:space="preserve"> </t>
        </is>
      </c>
      <c r="W182" t="inlineStr">
        <is>
          <t>No se encontró ejecución en PIIP</t>
        </is>
      </c>
    </row>
    <row r="183">
      <c r="A183" t="inlineStr">
        <is>
          <t>IP-192</t>
        </is>
      </c>
      <c r="B183" t="inlineStr">
        <is>
          <t>39</t>
        </is>
      </c>
      <c r="C183" t="inlineStr">
        <is>
          <t xml:space="preserve">Ciencia, tecnología e innovación
</t>
        </is>
      </c>
      <c r="D183" t="inlineStr">
        <is>
          <t>3906</t>
        </is>
      </c>
      <c r="E183" t="inlineStr">
        <is>
          <t>Fomento a vocaciones y formación, generación, uso y apropiación social del conocimiento de la ciencia, tecnología e innovación</t>
        </is>
      </c>
      <c r="F183" t="inlineStr">
        <is>
          <t>3906011</t>
        </is>
      </c>
      <c r="G183" t="inlineStr">
        <is>
          <t>Servicio de apropiación social del conocimiento</t>
        </is>
      </c>
      <c r="H183" t="inlineStr">
        <is>
          <t>390601100</t>
        </is>
      </c>
      <c r="I183" t="inlineStr">
        <is>
          <t>Estrategias de apropiación realizadas</t>
        </is>
      </c>
      <c r="J183" t="inlineStr">
        <is>
          <t>2024254860033</t>
        </is>
      </c>
      <c r="K183" t="inlineStr">
        <is>
          <t>Si</t>
        </is>
      </c>
      <c r="L183" t="inlineStr">
        <is>
          <t>Número</t>
        </is>
      </c>
      <c r="M183">
        <v>4</v>
      </c>
      <c r="N183">
        <v>1</v>
      </c>
      <c r="O183">
        <v>1</v>
      </c>
      <c r="P183">
        <v>1</v>
      </c>
      <c r="Q183">
        <v>1</v>
      </c>
      <c r="R183" t="inlineStr">
        <is>
          <t xml:space="preserve"> </t>
        </is>
      </c>
      <c r="S183" s="103" t="inlineStr">
        <is>
          <t xml:space="preserve"> </t>
        </is>
      </c>
      <c r="T183" t="inlineStr">
        <is>
          <t>No se encontró ejecución en PIIP</t>
        </is>
      </c>
      <c r="U183" t="inlineStr">
        <is>
          <t xml:space="preserve"> </t>
        </is>
      </c>
      <c r="V183" s="104" t="inlineStr">
        <is>
          <t xml:space="preserve"> </t>
        </is>
      </c>
      <c r="W183" t="inlineStr">
        <is>
          <t>No se encontró ejecución en PIIP</t>
        </is>
      </c>
    </row>
    <row r="184">
      <c r="A184" t="inlineStr">
        <is>
          <t>IP-193</t>
        </is>
      </c>
      <c r="B184" t="inlineStr">
        <is>
          <t>39</t>
        </is>
      </c>
      <c r="C184" t="inlineStr">
        <is>
          <t xml:space="preserve">Ciencia, tecnología e innovación
</t>
        </is>
      </c>
      <c r="D184" t="inlineStr">
        <is>
          <t>3906</t>
        </is>
      </c>
      <c r="E184" t="inlineStr">
        <is>
          <t>Fomento a vocaciones y formación, generación, uso y apropiación social del conocimiento de la ciencia, tecnología e innovación</t>
        </is>
      </c>
      <c r="F184" t="inlineStr">
        <is>
          <t>3906009</t>
        </is>
      </c>
      <c r="G184" t="inlineStr">
        <is>
          <t>Servicios de apoyo financiero para programas y proyectos de CTI que promueven la innovación, la transferencia tecnológica y el emprendimiento</t>
        </is>
      </c>
      <c r="H184" t="inlineStr">
        <is>
          <t>390600900</t>
        </is>
      </c>
      <c r="I184" t="inlineStr">
        <is>
          <t>Programas y proyectos financiados</t>
        </is>
      </c>
      <c r="J184" t="inlineStr">
        <is>
          <t>2024254860033</t>
        </is>
      </c>
      <c r="K184" t="inlineStr">
        <is>
          <t>Si</t>
        </is>
      </c>
      <c r="L184" t="inlineStr">
        <is>
          <t>Número</t>
        </is>
      </c>
      <c r="M184">
        <v>3</v>
      </c>
      <c r="N184">
        <v>0</v>
      </c>
      <c r="O184">
        <v>1</v>
      </c>
      <c r="P184">
        <v>1</v>
      </c>
      <c r="Q184">
        <v>1</v>
      </c>
      <c r="R184" t="inlineStr">
        <is>
          <t xml:space="preserve"> </t>
        </is>
      </c>
      <c r="S184" s="103" t="inlineStr">
        <is>
          <t xml:space="preserve"> </t>
        </is>
      </c>
      <c r="T184" t="inlineStr">
        <is>
          <t>No se encontró ejecución en PIIP</t>
        </is>
      </c>
      <c r="U184" t="inlineStr">
        <is>
          <t xml:space="preserve"> </t>
        </is>
      </c>
      <c r="V184" s="104" t="inlineStr">
        <is>
          <t xml:space="preserve"> </t>
        </is>
      </c>
      <c r="W184" t="inlineStr">
        <is>
          <t>No se encontró ejecución en PIIP</t>
        </is>
      </c>
    </row>
    <row r="185">
      <c r="A185" t="inlineStr">
        <is>
          <t>IP-194</t>
        </is>
      </c>
      <c r="B185" t="inlineStr">
        <is>
          <t>36</t>
        </is>
      </c>
      <c r="C185" t="inlineStr">
        <is>
          <t>Trabajo</t>
        </is>
      </c>
      <c r="D185" t="inlineStr">
        <is>
          <t>3602</t>
        </is>
      </c>
      <c r="E185" t="inlineStr">
        <is>
          <t>Generación y formalización del empleo</t>
        </is>
      </c>
      <c r="F185" t="inlineStr">
        <is>
          <t>3602032</t>
        </is>
      </c>
      <c r="G185" t="inlineStr">
        <is>
          <t>Servicio de asesoría técnica para el emprendimiento</t>
        </is>
      </c>
      <c r="H185" t="inlineStr">
        <is>
          <t>360203201</t>
        </is>
      </c>
      <c r="I185" t="inlineStr">
        <is>
          <t>Emprendimientos fortalecidos</t>
        </is>
      </c>
      <c r="J185" t="inlineStr">
        <is>
          <t>2024254860034</t>
        </is>
      </c>
      <c r="K185" t="inlineStr">
        <is>
          <t>No</t>
        </is>
      </c>
      <c r="L185" t="inlineStr">
        <is>
          <t>Número</t>
        </is>
      </c>
      <c r="M185">
        <v>20</v>
      </c>
      <c r="N185">
        <v>10</v>
      </c>
      <c r="O185">
        <v>20</v>
      </c>
      <c r="P185">
        <v>30</v>
      </c>
      <c r="Q185">
        <v>20</v>
      </c>
      <c r="R185" t="inlineStr">
        <is>
          <t xml:space="preserve"> </t>
        </is>
      </c>
      <c r="S185" s="103" t="inlineStr">
        <is>
          <t xml:space="preserve"> </t>
        </is>
      </c>
      <c r="T185" t="inlineStr">
        <is>
          <t>No se encontró ejecución en PIIP</t>
        </is>
      </c>
      <c r="U185" t="inlineStr">
        <is>
          <t xml:space="preserve"> </t>
        </is>
      </c>
      <c r="V185" s="104" t="inlineStr">
        <is>
          <t xml:space="preserve"> </t>
        </is>
      </c>
      <c r="W185" t="inlineStr">
        <is>
          <t>No se encontró ejecución en PIIP</t>
        </is>
      </c>
    </row>
    <row r="186">
      <c r="A186" t="inlineStr">
        <is>
          <t>IP-195</t>
        </is>
      </c>
      <c r="B186" t="inlineStr">
        <is>
          <t>36</t>
        </is>
      </c>
      <c r="C186" t="inlineStr">
        <is>
          <t>Trabajo</t>
        </is>
      </c>
      <c r="D186" t="inlineStr">
        <is>
          <t>3602</t>
        </is>
      </c>
      <c r="E186" t="inlineStr">
        <is>
          <t>Generación y formalización del empleo</t>
        </is>
      </c>
      <c r="F186" t="inlineStr">
        <is>
          <t>3602032</t>
        </is>
      </c>
      <c r="G186" t="inlineStr">
        <is>
          <t>Servicio de asesoría técnica para el emprendimiento</t>
        </is>
      </c>
      <c r="H186" t="inlineStr">
        <is>
          <t>360203201</t>
        </is>
      </c>
      <c r="I186" t="inlineStr">
        <is>
          <t>Emprendimientos fortalecidos</t>
        </is>
      </c>
      <c r="J186" t="inlineStr">
        <is>
          <t>2024254860034</t>
        </is>
      </c>
      <c r="K186" t="inlineStr">
        <is>
          <t>Si</t>
        </is>
      </c>
      <c r="L186" t="inlineStr">
        <is>
          <t>Número</t>
        </is>
      </c>
      <c r="M186">
        <v>3</v>
      </c>
      <c r="N186">
        <v>0</v>
      </c>
      <c r="O186">
        <v>1</v>
      </c>
      <c r="P186">
        <v>1</v>
      </c>
      <c r="Q186">
        <v>1</v>
      </c>
      <c r="R186" t="inlineStr">
        <is>
          <t xml:space="preserve"> </t>
        </is>
      </c>
      <c r="S186" s="103" t="inlineStr">
        <is>
          <t xml:space="preserve"> </t>
        </is>
      </c>
      <c r="T186" t="inlineStr">
        <is>
          <t>No se encontró ejecución en PIIP</t>
        </is>
      </c>
      <c r="U186" t="inlineStr">
        <is>
          <t xml:space="preserve"> </t>
        </is>
      </c>
      <c r="V186" s="104" t="inlineStr">
        <is>
          <t xml:space="preserve"> </t>
        </is>
      </c>
      <c r="W186" t="inlineStr">
        <is>
          <t>No se encontró ejecución en PIIP</t>
        </is>
      </c>
    </row>
    <row r="187">
      <c r="A187" t="inlineStr">
        <is>
          <t>IP-196</t>
        </is>
      </c>
      <c r="B187" t="inlineStr">
        <is>
          <t>36</t>
        </is>
      </c>
      <c r="C187" t="inlineStr">
        <is>
          <t>Trabajo</t>
        </is>
      </c>
      <c r="D187" t="inlineStr">
        <is>
          <t>3605</t>
        </is>
      </c>
      <c r="E187" t="inlineStr">
        <is>
          <t>Fomento de la investigación, desarrollo tecnológico e innovación del sector trabajo</t>
        </is>
      </c>
      <c r="F187" t="inlineStr">
        <is>
          <t>3605007</t>
        </is>
      </c>
      <c r="G187" t="inlineStr">
        <is>
          <t>Servicio de investigación, desarrollo e innovación tecnológica orientados a la competitividad del mercado del trabajo</t>
        </is>
      </c>
      <c r="H187" t="inlineStr">
        <is>
          <t>360500706</t>
        </is>
      </c>
      <c r="I187" t="inlineStr">
        <is>
          <t>Proyectos para el desarrollo de economía popular asesorados</t>
        </is>
      </c>
      <c r="J187" t="inlineStr">
        <is>
          <t>2024254860037</t>
        </is>
      </c>
      <c r="K187" t="inlineStr">
        <is>
          <t>No</t>
        </is>
      </c>
      <c r="L187" t="inlineStr">
        <is>
          <t>Número</t>
        </is>
      </c>
      <c r="M187">
        <v>1</v>
      </c>
      <c r="N187">
        <v>0</v>
      </c>
      <c r="O187">
        <v>1</v>
      </c>
      <c r="P187">
        <v>1</v>
      </c>
      <c r="Q187">
        <v>1</v>
      </c>
      <c r="R187" t="inlineStr">
        <is>
          <t xml:space="preserve"> </t>
        </is>
      </c>
      <c r="S187" s="103" t="inlineStr">
        <is>
          <t xml:space="preserve"> </t>
        </is>
      </c>
      <c r="T187" t="inlineStr">
        <is>
          <t>No se encontró ejecución en PIIP</t>
        </is>
      </c>
      <c r="U187" t="inlineStr">
        <is>
          <t xml:space="preserve"> </t>
        </is>
      </c>
      <c r="V187" s="104" t="inlineStr">
        <is>
          <t xml:space="preserve"> </t>
        </is>
      </c>
      <c r="W187" t="inlineStr">
        <is>
          <t>No se encontró ejecución en PIIP</t>
        </is>
      </c>
    </row>
    <row r="188">
      <c r="A188" t="inlineStr">
        <is>
          <t>IP-197</t>
        </is>
      </c>
      <c r="B188" t="inlineStr">
        <is>
          <t>36</t>
        </is>
      </c>
      <c r="C188" t="inlineStr">
        <is>
          <t>Trabajo</t>
        </is>
      </c>
      <c r="D188" t="inlineStr">
        <is>
          <t>3605</t>
        </is>
      </c>
      <c r="E188" t="inlineStr">
        <is>
          <t>Fomento de la investigación, desarrollo tecnológico e innovación del sector trabajo</t>
        </is>
      </c>
      <c r="F188" t="inlineStr">
        <is>
          <t>3605017</t>
        </is>
      </c>
      <c r="G188" t="inlineStr">
        <is>
          <t>Servicio de asistencia técnica para el fortalecimiento de la red de prestadores del Servicio Público de Empleo</t>
        </is>
      </c>
      <c r="H188" t="inlineStr">
        <is>
          <t>360501700</t>
        </is>
      </c>
      <c r="I188" t="inlineStr">
        <is>
          <t>Prestadores del Servicio Público de Empleo fortalecidos técnicamente</t>
        </is>
      </c>
      <c r="J188" t="inlineStr">
        <is>
          <t>2024254860037</t>
        </is>
      </c>
      <c r="K188" t="inlineStr">
        <is>
          <t>No</t>
        </is>
      </c>
      <c r="L188" t="inlineStr">
        <is>
          <t>Número</t>
        </is>
      </c>
      <c r="M188">
        <v>1</v>
      </c>
      <c r="N188">
        <v>1</v>
      </c>
      <c r="O188">
        <v>1</v>
      </c>
      <c r="P188">
        <v>1</v>
      </c>
      <c r="Q188">
        <v>1</v>
      </c>
      <c r="R188" t="inlineStr">
        <is>
          <t xml:space="preserve"> </t>
        </is>
      </c>
      <c r="S188" s="103" t="inlineStr">
        <is>
          <t xml:space="preserve"> </t>
        </is>
      </c>
      <c r="T188" t="inlineStr">
        <is>
          <t>No se encontró ejecución en PIIP</t>
        </is>
      </c>
      <c r="U188" t="inlineStr">
        <is>
          <t xml:space="preserve"> </t>
        </is>
      </c>
      <c r="V188" s="104" t="inlineStr">
        <is>
          <t xml:space="preserve"> </t>
        </is>
      </c>
      <c r="W188" t="inlineStr">
        <is>
          <t>No se encontró ejecución en PIIP</t>
        </is>
      </c>
    </row>
    <row r="189">
      <c r="A189" t="inlineStr">
        <is>
          <t>IP-198</t>
        </is>
      </c>
      <c r="B189" t="inlineStr">
        <is>
          <t>36</t>
        </is>
      </c>
      <c r="C189" t="inlineStr">
        <is>
          <t>Trabajo</t>
        </is>
      </c>
      <c r="D189" t="inlineStr">
        <is>
          <t>3602</t>
        </is>
      </c>
      <c r="E189" t="inlineStr">
        <is>
          <t>Generación y formalización del empleo</t>
        </is>
      </c>
      <c r="F189" t="inlineStr">
        <is>
          <t>3602004</t>
        </is>
      </c>
      <c r="G189" t="inlineStr">
        <is>
          <t>Servicio de colocación laboral</t>
        </is>
      </c>
      <c r="H189" t="inlineStr">
        <is>
          <t>360200400</t>
        </is>
      </c>
      <c r="I189" t="inlineStr">
        <is>
          <t>Personas colocadas laboralmente</t>
        </is>
      </c>
      <c r="J189" t="inlineStr">
        <is>
          <t>2024254860034</t>
        </is>
      </c>
      <c r="K189" t="inlineStr">
        <is>
          <t>Si</t>
        </is>
      </c>
      <c r="L189" t="inlineStr">
        <is>
          <t>Número</t>
        </is>
      </c>
      <c r="M189">
        <v>50</v>
      </c>
      <c r="N189">
        <v>10</v>
      </c>
      <c r="O189">
        <v>20</v>
      </c>
      <c r="P189">
        <v>10</v>
      </c>
      <c r="Q189">
        <v>10</v>
      </c>
      <c r="R189" t="inlineStr">
        <is>
          <t xml:space="preserve"> </t>
        </is>
      </c>
      <c r="S189" s="103" t="inlineStr">
        <is>
          <t xml:space="preserve"> </t>
        </is>
      </c>
      <c r="T189" t="inlineStr">
        <is>
          <t>No se encontró ejecución en PIIP</t>
        </is>
      </c>
      <c r="U189" t="inlineStr">
        <is>
          <t xml:space="preserve"> </t>
        </is>
      </c>
      <c r="V189" s="104" t="inlineStr">
        <is>
          <t xml:space="preserve"> </t>
        </is>
      </c>
      <c r="W189" t="inlineStr">
        <is>
          <t>No se encontró ejecución en PIIP</t>
        </is>
      </c>
    </row>
    <row r="190">
      <c r="A190" t="inlineStr">
        <is>
          <t>IP-199</t>
        </is>
      </c>
      <c r="B190" t="inlineStr">
        <is>
          <t>36</t>
        </is>
      </c>
      <c r="C190" t="inlineStr">
        <is>
          <t>Trabajo</t>
        </is>
      </c>
      <c r="D190" t="inlineStr">
        <is>
          <t>3603</t>
        </is>
      </c>
      <c r="E190" t="inlineStr">
        <is>
          <t>Formación para el trabajo</t>
        </is>
      </c>
      <c r="F190" t="inlineStr">
        <is>
          <t>3603005</t>
        </is>
      </c>
      <c r="G190" t="inlineStr">
        <is>
          <t>Servicio de certificación de desempeño laboral</t>
        </is>
      </c>
      <c r="H190" t="inlineStr">
        <is>
          <t>360300501</t>
        </is>
      </c>
      <c r="I190" t="inlineStr">
        <is>
          <t>personas certificadas en competencias laborales</t>
        </is>
      </c>
      <c r="J190" t="inlineStr">
        <is>
          <t>2024254860035</t>
        </is>
      </c>
      <c r="K190" t="inlineStr">
        <is>
          <t>Si</t>
        </is>
      </c>
      <c r="L190" t="inlineStr">
        <is>
          <t>Número</t>
        </is>
      </c>
      <c r="M190">
        <v>60</v>
      </c>
      <c r="N190">
        <v>15</v>
      </c>
      <c r="O190">
        <v>15</v>
      </c>
      <c r="P190">
        <v>15</v>
      </c>
      <c r="Q190">
        <v>15</v>
      </c>
      <c r="R190" t="inlineStr">
        <is>
          <t xml:space="preserve"> </t>
        </is>
      </c>
      <c r="S190" s="103" t="inlineStr">
        <is>
          <t xml:space="preserve"> </t>
        </is>
      </c>
      <c r="T190" t="inlineStr">
        <is>
          <t>No se encontró ejecución en PIIP</t>
        </is>
      </c>
      <c r="U190" t="inlineStr">
        <is>
          <t xml:space="preserve"> </t>
        </is>
      </c>
      <c r="V190" s="104" t="inlineStr">
        <is>
          <t xml:space="preserve"> </t>
        </is>
      </c>
      <c r="W190" t="inlineStr">
        <is>
          <t>No se encontró ejecución en PIIP</t>
        </is>
      </c>
    </row>
    <row r="191">
      <c r="A191" t="inlineStr">
        <is>
          <t>IP-200</t>
        </is>
      </c>
      <c r="B191" t="inlineStr">
        <is>
          <t>36</t>
        </is>
      </c>
      <c r="C191" t="inlineStr">
        <is>
          <t>Trabajo</t>
        </is>
      </c>
      <c r="D191" t="inlineStr">
        <is>
          <t>3604</t>
        </is>
      </c>
      <c r="E191" t="inlineStr">
        <is>
          <t>Derechos fundamentales del trabajo y fortalecimiento del diálogo social</t>
        </is>
      </c>
      <c r="F191" t="inlineStr">
        <is>
          <t>3604006</t>
        </is>
      </c>
      <c r="G191" t="inlineStr">
        <is>
          <t>Servicio de educación informal para la prevención integral del trabajo infantil</t>
        </is>
      </c>
      <c r="H191" t="inlineStr">
        <is>
          <t>360400600</t>
        </is>
      </c>
      <c r="I191" t="inlineStr">
        <is>
          <t>Personas capacitadas</t>
        </is>
      </c>
      <c r="J191" t="inlineStr">
        <is>
          <t>2024254860036</t>
        </is>
      </c>
      <c r="K191" t="inlineStr">
        <is>
          <t>Si</t>
        </is>
      </c>
      <c r="L191" t="inlineStr">
        <is>
          <t>Número</t>
        </is>
      </c>
      <c r="M191">
        <v>500</v>
      </c>
      <c r="N191">
        <v>125</v>
      </c>
      <c r="O191">
        <v>125</v>
      </c>
      <c r="P191">
        <v>125</v>
      </c>
      <c r="Q191">
        <v>125</v>
      </c>
      <c r="R191" t="inlineStr">
        <is>
          <t xml:space="preserve"> </t>
        </is>
      </c>
      <c r="S191" s="103" t="inlineStr">
        <is>
          <t xml:space="preserve"> </t>
        </is>
      </c>
      <c r="T191" t="inlineStr">
        <is>
          <t>No se encontró ejecución en PIIP</t>
        </is>
      </c>
      <c r="U191" t="inlineStr">
        <is>
          <t xml:space="preserve"> </t>
        </is>
      </c>
      <c r="V191" s="104" t="inlineStr">
        <is>
          <t xml:space="preserve"> </t>
        </is>
      </c>
      <c r="W191" t="inlineStr">
        <is>
          <t>No se encontró ejecución en PIIP</t>
        </is>
      </c>
    </row>
    <row r="192">
      <c r="A192" t="inlineStr">
        <is>
          <t>IP-201</t>
        </is>
      </c>
      <c r="B192" t="inlineStr">
        <is>
          <t>36</t>
        </is>
      </c>
      <c r="C192" t="inlineStr">
        <is>
          <t>Trabajo</t>
        </is>
      </c>
      <c r="D192" t="inlineStr">
        <is>
          <t>3605</t>
        </is>
      </c>
      <c r="E192" t="inlineStr">
        <is>
          <t>Fomento de la investigación, desarrollo tecnológico e innovación del sector trabajo</t>
        </is>
      </c>
      <c r="F192" t="inlineStr">
        <is>
          <t>3605007</t>
        </is>
      </c>
      <c r="G192" t="inlineStr">
        <is>
          <t>Servicio de investigación, desarrollo e innovación tecnológica orientados a la competitividad del mercado del trabajo</t>
        </is>
      </c>
      <c r="H192" t="inlineStr">
        <is>
          <t>360500700</t>
        </is>
      </c>
      <c r="I192" t="inlineStr">
        <is>
          <t>Proyectos de innovación y desarrollo tecnológico cofinanciados</t>
        </is>
      </c>
      <c r="J192" t="inlineStr">
        <is>
          <t>2024254860037</t>
        </is>
      </c>
      <c r="K192" t="inlineStr">
        <is>
          <t>No</t>
        </is>
      </c>
      <c r="L192" t="inlineStr">
        <is>
          <t>Número</t>
        </is>
      </c>
      <c r="M192">
        <v>1</v>
      </c>
      <c r="N192">
        <v>0</v>
      </c>
      <c r="O192">
        <v>0</v>
      </c>
      <c r="P192">
        <v>1</v>
      </c>
      <c r="Q192">
        <v>1</v>
      </c>
      <c r="R192" t="inlineStr">
        <is>
          <t xml:space="preserve"> </t>
        </is>
      </c>
      <c r="S192" s="103" t="inlineStr">
        <is>
          <t xml:space="preserve"> </t>
        </is>
      </c>
      <c r="T192" t="inlineStr">
        <is>
          <t>No se encontró ejecución en PIIP</t>
        </is>
      </c>
      <c r="U192" t="inlineStr">
        <is>
          <t xml:space="preserve"> </t>
        </is>
      </c>
      <c r="V192" s="104" t="inlineStr">
        <is>
          <t xml:space="preserve"> </t>
        </is>
      </c>
      <c r="W192" t="inlineStr">
        <is>
          <t>No se encontró ejecución en PIIP</t>
        </is>
      </c>
    </row>
    <row r="193">
      <c r="A193" t="inlineStr">
        <is>
          <t>IP-202</t>
        </is>
      </c>
      <c r="B193" t="inlineStr">
        <is>
          <t>36</t>
        </is>
      </c>
      <c r="C193" t="inlineStr">
        <is>
          <t>Trabajo</t>
        </is>
      </c>
      <c r="D193" t="inlineStr">
        <is>
          <t>3602</t>
        </is>
      </c>
      <c r="E193" t="inlineStr">
        <is>
          <t>Generación y formalización del empleo</t>
        </is>
      </c>
      <c r="F193" t="inlineStr">
        <is>
          <t>3602032</t>
        </is>
      </c>
      <c r="G193" t="inlineStr">
        <is>
          <t>Servicio de asesoría técnica para el emprendimiento</t>
        </is>
      </c>
      <c r="H193" t="inlineStr">
        <is>
          <t>360203200</t>
        </is>
      </c>
      <c r="I193" t="inlineStr">
        <is>
          <t>Emprendimientos asesorados</t>
        </is>
      </c>
      <c r="J193" t="inlineStr">
        <is>
          <t>2024254860034</t>
        </is>
      </c>
      <c r="K193" t="inlineStr">
        <is>
          <t>Si</t>
        </is>
      </c>
      <c r="L193" t="inlineStr">
        <is>
          <t>Número</t>
        </is>
      </c>
      <c r="M193">
        <v>12</v>
      </c>
      <c r="N193">
        <v>2</v>
      </c>
      <c r="O193">
        <v>3</v>
      </c>
      <c r="P193">
        <v>4</v>
      </c>
      <c r="Q193">
        <v>3</v>
      </c>
      <c r="R193" t="inlineStr">
        <is>
          <t xml:space="preserve"> </t>
        </is>
      </c>
      <c r="S193" s="103" t="inlineStr">
        <is>
          <t xml:space="preserve"> </t>
        </is>
      </c>
      <c r="T193" t="inlineStr">
        <is>
          <t>No se encontró ejecución en PIIP</t>
        </is>
      </c>
      <c r="U193" t="inlineStr">
        <is>
          <t xml:space="preserve"> </t>
        </is>
      </c>
      <c r="V193" s="104" t="inlineStr">
        <is>
          <t xml:space="preserve"> </t>
        </is>
      </c>
      <c r="W193" t="inlineStr">
        <is>
          <t>No se encontró ejecución en PIIP</t>
        </is>
      </c>
    </row>
    <row r="194">
      <c r="A194" t="inlineStr">
        <is>
          <t>IP-203</t>
        </is>
      </c>
      <c r="B194" t="inlineStr">
        <is>
          <t>24</t>
        </is>
      </c>
      <c r="C194" t="inlineStr">
        <is>
          <t>Transporte</t>
        </is>
      </c>
      <c r="D194" t="inlineStr">
        <is>
          <t>2402</t>
        </is>
      </c>
      <c r="E194" t="inlineStr">
        <is>
          <t>Infraestructura red vial regional</t>
        </is>
      </c>
      <c r="F194" t="inlineStr">
        <is>
          <t>2402118</t>
        </is>
      </c>
      <c r="G194" t="inlineStr">
        <is>
          <t>Estudios de preinversión para la red vial regional</t>
        </is>
      </c>
      <c r="H194" t="inlineStr">
        <is>
          <t>240211820</t>
        </is>
      </c>
      <c r="I194" t="inlineStr">
        <is>
          <t>Vías con inventario diagnóstico para preinversión de la red vial regional</t>
        </is>
      </c>
      <c r="J194" t="inlineStr">
        <is>
          <t>2024254860038</t>
        </is>
      </c>
      <c r="K194" t="inlineStr">
        <is>
          <t>Si</t>
        </is>
      </c>
      <c r="L194" t="inlineStr">
        <is>
          <t>Kilómetros</t>
        </is>
      </c>
      <c r="M194">
        <v>98</v>
      </c>
      <c r="N194">
        <v>0</v>
      </c>
      <c r="O194">
        <v>98</v>
      </c>
      <c r="P194">
        <v>0</v>
      </c>
      <c r="Q194">
        <v>0</v>
      </c>
      <c r="R194" t="inlineStr">
        <is>
          <t xml:space="preserve"> </t>
        </is>
      </c>
      <c r="S194" s="103" t="inlineStr">
        <is>
          <t xml:space="preserve"> </t>
        </is>
      </c>
      <c r="T194" t="inlineStr">
        <is>
          <t>No se encontró ejecución en PIIP</t>
        </is>
      </c>
      <c r="U194" t="inlineStr">
        <is>
          <t xml:space="preserve"> </t>
        </is>
      </c>
      <c r="V194" s="104" t="inlineStr">
        <is>
          <t xml:space="preserve"> </t>
        </is>
      </c>
      <c r="W194" t="inlineStr">
        <is>
          <t>No se encontró ejecución en PIIP</t>
        </is>
      </c>
    </row>
    <row r="195">
      <c r="A195" t="inlineStr">
        <is>
          <t>IP-204</t>
        </is>
      </c>
      <c r="B195" t="inlineStr">
        <is>
          <t>24</t>
        </is>
      </c>
      <c r="C195" t="inlineStr">
        <is>
          <t>Transporte</t>
        </is>
      </c>
      <c r="D195" t="inlineStr">
        <is>
          <t>2402</t>
        </is>
      </c>
      <c r="E195" t="inlineStr">
        <is>
          <t>Infraestructura red vial regional</t>
        </is>
      </c>
      <c r="F195" t="inlineStr">
        <is>
          <t>2402141</t>
        </is>
      </c>
      <c r="G195" t="inlineStr">
        <is>
          <t>Banco de maquinaria con mantenimiento mayor, repotenciado o renovado</t>
        </is>
      </c>
      <c r="H195" t="inlineStr">
        <is>
          <t>240214100</t>
        </is>
      </c>
      <c r="I195" t="inlineStr">
        <is>
          <t>Maquinaria y equipos con mantenimiento mayor, repotenciados o modernizados</t>
        </is>
      </c>
      <c r="J195" t="inlineStr">
        <is>
          <t>2024254860038</t>
        </is>
      </c>
      <c r="K195" t="inlineStr">
        <is>
          <t>No</t>
        </is>
      </c>
      <c r="L195" t="inlineStr">
        <is>
          <t>Número</t>
        </is>
      </c>
      <c r="M195">
        <v>8</v>
      </c>
      <c r="N195">
        <v>8</v>
      </c>
      <c r="O195">
        <v>8</v>
      </c>
      <c r="P195">
        <v>8</v>
      </c>
      <c r="Q195">
        <v>8</v>
      </c>
      <c r="R195" t="inlineStr">
        <is>
          <t xml:space="preserve"> </t>
        </is>
      </c>
      <c r="S195" s="103" t="inlineStr">
        <is>
          <t xml:space="preserve"> </t>
        </is>
      </c>
      <c r="T195" t="inlineStr">
        <is>
          <t>No se encontró ejecución en PIIP</t>
        </is>
      </c>
      <c r="U195" t="inlineStr">
        <is>
          <t xml:space="preserve"> </t>
        </is>
      </c>
      <c r="V195" s="104" t="inlineStr">
        <is>
          <t xml:space="preserve"> </t>
        </is>
      </c>
      <c r="W195" t="inlineStr">
        <is>
          <t>No se encontró ejecución en PIIP</t>
        </is>
      </c>
    </row>
    <row r="196">
      <c r="A196" t="inlineStr">
        <is>
          <t>IP-205</t>
        </is>
      </c>
      <c r="B196" t="inlineStr">
        <is>
          <t>24</t>
        </is>
      </c>
      <c r="C196" t="inlineStr">
        <is>
          <t>Transporte</t>
        </is>
      </c>
      <c r="D196" t="inlineStr">
        <is>
          <t>2402</t>
        </is>
      </c>
      <c r="E196" t="inlineStr">
        <is>
          <t>Infraestructura red vial regional</t>
        </is>
      </c>
      <c r="F196" t="inlineStr">
        <is>
          <t>2402118</t>
        </is>
      </c>
      <c r="G196" t="inlineStr">
        <is>
          <t>Estudios de preinversión para la red vial regional</t>
        </is>
      </c>
      <c r="H196" t="inlineStr">
        <is>
          <t>240211800</t>
        </is>
      </c>
      <c r="I196" t="inlineStr">
        <is>
          <t>Estudios de preinversión realizados</t>
        </is>
      </c>
      <c r="J196" t="inlineStr">
        <is>
          <t>2024254860038</t>
        </is>
      </c>
      <c r="K196" t="inlineStr">
        <is>
          <t>Si</t>
        </is>
      </c>
      <c r="L196" t="inlineStr">
        <is>
          <t>Número</t>
        </is>
      </c>
      <c r="M196">
        <v>4</v>
      </c>
      <c r="N196">
        <v>0</v>
      </c>
      <c r="O196">
        <v>4</v>
      </c>
      <c r="P196">
        <v>0</v>
      </c>
      <c r="Q196">
        <v>0</v>
      </c>
      <c r="R196" t="inlineStr">
        <is>
          <t xml:space="preserve"> </t>
        </is>
      </c>
      <c r="S196" s="103" t="inlineStr">
        <is>
          <t xml:space="preserve"> </t>
        </is>
      </c>
      <c r="T196" t="inlineStr">
        <is>
          <t>No se encontró ejecución en PIIP</t>
        </is>
      </c>
      <c r="U196" t="inlineStr">
        <is>
          <t xml:space="preserve"> </t>
        </is>
      </c>
      <c r="V196" s="104" t="inlineStr">
        <is>
          <t xml:space="preserve"> </t>
        </is>
      </c>
      <c r="W196" t="inlineStr">
        <is>
          <t>No se encontró ejecución en PIIP</t>
        </is>
      </c>
    </row>
    <row r="197">
      <c r="A197" t="inlineStr">
        <is>
          <t>IP-206</t>
        </is>
      </c>
      <c r="B197" t="inlineStr">
        <is>
          <t>24</t>
        </is>
      </c>
      <c r="C197" t="inlineStr">
        <is>
          <t>Transporte</t>
        </is>
      </c>
      <c r="D197" t="inlineStr">
        <is>
          <t>2402</t>
        </is>
      </c>
      <c r="E197" t="inlineStr">
        <is>
          <t>Infraestructura red vial regional</t>
        </is>
      </c>
      <c r="F197" t="inlineStr">
        <is>
          <t>2402006</t>
        </is>
      </c>
      <c r="G197" t="inlineStr">
        <is>
          <t>Vía secundaria mejorada</t>
        </is>
      </c>
      <c r="H197" t="inlineStr">
        <is>
          <t>240200601</t>
        </is>
      </c>
      <c r="I197" t="inlineStr">
        <is>
          <t>Placa huella construida</t>
        </is>
      </c>
      <c r="J197" t="inlineStr">
        <is>
          <t>2024254860038</t>
        </is>
      </c>
      <c r="K197" t="inlineStr">
        <is>
          <t>Si</t>
        </is>
      </c>
      <c r="L197" t="inlineStr">
        <is>
          <t xml:space="preserve">Metros </t>
        </is>
      </c>
      <c r="M197">
        <v>2000</v>
      </c>
      <c r="N197">
        <v>0</v>
      </c>
      <c r="O197">
        <v>750</v>
      </c>
      <c r="P197">
        <v>750</v>
      </c>
      <c r="Q197">
        <v>500</v>
      </c>
      <c r="R197" t="inlineStr">
        <is>
          <t xml:space="preserve"> </t>
        </is>
      </c>
      <c r="S197" s="103" t="inlineStr">
        <is>
          <t xml:space="preserve"> </t>
        </is>
      </c>
      <c r="T197" t="inlineStr">
        <is>
          <t>No se encontró ejecución en PIIP</t>
        </is>
      </c>
      <c r="U197" t="inlineStr">
        <is>
          <t xml:space="preserve"> </t>
        </is>
      </c>
      <c r="V197" s="104" t="inlineStr">
        <is>
          <t xml:space="preserve"> </t>
        </is>
      </c>
      <c r="W197" t="inlineStr">
        <is>
          <t>No se encontró ejecución en PIIP</t>
        </is>
      </c>
    </row>
    <row r="198">
      <c r="A198" t="inlineStr">
        <is>
          <t>IP-207</t>
        </is>
      </c>
      <c r="B198" t="inlineStr">
        <is>
          <t>24</t>
        </is>
      </c>
      <c r="C198" t="inlineStr">
        <is>
          <t>Transporte</t>
        </is>
      </c>
      <c r="D198" t="inlineStr">
        <is>
          <t>2402</t>
        </is>
      </c>
      <c r="E198" t="inlineStr">
        <is>
          <t>Infraestructura red vial regional</t>
        </is>
      </c>
      <c r="F198" t="inlineStr">
        <is>
          <t>2402041</t>
        </is>
      </c>
      <c r="G198" t="inlineStr">
        <is>
          <t>Vía terciaria mejorada</t>
        </is>
      </c>
      <c r="H198" t="inlineStr">
        <is>
          <t>240204110</t>
        </is>
      </c>
      <c r="I198" t="inlineStr">
        <is>
          <t>Mejoramiento de vías con soluciones no tradicionales</t>
        </is>
      </c>
      <c r="J198" t="inlineStr">
        <is>
          <t>2024254860038</t>
        </is>
      </c>
      <c r="K198" t="inlineStr">
        <is>
          <t>Si</t>
        </is>
      </c>
      <c r="L198" t="inlineStr">
        <is>
          <t xml:space="preserve">Metros </t>
        </is>
      </c>
      <c r="M198">
        <v>20000</v>
      </c>
      <c r="N198">
        <v>13000</v>
      </c>
      <c r="O198">
        <v>3000</v>
      </c>
      <c r="P198">
        <v>2000</v>
      </c>
      <c r="Q198">
        <v>2000</v>
      </c>
      <c r="R198" t="inlineStr">
        <is>
          <t xml:space="preserve"> </t>
        </is>
      </c>
      <c r="S198" s="103" t="inlineStr">
        <is>
          <t xml:space="preserve"> </t>
        </is>
      </c>
      <c r="T198" t="inlineStr">
        <is>
          <t>No se encontró ejecución en PIIP</t>
        </is>
      </c>
      <c r="U198" t="inlineStr">
        <is>
          <t xml:space="preserve"> </t>
        </is>
      </c>
      <c r="V198" s="104" t="inlineStr">
        <is>
          <t xml:space="preserve"> </t>
        </is>
      </c>
      <c r="W198" t="inlineStr">
        <is>
          <t>No se encontró ejecución en PIIP</t>
        </is>
      </c>
    </row>
    <row r="199">
      <c r="A199" t="inlineStr">
        <is>
          <t>IP-208</t>
        </is>
      </c>
      <c r="B199" t="inlineStr">
        <is>
          <t>24</t>
        </is>
      </c>
      <c r="C199" t="inlineStr">
        <is>
          <t>Transporte</t>
        </is>
      </c>
      <c r="D199" t="inlineStr">
        <is>
          <t>2402</t>
        </is>
      </c>
      <c r="E199" t="inlineStr">
        <is>
          <t>Infraestructura red vial regional</t>
        </is>
      </c>
      <c r="F199" t="inlineStr">
        <is>
          <t>2402115</t>
        </is>
      </c>
      <c r="G199" t="inlineStr">
        <is>
          <t>Vía urbana con mantenimiento periódico o rutinario</t>
        </is>
      </c>
      <c r="H199" t="inlineStr">
        <is>
          <t>240211501</t>
        </is>
      </c>
      <c r="I199" t="inlineStr">
        <is>
          <t>Vía urbana con mantenimiento periódico</t>
        </is>
      </c>
      <c r="J199" t="inlineStr">
        <is>
          <t>2024254860038</t>
        </is>
      </c>
      <c r="K199" t="inlineStr">
        <is>
          <t>Si</t>
        </is>
      </c>
      <c r="L199" t="inlineStr">
        <is>
          <t>Kilómetros</t>
        </is>
      </c>
      <c r="M199">
        <v>4</v>
      </c>
      <c r="N199">
        <v>1</v>
      </c>
      <c r="O199">
        <v>1</v>
      </c>
      <c r="P199">
        <v>1</v>
      </c>
      <c r="Q199">
        <v>1</v>
      </c>
      <c r="R199" t="inlineStr">
        <is>
          <t xml:space="preserve"> </t>
        </is>
      </c>
      <c r="S199" s="103" t="inlineStr">
        <is>
          <t xml:space="preserve"> </t>
        </is>
      </c>
      <c r="T199" t="inlineStr">
        <is>
          <t>No se encontró ejecución en PIIP</t>
        </is>
      </c>
      <c r="U199" t="inlineStr">
        <is>
          <t xml:space="preserve"> </t>
        </is>
      </c>
      <c r="V199" s="104" t="inlineStr">
        <is>
          <t xml:space="preserve"> </t>
        </is>
      </c>
      <c r="W199" t="inlineStr">
        <is>
          <t>No se encontró ejecución en PIIP</t>
        </is>
      </c>
    </row>
    <row r="200">
      <c r="A200" t="inlineStr">
        <is>
          <t>IP-209</t>
        </is>
      </c>
      <c r="B200" t="inlineStr">
        <is>
          <t>24</t>
        </is>
      </c>
      <c r="C200" t="inlineStr">
        <is>
          <t>Transporte</t>
        </is>
      </c>
      <c r="D200" t="inlineStr">
        <is>
          <t>2402</t>
        </is>
      </c>
      <c r="E200" t="inlineStr">
        <is>
          <t>Infraestructura red vial regional</t>
        </is>
      </c>
      <c r="F200" t="inlineStr">
        <is>
          <t>2402033</t>
        </is>
      </c>
      <c r="G200" t="inlineStr">
        <is>
          <t>Ciclo infraestructura construida en red vial secundaria</t>
        </is>
      </c>
      <c r="H200" t="inlineStr">
        <is>
          <t>240203301</t>
        </is>
      </c>
      <c r="I200" t="inlineStr">
        <is>
          <t>Ciclo infraestructura de la red secundaria construida</t>
        </is>
      </c>
      <c r="J200" t="inlineStr">
        <is>
          <t>2024254860038</t>
        </is>
      </c>
      <c r="K200" t="inlineStr">
        <is>
          <t>Si</t>
        </is>
      </c>
      <c r="L200" t="inlineStr">
        <is>
          <t>Kilómetros</t>
        </is>
      </c>
      <c r="M200">
        <v>6</v>
      </c>
      <c r="N200">
        <v>0</v>
      </c>
      <c r="O200">
        <v>0</v>
      </c>
      <c r="P200">
        <v>3</v>
      </c>
      <c r="Q200">
        <v>3</v>
      </c>
      <c r="R200" t="inlineStr">
        <is>
          <t xml:space="preserve"> </t>
        </is>
      </c>
      <c r="S200" s="103" t="inlineStr">
        <is>
          <t xml:space="preserve"> </t>
        </is>
      </c>
      <c r="T200" t="inlineStr">
        <is>
          <t>No se encontró ejecución en PIIP</t>
        </is>
      </c>
      <c r="U200" t="inlineStr">
        <is>
          <t xml:space="preserve"> </t>
        </is>
      </c>
      <c r="V200" s="104" t="inlineStr">
        <is>
          <t xml:space="preserve"> </t>
        </is>
      </c>
      <c r="W200" t="inlineStr">
        <is>
          <t>No se encontró ejecución en PIIP</t>
        </is>
      </c>
    </row>
    <row r="201">
      <c r="A201" t="inlineStr">
        <is>
          <t>IP-210</t>
        </is>
      </c>
      <c r="B201" t="inlineStr">
        <is>
          <t>24</t>
        </is>
      </c>
      <c r="C201" t="inlineStr">
        <is>
          <t>Transporte</t>
        </is>
      </c>
      <c r="D201" t="inlineStr">
        <is>
          <t>2409</t>
        </is>
      </c>
      <c r="E201" t="inlineStr">
        <is>
          <t>Seguridad de transporte</t>
        </is>
      </c>
      <c r="F201" t="inlineStr">
        <is>
          <t>2409053</t>
        </is>
      </c>
      <c r="G201" t="inlineStr">
        <is>
          <t>Retornos y variantes construidos</t>
        </is>
      </c>
      <c r="H201" t="inlineStr">
        <is>
          <t>240905302</t>
        </is>
      </c>
      <c r="I201" t="inlineStr">
        <is>
          <t>Variantes construidas</t>
        </is>
      </c>
      <c r="J201" t="inlineStr">
        <is>
          <t>2024254860042</t>
        </is>
      </c>
      <c r="K201" t="inlineStr">
        <is>
          <t>No</t>
        </is>
      </c>
      <c r="L201" t="inlineStr">
        <is>
          <t>Número</t>
        </is>
      </c>
      <c r="M201">
        <v>1</v>
      </c>
      <c r="N201">
        <v>0</v>
      </c>
      <c r="O201">
        <v>1</v>
      </c>
      <c r="P201">
        <v>1</v>
      </c>
      <c r="Q201">
        <v>1</v>
      </c>
      <c r="R201" t="inlineStr">
        <is>
          <t xml:space="preserve"> </t>
        </is>
      </c>
      <c r="S201" s="103" t="inlineStr">
        <is>
          <t xml:space="preserve"> </t>
        </is>
      </c>
      <c r="T201" t="inlineStr">
        <is>
          <t>No se encontró ejecución en PIIP</t>
        </is>
      </c>
      <c r="U201" t="inlineStr">
        <is>
          <t xml:space="preserve"> </t>
        </is>
      </c>
      <c r="V201" s="104" t="inlineStr">
        <is>
          <t xml:space="preserve"> </t>
        </is>
      </c>
      <c r="W201" t="inlineStr">
        <is>
          <t>No se encontró ejecución en PIIP</t>
        </is>
      </c>
    </row>
    <row r="202">
      <c r="A202" t="inlineStr">
        <is>
          <t>IP-211</t>
        </is>
      </c>
      <c r="B202" t="inlineStr">
        <is>
          <t>24</t>
        </is>
      </c>
      <c r="C202" t="inlineStr">
        <is>
          <t>Transporte</t>
        </is>
      </c>
      <c r="D202" t="inlineStr">
        <is>
          <t>2408</t>
        </is>
      </c>
      <c r="E202" t="inlineStr">
        <is>
          <t>Prestación de servicios de transporte público de pasajeros</t>
        </is>
      </c>
      <c r="F202" t="inlineStr">
        <is>
          <t>2408005</t>
        </is>
      </c>
      <c r="G202" t="inlineStr">
        <is>
          <t>Vías urbanas construidas para la operación del servicio público de transporte organizado</t>
        </is>
      </c>
      <c r="H202" t="inlineStr">
        <is>
          <t>240800500</t>
        </is>
      </c>
      <c r="I202" t="inlineStr">
        <is>
          <t xml:space="preserve">Vías urbanas construidas </t>
        </is>
      </c>
      <c r="J202" t="inlineStr">
        <is>
          <t>2024254860041</t>
        </is>
      </c>
      <c r="K202" t="inlineStr">
        <is>
          <t>Si</t>
        </is>
      </c>
      <c r="L202" t="inlineStr">
        <is>
          <t>Metros lineales</t>
        </is>
      </c>
      <c r="M202">
        <v>10000</v>
      </c>
      <c r="N202">
        <v>0</v>
      </c>
      <c r="O202">
        <v>0</v>
      </c>
      <c r="P202">
        <v>5000</v>
      </c>
      <c r="Q202">
        <v>5000</v>
      </c>
      <c r="R202" t="inlineStr">
        <is>
          <t xml:space="preserve"> </t>
        </is>
      </c>
      <c r="S202" s="103" t="inlineStr">
        <is>
          <t xml:space="preserve"> </t>
        </is>
      </c>
      <c r="T202" t="inlineStr">
        <is>
          <t>No se encontró ejecución en PIIP</t>
        </is>
      </c>
      <c r="U202" t="inlineStr">
        <is>
          <t xml:space="preserve"> </t>
        </is>
      </c>
      <c r="V202" s="104" t="inlineStr">
        <is>
          <t xml:space="preserve"> </t>
        </is>
      </c>
      <c r="W202" t="inlineStr">
        <is>
          <t>No se encontró ejecución en PIIP</t>
        </is>
      </c>
    </row>
    <row r="203">
      <c r="A203" t="inlineStr">
        <is>
          <t>IP-212</t>
        </is>
      </c>
      <c r="B203" t="inlineStr">
        <is>
          <t>24</t>
        </is>
      </c>
      <c r="C203" t="inlineStr">
        <is>
          <t>Transporte</t>
        </is>
      </c>
      <c r="D203" t="inlineStr">
        <is>
          <t>2404</t>
        </is>
      </c>
      <c r="E203" t="inlineStr">
        <is>
          <t>Infraestructura de transporte férreo</t>
        </is>
      </c>
      <c r="F203" t="inlineStr">
        <is>
          <t>2404016</t>
        </is>
      </c>
      <c r="G203" t="inlineStr">
        <is>
          <t>Vía férrea en condiciones de operación</t>
        </is>
      </c>
      <c r="H203" t="inlineStr">
        <is>
          <t>240401600</t>
        </is>
      </c>
      <c r="I203" t="inlineStr">
        <is>
          <t xml:space="preserve">Vía férrea rehabilitada </t>
        </is>
      </c>
      <c r="J203" t="inlineStr">
        <is>
          <t>2024254860040</t>
        </is>
      </c>
      <c r="K203" t="inlineStr">
        <is>
          <t>Si</t>
        </is>
      </c>
      <c r="L203" t="inlineStr">
        <is>
          <t>Kilómetros</t>
        </is>
      </c>
      <c r="M203">
        <v>7</v>
      </c>
      <c r="N203">
        <v>0</v>
      </c>
      <c r="O203">
        <v>1</v>
      </c>
      <c r="P203">
        <v>1</v>
      </c>
      <c r="Q203">
        <v>5</v>
      </c>
      <c r="R203" t="inlineStr">
        <is>
          <t xml:space="preserve"> </t>
        </is>
      </c>
      <c r="S203" s="103" t="inlineStr">
        <is>
          <t xml:space="preserve"> </t>
        </is>
      </c>
      <c r="T203" t="inlineStr">
        <is>
          <t>No se encontró ejecución en PIIP</t>
        </is>
      </c>
      <c r="U203" t="inlineStr">
        <is>
          <t xml:space="preserve"> </t>
        </is>
      </c>
      <c r="V203" s="104" t="inlineStr">
        <is>
          <t xml:space="preserve"> </t>
        </is>
      </c>
      <c r="W203" t="inlineStr">
        <is>
          <t>No se encontró ejecución en PIIP</t>
        </is>
      </c>
    </row>
    <row r="204">
      <c r="A204" t="inlineStr">
        <is>
          <t>IP-213</t>
        </is>
      </c>
      <c r="B204" t="inlineStr">
        <is>
          <t>24</t>
        </is>
      </c>
      <c r="C204" t="inlineStr">
        <is>
          <t>Transporte</t>
        </is>
      </c>
      <c r="D204" t="inlineStr">
        <is>
          <t>2401</t>
        </is>
      </c>
      <c r="E204" t="inlineStr">
        <is>
          <t>Infraestructura red vial primaria</t>
        </is>
      </c>
      <c r="F204" t="inlineStr">
        <is>
          <t>2401009</t>
        </is>
      </c>
      <c r="G204" t="inlineStr">
        <is>
          <t>Nueva calzada construida</t>
        </is>
      </c>
      <c r="H204" t="inlineStr">
        <is>
          <t>240100900</t>
        </is>
      </c>
      <c r="I204" t="inlineStr">
        <is>
          <t xml:space="preserve">Vía primaria mejorada </t>
        </is>
      </c>
      <c r="J204" t="inlineStr">
        <is>
          <t>2024254860039</t>
        </is>
      </c>
      <c r="K204" t="inlineStr">
        <is>
          <t>Si</t>
        </is>
      </c>
      <c r="L204" t="inlineStr">
        <is>
          <t>Kilómetros</t>
        </is>
      </c>
      <c r="M204">
        <v>4</v>
      </c>
      <c r="N204">
        <v>0</v>
      </c>
      <c r="O204">
        <v>1</v>
      </c>
      <c r="P204">
        <v>1</v>
      </c>
      <c r="Q204">
        <v>2</v>
      </c>
      <c r="R204" t="inlineStr">
        <is>
          <t xml:space="preserve"> </t>
        </is>
      </c>
      <c r="S204" s="103" t="inlineStr">
        <is>
          <t xml:space="preserve"> </t>
        </is>
      </c>
      <c r="T204" t="inlineStr">
        <is>
          <t>No se encontró ejecución en PIIP</t>
        </is>
      </c>
      <c r="U204" t="inlineStr">
        <is>
          <t xml:space="preserve"> </t>
        </is>
      </c>
      <c r="V204" s="104" t="inlineStr">
        <is>
          <t xml:space="preserve"> </t>
        </is>
      </c>
      <c r="W204" t="inlineStr">
        <is>
          <t>No se encontró ejecución en PIIP</t>
        </is>
      </c>
    </row>
    <row r="205">
      <c r="A205" t="inlineStr">
        <is>
          <t>IP-214</t>
        </is>
      </c>
      <c r="B205" t="inlineStr">
        <is>
          <t>24</t>
        </is>
      </c>
      <c r="C205" t="inlineStr">
        <is>
          <t>Transporte</t>
        </is>
      </c>
      <c r="D205" t="inlineStr">
        <is>
          <t>2409</t>
        </is>
      </c>
      <c r="E205" t="inlineStr">
        <is>
          <t>Seguridad de transporte</t>
        </is>
      </c>
      <c r="F205" t="inlineStr">
        <is>
          <t>2409009</t>
        </is>
      </c>
      <c r="G205" t="inlineStr">
        <is>
          <t>Servicio de promoción y difusión para la seguridad de transporte</t>
        </is>
      </c>
      <c r="H205" t="inlineStr">
        <is>
          <t>240900900</t>
        </is>
      </c>
      <c r="I205" t="inlineStr">
        <is>
          <t>Estrategias implementadas</t>
        </is>
      </c>
      <c r="J205" t="inlineStr">
        <is>
          <t>2024254860042</t>
        </is>
      </c>
      <c r="K205" t="inlineStr">
        <is>
          <t>No</t>
        </is>
      </c>
      <c r="L205" t="inlineStr">
        <is>
          <t>Número</t>
        </is>
      </c>
      <c r="M205">
        <v>1</v>
      </c>
      <c r="N205">
        <v>1</v>
      </c>
      <c r="O205">
        <v>1</v>
      </c>
      <c r="P205">
        <v>0</v>
      </c>
      <c r="Q205">
        <v>0</v>
      </c>
      <c r="R205" t="inlineStr">
        <is>
          <t xml:space="preserve"> </t>
        </is>
      </c>
      <c r="S205" s="103" t="inlineStr">
        <is>
          <t xml:space="preserve"> </t>
        </is>
      </c>
      <c r="T205" t="inlineStr">
        <is>
          <t>No se encontró ejecución en PIIP</t>
        </is>
      </c>
      <c r="U205" t="inlineStr">
        <is>
          <t xml:space="preserve"> </t>
        </is>
      </c>
      <c r="V205" s="104" t="inlineStr">
        <is>
          <t xml:space="preserve"> </t>
        </is>
      </c>
      <c r="W205" t="inlineStr">
        <is>
          <t>No se encontró ejecución en PIIP</t>
        </is>
      </c>
    </row>
    <row r="206">
      <c r="A206" t="inlineStr">
        <is>
          <t>IP-215</t>
        </is>
      </c>
      <c r="B206" t="inlineStr">
        <is>
          <t>24</t>
        </is>
      </c>
      <c r="C206" t="inlineStr">
        <is>
          <t>Transporte</t>
        </is>
      </c>
      <c r="D206" t="inlineStr">
        <is>
          <t>2402</t>
        </is>
      </c>
      <c r="E206" t="inlineStr">
        <is>
          <t>Infraestructura red vial regional</t>
        </is>
      </c>
      <c r="F206" t="inlineStr">
        <is>
          <t>2402018</t>
        </is>
      </c>
      <c r="G206" t="inlineStr">
        <is>
          <t>Vía secundaria rehabilitada</t>
        </is>
      </c>
      <c r="H206" t="inlineStr">
        <is>
          <t>240201800</t>
        </is>
      </c>
      <c r="I206" t="inlineStr">
        <is>
          <t xml:space="preserve">Vía secundaria rehabilitada </t>
        </is>
      </c>
      <c r="J206" t="inlineStr">
        <is>
          <t>2024254860038</t>
        </is>
      </c>
      <c r="K206" t="inlineStr">
        <is>
          <t>Si</t>
        </is>
      </c>
      <c r="L206" t="inlineStr">
        <is>
          <t>Kilómetros</t>
        </is>
      </c>
      <c r="M206">
        <v>1</v>
      </c>
      <c r="N206">
        <v>0</v>
      </c>
      <c r="O206">
        <v>0</v>
      </c>
      <c r="P206">
        <v>0</v>
      </c>
      <c r="Q206">
        <v>1</v>
      </c>
      <c r="R206" t="inlineStr">
        <is>
          <t xml:space="preserve"> </t>
        </is>
      </c>
      <c r="S206" s="103" t="inlineStr">
        <is>
          <t xml:space="preserve"> </t>
        </is>
      </c>
      <c r="T206" t="inlineStr">
        <is>
          <t>No se encontró ejecución en PIIP</t>
        </is>
      </c>
      <c r="U206" t="inlineStr">
        <is>
          <t xml:space="preserve"> </t>
        </is>
      </c>
      <c r="V206" s="104" t="inlineStr">
        <is>
          <t xml:space="preserve"> </t>
        </is>
      </c>
      <c r="W206" t="inlineStr">
        <is>
          <t>No se encontró ejecución en PIIP</t>
        </is>
      </c>
    </row>
    <row r="207">
      <c r="A207" t="inlineStr">
        <is>
          <t>IP-216</t>
        </is>
      </c>
      <c r="B207" t="inlineStr">
        <is>
          <t>24</t>
        </is>
      </c>
      <c r="C207" t="inlineStr">
        <is>
          <t>Transporte</t>
        </is>
      </c>
      <c r="D207" t="inlineStr">
        <is>
          <t>2409</t>
        </is>
      </c>
      <c r="E207" t="inlineStr">
        <is>
          <t>Seguridad de transporte</t>
        </is>
      </c>
      <c r="F207" t="inlineStr">
        <is>
          <t>2409008</t>
        </is>
      </c>
      <c r="G207" t="inlineStr">
        <is>
          <t>Documentos de lineamientos técnicos</t>
        </is>
      </c>
      <c r="H207" t="inlineStr">
        <is>
          <t>240900801</t>
        </is>
      </c>
      <c r="I207" t="inlineStr">
        <is>
          <t>Documentos de lineamientos técnicos en temas de seguridad de transporte formulados</t>
        </is>
      </c>
      <c r="J207" t="inlineStr">
        <is>
          <t>2024254860042</t>
        </is>
      </c>
      <c r="K207" t="inlineStr">
        <is>
          <t>No</t>
        </is>
      </c>
      <c r="L207" t="inlineStr">
        <is>
          <t>Número</t>
        </is>
      </c>
      <c r="M207">
        <v>1</v>
      </c>
      <c r="N207">
        <v>0</v>
      </c>
      <c r="O207">
        <v>1</v>
      </c>
      <c r="P207">
        <v>1</v>
      </c>
      <c r="Q207">
        <v>1</v>
      </c>
      <c r="R207" t="inlineStr">
        <is>
          <t xml:space="preserve"> </t>
        </is>
      </c>
      <c r="S207" s="103" t="inlineStr">
        <is>
          <t xml:space="preserve"> </t>
        </is>
      </c>
      <c r="T207" t="inlineStr">
        <is>
          <t>No se encontró ejecución en PIIP</t>
        </is>
      </c>
      <c r="U207" t="inlineStr">
        <is>
          <t xml:space="preserve"> </t>
        </is>
      </c>
      <c r="V207" s="104" t="inlineStr">
        <is>
          <t xml:space="preserve"> </t>
        </is>
      </c>
      <c r="W207" t="inlineStr">
        <is>
          <t>No se encontró ejecución en PIIP</t>
        </is>
      </c>
    </row>
    <row r="208">
      <c r="A208" t="inlineStr">
        <is>
          <t>IP-217</t>
        </is>
      </c>
      <c r="B208" t="inlineStr">
        <is>
          <t>04</t>
        </is>
      </c>
      <c r="C208" t="inlineStr">
        <is>
          <t>Información Estadística</t>
        </is>
      </c>
      <c r="D208" t="inlineStr">
        <is>
          <t>0406</t>
        </is>
      </c>
      <c r="E208" t="inlineStr">
        <is>
          <t>Generación de la información geográfica del territorio nacional</t>
        </is>
      </c>
      <c r="F208" t="inlineStr">
        <is>
          <t>0406004</t>
        </is>
      </c>
      <c r="G208" t="inlineStr">
        <is>
          <t>Servicio de información catastral actualizado</t>
        </is>
      </c>
      <c r="H208" t="inlineStr">
        <is>
          <t>040600401</t>
        </is>
      </c>
      <c r="I208" t="inlineStr">
        <is>
          <t>Base catastral alfanumérica actualizada</t>
        </is>
      </c>
      <c r="J208" t="inlineStr">
        <is>
          <t>2024254860049</t>
        </is>
      </c>
      <c r="K208" t="inlineStr">
        <is>
          <t>No</t>
        </is>
      </c>
      <c r="L208" t="inlineStr">
        <is>
          <t>Número</t>
        </is>
      </c>
      <c r="M208">
        <v>1</v>
      </c>
      <c r="N208">
        <v>0</v>
      </c>
      <c r="O208">
        <v>0</v>
      </c>
      <c r="P208">
        <v>1</v>
      </c>
      <c r="Q208">
        <v>1</v>
      </c>
      <c r="R208" t="inlineStr">
        <is>
          <t xml:space="preserve"> </t>
        </is>
      </c>
      <c r="S208" s="103" t="inlineStr">
        <is>
          <t xml:space="preserve"> </t>
        </is>
      </c>
      <c r="T208" t="inlineStr">
        <is>
          <t>No se encontró ejecución en PIIP</t>
        </is>
      </c>
      <c r="U208" t="inlineStr">
        <is>
          <t xml:space="preserve"> </t>
        </is>
      </c>
      <c r="V208" s="104" t="inlineStr">
        <is>
          <t xml:space="preserve"> </t>
        </is>
      </c>
      <c r="W208" t="inlineStr">
        <is>
          <t>No se encontró ejecución en PIIP</t>
        </is>
      </c>
    </row>
    <row r="209">
      <c r="A209" t="inlineStr">
        <is>
          <t>IP-218</t>
        </is>
      </c>
      <c r="B209" t="inlineStr">
        <is>
          <t>24</t>
        </is>
      </c>
      <c r="C209" t="inlineStr">
        <is>
          <t>Transporte</t>
        </is>
      </c>
      <c r="D209" t="inlineStr">
        <is>
          <t>2408</t>
        </is>
      </c>
      <c r="E209" t="inlineStr">
        <is>
          <t>Prestación de servicios de transporte público de pasajeros</t>
        </is>
      </c>
      <c r="F209" t="inlineStr">
        <is>
          <t>2408038</t>
        </is>
      </c>
      <c r="G209" t="inlineStr">
        <is>
          <t>Servicio de seguridad vial y prevenciones de accidentalidad y siniestros en los sistemas de transporte público organizado</t>
        </is>
      </c>
      <c r="H209" t="inlineStr">
        <is>
          <t>240803800</t>
        </is>
      </c>
      <c r="I209" t="inlineStr">
        <is>
          <t>Estrategias de seguridad vial implementadas</t>
        </is>
      </c>
      <c r="J209" t="inlineStr">
        <is>
          <t>2024254860041</t>
        </is>
      </c>
      <c r="K209" t="inlineStr">
        <is>
          <t>No</t>
        </is>
      </c>
      <c r="L209" t="inlineStr">
        <is>
          <t>Número</t>
        </is>
      </c>
      <c r="M209">
        <v>1</v>
      </c>
      <c r="N209">
        <v>0</v>
      </c>
      <c r="O209">
        <v>1</v>
      </c>
      <c r="P209">
        <v>1</v>
      </c>
      <c r="Q209">
        <v>1</v>
      </c>
      <c r="R209" t="inlineStr">
        <is>
          <t xml:space="preserve"> </t>
        </is>
      </c>
      <c r="S209" s="103" t="inlineStr">
        <is>
          <t xml:space="preserve"> </t>
        </is>
      </c>
      <c r="T209" t="inlineStr">
        <is>
          <t>No se encontró ejecución en PIIP</t>
        </is>
      </c>
      <c r="U209" t="inlineStr">
        <is>
          <t xml:space="preserve"> </t>
        </is>
      </c>
      <c r="V209" s="104" t="inlineStr">
        <is>
          <t xml:space="preserve"> </t>
        </is>
      </c>
      <c r="W209" t="inlineStr">
        <is>
          <t>No se encontró ejecución en PIIP</t>
        </is>
      </c>
    </row>
    <row r="210">
      <c r="A210" t="inlineStr">
        <is>
          <t>IP-219</t>
        </is>
      </c>
      <c r="B210" t="inlineStr">
        <is>
          <t>24</t>
        </is>
      </c>
      <c r="C210" t="inlineStr">
        <is>
          <t>Transporte</t>
        </is>
      </c>
      <c r="D210" t="inlineStr">
        <is>
          <t>2408</t>
        </is>
      </c>
      <c r="E210" t="inlineStr">
        <is>
          <t>Prestación de servicios de transporte público de pasajeros</t>
        </is>
      </c>
      <c r="F210" t="inlineStr">
        <is>
          <t>2408029</t>
        </is>
      </c>
      <c r="G210" t="inlineStr">
        <is>
          <t>Andenes de la red urbana construidos</t>
        </is>
      </c>
      <c r="H210" t="inlineStr">
        <is>
          <t>240802900</t>
        </is>
      </c>
      <c r="I210" t="inlineStr">
        <is>
          <t>Andenes construidos</t>
        </is>
      </c>
      <c r="J210" t="inlineStr">
        <is>
          <t>2024254860041</t>
        </is>
      </c>
      <c r="K210" t="inlineStr">
        <is>
          <t>Si</t>
        </is>
      </c>
      <c r="L210" t="inlineStr">
        <is>
          <t>Número</t>
        </is>
      </c>
      <c r="M210">
        <v>3</v>
      </c>
      <c r="N210">
        <v>0</v>
      </c>
      <c r="O210">
        <v>1</v>
      </c>
      <c r="P210">
        <v>1</v>
      </c>
      <c r="Q210">
        <v>1</v>
      </c>
      <c r="R210" t="inlineStr">
        <is>
          <t xml:space="preserve"> </t>
        </is>
      </c>
      <c r="S210" s="103" t="inlineStr">
        <is>
          <t xml:space="preserve"> </t>
        </is>
      </c>
      <c r="T210" t="inlineStr">
        <is>
          <t>No se encontró ejecución en PIIP</t>
        </is>
      </c>
      <c r="U210" t="inlineStr">
        <is>
          <t xml:space="preserve"> </t>
        </is>
      </c>
      <c r="V210" s="104" t="inlineStr">
        <is>
          <t xml:space="preserve"> </t>
        </is>
      </c>
      <c r="W210" t="inlineStr">
        <is>
          <t>No se encontró ejecución en PIIP</t>
        </is>
      </c>
    </row>
    <row r="211">
      <c r="A211" t="inlineStr">
        <is>
          <t>IP-220</t>
        </is>
      </c>
      <c r="B211" t="inlineStr">
        <is>
          <t>24</t>
        </is>
      </c>
      <c r="C211" t="inlineStr">
        <is>
          <t>Transporte</t>
        </is>
      </c>
      <c r="D211" t="inlineStr">
        <is>
          <t>2409</t>
        </is>
      </c>
      <c r="E211" t="inlineStr">
        <is>
          <t>Seguridad de transporte</t>
        </is>
      </c>
      <c r="F211" t="inlineStr">
        <is>
          <t>2409063</t>
        </is>
      </c>
      <c r="G211" t="inlineStr">
        <is>
          <t>Servicio de educación informal</t>
        </is>
      </c>
      <c r="H211" t="inlineStr">
        <is>
          <t>240906300</t>
        </is>
      </c>
      <c r="I211" t="inlineStr">
        <is>
          <t>Estrategias implementadas</t>
        </is>
      </c>
      <c r="J211" t="inlineStr">
        <is>
          <t>2024254860042</t>
        </is>
      </c>
      <c r="K211" t="inlineStr">
        <is>
          <t>Si</t>
        </is>
      </c>
      <c r="L211" t="inlineStr">
        <is>
          <t>Número</t>
        </is>
      </c>
      <c r="M211">
        <v>3</v>
      </c>
      <c r="N211">
        <v>0</v>
      </c>
      <c r="O211">
        <v>1</v>
      </c>
      <c r="P211">
        <v>1</v>
      </c>
      <c r="Q211">
        <v>1</v>
      </c>
      <c r="R211" t="inlineStr">
        <is>
          <t xml:space="preserve"> </t>
        </is>
      </c>
      <c r="S211" s="103" t="inlineStr">
        <is>
          <t xml:space="preserve"> </t>
        </is>
      </c>
      <c r="T211" t="inlineStr">
        <is>
          <t>No se encontró ejecución en PIIP</t>
        </is>
      </c>
      <c r="U211" t="inlineStr">
        <is>
          <t xml:space="preserve"> </t>
        </is>
      </c>
      <c r="V211" s="104" t="inlineStr">
        <is>
          <t xml:space="preserve"> </t>
        </is>
      </c>
      <c r="W211" t="inlineStr">
        <is>
          <t>No se encontró ejecución en PIIP</t>
        </is>
      </c>
    </row>
    <row r="212">
      <c r="A212" t="inlineStr">
        <is>
          <t>IP-221</t>
        </is>
      </c>
      <c r="B212" t="inlineStr">
        <is>
          <t>24</t>
        </is>
      </c>
      <c r="C212" t="inlineStr">
        <is>
          <t>Transporte</t>
        </is>
      </c>
      <c r="D212" t="inlineStr">
        <is>
          <t>2402</t>
        </is>
      </c>
      <c r="E212" t="inlineStr">
        <is>
          <t>Infraestructura red vial regional</t>
        </is>
      </c>
      <c r="F212" t="inlineStr">
        <is>
          <t>2402105</t>
        </is>
      </c>
      <c r="G212" t="inlineStr">
        <is>
          <t>Documentos de lineamientos técnicos</t>
        </is>
      </c>
      <c r="H212" t="inlineStr">
        <is>
          <t>240210500</t>
        </is>
      </c>
      <c r="I212" t="inlineStr">
        <is>
          <t>Documentos de lineamientos técnicos realizados</t>
        </is>
      </c>
      <c r="J212" t="inlineStr">
        <is>
          <t>2024254860038</t>
        </is>
      </c>
      <c r="K212" t="inlineStr">
        <is>
          <t>No</t>
        </is>
      </c>
      <c r="L212" t="inlineStr">
        <is>
          <t>Número</t>
        </is>
      </c>
      <c r="M212">
        <v>1</v>
      </c>
      <c r="N212">
        <v>0</v>
      </c>
      <c r="O212">
        <v>1</v>
      </c>
      <c r="P212">
        <v>1</v>
      </c>
      <c r="Q212">
        <v>1</v>
      </c>
      <c r="R212" t="inlineStr">
        <is>
          <t xml:space="preserve"> </t>
        </is>
      </c>
      <c r="S212" s="103" t="inlineStr">
        <is>
          <t xml:space="preserve"> </t>
        </is>
      </c>
      <c r="T212" t="inlineStr">
        <is>
          <t>No se encontró ejecución en PIIP</t>
        </is>
      </c>
      <c r="U212" t="inlineStr">
        <is>
          <t xml:space="preserve"> </t>
        </is>
      </c>
      <c r="V212" s="104" t="inlineStr">
        <is>
          <t xml:space="preserve"> </t>
        </is>
      </c>
      <c r="W212" t="inlineStr">
        <is>
          <t>No se encontró ejecución en PIIP</t>
        </is>
      </c>
    </row>
    <row r="213">
      <c r="A213" t="inlineStr">
        <is>
          <t>IP-222</t>
        </is>
      </c>
      <c r="B213" t="inlineStr">
        <is>
          <t>21</t>
        </is>
      </c>
      <c r="C213" t="inlineStr">
        <is>
          <t>Minas y Energía</t>
        </is>
      </c>
      <c r="D213" t="inlineStr">
        <is>
          <t>2102</t>
        </is>
      </c>
      <c r="E213" t="inlineStr">
        <is>
          <t>Consolidación productiva del sector de energía eléctrica</t>
        </is>
      </c>
      <c r="F213" t="inlineStr">
        <is>
          <t>2102010</t>
        </is>
      </c>
      <c r="G213" t="inlineStr">
        <is>
          <t>Redes de alumbrado público ampliadas</t>
        </is>
      </c>
      <c r="H213" t="inlineStr">
        <is>
          <t>210201000</t>
        </is>
      </c>
      <c r="I213" t="inlineStr">
        <is>
          <t>Redes de alumbrado público ampliadas</t>
        </is>
      </c>
      <c r="J213" t="inlineStr">
        <is>
          <t>2024254860043</t>
        </is>
      </c>
      <c r="K213" t="inlineStr">
        <is>
          <t>Si</t>
        </is>
      </c>
      <c r="L213" t="inlineStr">
        <is>
          <t xml:space="preserve">Metros </t>
        </is>
      </c>
      <c r="M213">
        <v>300</v>
      </c>
      <c r="N213">
        <v>0</v>
      </c>
      <c r="O213">
        <v>100</v>
      </c>
      <c r="P213">
        <v>100</v>
      </c>
      <c r="Q213">
        <v>100</v>
      </c>
      <c r="R213" t="inlineStr">
        <is>
          <t xml:space="preserve"> </t>
        </is>
      </c>
      <c r="S213" s="103" t="inlineStr">
        <is>
          <t xml:space="preserve"> </t>
        </is>
      </c>
      <c r="T213" t="inlineStr">
        <is>
          <t>No se encontró ejecución en PIIP</t>
        </is>
      </c>
      <c r="U213" t="inlineStr">
        <is>
          <t xml:space="preserve"> </t>
        </is>
      </c>
      <c r="V213" s="104" t="inlineStr">
        <is>
          <t xml:space="preserve"> </t>
        </is>
      </c>
      <c r="W213" t="inlineStr">
        <is>
          <t>No se encontró ejecución en PIIP</t>
        </is>
      </c>
    </row>
    <row r="214">
      <c r="A214" t="inlineStr">
        <is>
          <t>IP-223, IP-225</t>
        </is>
      </c>
      <c r="B214" t="inlineStr">
        <is>
          <t>21</t>
        </is>
      </c>
      <c r="C214" t="inlineStr">
        <is>
          <t>Minas y Energía</t>
        </is>
      </c>
      <c r="D214" t="inlineStr">
        <is>
          <t>2102</t>
        </is>
      </c>
      <c r="E214" t="inlineStr">
        <is>
          <t>Consolidación productiva del sector de energía eléctrica</t>
        </is>
      </c>
      <c r="F214" t="inlineStr">
        <is>
          <t>2102069</t>
        </is>
      </c>
      <c r="G214" t="inlineStr">
        <is>
          <t>Servicio de alumbrado público</t>
        </is>
      </c>
      <c r="H214" t="inlineStr">
        <is>
          <t>210206900</t>
        </is>
      </c>
      <c r="I214" t="inlineStr">
        <is>
          <t>Lámparas de alumbrado público en funcionamiento</t>
        </is>
      </c>
      <c r="J214" t="inlineStr">
        <is>
          <t>2024254860043</t>
        </is>
      </c>
      <c r="K214" t="inlineStr">
        <is>
          <t>No</t>
        </is>
      </c>
      <c r="L214" t="inlineStr">
        <is>
          <t>Número</t>
        </is>
      </c>
      <c r="M214">
        <v>5087</v>
      </c>
      <c r="N214">
        <v>5087</v>
      </c>
      <c r="O214">
        <v>5087</v>
      </c>
      <c r="P214">
        <v>5087</v>
      </c>
      <c r="Q214">
        <v>5087</v>
      </c>
      <c r="R214" t="inlineStr">
        <is>
          <t xml:space="preserve"> </t>
        </is>
      </c>
      <c r="S214" s="103" t="inlineStr">
        <is>
          <t xml:space="preserve"> </t>
        </is>
      </c>
      <c r="T214" t="inlineStr">
        <is>
          <t>No se encontró ejecución en PIIP</t>
        </is>
      </c>
      <c r="U214" t="inlineStr">
        <is>
          <t xml:space="preserve"> </t>
        </is>
      </c>
      <c r="V214" s="104" t="inlineStr">
        <is>
          <t xml:space="preserve"> </t>
        </is>
      </c>
      <c r="W214" t="inlineStr">
        <is>
          <t>No se encontró ejecución en PIIP</t>
        </is>
      </c>
    </row>
    <row r="215">
      <c r="A215" t="inlineStr">
        <is>
          <t>IP-224</t>
        </is>
      </c>
      <c r="B215" t="inlineStr">
        <is>
          <t>21</t>
        </is>
      </c>
      <c r="C215" t="inlineStr">
        <is>
          <t>Minas y Energía</t>
        </is>
      </c>
      <c r="D215" t="inlineStr">
        <is>
          <t>2102</t>
        </is>
      </c>
      <c r="E215" t="inlineStr">
        <is>
          <t>Consolidación productiva del sector de energía eléctrica</t>
        </is>
      </c>
      <c r="F215" t="inlineStr">
        <is>
          <t>2102070</t>
        </is>
      </c>
      <c r="G215" t="inlineStr">
        <is>
          <t>Servicio de apoyo financiero a soluciones energéticas</t>
        </is>
      </c>
      <c r="H215" t="inlineStr">
        <is>
          <t>210207000</t>
        </is>
      </c>
      <c r="I215" t="inlineStr">
        <is>
          <t>Usuarios beneficiados con soluciones energéticas</t>
        </is>
      </c>
      <c r="J215" t="inlineStr">
        <is>
          <t>2024254860043</t>
        </is>
      </c>
      <c r="K215" t="inlineStr">
        <is>
          <t>No</t>
        </is>
      </c>
      <c r="L215" t="inlineStr">
        <is>
          <t>Número</t>
        </is>
      </c>
      <c r="M215">
        <v>16093</v>
      </c>
      <c r="N215">
        <v>16093</v>
      </c>
      <c r="O215">
        <v>16093</v>
      </c>
      <c r="P215">
        <v>16093</v>
      </c>
      <c r="Q215">
        <v>16093</v>
      </c>
      <c r="R215" t="inlineStr">
        <is>
          <t xml:space="preserve"> </t>
        </is>
      </c>
      <c r="S215" s="103" t="inlineStr">
        <is>
          <t xml:space="preserve"> </t>
        </is>
      </c>
      <c r="T215" t="inlineStr">
        <is>
          <t>No se encontró ejecución en PIIP</t>
        </is>
      </c>
      <c r="U215" t="inlineStr">
        <is>
          <t xml:space="preserve"> </t>
        </is>
      </c>
      <c r="V215" s="104" t="inlineStr">
        <is>
          <t xml:space="preserve"> </t>
        </is>
      </c>
      <c r="W215" t="inlineStr">
        <is>
          <t>No se encontró ejecución en PIIP</t>
        </is>
      </c>
    </row>
    <row r="216">
      <c r="A216" t="inlineStr">
        <is>
          <t>IP-226</t>
        </is>
      </c>
      <c r="B216" t="inlineStr">
        <is>
          <t>21</t>
        </is>
      </c>
      <c r="C216" t="inlineStr">
        <is>
          <t>Minas y Energía</t>
        </is>
      </c>
      <c r="D216" t="inlineStr">
        <is>
          <t>2102</t>
        </is>
      </c>
      <c r="E216" t="inlineStr">
        <is>
          <t>Consolidación productiva del sector de energía eléctrica</t>
        </is>
      </c>
      <c r="F216" t="inlineStr">
        <is>
          <t>2102058</t>
        </is>
      </c>
      <c r="G216" t="inlineStr">
        <is>
          <t>Unidades de generación fotovoltaica de energía eléctrica instaladas</t>
        </is>
      </c>
      <c r="H216" t="inlineStr">
        <is>
          <t>210205800</t>
        </is>
      </c>
      <c r="I216" t="inlineStr">
        <is>
          <t>Unidades de generación fotovoltaica de energía eléctrica instaladas</t>
        </is>
      </c>
      <c r="J216" t="inlineStr">
        <is>
          <t>2024254860043</t>
        </is>
      </c>
      <c r="K216" t="inlineStr">
        <is>
          <t>No</t>
        </is>
      </c>
      <c r="L216" t="inlineStr">
        <is>
          <t>Número</t>
        </is>
      </c>
      <c r="M216">
        <v>1</v>
      </c>
      <c r="N216">
        <v>0</v>
      </c>
      <c r="O216">
        <v>0</v>
      </c>
      <c r="P216">
        <v>1</v>
      </c>
      <c r="Q216">
        <v>1</v>
      </c>
      <c r="R216" t="inlineStr">
        <is>
          <t xml:space="preserve"> </t>
        </is>
      </c>
      <c r="S216" s="103" t="inlineStr">
        <is>
          <t xml:space="preserve"> </t>
        </is>
      </c>
      <c r="T216" t="inlineStr">
        <is>
          <t>No se encontró ejecución en PIIP</t>
        </is>
      </c>
      <c r="U216" t="inlineStr">
        <is>
          <t xml:space="preserve"> </t>
        </is>
      </c>
      <c r="V216" s="104" t="inlineStr">
        <is>
          <t xml:space="preserve"> </t>
        </is>
      </c>
      <c r="W216" t="inlineStr">
        <is>
          <t>No se encontró ejecución en PIIP</t>
        </is>
      </c>
    </row>
    <row r="217">
      <c r="A217" t="inlineStr">
        <is>
          <t>IP-227</t>
        </is>
      </c>
      <c r="B217" t="inlineStr">
        <is>
          <t>21</t>
        </is>
      </c>
      <c r="C217" t="inlineStr">
        <is>
          <t>Minas y Energía</t>
        </is>
      </c>
      <c r="D217" t="inlineStr">
        <is>
          <t>2101</t>
        </is>
      </c>
      <c r="E217" t="inlineStr">
        <is>
          <t>Acceso al servicio público domiciliario de gas combustible</t>
        </is>
      </c>
      <c r="F217" t="inlineStr">
        <is>
          <t>2101009</t>
        </is>
      </c>
      <c r="G217" t="inlineStr">
        <is>
          <t>Redes de distribución de gas combustible construidas</t>
        </is>
      </c>
      <c r="H217" t="inlineStr">
        <is>
          <t>210100900</t>
        </is>
      </c>
      <c r="I217" t="inlineStr">
        <is>
          <t>Redes de distribución de gas combustible construidas</t>
        </is>
      </c>
      <c r="J217" t="inlineStr">
        <is>
          <t>2024254860044</t>
        </is>
      </c>
      <c r="K217" t="inlineStr">
        <is>
          <t>Si</t>
        </is>
      </c>
      <c r="L217" t="inlineStr">
        <is>
          <t>Kilómetros</t>
        </is>
      </c>
      <c r="M217">
        <v>2</v>
      </c>
      <c r="N217">
        <v>1</v>
      </c>
      <c r="O217">
        <v>1</v>
      </c>
      <c r="P217">
        <v>0</v>
      </c>
      <c r="Q217">
        <v>0</v>
      </c>
      <c r="R217" t="inlineStr">
        <is>
          <t xml:space="preserve"> </t>
        </is>
      </c>
      <c r="S217" s="103" t="inlineStr">
        <is>
          <t xml:space="preserve"> </t>
        </is>
      </c>
      <c r="T217" t="inlineStr">
        <is>
          <t>No se encontró ejecución en PIIP</t>
        </is>
      </c>
      <c r="U217" t="inlineStr">
        <is>
          <t xml:space="preserve"> </t>
        </is>
      </c>
      <c r="V217" s="104" t="inlineStr">
        <is>
          <t xml:space="preserve"> </t>
        </is>
      </c>
      <c r="W217" t="inlineStr">
        <is>
          <t>No se encontró ejecución en PIIP</t>
        </is>
      </c>
    </row>
    <row r="218">
      <c r="A218" t="inlineStr">
        <is>
          <t>IP-228, IP-229</t>
        </is>
      </c>
      <c r="B218" t="inlineStr">
        <is>
          <t>21</t>
        </is>
      </c>
      <c r="C218" t="inlineStr">
        <is>
          <t>Minas y Energía</t>
        </is>
      </c>
      <c r="D218" t="inlineStr">
        <is>
          <t>2101</t>
        </is>
      </c>
      <c r="E218" t="inlineStr">
        <is>
          <t>Acceso al servicio público domiciliario de gas combustible</t>
        </is>
      </c>
      <c r="F218" t="inlineStr">
        <is>
          <t>2101016</t>
        </is>
      </c>
      <c r="G218" t="inlineStr">
        <is>
          <t>Redes domiciliarias de gas combustible instaladas</t>
        </is>
      </c>
      <c r="H218" t="inlineStr">
        <is>
          <t>210101600</t>
        </is>
      </c>
      <c r="I218" t="inlineStr">
        <is>
          <t>Viviendas conectadas a la red local de gas combustible</t>
        </is>
      </c>
      <c r="J218" t="inlineStr">
        <is>
          <t>2024254860044</t>
        </is>
      </c>
      <c r="K218" t="inlineStr">
        <is>
          <t>Si</t>
        </is>
      </c>
      <c r="L218" t="inlineStr">
        <is>
          <t>Número</t>
        </is>
      </c>
      <c r="M218">
        <v>71</v>
      </c>
      <c r="N218">
        <v>20</v>
      </c>
      <c r="O218">
        <v>25</v>
      </c>
      <c r="P218">
        <v>10</v>
      </c>
      <c r="Q218">
        <v>16</v>
      </c>
      <c r="R218" t="inlineStr">
        <is>
          <t xml:space="preserve"> </t>
        </is>
      </c>
      <c r="S218" s="103" t="inlineStr">
        <is>
          <t xml:space="preserve"> </t>
        </is>
      </c>
      <c r="T218" t="inlineStr">
        <is>
          <t>No se encontró ejecución en PIIP</t>
        </is>
      </c>
      <c r="U218" t="inlineStr">
        <is>
          <t xml:space="preserve"> </t>
        </is>
      </c>
      <c r="V218" s="104" t="inlineStr">
        <is>
          <t xml:space="preserve"> </t>
        </is>
      </c>
      <c r="W218" t="inlineStr">
        <is>
          <t>No se encontró ejecución en PIIP</t>
        </is>
      </c>
    </row>
    <row r="219">
      <c r="A219" t="inlineStr">
        <is>
          <t>IP-230</t>
        </is>
      </c>
      <c r="B219" t="inlineStr">
        <is>
          <t>21</t>
        </is>
      </c>
      <c r="C219" t="inlineStr">
        <is>
          <t>Minas y Energía</t>
        </is>
      </c>
      <c r="D219" t="inlineStr">
        <is>
          <t>2102</t>
        </is>
      </c>
      <c r="E219" t="inlineStr">
        <is>
          <t>Consolidación productiva del sector de energía eléctrica</t>
        </is>
      </c>
      <c r="F219" t="inlineStr">
        <is>
          <t>2102061</t>
        </is>
      </c>
      <c r="G219" t="inlineStr">
        <is>
          <t>Servicio de apoyo financiero para la financiación de infraestructura de energía eléctrica en las zonas rurales interconectadas</t>
        </is>
      </c>
      <c r="H219" t="inlineStr">
        <is>
          <t>210206100</t>
        </is>
      </c>
      <c r="I219" t="inlineStr">
        <is>
          <t>Usuarios beneficiados con la ampliación de cobertura</t>
        </is>
      </c>
      <c r="J219" t="inlineStr">
        <is>
          <t>2024254860043</t>
        </is>
      </c>
      <c r="K219" t="inlineStr">
        <is>
          <t>Si</t>
        </is>
      </c>
      <c r="L219" t="inlineStr">
        <is>
          <t>Número</t>
        </is>
      </c>
      <c r="M219">
        <v>15</v>
      </c>
      <c r="N219">
        <v>0</v>
      </c>
      <c r="O219">
        <v>5</v>
      </c>
      <c r="P219">
        <v>5</v>
      </c>
      <c r="Q219">
        <v>5</v>
      </c>
      <c r="R219" t="inlineStr">
        <is>
          <t xml:space="preserve"> </t>
        </is>
      </c>
      <c r="S219" s="103" t="inlineStr">
        <is>
          <t xml:space="preserve"> </t>
        </is>
      </c>
      <c r="T219" t="inlineStr">
        <is>
          <t>No se encontró ejecución en PIIP</t>
        </is>
      </c>
      <c r="U219" t="inlineStr">
        <is>
          <t xml:space="preserve"> </t>
        </is>
      </c>
      <c r="V219" s="104" t="inlineStr">
        <is>
          <t xml:space="preserve"> </t>
        </is>
      </c>
      <c r="W219" t="inlineStr">
        <is>
          <t>No se encontró ejecución en PIIP</t>
        </is>
      </c>
    </row>
    <row r="220">
      <c r="A220" t="inlineStr">
        <is>
          <t>IP-231</t>
        </is>
      </c>
      <c r="B220" t="inlineStr">
        <is>
          <t>45</t>
        </is>
      </c>
      <c r="C220" t="inlineStr">
        <is>
          <t>Gobierno Territorial</t>
        </is>
      </c>
      <c r="D220" t="inlineStr">
        <is>
          <t>4502</t>
        </is>
      </c>
      <c r="E220" t="inlineStr">
        <is>
          <t>Fortalecimiento del buen gobierno para el respeto y garantía de los derechos humanos.</t>
        </is>
      </c>
      <c r="F220" t="inlineStr">
        <is>
          <t>4502026</t>
        </is>
      </c>
      <c r="G220" t="inlineStr">
        <is>
          <t>Documentos normativos</t>
        </is>
      </c>
      <c r="H220" t="inlineStr">
        <is>
          <t>450202600</t>
        </is>
      </c>
      <c r="I220" t="inlineStr">
        <is>
          <t>Documentos normativos realizados</t>
        </is>
      </c>
      <c r="J220" t="inlineStr">
        <is>
          <t>2024254860045</t>
        </is>
      </c>
      <c r="K220" t="inlineStr">
        <is>
          <t>No</t>
        </is>
      </c>
      <c r="L220" t="inlineStr">
        <is>
          <t>Número</t>
        </is>
      </c>
      <c r="M220">
        <v>1</v>
      </c>
      <c r="N220">
        <v>0</v>
      </c>
      <c r="O220">
        <v>1</v>
      </c>
      <c r="P220">
        <v>0</v>
      </c>
      <c r="Q220">
        <v>0</v>
      </c>
      <c r="R220" t="inlineStr">
        <is>
          <t xml:space="preserve"> </t>
        </is>
      </c>
      <c r="S220" s="103" t="inlineStr">
        <is>
          <t xml:space="preserve"> </t>
        </is>
      </c>
      <c r="T220" t="inlineStr">
        <is>
          <t>No se encontró ejecución en PIIP</t>
        </is>
      </c>
      <c r="U220" t="inlineStr">
        <is>
          <t xml:space="preserve"> </t>
        </is>
      </c>
      <c r="V220" s="104" t="inlineStr">
        <is>
          <t xml:space="preserve"> </t>
        </is>
      </c>
      <c r="W220" t="inlineStr">
        <is>
          <t>No se encontró ejecución en PIIP</t>
        </is>
      </c>
    </row>
    <row r="221">
      <c r="A221" t="inlineStr">
        <is>
          <t>IP-232</t>
        </is>
      </c>
      <c r="B221" t="inlineStr">
        <is>
          <t>45</t>
        </is>
      </c>
      <c r="C221" t="inlineStr">
        <is>
          <t>Gobierno Territorial</t>
        </is>
      </c>
      <c r="D221" t="inlineStr">
        <is>
          <t>4599</t>
        </is>
      </c>
      <c r="E221" t="inlineStr">
        <is>
          <t>Fortalecimiento a la gestión y dirección de la administración pública territorial</t>
        </is>
      </c>
      <c r="F221" t="inlineStr">
        <is>
          <t>4599006</t>
        </is>
      </c>
      <c r="G221" t="inlineStr">
        <is>
          <t>Estudios de preinversión</t>
        </is>
      </c>
      <c r="H221" t="inlineStr">
        <is>
          <t>459900600</t>
        </is>
      </c>
      <c r="I221" t="inlineStr">
        <is>
          <t>Estudios de preinversión elaborados</t>
        </is>
      </c>
      <c r="J221" t="inlineStr">
        <is>
          <t>2024254860045</t>
        </is>
      </c>
      <c r="K221" t="inlineStr">
        <is>
          <t>Si</t>
        </is>
      </c>
      <c r="L221" t="inlineStr">
        <is>
          <t>Número</t>
        </is>
      </c>
      <c r="M221">
        <v>4</v>
      </c>
      <c r="N221">
        <v>0</v>
      </c>
      <c r="O221">
        <v>4</v>
      </c>
      <c r="P221">
        <v>0</v>
      </c>
      <c r="Q221">
        <v>0</v>
      </c>
      <c r="R221" t="inlineStr">
        <is>
          <t xml:space="preserve"> </t>
        </is>
      </c>
      <c r="S221" s="103" t="inlineStr">
        <is>
          <t xml:space="preserve"> </t>
        </is>
      </c>
      <c r="T221" t="inlineStr">
        <is>
          <t>No se encontró ejecución en PIIP</t>
        </is>
      </c>
      <c r="U221" t="inlineStr">
        <is>
          <t xml:space="preserve"> </t>
        </is>
      </c>
      <c r="V221" s="104" t="inlineStr">
        <is>
          <t xml:space="preserve"> </t>
        </is>
      </c>
      <c r="W221" t="inlineStr">
        <is>
          <t>No se encontró ejecución en PIIP</t>
        </is>
      </c>
    </row>
    <row r="222">
      <c r="A222" t="inlineStr">
        <is>
          <t>IP-233</t>
        </is>
      </c>
      <c r="B222" t="inlineStr">
        <is>
          <t>45</t>
        </is>
      </c>
      <c r="C222" t="inlineStr">
        <is>
          <t>Gobierno Territorial</t>
        </is>
      </c>
      <c r="D222" t="inlineStr">
        <is>
          <t>4599</t>
        </is>
      </c>
      <c r="E222" t="inlineStr">
        <is>
          <t>Fortalecimiento a la gestión y dirección de la administración pública territorial</t>
        </is>
      </c>
      <c r="F222" t="inlineStr">
        <is>
          <t>4599019</t>
        </is>
      </c>
      <c r="G222" t="inlineStr">
        <is>
          <t>Documentos de planeación</t>
        </is>
      </c>
      <c r="H222" t="inlineStr">
        <is>
          <t>459901902</t>
        </is>
      </c>
      <c r="I222" t="inlineStr">
        <is>
          <t>Documentos de planeación con seguimiento realizado</t>
        </is>
      </c>
      <c r="J222" t="inlineStr">
        <is>
          <t>2024254860045</t>
        </is>
      </c>
      <c r="K222" t="inlineStr">
        <is>
          <t>No</t>
        </is>
      </c>
      <c r="L222" t="inlineStr">
        <is>
          <t>Número</t>
        </is>
      </c>
      <c r="M222">
        <v>7</v>
      </c>
      <c r="N222">
        <v>7</v>
      </c>
      <c r="O222">
        <v>7</v>
      </c>
      <c r="P222">
        <v>7</v>
      </c>
      <c r="Q222">
        <v>7</v>
      </c>
      <c r="R222" t="inlineStr">
        <is>
          <t xml:space="preserve"> </t>
        </is>
      </c>
      <c r="S222" s="103" t="inlineStr">
        <is>
          <t xml:space="preserve"> </t>
        </is>
      </c>
      <c r="T222" t="inlineStr">
        <is>
          <t>No se encontró ejecución en PIIP</t>
        </is>
      </c>
      <c r="U222" t="inlineStr">
        <is>
          <t xml:space="preserve"> </t>
        </is>
      </c>
      <c r="V222" s="104" t="inlineStr">
        <is>
          <t xml:space="preserve"> </t>
        </is>
      </c>
      <c r="W222" t="inlineStr">
        <is>
          <t>No se encontró ejecución en PIIP</t>
        </is>
      </c>
    </row>
    <row r="223">
      <c r="A223" t="inlineStr">
        <is>
          <t>IP-234</t>
        </is>
      </c>
      <c r="B223" t="inlineStr">
        <is>
          <t>45</t>
        </is>
      </c>
      <c r="C223" t="inlineStr">
        <is>
          <t>Gobierno Territorial</t>
        </is>
      </c>
      <c r="D223" t="inlineStr">
        <is>
          <t>4599</t>
        </is>
      </c>
      <c r="E223" t="inlineStr">
        <is>
          <t>Fortalecimiento a la gestión y dirección de la administración pública territorial</t>
        </is>
      </c>
      <c r="F223" t="inlineStr">
        <is>
          <t>4599020</t>
        </is>
      </c>
      <c r="G223" t="inlineStr">
        <is>
          <t>Documentos metodológicos</t>
        </is>
      </c>
      <c r="H223" t="inlineStr">
        <is>
          <t>459902000</t>
        </is>
      </c>
      <c r="I223" t="inlineStr">
        <is>
          <t>Documentos metodológicos realizados</t>
        </is>
      </c>
      <c r="J223" t="inlineStr">
        <is>
          <t>2024254860045</t>
        </is>
      </c>
      <c r="K223" t="inlineStr">
        <is>
          <t>No</t>
        </is>
      </c>
      <c r="L223" t="inlineStr">
        <is>
          <t>Número</t>
        </is>
      </c>
      <c r="M223">
        <v>1</v>
      </c>
      <c r="N223">
        <v>1</v>
      </c>
      <c r="O223">
        <v>1</v>
      </c>
      <c r="P223">
        <v>1</v>
      </c>
      <c r="Q223">
        <v>1</v>
      </c>
      <c r="R223" t="inlineStr">
        <is>
          <t xml:space="preserve"> </t>
        </is>
      </c>
      <c r="S223" s="103" t="inlineStr">
        <is>
          <t xml:space="preserve"> </t>
        </is>
      </c>
      <c r="T223" t="inlineStr">
        <is>
          <t>No se encontró ejecución en PIIP</t>
        </is>
      </c>
      <c r="U223" t="inlineStr">
        <is>
          <t xml:space="preserve"> </t>
        </is>
      </c>
      <c r="V223" s="104" t="inlineStr">
        <is>
          <t xml:space="preserve"> </t>
        </is>
      </c>
      <c r="W223" t="inlineStr">
        <is>
          <t>No se encontró ejecución en PIIP</t>
        </is>
      </c>
    </row>
    <row r="224">
      <c r="A224" t="inlineStr">
        <is>
          <t>IP-235</t>
        </is>
      </c>
      <c r="B224" t="inlineStr">
        <is>
          <t>45</t>
        </is>
      </c>
      <c r="C224" t="inlineStr">
        <is>
          <t>Gobierno Territorial</t>
        </is>
      </c>
      <c r="D224" t="inlineStr">
        <is>
          <t>4599</t>
        </is>
      </c>
      <c r="E224" t="inlineStr">
        <is>
          <t>Fortalecimiento a la gestión y dirección de la administración pública territorial</t>
        </is>
      </c>
      <c r="F224" t="inlineStr">
        <is>
          <t>4599023</t>
        </is>
      </c>
      <c r="G224" t="inlineStr">
        <is>
          <t>Servicio de Implementación Sistemas de Gestión</t>
        </is>
      </c>
      <c r="H224" t="inlineStr">
        <is>
          <t>459902304</t>
        </is>
      </c>
      <c r="I224" t="inlineStr">
        <is>
          <t>Herramientas implementadas</t>
        </is>
      </c>
      <c r="J224" t="inlineStr">
        <is>
          <t>2024254860045</t>
        </is>
      </c>
      <c r="K224" t="inlineStr">
        <is>
          <t>No</t>
        </is>
      </c>
      <c r="L224" t="inlineStr">
        <is>
          <t>Número</t>
        </is>
      </c>
      <c r="M224">
        <v>1</v>
      </c>
      <c r="N224">
        <v>1</v>
      </c>
      <c r="O224">
        <v>1</v>
      </c>
      <c r="P224">
        <v>1</v>
      </c>
      <c r="Q224">
        <v>1</v>
      </c>
      <c r="R224" t="inlineStr">
        <is>
          <t xml:space="preserve"> </t>
        </is>
      </c>
      <c r="S224" s="103" t="inlineStr">
        <is>
          <t xml:space="preserve"> </t>
        </is>
      </c>
      <c r="T224" t="inlineStr">
        <is>
          <t>No se encontró ejecución en PIIP</t>
        </is>
      </c>
      <c r="U224" t="inlineStr">
        <is>
          <t xml:space="preserve"> </t>
        </is>
      </c>
      <c r="V224" s="104" t="inlineStr">
        <is>
          <t xml:space="preserve"> </t>
        </is>
      </c>
      <c r="W224" t="inlineStr">
        <is>
          <t>No se encontró ejecución en PIIP</t>
        </is>
      </c>
    </row>
    <row r="225">
      <c r="A225" t="inlineStr">
        <is>
          <t>IP-236, IP-243</t>
        </is>
      </c>
      <c r="B225" t="inlineStr">
        <is>
          <t>45</t>
        </is>
      </c>
      <c r="C225" t="inlineStr">
        <is>
          <t>Gobierno Territorial</t>
        </is>
      </c>
      <c r="D225" t="inlineStr">
        <is>
          <t>4599</t>
        </is>
      </c>
      <c r="E225" t="inlineStr">
        <is>
          <t>Fortalecimiento a la gestión y dirección de la administración pública territorial</t>
        </is>
      </c>
      <c r="F225" t="inlineStr">
        <is>
          <t>4599029</t>
        </is>
      </c>
      <c r="G225" t="inlineStr">
        <is>
          <t>Servicio de integración de la oferta pública</t>
        </is>
      </c>
      <c r="H225" t="inlineStr">
        <is>
          <t>459902900</t>
        </is>
      </c>
      <c r="I225" t="inlineStr">
        <is>
          <t>Espacios de integración de oferta pública generados</t>
        </is>
      </c>
      <c r="J225" t="inlineStr">
        <is>
          <t>2024254860045</t>
        </is>
      </c>
      <c r="K225" t="inlineStr">
        <is>
          <t>No</t>
        </is>
      </c>
      <c r="L225" t="inlineStr">
        <is>
          <t>Número</t>
        </is>
      </c>
      <c r="M225">
        <v>3</v>
      </c>
      <c r="N225">
        <v>2</v>
      </c>
      <c r="O225">
        <v>3</v>
      </c>
      <c r="P225">
        <v>3</v>
      </c>
      <c r="Q225">
        <v>3</v>
      </c>
      <c r="R225" t="inlineStr">
        <is>
          <t xml:space="preserve"> </t>
        </is>
      </c>
      <c r="S225" s="103" t="inlineStr">
        <is>
          <t xml:space="preserve"> </t>
        </is>
      </c>
      <c r="T225" t="inlineStr">
        <is>
          <t>No se encontró ejecución en PIIP</t>
        </is>
      </c>
      <c r="U225" t="inlineStr">
        <is>
          <t xml:space="preserve"> </t>
        </is>
      </c>
      <c r="V225" s="104" t="inlineStr">
        <is>
          <t xml:space="preserve"> </t>
        </is>
      </c>
      <c r="W225" t="inlineStr">
        <is>
          <t>No se encontró ejecución en PIIP</t>
        </is>
      </c>
    </row>
    <row r="226">
      <c r="A226" t="inlineStr">
        <is>
          <t>IP-237</t>
        </is>
      </c>
      <c r="B226" t="inlineStr">
        <is>
          <t>45</t>
        </is>
      </c>
      <c r="C226" t="inlineStr">
        <is>
          <t>Gobierno Territorial</t>
        </is>
      </c>
      <c r="D226" t="inlineStr">
        <is>
          <t>4599</t>
        </is>
      </c>
      <c r="E226" t="inlineStr">
        <is>
          <t>Fortalecimiento a la gestión y dirección de la administración pública territorial</t>
        </is>
      </c>
      <c r="F226" t="inlineStr">
        <is>
          <t>4599017</t>
        </is>
      </c>
      <c r="G226" t="inlineStr">
        <is>
          <t>Servicio de gestión documental</t>
        </is>
      </c>
      <c r="H226" t="inlineStr">
        <is>
          <t>459901712</t>
        </is>
      </c>
      <c r="I226" t="inlineStr">
        <is>
          <t>Esquemas para el manejo y organización de documentos e información implementados</t>
        </is>
      </c>
      <c r="J226" t="inlineStr">
        <is>
          <t>2024254860045</t>
        </is>
      </c>
      <c r="K226" t="inlineStr">
        <is>
          <t>No</t>
        </is>
      </c>
      <c r="L226" t="inlineStr">
        <is>
          <t>Número</t>
        </is>
      </c>
      <c r="M226">
        <v>1</v>
      </c>
      <c r="N226">
        <v>1</v>
      </c>
      <c r="O226">
        <v>1</v>
      </c>
      <c r="P226">
        <v>1</v>
      </c>
      <c r="Q226">
        <v>1</v>
      </c>
      <c r="R226" t="inlineStr">
        <is>
          <t xml:space="preserve"> </t>
        </is>
      </c>
      <c r="S226" s="103" t="inlineStr">
        <is>
          <t xml:space="preserve"> </t>
        </is>
      </c>
      <c r="T226" t="inlineStr">
        <is>
          <t>No se encontró ejecución en PIIP</t>
        </is>
      </c>
      <c r="U226" t="inlineStr">
        <is>
          <t xml:space="preserve"> </t>
        </is>
      </c>
      <c r="V226" s="104" t="inlineStr">
        <is>
          <t xml:space="preserve"> </t>
        </is>
      </c>
      <c r="W226" t="inlineStr">
        <is>
          <t>No se encontró ejecución en PIIP</t>
        </is>
      </c>
    </row>
    <row r="227">
      <c r="A227" t="inlineStr">
        <is>
          <t>IP-238</t>
        </is>
      </c>
      <c r="B227" t="inlineStr">
        <is>
          <t>45</t>
        </is>
      </c>
      <c r="C227" t="inlineStr">
        <is>
          <t>Gobierno Territorial</t>
        </is>
      </c>
      <c r="D227" t="inlineStr">
        <is>
          <t>4599</t>
        </is>
      </c>
      <c r="E227" t="inlineStr">
        <is>
          <t>Fortalecimiento a la gestión y dirección de la administración pública territorial</t>
        </is>
      </c>
      <c r="F227" t="inlineStr">
        <is>
          <t>4599017</t>
        </is>
      </c>
      <c r="G227" t="inlineStr">
        <is>
          <t>Servicio de gestión documental</t>
        </is>
      </c>
      <c r="H227" t="inlineStr">
        <is>
          <t>459901700</t>
        </is>
      </c>
      <c r="I227" t="inlineStr">
        <is>
          <t>Sistema de gestión documental implementado</t>
        </is>
      </c>
      <c r="J227" t="inlineStr">
        <is>
          <t>2024254860045</t>
        </is>
      </c>
      <c r="K227" t="inlineStr">
        <is>
          <t>No</t>
        </is>
      </c>
      <c r="L227" t="inlineStr">
        <is>
          <t>Número</t>
        </is>
      </c>
      <c r="M227">
        <v>1</v>
      </c>
      <c r="N227">
        <v>0</v>
      </c>
      <c r="O227">
        <v>1</v>
      </c>
      <c r="P227">
        <v>1</v>
      </c>
      <c r="Q227">
        <v>1</v>
      </c>
      <c r="R227" t="inlineStr">
        <is>
          <t xml:space="preserve"> </t>
        </is>
      </c>
      <c r="S227" s="103" t="inlineStr">
        <is>
          <t xml:space="preserve"> </t>
        </is>
      </c>
      <c r="T227" t="inlineStr">
        <is>
          <t>No se encontró ejecución en PIIP</t>
        </is>
      </c>
      <c r="U227" t="inlineStr">
        <is>
          <t xml:space="preserve"> </t>
        </is>
      </c>
      <c r="V227" s="104" t="inlineStr">
        <is>
          <t xml:space="preserve"> </t>
        </is>
      </c>
      <c r="W227" t="inlineStr">
        <is>
          <t>No se encontró ejecución en PIIP</t>
        </is>
      </c>
    </row>
    <row r="228">
      <c r="A228" t="inlineStr">
        <is>
          <t>IP-239</t>
        </is>
      </c>
      <c r="B228" t="inlineStr">
        <is>
          <t>45</t>
        </is>
      </c>
      <c r="C228" t="inlineStr">
        <is>
          <t>Gobierno Territorial</t>
        </is>
      </c>
      <c r="D228" t="inlineStr">
        <is>
          <t>4599</t>
        </is>
      </c>
      <c r="E228" t="inlineStr">
        <is>
          <t>Fortalecimiento a la gestión y dirección de la administración pública territorial</t>
        </is>
      </c>
      <c r="F228" t="inlineStr">
        <is>
          <t>4599008</t>
        </is>
      </c>
      <c r="G228" t="inlineStr">
        <is>
          <t>Sede construida y dotada</t>
        </is>
      </c>
      <c r="H228" t="inlineStr">
        <is>
          <t>459900802</t>
        </is>
      </c>
      <c r="I228" t="inlineStr">
        <is>
          <t>Sede dotada</t>
        </is>
      </c>
      <c r="J228" t="inlineStr">
        <is>
          <t>2024254860045</t>
        </is>
      </c>
      <c r="K228" t="inlineStr">
        <is>
          <t>No</t>
        </is>
      </c>
      <c r="L228" t="inlineStr">
        <is>
          <t>Número</t>
        </is>
      </c>
      <c r="M228">
        <v>2</v>
      </c>
      <c r="N228">
        <v>0</v>
      </c>
      <c r="O228">
        <v>2</v>
      </c>
      <c r="P228">
        <v>2</v>
      </c>
      <c r="Q228">
        <v>2</v>
      </c>
      <c r="R228" t="inlineStr">
        <is>
          <t xml:space="preserve"> </t>
        </is>
      </c>
      <c r="S228" s="103" t="inlineStr">
        <is>
          <t xml:space="preserve"> </t>
        </is>
      </c>
      <c r="T228" t="inlineStr">
        <is>
          <t>No se encontró ejecución en PIIP</t>
        </is>
      </c>
      <c r="U228" t="inlineStr">
        <is>
          <t xml:space="preserve"> </t>
        </is>
      </c>
      <c r="V228" s="104" t="inlineStr">
        <is>
          <t xml:space="preserve"> </t>
        </is>
      </c>
      <c r="W228" t="inlineStr">
        <is>
          <t>No se encontró ejecución en PIIP</t>
        </is>
      </c>
    </row>
    <row r="229">
      <c r="A229" t="inlineStr">
        <is>
          <t>IP-240</t>
        </is>
      </c>
      <c r="B229" t="inlineStr">
        <is>
          <t>45</t>
        </is>
      </c>
      <c r="C229" t="inlineStr">
        <is>
          <t>Gobierno Territorial</t>
        </is>
      </c>
      <c r="D229" t="inlineStr">
        <is>
          <t>4599</t>
        </is>
      </c>
      <c r="E229" t="inlineStr">
        <is>
          <t>Fortalecimiento a la gestión y dirección de la administración pública territorial</t>
        </is>
      </c>
      <c r="F229" t="inlineStr">
        <is>
          <t>4599016</t>
        </is>
      </c>
      <c r="G229" t="inlineStr">
        <is>
          <t>Sedes mantenidas</t>
        </is>
      </c>
      <c r="H229" t="inlineStr">
        <is>
          <t>459901600</t>
        </is>
      </c>
      <c r="I229" t="inlineStr">
        <is>
          <t>Sedes mantenidas</t>
        </is>
      </c>
      <c r="J229" t="inlineStr">
        <is>
          <t>2024254860045</t>
        </is>
      </c>
      <c r="K229" t="inlineStr">
        <is>
          <t>Si</t>
        </is>
      </c>
      <c r="L229" t="inlineStr">
        <is>
          <t>Número</t>
        </is>
      </c>
      <c r="M229">
        <v>2</v>
      </c>
      <c r="N229">
        <v>1</v>
      </c>
      <c r="O229">
        <v>1</v>
      </c>
      <c r="P229">
        <v>0</v>
      </c>
      <c r="Q229">
        <v>0</v>
      </c>
      <c r="R229" t="inlineStr">
        <is>
          <t xml:space="preserve"> </t>
        </is>
      </c>
      <c r="S229" s="103" t="inlineStr">
        <is>
          <t xml:space="preserve"> </t>
        </is>
      </c>
      <c r="T229" t="inlineStr">
        <is>
          <t>No se encontró ejecución en PIIP</t>
        </is>
      </c>
      <c r="U229" t="inlineStr">
        <is>
          <t xml:space="preserve"> </t>
        </is>
      </c>
      <c r="V229" s="104" t="inlineStr">
        <is>
          <t xml:space="preserve"> </t>
        </is>
      </c>
      <c r="W229" t="inlineStr">
        <is>
          <t>No se encontró ejecución en PIIP</t>
        </is>
      </c>
    </row>
    <row r="230">
      <c r="A230" t="inlineStr">
        <is>
          <t>IP-241</t>
        </is>
      </c>
      <c r="B230" t="inlineStr">
        <is>
          <t>45</t>
        </is>
      </c>
      <c r="C230" t="inlineStr">
        <is>
          <t>Gobierno Territorial</t>
        </is>
      </c>
      <c r="D230" t="inlineStr">
        <is>
          <t>4599</t>
        </is>
      </c>
      <c r="E230" t="inlineStr">
        <is>
          <t>Fortalecimiento a la gestión y dirección de la administración pública territorial</t>
        </is>
      </c>
      <c r="F230" t="inlineStr">
        <is>
          <t>4599025</t>
        </is>
      </c>
      <c r="G230" t="inlineStr">
        <is>
          <t>Servicios de información implementados</t>
        </is>
      </c>
      <c r="H230" t="inlineStr">
        <is>
          <t>459902500</t>
        </is>
      </c>
      <c r="I230" t="inlineStr">
        <is>
          <t>Sistemas de información implementados</t>
        </is>
      </c>
      <c r="J230" t="inlineStr">
        <is>
          <t>2024254860045</t>
        </is>
      </c>
      <c r="K230" t="inlineStr">
        <is>
          <t>Si</t>
        </is>
      </c>
      <c r="L230" t="inlineStr">
        <is>
          <t>Número</t>
        </is>
      </c>
      <c r="M230">
        <v>8</v>
      </c>
      <c r="N230">
        <v>2</v>
      </c>
      <c r="O230">
        <v>2</v>
      </c>
      <c r="P230">
        <v>2</v>
      </c>
      <c r="Q230">
        <v>2</v>
      </c>
      <c r="R230" t="inlineStr">
        <is>
          <t xml:space="preserve"> </t>
        </is>
      </c>
      <c r="S230" s="103" t="inlineStr">
        <is>
          <t xml:space="preserve"> </t>
        </is>
      </c>
      <c r="T230" t="inlineStr">
        <is>
          <t>No se encontró ejecución en PIIP</t>
        </is>
      </c>
      <c r="U230" t="inlineStr">
        <is>
          <t xml:space="preserve"> </t>
        </is>
      </c>
      <c r="V230" s="104" t="inlineStr">
        <is>
          <t xml:space="preserve"> </t>
        </is>
      </c>
      <c r="W230" t="inlineStr">
        <is>
          <t>No se encontró ejecución en PIIP</t>
        </is>
      </c>
    </row>
    <row r="231">
      <c r="A231" t="inlineStr">
        <is>
          <t>IP-242</t>
        </is>
      </c>
      <c r="B231" t="inlineStr">
        <is>
          <t>45</t>
        </is>
      </c>
      <c r="C231" t="inlineStr">
        <is>
          <t>Gobierno Territorial</t>
        </is>
      </c>
      <c r="D231" t="inlineStr">
        <is>
          <t>4599</t>
        </is>
      </c>
      <c r="E231" t="inlineStr">
        <is>
          <t>Fortalecimiento a la gestión y dirección de la administración pública territorial</t>
        </is>
      </c>
      <c r="F231" t="inlineStr">
        <is>
          <t>4599028</t>
        </is>
      </c>
      <c r="G231" t="inlineStr">
        <is>
          <t>Servicio de información actualizado</t>
        </is>
      </c>
      <c r="H231" t="inlineStr">
        <is>
          <t>459902800</t>
        </is>
      </c>
      <c r="I231" t="inlineStr">
        <is>
          <t>Sistemas de información actualizados</t>
        </is>
      </c>
      <c r="J231" t="inlineStr">
        <is>
          <t>2024254860045</t>
        </is>
      </c>
      <c r="K231" t="inlineStr">
        <is>
          <t>No</t>
        </is>
      </c>
      <c r="L231" t="inlineStr">
        <is>
          <t>Número</t>
        </is>
      </c>
      <c r="M231">
        <v>1</v>
      </c>
      <c r="N231">
        <v>1</v>
      </c>
      <c r="O231">
        <v>1</v>
      </c>
      <c r="P231">
        <v>1</v>
      </c>
      <c r="Q231">
        <v>1</v>
      </c>
      <c r="R231" t="inlineStr">
        <is>
          <t xml:space="preserve"> </t>
        </is>
      </c>
      <c r="S231" s="103" t="inlineStr">
        <is>
          <t xml:space="preserve"> </t>
        </is>
      </c>
      <c r="T231" t="inlineStr">
        <is>
          <t>No se encontró ejecución en PIIP</t>
        </is>
      </c>
      <c r="U231" t="inlineStr">
        <is>
          <t xml:space="preserve"> </t>
        </is>
      </c>
      <c r="V231" s="104" t="inlineStr">
        <is>
          <t xml:space="preserve"> </t>
        </is>
      </c>
      <c r="W231" t="inlineStr">
        <is>
          <t>No se encontró ejecución en PIIP</t>
        </is>
      </c>
    </row>
    <row r="232">
      <c r="A232" t="inlineStr">
        <is>
          <t>IP-244</t>
        </is>
      </c>
      <c r="B232" t="inlineStr">
        <is>
          <t>45</t>
        </is>
      </c>
      <c r="C232" t="inlineStr">
        <is>
          <t>Gobierno Territorial</t>
        </is>
      </c>
      <c r="D232" t="inlineStr">
        <is>
          <t>4599</t>
        </is>
      </c>
      <c r="E232" t="inlineStr">
        <is>
          <t>Fortalecimiento a la gestión y dirección de la administración pública territorial</t>
        </is>
      </c>
      <c r="F232" t="inlineStr">
        <is>
          <t>4599023</t>
        </is>
      </c>
      <c r="G232" t="inlineStr">
        <is>
          <t>Servicio de Implementación Sistemas de Gestión</t>
        </is>
      </c>
      <c r="H232" t="inlineStr">
        <is>
          <t>459902300</t>
        </is>
      </c>
      <c r="I232" t="inlineStr">
        <is>
          <t>Sistema de Gestión implementado</t>
        </is>
      </c>
      <c r="J232" t="inlineStr">
        <is>
          <t>2024254860045</t>
        </is>
      </c>
      <c r="K232" t="inlineStr">
        <is>
          <t>No</t>
        </is>
      </c>
      <c r="L232" t="inlineStr">
        <is>
          <t>Número</t>
        </is>
      </c>
      <c r="M232">
        <v>1</v>
      </c>
      <c r="N232">
        <v>1</v>
      </c>
      <c r="O232">
        <v>1</v>
      </c>
      <c r="P232">
        <v>1</v>
      </c>
      <c r="Q232">
        <v>1</v>
      </c>
      <c r="R232" t="inlineStr">
        <is>
          <t xml:space="preserve"> </t>
        </is>
      </c>
      <c r="S232" s="103" t="inlineStr">
        <is>
          <t xml:space="preserve"> </t>
        </is>
      </c>
      <c r="T232" t="inlineStr">
        <is>
          <t>No se encontró ejecución en PIIP</t>
        </is>
      </c>
      <c r="U232" t="inlineStr">
        <is>
          <t xml:space="preserve"> </t>
        </is>
      </c>
      <c r="V232" s="104" t="inlineStr">
        <is>
          <t xml:space="preserve"> </t>
        </is>
      </c>
      <c r="W232" t="inlineStr">
        <is>
          <t>No se encontró ejecución en PIIP</t>
        </is>
      </c>
    </row>
    <row r="233">
      <c r="A233" t="inlineStr">
        <is>
          <t>IP-245</t>
        </is>
      </c>
      <c r="B233" t="inlineStr">
        <is>
          <t>45</t>
        </is>
      </c>
      <c r="C233" t="inlineStr">
        <is>
          <t>Gobierno Territorial</t>
        </is>
      </c>
      <c r="D233" t="inlineStr">
        <is>
          <t>4599</t>
        </is>
      </c>
      <c r="E233" t="inlineStr">
        <is>
          <t>Fortalecimiento a la gestión y dirección de la administración pública territorial</t>
        </is>
      </c>
      <c r="F233" t="inlineStr">
        <is>
          <t>4599031</t>
        </is>
      </c>
      <c r="G233" t="inlineStr">
        <is>
          <t>Servicio de asistencia técnica</t>
        </is>
      </c>
      <c r="H233" t="inlineStr">
        <is>
          <t>459903103</t>
        </is>
      </c>
      <c r="I233" t="inlineStr">
        <is>
          <t>Planes asistidos técnicamente</t>
        </is>
      </c>
      <c r="J233" t="inlineStr">
        <is>
          <t>2024254860045</t>
        </is>
      </c>
      <c r="K233" t="inlineStr">
        <is>
          <t>No</t>
        </is>
      </c>
      <c r="L233" t="inlineStr">
        <is>
          <t>Número</t>
        </is>
      </c>
      <c r="M233">
        <v>1</v>
      </c>
      <c r="N233">
        <v>1</v>
      </c>
      <c r="O233">
        <v>1</v>
      </c>
      <c r="P233">
        <v>1</v>
      </c>
      <c r="Q233">
        <v>1</v>
      </c>
      <c r="R233" t="inlineStr">
        <is>
          <t xml:space="preserve"> </t>
        </is>
      </c>
      <c r="S233" s="103" t="inlineStr">
        <is>
          <t xml:space="preserve"> </t>
        </is>
      </c>
      <c r="T233" t="inlineStr">
        <is>
          <t>No se encontró ejecución en PIIP</t>
        </is>
      </c>
      <c r="U233" t="inlineStr">
        <is>
          <t xml:space="preserve"> </t>
        </is>
      </c>
      <c r="V233" s="104" t="inlineStr">
        <is>
          <t xml:space="preserve"> </t>
        </is>
      </c>
      <c r="W233" t="inlineStr">
        <is>
          <t>No se encontró ejecución en PIIP</t>
        </is>
      </c>
    </row>
    <row r="234">
      <c r="A234" t="inlineStr">
        <is>
          <t>IP-246</t>
        </is>
      </c>
      <c r="B234" t="inlineStr">
        <is>
          <t>45</t>
        </is>
      </c>
      <c r="C234" t="inlineStr">
        <is>
          <t>Gobierno Territorial</t>
        </is>
      </c>
      <c r="D234" t="inlineStr">
        <is>
          <t>4599</t>
        </is>
      </c>
      <c r="E234" t="inlineStr">
        <is>
          <t>Fortalecimiento a la gestión y dirección de la administración pública territorial</t>
        </is>
      </c>
      <c r="F234" t="inlineStr">
        <is>
          <t>4599018</t>
        </is>
      </c>
      <c r="G234" t="inlineStr">
        <is>
          <t>Documentos de lineamientos técnicos</t>
        </is>
      </c>
      <c r="H234" t="inlineStr">
        <is>
          <t>459901800</t>
        </is>
      </c>
      <c r="I234" t="inlineStr">
        <is>
          <t>Documentos de lineamientos técnicos realizados</t>
        </is>
      </c>
      <c r="J234" t="inlineStr">
        <is>
          <t>2024254860045</t>
        </is>
      </c>
      <c r="K234" t="inlineStr">
        <is>
          <t>No</t>
        </is>
      </c>
      <c r="L234" t="inlineStr">
        <is>
          <t>Número</t>
        </is>
      </c>
      <c r="M234">
        <v>1</v>
      </c>
      <c r="N234">
        <v>1</v>
      </c>
      <c r="O234">
        <v>1</v>
      </c>
      <c r="P234">
        <v>1</v>
      </c>
      <c r="Q234">
        <v>1</v>
      </c>
      <c r="R234" t="inlineStr">
        <is>
          <t xml:space="preserve"> </t>
        </is>
      </c>
      <c r="S234" s="103" t="inlineStr">
        <is>
          <t xml:space="preserve"> </t>
        </is>
      </c>
      <c r="T234" t="inlineStr">
        <is>
          <t>No se encontró ejecución en PIIP</t>
        </is>
      </c>
      <c r="U234" t="inlineStr">
        <is>
          <t xml:space="preserve"> </t>
        </is>
      </c>
      <c r="V234" s="104" t="inlineStr">
        <is>
          <t xml:space="preserve"> </t>
        </is>
      </c>
      <c r="W234" t="inlineStr">
        <is>
          <t>No se encontró ejecución en PIIP</t>
        </is>
      </c>
    </row>
    <row r="235">
      <c r="A235" t="inlineStr">
        <is>
          <t>IP-247, IP-249</t>
        </is>
      </c>
      <c r="B235" t="inlineStr">
        <is>
          <t>45</t>
        </is>
      </c>
      <c r="C235" t="inlineStr">
        <is>
          <t>Gobierno Territorial</t>
        </is>
      </c>
      <c r="D235" t="inlineStr">
        <is>
          <t>4599</t>
        </is>
      </c>
      <c r="E235" t="inlineStr">
        <is>
          <t>Fortalecimiento a la gestión y dirección de la administración pública territorial</t>
        </is>
      </c>
      <c r="F235" t="inlineStr">
        <is>
          <t>4599029</t>
        </is>
      </c>
      <c r="G235" t="inlineStr">
        <is>
          <t>Servicio de integración de la oferta pública</t>
        </is>
      </c>
      <c r="H235" t="inlineStr">
        <is>
          <t>459902903</t>
        </is>
      </c>
      <c r="I235" t="inlineStr">
        <is>
          <t>Estrategia en sitio implementada</t>
        </is>
      </c>
      <c r="J235" t="inlineStr">
        <is>
          <t>2024254860045</t>
        </is>
      </c>
      <c r="K235" t="inlineStr">
        <is>
          <t>No</t>
        </is>
      </c>
      <c r="L235" t="inlineStr">
        <is>
          <t>Número</t>
        </is>
      </c>
      <c r="M235">
        <v>2</v>
      </c>
      <c r="N235">
        <v>2</v>
      </c>
      <c r="O235">
        <v>2</v>
      </c>
      <c r="P235">
        <v>2</v>
      </c>
      <c r="Q235">
        <v>2</v>
      </c>
      <c r="R235" t="inlineStr">
        <is>
          <t xml:space="preserve"> </t>
        </is>
      </c>
      <c r="S235" s="103" t="inlineStr">
        <is>
          <t xml:space="preserve"> </t>
        </is>
      </c>
      <c r="T235" t="inlineStr">
        <is>
          <t>No se encontró ejecución en PIIP</t>
        </is>
      </c>
      <c r="U235" t="inlineStr">
        <is>
          <t xml:space="preserve"> </t>
        </is>
      </c>
      <c r="V235" s="104" t="inlineStr">
        <is>
          <t xml:space="preserve"> </t>
        </is>
      </c>
      <c r="W235" t="inlineStr">
        <is>
          <t>No se encontró ejecución en PIIP</t>
        </is>
      </c>
    </row>
    <row r="236">
      <c r="A236" t="inlineStr">
        <is>
          <t>IP-248</t>
        </is>
      </c>
      <c r="B236" t="inlineStr">
        <is>
          <t>45</t>
        </is>
      </c>
      <c r="C236" t="inlineStr">
        <is>
          <t>Gobierno Territorial</t>
        </is>
      </c>
      <c r="D236" t="inlineStr">
        <is>
          <t>4599</t>
        </is>
      </c>
      <c r="E236" t="inlineStr">
        <is>
          <t>Fortalecimiento a la gestión y dirección de la administración pública territorial</t>
        </is>
      </c>
      <c r="F236" t="inlineStr">
        <is>
          <t>4599023</t>
        </is>
      </c>
      <c r="G236" t="inlineStr">
        <is>
          <t>Servicio de Implementación Sistemas de Gestión</t>
        </is>
      </c>
      <c r="H236" t="inlineStr">
        <is>
          <t>459902303</t>
        </is>
      </c>
      <c r="I236" t="inlineStr">
        <is>
          <t>Sistema de Gestión certificado</t>
        </is>
      </c>
      <c r="J236" t="inlineStr">
        <is>
          <t>2024254860045</t>
        </is>
      </c>
      <c r="K236" t="inlineStr">
        <is>
          <t>No</t>
        </is>
      </c>
      <c r="L236" t="inlineStr">
        <is>
          <t>Número</t>
        </is>
      </c>
      <c r="M236">
        <v>1</v>
      </c>
      <c r="N236">
        <v>0</v>
      </c>
      <c r="O236">
        <v>0</v>
      </c>
      <c r="P236">
        <v>1</v>
      </c>
      <c r="Q236">
        <v>1</v>
      </c>
      <c r="R236" t="inlineStr">
        <is>
          <t xml:space="preserve"> </t>
        </is>
      </c>
      <c r="S236" s="103" t="inlineStr">
        <is>
          <t xml:space="preserve"> </t>
        </is>
      </c>
      <c r="T236" t="inlineStr">
        <is>
          <t>No se encontró ejecución en PIIP</t>
        </is>
      </c>
      <c r="U236" t="inlineStr">
        <is>
          <t xml:space="preserve"> </t>
        </is>
      </c>
      <c r="V236" s="104" t="inlineStr">
        <is>
          <t xml:space="preserve"> </t>
        </is>
      </c>
      <c r="W236" t="inlineStr">
        <is>
          <t>No se encontró ejecución en PIIP</t>
        </is>
      </c>
    </row>
    <row r="237">
      <c r="A237" t="inlineStr">
        <is>
          <t>IP-250</t>
        </is>
      </c>
      <c r="B237" t="inlineStr">
        <is>
          <t>45</t>
        </is>
      </c>
      <c r="C237" t="inlineStr">
        <is>
          <t>Gobierno Territorial</t>
        </is>
      </c>
      <c r="D237" t="inlineStr">
        <is>
          <t>4599</t>
        </is>
      </c>
      <c r="E237" t="inlineStr">
        <is>
          <t>Fortalecimiento a la gestión y dirección de la administración pública territorial</t>
        </is>
      </c>
      <c r="F237" t="inlineStr">
        <is>
          <t>4599028</t>
        </is>
      </c>
      <c r="G237" t="inlineStr">
        <is>
          <t>Servicio de información actualizado</t>
        </is>
      </c>
      <c r="H237" t="inlineStr">
        <is>
          <t>459902801</t>
        </is>
      </c>
      <c r="I237" t="inlineStr">
        <is>
          <t>Módulos de Tecnologías de Información y Comunicaciones (TIC) actualizados</t>
        </is>
      </c>
      <c r="J237" t="inlineStr">
        <is>
          <t>2024254860045</t>
        </is>
      </c>
      <c r="K237" t="inlineStr">
        <is>
          <t>No</t>
        </is>
      </c>
      <c r="L237" t="inlineStr">
        <is>
          <t>Número</t>
        </is>
      </c>
      <c r="M237">
        <v>5</v>
      </c>
      <c r="N237">
        <v>5</v>
      </c>
      <c r="O237">
        <v>5</v>
      </c>
      <c r="P237">
        <v>5</v>
      </c>
      <c r="Q237">
        <v>5</v>
      </c>
      <c r="R237" t="inlineStr">
        <is>
          <t xml:space="preserve"> </t>
        </is>
      </c>
      <c r="S237" s="103" t="inlineStr">
        <is>
          <t xml:space="preserve"> </t>
        </is>
      </c>
      <c r="T237" t="inlineStr">
        <is>
          <t>No se encontró ejecución en PIIP</t>
        </is>
      </c>
      <c r="U237" t="inlineStr">
        <is>
          <t xml:space="preserve"> </t>
        </is>
      </c>
      <c r="V237" s="104" t="inlineStr">
        <is>
          <t xml:space="preserve"> </t>
        </is>
      </c>
      <c r="W237" t="inlineStr">
        <is>
          <t>No se encontró ejecución en PIIP</t>
        </is>
      </c>
    </row>
    <row r="238">
      <c r="A238" t="inlineStr">
        <is>
          <t>IP-251, IP-252</t>
        </is>
      </c>
      <c r="B238" t="inlineStr">
        <is>
          <t>45</t>
        </is>
      </c>
      <c r="C238" t="inlineStr">
        <is>
          <t>Gobierno Territorial</t>
        </is>
      </c>
      <c r="D238" t="inlineStr">
        <is>
          <t>4599</t>
        </is>
      </c>
      <c r="E238" t="inlineStr">
        <is>
          <t>Fortalecimiento a la gestión y dirección de la administración pública territorial</t>
        </is>
      </c>
      <c r="F238" t="inlineStr">
        <is>
          <t>4599002</t>
        </is>
      </c>
      <c r="G238" t="inlineStr">
        <is>
          <t>Servicio de saneamiento fiscal y financiero</t>
        </is>
      </c>
      <c r="H238" t="inlineStr">
        <is>
          <t>459900201</t>
        </is>
      </c>
      <c r="I238" t="inlineStr">
        <is>
          <t>Estrategia para el mejoramiento del Índice de Desempeño Fiscal ejecutada</t>
        </is>
      </c>
      <c r="J238" t="inlineStr">
        <is>
          <t>2024254860045</t>
        </is>
      </c>
      <c r="K238" t="inlineStr">
        <is>
          <t>Si</t>
        </is>
      </c>
      <c r="L238" t="inlineStr">
        <is>
          <t>Número</t>
        </is>
      </c>
      <c r="M238">
        <v>8</v>
      </c>
      <c r="N238">
        <v>2</v>
      </c>
      <c r="O238">
        <v>2</v>
      </c>
      <c r="P238">
        <v>2</v>
      </c>
      <c r="Q238">
        <v>2</v>
      </c>
      <c r="R238" t="inlineStr">
        <is>
          <t xml:space="preserve"> </t>
        </is>
      </c>
      <c r="S238" s="103" t="inlineStr">
        <is>
          <t xml:space="preserve"> </t>
        </is>
      </c>
      <c r="T238" t="inlineStr">
        <is>
          <t>No se encontró ejecución en PIIP</t>
        </is>
      </c>
      <c r="U238" t="inlineStr">
        <is>
          <t xml:space="preserve"> </t>
        </is>
      </c>
      <c r="V238" s="104" t="inlineStr">
        <is>
          <t xml:space="preserve"> </t>
        </is>
      </c>
      <c r="W238" t="inlineStr">
        <is>
          <t>No se encontró ejecución en PIIP</t>
        </is>
      </c>
    </row>
    <row r="239">
      <c r="A239" t="inlineStr">
        <is>
          <t>IP-253</t>
        </is>
      </c>
      <c r="B239" t="inlineStr">
        <is>
          <t>45</t>
        </is>
      </c>
      <c r="C239" t="inlineStr">
        <is>
          <t>Gobierno Territorial</t>
        </is>
      </c>
      <c r="D239" t="inlineStr">
        <is>
          <t>4599</t>
        </is>
      </c>
      <c r="E239" t="inlineStr">
        <is>
          <t>Fortalecimiento a la gestión y dirección de la administración pública territorial</t>
        </is>
      </c>
      <c r="F239" t="inlineStr">
        <is>
          <t>4599030</t>
        </is>
      </c>
      <c r="G239" t="inlineStr">
        <is>
          <t xml:space="preserve">Servicio de educación informal </t>
        </is>
      </c>
      <c r="H239" t="inlineStr">
        <is>
          <t>459903000</t>
        </is>
      </c>
      <c r="I239" t="inlineStr">
        <is>
          <t>Personas capacitadas</t>
        </is>
      </c>
      <c r="J239" t="inlineStr">
        <is>
          <t>2024254860046</t>
        </is>
      </c>
      <c r="K239" t="inlineStr">
        <is>
          <t>No</t>
        </is>
      </c>
      <c r="L239" t="inlineStr">
        <is>
          <t>Número</t>
        </is>
      </c>
      <c r="M239">
        <v>100</v>
      </c>
      <c r="N239">
        <v>100</v>
      </c>
      <c r="O239">
        <v>100</v>
      </c>
      <c r="P239">
        <v>100</v>
      </c>
      <c r="Q239">
        <v>100</v>
      </c>
      <c r="R239" t="inlineStr">
        <is>
          <t xml:space="preserve"> </t>
        </is>
      </c>
      <c r="S239" s="103" t="inlineStr">
        <is>
          <t xml:space="preserve"> </t>
        </is>
      </c>
      <c r="T239" t="inlineStr">
        <is>
          <t>No se encontró ejecución en PIIP</t>
        </is>
      </c>
      <c r="U239" t="inlineStr">
        <is>
          <t xml:space="preserve"> </t>
        </is>
      </c>
      <c r="V239" s="104" t="inlineStr">
        <is>
          <t xml:space="preserve"> </t>
        </is>
      </c>
      <c r="W239" t="inlineStr">
        <is>
          <t>No se encontró ejecución en PIIP</t>
        </is>
      </c>
    </row>
    <row r="240">
      <c r="A240" t="inlineStr">
        <is>
          <t>IP-254</t>
        </is>
      </c>
      <c r="B240" t="inlineStr">
        <is>
          <t>45</t>
        </is>
      </c>
      <c r="C240" t="inlineStr">
        <is>
          <t>Gobierno Territorial</t>
        </is>
      </c>
      <c r="D240" t="inlineStr">
        <is>
          <t>4502</t>
        </is>
      </c>
      <c r="E240" t="inlineStr">
        <is>
          <t>Fortalecimiento del buen gobierno para el respeto y garantía de los derechos humanos.</t>
        </is>
      </c>
      <c r="F240" t="inlineStr">
        <is>
          <t>4502038</t>
        </is>
      </c>
      <c r="G240" t="inlineStr">
        <is>
          <t>Servicio de promoción de la garantía de derechos</t>
        </is>
      </c>
      <c r="H240" t="inlineStr">
        <is>
          <t>450203800</t>
        </is>
      </c>
      <c r="I240" t="inlineStr">
        <is>
          <t>Estrategias de promoción de la garantía de derechos implementadas</t>
        </is>
      </c>
      <c r="J240" t="inlineStr">
        <is>
          <t>2024254860046</t>
        </is>
      </c>
      <c r="K240" t="inlineStr">
        <is>
          <t>Si</t>
        </is>
      </c>
      <c r="L240" t="inlineStr">
        <is>
          <t>Número</t>
        </is>
      </c>
      <c r="M240">
        <v>4</v>
      </c>
      <c r="N240">
        <v>1</v>
      </c>
      <c r="O240">
        <v>1</v>
      </c>
      <c r="P240">
        <v>1</v>
      </c>
      <c r="Q240">
        <v>1</v>
      </c>
      <c r="R240" t="inlineStr">
        <is>
          <t xml:space="preserve"> </t>
        </is>
      </c>
      <c r="S240" s="103" t="inlineStr">
        <is>
          <t xml:space="preserve"> </t>
        </is>
      </c>
      <c r="T240" t="inlineStr">
        <is>
          <t>No se encontró ejecución en PIIP</t>
        </is>
      </c>
      <c r="U240" t="inlineStr">
        <is>
          <t xml:space="preserve"> </t>
        </is>
      </c>
      <c r="V240" s="104" t="inlineStr">
        <is>
          <t xml:space="preserve"> </t>
        </is>
      </c>
      <c r="W240" t="inlineStr">
        <is>
          <t>No se encontró ejecución en PIIP</t>
        </is>
      </c>
    </row>
    <row r="241">
      <c r="A241" t="inlineStr">
        <is>
          <t>IP-255</t>
        </is>
      </c>
      <c r="B241" t="inlineStr">
        <is>
          <t>45</t>
        </is>
      </c>
      <c r="C241" t="inlineStr">
        <is>
          <t>Gobierno Territorial</t>
        </is>
      </c>
      <c r="D241" t="inlineStr">
        <is>
          <t>4502</t>
        </is>
      </c>
      <c r="E241" t="inlineStr">
        <is>
          <t>Fortalecimiento del buen gobierno para el respeto y garantía de los derechos humanos.</t>
        </is>
      </c>
      <c r="F241" t="inlineStr">
        <is>
          <t>4502026</t>
        </is>
      </c>
      <c r="G241" t="inlineStr">
        <is>
          <t>Documentos normativos</t>
        </is>
      </c>
      <c r="H241" t="inlineStr">
        <is>
          <t>450202601</t>
        </is>
      </c>
      <c r="I241" t="inlineStr">
        <is>
          <t>Documentos normativos para la equidad de género para las mujeres formulado</t>
        </is>
      </c>
      <c r="J241" t="inlineStr">
        <is>
          <t>2024254860046</t>
        </is>
      </c>
      <c r="K241" t="inlineStr">
        <is>
          <t>No</t>
        </is>
      </c>
      <c r="L241" t="inlineStr">
        <is>
          <t>Número</t>
        </is>
      </c>
      <c r="M241">
        <v>1</v>
      </c>
      <c r="N241">
        <v>1</v>
      </c>
      <c r="O241">
        <v>1</v>
      </c>
      <c r="P241">
        <v>1</v>
      </c>
      <c r="Q241">
        <v>1</v>
      </c>
      <c r="R241" t="inlineStr">
        <is>
          <t xml:space="preserve"> </t>
        </is>
      </c>
      <c r="S241" s="103" t="inlineStr">
        <is>
          <t xml:space="preserve"> </t>
        </is>
      </c>
      <c r="T241" t="inlineStr">
        <is>
          <t>No se encontró ejecución en PIIP</t>
        </is>
      </c>
      <c r="U241" t="inlineStr">
        <is>
          <t xml:space="preserve"> </t>
        </is>
      </c>
      <c r="V241" s="104" t="inlineStr">
        <is>
          <t xml:space="preserve"> </t>
        </is>
      </c>
      <c r="W241" t="inlineStr">
        <is>
          <t>No se encontró ejecución en PIIP</t>
        </is>
      </c>
    </row>
    <row r="242">
      <c r="A242" t="inlineStr">
        <is>
          <t>IP-256</t>
        </is>
      </c>
      <c r="B242" t="inlineStr">
        <is>
          <t>45</t>
        </is>
      </c>
      <c r="C242" t="inlineStr">
        <is>
          <t>Gobierno Territorial</t>
        </is>
      </c>
      <c r="D242" t="inlineStr">
        <is>
          <t>4502</t>
        </is>
      </c>
      <c r="E242" t="inlineStr">
        <is>
          <t>Fortalecimiento del buen gobierno para el respeto y garantía de los derechos humanos.</t>
        </is>
      </c>
      <c r="F242" t="inlineStr">
        <is>
          <t>4502001</t>
        </is>
      </c>
      <c r="G242" t="inlineStr">
        <is>
          <t>Servicio de promoción a la participación ciudadana</t>
        </is>
      </c>
      <c r="H242" t="inlineStr">
        <is>
          <t>450200108</t>
        </is>
      </c>
      <c r="I242" t="inlineStr">
        <is>
          <t>Estrategias para el fomento de a la participación de las mujeres en los espacios de participación política y de toma de decisión implementadas</t>
        </is>
      </c>
      <c r="J242" t="inlineStr">
        <is>
          <t>2024254860046</t>
        </is>
      </c>
      <c r="K242" t="inlineStr">
        <is>
          <t>Si</t>
        </is>
      </c>
      <c r="L242" t="inlineStr">
        <is>
          <t>Número</t>
        </is>
      </c>
      <c r="M242">
        <v>12</v>
      </c>
      <c r="N242">
        <v>1</v>
      </c>
      <c r="O242">
        <v>4</v>
      </c>
      <c r="P242">
        <v>4</v>
      </c>
      <c r="Q242">
        <v>3</v>
      </c>
      <c r="R242" t="inlineStr">
        <is>
          <t xml:space="preserve"> </t>
        </is>
      </c>
      <c r="S242" s="103" t="inlineStr">
        <is>
          <t xml:space="preserve"> </t>
        </is>
      </c>
      <c r="T242" t="inlineStr">
        <is>
          <t>No se encontró ejecución en PIIP</t>
        </is>
      </c>
      <c r="U242" t="inlineStr">
        <is>
          <t xml:space="preserve"> </t>
        </is>
      </c>
      <c r="V242" s="104" t="inlineStr">
        <is>
          <t xml:space="preserve"> </t>
        </is>
      </c>
      <c r="W242" t="inlineStr">
        <is>
          <t>No se encontró ejecución en PIIP</t>
        </is>
      </c>
    </row>
    <row r="243">
      <c r="A243" t="inlineStr">
        <is>
          <t>IP-257, IP-259</t>
        </is>
      </c>
      <c r="B243" t="inlineStr">
        <is>
          <t>45</t>
        </is>
      </c>
      <c r="C243" t="inlineStr">
        <is>
          <t>Gobierno Territorial</t>
        </is>
      </c>
      <c r="D243" t="inlineStr">
        <is>
          <t>4502</t>
        </is>
      </c>
      <c r="E243" t="inlineStr">
        <is>
          <t>Fortalecimiento del buen gobierno para el respeto y garantía de los derechos humanos.</t>
        </is>
      </c>
      <c r="F243" t="inlineStr">
        <is>
          <t>4502038</t>
        </is>
      </c>
      <c r="G243" t="inlineStr">
        <is>
          <t>Servicio de promoción de la garantía de derechos</t>
        </is>
      </c>
      <c r="H243" t="inlineStr">
        <is>
          <t>450203801</t>
        </is>
      </c>
      <c r="I243" t="inlineStr">
        <is>
          <t>Rutas de atención implementadas</t>
        </is>
      </c>
      <c r="J243" t="inlineStr">
        <is>
          <t>2024254860046</t>
        </is>
      </c>
      <c r="K243" t="inlineStr">
        <is>
          <t>No</t>
        </is>
      </c>
      <c r="L243" t="inlineStr">
        <is>
          <t>Número</t>
        </is>
      </c>
      <c r="M243">
        <v>2</v>
      </c>
      <c r="N243">
        <v>1</v>
      </c>
      <c r="O243">
        <v>2</v>
      </c>
      <c r="P243">
        <v>2</v>
      </c>
      <c r="Q243">
        <v>2</v>
      </c>
      <c r="R243" t="inlineStr">
        <is>
          <t xml:space="preserve"> </t>
        </is>
      </c>
      <c r="S243" s="103" t="inlineStr">
        <is>
          <t xml:space="preserve"> </t>
        </is>
      </c>
      <c r="T243" t="inlineStr">
        <is>
          <t>No se encontró ejecución en PIIP</t>
        </is>
      </c>
      <c r="U243" t="inlineStr">
        <is>
          <t xml:space="preserve"> </t>
        </is>
      </c>
      <c r="V243" s="104" t="inlineStr">
        <is>
          <t xml:space="preserve"> </t>
        </is>
      </c>
      <c r="W243" t="inlineStr">
        <is>
          <t>No se encontró ejecución en PIIP</t>
        </is>
      </c>
    </row>
    <row r="244">
      <c r="A244" t="inlineStr">
        <is>
          <t>IP-258</t>
        </is>
      </c>
      <c r="B244" t="inlineStr">
        <is>
          <t>45</t>
        </is>
      </c>
      <c r="C244" t="inlineStr">
        <is>
          <t>Gobierno Territorial</t>
        </is>
      </c>
      <c r="D244" t="inlineStr">
        <is>
          <t>4502</t>
        </is>
      </c>
      <c r="E244" t="inlineStr">
        <is>
          <t>Fortalecimiento del buen gobierno para el respeto y garantía de los derechos humanos.</t>
        </is>
      </c>
      <c r="F244" t="inlineStr">
        <is>
          <t>4502039</t>
        </is>
      </c>
      <c r="G244" t="inlineStr">
        <is>
          <t>Servicio de apoyo financiero para empresas y emprendimientos productivos</t>
        </is>
      </c>
      <c r="H244" t="inlineStr">
        <is>
          <t>450203901</t>
        </is>
      </c>
      <c r="I244" t="inlineStr">
        <is>
          <t>Personas beneficiadas</t>
        </is>
      </c>
      <c r="J244" t="inlineStr">
        <is>
          <t>2024254860046</t>
        </is>
      </c>
      <c r="K244" t="inlineStr">
        <is>
          <t>Si</t>
        </is>
      </c>
      <c r="L244" t="inlineStr">
        <is>
          <t>Número</t>
        </is>
      </c>
      <c r="M244">
        <v>15</v>
      </c>
      <c r="N244">
        <v>0</v>
      </c>
      <c r="O244">
        <v>5</v>
      </c>
      <c r="P244">
        <v>5</v>
      </c>
      <c r="Q244">
        <v>5</v>
      </c>
      <c r="R244" t="inlineStr">
        <is>
          <t xml:space="preserve"> </t>
        </is>
      </c>
      <c r="S244" s="103" t="inlineStr">
        <is>
          <t xml:space="preserve"> </t>
        </is>
      </c>
      <c r="T244" t="inlineStr">
        <is>
          <t>No se encontró ejecución en PIIP</t>
        </is>
      </c>
      <c r="U244" t="inlineStr">
        <is>
          <t xml:space="preserve"> </t>
        </is>
      </c>
      <c r="V244" s="104" t="inlineStr">
        <is>
          <t xml:space="preserve"> </t>
        </is>
      </c>
      <c r="W244" t="inlineStr">
        <is>
          <t>No se encontró ejecución en PIIP</t>
        </is>
      </c>
    </row>
    <row r="245">
      <c r="A245" t="inlineStr">
        <is>
          <t>IP-260</t>
        </is>
      </c>
      <c r="B245" t="inlineStr">
        <is>
          <t>45</t>
        </is>
      </c>
      <c r="C245" t="inlineStr">
        <is>
          <t>Gobierno Territorial</t>
        </is>
      </c>
      <c r="D245" t="inlineStr">
        <is>
          <t>4502</t>
        </is>
      </c>
      <c r="E245" t="inlineStr">
        <is>
          <t>Fortalecimiento del buen gobierno para el respeto y garantía de los derechos humanos.</t>
        </is>
      </c>
      <c r="F245" t="inlineStr">
        <is>
          <t>4502001</t>
        </is>
      </c>
      <c r="G245" t="inlineStr">
        <is>
          <t>Servicio de promoción a la participación ciudadana</t>
        </is>
      </c>
      <c r="H245" t="inlineStr">
        <is>
          <t>450200111</t>
        </is>
      </c>
      <c r="I245" t="inlineStr">
        <is>
          <t>Estrategia de acompañamiento sobre capacidades democráticas y organizativas  implementada</t>
        </is>
      </c>
      <c r="J245" t="inlineStr">
        <is>
          <t>2024254860046</t>
        </is>
      </c>
      <c r="K245" t="inlineStr">
        <is>
          <t>No</t>
        </is>
      </c>
      <c r="L245" t="inlineStr">
        <is>
          <t>Número</t>
        </is>
      </c>
      <c r="M245">
        <v>1</v>
      </c>
      <c r="N245">
        <v>1</v>
      </c>
      <c r="O245">
        <v>1</v>
      </c>
      <c r="P245">
        <v>1</v>
      </c>
      <c r="Q245">
        <v>1</v>
      </c>
      <c r="R245" t="inlineStr">
        <is>
          <t xml:space="preserve"> </t>
        </is>
      </c>
      <c r="S245" s="103" t="inlineStr">
        <is>
          <t xml:space="preserve"> </t>
        </is>
      </c>
      <c r="T245" t="inlineStr">
        <is>
          <t>No se encontró ejecución en PIIP</t>
        </is>
      </c>
      <c r="U245" t="inlineStr">
        <is>
          <t xml:space="preserve"> </t>
        </is>
      </c>
      <c r="V245" s="104" t="inlineStr">
        <is>
          <t xml:space="preserve"> </t>
        </is>
      </c>
      <c r="W245" t="inlineStr">
        <is>
          <t>No se encontró ejecución en PIIP</t>
        </is>
      </c>
    </row>
    <row r="246">
      <c r="A246" t="inlineStr">
        <is>
          <t>IP-261, IP-262</t>
        </is>
      </c>
      <c r="B246" t="inlineStr">
        <is>
          <t>45</t>
        </is>
      </c>
      <c r="C246" t="inlineStr">
        <is>
          <t>Gobierno Territorial</t>
        </is>
      </c>
      <c r="D246" t="inlineStr">
        <is>
          <t>4599</t>
        </is>
      </c>
      <c r="E246" t="inlineStr">
        <is>
          <t>Fortalecimiento a la gestión y dirección de la administración pública territorial</t>
        </is>
      </c>
      <c r="F246" t="inlineStr">
        <is>
          <t>4599031</t>
        </is>
      </c>
      <c r="G246" t="inlineStr">
        <is>
          <t>Servicio de asistencia técnica</t>
        </is>
      </c>
      <c r="H246" t="inlineStr">
        <is>
          <t>459903104</t>
        </is>
      </c>
      <c r="I246" t="inlineStr">
        <is>
          <t>Proyectos asistidos técnicamente</t>
        </is>
      </c>
      <c r="J246" t="inlineStr">
        <is>
          <t>2024254860046</t>
        </is>
      </c>
      <c r="K246" t="inlineStr">
        <is>
          <t>Si</t>
        </is>
      </c>
      <c r="L246" t="inlineStr">
        <is>
          <t>Número</t>
        </is>
      </c>
      <c r="M246">
        <v>26</v>
      </c>
      <c r="N246">
        <v>7</v>
      </c>
      <c r="O246">
        <v>7</v>
      </c>
      <c r="P246">
        <v>7</v>
      </c>
      <c r="Q246">
        <v>5</v>
      </c>
      <c r="R246" t="inlineStr">
        <is>
          <t xml:space="preserve"> </t>
        </is>
      </c>
      <c r="S246" s="103" t="inlineStr">
        <is>
          <t xml:space="preserve"> </t>
        </is>
      </c>
      <c r="T246" t="inlineStr">
        <is>
          <t>No se encontró ejecución en PIIP</t>
        </is>
      </c>
      <c r="U246" t="inlineStr">
        <is>
          <t xml:space="preserve"> </t>
        </is>
      </c>
      <c r="V246" s="104" t="inlineStr">
        <is>
          <t xml:space="preserve"> </t>
        </is>
      </c>
      <c r="W246" t="inlineStr">
        <is>
          <t>No se encontró ejecución en PIIP</t>
        </is>
      </c>
    </row>
    <row r="247">
      <c r="A247" t="inlineStr">
        <is>
          <t>IP-263</t>
        </is>
      </c>
      <c r="B247" t="inlineStr">
        <is>
          <t>45</t>
        </is>
      </c>
      <c r="C247" t="inlineStr">
        <is>
          <t>Gobierno Territorial</t>
        </is>
      </c>
      <c r="D247" t="inlineStr">
        <is>
          <t>4502</t>
        </is>
      </c>
      <c r="E247" t="inlineStr">
        <is>
          <t>Fortalecimiento del buen gobierno para el respeto y garantía de los derechos humanos.</t>
        </is>
      </c>
      <c r="F247" t="inlineStr">
        <is>
          <t>4502001</t>
        </is>
      </c>
      <c r="G247" t="inlineStr">
        <is>
          <t>Servicio de promoción a la participación ciudadana</t>
        </is>
      </c>
      <c r="H247" t="inlineStr">
        <is>
          <t>450200110</t>
        </is>
      </c>
      <c r="I247" t="inlineStr">
        <is>
          <t>Instancias formales y no formales de participación fortalecidas</t>
        </is>
      </c>
      <c r="J247" t="inlineStr">
        <is>
          <t>2024254860046</t>
        </is>
      </c>
      <c r="K247" t="inlineStr">
        <is>
          <t>Si</t>
        </is>
      </c>
      <c r="L247" t="inlineStr">
        <is>
          <t>Número</t>
        </is>
      </c>
      <c r="M247">
        <v>4</v>
      </c>
      <c r="N247">
        <v>1</v>
      </c>
      <c r="O247">
        <v>1</v>
      </c>
      <c r="P247">
        <v>1</v>
      </c>
      <c r="Q247">
        <v>1</v>
      </c>
      <c r="R247" t="inlineStr">
        <is>
          <t xml:space="preserve"> </t>
        </is>
      </c>
      <c r="S247" s="103" t="inlineStr">
        <is>
          <t xml:space="preserve"> </t>
        </is>
      </c>
      <c r="T247" t="inlineStr">
        <is>
          <t>No se encontró ejecución en PIIP</t>
        </is>
      </c>
      <c r="U247" t="inlineStr">
        <is>
          <t xml:space="preserve"> </t>
        </is>
      </c>
      <c r="V247" s="104" t="inlineStr">
        <is>
          <t xml:space="preserve"> </t>
        </is>
      </c>
      <c r="W247" t="inlineStr">
        <is>
          <t>No se encontró ejecución en PIIP</t>
        </is>
      </c>
    </row>
    <row r="248">
      <c r="A248" t="inlineStr">
        <is>
          <t>IP-264</t>
        </is>
      </c>
      <c r="B248" t="inlineStr">
        <is>
          <t>45</t>
        </is>
      </c>
      <c r="C248" t="inlineStr">
        <is>
          <t>Gobierno Territorial</t>
        </is>
      </c>
      <c r="D248" t="inlineStr">
        <is>
          <t>4502</t>
        </is>
      </c>
      <c r="E248" t="inlineStr">
        <is>
          <t>Fortalecimiento del buen gobierno para el respeto y garantía de los derechos humanos.</t>
        </is>
      </c>
      <c r="F248" t="inlineStr">
        <is>
          <t>4502025</t>
        </is>
      </c>
      <c r="G248" t="inlineStr">
        <is>
          <t>Servicio de organización de procesos electorales</t>
        </is>
      </c>
      <c r="H248" t="inlineStr">
        <is>
          <t>450202500</t>
        </is>
      </c>
      <c r="I248" t="inlineStr">
        <is>
          <t>procesos electorales realizados</t>
        </is>
      </c>
      <c r="J248" t="inlineStr">
        <is>
          <t>2024254860046</t>
        </is>
      </c>
      <c r="K248" t="inlineStr">
        <is>
          <t>Si</t>
        </is>
      </c>
      <c r="L248" t="inlineStr">
        <is>
          <t>Número</t>
        </is>
      </c>
      <c r="M248">
        <v>5</v>
      </c>
      <c r="N248">
        <v>0</v>
      </c>
      <c r="O248">
        <v>2</v>
      </c>
      <c r="P248">
        <v>2</v>
      </c>
      <c r="Q248">
        <v>1</v>
      </c>
      <c r="R248" t="inlineStr">
        <is>
          <t xml:space="preserve"> </t>
        </is>
      </c>
      <c r="S248" s="103" t="inlineStr">
        <is>
          <t xml:space="preserve"> </t>
        </is>
      </c>
      <c r="T248" t="inlineStr">
        <is>
          <t>No se encontró ejecución en PIIP</t>
        </is>
      </c>
      <c r="U248" t="inlineStr">
        <is>
          <t xml:space="preserve"> </t>
        </is>
      </c>
      <c r="V248" s="104" t="inlineStr">
        <is>
          <t xml:space="preserve"> </t>
        </is>
      </c>
      <c r="W248" t="inlineStr">
        <is>
          <t>No se encontró ejecución en PIIP</t>
        </is>
      </c>
    </row>
    <row r="249">
      <c r="A249" t="inlineStr">
        <is>
          <t>IP-265</t>
        </is>
      </c>
      <c r="B249" t="inlineStr">
        <is>
          <t>45</t>
        </is>
      </c>
      <c r="C249" t="inlineStr">
        <is>
          <t>Gobierno Territorial</t>
        </is>
      </c>
      <c r="D249" t="inlineStr">
        <is>
          <t>4501</t>
        </is>
      </c>
      <c r="E249" t="inlineStr">
        <is>
          <t>Fortalecimiento de la convivencia y la seguridad ciudadana</t>
        </is>
      </c>
      <c r="F249" t="inlineStr">
        <is>
          <t>4501057</t>
        </is>
      </c>
      <c r="G249" t="inlineStr">
        <is>
          <t>Servicio de apoyo financiero para dotar a miembros de la fuerza publica</t>
        </is>
      </c>
      <c r="H249" t="inlineStr">
        <is>
          <t>450105700</t>
        </is>
      </c>
      <c r="I249" t="inlineStr">
        <is>
          <t>Miembros de la fuerza publica apoyados</t>
        </is>
      </c>
      <c r="J249" t="inlineStr">
        <is>
          <t>2024254860047</t>
        </is>
      </c>
      <c r="K249" t="inlineStr">
        <is>
          <t>No</t>
        </is>
      </c>
      <c r="L249" t="inlineStr">
        <is>
          <t>Número</t>
        </is>
      </c>
      <c r="M249">
        <v>12</v>
      </c>
      <c r="N249">
        <v>12</v>
      </c>
      <c r="O249">
        <v>12</v>
      </c>
      <c r="P249">
        <v>12</v>
      </c>
      <c r="Q249">
        <v>12</v>
      </c>
      <c r="R249" t="inlineStr">
        <is>
          <t xml:space="preserve"> </t>
        </is>
      </c>
      <c r="S249" s="103" t="inlineStr">
        <is>
          <t xml:space="preserve"> </t>
        </is>
      </c>
      <c r="T249" t="inlineStr">
        <is>
          <t>No se encontró ejecución en PIIP</t>
        </is>
      </c>
      <c r="U249" t="inlineStr">
        <is>
          <t xml:space="preserve"> </t>
        </is>
      </c>
      <c r="V249" s="104" t="inlineStr">
        <is>
          <t xml:space="preserve"> </t>
        </is>
      </c>
      <c r="W249" t="inlineStr">
        <is>
          <t>No se encontró ejecución en PIIP</t>
        </is>
      </c>
    </row>
    <row r="250">
      <c r="A250" t="inlineStr">
        <is>
          <t>IP-266</t>
        </is>
      </c>
      <c r="B250" t="inlineStr">
        <is>
          <t>45</t>
        </is>
      </c>
      <c r="C250" t="inlineStr">
        <is>
          <t>Gobierno Territorial</t>
        </is>
      </c>
      <c r="D250" t="inlineStr">
        <is>
          <t>4501</t>
        </is>
      </c>
      <c r="E250" t="inlineStr">
        <is>
          <t>Fortalecimiento de la convivencia y la seguridad ciudadana</t>
        </is>
      </c>
      <c r="F250" t="inlineStr">
        <is>
          <t>4501066</t>
        </is>
      </c>
      <c r="G250" t="inlineStr">
        <is>
          <t>Estaciones de policía construidas y dotadas</t>
        </is>
      </c>
      <c r="H250" t="inlineStr">
        <is>
          <t>450106600</t>
        </is>
      </c>
      <c r="I250" t="inlineStr">
        <is>
          <t>Estaciones de policía construidas y dotadas</t>
        </is>
      </c>
      <c r="J250" t="inlineStr">
        <is>
          <t>2024254860047</t>
        </is>
      </c>
      <c r="K250" t="inlineStr">
        <is>
          <t>Si</t>
        </is>
      </c>
      <c r="L250" t="inlineStr">
        <is>
          <t>Número</t>
        </is>
      </c>
      <c r="M250">
        <v>1</v>
      </c>
      <c r="N250">
        <v>0</v>
      </c>
      <c r="O250">
        <v>0</v>
      </c>
      <c r="P250">
        <v>0</v>
      </c>
      <c r="Q250">
        <v>1</v>
      </c>
      <c r="R250" t="inlineStr">
        <is>
          <t xml:space="preserve"> </t>
        </is>
      </c>
      <c r="S250" s="103" t="inlineStr">
        <is>
          <t xml:space="preserve"> </t>
        </is>
      </c>
      <c r="T250" t="inlineStr">
        <is>
          <t>No se encontró ejecución en PIIP</t>
        </is>
      </c>
      <c r="U250" t="inlineStr">
        <is>
          <t xml:space="preserve"> </t>
        </is>
      </c>
      <c r="V250" s="104" t="inlineStr">
        <is>
          <t xml:space="preserve"> </t>
        </is>
      </c>
      <c r="W250" t="inlineStr">
        <is>
          <t>No se encontró ejecución en PIIP</t>
        </is>
      </c>
    </row>
    <row r="251">
      <c r="A251" t="inlineStr">
        <is>
          <t>IP-267</t>
        </is>
      </c>
      <c r="B251" t="inlineStr">
        <is>
          <t>45</t>
        </is>
      </c>
      <c r="C251" t="inlineStr">
        <is>
          <t>Gobierno Territorial</t>
        </is>
      </c>
      <c r="D251" t="inlineStr">
        <is>
          <t>4501</t>
        </is>
      </c>
      <c r="E251" t="inlineStr">
        <is>
          <t>Fortalecimiento de la convivencia y la seguridad ciudadana</t>
        </is>
      </c>
      <c r="F251" t="inlineStr">
        <is>
          <t>4501065</t>
        </is>
      </c>
      <c r="G251" t="inlineStr">
        <is>
          <t>Comandos  de policía construidas y dotadas</t>
        </is>
      </c>
      <c r="H251" t="inlineStr">
        <is>
          <t>450106500</t>
        </is>
      </c>
      <c r="I251" t="inlineStr">
        <is>
          <t>Comandos de policía construidos y dotadas</t>
        </is>
      </c>
      <c r="J251" t="inlineStr">
        <is>
          <t>2024254860047</t>
        </is>
      </c>
      <c r="K251" t="inlineStr">
        <is>
          <t>Si</t>
        </is>
      </c>
      <c r="L251" t="inlineStr">
        <is>
          <t>Número</t>
        </is>
      </c>
      <c r="M251">
        <v>1</v>
      </c>
      <c r="N251">
        <v>0</v>
      </c>
      <c r="O251">
        <v>0</v>
      </c>
      <c r="P251">
        <v>0</v>
      </c>
      <c r="Q251">
        <v>1</v>
      </c>
      <c r="R251" t="inlineStr">
        <is>
          <t xml:space="preserve"> </t>
        </is>
      </c>
      <c r="S251" s="103" t="inlineStr">
        <is>
          <t xml:space="preserve"> </t>
        </is>
      </c>
      <c r="T251" t="inlineStr">
        <is>
          <t>No se encontró ejecución en PIIP</t>
        </is>
      </c>
      <c r="U251" t="inlineStr">
        <is>
          <t xml:space="preserve"> </t>
        </is>
      </c>
      <c r="V251" s="104" t="inlineStr">
        <is>
          <t xml:space="preserve"> </t>
        </is>
      </c>
      <c r="W251" t="inlineStr">
        <is>
          <t>No se encontró ejecución en PIIP</t>
        </is>
      </c>
    </row>
    <row r="252">
      <c r="A252" t="inlineStr">
        <is>
          <t>IP-268</t>
        </is>
      </c>
      <c r="B252" t="inlineStr">
        <is>
          <t>45</t>
        </is>
      </c>
      <c r="C252" t="inlineStr">
        <is>
          <t>Gobierno Territorial</t>
        </is>
      </c>
      <c r="D252" t="inlineStr">
        <is>
          <t>4501</t>
        </is>
      </c>
      <c r="E252" t="inlineStr">
        <is>
          <t>Fortalecimiento de la convivencia y la seguridad ciudadana</t>
        </is>
      </c>
      <c r="F252" t="inlineStr">
        <is>
          <t>4501029</t>
        </is>
      </c>
      <c r="G252" t="inlineStr">
        <is>
          <t>Servicio de apoyo financiero para proyectos de convivencia y seguridad ciudadana</t>
        </is>
      </c>
      <c r="H252" t="inlineStr">
        <is>
          <t>450102900</t>
        </is>
      </c>
      <c r="I252" t="inlineStr">
        <is>
          <t>Proyectos de convivencia y seguridad ciudadana apoyados financieramente</t>
        </is>
      </c>
      <c r="J252" t="inlineStr">
        <is>
          <t>2024254860047</t>
        </is>
      </c>
      <c r="K252" t="inlineStr">
        <is>
          <t>Si</t>
        </is>
      </c>
      <c r="L252" t="inlineStr">
        <is>
          <t>Número</t>
        </is>
      </c>
      <c r="M252">
        <v>4</v>
      </c>
      <c r="N252">
        <v>1</v>
      </c>
      <c r="O252">
        <v>1</v>
      </c>
      <c r="P252">
        <v>1</v>
      </c>
      <c r="Q252">
        <v>1</v>
      </c>
      <c r="R252" t="inlineStr">
        <is>
          <t xml:space="preserve"> </t>
        </is>
      </c>
      <c r="S252" s="103" t="inlineStr">
        <is>
          <t xml:space="preserve"> </t>
        </is>
      </c>
      <c r="T252" t="inlineStr">
        <is>
          <t>No se encontró ejecución en PIIP</t>
        </is>
      </c>
      <c r="U252" t="inlineStr">
        <is>
          <t xml:space="preserve"> </t>
        </is>
      </c>
      <c r="V252" s="104" t="inlineStr">
        <is>
          <t xml:space="preserve"> </t>
        </is>
      </c>
      <c r="W252" t="inlineStr">
        <is>
          <t>No se encontró ejecución en PIIP</t>
        </is>
      </c>
    </row>
    <row r="253">
      <c r="A253" t="inlineStr">
        <is>
          <t>IP-269</t>
        </is>
      </c>
      <c r="B253" t="inlineStr">
        <is>
          <t>45</t>
        </is>
      </c>
      <c r="C253" t="inlineStr">
        <is>
          <t>Gobierno Territorial</t>
        </is>
      </c>
      <c r="D253" t="inlineStr">
        <is>
          <t>4501</t>
        </is>
      </c>
      <c r="E253" t="inlineStr">
        <is>
          <t>Fortalecimiento de la convivencia y la seguridad ciudadana</t>
        </is>
      </c>
      <c r="F253" t="inlineStr">
        <is>
          <t>4501057</t>
        </is>
      </c>
      <c r="G253" t="inlineStr">
        <is>
          <t>Servicio de apoyo financiero para dotar a miembros de la fuerza publica</t>
        </is>
      </c>
      <c r="H253" t="inlineStr">
        <is>
          <t>450105700</t>
        </is>
      </c>
      <c r="I253" t="inlineStr">
        <is>
          <t>Miembros de la fuerza publica apoyados</t>
        </is>
      </c>
      <c r="J253" t="inlineStr">
        <is>
          <t>2024254860047</t>
        </is>
      </c>
      <c r="K253" t="inlineStr">
        <is>
          <t>Si</t>
        </is>
      </c>
      <c r="L253" t="inlineStr">
        <is>
          <t>Número</t>
        </is>
      </c>
      <c r="M253">
        <v>8</v>
      </c>
      <c r="N253">
        <v>2</v>
      </c>
      <c r="O253">
        <v>2</v>
      </c>
      <c r="P253">
        <v>2</v>
      </c>
      <c r="Q253">
        <v>2</v>
      </c>
      <c r="R253" t="inlineStr">
        <is>
          <t xml:space="preserve"> </t>
        </is>
      </c>
      <c r="S253" s="103" t="inlineStr">
        <is>
          <t xml:space="preserve"> </t>
        </is>
      </c>
      <c r="T253" t="inlineStr">
        <is>
          <t>No se encontró ejecución en PIIP</t>
        </is>
      </c>
      <c r="U253" t="inlineStr">
        <is>
          <t xml:space="preserve"> </t>
        </is>
      </c>
      <c r="V253" s="104" t="inlineStr">
        <is>
          <t xml:space="preserve"> </t>
        </is>
      </c>
      <c r="W253" t="inlineStr">
        <is>
          <t>No se encontró ejecución en PIIP</t>
        </is>
      </c>
    </row>
    <row r="254">
      <c r="A254" t="inlineStr">
        <is>
          <t>IP-270, IP-276</t>
        </is>
      </c>
      <c r="B254" t="inlineStr">
        <is>
          <t>45</t>
        </is>
      </c>
      <c r="C254" t="inlineStr">
        <is>
          <t>Gobierno Territorial</t>
        </is>
      </c>
      <c r="D254" t="inlineStr">
        <is>
          <t>4501</t>
        </is>
      </c>
      <c r="E254" t="inlineStr">
        <is>
          <t>Fortalecimiento de la convivencia y la seguridad ciudadana</t>
        </is>
      </c>
      <c r="F254" t="inlineStr">
        <is>
          <t>4501048</t>
        </is>
      </c>
      <c r="G254" t="inlineStr">
        <is>
          <t>Servicio de apoyo para el acceso a la justicia policiva</t>
        </is>
      </c>
      <c r="H254" t="inlineStr">
        <is>
          <t>450104800</t>
        </is>
      </c>
      <c r="I254" t="inlineStr">
        <is>
          <t>Estrategias implementadas</t>
        </is>
      </c>
      <c r="J254" t="inlineStr">
        <is>
          <t>2024254860047</t>
        </is>
      </c>
      <c r="K254" t="inlineStr">
        <is>
          <t>Si</t>
        </is>
      </c>
      <c r="L254" t="inlineStr">
        <is>
          <t>Número</t>
        </is>
      </c>
      <c r="M254">
        <v>64</v>
      </c>
      <c r="N254">
        <v>11</v>
      </c>
      <c r="O254">
        <v>21</v>
      </c>
      <c r="P254">
        <v>21</v>
      </c>
      <c r="Q254">
        <v>11</v>
      </c>
      <c r="R254" t="inlineStr">
        <is>
          <t xml:space="preserve"> </t>
        </is>
      </c>
      <c r="S254" s="103" t="inlineStr">
        <is>
          <t xml:space="preserve"> </t>
        </is>
      </c>
      <c r="T254" t="inlineStr">
        <is>
          <t>No se encontró ejecución en PIIP</t>
        </is>
      </c>
      <c r="U254" t="inlineStr">
        <is>
          <t xml:space="preserve"> </t>
        </is>
      </c>
      <c r="V254" s="104" t="inlineStr">
        <is>
          <t xml:space="preserve"> </t>
        </is>
      </c>
      <c r="W254" t="inlineStr">
        <is>
          <t>No se encontró ejecución en PIIP</t>
        </is>
      </c>
    </row>
    <row r="255">
      <c r="A255" t="inlineStr">
        <is>
          <t>IP-271</t>
        </is>
      </c>
      <c r="B255" t="inlineStr">
        <is>
          <t>45</t>
        </is>
      </c>
      <c r="C255" t="inlineStr">
        <is>
          <t>Gobierno Territorial</t>
        </is>
      </c>
      <c r="D255" t="inlineStr">
        <is>
          <t>4501</t>
        </is>
      </c>
      <c r="E255" t="inlineStr">
        <is>
          <t>Fortalecimiento de la convivencia y la seguridad ciudadana</t>
        </is>
      </c>
      <c r="F255" t="inlineStr">
        <is>
          <t>4501026</t>
        </is>
      </c>
      <c r="G255" t="inlineStr">
        <is>
          <t>Documentos Planeacion</t>
        </is>
      </c>
      <c r="H255" t="inlineStr">
        <is>
          <t>450102602</t>
        </is>
      </c>
      <c r="I255" t="inlineStr">
        <is>
          <t>Planes Integrales de Seguridad y Convivencia -PISCC con enfoque de género elaborados</t>
        </is>
      </c>
      <c r="J255" t="inlineStr">
        <is>
          <t>2024254860047</t>
        </is>
      </c>
      <c r="K255" t="inlineStr">
        <is>
          <t>No</t>
        </is>
      </c>
      <c r="L255" t="inlineStr">
        <is>
          <t>Número</t>
        </is>
      </c>
      <c r="M255">
        <v>1</v>
      </c>
      <c r="N255">
        <v>1</v>
      </c>
      <c r="O255">
        <v>1</v>
      </c>
      <c r="P255">
        <v>1</v>
      </c>
      <c r="Q255">
        <v>1</v>
      </c>
      <c r="R255" t="inlineStr">
        <is>
          <t xml:space="preserve"> </t>
        </is>
      </c>
      <c r="S255" s="103" t="inlineStr">
        <is>
          <t xml:space="preserve"> </t>
        </is>
      </c>
      <c r="T255" t="inlineStr">
        <is>
          <t>No se encontró ejecución en PIIP</t>
        </is>
      </c>
      <c r="U255" t="inlineStr">
        <is>
          <t xml:space="preserve"> </t>
        </is>
      </c>
      <c r="V255" s="104" t="inlineStr">
        <is>
          <t xml:space="preserve"> </t>
        </is>
      </c>
      <c r="W255" t="inlineStr">
        <is>
          <t>No se encontró ejecución en PIIP</t>
        </is>
      </c>
    </row>
    <row r="256">
      <c r="A256" t="inlineStr">
        <is>
          <t>IP-272</t>
        </is>
      </c>
      <c r="B256" t="inlineStr">
        <is>
          <t>45</t>
        </is>
      </c>
      <c r="C256" t="inlineStr">
        <is>
          <t>Gobierno Territorial</t>
        </is>
      </c>
      <c r="D256" t="inlineStr">
        <is>
          <t>4501</t>
        </is>
      </c>
      <c r="E256" t="inlineStr">
        <is>
          <t>Fortalecimiento de la convivencia y la seguridad ciudadana</t>
        </is>
      </c>
      <c r="F256" t="inlineStr">
        <is>
          <t>4501049</t>
        </is>
      </c>
      <c r="G256" t="inlineStr">
        <is>
          <t>Servicio de educación informal</t>
        </is>
      </c>
      <c r="H256" t="inlineStr">
        <is>
          <t>450104904</t>
        </is>
      </c>
      <c r="I256" t="inlineStr">
        <is>
          <t>Programas de educación informal realizados</t>
        </is>
      </c>
      <c r="J256" t="inlineStr">
        <is>
          <t>2024254860047</t>
        </is>
      </c>
      <c r="K256" t="inlineStr">
        <is>
          <t>Si</t>
        </is>
      </c>
      <c r="L256" t="inlineStr">
        <is>
          <t>Número</t>
        </is>
      </c>
      <c r="M256">
        <v>4</v>
      </c>
      <c r="N256">
        <v>1</v>
      </c>
      <c r="O256">
        <v>1</v>
      </c>
      <c r="P256">
        <v>1</v>
      </c>
      <c r="Q256">
        <v>1</v>
      </c>
      <c r="R256" t="inlineStr">
        <is>
          <t xml:space="preserve"> </t>
        </is>
      </c>
      <c r="S256" s="103" t="inlineStr">
        <is>
          <t xml:space="preserve"> </t>
        </is>
      </c>
      <c r="T256" t="inlineStr">
        <is>
          <t>No se encontró ejecución en PIIP</t>
        </is>
      </c>
      <c r="U256" t="inlineStr">
        <is>
          <t xml:space="preserve"> </t>
        </is>
      </c>
      <c r="V256" s="104" t="inlineStr">
        <is>
          <t xml:space="preserve"> </t>
        </is>
      </c>
      <c r="W256" t="inlineStr">
        <is>
          <t>No se encontró ejecución en PIIP</t>
        </is>
      </c>
    </row>
    <row r="257">
      <c r="A257" t="inlineStr">
        <is>
          <t>IP-273</t>
        </is>
      </c>
      <c r="B257" t="inlineStr">
        <is>
          <t>45</t>
        </is>
      </c>
      <c r="C257" t="inlineStr">
        <is>
          <t>Gobierno Territorial</t>
        </is>
      </c>
      <c r="D257" t="inlineStr">
        <is>
          <t>4501</t>
        </is>
      </c>
      <c r="E257" t="inlineStr">
        <is>
          <t>Fortalecimiento de la convivencia y la seguridad ciudadana</t>
        </is>
      </c>
      <c r="F257" t="inlineStr">
        <is>
          <t>4501028</t>
        </is>
      </c>
      <c r="G257" t="inlineStr">
        <is>
          <t>Servicio de vigilancia a través de cámaras de seguridad</t>
        </is>
      </c>
      <c r="H257" t="inlineStr">
        <is>
          <t>450102800</t>
        </is>
      </c>
      <c r="I257" t="inlineStr">
        <is>
          <t>Cámaras de seguridad instaladas</t>
        </is>
      </c>
      <c r="J257" t="inlineStr">
        <is>
          <t>2024254860047</t>
        </is>
      </c>
      <c r="K257" t="inlineStr">
        <is>
          <t>Si</t>
        </is>
      </c>
      <c r="L257" t="inlineStr">
        <is>
          <t>Número</t>
        </is>
      </c>
      <c r="M257">
        <v>30</v>
      </c>
      <c r="N257">
        <v>0</v>
      </c>
      <c r="O257">
        <v>0</v>
      </c>
      <c r="P257">
        <v>15</v>
      </c>
      <c r="Q257">
        <v>15</v>
      </c>
      <c r="R257" t="inlineStr">
        <is>
          <t xml:space="preserve"> </t>
        </is>
      </c>
      <c r="S257" s="103" t="inlineStr">
        <is>
          <t xml:space="preserve"> </t>
        </is>
      </c>
      <c r="T257" t="inlineStr">
        <is>
          <t>No se encontró ejecución en PIIP</t>
        </is>
      </c>
      <c r="U257" t="inlineStr">
        <is>
          <t xml:space="preserve"> </t>
        </is>
      </c>
      <c r="V257" s="104" t="inlineStr">
        <is>
          <t xml:space="preserve"> </t>
        </is>
      </c>
      <c r="W257" t="inlineStr">
        <is>
          <t>No se encontró ejecución en PIIP</t>
        </is>
      </c>
    </row>
    <row r="258">
      <c r="A258" t="inlineStr">
        <is>
          <t>IP-274</t>
        </is>
      </c>
      <c r="B258" t="inlineStr">
        <is>
          <t>45</t>
        </is>
      </c>
      <c r="C258" t="inlineStr">
        <is>
          <t>Gobierno Territorial</t>
        </is>
      </c>
      <c r="D258" t="inlineStr">
        <is>
          <t>4501</t>
        </is>
      </c>
      <c r="E258" t="inlineStr">
        <is>
          <t>Fortalecimiento de la convivencia y la seguridad ciudadana</t>
        </is>
      </c>
      <c r="F258" t="inlineStr">
        <is>
          <t>4501007</t>
        </is>
      </c>
      <c r="G258" t="inlineStr">
        <is>
          <t>Servicio información implementado</t>
        </is>
      </c>
      <c r="H258" t="inlineStr">
        <is>
          <t>450100700</t>
        </is>
      </c>
      <c r="I258" t="inlineStr">
        <is>
          <t>Sistemas de información implementados</t>
        </is>
      </c>
      <c r="J258" t="inlineStr">
        <is>
          <t>2024254860047</t>
        </is>
      </c>
      <c r="K258" t="inlineStr">
        <is>
          <t>No</t>
        </is>
      </c>
      <c r="L258" t="inlineStr">
        <is>
          <t>Número</t>
        </is>
      </c>
      <c r="M258">
        <v>1</v>
      </c>
      <c r="N258">
        <v>0</v>
      </c>
      <c r="O258">
        <v>0</v>
      </c>
      <c r="P258">
        <v>1</v>
      </c>
      <c r="Q258">
        <v>1</v>
      </c>
      <c r="R258" t="inlineStr">
        <is>
          <t xml:space="preserve"> </t>
        </is>
      </c>
      <c r="S258" s="103" t="inlineStr">
        <is>
          <t xml:space="preserve"> </t>
        </is>
      </c>
      <c r="T258" t="inlineStr">
        <is>
          <t>No se encontró ejecución en PIIP</t>
        </is>
      </c>
      <c r="U258" t="inlineStr">
        <is>
          <t xml:space="preserve"> </t>
        </is>
      </c>
      <c r="V258" s="104" t="inlineStr">
        <is>
          <t xml:space="preserve"> </t>
        </is>
      </c>
      <c r="W258" t="inlineStr">
        <is>
          <t>No se encontró ejecución en PIIP</t>
        </is>
      </c>
    </row>
    <row r="259">
      <c r="A259" t="inlineStr">
        <is>
          <t>IP-275</t>
        </is>
      </c>
      <c r="B259" t="inlineStr">
        <is>
          <t>45</t>
        </is>
      </c>
      <c r="C259" t="inlineStr">
        <is>
          <t>Gobierno Territorial</t>
        </is>
      </c>
      <c r="D259" t="inlineStr">
        <is>
          <t>4501</t>
        </is>
      </c>
      <c r="E259" t="inlineStr">
        <is>
          <t>Fortalecimiento de la convivencia y la seguridad ciudadana</t>
        </is>
      </c>
      <c r="F259" t="inlineStr">
        <is>
          <t>4501004</t>
        </is>
      </c>
      <c r="G259" t="inlineStr">
        <is>
          <t>Servicio de promoción de convivencia y no repetición</t>
        </is>
      </c>
      <c r="H259" t="inlineStr">
        <is>
          <t>450100400</t>
        </is>
      </c>
      <c r="I259" t="inlineStr">
        <is>
          <t>Iniciativas para la promoción de la convivencia implementadas</t>
        </is>
      </c>
      <c r="J259" t="inlineStr">
        <is>
          <t>2024254860047</t>
        </is>
      </c>
      <c r="K259" t="inlineStr">
        <is>
          <t>Si</t>
        </is>
      </c>
      <c r="L259" t="inlineStr">
        <is>
          <t>Número</t>
        </is>
      </c>
      <c r="M259">
        <v>20</v>
      </c>
      <c r="N259">
        <v>0</v>
      </c>
      <c r="O259">
        <v>8</v>
      </c>
      <c r="P259">
        <v>6</v>
      </c>
      <c r="Q259">
        <v>6</v>
      </c>
      <c r="R259" t="inlineStr">
        <is>
          <t xml:space="preserve"> </t>
        </is>
      </c>
      <c r="S259" s="103" t="inlineStr">
        <is>
          <t xml:space="preserve"> </t>
        </is>
      </c>
      <c r="T259" t="inlineStr">
        <is>
          <t>No se encontró ejecución en PIIP</t>
        </is>
      </c>
      <c r="U259" t="inlineStr">
        <is>
          <t xml:space="preserve"> </t>
        </is>
      </c>
      <c r="V259" s="104" t="inlineStr">
        <is>
          <t xml:space="preserve"> </t>
        </is>
      </c>
      <c r="W259" t="inlineStr">
        <is>
          <t>No se encontró ejecución en PIIP</t>
        </is>
      </c>
    </row>
    <row r="260">
      <c r="A260" t="inlineStr">
        <is>
          <t>IP-277</t>
        </is>
      </c>
      <c r="B260" t="inlineStr">
        <is>
          <t>45</t>
        </is>
      </c>
      <c r="C260" t="inlineStr">
        <is>
          <t>Gobierno Territorial</t>
        </is>
      </c>
      <c r="D260" t="inlineStr">
        <is>
          <t>4501</t>
        </is>
      </c>
      <c r="E260" t="inlineStr">
        <is>
          <t>Fortalecimiento de la convivencia y la seguridad ciudadana</t>
        </is>
      </c>
      <c r="F260" t="inlineStr">
        <is>
          <t>4501056</t>
        </is>
      </c>
      <c r="G260" t="inlineStr">
        <is>
          <t>Servicio de apoyo financiero para la justicia y seguridad</t>
        </is>
      </c>
      <c r="H260" t="inlineStr">
        <is>
          <t>450105600</t>
        </is>
      </c>
      <c r="I260" t="inlineStr">
        <is>
          <t>Recompensas entregadas a la ciudadanía</t>
        </is>
      </c>
      <c r="J260" t="inlineStr">
        <is>
          <t>2024254860047</t>
        </is>
      </c>
      <c r="K260" t="inlineStr">
        <is>
          <t>Si</t>
        </is>
      </c>
      <c r="L260" t="inlineStr">
        <is>
          <t>Número</t>
        </is>
      </c>
      <c r="M260">
        <v>4</v>
      </c>
      <c r="N260">
        <v>1</v>
      </c>
      <c r="O260">
        <v>1</v>
      </c>
      <c r="P260">
        <v>1</v>
      </c>
      <c r="Q260">
        <v>1</v>
      </c>
      <c r="R260" t="inlineStr">
        <is>
          <t xml:space="preserve"> </t>
        </is>
      </c>
      <c r="S260" s="103" t="inlineStr">
        <is>
          <t xml:space="preserve"> </t>
        </is>
      </c>
      <c r="T260" t="inlineStr">
        <is>
          <t>No se encontró ejecución en PIIP</t>
        </is>
      </c>
      <c r="U260" t="inlineStr">
        <is>
          <t xml:space="preserve"> </t>
        </is>
      </c>
      <c r="V260" s="104" t="inlineStr">
        <is>
          <t xml:space="preserve"> </t>
        </is>
      </c>
      <c r="W260" t="inlineStr">
        <is>
          <t>No se encontró ejecución en PIIP</t>
        </is>
      </c>
    </row>
    <row r="261">
      <c r="A261" t="inlineStr">
        <is>
          <t>IP-278</t>
        </is>
      </c>
      <c r="B261" t="inlineStr">
        <is>
          <t>45</t>
        </is>
      </c>
      <c r="C261" t="inlineStr">
        <is>
          <t>Gobierno Territorial</t>
        </is>
      </c>
      <c r="D261" t="inlineStr">
        <is>
          <t>4501</t>
        </is>
      </c>
      <c r="E261" t="inlineStr">
        <is>
          <t>Fortalecimiento de la convivencia y la seguridad ciudadana</t>
        </is>
      </c>
      <c r="F261" t="inlineStr">
        <is>
          <t>4501046</t>
        </is>
      </c>
      <c r="G261" t="inlineStr">
        <is>
          <t>Documentos de lineamientos técnicos</t>
        </is>
      </c>
      <c r="H261" t="inlineStr">
        <is>
          <t>450104600</t>
        </is>
      </c>
      <c r="I261" t="inlineStr">
        <is>
          <t>Documentos de lineamientos técnicos realizados</t>
        </is>
      </c>
      <c r="J261" t="inlineStr">
        <is>
          <t>2024254860047</t>
        </is>
      </c>
      <c r="K261" t="inlineStr">
        <is>
          <t>No</t>
        </is>
      </c>
      <c r="L261" t="inlineStr">
        <is>
          <t>Número</t>
        </is>
      </c>
      <c r="M261">
        <v>1</v>
      </c>
      <c r="N261">
        <v>1</v>
      </c>
      <c r="O261">
        <v>1</v>
      </c>
      <c r="P261">
        <v>1</v>
      </c>
      <c r="Q261">
        <v>1</v>
      </c>
      <c r="R261" t="inlineStr">
        <is>
          <t xml:space="preserve"> </t>
        </is>
      </c>
      <c r="S261" s="103" t="inlineStr">
        <is>
          <t xml:space="preserve"> </t>
        </is>
      </c>
      <c r="T261" t="inlineStr">
        <is>
          <t>No se encontró ejecución en PIIP</t>
        </is>
      </c>
      <c r="U261" t="inlineStr">
        <is>
          <t xml:space="preserve"> </t>
        </is>
      </c>
      <c r="V261" s="104" t="inlineStr">
        <is>
          <t xml:space="preserve"> </t>
        </is>
      </c>
      <c r="W261" t="inlineStr">
        <is>
          <t>No se encontró ejecución en PIIP</t>
        </is>
      </c>
    </row>
    <row r="262">
      <c r="A262" t="inlineStr">
        <is>
          <t>IP-279</t>
        </is>
      </c>
      <c r="B262" t="inlineStr">
        <is>
          <t>45</t>
        </is>
      </c>
      <c r="C262" t="inlineStr">
        <is>
          <t>Gobierno Territorial</t>
        </is>
      </c>
      <c r="D262" t="inlineStr">
        <is>
          <t>4501</t>
        </is>
      </c>
      <c r="E262" t="inlineStr">
        <is>
          <t>Fortalecimiento de la convivencia y la seguridad ciudadana</t>
        </is>
      </c>
      <c r="F262" t="inlineStr">
        <is>
          <t>4501061</t>
        </is>
      </c>
      <c r="G262" t="inlineStr">
        <is>
          <t>Servicio de atención integral a la fauna</t>
        </is>
      </c>
      <c r="H262" t="inlineStr">
        <is>
          <t>450106103</t>
        </is>
      </c>
      <c r="I262" t="inlineStr">
        <is>
          <t>Animales atendidos en servicios médicos veterinarios</t>
        </is>
      </c>
      <c r="J262" t="inlineStr">
        <is>
          <t>2024254860047</t>
        </is>
      </c>
      <c r="K262" t="inlineStr">
        <is>
          <t>Si</t>
        </is>
      </c>
      <c r="L262" t="inlineStr">
        <is>
          <t>Número</t>
        </is>
      </c>
      <c r="M262">
        <v>1000</v>
      </c>
      <c r="N262">
        <v>250</v>
      </c>
      <c r="O262">
        <v>250</v>
      </c>
      <c r="P262">
        <v>250</v>
      </c>
      <c r="Q262">
        <v>250</v>
      </c>
      <c r="R262" t="inlineStr">
        <is>
          <t xml:space="preserve"> </t>
        </is>
      </c>
      <c r="S262" s="103" t="inlineStr">
        <is>
          <t xml:space="preserve"> </t>
        </is>
      </c>
      <c r="T262" t="inlineStr">
        <is>
          <t>No se encontró ejecución en PIIP</t>
        </is>
      </c>
      <c r="U262" t="inlineStr">
        <is>
          <t xml:space="preserve"> </t>
        </is>
      </c>
      <c r="V262" s="104" t="inlineStr">
        <is>
          <t xml:space="preserve"> </t>
        </is>
      </c>
      <c r="W262" t="inlineStr">
        <is>
          <t>No se encontró ejecución en PIIP</t>
        </is>
      </c>
    </row>
    <row r="263">
      <c r="A263" t="inlineStr">
        <is>
          <t>IP-280</t>
        </is>
      </c>
      <c r="B263" t="inlineStr">
        <is>
          <t>45</t>
        </is>
      </c>
      <c r="C263" t="inlineStr">
        <is>
          <t>Gobierno Territorial</t>
        </is>
      </c>
      <c r="D263" t="inlineStr">
        <is>
          <t>4501</t>
        </is>
      </c>
      <c r="E263" t="inlineStr">
        <is>
          <t>Fortalecimiento de la convivencia y la seguridad ciudadana</t>
        </is>
      </c>
      <c r="F263" t="inlineStr">
        <is>
          <t>4501063</t>
        </is>
      </c>
      <c r="G263" t="inlineStr">
        <is>
          <t>Servicio de apoyo financiero para la atención integral de animales</t>
        </is>
      </c>
      <c r="H263" t="inlineStr">
        <is>
          <t>450106300</t>
        </is>
      </c>
      <c r="I263" t="inlineStr">
        <is>
          <t>Prestadores del servicio de atención integral de animales apoyados</t>
        </is>
      </c>
      <c r="J263" t="inlineStr">
        <is>
          <t>2024254860047</t>
        </is>
      </c>
      <c r="K263" t="inlineStr">
        <is>
          <t>No</t>
        </is>
      </c>
      <c r="L263" t="inlineStr">
        <is>
          <t>Número</t>
        </is>
      </c>
      <c r="M263">
        <v>1</v>
      </c>
      <c r="N263">
        <v>1</v>
      </c>
      <c r="O263">
        <v>1</v>
      </c>
      <c r="P263">
        <v>1</v>
      </c>
      <c r="Q263">
        <v>1</v>
      </c>
      <c r="R263" t="inlineStr">
        <is>
          <t xml:space="preserve"> </t>
        </is>
      </c>
      <c r="S263" s="103" t="inlineStr">
        <is>
          <t xml:space="preserve"> </t>
        </is>
      </c>
      <c r="T263" t="inlineStr">
        <is>
          <t>No se encontró ejecución en PIIP</t>
        </is>
      </c>
      <c r="U263" t="inlineStr">
        <is>
          <t xml:space="preserve"> </t>
        </is>
      </c>
      <c r="V263" s="104" t="inlineStr">
        <is>
          <t xml:space="preserve"> </t>
        </is>
      </c>
      <c r="W263" t="inlineStr">
        <is>
          <t>No se encontró ejecución en PIIP</t>
        </is>
      </c>
    </row>
    <row r="264">
      <c r="A264" t="inlineStr">
        <is>
          <t>IP-281</t>
        </is>
      </c>
      <c r="B264" t="inlineStr">
        <is>
          <t>45</t>
        </is>
      </c>
      <c r="C264" t="inlineStr">
        <is>
          <t>Gobierno Territorial</t>
        </is>
      </c>
      <c r="D264" t="inlineStr">
        <is>
          <t>4503</t>
        </is>
      </c>
      <c r="E264" t="inlineStr">
        <is>
          <t>Gestión del riesgo de desastres y emergencias</t>
        </is>
      </c>
      <c r="F264" t="inlineStr">
        <is>
          <t>4503016</t>
        </is>
      </c>
      <c r="G264" t="inlineStr">
        <is>
          <t>Servicio de fortalecimiento a las salas de crisis territorial</t>
        </is>
      </c>
      <c r="H264" t="inlineStr">
        <is>
          <t>450301600</t>
        </is>
      </c>
      <c r="I264" t="inlineStr">
        <is>
          <t>Organismos de atención de emergencias fortalecidos</t>
        </is>
      </c>
      <c r="J264" t="inlineStr">
        <is>
          <t>2024254860048</t>
        </is>
      </c>
      <c r="K264" t="inlineStr">
        <is>
          <t>Si</t>
        </is>
      </c>
      <c r="L264" t="inlineStr">
        <is>
          <t>Número</t>
        </is>
      </c>
      <c r="M264">
        <v>1</v>
      </c>
      <c r="N264">
        <v>0</v>
      </c>
      <c r="O264">
        <v>0</v>
      </c>
      <c r="P264">
        <v>0</v>
      </c>
      <c r="Q264">
        <v>1</v>
      </c>
      <c r="R264" t="inlineStr">
        <is>
          <t xml:space="preserve"> </t>
        </is>
      </c>
      <c r="S264" s="103" t="inlineStr">
        <is>
          <t xml:space="preserve"> </t>
        </is>
      </c>
      <c r="T264" t="inlineStr">
        <is>
          <t>No se encontró ejecución en PIIP</t>
        </is>
      </c>
      <c r="U264" t="inlineStr">
        <is>
          <t xml:space="preserve"> </t>
        </is>
      </c>
      <c r="V264" s="104" t="inlineStr">
        <is>
          <t xml:space="preserve"> </t>
        </is>
      </c>
      <c r="W264" t="inlineStr">
        <is>
          <t>No se encontró ejecución en PIIP</t>
        </is>
      </c>
    </row>
    <row r="265">
      <c r="A265" t="inlineStr">
        <is>
          <t>IP-282</t>
        </is>
      </c>
      <c r="B265" t="inlineStr">
        <is>
          <t>45</t>
        </is>
      </c>
      <c r="C265" t="inlineStr">
        <is>
          <t>Gobierno Territorial</t>
        </is>
      </c>
      <c r="D265" t="inlineStr">
        <is>
          <t>4503</t>
        </is>
      </c>
      <c r="E265" t="inlineStr">
        <is>
          <t>Gestión del riesgo de desastres y emergencias</t>
        </is>
      </c>
      <c r="F265" t="inlineStr">
        <is>
          <t>4503004</t>
        </is>
      </c>
      <c r="G265" t="inlineStr">
        <is>
          <t>Servicio de atención a emergencias y desastres</t>
        </is>
      </c>
      <c r="H265" t="inlineStr">
        <is>
          <t>450300401</t>
        </is>
      </c>
      <c r="I265" t="inlineStr">
        <is>
          <t>Organismos de atención de emergencias equipados</t>
        </is>
      </c>
      <c r="J265" t="inlineStr">
        <is>
          <t>2024254860048</t>
        </is>
      </c>
      <c r="K265" t="inlineStr">
        <is>
          <t>Si</t>
        </is>
      </c>
      <c r="L265" t="inlineStr">
        <is>
          <t>Número</t>
        </is>
      </c>
      <c r="M265">
        <v>1</v>
      </c>
      <c r="N265">
        <v>0</v>
      </c>
      <c r="O265">
        <v>0</v>
      </c>
      <c r="P265">
        <v>0</v>
      </c>
      <c r="Q265">
        <v>1</v>
      </c>
      <c r="R265" t="inlineStr">
        <is>
          <t xml:space="preserve"> </t>
        </is>
      </c>
      <c r="S265" s="103" t="inlineStr">
        <is>
          <t xml:space="preserve"> </t>
        </is>
      </c>
      <c r="T265" t="inlineStr">
        <is>
          <t>No se encontró ejecución en PIIP</t>
        </is>
      </c>
      <c r="U265" t="inlineStr">
        <is>
          <t xml:space="preserve"> </t>
        </is>
      </c>
      <c r="V265" s="104" t="inlineStr">
        <is>
          <t xml:space="preserve"> </t>
        </is>
      </c>
      <c r="W265" t="inlineStr">
        <is>
          <t>No se encontró ejecución en PIIP</t>
        </is>
      </c>
    </row>
    <row r="266">
      <c r="A266" t="inlineStr">
        <is>
          <t>IP-283, IP-285</t>
        </is>
      </c>
      <c r="B266" t="inlineStr">
        <is>
          <t>45</t>
        </is>
      </c>
      <c r="C266" t="inlineStr">
        <is>
          <t>Gobierno Territorial</t>
        </is>
      </c>
      <c r="D266" t="inlineStr">
        <is>
          <t>4503</t>
        </is>
      </c>
      <c r="E266" t="inlineStr">
        <is>
          <t>Gestión del riesgo de desastres y emergencias</t>
        </is>
      </c>
      <c r="F266" t="inlineStr">
        <is>
          <t>4503023</t>
        </is>
      </c>
      <c r="G266" t="inlineStr">
        <is>
          <t>Documentos de planeación</t>
        </is>
      </c>
      <c r="H266" t="inlineStr">
        <is>
          <t>450302302</t>
        </is>
      </c>
      <c r="I266" t="inlineStr">
        <is>
          <t>Estrategia para la respuesta a emergencias actualizada</t>
        </is>
      </c>
      <c r="J266" t="inlineStr">
        <is>
          <t>2024254860048</t>
        </is>
      </c>
      <c r="K266" t="inlineStr">
        <is>
          <t>No</t>
        </is>
      </c>
      <c r="L266" t="inlineStr">
        <is>
          <t>Número</t>
        </is>
      </c>
      <c r="M266">
        <v>2</v>
      </c>
      <c r="N266">
        <v>1</v>
      </c>
      <c r="O266">
        <v>2</v>
      </c>
      <c r="P266">
        <v>2</v>
      </c>
      <c r="Q266">
        <v>2</v>
      </c>
      <c r="R266" t="inlineStr">
        <is>
          <t xml:space="preserve"> </t>
        </is>
      </c>
      <c r="S266" s="103" t="inlineStr">
        <is>
          <t xml:space="preserve"> </t>
        </is>
      </c>
      <c r="T266" t="inlineStr">
        <is>
          <t>No se encontró ejecución en PIIP</t>
        </is>
      </c>
      <c r="U266" t="inlineStr">
        <is>
          <t xml:space="preserve"> </t>
        </is>
      </c>
      <c r="V266" s="104" t="inlineStr">
        <is>
          <t xml:space="preserve"> </t>
        </is>
      </c>
      <c r="W266" t="inlineStr">
        <is>
          <t>No se encontró ejecución en PIIP</t>
        </is>
      </c>
    </row>
    <row r="267">
      <c r="A267" t="inlineStr">
        <is>
          <t>IP-284</t>
        </is>
      </c>
      <c r="B267" t="inlineStr">
        <is>
          <t>45</t>
        </is>
      </c>
      <c r="C267" t="inlineStr">
        <is>
          <t>Gobierno Territorial</t>
        </is>
      </c>
      <c r="D267" t="inlineStr">
        <is>
          <t>4503</t>
        </is>
      </c>
      <c r="E267" t="inlineStr">
        <is>
          <t>Gestión del riesgo de desastres y emergencias</t>
        </is>
      </c>
      <c r="F267" t="inlineStr">
        <is>
          <t>4503026</t>
        </is>
      </c>
      <c r="G267" t="inlineStr">
        <is>
          <t>Centros logísticos construidos y dotados</t>
        </is>
      </c>
      <c r="H267" t="inlineStr">
        <is>
          <t>450302600</t>
        </is>
      </c>
      <c r="I267" t="inlineStr">
        <is>
          <t>Centros logísticos para la gestión del riesgo de desastres construidos</t>
        </is>
      </c>
      <c r="J267" t="inlineStr">
        <is>
          <t>2024254860048</t>
        </is>
      </c>
      <c r="K267" t="inlineStr">
        <is>
          <t>No</t>
        </is>
      </c>
      <c r="L267" t="inlineStr">
        <is>
          <t>Número</t>
        </is>
      </c>
      <c r="M267">
        <v>1</v>
      </c>
      <c r="N267">
        <v>0</v>
      </c>
      <c r="O267">
        <v>0</v>
      </c>
      <c r="P267">
        <v>1</v>
      </c>
      <c r="Q267">
        <v>1</v>
      </c>
      <c r="R267" t="inlineStr">
        <is>
          <t xml:space="preserve"> </t>
        </is>
      </c>
      <c r="S267" s="103" t="inlineStr">
        <is>
          <t xml:space="preserve"> </t>
        </is>
      </c>
      <c r="T267" t="inlineStr">
        <is>
          <t>No se encontró ejecución en PIIP</t>
        </is>
      </c>
      <c r="U267" t="inlineStr">
        <is>
          <t xml:space="preserve"> </t>
        </is>
      </c>
      <c r="V267" s="104" t="inlineStr">
        <is>
          <t xml:space="preserve"> </t>
        </is>
      </c>
      <c r="W267" t="inlineStr">
        <is>
          <t>No se encontró ejecución en PIIP</t>
        </is>
      </c>
    </row>
    <row r="268">
      <c r="A268" t="inlineStr">
        <is>
          <t>IP-286</t>
        </is>
      </c>
      <c r="B268" t="inlineStr">
        <is>
          <t>45</t>
        </is>
      </c>
      <c r="C268" t="inlineStr">
        <is>
          <t>Gobierno Territorial</t>
        </is>
      </c>
      <c r="D268" t="inlineStr">
        <is>
          <t>4503</t>
        </is>
      </c>
      <c r="E268" t="inlineStr">
        <is>
          <t>Gestión del riesgo de desastres y emergencias</t>
        </is>
      </c>
      <c r="F268" t="inlineStr">
        <is>
          <t>4503036</t>
        </is>
      </c>
      <c r="G268" t="inlineStr">
        <is>
          <t>Servicio de apoyo financiero para la prevención y control de incendios en los municipios</t>
        </is>
      </c>
      <c r="H268" t="inlineStr">
        <is>
          <t>450303600</t>
        </is>
      </c>
      <c r="I268" t="inlineStr">
        <is>
          <t>Entidades territoriales cofinanciadas</t>
        </is>
      </c>
      <c r="J268" t="inlineStr">
        <is>
          <t>2024254860048</t>
        </is>
      </c>
      <c r="K268" t="inlineStr">
        <is>
          <t>No</t>
        </is>
      </c>
      <c r="L268" t="inlineStr">
        <is>
          <t>Número</t>
        </is>
      </c>
      <c r="M268">
        <v>1</v>
      </c>
      <c r="N268">
        <v>1</v>
      </c>
      <c r="O268">
        <v>1</v>
      </c>
      <c r="P268">
        <v>1</v>
      </c>
      <c r="Q268">
        <v>1</v>
      </c>
      <c r="R268" t="inlineStr">
        <is>
          <t xml:space="preserve"> </t>
        </is>
      </c>
      <c r="S268" s="103" t="inlineStr">
        <is>
          <t xml:space="preserve"> </t>
        </is>
      </c>
      <c r="T268" t="inlineStr">
        <is>
          <t>No se encontró ejecución en PIIP</t>
        </is>
      </c>
      <c r="U268" t="inlineStr">
        <is>
          <t xml:space="preserve"> </t>
        </is>
      </c>
      <c r="V268" s="104" t="inlineStr">
        <is>
          <t xml:space="preserve"> </t>
        </is>
      </c>
      <c r="W268" t="inlineStr">
        <is>
          <t>No se encontró ejecución en PIIP</t>
        </is>
      </c>
    </row>
    <row r="269">
      <c r="A269" t="inlineStr">
        <is>
          <t>IP-287</t>
        </is>
      </c>
      <c r="B269" t="inlineStr">
        <is>
          <t>45</t>
        </is>
      </c>
      <c r="C269" t="inlineStr">
        <is>
          <t>Gobierno Territorial</t>
        </is>
      </c>
      <c r="D269" t="inlineStr">
        <is>
          <t>4503</t>
        </is>
      </c>
      <c r="E269" t="inlineStr">
        <is>
          <t>Gestión del riesgo de desastres y emergencias</t>
        </is>
      </c>
      <c r="F269" t="inlineStr">
        <is>
          <t>4503002</t>
        </is>
      </c>
      <c r="G269" t="inlineStr">
        <is>
          <t>Servicio de educación informal</t>
        </is>
      </c>
      <c r="H269" t="inlineStr">
        <is>
          <t>450300201</t>
        </is>
      </c>
      <c r="I269" t="inlineStr">
        <is>
          <t>Campañas de educación para la prevención y atención de desastres desarrolladas</t>
        </is>
      </c>
      <c r="J269" t="inlineStr">
        <is>
          <t>2024254860048</t>
        </is>
      </c>
      <c r="K269" t="inlineStr">
        <is>
          <t>Si</t>
        </is>
      </c>
      <c r="L269" t="inlineStr">
        <is>
          <t>Número</t>
        </is>
      </c>
      <c r="M269">
        <v>8</v>
      </c>
      <c r="N269">
        <v>2</v>
      </c>
      <c r="O269">
        <v>2</v>
      </c>
      <c r="P269">
        <v>2</v>
      </c>
      <c r="Q269">
        <v>2</v>
      </c>
      <c r="R269" t="inlineStr">
        <is>
          <t xml:space="preserve"> </t>
        </is>
      </c>
      <c r="S269" s="103" t="inlineStr">
        <is>
          <t xml:space="preserve"> </t>
        </is>
      </c>
      <c r="T269" t="inlineStr">
        <is>
          <t>No se encontró ejecución en PIIP</t>
        </is>
      </c>
      <c r="U269" t="inlineStr">
        <is>
          <t xml:space="preserve"> </t>
        </is>
      </c>
      <c r="V269" s="104" t="inlineStr">
        <is>
          <t xml:space="preserve"> </t>
        </is>
      </c>
      <c r="W269" t="inlineStr">
        <is>
          <t>No se encontró ejecución en PIIP</t>
        </is>
      </c>
    </row>
    <row r="270">
      <c r="A270" t="inlineStr">
        <is>
          <t>IP-288</t>
        </is>
      </c>
      <c r="B270" t="inlineStr">
        <is>
          <t>45</t>
        </is>
      </c>
      <c r="C270" t="inlineStr">
        <is>
          <t>Gobierno Territorial</t>
        </is>
      </c>
      <c r="D270" t="inlineStr">
        <is>
          <t>4503</t>
        </is>
      </c>
      <c r="E270" t="inlineStr">
        <is>
          <t>Gestión del riesgo de desastres y emergencias</t>
        </is>
      </c>
      <c r="F270" t="inlineStr">
        <is>
          <t>4503022</t>
        </is>
      </c>
      <c r="G270" t="inlineStr">
        <is>
          <t>Obras de infraestructura para la reducción del riesgo de desastres</t>
        </is>
      </c>
      <c r="H270" t="inlineStr">
        <is>
          <t>450302200</t>
        </is>
      </c>
      <c r="I270" t="inlineStr">
        <is>
          <t>Obras de infraestructura para la reducción del riesgo de desastres realizadas</t>
        </is>
      </c>
      <c r="J270" t="inlineStr">
        <is>
          <t>2024254860048</t>
        </is>
      </c>
      <c r="K270" t="inlineStr">
        <is>
          <t>Si</t>
        </is>
      </c>
      <c r="L270" t="inlineStr">
        <is>
          <t>Número</t>
        </is>
      </c>
      <c r="M270">
        <v>3</v>
      </c>
      <c r="N270">
        <v>0</v>
      </c>
      <c r="O270">
        <v>1</v>
      </c>
      <c r="P270">
        <v>1</v>
      </c>
      <c r="Q270">
        <v>1</v>
      </c>
      <c r="R270" t="inlineStr">
        <is>
          <t xml:space="preserve"> </t>
        </is>
      </c>
      <c r="S270" s="103" t="inlineStr">
        <is>
          <t xml:space="preserve"> </t>
        </is>
      </c>
      <c r="T270" t="inlineStr">
        <is>
          <t>No se encontró ejecución en PIIP</t>
        </is>
      </c>
      <c r="U270" t="inlineStr">
        <is>
          <t xml:space="preserve"> </t>
        </is>
      </c>
      <c r="V270" s="104" t="inlineStr">
        <is>
          <t xml:space="preserve"> </t>
        </is>
      </c>
      <c r="W270" t="inlineStr">
        <is>
          <t>No se encontró ejecución en PIIP</t>
        </is>
      </c>
    </row>
    <row r="271">
      <c r="A271" t="inlineStr">
        <is>
          <t>IP-289</t>
        </is>
      </c>
      <c r="B271" t="inlineStr">
        <is>
          <t>45</t>
        </is>
      </c>
      <c r="C271" t="inlineStr">
        <is>
          <t>Gobierno Territorial</t>
        </is>
      </c>
      <c r="D271" t="inlineStr">
        <is>
          <t>4503</t>
        </is>
      </c>
      <c r="E271" t="inlineStr">
        <is>
          <t>Gestión del riesgo de desastres y emergencias</t>
        </is>
      </c>
      <c r="F271" t="inlineStr">
        <is>
          <t>4503023</t>
        </is>
      </c>
      <c r="G271" t="inlineStr">
        <is>
          <t>Documentos de planeación</t>
        </is>
      </c>
      <c r="H271" t="inlineStr">
        <is>
          <t>450302300</t>
        </is>
      </c>
      <c r="I271" t="inlineStr">
        <is>
          <t>Documentos de planeación elaborados</t>
        </is>
      </c>
      <c r="J271" t="inlineStr">
        <is>
          <t>2024254860048</t>
        </is>
      </c>
      <c r="K271" t="inlineStr">
        <is>
          <t>No</t>
        </is>
      </c>
      <c r="L271" t="inlineStr">
        <is>
          <t>Número</t>
        </is>
      </c>
      <c r="M271">
        <v>1</v>
      </c>
      <c r="N271">
        <v>1</v>
      </c>
      <c r="O271">
        <v>1</v>
      </c>
      <c r="P271">
        <v>1</v>
      </c>
      <c r="Q271">
        <v>1</v>
      </c>
      <c r="R271" t="inlineStr">
        <is>
          <t xml:space="preserve"> </t>
        </is>
      </c>
      <c r="S271" s="103" t="inlineStr">
        <is>
          <t xml:space="preserve"> </t>
        </is>
      </c>
      <c r="T271" t="inlineStr">
        <is>
          <t>No se encontró ejecución en PIIP</t>
        </is>
      </c>
      <c r="U271" t="inlineStr">
        <is>
          <t xml:space="preserve"> </t>
        </is>
      </c>
      <c r="V271" s="104" t="inlineStr">
        <is>
          <t xml:space="preserve"> </t>
        </is>
      </c>
      <c r="W271" t="inlineStr">
        <is>
          <t>No se encontró ejecución en PIIP</t>
        </is>
      </c>
    </row>
    <row r="272">
      <c r="A272" t="inlineStr">
        <is>
          <t>IP-290</t>
        </is>
      </c>
      <c r="B272" t="inlineStr">
        <is>
          <t>45</t>
        </is>
      </c>
      <c r="C272" t="inlineStr">
        <is>
          <t>Gobierno Territorial</t>
        </is>
      </c>
      <c r="D272" t="inlineStr">
        <is>
          <t>4503</t>
        </is>
      </c>
      <c r="E272" t="inlineStr">
        <is>
          <t>Gestión del riesgo de desastres y emergencias</t>
        </is>
      </c>
      <c r="F272" t="inlineStr">
        <is>
          <t>4503004</t>
        </is>
      </c>
      <c r="G272" t="inlineStr">
        <is>
          <t>Servicio de atención a emergencias y desastres</t>
        </is>
      </c>
      <c r="H272" t="inlineStr">
        <is>
          <t>450300400</t>
        </is>
      </c>
      <c r="I272" t="inlineStr">
        <is>
          <t>Emergencias y desastres atendidas</t>
        </is>
      </c>
      <c r="J272" t="inlineStr">
        <is>
          <t>2024254860048</t>
        </is>
      </c>
      <c r="K272" t="inlineStr">
        <is>
          <t>Si</t>
        </is>
      </c>
      <c r="L272" t="inlineStr">
        <is>
          <t>Número</t>
        </is>
      </c>
      <c r="M272">
        <v>1</v>
      </c>
      <c r="N272">
        <v>1</v>
      </c>
      <c r="O272">
        <v>0</v>
      </c>
      <c r="P272">
        <v>0</v>
      </c>
      <c r="Q272">
        <v>0</v>
      </c>
      <c r="R272" t="inlineStr">
        <is>
          <t xml:space="preserve"> </t>
        </is>
      </c>
      <c r="S272" s="103" t="inlineStr">
        <is>
          <t xml:space="preserve"> </t>
        </is>
      </c>
      <c r="T272" t="inlineStr">
        <is>
          <t>No se encontró ejecución en PIIP</t>
        </is>
      </c>
      <c r="U272" t="inlineStr">
        <is>
          <t xml:space="preserve"> </t>
        </is>
      </c>
      <c r="V272" s="104" t="inlineStr">
        <is>
          <t xml:space="preserve"> </t>
        </is>
      </c>
      <c r="W272" t="inlineStr">
        <is>
          <t>No se encontró ejecución en PIIP</t>
        </is>
      </c>
    </row>
    <row r="273">
      <c r="A273" t="inlineStr">
        <is>
          <t>IP-291</t>
        </is>
      </c>
      <c r="B273" t="inlineStr">
        <is>
          <t>04</t>
        </is>
      </c>
      <c r="C273" t="inlineStr">
        <is>
          <t>Información Estadística</t>
        </is>
      </c>
      <c r="D273" t="inlineStr">
        <is>
          <t>0406</t>
        </is>
      </c>
      <c r="E273" t="inlineStr">
        <is>
          <t>Generación de la información geográfica del territorio nacional</t>
        </is>
      </c>
      <c r="F273" t="inlineStr">
        <is>
          <t>0406001</t>
        </is>
      </c>
      <c r="G273" t="inlineStr">
        <is>
          <t>Servicio de información geográfica, geodésica y cartográfica actualizado</t>
        </is>
      </c>
      <c r="H273" t="inlineStr">
        <is>
          <t>040600100</t>
        </is>
      </c>
      <c r="I273" t="inlineStr">
        <is>
          <t>Sistema de información actualizado</t>
        </is>
      </c>
      <c r="J273" t="inlineStr">
        <is>
          <t>2024254860049</t>
        </is>
      </c>
      <c r="K273" t="inlineStr">
        <is>
          <t>No</t>
        </is>
      </c>
      <c r="L273" t="inlineStr">
        <is>
          <t>Número</t>
        </is>
      </c>
      <c r="M273">
        <v>1</v>
      </c>
      <c r="N273">
        <v>0</v>
      </c>
      <c r="O273">
        <v>1</v>
      </c>
      <c r="P273">
        <v>1</v>
      </c>
      <c r="Q273">
        <v>1</v>
      </c>
      <c r="R273" t="inlineStr">
        <is>
          <t xml:space="preserve"> </t>
        </is>
      </c>
      <c r="S273" s="103" t="inlineStr">
        <is>
          <t xml:space="preserve"> </t>
        </is>
      </c>
      <c r="T273" t="inlineStr">
        <is>
          <t>No se encontró ejecución en PIIP</t>
        </is>
      </c>
      <c r="U273" t="inlineStr">
        <is>
          <t xml:space="preserve"> </t>
        </is>
      </c>
      <c r="V273" s="104" t="inlineStr">
        <is>
          <t xml:space="preserve"> </t>
        </is>
      </c>
      <c r="W273" t="inlineStr">
        <is>
          <t>No se encontró ejecución en PIIP</t>
        </is>
      </c>
    </row>
    <row r="274">
      <c r="A274" t="inlineStr">
        <is>
          <t>IP-292</t>
        </is>
      </c>
      <c r="B274" t="inlineStr">
        <is>
          <t>04</t>
        </is>
      </c>
      <c r="C274" t="inlineStr">
        <is>
          <t>Información Estadística</t>
        </is>
      </c>
      <c r="D274" t="inlineStr">
        <is>
          <t>0406</t>
        </is>
      </c>
      <c r="E274" t="inlineStr">
        <is>
          <t>Generación de la información geográfica del territorio nacional</t>
        </is>
      </c>
      <c r="F274" t="inlineStr">
        <is>
          <t>0406004</t>
        </is>
      </c>
      <c r="G274" t="inlineStr">
        <is>
          <t>Servicio de información catastral actualizado</t>
        </is>
      </c>
      <c r="H274" t="inlineStr">
        <is>
          <t>040600402</t>
        </is>
      </c>
      <c r="I274" t="inlineStr">
        <is>
          <t>Base catastral geográfica actualizada</t>
        </is>
      </c>
      <c r="J274" t="inlineStr">
        <is>
          <t>2024254860049</t>
        </is>
      </c>
      <c r="K274" t="inlineStr">
        <is>
          <t>Si</t>
        </is>
      </c>
      <c r="L274" t="inlineStr">
        <is>
          <t>Número</t>
        </is>
      </c>
      <c r="M274">
        <v>1</v>
      </c>
      <c r="N274">
        <v>0</v>
      </c>
      <c r="O274">
        <v>1</v>
      </c>
      <c r="P274">
        <v>0</v>
      </c>
      <c r="Q274">
        <v>0</v>
      </c>
      <c r="R274" t="inlineStr">
        <is>
          <t xml:space="preserve"> </t>
        </is>
      </c>
      <c r="S274" s="103" t="inlineStr">
        <is>
          <t xml:space="preserve"> </t>
        </is>
      </c>
      <c r="T274" t="inlineStr">
        <is>
          <t>No se encontró ejecución en PIIP</t>
        </is>
      </c>
      <c r="U274" t="inlineStr">
        <is>
          <t xml:space="preserve"> </t>
        </is>
      </c>
      <c r="V274" s="104" t="inlineStr">
        <is>
          <t xml:space="preserve"> </t>
        </is>
      </c>
      <c r="W274" t="inlineStr">
        <is>
          <t>No se encontró ejecución en PIIP</t>
        </is>
      </c>
    </row>
    <row r="275">
      <c r="A275" t="inlineStr">
        <is>
          <t>IP-293</t>
        </is>
      </c>
      <c r="B275" t="inlineStr">
        <is>
          <t>04</t>
        </is>
      </c>
      <c r="C275" t="inlineStr">
        <is>
          <t>Información Estadística</t>
        </is>
      </c>
      <c r="D275" t="inlineStr">
        <is>
          <t>0401</t>
        </is>
      </c>
      <c r="E275" t="inlineStr">
        <is>
          <t>Levantamiento y actualización de información estadística de calidad</t>
        </is>
      </c>
      <c r="F275" t="inlineStr">
        <is>
          <t>0401105</t>
        </is>
      </c>
      <c r="G275" t="inlineStr">
        <is>
          <t>Servicio de estratificación socioeconómica</t>
        </is>
      </c>
      <c r="H275" t="inlineStr">
        <is>
          <t>040110500</t>
        </is>
      </c>
      <c r="I275" t="inlineStr">
        <is>
          <t>Predios con estratificación socioeconómica</t>
        </is>
      </c>
      <c r="J275" t="inlineStr">
        <is>
          <t>2024254860050</t>
        </is>
      </c>
      <c r="K275" t="inlineStr">
        <is>
          <t>Si</t>
        </is>
      </c>
      <c r="L275" t="inlineStr">
        <is>
          <t>Número</t>
        </is>
      </c>
      <c r="M275">
        <v>3600</v>
      </c>
      <c r="N275">
        <v>0</v>
      </c>
      <c r="O275">
        <v>3600</v>
      </c>
      <c r="P275">
        <v>0</v>
      </c>
      <c r="Q275">
        <v>0</v>
      </c>
      <c r="R275" t="inlineStr">
        <is>
          <t xml:space="preserve"> </t>
        </is>
      </c>
      <c r="S275" s="103" t="inlineStr">
        <is>
          <t xml:space="preserve"> </t>
        </is>
      </c>
      <c r="T275" t="inlineStr">
        <is>
          <t>No se encontró ejecución en PIIP</t>
        </is>
      </c>
      <c r="U275" t="inlineStr">
        <is>
          <t xml:space="preserve"> </t>
        </is>
      </c>
      <c r="V275" s="104" t="inlineStr">
        <is>
          <t xml:space="preserve"> </t>
        </is>
      </c>
      <c r="W275" t="inlineStr">
        <is>
          <t>No se encontró ejecución en PIIP</t>
        </is>
      </c>
    </row>
    <row r="276">
      <c r="A276" t="inlineStr">
        <is>
          <t>IP-294</t>
        </is>
      </c>
      <c r="B276" t="inlineStr">
        <is>
          <t>04</t>
        </is>
      </c>
      <c r="C276" t="inlineStr">
        <is>
          <t>Información Estadística</t>
        </is>
      </c>
      <c r="D276" t="inlineStr">
        <is>
          <t>0401</t>
        </is>
      </c>
      <c r="E276" t="inlineStr">
        <is>
          <t>Levantamiento y actualización de información estadística de calidad</t>
        </is>
      </c>
      <c r="F276" t="inlineStr">
        <is>
          <t>0401102</t>
        </is>
      </c>
      <c r="G276" t="inlineStr">
        <is>
          <t>Servicio de información implementado</t>
        </is>
      </c>
      <c r="H276" t="inlineStr">
        <is>
          <t>040110200</t>
        </is>
      </c>
      <c r="I276" t="inlineStr">
        <is>
          <t>Sistemas de información implementados</t>
        </is>
      </c>
      <c r="J276" t="inlineStr">
        <is>
          <t>2024254860050</t>
        </is>
      </c>
      <c r="K276" t="inlineStr">
        <is>
          <t>No</t>
        </is>
      </c>
      <c r="L276" t="inlineStr">
        <is>
          <t>Número</t>
        </is>
      </c>
      <c r="M276">
        <v>1</v>
      </c>
      <c r="N276">
        <v>1</v>
      </c>
      <c r="O276">
        <v>1</v>
      </c>
      <c r="P276">
        <v>1</v>
      </c>
      <c r="Q276">
        <v>1</v>
      </c>
      <c r="R276" t="inlineStr">
        <is>
          <t xml:space="preserve"> </t>
        </is>
      </c>
      <c r="S276" s="103" t="inlineStr">
        <is>
          <t xml:space="preserve"> </t>
        </is>
      </c>
      <c r="T276" t="inlineStr">
        <is>
          <t>No se encontró ejecución en PIIP</t>
        </is>
      </c>
      <c r="U276" t="inlineStr">
        <is>
          <t xml:space="preserve"> </t>
        </is>
      </c>
      <c r="V276" s="104" t="inlineStr">
        <is>
          <t xml:space="preserve"> </t>
        </is>
      </c>
      <c r="W276" t="inlineStr">
        <is>
          <t>No se encontró ejecución en PIIP</t>
        </is>
      </c>
    </row>
    <row r="277">
      <c r="A277" t="inlineStr">
        <is>
          <t>IP-295</t>
        </is>
      </c>
      <c r="B277" t="inlineStr">
        <is>
          <t>25</t>
        </is>
      </c>
      <c r="C277" t="inlineStr">
        <is>
          <t>Organismos de Control</t>
        </is>
      </c>
      <c r="D277" t="inlineStr">
        <is>
          <t>2501</t>
        </is>
      </c>
      <c r="E277" t="inlineStr">
        <is>
          <t>Fortalecimiento del control y la vigilancia de la gestión fiscal y resarcimiento al daño del patrimonio público</t>
        </is>
      </c>
      <c r="F277" t="inlineStr">
        <is>
          <t>2501021</t>
        </is>
      </c>
      <c r="G277" t="inlineStr">
        <is>
          <t>Servicio de control fiscal participativo</t>
        </is>
      </c>
      <c r="H277" t="inlineStr">
        <is>
          <t>250102100</t>
        </is>
      </c>
      <c r="I277" t="inlineStr">
        <is>
          <t>Estrategias de fortalecimiento de capacidades ciudadanas para el control social implementadas</t>
        </is>
      </c>
      <c r="J277" t="inlineStr">
        <is>
          <t>2024254860051</t>
        </is>
      </c>
      <c r="K277" t="inlineStr">
        <is>
          <t>Si</t>
        </is>
      </c>
      <c r="L277" t="inlineStr">
        <is>
          <t>Número</t>
        </is>
      </c>
      <c r="M277">
        <v>4</v>
      </c>
      <c r="N277">
        <v>1</v>
      </c>
      <c r="O277">
        <v>1</v>
      </c>
      <c r="P277">
        <v>1</v>
      </c>
      <c r="Q277">
        <v>1</v>
      </c>
      <c r="R277" t="inlineStr">
        <is>
          <t xml:space="preserve"> </t>
        </is>
      </c>
      <c r="S277" s="103" t="inlineStr">
        <is>
          <t xml:space="preserve"> </t>
        </is>
      </c>
      <c r="T277" t="inlineStr">
        <is>
          <t>No se encontró ejecución en PIIP</t>
        </is>
      </c>
      <c r="U277" t="inlineStr">
        <is>
          <t xml:space="preserve"> </t>
        </is>
      </c>
      <c r="V277" s="104" t="inlineStr">
        <is>
          <t xml:space="preserve"> </t>
        </is>
      </c>
      <c r="W277" t="inlineStr">
        <is>
          <t>No se encontró ejecución en PIIP</t>
        </is>
      </c>
    </row>
    <row r="278">
      <c r="A278" t="inlineStr">
        <is>
          <t>IP-296</t>
        </is>
      </c>
      <c r="B278" t="inlineStr">
        <is>
          <t>25</t>
        </is>
      </c>
      <c r="C278" t="inlineStr">
        <is>
          <t>Organismos de Control</t>
        </is>
      </c>
      <c r="D278" t="inlineStr">
        <is>
          <t>2502</t>
        </is>
      </c>
      <c r="E278" t="inlineStr">
        <is>
          <t>Promoción, protección y defensa de los Derechos Humanos y el Derecho Internacional Humanitario</t>
        </is>
      </c>
      <c r="F278" t="inlineStr">
        <is>
          <t>2502002</t>
        </is>
      </c>
      <c r="G278" t="inlineStr">
        <is>
          <t>Servicio de asistencia técnica para atención, orientación y asesoría en materia de Derechos Humanos, el Derecho Internacional Humanitario y en escenarios de paz</t>
        </is>
      </c>
      <c r="H278" t="inlineStr">
        <is>
          <t>250200209</t>
        </is>
      </c>
      <c r="I278" t="inlineStr">
        <is>
          <t>Jornadas de orientación y acompañamiento realizadas sobre DDHH y DIH</t>
        </is>
      </c>
      <c r="J278" t="inlineStr">
        <is>
          <t>2024254860052</t>
        </is>
      </c>
      <c r="K278" t="inlineStr">
        <is>
          <t>Si</t>
        </is>
      </c>
      <c r="L278" t="inlineStr">
        <is>
          <t>Número</t>
        </is>
      </c>
      <c r="M278">
        <v>3</v>
      </c>
      <c r="N278">
        <v>0</v>
      </c>
      <c r="O278">
        <v>1</v>
      </c>
      <c r="P278">
        <v>1</v>
      </c>
      <c r="Q278">
        <v>1</v>
      </c>
      <c r="R278" t="inlineStr">
        <is>
          <t xml:space="preserve"> </t>
        </is>
      </c>
      <c r="S278" s="103" t="inlineStr">
        <is>
          <t xml:space="preserve"> </t>
        </is>
      </c>
      <c r="T278" t="inlineStr">
        <is>
          <t>No se encontró ejecución en PIIP</t>
        </is>
      </c>
      <c r="U278" t="inlineStr">
        <is>
          <t xml:space="preserve"> </t>
        </is>
      </c>
      <c r="V278" s="104" t="inlineStr">
        <is>
          <t xml:space="preserve"> </t>
        </is>
      </c>
      <c r="W278" t="inlineStr">
        <is>
          <t>No se encontró ejecución en PIIP</t>
        </is>
      </c>
    </row>
    <row r="279">
      <c r="A279" t="inlineStr">
        <is>
          <t>IP-297</t>
        </is>
      </c>
      <c r="B279" t="inlineStr">
        <is>
          <t>25</t>
        </is>
      </c>
      <c r="C279" t="inlineStr">
        <is>
          <t>Organismos de Control</t>
        </is>
      </c>
      <c r="D279" t="inlineStr">
        <is>
          <t>2501</t>
        </is>
      </c>
      <c r="E279" t="inlineStr">
        <is>
          <t>Fortalecimiento del control y la vigilancia de la gestión fiscal y resarcimiento al daño del patrimonio público</t>
        </is>
      </c>
      <c r="F279" t="inlineStr">
        <is>
          <t>2501021</t>
        </is>
      </c>
      <c r="G279" t="inlineStr">
        <is>
          <t>Servicio de control fiscal participativo</t>
        </is>
      </c>
      <c r="H279" t="inlineStr">
        <is>
          <t>250102101</t>
        </is>
      </c>
      <c r="I279" t="inlineStr">
        <is>
          <t>Espacios para el ejercicio del control social desarrollados</t>
        </is>
      </c>
      <c r="J279" t="inlineStr">
        <is>
          <t>2024254860051</t>
        </is>
      </c>
      <c r="K279" t="inlineStr">
        <is>
          <t>No</t>
        </is>
      </c>
      <c r="L279" t="inlineStr">
        <is>
          <t>Número</t>
        </is>
      </c>
      <c r="M279">
        <v>1</v>
      </c>
      <c r="N279">
        <v>0</v>
      </c>
      <c r="O279">
        <v>1</v>
      </c>
      <c r="P279">
        <v>1</v>
      </c>
      <c r="Q279">
        <v>1</v>
      </c>
      <c r="R279" t="inlineStr">
        <is>
          <t xml:space="preserve"> </t>
        </is>
      </c>
      <c r="S279" s="103" t="inlineStr">
        <is>
          <t xml:space="preserve"> </t>
        </is>
      </c>
      <c r="T279" t="inlineStr">
        <is>
          <t>No se encontró ejecución en PIIP</t>
        </is>
      </c>
      <c r="U279" t="inlineStr">
        <is>
          <t xml:space="preserve"> </t>
        </is>
      </c>
      <c r="V279" s="104" t="inlineStr">
        <is>
          <t xml:space="preserve"> </t>
        </is>
      </c>
      <c r="W279" t="inlineStr">
        <is>
          <t>No se encontró ejecución en PIIP</t>
        </is>
      </c>
    </row>
    <row r="280">
      <c r="A280" t="inlineStr">
        <is>
          <t>IP-298</t>
        </is>
      </c>
      <c r="B280" t="inlineStr">
        <is>
          <t>12</t>
        </is>
      </c>
      <c r="C280" t="inlineStr">
        <is>
          <t>Justicia y del derecho</t>
        </is>
      </c>
      <c r="D280" t="inlineStr">
        <is>
          <t>1202</t>
        </is>
      </c>
      <c r="E280" t="inlineStr">
        <is>
          <t>Promoción al acceso a la justicia</t>
        </is>
      </c>
      <c r="F280" t="inlineStr">
        <is>
          <t>1202002</t>
        </is>
      </c>
      <c r="G280" t="inlineStr">
        <is>
          <t>Servicio de justicia a los ciudadanos</t>
        </is>
      </c>
      <c r="H280" t="inlineStr">
        <is>
          <t>120200200</t>
        </is>
      </c>
      <c r="I280" t="inlineStr">
        <is>
          <t>Ciudadanos con servicio de justicia prestado</t>
        </is>
      </c>
      <c r="J280" t="inlineStr">
        <is>
          <t>2024254860053</t>
        </is>
      </c>
      <c r="K280" t="inlineStr">
        <is>
          <t>No</t>
        </is>
      </c>
      <c r="L280" t="inlineStr">
        <is>
          <t>Número</t>
        </is>
      </c>
      <c r="M280">
        <v>520</v>
      </c>
      <c r="N280">
        <v>520</v>
      </c>
      <c r="O280">
        <v>520</v>
      </c>
      <c r="P280">
        <v>520</v>
      </c>
      <c r="Q280">
        <v>520</v>
      </c>
      <c r="R280" t="inlineStr">
        <is>
          <t xml:space="preserve"> </t>
        </is>
      </c>
      <c r="S280" s="103" t="inlineStr">
        <is>
          <t xml:space="preserve"> </t>
        </is>
      </c>
      <c r="T280" t="inlineStr">
        <is>
          <t>No se encontró ejecución en PIIP</t>
        </is>
      </c>
      <c r="U280" t="inlineStr">
        <is>
          <t xml:space="preserve"> </t>
        </is>
      </c>
      <c r="V280" s="104" t="inlineStr">
        <is>
          <t xml:space="preserve"> </t>
        </is>
      </c>
      <c r="W280" t="inlineStr">
        <is>
          <t>No se encontró ejecución en PIIP</t>
        </is>
      </c>
    </row>
    <row r="281">
      <c r="A281" t="inlineStr">
        <is>
          <t>IP-299</t>
        </is>
      </c>
      <c r="B281" t="inlineStr">
        <is>
          <t>12</t>
        </is>
      </c>
      <c r="C281" t="inlineStr">
        <is>
          <t>Justicia y del derecho</t>
        </is>
      </c>
      <c r="D281" t="inlineStr">
        <is>
          <t>1203</t>
        </is>
      </c>
      <c r="E281" t="inlineStr">
        <is>
          <t>Promoción de los métodos de resolución de conflictos</t>
        </is>
      </c>
      <c r="F281" t="inlineStr">
        <is>
          <t>1203001</t>
        </is>
      </c>
      <c r="G281" t="inlineStr">
        <is>
          <t>Servicio de divulgación para promover los métodos de resolución de conflictos</t>
        </is>
      </c>
      <c r="H281" t="inlineStr">
        <is>
          <t>120300101</t>
        </is>
      </c>
      <c r="I281" t="inlineStr">
        <is>
          <t>Eventos de divulgación realizados</t>
        </is>
      </c>
      <c r="J281" t="inlineStr">
        <is>
          <t>2024254860053</t>
        </is>
      </c>
      <c r="K281" t="inlineStr">
        <is>
          <t>Si</t>
        </is>
      </c>
      <c r="L281" t="inlineStr">
        <is>
          <t>Número</t>
        </is>
      </c>
      <c r="M281">
        <v>3</v>
      </c>
      <c r="N281">
        <v>0</v>
      </c>
      <c r="O281">
        <v>1</v>
      </c>
      <c r="P281">
        <v>1</v>
      </c>
      <c r="Q281">
        <v>1</v>
      </c>
      <c r="R281" t="inlineStr">
        <is>
          <t xml:space="preserve"> </t>
        </is>
      </c>
      <c r="S281" s="103" t="inlineStr">
        <is>
          <t xml:space="preserve"> </t>
        </is>
      </c>
      <c r="T281" t="inlineStr">
        <is>
          <t>No se encontró ejecución en PIIP</t>
        </is>
      </c>
      <c r="U281" t="inlineStr">
        <is>
          <t xml:space="preserve"> </t>
        </is>
      </c>
      <c r="V281" s="104" t="inlineStr">
        <is>
          <t xml:space="preserve"> </t>
        </is>
      </c>
      <c r="W281" t="inlineStr">
        <is>
          <t>No se encontró ejecución en PIIP</t>
        </is>
      </c>
    </row>
    <row r="282">
      <c r="A282" t="inlineStr">
        <is>
          <t>IP-300</t>
        </is>
      </c>
      <c r="B282" t="inlineStr">
        <is>
          <t>12</t>
        </is>
      </c>
      <c r="C282" t="inlineStr">
        <is>
          <t>Justicia y del derecho</t>
        </is>
      </c>
      <c r="D282" t="inlineStr">
        <is>
          <t>1202</t>
        </is>
      </c>
      <c r="E282" t="inlineStr">
        <is>
          <t>Promoción al acceso a la justicia</t>
        </is>
      </c>
      <c r="F282" t="inlineStr">
        <is>
          <t>1202019</t>
        </is>
      </c>
      <c r="G282" t="inlineStr">
        <is>
          <t>Servicio de promoción del acceso a la justicia</t>
        </is>
      </c>
      <c r="H282" t="inlineStr">
        <is>
          <t>120201900</t>
        </is>
      </c>
      <c r="I282" t="inlineStr">
        <is>
          <t>Estrategias de acceso a la justicia desarrolladas</t>
        </is>
      </c>
      <c r="J282" t="inlineStr">
        <is>
          <t>2024254860053</t>
        </is>
      </c>
      <c r="K282" t="inlineStr">
        <is>
          <t>Si</t>
        </is>
      </c>
      <c r="L282" t="inlineStr">
        <is>
          <t>Número</t>
        </is>
      </c>
      <c r="M282">
        <v>128</v>
      </c>
      <c r="N282">
        <v>32</v>
      </c>
      <c r="O282">
        <v>32</v>
      </c>
      <c r="P282">
        <v>32</v>
      </c>
      <c r="Q282">
        <v>32</v>
      </c>
      <c r="R282" t="inlineStr">
        <is>
          <t xml:space="preserve"> </t>
        </is>
      </c>
      <c r="S282" s="103" t="inlineStr">
        <is>
          <t xml:space="preserve"> </t>
        </is>
      </c>
      <c r="T282" t="inlineStr">
        <is>
          <t>No se encontró ejecución en PIIP</t>
        </is>
      </c>
      <c r="U282" t="inlineStr">
        <is>
          <t xml:space="preserve"> </t>
        </is>
      </c>
      <c r="V282" s="104" t="inlineStr">
        <is>
          <t xml:space="preserve"> </t>
        </is>
      </c>
      <c r="W282" t="inlineStr">
        <is>
          <t>No se encontró ejecución en PIIP</t>
        </is>
      </c>
    </row>
    <row r="283">
      <c r="A283" t="inlineStr">
        <is>
          <t>IP-301</t>
        </is>
      </c>
      <c r="B283" t="inlineStr">
        <is>
          <t>12</t>
        </is>
      </c>
      <c r="C283" t="inlineStr">
        <is>
          <t>Justicia y del derecho</t>
        </is>
      </c>
      <c r="D283" t="inlineStr">
        <is>
          <t>1205</t>
        </is>
      </c>
      <c r="E283" t="inlineStr">
        <is>
          <t>Defensa jurídica del Estado</t>
        </is>
      </c>
      <c r="F283" t="inlineStr">
        <is>
          <t>1205005</t>
        </is>
      </c>
      <c r="G283" t="inlineStr">
        <is>
          <t>Documentos de lineamientos técnicos</t>
        </is>
      </c>
      <c r="H283" t="inlineStr">
        <is>
          <t>120500501</t>
        </is>
      </c>
      <c r="I283" t="inlineStr">
        <is>
          <t>Documentos técnicos con directrices sobre los componentes del ciclo de defensa jurídica del Estado elaborados</t>
        </is>
      </c>
      <c r="J283" t="inlineStr">
        <is>
          <t>2024254860054</t>
        </is>
      </c>
      <c r="K283" t="inlineStr">
        <is>
          <t>No</t>
        </is>
      </c>
      <c r="L283" t="inlineStr">
        <is>
          <t>Número</t>
        </is>
      </c>
      <c r="M283">
        <v>1</v>
      </c>
      <c r="N283">
        <v>1</v>
      </c>
      <c r="O283">
        <v>1</v>
      </c>
      <c r="P283">
        <v>1</v>
      </c>
      <c r="Q283">
        <v>1</v>
      </c>
      <c r="R283" t="inlineStr">
        <is>
          <t xml:space="preserve"> </t>
        </is>
      </c>
      <c r="S283" s="103" t="inlineStr">
        <is>
          <t xml:space="preserve"> </t>
        </is>
      </c>
      <c r="T283" t="inlineStr">
        <is>
          <t>No se encontró ejecución en PIIP</t>
        </is>
      </c>
      <c r="U283" t="inlineStr">
        <is>
          <t xml:space="preserve"> </t>
        </is>
      </c>
      <c r="V283" s="104" t="inlineStr">
        <is>
          <t xml:space="preserve"> </t>
        </is>
      </c>
      <c r="W283" t="inlineStr">
        <is>
          <t>No se encontró ejecución en PIIP</t>
        </is>
      </c>
    </row>
    <row r="284">
      <c r="A284" t="inlineStr">
        <is>
          <t>IP-302</t>
        </is>
      </c>
      <c r="B284" t="inlineStr">
        <is>
          <t>12</t>
        </is>
      </c>
      <c r="C284" t="inlineStr">
        <is>
          <t>Justicia y del derecho</t>
        </is>
      </c>
      <c r="D284" t="inlineStr">
        <is>
          <t>1206</t>
        </is>
      </c>
      <c r="E284" t="inlineStr">
        <is>
          <t>Sistema penitenciario y carcelario en el marco de los derechos humanos</t>
        </is>
      </c>
      <c r="F284" t="inlineStr">
        <is>
          <t>1206007</t>
        </is>
      </c>
      <c r="G284" t="inlineStr">
        <is>
          <t>Servicio de bienestar a la población privada de libertad</t>
        </is>
      </c>
      <c r="H284" t="inlineStr">
        <is>
          <t>120600700</t>
        </is>
      </c>
      <c r="I284" t="inlineStr">
        <is>
          <t>Personas privadas de la libertad con Servicio de bienestar</t>
        </is>
      </c>
      <c r="J284" t="inlineStr">
        <is>
          <t>2024254860055</t>
        </is>
      </c>
      <c r="K284" t="inlineStr">
        <is>
          <t>Si</t>
        </is>
      </c>
      <c r="L284" t="inlineStr">
        <is>
          <t>Número</t>
        </is>
      </c>
      <c r="M284">
        <v>4</v>
      </c>
      <c r="N284">
        <v>1</v>
      </c>
      <c r="O284">
        <v>1</v>
      </c>
      <c r="P284">
        <v>1</v>
      </c>
      <c r="Q284">
        <v>1</v>
      </c>
      <c r="R284">
        <v>0</v>
      </c>
      <c r="S284" s="103">
        <v>0</v>
      </c>
      <c r="T284" t="inlineStr">
        <is>
          <t>No se ejecutó en la vigencia</t>
        </is>
      </c>
      <c r="U284" t="inlineStr">
        <is>
          <t xml:space="preserve"> </t>
        </is>
      </c>
      <c r="V284" s="104" t="inlineStr">
        <is>
          <t xml:space="preserve"> </t>
        </is>
      </c>
      <c r="W284" t="inlineStr">
        <is>
          <t>No se encontró ejecución en PIIP</t>
        </is>
      </c>
    </row>
    <row r="285">
      <c r="A285" t="inlineStr">
        <is>
          <t>IP-303</t>
        </is>
      </c>
      <c r="B285" t="inlineStr">
        <is>
          <t>23</t>
        </is>
      </c>
      <c r="C285" t="inlineStr">
        <is>
          <t>Tecnologías de la información y las comunicaciones</t>
        </is>
      </c>
      <c r="D285" t="inlineStr">
        <is>
          <t>2301</t>
        </is>
      </c>
      <c r="E285" t="inlineStr">
        <is>
          <t>Facilitar el acceso y uso de las Tecnologías de la Información y las Comunicaciones (TIC) en todo el territorio nacional</t>
        </is>
      </c>
      <c r="F285" t="inlineStr">
        <is>
          <t>2301004</t>
        </is>
      </c>
      <c r="G285" t="inlineStr">
        <is>
          <t>Documentos de planeación</t>
        </is>
      </c>
      <c r="H285" t="inlineStr">
        <is>
          <t>230100400</t>
        </is>
      </c>
      <c r="I285" t="inlineStr">
        <is>
          <t>Documentos de planeación elaborados</t>
        </is>
      </c>
      <c r="J285" t="inlineStr">
        <is>
          <t>2024254860056</t>
        </is>
      </c>
      <c r="K285" t="inlineStr">
        <is>
          <t>No</t>
        </is>
      </c>
      <c r="L285" t="inlineStr">
        <is>
          <t>Número</t>
        </is>
      </c>
      <c r="M285">
        <v>1</v>
      </c>
      <c r="N285">
        <v>0</v>
      </c>
      <c r="O285">
        <v>1</v>
      </c>
      <c r="P285">
        <v>1</v>
      </c>
      <c r="Q285">
        <v>1</v>
      </c>
      <c r="R285" t="inlineStr">
        <is>
          <t xml:space="preserve"> </t>
        </is>
      </c>
      <c r="S285" s="103" t="inlineStr">
        <is>
          <t xml:space="preserve"> </t>
        </is>
      </c>
      <c r="T285" t="inlineStr">
        <is>
          <t>No se encontró ejecución en PIIP</t>
        </is>
      </c>
      <c r="U285" t="inlineStr">
        <is>
          <t xml:space="preserve"> </t>
        </is>
      </c>
      <c r="V285" s="104" t="inlineStr">
        <is>
          <t xml:space="preserve"> </t>
        </is>
      </c>
      <c r="W285" t="inlineStr">
        <is>
          <t>No se encontró ejecución en PIIP</t>
        </is>
      </c>
    </row>
    <row r="286">
      <c r="A286" t="inlineStr">
        <is>
          <t>IP-304</t>
        </is>
      </c>
      <c r="B286" t="inlineStr">
        <is>
          <t>23</t>
        </is>
      </c>
      <c r="C286" t="inlineStr">
        <is>
          <t>Tecnologías de la información y las comunicaciones</t>
        </is>
      </c>
      <c r="D286" t="inlineStr">
        <is>
          <t>2301</t>
        </is>
      </c>
      <c r="E286" t="inlineStr">
        <is>
          <t>Facilitar el acceso y uso de las Tecnologías de la Información y las Comunicaciones (TIC) en todo el territorio nacional</t>
        </is>
      </c>
      <c r="F286" t="inlineStr">
        <is>
          <t>2301077</t>
        </is>
      </c>
      <c r="G286" t="inlineStr">
        <is>
          <t>Servicio de información actualizado</t>
        </is>
      </c>
      <c r="H286" t="inlineStr">
        <is>
          <t>230107700</t>
        </is>
      </c>
      <c r="I286" t="inlineStr">
        <is>
          <t>Sistemas de información actualizados</t>
        </is>
      </c>
      <c r="J286" t="inlineStr">
        <is>
          <t>2024254860056</t>
        </is>
      </c>
      <c r="K286" t="inlineStr">
        <is>
          <t>Si</t>
        </is>
      </c>
      <c r="L286" t="inlineStr">
        <is>
          <t>Número</t>
        </is>
      </c>
      <c r="M286">
        <v>2</v>
      </c>
      <c r="N286">
        <v>0</v>
      </c>
      <c r="O286">
        <v>0</v>
      </c>
      <c r="P286">
        <v>1</v>
      </c>
      <c r="Q286">
        <v>1</v>
      </c>
      <c r="R286" t="inlineStr">
        <is>
          <t xml:space="preserve"> </t>
        </is>
      </c>
      <c r="S286" s="103" t="inlineStr">
        <is>
          <t xml:space="preserve"> </t>
        </is>
      </c>
      <c r="T286" t="inlineStr">
        <is>
          <t>No se encontró ejecución en PIIP</t>
        </is>
      </c>
      <c r="U286" t="inlineStr">
        <is>
          <t xml:space="preserve"> </t>
        </is>
      </c>
      <c r="V286" s="104" t="inlineStr">
        <is>
          <t xml:space="preserve"> </t>
        </is>
      </c>
      <c r="W286" t="inlineStr">
        <is>
          <t>No se encontró ejecución en PIIP</t>
        </is>
      </c>
    </row>
    <row r="287">
      <c r="A287" t="inlineStr">
        <is>
          <t>IP-305</t>
        </is>
      </c>
      <c r="B287" t="inlineStr">
        <is>
          <t>23</t>
        </is>
      </c>
      <c r="C287" t="inlineStr">
        <is>
          <t>Tecnologías de la información y las comunicaciones</t>
        </is>
      </c>
      <c r="D287" t="inlineStr">
        <is>
          <t>2301</t>
        </is>
      </c>
      <c r="E287" t="inlineStr">
        <is>
          <t>Facilitar el acceso y uso de las Tecnologías de la Información y las Comunicaciones (TIC) en todo el territorio nacional</t>
        </is>
      </c>
      <c r="F287" t="inlineStr">
        <is>
          <t>2301079</t>
        </is>
      </c>
      <c r="G287" t="inlineStr">
        <is>
          <t xml:space="preserve"> Servicio de acceso zonas digitales</t>
        </is>
      </c>
      <c r="H287" t="inlineStr">
        <is>
          <t>230107900</t>
        </is>
      </c>
      <c r="I287" t="inlineStr">
        <is>
          <t>Zonas digitales instaladas</t>
        </is>
      </c>
      <c r="J287" t="inlineStr">
        <is>
          <t>2024254860056</t>
        </is>
      </c>
      <c r="K287" t="inlineStr">
        <is>
          <t>Si</t>
        </is>
      </c>
      <c r="L287" t="inlineStr">
        <is>
          <t>Número</t>
        </is>
      </c>
      <c r="M287">
        <v>4</v>
      </c>
      <c r="N287">
        <v>1</v>
      </c>
      <c r="O287">
        <v>1</v>
      </c>
      <c r="P287">
        <v>1</v>
      </c>
      <c r="Q287">
        <v>1</v>
      </c>
      <c r="R287" t="inlineStr">
        <is>
          <t xml:space="preserve"> </t>
        </is>
      </c>
      <c r="S287" s="103" t="inlineStr">
        <is>
          <t xml:space="preserve"> </t>
        </is>
      </c>
      <c r="T287" t="inlineStr">
        <is>
          <t>No se encontró ejecución en PIIP</t>
        </is>
      </c>
      <c r="U287" t="inlineStr">
        <is>
          <t xml:space="preserve"> </t>
        </is>
      </c>
      <c r="V287" s="104" t="inlineStr">
        <is>
          <t xml:space="preserve"> </t>
        </is>
      </c>
      <c r="W287" t="inlineStr">
        <is>
          <t>No se encontró ejecución en PIIP</t>
        </is>
      </c>
    </row>
    <row r="288">
      <c r="A288" t="inlineStr">
        <is>
          <t>IP-306</t>
        </is>
      </c>
      <c r="B288" t="inlineStr">
        <is>
          <t>23</t>
        </is>
      </c>
      <c r="C288" t="inlineStr">
        <is>
          <t>Tecnologías de la información y las comunicaciones</t>
        </is>
      </c>
      <c r="D288" t="inlineStr">
        <is>
          <t>2301</t>
        </is>
      </c>
      <c r="E288" t="inlineStr">
        <is>
          <t>Facilitar el acceso y uso de las Tecnologías de la Información y las Comunicaciones (TIC) en todo el territorio nacional</t>
        </is>
      </c>
      <c r="F288" t="inlineStr">
        <is>
          <t>2301024</t>
        </is>
      </c>
      <c r="G288" t="inlineStr">
        <is>
          <t>Servicio de acceso y uso de Tecnologías de la Información y las Comunicaciones</t>
        </is>
      </c>
      <c r="H288" t="inlineStr">
        <is>
          <t>230102400</t>
        </is>
      </c>
      <c r="I288" t="inlineStr">
        <is>
          <t>Centros de Acceso Comunitario en zonas urbanas y/o rurales y/o apartadas funcionando</t>
        </is>
      </c>
      <c r="J288" t="inlineStr">
        <is>
          <t>2024254860056</t>
        </is>
      </c>
      <c r="K288" t="inlineStr">
        <is>
          <t>Si</t>
        </is>
      </c>
      <c r="L288" t="inlineStr">
        <is>
          <t>Número</t>
        </is>
      </c>
      <c r="M288">
        <v>3</v>
      </c>
      <c r="N288">
        <v>0</v>
      </c>
      <c r="O288">
        <v>1</v>
      </c>
      <c r="P288">
        <v>1</v>
      </c>
      <c r="Q288">
        <v>1</v>
      </c>
      <c r="R288" t="inlineStr">
        <is>
          <t xml:space="preserve"> </t>
        </is>
      </c>
      <c r="S288" s="103" t="inlineStr">
        <is>
          <t xml:space="preserve"> </t>
        </is>
      </c>
      <c r="T288" t="inlineStr">
        <is>
          <t>No se encontró ejecución en PIIP</t>
        </is>
      </c>
      <c r="U288" t="inlineStr">
        <is>
          <t xml:space="preserve"> </t>
        </is>
      </c>
      <c r="V288" s="104" t="inlineStr">
        <is>
          <t xml:space="preserve"> </t>
        </is>
      </c>
      <c r="W288" t="inlineStr">
        <is>
          <t>No se encontró ejecución en PIIP</t>
        </is>
      </c>
    </row>
    <row r="289">
      <c r="A289" t="inlineStr">
        <is>
          <t>IP-307</t>
        </is>
      </c>
      <c r="B289" t="inlineStr">
        <is>
          <t>23</t>
        </is>
      </c>
      <c r="C289" t="inlineStr">
        <is>
          <t>Tecnologías de la información y las comunicaciones</t>
        </is>
      </c>
      <c r="D289" t="inlineStr">
        <is>
          <t>2301</t>
        </is>
      </c>
      <c r="E289" t="inlineStr">
        <is>
          <t>Facilitar el acceso y uso de las Tecnologías de la Información y las Comunicaciones (TIC) en todo el territorio nacional</t>
        </is>
      </c>
      <c r="F289" t="inlineStr">
        <is>
          <t>2301027</t>
        </is>
      </c>
      <c r="G289" t="inlineStr">
        <is>
          <t>Servicio de conexiones a redes de acceso</t>
        </is>
      </c>
      <c r="H289" t="inlineStr">
        <is>
          <t>230102705</t>
        </is>
      </c>
      <c r="I289" t="inlineStr">
        <is>
          <t>Comunidades de conectividad conectadas</t>
        </is>
      </c>
      <c r="J289" t="inlineStr">
        <is>
          <t>2024254860056</t>
        </is>
      </c>
      <c r="K289" t="inlineStr">
        <is>
          <t>Si</t>
        </is>
      </c>
      <c r="L289" t="inlineStr">
        <is>
          <t>Número</t>
        </is>
      </c>
      <c r="M289">
        <v>2</v>
      </c>
      <c r="N289">
        <v>0</v>
      </c>
      <c r="O289">
        <v>0</v>
      </c>
      <c r="P289">
        <v>1</v>
      </c>
      <c r="Q289">
        <v>1</v>
      </c>
      <c r="R289" t="inlineStr">
        <is>
          <t xml:space="preserve"> </t>
        </is>
      </c>
      <c r="S289" s="103" t="inlineStr">
        <is>
          <t xml:space="preserve"> </t>
        </is>
      </c>
      <c r="T289" t="inlineStr">
        <is>
          <t>No se encontró ejecución en PIIP</t>
        </is>
      </c>
      <c r="U289" t="inlineStr">
        <is>
          <t xml:space="preserve"> </t>
        </is>
      </c>
      <c r="V289" s="104" t="inlineStr">
        <is>
          <t xml:space="preserve"> </t>
        </is>
      </c>
      <c r="W289" t="inlineStr">
        <is>
          <t>No se encontró ejecución en PIIP</t>
        </is>
      </c>
    </row>
    <row r="290">
      <c r="A290" t="inlineStr">
        <is>
          <t>IP-308</t>
        </is>
      </c>
      <c r="B290" t="inlineStr">
        <is>
          <t>23</t>
        </is>
      </c>
      <c r="C290" t="inlineStr">
        <is>
          <t>Tecnologías de la información y las comunicaciones</t>
        </is>
      </c>
      <c r="D290" t="inlineStr">
        <is>
          <t>2302</t>
        </is>
      </c>
      <c r="E290" t="inlineStr">
        <is>
          <t>Fomento del desarrollo de aplicaciones, software y contenidos para impulsar la apropiación de las Tecnologías de la Información y las Comunicaciones (TIC)</t>
        </is>
      </c>
      <c r="F290" t="inlineStr">
        <is>
          <t>2302020</t>
        </is>
      </c>
      <c r="G290" t="inlineStr">
        <is>
          <t>Servicio de asistencia técnica para el emprendimiento de base tecnológica</t>
        </is>
      </c>
      <c r="H290" t="inlineStr">
        <is>
          <t>230202000</t>
        </is>
      </c>
      <c r="I290" t="inlineStr">
        <is>
          <t>Emprendimientos y empresas del sector de contenido y aplicaciones digitales acompañados</t>
        </is>
      </c>
      <c r="J290" t="inlineStr">
        <is>
          <t>2024254860057</t>
        </is>
      </c>
      <c r="K290" t="inlineStr">
        <is>
          <t>Si</t>
        </is>
      </c>
      <c r="L290" t="inlineStr">
        <is>
          <t>Número</t>
        </is>
      </c>
      <c r="M290">
        <v>3</v>
      </c>
      <c r="N290">
        <v>0</v>
      </c>
      <c r="O290">
        <v>1</v>
      </c>
      <c r="P290">
        <v>1</v>
      </c>
      <c r="Q290">
        <v>1</v>
      </c>
      <c r="R290" t="inlineStr">
        <is>
          <t xml:space="preserve"> </t>
        </is>
      </c>
      <c r="S290" s="103" t="inlineStr">
        <is>
          <t xml:space="preserve"> </t>
        </is>
      </c>
      <c r="T290" t="inlineStr">
        <is>
          <t>No se encontró ejecución en PIIP</t>
        </is>
      </c>
      <c r="U290" t="inlineStr">
        <is>
          <t xml:space="preserve"> </t>
        </is>
      </c>
      <c r="V290" s="104" t="inlineStr">
        <is>
          <t xml:space="preserve"> </t>
        </is>
      </c>
      <c r="W290" t="inlineStr">
        <is>
          <t>No se encontró ejecución en PIIP</t>
        </is>
      </c>
    </row>
    <row r="291">
      <c r="S291" s="103"/>
      <c r="V291" s="104"/>
    </row>
  </sheetData>
  <mergeCells count="6">
    <mergeCell ref="U6:W6"/>
    <mergeCell ref="N6:Q6"/>
    <mergeCell ref="A2:M2"/>
    <mergeCell ref="A3:M3"/>
    <mergeCell ref="R6:T6"/>
    <mergeCell ref="A4:K4"/>
  </mergeCells>
  <conditionalFormatting sqref="S8:S1048576">
    <cfRule type="cellIs" dxfId="1" priority="1" operator="between">
      <formula>1.0000001</formula>
      <formula>999999999</formula>
    </cfRule>
  </conditionalFormatting>
  <conditionalFormatting sqref="S8:S1048576">
    <cfRule type="colorScale" priority="3">
      <colorScale>
        <cfvo type="num" val="0"/>
        <cfvo type="num" val="0.5"/>
        <cfvo type="num" val="1"/>
        <color rgb="FFFB9985"/>
        <color rgb="FFFCF797"/>
        <color rgb="FFADEC9E"/>
      </colorScale>
    </cfRule>
  </conditionalFormatting>
  <conditionalFormatting sqref="V8:V1048576">
    <cfRule type="cellIs" dxfId="0" priority="2" operator="between">
      <formula>1.00000001</formula>
      <formula>9999999999</formula>
    </cfRule>
  </conditionalFormatting>
  <conditionalFormatting sqref="V8:V1048576">
    <cfRule type="colorScale" priority="5">
      <colorScale>
        <cfvo type="num" val="0"/>
        <cfvo type="num" val="0.5"/>
        <cfvo type="num" val="1"/>
        <color rgb="FFFB9985"/>
        <color rgb="FFFCF797"/>
        <color rgb="FFADEC9E"/>
      </colorScale>
    </cfRule>
  </conditionalFormatting>
  <pageMargins left="0.7" right="0.7" top="0.75" bottom="0.75" header="0.3" footer="0.3"/>
  <pageSetup orientation="portrait" r:id="rId1"/>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Company/>
  <DocSecurity>0</DocSecurity>
  <HeadingPairs>
    <vt:vector size="2" baseType="variant">
      <vt:variant>
        <vt:lpstr>Hojas de cálculo</vt:lpstr>
      </vt:variant>
      <vt:variant>
        <vt:i4>3</vt:i4>
      </vt:variant>
    </vt:vector>
  </HeadingPairs>
  <HyperlinksChanged>false</HyperlinksChanged>
  <LinksUpToDate>false</LinksUpToDate>
  <ScaleCrop>false</ScaleCrop>
  <SharedDoc>false</SharedDoc>
  <TitlesOfParts>
    <vt:vector size="3" baseType="lpstr">
      <vt:lpstr>Resumen</vt:lpstr>
      <vt:lpstr>Detalle seguimiento financiero</vt:lpstr>
      <vt:lpstr>Detalle seguimiento físico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German Andres Gallegos Vargas</dc:creator>
  <cp:lastModifiedBy>German Andres Gallegos Vargas</cp:lastModifiedBy>
  <dcterms:created xsi:type="dcterms:W3CDTF">2025-07-07T13:41:15Z</dcterms:created>
  <dcterms:modified xsi:type="dcterms:W3CDTF">2025-11-20T23:01:40Z</dcterms:modified>
</cp:coreProperties>
</file>